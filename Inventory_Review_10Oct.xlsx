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rinkage" sheetId="1" state="visible" r:id="rId3"/>
    <sheet name="Inventory Hygiene" sheetId="2" state="visible" r:id="rId4"/>
    <sheet name="CLM &amp; IM Mapping" sheetId="3" state="hidden" r:id="rId5"/>
    <sheet name="RSTO &gt; 48hrs" sheetId="4" state="visible" r:id="rId6"/>
    <sheet name="Recirculation &gt; 24 hrs" sheetId="5" state="visible" r:id="rId7"/>
    <sheet name="Bad Bins" sheetId="6" state="visible" r:id="rId8"/>
    <sheet name="Pending Putaway" sheetId="7" state="visible" r:id="rId9"/>
    <sheet name="Final Summary" sheetId="8" state="visible" r:id="rId10"/>
  </sheets>
  <definedNames>
    <definedName function="false" hidden="true" localSheetId="3" name="_xlnm._FilterDatabase" vbProcedure="false">'RSTO &gt; 48hrs'!$A$1:$Z$253</definedName>
    <definedName function="false" hidden="true" localSheetId="3" name="Z_067B1759_55F6_408E_ACAA_8FC04846720F_.wvu.FilterData" vbProcedure="false">'RSTO &gt; 48hrs'!$A$1:$Z$253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<sst xmlns="http://schemas.openxmlformats.org/spreadsheetml/2006/main" count="11281" uniqueCount="949">
  <si>
    <t xml:space="preserve">Date</t>
  </si>
  <si>
    <t xml:space="preserve">Zone</t>
  </si>
  <si>
    <t xml:space="preserve">city_name_</t>
  </si>
  <si>
    <t xml:space="preserve">Store Name</t>
  </si>
  <si>
    <t xml:space="preserve">CLM</t>
  </si>
  <si>
    <t xml:space="preserve">IM</t>
  </si>
  <si>
    <t xml:space="preserve">locationtype2</t>
  </si>
  <si>
    <t xml:space="preserve">Adj_Amt</t>
  </si>
  <si>
    <t xml:space="preserve">FCC_Bin_Amt</t>
  </si>
  <si>
    <t xml:space="preserve">Other_Bin_Amt</t>
  </si>
  <si>
    <t xml:space="preserve">Shortpick_Amt</t>
  </si>
  <si>
    <t xml:space="preserve">RTO_Loss</t>
  </si>
  <si>
    <t xml:space="preserve">PP PO Closed (curr+prev)</t>
  </si>
  <si>
    <t xml:space="preserve">PP STO Closed (curr+prev)</t>
  </si>
  <si>
    <t xml:space="preserve">PP Canc Closed (curr+prev)</t>
  </si>
  <si>
    <t xml:space="preserve">Total Inhouse</t>
  </si>
  <si>
    <t xml:space="preserve">SLP Ticket ID / Mail</t>
  </si>
  <si>
    <t xml:space="preserve">SLP Recovery</t>
  </si>
  <si>
    <t xml:space="preserve">RCA &amp; POA </t>
  </si>
  <si>
    <t xml:space="preserve">Expected Recovery by 11th Oct</t>
  </si>
  <si>
    <t xml:space="preserve">Top 2 Net Loss Aisle</t>
  </si>
  <si>
    <t xml:space="preserve">Top 2 Aisle Net Loss Value</t>
  </si>
  <si>
    <t xml:space="preserve">South1</t>
  </si>
  <si>
    <t xml:space="preserve">Bengaluru</t>
  </si>
  <si>
    <t xml:space="preserve">BLR-Shivaji Nagar SS</t>
  </si>
  <si>
    <t xml:space="preserve">SUPERSTORE</t>
  </si>
  <si>
    <t xml:space="preserve">Theft investigation – recovery of ₹15,000.</t>
  </si>
  <si>
    <t xml:space="preserve">* Total IH loss is ₹1.56L, mainly from FCC bin ₹75.6K and Adjustment ₹69.3K.
 * Top loss categories: Apparel &amp; Lifestyle ₹20.6K (18%), Whey Protein (Protein &amp; Nutrition) ₹16.0K (14%), Pet Care ₹12.0K (11%), Sports &amp; Fitness (Toys &amp; Sports) ₹10.2K (9%), Home Needs ₹8.9K (8%). Share is of ₹1.13L net loss across loss-making categories.
 * Loss is spread across 706 SKUs and the top 10 make 15% of SKU-level loss.
 * Theft-prone SKUs show net loss of ₹16.5K, led by whey ₹15.0K, chargers ₹567 and deos ₹567.
 * DHM adherence gap and SBC completion pending.
 * LSS racks over capacity, pickers unable to locate stock in aisle.
 * SLP theft investigation: ₹15,000 recovery.</t>
  </si>
  <si>
    <t xml:space="preserve">P,J</t>
  </si>
  <si>
    <t xml:space="preserve">BLR-RICHMOND TOWN SS</t>
  </si>
  <si>
    <t xml:space="preserve">SLP investigation is ongoing.</t>
  </si>
  <si>
    <t xml:space="preserve">* Total IH loss is ₹1.35L, mainly from FCC bin ₹1.16L, Adjustment ₹18.1K and RTO loss ₹14.7K.
 * Majority impact is from FCC bin of ₹1.16L. Excluding this, the store is ₹19.3K in loss.
 * Top loss categories: Apparel &amp; Lifestyle ₹48.3K (39%), Home Needs ₹25.6K (21%), Electronics &amp; Appliances ₹9.0K (7%), Toys &amp; Sports ₹8.8K (7%), Plant &amp; Vegan Protein (Protein &amp; Nutrition) ₹7.2K (6%). Share is of ₹1.25L net loss across loss-making categories.
 * Loss is spread across 657 SKUs and the top 10 make 11% of SKU-level loss.
 * Theft-prone SKUs show net loss of ₹18.8K, led by whey ₹3.7K, earphones ₹3.4K and speakers ₹3.0K.
 * Stock movement is in progress for the 1st floor expansion; aisle I has been fully moved to the 2nd floor.
 * SLP investigation is ongoing; wrong adjustments have been identified.</t>
  </si>
  <si>
    <t xml:space="preserve">I,A</t>
  </si>
  <si>
    <t xml:space="preserve">BLR-Mathikere</t>
  </si>
  <si>
    <t xml:space="preserve">RETAIL_STORE</t>
  </si>
  <si>
    <t xml:space="preserve">Shrinkage Loss - BLR-Mathikere - Immediate Action Required</t>
  </si>
  <si>
    <t xml:space="preserve">DHM adherence issues have been observed, and SBC was not 100% completed in the month of August. For these short picks, a mail was raised to the SLP team for investigation, and a squad has also been deployed for recovery.
Last month, due to an MP issue, all LC1 packers incorrectly did the putaway after the store closed. During picking, the items went into recirculation, and the STO associate marked them as short picks.
This issue was identified during the theft investigation, resulting in a recovery of ₹25,000.
The maximum loss is due to damaged stock; the team marked 10 to 20 crates as short picks.</t>
  </si>
  <si>
    <t xml:space="preserve">K</t>
  </si>
  <si>
    <t xml:space="preserve">BLR-SHIVAJI NAGAR Network</t>
  </si>
  <si>
    <t xml:space="preserve">Wrong putaway incidents were identified during the last month, with suspected theft involvement. The matter has been escalated to the SLP team, and the investigation is currently in progress.</t>
  </si>
  <si>
    <t xml:space="preserve">A,B</t>
  </si>
  <si>
    <t xml:space="preserve">BLR-Dooravani Nagar</t>
  </si>
  <si>
    <t xml:space="preserve">* Total IH loss is ₹94.5K, mainly from FCC bin ₹66.1K and Adjustment ₹22.3K.
 * Majority impact is from FCC bin of ₹66.1K. Excluding this, the store is ₹28.4K in loss.
 * Top loss categories: Dairy, Bread &amp; Eggs ₹10.4K (14%), Cold Drinks &amp; Juices ₹8.2K (11%), Frozen Food ₹6.7K (9%), Munchies ₹5.8K (8%), Creatine (Protein &amp; Nutrition) ₹4.0K (6%). Share is of ₹72.1K net loss across loss-making categories.
 * Loss is spread across 1315 SKUs and the top 10 make 8% of SKU-level loss.
 * Theft-prone SKUs show net loss of ₹4.7K, led by creatine ₹2.1K, condoms ₹1.2K and serums ₹604.
 * Aisles A and I hold ₹54.0K, 57% of bin-level loss.</t>
  </si>
  <si>
    <t xml:space="preserve">A,E</t>
  </si>
  <si>
    <t xml:space="preserve">BLR-Kalkere</t>
  </si>
  <si>
    <t xml:space="preserve">* Total IH loss is ₹83.2K, mainly from Adjustment ₹71.6K and FCC bin ₹9.2K.
 * Top loss categories: Rice &amp; More (Atta, Rice, Oil &amp; Dals) ₹15.2K (17%), Cleaning Essentials ₹11.1K (13%), Cups (Ice Creams &amp; More) ₹8.6K (10%), Dairy, Bread &amp; Eggs ₹7.6K (9%), Home Needs ₹7.3K (8%). Share is of ₹88.3K net loss across loss-making categories.
 * Loss is spread across 1035 SKUs and the top 10 make 13% of SKU-level loss.
 * Theft-prone SKUs show net loss of ₹7.6K, led by dry fruits &amp; nuts ₹3.2K, cigarettes ₹1.7K and premium chocolates ₹862.</t>
  </si>
  <si>
    <t xml:space="preserve">I,C</t>
  </si>
  <si>
    <t xml:space="preserve">BLR-HSR-3</t>
  </si>
  <si>
    <t xml:space="preserve">* Total IH loss is ₹67.8K, mainly from FCC bin ₹43.0K and Adjustment ₹15.9K.
 * Majority impact is from FCC bin of ₹43.0K. Excluding this, the store is ₹24.8K in loss.
 * Top loss categories: Ice Creams &amp; More ₹19.4K (27%), Cold Drinks &amp; Juices ₹10.8K (15%), Dry Fruits &amp; Nuts (Masala, Dry Fruits &amp; More) ₹9.9K (14%), Chips &amp; Crisps (Munchies) ₹6.5K (9%), Detergent Powder &amp; Bars (Cleaning Essentials) ₹5.8K (8%). Share is of ₹71.0K net loss across loss-making categories.
 * Loss is spread across 1299 SKUs and the top 10 make 11% of SKU-level loss.
 * Theft-prone SKUs show net loss of ₹10.7K, led by dry fruits &amp; nuts ₹7.5K, cigarettes ₹1.7K and creatine ₹567.
 * Aisles H and B hold ₹27.6K, 58% of bin-level loss.</t>
  </si>
  <si>
    <t xml:space="preserve">A,I</t>
  </si>
  <si>
    <t xml:space="preserve">BLR-Malleshwaram SS</t>
  </si>
  <si>
    <t xml:space="preserve">Due to a delta of 7 MP, the store was only 50% audited last month. A squad team is currently deployed at the store to close the W2W audit. As per the SSM, all stocks are available at the store and will be recovered once the W2W audit is closed.</t>
  </si>
  <si>
    <t xml:space="preserve">I,G</t>
  </si>
  <si>
    <t xml:space="preserve">BLR-BASAVANAPURA NETWORK 2</t>
  </si>
  <si>
    <t xml:space="preserve">DHM adherence issues have been observed, and proper SBC completion is still pending. To strengthen inventory accuracy and identify process gaps, a W2W audit is currently being conducted by the Squad Team.</t>
  </si>
  <si>
    <t xml:space="preserve">K,A</t>
  </si>
  <si>
    <t xml:space="preserve">BLR-Mico layout New</t>
  </si>
  <si>
    <t xml:space="preserve">* Total IH loss is ₹54.1K, mainly from FCC bin ₹29.8K, PO cancel ₹13.3K and Adjustment ₹5.8K.
 * Top loss categories: Dairy, Bread &amp; Eggs ₹12.0K (22%), Fruits &amp; Vegetables ₹7.4K (14%), Ice Creams &amp; More ₹6.0K (11%), Medical Devices (Pharma &amp; Wellness) ₹4.1K (8%), Baking Mixes &amp; Ingredients (Packaged Food) ₹3.3K (6%). Share is of ₹53.4K net loss across loss-making categories.
 * Loss is spread across 681 SKUs and the top 10 make 16% of SKU-level loss.
 * Aisles L and A hold ₹22.5K, 54% of bin-level loss.</t>
  </si>
  <si>
    <t xml:space="preserve">J,A</t>
  </si>
  <si>
    <t xml:space="preserve">BLR-HSR Layout New</t>
  </si>
  <si>
    <t xml:space="preserve">* Total IH loss is ₹54.1K, mainly from FCC bin ₹23.7K, Adjustment ₹20.5K and Shortpick ₹7.7K.
 * Top loss categories: Whey Protein (Protein &amp; Nutrition) ₹7.0K (15%), Kitchen Appliances (Electronics &amp; Appliances) ₹6.4K (14%), Cold Drinks &amp; Juices ₹5.2K (11%), Rice &amp; More (Atta, Rice, Oil &amp; Dals) ₹3.9K (9%), Frozen Food ₹3.8K (8%). Share is of ₹45.6K net loss across loss-making categories.
 * Loss is spread across 546 SKUs and the top 10 make 27% of SKU-level loss.
 * Theft-prone SKUs show net loss of ₹9.6K, led by whey ₹7.6K, premium chocolates ₹1.6K and cigarettes ₹475.</t>
  </si>
  <si>
    <t xml:space="preserve">J,K</t>
  </si>
  <si>
    <t xml:space="preserve">BLR-Siddapura</t>
  </si>
  <si>
    <t xml:space="preserve">SBC is still in progress, and the store team is focusing on W2W today against the ₹15K target. This amount will be recovered without fail, and the remaining amount will be recovered by the 11th.</t>
  </si>
  <si>
    <t xml:space="preserve">D,C</t>
  </si>
  <si>
    <t xml:space="preserve">BLR-Narayanapura</t>
  </si>
  <si>
    <t xml:space="preserve">High FC was primarily due to wrong putaway, which resulted in stock being misplaced across different bins and led to shrinkage in the high FC bucket. SBC was not happening due to a delta of 3 CCAs. A squad has been aligned for recovery.</t>
  </si>
  <si>
    <t xml:space="preserve">I,J</t>
  </si>
  <si>
    <t xml:space="preserve">BLR-Challakere</t>
  </si>
  <si>
    <t xml:space="preserve">* Total IH loss is ₹49.5K, mainly from Adjustment ₹34.2K and FCC bin ₹13.5K.
 * Top loss categories: Chocolates (Sweet Cravings) ₹10.9K (25%), Ice Creams &amp; More ₹8.3K (19%), Atta, Rice, Oil &amp; Dals ₹6.7K (15%), Chips &amp; Crisps (Munchies) ₹4.0K (9%), Fruits &amp; Vegetables ₹2.9K (7%). Share is of ₹43.6K net loss across loss-making categories.
 * Loss is spread across 808 SKUs and the top 10 make 15% of SKU-level loss.
 * Theft-prone SKUs show net loss of ₹7.2K, led by premium chocolates ₹4.4K, dry fruits &amp; nuts ₹1.6K and earphones ₹1.0K.
 * Aisles J and K hold ₹17.0K, 59% of bin-level loss.</t>
  </si>
  <si>
    <t xml:space="preserve">BLR-Banjara Layout</t>
  </si>
  <si>
    <t xml:space="preserve">* Total IH loss is ₹48.9K, mainly from Adjustment ₹31.1K and FCC bin ₹16.9K.
 * Top loss categories: Ice Creams &amp; More ₹21.3K (30%), Frozen Food ₹20.2K (29%), Dairy, Bread &amp; Eggs ₹9.8K (14%), Fresh Vegetables (Fruits &amp; Vegetables) ₹7.0K (10%), Chicken (Meats, Fish &amp; Eggs) ₹2.6K (4%). Share is of ₹70.4K net loss across loss-making categories.
 * Loss is spread across 1028 SKUs and the top 10 make 11% of SKU-level loss.
 * Theft-prone SKUs show net loss of ₹2.4K, led by cigarettes ₹1.7K and premium chocolates ₹769.
 * Aisles M and L hold ₹56.3K, 90% of bin-level loss.</t>
  </si>
  <si>
    <t xml:space="preserve">L,P</t>
  </si>
  <si>
    <t xml:space="preserve">BLR-Vijay Nagar Network</t>
  </si>
  <si>
    <t xml:space="preserve">The W2W audit is in progress. Assortment and capacity have breached more than 100%, due to which item fall-down cases are increasing and floor handover is not being done properly. Wrong putaway was also done in the store. The SI and one CCA have now been aligned for recovery.</t>
  </si>
  <si>
    <t xml:space="preserve">A,G</t>
  </si>
  <si>
    <t xml:space="preserve">BLR-Malleshpalya</t>
  </si>
  <si>
    <t xml:space="preserve">BLR-Malleshpalya Shrinkage – 2026-10-05</t>
  </si>
  <si>
    <t xml:space="preserve">The store has been converted from FOCO to COCO; a wall-to-wall (W2W) audit was done for the handover.</t>
  </si>
  <si>
    <t xml:space="preserve">L,M</t>
  </si>
  <si>
    <t xml:space="preserve">BLR-Doddakannelli</t>
  </si>
  <si>
    <t xml:space="preserve">* Total IH loss is ₹47.2K, mainly from FCC bin ₹17.5K, Adjustment ₹15.2K and STO short receipt ₹12.1K.
 * SKU-level net is ₹2.0K, under 10% of IH loss, so the gap is not category driven and sits in FCC bin.
 * Theft-prone SKUs show net loss of ₹3.3K, led by dry fruits &amp; nuts ₹2.0K, perfumes ₹983 and cigarettes ₹359.
 * Aisles E and K hold ₹18.8K, 58% of bin-level loss.</t>
  </si>
  <si>
    <t xml:space="preserve">E,C</t>
  </si>
  <si>
    <t xml:space="preserve">BLR-Murugeshpalya</t>
  </si>
  <si>
    <t xml:space="preserve">DHM &amp; SI monitoring issue at the store: despite stock being available in primary bins, items were marked FC by packers, and SS RTO is not being cleared on time. A permanent squad has been deployed for recovery in high-FC aisles; out of ₹80K, ₹40K was recovered yesterday.</t>
  </si>
  <si>
    <t xml:space="preserve">AI,G</t>
  </si>
  <si>
    <t xml:space="preserve">BLR-Kudlu</t>
  </si>
  <si>
    <t xml:space="preserve">W2W audit is in progress; around ₹15,000 will be recovered, and all losses will be recovered by the 11th.</t>
  </si>
  <si>
    <t xml:space="preserve">C,I</t>
  </si>
  <si>
    <t xml:space="preserve">BLR-Bommanahalli</t>
  </si>
  <si>
    <t xml:space="preserve">Stock from Mathikere was not dispatched as per the SOP; the major bucket is from STO putaway due. DHM is validating the stores, and the stock will be recovered by EOD today.</t>
  </si>
  <si>
    <t xml:space="preserve">R,Q</t>
  </si>
  <si>
    <t xml:space="preserve">BLR-Electronic city network</t>
  </si>
  <si>
    <t xml:space="preserve">Due to a wrong putaway issue in the frozen section, most SKUs are stacked in deep bins. Blind spots in the milk room have led to identified munching of chocolates, ice cream and chips. Squad has been deployed for recovery in high-FC aisles.</t>
  </si>
  <si>
    <t xml:space="preserve">BLR-Sattava East</t>
  </si>
  <si>
    <t xml:space="preserve">The W2W audit is currently in progress. Excess stock has been identified at the store and is being reviewed as part of the ongoing audit to identify the root cause and the required corrective actions.</t>
  </si>
  <si>
    <t xml:space="preserve">H,B</t>
  </si>
  <si>
    <t xml:space="preserve">BLR-Kadarenahalli</t>
  </si>
  <si>
    <t xml:space="preserve">DHM adherence and monitoring issue. Recirculation stock was picked and sent to the MH without being dispatched in the system; due to this, the recirculation was cancelled and the same loss is reflecting in shrinkage.</t>
  </si>
  <si>
    <t xml:space="preserve">C,H</t>
  </si>
  <si>
    <t xml:space="preserve">BLR-Marathahalli-3</t>
  </si>
  <si>
    <t xml:space="preserve">* Total IH loss is ₹42.8K, mainly from Adjustment ₹23.7K, FCC bin ₹12.6K and Shortpick ₹5.7K.
 * SKU-level net is a gain of ₹138, under 10% of IH loss, so the gap is not category driven and sits in FCC bin.
 * Theft-prone SKUs show net loss of ₹8.8K, led by whey ₹8.7K, cigars ₹71 and perfumes ₹64.
 * Aisles C and H hold ₹36.0K, 63% of bin-level loss.</t>
  </si>
  <si>
    <t xml:space="preserve">H,C</t>
  </si>
  <si>
    <t xml:space="preserve">BLR-Jakkur Network</t>
  </si>
  <si>
    <t xml:space="preserve">* Total IH loss is ₹42.8K, mainly from Adjustment ₹29.7K and FCC bin ₹9.3K.
 * Top loss categories: Atta, Rice, Oil &amp; Dals ₹7.2K (16%), Fresh Vegetables (Fruits &amp; Vegetables) ₹6.3K (14%), Muesli &amp; Oats (Breakfast &amp; Sauces) ₹5.4K (12%), Munchies ₹4.3K (10%), Cold Drinks &amp; Juices ₹4.1K (9%). Share is of ₹44.0K net loss across loss-making categories.
 * Loss is spread across 567 SKUs and the top 10 make 15% of SKU-level loss.
 * Theft-prone SKUs show net loss of ₹5.1K, led by dry fruits &amp; nuts ₹3.4K, whey ₹1.2K and pre-workout ₹386.
 * Aisles A and B hold ₹30.1K, 72% of bin-level loss.</t>
  </si>
  <si>
    <t xml:space="preserve">BLR-Thyagaraja Nagar</t>
  </si>
  <si>
    <t xml:space="preserve">Salary hold request – theft investigation and recovery // BLR-Thyagaraja Nagar // &amp; Stock adjustment request – theft case // BLR-Thyagaraja Nagar.</t>
  </si>
  <si>
    <t xml:space="preserve">18000+30000=48000</t>
  </si>
  <si>
    <t xml:space="preserve">Store mass theft involvement identified. **SLP investigation has been completed, and the IR is pending.**</t>
  </si>
  <si>
    <t xml:space="preserve">Nil</t>
  </si>
  <si>
    <t xml:space="preserve">E,I</t>
  </si>
  <si>
    <t xml:space="preserve">BLR-VIJAY NAGAR</t>
  </si>
  <si>
    <t xml:space="preserve">Assortment and capacity have been breached by more than 100%. Floor handover is not being done properly, and stock-fall cases are high due to the mini store. There is also a DHM and SI monitoring gap. The store had a CCA delta; 3 CCAs have now been hired.</t>
  </si>
  <si>
    <t xml:space="preserve">O,D</t>
  </si>
  <si>
    <t xml:space="preserve">BLR-Nikoo Home New</t>
  </si>
  <si>
    <t xml:space="preserve">₹6K recovered by SLP from the packer.</t>
  </si>
  <si>
    <t xml:space="preserve">Putaway error by LC1 IBAs in the freezer. The freezer audit has been completed today: 4 HV crates are available in the store and are being added back to inventory, plus a ₹6K theft case.</t>
  </si>
  <si>
    <t xml:space="preserve">F,H</t>
  </si>
  <si>
    <t xml:space="preserve">BLR-Kogilu Road</t>
  </si>
  <si>
    <t xml:space="preserve">Chiller and freezer audit has been closed; 8 crates are available. 2 CCAs have been aligned, and stock is being added back to inventory today.</t>
  </si>
  <si>
    <t xml:space="preserve">BLR-INDIRANAGAR NEW</t>
  </si>
  <si>
    <t xml:space="preserve">F&amp;V adjustment appears high in FnV, done by QA without DHM knowledge; 2 QA associates have been removed. A permanent squad has been deployed along with CCAs for recovery through CC.</t>
  </si>
  <si>
    <t xml:space="preserve">J,M</t>
  </si>
  <si>
    <t xml:space="preserve">BLR-CV RAMAN NAGAR NEW</t>
  </si>
  <si>
    <t xml:space="preserve">* Total IH loss is ₹40.1K, mainly from Adjustment ₹14.0K, FCC bin ₹11.6K and PO cancel ₹9.9K.
 * Top loss categories: Fruits &amp; Vegetables ₹15.0K (41%), Batters &amp; Mixes (Dairy, Bread &amp; Eggs) ₹4.8K (13%), Atta (Atta, Rice, Oil &amp; Dals) ₹3.9K (11%), Chocolates (Sweet Cravings) ₹2.2K (6%), Cold Drinks &amp; Juices ₹1.6K (4%). Share is of ₹36.2K net loss across loss-making categories.
 * Loss is spread across 531 SKUs and the top 10 make 22% of SKU-level loss.
 * Theft-prone SKUs show net loss of ₹5.7K, led by gift cards ₹3.3K, dry fruits &amp; nuts ₹1.3K and creatine ₹520.
 * Aisles G and H hold ₹19.9K, 55% of bin-level loss.</t>
  </si>
  <si>
    <t xml:space="preserve">G,H</t>
  </si>
  <si>
    <t xml:space="preserve">BLR-Jakkur New</t>
  </si>
  <si>
    <t xml:space="preserve">* Total IH loss is ₹39.9K, mainly from Adjustment ₹19.6K and FCC bin ₹18.3K.
 * Top loss categories: Ice Creams &amp; More ₹8.1K (19%), Chocolates (Sweet Cravings) ₹6.8K (16%), Cold Drinks &amp; Juices ₹6.0K (14%), Cheese (Dairy, Bread &amp; Eggs) ₹4.8K (12%), Energy Bars (Munchies) ₹2.2K (5%). Share is of ₹41.9K net loss across loss-making categories.
 * Loss is spread across 743 SKUs and the top 10 make 11% of SKU-level loss.
 * Aisles M and L hold ₹21.5K, 54% of bin-level loss.</t>
  </si>
  <si>
    <t xml:space="preserve">L,K</t>
  </si>
  <si>
    <t xml:space="preserve">BLR-Kannamangala</t>
  </si>
  <si>
    <t xml:space="preserve">SBC is currently in progress, with the team working towards completing the pending bins. The store is also operating with a 3-MP manpower gap, which is impacting operational execution.</t>
  </si>
  <si>
    <t xml:space="preserve">O,H</t>
  </si>
  <si>
    <t xml:space="preserve">BLR-HSR-2</t>
  </si>
  <si>
    <t xml:space="preserve">* Total IH loss is ₹39.4K, mainly from Adjustment ₹22.0K, FCC bin ₹12.1K and Shortpick ₹5.4K.
 * Top loss categories: Ice Creams &amp; More ₹14.4K (40%), Munchies ₹6.3K (17%), Cheese (Dairy, Bread &amp; Eggs) ₹4.5K (13%), Dry Fruits &amp; Nuts (Masala, Dry Fruits &amp; More) ₹2.5K (7%), Cold Drinks &amp; Juices ₹2.1K (6%). Share is of ₹36.2K net loss across loss-making categories.
 * Loss is spread across 618 SKUs and the top 10 make 15% of SKU-level loss.
 * Theft-prone SKUs show net loss of ₹3.7K, led by dry fruits &amp; nuts ₹3.3K and premium chocolates ₹389.
 * Aisles L and H hold ₹23.0K, 66% of bin-level loss.</t>
  </si>
  <si>
    <t xml:space="preserve">BLR-Kothnur New</t>
  </si>
  <si>
    <t xml:space="preserve">Due to the ATA mode conversion of CC, we are unable to get access to add back; an SI has been deployed to recover the losses.</t>
  </si>
  <si>
    <t xml:space="preserve">BLR-Marathalli SS</t>
  </si>
  <si>
    <t xml:space="preserve">Putaway issue due to aisle congestion; CCA is checking aisles '1' and 'M' to recover the stock.</t>
  </si>
  <si>
    <t xml:space="preserve">I,M</t>
  </si>
  <si>
    <t xml:space="preserve">BLR-Dasarahalli</t>
  </si>
  <si>
    <t xml:space="preserve">* Total IH loss is ₹37.2K, mainly from FCC bin ₹28.6K and Adjustment ₹7.4K.
 * Majority impact is from FCC bin of ₹28.6K. Excluding this, the store is ₹8.5K in loss.
 * Top loss categories: Chips &amp; Crisps (Munchies) ₹12.4K (29%), Oil (Atta, Rice, Oil &amp; Dals) ₹6.0K (14%), Whey Protein (Protein &amp; Nutrition) ₹5.6K (13%), Biscuits ₹3.5K (8%), Fruits &amp; Vegetables ₹3.5K (8%). Share is of ₹42.5K net loss across loss-making categories.
 * Loss is spread across 929 SKUs and the top 10 make 12% of SKU-level loss.
 * Theft-prone SKUs show net loss of ₹5.8K, led by whey ₹3.7K, creatine ₹781 and pen drives ₹542.
 * Aisles A and C hold ₹33.6K, 81% of bin-level loss.</t>
  </si>
  <si>
    <t xml:space="preserve">A,C</t>
  </si>
  <si>
    <t xml:space="preserve">BLR-Manjunatha layout</t>
  </si>
  <si>
    <t xml:space="preserve">* Total IH loss is ₹37.1K, mainly from Adjustment ₹15.3K, FCC bin ₹12.4K and STO short receipt ₹7.0K.
 * Top loss categories: Dairy, Bread &amp; Eggs ₹19.3K (37%), Munchies ₹7.9K (15%), Sweet Cravings ₹4.7K (9%), Packaged Food ₹3.8K (7%), Cold Drinks &amp; Juices ₹3.5K (7%). Share is of ₹52.5K net loss across loss-making categories.
 * Loss is spread across 806 SKUs and the top 10 make 14% of SKU-level loss.
 * Theft-prone SKUs show net loss of ₹3.3K, led by trimmers ₹2.8K, premium chocolates ₹436 and deos ₹83.
 * Aisles B and H hold ₹19.9K, 56% of bin-level loss.</t>
  </si>
  <si>
    <t xml:space="preserve">BLR-BHADRAPPA LAYOUT NETWORK</t>
  </si>
  <si>
    <t xml:space="preserve">* Total IH loss is ₹34.9K, mainly from FCC bin ₹36.1K, RTO loss ₹13.1K and Shortpick ₹5.2K.
 * Majority impact is from FCC bin of ₹36.1K. Excluding this, the store is ₹1.1K positive.
 * Adjustment is a gain of ₹24.5K, which offsets part of the loss in other buckets.
 * SKU-level net is a gain of ₹19.0K, under 10% of IH loss, so the gap is not category driven and sits in FCC bin.
 * Aisles E and M hold ₹9.3K, 51% of bin-level loss.</t>
  </si>
  <si>
    <t xml:space="preserve">E,F</t>
  </si>
  <si>
    <t xml:space="preserve">BLR-JP Nagar New</t>
  </si>
  <si>
    <t xml:space="preserve">* Total IH loss is ₹33.4K, mainly from FCC bin ₹33.9K.
 * Majority impact is from FCC bin of ₹33.9K. Excluding this, the store is ₹508 positive.
 * Adjustment is a gain of ₹2.9K, which offsets part of the loss in other buckets.
 * Top loss categories: Chips &amp; Crisps (Munchies) ₹10.1K (27%), Chicken (Meats, Fish &amp; Eggs) ₹9.3K (25%), Dairy, Bread &amp; Eggs ₹7.3K (19%), Dry Fruits &amp; Nuts (Masala, Dry Fruits &amp; More) ₹3.1K (8%), Fruit Juices &amp; Drinks (Cold Drinks &amp; Juices) ₹1.7K (4%). Share is of ₹37.6K net loss across loss-making categories.
 * Loss is spread across 708 SKUs and the top 10 make 18% of SKU-level loss.
 * Theft-prone SKUs show net loss of ₹3.4K, led by dry fruits &amp; nuts ₹3.4K.</t>
  </si>
  <si>
    <t xml:space="preserve">B,O</t>
  </si>
  <si>
    <t xml:space="preserve">BLR-Nehru Nagar</t>
  </si>
  <si>
    <t xml:space="preserve">The W2W audit is currently in progress, and excess stock has been identified at the store.
This month, the DRY vehicle shift was changed from night to day. Since the first day of the change, PP has been continuously piling up. Additionally, there is a Shift In-Charge delta of 1, resulting in the DHM handling one shift. Due to this manpower constraint, the team was not deployed for stock recovery.
Currently, there is no backdated putaway pending. However, one Central Bin Movement task was assigned by the Planning team today. The team will close all pending work today, and the remaining stock recovery is targeted for completion by the 10th.</t>
  </si>
  <si>
    <t xml:space="preserve">I,H</t>
  </si>
  <si>
    <t xml:space="preserve">BLR-BELLANDUR-4</t>
  </si>
  <si>
    <t xml:space="preserve">* Total IH loss is ₹32.6K, mainly from Adjustment ₹21.3K and FCC bin ₹9.5K.
 * Top loss categories: Dairy, Bread &amp; Eggs ₹6.7K (34%), Atta, Rice, Oil &amp; Dals ₹3.2K (16%), Fruit Juices &amp; Drinks (Cold Drinks &amp; Juices) ₹2.0K (10%), Biscuits ₹1.9K (10%), Munchies ₹1.7K (9%). Share is of ₹19.6K net loss across loss-making categories.
 * Loss is spread across 450 SKUs and the top 10 make 18% of SKU-level loss.
 * Aisles A and H hold ₹16.1K, 70% of bin-level loss.</t>
  </si>
  <si>
    <t xml:space="preserve">H,F</t>
  </si>
  <si>
    <t xml:space="preserve">BLR-Kamakshipalya</t>
  </si>
  <si>
    <t xml:space="preserve">Wrong putaway by LC1 IBAs. 2 CCAs have been deployed in high-FC aisles for recovery.</t>
  </si>
  <si>
    <t xml:space="preserve">Q,G</t>
  </si>
  <si>
    <t xml:space="preserve">BLR-RAMAMURTHY NAGAR NEW</t>
  </si>
  <si>
    <t xml:space="preserve">* Total IH loss is ₹31.5K, mainly from Adjustment ₹14.3K, FCC bin ₹9.7K and Shortpick ₹6.6K.
 * Top loss categories: Atta, Rice, Oil &amp; Dals ₹9.9K (28%), Frozen Food ₹5.0K (14%), Ice Creams &amp; More ₹4.7K (13%), Cold Drinks &amp; Juices ₹4.6K (13%), Cleaning Essentials ₹2.7K (8%). Share is of ₹35.2K net loss across loss-making categories.
 * Loss is spread across 602 SKUs and the top 10 make 13% of SKU-level loss.
 * Theft-prone SKUs show net loss of ₹2.0K, led by premium chocolates ₹2.0K.
 * Aisles I and F hold ₹22.1K, 75% of bin-level loss.</t>
  </si>
  <si>
    <t xml:space="preserve">I,F</t>
  </si>
  <si>
    <t xml:space="preserve">BLR-Bellandur 6</t>
  </si>
  <si>
    <t xml:space="preserve">Bin movement is currently in progress. Once it is completed, the team will initiate 100% loss recovery and close all identified gaps on priority.</t>
  </si>
  <si>
    <t xml:space="preserve">D,J</t>
  </si>
  <si>
    <t xml:space="preserve">BLR-Sanjaynagar</t>
  </si>
  <si>
    <t xml:space="preserve">Assortment and capacity have been breached by more than 100%, and floor handover is not being done properly. There has been a 2-SI delta for the last 20 days and also a 1-CCA delta; due to this MP issue, the DHM has not been able to work on shrinkage recovery.
All deltas were closed 2 days ago, and both the SIs and packers are now under training. We will add squad support and recover the losses.</t>
  </si>
  <si>
    <t xml:space="preserve">I,E</t>
  </si>
  <si>
    <t xml:space="preserve">BLR-Richmond Town Network</t>
  </si>
  <si>
    <t xml:space="preserve">* Total IH loss is ₹30.0K, mainly from Adjustment ₹23.2K and FCC bin ₹6.0K.
 * Top loss categories: Dairy, Bread &amp; Eggs ₹5.4K (28%), Ice Creams &amp; More ₹2.5K (13%), Floor &amp; Surface Cleaners (Cleaning Essentials) ₹2.5K (13%), Energy Drink (Cold Drinks &amp; Juices) ₹1.9K (10%), Muesli &amp; Oats (Breakfast &amp; Sauces) ₹1.3K (7%). Share is of ₹19.4K net loss across loss-making categories.
 * Loss is spread across 438 SKUs and the top 10 make 16% of SKU-level loss.
 * Theft-prone SKUs show net loss of ₹2.9K, led by dry fruits &amp; nuts ₹1.8K, cigarettes ₹941 and premium chocolates ₹96.
 * Aisles K and L hold ₹7.7K, 57% of bin-level loss.</t>
  </si>
  <si>
    <t xml:space="preserve">D,H</t>
  </si>
  <si>
    <t xml:space="preserve">BLR-Hope Farm New</t>
  </si>
  <si>
    <t xml:space="preserve">Recurring DHM behavioural and process-adherence issues have been observed at this store. The store is consistently reporting high-value negative adjustments every month, indicating a serious inventory-control concern.</t>
  </si>
  <si>
    <t xml:space="preserve">BLR-Bagalakunte</t>
  </si>
  <si>
    <t xml:space="preserve">C,L</t>
  </si>
  <si>
    <t xml:space="preserve">BLR-Dooravani Nagar SS</t>
  </si>
  <si>
    <t xml:space="preserve">F,D</t>
  </si>
  <si>
    <t xml:space="preserve">Hosur</t>
  </si>
  <si>
    <t xml:space="preserve">HOS-Hosur</t>
  </si>
  <si>
    <t xml:space="preserve">DHM is not available in the store. 10 crates of excess stock are available in dry; they are being added back to inventory and recovery will be done.</t>
  </si>
  <si>
    <t xml:space="preserve">B,L</t>
  </si>
  <si>
    <t xml:space="preserve">BLR-Garudachar Palya</t>
  </si>
  <si>
    <t xml:space="preserve">C,D</t>
  </si>
  <si>
    <t xml:space="preserve">BLR-Sarjapur New</t>
  </si>
  <si>
    <t xml:space="preserve">BLR-BASAVANAPURA</t>
  </si>
  <si>
    <t xml:space="preserve">G,F</t>
  </si>
  <si>
    <t xml:space="preserve">BLR-CV Raman Nagar Network-2</t>
  </si>
  <si>
    <t xml:space="preserve">A,D</t>
  </si>
  <si>
    <t xml:space="preserve">BLR-Seegehalli</t>
  </si>
  <si>
    <t xml:space="preserve">BLR-HBR Layout</t>
  </si>
  <si>
    <t xml:space="preserve">J,B</t>
  </si>
  <si>
    <t xml:space="preserve">BLR-Hennur New</t>
  </si>
  <si>
    <t xml:space="preserve">Store closed – recirculation picking is in progress.</t>
  </si>
  <si>
    <t xml:space="preserve">BLR-HEBBAL NEW</t>
  </si>
  <si>
    <t xml:space="preserve">J,C</t>
  </si>
  <si>
    <t xml:space="preserve">BLR-Narayanapura Network</t>
  </si>
  <si>
    <t xml:space="preserve">Wrong SBC by CCAs in Aisle D led to a ₹10K negative adjustment. 2 CCAs will be assigned for recovery.</t>
  </si>
  <si>
    <t xml:space="preserve">F,B</t>
  </si>
  <si>
    <t xml:space="preserve">BLR-Arekere</t>
  </si>
  <si>
    <t xml:space="preserve">C,G</t>
  </si>
  <si>
    <t xml:space="preserve">BLR-Devanahalli</t>
  </si>
  <si>
    <t xml:space="preserve">Wrong adjustment of rice bags done by CCAs and putaway errors by LC1 IBAs. 3 CCAs have been deployed for recovery.</t>
  </si>
  <si>
    <t xml:space="preserve">G,E</t>
  </si>
  <si>
    <t xml:space="preserve">BLR-Jayanagar 9th block</t>
  </si>
  <si>
    <t xml:space="preserve">CC and squad have been deployed for **planogram setup and W2W activities**.</t>
  </si>
  <si>
    <t xml:space="preserve">BLR-RWF Yelahanka</t>
  </si>
  <si>
    <t xml:space="preserve">DHM &amp; SI monitoring issue at the store: despite stock being available in primary bins, items were marked FC by packers. The DHM is serving the notice period.</t>
  </si>
  <si>
    <t xml:space="preserve">J,N</t>
  </si>
  <si>
    <t xml:space="preserve">BLR-Brookfield Network-2</t>
  </si>
  <si>
    <t xml:space="preserve">Wall-to-wall was planned with the squad and has been completed; recovery is still pending, and the squad has been assigned for recovery.</t>
  </si>
  <si>
    <t xml:space="preserve">21 k </t>
  </si>
  <si>
    <t xml:space="preserve">H,D</t>
  </si>
  <si>
    <t xml:space="preserve">Hubballi</t>
  </si>
  <si>
    <t xml:space="preserve">HBL-Keshwapura</t>
  </si>
  <si>
    <t xml:space="preserve">CCA was cross-deployed and there is a DH monitoring gap. A W2W audit is currently in progress, and Squad has now been deployed for recovery.</t>
  </si>
  <si>
    <t xml:space="preserve">B,A</t>
  </si>
  <si>
    <t xml:space="preserve">BLR-Brookfield Network</t>
  </si>
  <si>
    <t xml:space="preserve">K,E</t>
  </si>
  <si>
    <t xml:space="preserve">BLR-Bellandur-3</t>
  </si>
  <si>
    <t xml:space="preserve">BLR-BASAVANAPURA SS</t>
  </si>
  <si>
    <t xml:space="preserve">D,F</t>
  </si>
  <si>
    <t xml:space="preserve">Kochi</t>
  </si>
  <si>
    <t xml:space="preserve">KOC-Infopark</t>
  </si>
  <si>
    <t xml:space="preserve">F,A</t>
  </si>
  <si>
    <t xml:space="preserve">KOC-Kalamassery SS</t>
  </si>
  <si>
    <t xml:space="preserve">B,G</t>
  </si>
  <si>
    <t xml:space="preserve">BLR-JC Nagar</t>
  </si>
  <si>
    <t xml:space="preserve">BLR-Shivaji nagar New</t>
  </si>
  <si>
    <t xml:space="preserve">M,L</t>
  </si>
  <si>
    <t xml:space="preserve">BLR-Nehru Nagar SS</t>
  </si>
  <si>
    <t xml:space="preserve">A,ART</t>
  </si>
  <si>
    <t xml:space="preserve">BLR-Nikoo home SS</t>
  </si>
  <si>
    <t xml:space="preserve">O,F</t>
  </si>
  <si>
    <t xml:space="preserve">BLR-Avalahalli Main</t>
  </si>
  <si>
    <t xml:space="preserve">DHM monitoring gap identified, and the assigned DHM has absconded. The Banashankari DHM has been temporarily deployed to control and stabilize operations.</t>
  </si>
  <si>
    <t xml:space="preserve">BLR-Peenya New</t>
  </si>
  <si>
    <t xml:space="preserve">W2W audit in progress; recovery will be done once SBC is completed.</t>
  </si>
  <si>
    <t xml:space="preserve">K,J</t>
  </si>
  <si>
    <t xml:space="preserve">BLR-JAYANAGAR New</t>
  </si>
  <si>
    <t xml:space="preserve">RC wrong-shot picking was identified by the DHM, and the Add Excess process is currently in progress.</t>
  </si>
  <si>
    <t xml:space="preserve">N,C</t>
  </si>
  <si>
    <t xml:space="preserve">BLR-Sompura</t>
  </si>
  <si>
    <t xml:space="preserve">BLR-Banashankari New</t>
  </si>
  <si>
    <t xml:space="preserve">FCC apple-to-apple reconciliation done and ₹6K value identified.</t>
  </si>
  <si>
    <t xml:space="preserve">L,B</t>
  </si>
  <si>
    <t xml:space="preserve">BLR-Bagalur</t>
  </si>
  <si>
    <t xml:space="preserve">Wrong putaway, and products were placed in wrong bins during floor clearance. A W2W audit has been initiated along with recovery.</t>
  </si>
  <si>
    <t xml:space="preserve">C,E</t>
  </si>
  <si>
    <t xml:space="preserve">BLR-Singasandra SS</t>
  </si>
  <si>
    <t xml:space="preserve">D,R</t>
  </si>
  <si>
    <t xml:space="preserve">BLR-Singapura</t>
  </si>
  <si>
    <t xml:space="preserve">A,H</t>
  </si>
  <si>
    <t xml:space="preserve">KOC-Edappally</t>
  </si>
  <si>
    <t xml:space="preserve">A,F</t>
  </si>
  <si>
    <t xml:space="preserve">BLR-Marathahalli New</t>
  </si>
  <si>
    <t xml:space="preserve">W2W audit is in progress; stock will be recovered by EOD.</t>
  </si>
  <si>
    <t xml:space="preserve">B,I</t>
  </si>
  <si>
    <t xml:space="preserve">BLR-BTM Layout Network-3</t>
  </si>
  <si>
    <t xml:space="preserve">I,K</t>
  </si>
  <si>
    <t xml:space="preserve">BLR-Mico layout network-2</t>
  </si>
  <si>
    <t xml:space="preserve">F,K</t>
  </si>
  <si>
    <t xml:space="preserve">Belgavi</t>
  </si>
  <si>
    <t xml:space="preserve">BEL-Khanapur Road</t>
  </si>
  <si>
    <t xml:space="preserve">Putaway deviation; W2W audit is in progress, and the losses will be recovered.</t>
  </si>
  <si>
    <t xml:space="preserve">O,A</t>
  </si>
  <si>
    <t xml:space="preserve">BLR-Hennur Main</t>
  </si>
  <si>
    <t xml:space="preserve">K,I</t>
  </si>
  <si>
    <t xml:space="preserve">BLR-Chikkanagamangala</t>
  </si>
  <si>
    <t xml:space="preserve">SLP investigation is in progress.</t>
  </si>
  <si>
    <t xml:space="preserve">4 IBAs were involved in a theft case at the store (cigarettes and HV SKUs). SLP has asked the FR partner to hold their salaries.</t>
  </si>
  <si>
    <t xml:space="preserve">Q,A</t>
  </si>
  <si>
    <t xml:space="preserve">BLR-ITPL Layout</t>
  </si>
  <si>
    <t xml:space="preserve">BLR-Doddakannelli SS</t>
  </si>
  <si>
    <t xml:space="preserve">D,E</t>
  </si>
  <si>
    <t xml:space="preserve">KOC-Kalamassery</t>
  </si>
  <si>
    <t xml:space="preserve">B,D</t>
  </si>
  <si>
    <t xml:space="preserve">Mysuru</t>
  </si>
  <si>
    <t xml:space="preserve">MYQ-Chamundi Vihar</t>
  </si>
  <si>
    <t xml:space="preserve">E,K</t>
  </si>
  <si>
    <t xml:space="preserve">BLR-Kasturinagar New</t>
  </si>
  <si>
    <t xml:space="preserve">P,B</t>
  </si>
  <si>
    <t xml:space="preserve">BLR-Chandapura</t>
  </si>
  <si>
    <t xml:space="preserve">Freezer stock has been mixed up, and wrong adjustments happened in the store due to wrong putaway. SI has been deployed for recovery.</t>
  </si>
  <si>
    <t xml:space="preserve">M,C</t>
  </si>
  <si>
    <t xml:space="preserve">BLR-Electronic City New</t>
  </si>
  <si>
    <t xml:space="preserve">Wrong putaway by LC1 IBAs – ₹4K has been recovered today, and the remaining value will be recovered today. 3 CCAs have been deployed for recovery.</t>
  </si>
  <si>
    <t xml:space="preserve">J,F</t>
  </si>
  <si>
    <t xml:space="preserve">BLR-Marathahalli-4</t>
  </si>
  <si>
    <t xml:space="preserve">BLR-Bannerghatta SS</t>
  </si>
  <si>
    <t xml:space="preserve">N,M</t>
  </si>
  <si>
    <t xml:space="preserve">BLR-Tippenahalli</t>
  </si>
  <si>
    <t xml:space="preserve">BLR-Budigere Cross</t>
  </si>
  <si>
    <t xml:space="preserve">BLR-RK Hegde Nagar</t>
  </si>
  <si>
    <t xml:space="preserve">BLR-RAGHAVENDRA LAYOUT</t>
  </si>
  <si>
    <t xml:space="preserve">BLR-Hegganahalli</t>
  </si>
  <si>
    <t xml:space="preserve">J,H</t>
  </si>
  <si>
    <t xml:space="preserve">BLR-Doddathoguru</t>
  </si>
  <si>
    <t xml:space="preserve">F,E</t>
  </si>
  <si>
    <t xml:space="preserve">BLR-Kengeri</t>
  </si>
  <si>
    <t xml:space="preserve">There was a CCA delta at the store; 3 CCAs have now been hired and the W2W audit has started. Losses will be recovered.</t>
  </si>
  <si>
    <t xml:space="preserve">HBL-Vidhya Nagar</t>
  </si>
  <si>
    <t xml:space="preserve">W2W audit is in progress; stock will be recovered.</t>
  </si>
  <si>
    <t xml:space="preserve">L,C</t>
  </si>
  <si>
    <t xml:space="preserve">Coimbatore</t>
  </si>
  <si>
    <t xml:space="preserve">COI-Sai baba colony</t>
  </si>
  <si>
    <t xml:space="preserve">BLR-Yelenahalli</t>
  </si>
  <si>
    <t xml:space="preserve">BLR-Chamrajpet</t>
  </si>
  <si>
    <t xml:space="preserve">Putaway deviation, and the floor was not properly handed over to the next shift. Squad has been deployed today for recovery.</t>
  </si>
  <si>
    <t xml:space="preserve">C,K</t>
  </si>
  <si>
    <t xml:space="preserve">BLR-BELLANDUR - 2</t>
  </si>
  <si>
    <t xml:space="preserve">E,A</t>
  </si>
  <si>
    <t xml:space="preserve">BLR-BANNERGHATTA</t>
  </si>
  <si>
    <t xml:space="preserve">BLR-Pipeline road new</t>
  </si>
  <si>
    <t xml:space="preserve">I,L</t>
  </si>
  <si>
    <t xml:space="preserve">BLR-Doddanekundi</t>
  </si>
  <si>
    <t xml:space="preserve">P,S</t>
  </si>
  <si>
    <t xml:space="preserve">KOC-Thengod</t>
  </si>
  <si>
    <t xml:space="preserve">BLR-Cholayanakanalli</t>
  </si>
  <si>
    <t xml:space="preserve">P,O</t>
  </si>
  <si>
    <t xml:space="preserve">COI-Sundarapuram</t>
  </si>
  <si>
    <t xml:space="preserve">BLR-Bellandur new</t>
  </si>
  <si>
    <t xml:space="preserve">G,D</t>
  </si>
  <si>
    <t xml:space="preserve">BLR-Channasandra</t>
  </si>
  <si>
    <t xml:space="preserve">KOC-PALLURTHY</t>
  </si>
  <si>
    <t xml:space="preserve">H,K</t>
  </si>
  <si>
    <t xml:space="preserve">MYQ-Hudco</t>
  </si>
  <si>
    <t xml:space="preserve">H,N</t>
  </si>
  <si>
    <t xml:space="preserve">BLR-Anjanapura</t>
  </si>
  <si>
    <t xml:space="preserve">M,G</t>
  </si>
  <si>
    <t xml:space="preserve">BLR-Bellandur-5</t>
  </si>
  <si>
    <t xml:space="preserve">H,I</t>
  </si>
  <si>
    <t xml:space="preserve">BLR-RICHMOND TOWN</t>
  </si>
  <si>
    <t xml:space="preserve">G,L</t>
  </si>
  <si>
    <t xml:space="preserve">BLR-Marathahalli 2</t>
  </si>
  <si>
    <t xml:space="preserve">BLR-Peenya Network</t>
  </si>
  <si>
    <t xml:space="preserve">B,H</t>
  </si>
  <si>
    <t xml:space="preserve">Tumkuru</t>
  </si>
  <si>
    <t xml:space="preserve">TUM-SS Puram</t>
  </si>
  <si>
    <t xml:space="preserve">H,A</t>
  </si>
  <si>
    <t xml:space="preserve">BLR-Ullal</t>
  </si>
  <si>
    <t xml:space="preserve">W2W audit is in progress; losses will be recovered.</t>
  </si>
  <si>
    <t xml:space="preserve">M,K</t>
  </si>
  <si>
    <t xml:space="preserve">BLR-Sarjapur-2</t>
  </si>
  <si>
    <t xml:space="preserve">N,D</t>
  </si>
  <si>
    <t xml:space="preserve">BLR-HSR SS</t>
  </si>
  <si>
    <t xml:space="preserve">COI-Parashakti nagar</t>
  </si>
  <si>
    <t xml:space="preserve">BLR-Silver County</t>
  </si>
  <si>
    <t xml:space="preserve">D,A</t>
  </si>
  <si>
    <t xml:space="preserve">BLR-Bellandur SS</t>
  </si>
  <si>
    <t xml:space="preserve">BAT,H</t>
  </si>
  <si>
    <t xml:space="preserve">KOC-Fort</t>
  </si>
  <si>
    <t xml:space="preserve">Unknown,Q</t>
  </si>
  <si>
    <t xml:space="preserve">BLR-Golahalli</t>
  </si>
  <si>
    <t xml:space="preserve">BLR-HeadOffice-Cafe</t>
  </si>
  <si>
    <t xml:space="preserve">Unknown</t>
  </si>
  <si>
    <t xml:space="preserve">BLR-Silver County  SS</t>
  </si>
  <si>
    <t xml:space="preserve">K,H</t>
  </si>
  <si>
    <t xml:space="preserve">BLR-Electronic City SS</t>
  </si>
  <si>
    <t xml:space="preserve">U,N</t>
  </si>
  <si>
    <t xml:space="preserve">MYQ-Bogadi</t>
  </si>
  <si>
    <t xml:space="preserve">K,C</t>
  </si>
  <si>
    <t xml:space="preserve">MYQ-Kuvempu Nagar</t>
  </si>
  <si>
    <t xml:space="preserve">BLR-Nagondanahalli</t>
  </si>
  <si>
    <t xml:space="preserve">B,C</t>
  </si>
  <si>
    <t xml:space="preserve">BLR-BTM LAYOUT NEW</t>
  </si>
  <si>
    <t xml:space="preserve">BLR-BTM-2</t>
  </si>
  <si>
    <t xml:space="preserve">No Loss</t>
  </si>
  <si>
    <t xml:space="preserve">BLR-Vidyaranyapura</t>
  </si>
  <si>
    <t xml:space="preserve">BLR-Vidyaranyapura SS</t>
  </si>
  <si>
    <t xml:space="preserve">BLR-Koramangala Network</t>
  </si>
  <si>
    <t xml:space="preserve">BLR-Pipeline Road</t>
  </si>
  <si>
    <t xml:space="preserve">BLR-Nelmagala Town</t>
  </si>
  <si>
    <t xml:space="preserve">B,K</t>
  </si>
  <si>
    <t xml:space="preserve">BEL-Sector 12</t>
  </si>
  <si>
    <t xml:space="preserve">B,P</t>
  </si>
  <si>
    <t xml:space="preserve">BLR-Kasavanahalli</t>
  </si>
  <si>
    <t xml:space="preserve">BLR-Carmelaram</t>
  </si>
  <si>
    <t xml:space="preserve">Kozhikode</t>
  </si>
  <si>
    <t xml:space="preserve">KZD-Nadakkave</t>
  </si>
  <si>
    <t xml:space="preserve">BLR-Devasandra Extension</t>
  </si>
  <si>
    <t xml:space="preserve">G,B</t>
  </si>
  <si>
    <t xml:space="preserve">BLR-Bommasandra</t>
  </si>
  <si>
    <t xml:space="preserve">BLR-RR Nagar SS</t>
  </si>
  <si>
    <t xml:space="preserve">E,D</t>
  </si>
  <si>
    <t xml:space="preserve">BLR-Teachers colony</t>
  </si>
  <si>
    <t xml:space="preserve">P,G</t>
  </si>
  <si>
    <t xml:space="preserve">BLR-Hope Farm SS</t>
  </si>
  <si>
    <t xml:space="preserve">P09,P15</t>
  </si>
  <si>
    <t xml:space="preserve">BLR-Sattava East SS</t>
  </si>
  <si>
    <t xml:space="preserve">A,K</t>
  </si>
  <si>
    <t xml:space="preserve">BLR-Doomasandra</t>
  </si>
  <si>
    <t xml:space="preserve">COI-R S Puram</t>
  </si>
  <si>
    <t xml:space="preserve">BLR-Neo Town</t>
  </si>
  <si>
    <t xml:space="preserve">Unknown,1</t>
  </si>
  <si>
    <t xml:space="preserve">Davanagere</t>
  </si>
  <si>
    <t xml:space="preserve">DEV-MCC</t>
  </si>
  <si>
    <t xml:space="preserve">BLR-RR Nagar Network</t>
  </si>
  <si>
    <t xml:space="preserve">BLR-Yelahanka new town New</t>
  </si>
  <si>
    <t xml:space="preserve">BLR-BTM-3</t>
  </si>
  <si>
    <t xml:space="preserve">COI-Vadavalli 1</t>
  </si>
  <si>
    <t xml:space="preserve">DEV-Jayanagara</t>
  </si>
  <si>
    <t xml:space="preserve">D,L</t>
  </si>
  <si>
    <t xml:space="preserve">BLR-Yallapa Garden</t>
  </si>
  <si>
    <t xml:space="preserve">BLR-Banashankari Network</t>
  </si>
  <si>
    <t xml:space="preserve">BLR- Brookefield SS</t>
  </si>
  <si>
    <t xml:space="preserve">BLR-Eldorado</t>
  </si>
  <si>
    <t xml:space="preserve">New store – DHM &amp; SI will be initiating the recovery.</t>
  </si>
  <si>
    <t xml:space="preserve">BLR-Ramamurthy Nagar Network</t>
  </si>
  <si>
    <t xml:space="preserve">BLR-Nagdevanahalli</t>
  </si>
  <si>
    <t xml:space="preserve">M,F</t>
  </si>
  <si>
    <t xml:space="preserve">BLR-Yelahanka Network</t>
  </si>
  <si>
    <t xml:space="preserve">KOC-Thrippunithura</t>
  </si>
  <si>
    <t xml:space="preserve">BLR-Basavanapura Network</t>
  </si>
  <si>
    <t xml:space="preserve">BLR-CV Raman Nagar SS</t>
  </si>
  <si>
    <t xml:space="preserve">Q,E</t>
  </si>
  <si>
    <t xml:space="preserve">KOC-Vallathol Padi</t>
  </si>
  <si>
    <t xml:space="preserve">BLR-Nagavara</t>
  </si>
  <si>
    <t xml:space="preserve">Palakkad</t>
  </si>
  <si>
    <t xml:space="preserve">PAL-Pallipuram</t>
  </si>
  <si>
    <t xml:space="preserve">B,J</t>
  </si>
  <si>
    <t xml:space="preserve">BLR-Rajarajeshwari Nagar</t>
  </si>
  <si>
    <t xml:space="preserve">MYQ-Mahadevpura</t>
  </si>
  <si>
    <t xml:space="preserve">BLR-Bannerghatta Network</t>
  </si>
  <si>
    <t xml:space="preserve">BLR-Soukya</t>
  </si>
  <si>
    <t xml:space="preserve">J,D</t>
  </si>
  <si>
    <t xml:space="preserve">MYQ-Vani villas</t>
  </si>
  <si>
    <t xml:space="preserve">BLR-Kalyan Nagar Network</t>
  </si>
  <si>
    <t xml:space="preserve">COI-Peelamedu</t>
  </si>
  <si>
    <t xml:space="preserve">D,G</t>
  </si>
  <si>
    <t xml:space="preserve">BLR-Kumaraswamy Layout</t>
  </si>
  <si>
    <t xml:space="preserve">L,G</t>
  </si>
  <si>
    <t xml:space="preserve">KOC-Kaloor</t>
  </si>
  <si>
    <t xml:space="preserve">A,N</t>
  </si>
  <si>
    <t xml:space="preserve">BLR-KALYAN NAGAR NEW</t>
  </si>
  <si>
    <t xml:space="preserve">E,H</t>
  </si>
  <si>
    <t xml:space="preserve">BLR-SINGASANDRA NEW</t>
  </si>
  <si>
    <t xml:space="preserve">BLR-Magadi Road</t>
  </si>
  <si>
    <t xml:space="preserve">BLR-Electronic City Network-2</t>
  </si>
  <si>
    <t xml:space="preserve">C,A</t>
  </si>
  <si>
    <t xml:space="preserve">PAL-Kalpathy</t>
  </si>
  <si>
    <t xml:space="preserve">HBL-Saptapur</t>
  </si>
  <si>
    <t xml:space="preserve">BLR-Margosa road</t>
  </si>
  <si>
    <t xml:space="preserve">F,G</t>
  </si>
  <si>
    <t xml:space="preserve">BLR-YESHWANTPUR</t>
  </si>
  <si>
    <t xml:space="preserve">BLR- Sonnenahalli New</t>
  </si>
  <si>
    <t xml:space="preserve">BLR-Bidaraguppe</t>
  </si>
  <si>
    <t xml:space="preserve">I</t>
  </si>
  <si>
    <t xml:space="preserve">COI-Nehru Nagar</t>
  </si>
  <si>
    <t xml:space="preserve">A</t>
  </si>
  <si>
    <t xml:space="preserve">BLR-JP Nagar Network</t>
  </si>
  <si>
    <t xml:space="preserve">MYQ-Rajendra Nagar</t>
  </si>
  <si>
    <t xml:space="preserve">BLR-Belathur</t>
  </si>
  <si>
    <t xml:space="preserve">PAL-TKV Nagar</t>
  </si>
  <si>
    <t xml:space="preserve">F,C</t>
  </si>
  <si>
    <t xml:space="preserve">BLR-Kannika Nagar</t>
  </si>
  <si>
    <t xml:space="preserve">BLR-TC Palaya</t>
  </si>
  <si>
    <t xml:space="preserve">G,A</t>
  </si>
  <si>
    <t xml:space="preserve">BLR-Junnasandra</t>
  </si>
  <si>
    <t xml:space="preserve">COI-Race Course</t>
  </si>
  <si>
    <t xml:space="preserve">H,Q</t>
  </si>
  <si>
    <t xml:space="preserve">BLR-Malleshwaram new</t>
  </si>
  <si>
    <t xml:space="preserve">BLR-Kadarenahalli SS</t>
  </si>
  <si>
    <t xml:space="preserve">MC</t>
  </si>
  <si>
    <t xml:space="preserve">BLR-Kadugodi</t>
  </si>
  <si>
    <t xml:space="preserve">N,F</t>
  </si>
  <si>
    <t xml:space="preserve">BLR-RAGHAVENDRA LAYOUT NETWORK 2</t>
  </si>
  <si>
    <t xml:space="preserve">KOC-Kakkanad</t>
  </si>
  <si>
    <t xml:space="preserve">G,Q</t>
  </si>
  <si>
    <t xml:space="preserve">BLR-Chickpet New</t>
  </si>
  <si>
    <t xml:space="preserve">O,P</t>
  </si>
  <si>
    <t xml:space="preserve">KOC-Aluva</t>
  </si>
  <si>
    <t xml:space="preserve">F,O</t>
  </si>
  <si>
    <t xml:space="preserve">HBL-Gokul Road</t>
  </si>
  <si>
    <t xml:space="preserve">BLR-TMC Layout</t>
  </si>
  <si>
    <t xml:space="preserve">BLR-CV Raman Nagar Network</t>
  </si>
  <si>
    <t xml:space="preserve">COI-Ramnathapuram</t>
  </si>
  <si>
    <t xml:space="preserve">C,M</t>
  </si>
  <si>
    <t xml:space="preserve">BLR-HSR-Flower-Shop-1</t>
  </si>
  <si>
    <t xml:space="preserve">KOC-Friendship nagar</t>
  </si>
  <si>
    <t xml:space="preserve">BLR-JP Nagar SS</t>
  </si>
  <si>
    <t xml:space="preserve">O,N</t>
  </si>
  <si>
    <t xml:space="preserve">BLR-Abbigere</t>
  </si>
  <si>
    <t xml:space="preserve">H,1</t>
  </si>
  <si>
    <t xml:space="preserve">BLR-GUNJUR Network</t>
  </si>
  <si>
    <t xml:space="preserve">BLR-New Gurappanya Palya</t>
  </si>
  <si>
    <t xml:space="preserve">H,G</t>
  </si>
  <si>
    <t xml:space="preserve">BLR-Silicon Town</t>
  </si>
  <si>
    <t xml:space="preserve">J,I</t>
  </si>
  <si>
    <t xml:space="preserve">BLR-Varthur</t>
  </si>
  <si>
    <t xml:space="preserve">N,B</t>
  </si>
  <si>
    <t xml:space="preserve">BLR-Peenya SS</t>
  </si>
  <si>
    <t xml:space="preserve">BLR-Bannerghatta Network 2</t>
  </si>
  <si>
    <t xml:space="preserve">BLR-Iggalur</t>
  </si>
  <si>
    <t xml:space="preserve">MYQ-Vijayanagar</t>
  </si>
  <si>
    <t xml:space="preserve">BLR-Vijay Nagar SS</t>
  </si>
  <si>
    <t xml:space="preserve">P15,Q</t>
  </si>
  <si>
    <t xml:space="preserve">BLR-Mico Layout Network</t>
  </si>
  <si>
    <t xml:space="preserve">BLR-Malagala</t>
  </si>
  <si>
    <t xml:space="preserve">BLR-Chikkajala</t>
  </si>
  <si>
    <t xml:space="preserve">I,D</t>
  </si>
  <si>
    <t xml:space="preserve">BLR-Kambipura</t>
  </si>
  <si>
    <t xml:space="preserve">D,B</t>
  </si>
  <si>
    <t xml:space="preserve">BLR-JP Nagar Network-2</t>
  </si>
  <si>
    <t xml:space="preserve">MYQ-Chamrajpura</t>
  </si>
  <si>
    <t xml:space="preserve">L,I</t>
  </si>
  <si>
    <t xml:space="preserve">BLR-Whitefield New</t>
  </si>
  <si>
    <t xml:space="preserve">UU,I</t>
  </si>
  <si>
    <t xml:space="preserve">BLR-BTM-2 New</t>
  </si>
  <si>
    <t xml:space="preserve">BLR-BEML Layout</t>
  </si>
  <si>
    <t xml:space="preserve">C,1</t>
  </si>
  <si>
    <t xml:space="preserve">BLR-Sunrise Layout</t>
  </si>
  <si>
    <t xml:space="preserve">I,1</t>
  </si>
  <si>
    <t xml:space="preserve">BLR-27th Main Road</t>
  </si>
  <si>
    <t xml:space="preserve">BLR-Goraguntepalya</t>
  </si>
  <si>
    <t xml:space="preserve">1,H</t>
  </si>
  <si>
    <t xml:space="preserve">BLR-Singasandra Network</t>
  </si>
  <si>
    <t xml:space="preserve">BLR-Hadosiddapura</t>
  </si>
  <si>
    <t xml:space="preserve">BLR-Mathikere New</t>
  </si>
  <si>
    <t xml:space="preserve">BLR-Whitefield Network-2</t>
  </si>
  <si>
    <t xml:space="preserve">A,S</t>
  </si>
  <si>
    <t xml:space="preserve">COI-Singanallur</t>
  </si>
  <si>
    <t xml:space="preserve">BLR - Bhadrappa Layout</t>
  </si>
  <si>
    <t xml:space="preserve">S,1</t>
  </si>
  <si>
    <t xml:space="preserve">BLR-Gunjur New</t>
  </si>
  <si>
    <t xml:space="preserve">BLR-Michael Palaya</t>
  </si>
  <si>
    <t xml:space="preserve">BLR-Agrahara Road</t>
  </si>
  <si>
    <t xml:space="preserve">BLR-Aswath Nagar</t>
  </si>
  <si>
    <t xml:space="preserve">BLR-RAGHAVENDRA LAYOUT NETWORK</t>
  </si>
  <si>
    <t xml:space="preserve">BLR-Choodasandra</t>
  </si>
  <si>
    <t xml:space="preserve">1,F</t>
  </si>
  <si>
    <t xml:space="preserve">BLR-Attibele</t>
  </si>
  <si>
    <t xml:space="preserve">B</t>
  </si>
  <si>
    <t xml:space="preserve">BLR-Balagere SS</t>
  </si>
  <si>
    <t xml:space="preserve">CCA Deployed for recovery </t>
  </si>
  <si>
    <t xml:space="preserve">On Track</t>
  </si>
  <si>
    <t xml:space="preserve">The W2W audit is in progress. Assortment and capacity have breached more than 100%, due to which item fall-down cases are increasing and floor handover is not being done properly.  Sqaud deployed for recovery </t>
  </si>
  <si>
    <t xml:space="preserve">SBC in progress will be recovered by EOD</t>
  </si>
  <si>
    <t xml:space="preserve">High-Value Items on Hold Due to Bin Suggestion Issue &amp; Theft Incident – Immediate Action Required</t>
  </si>
  <si>
    <t xml:space="preserve">5k</t>
  </si>
  <si>
    <t xml:space="preserve">* Wrong putaway by LC1 IBAs.  (2 CCAs have been deployed in high-FC aisles for recovery.)
*theft  cases identified  (SLP investigation done recovery 5K)
*MP absent everyday 20 t0 30% ( discuss with FR partners and FR team for fixing the MP issue and mp stabilize)
*Bin suggestion issue for noon food sku  ( aligned Plano team taking follow up for closing this bin movement)</t>
  </si>
  <si>
    <t xml:space="preserve">SBC is still in progress, and the store team is focusing on W2W losses  recovered by the 11th.</t>
  </si>
  <si>
    <t xml:space="preserve">W2W audit is in progress and all losses will be recovered by the 11th.</t>
  </si>
  <si>
    <t xml:space="preserve">Squad deployed for recivery </t>
  </si>
  <si>
    <t xml:space="preserve">             * New lunch store 26kg 2 rice wrong inward done 
* mismatch sku added back to inventory
*  DHM given trainingto new join associate </t>
  </si>
  <si>
    <t xml:space="preserve">During recirulation picking 9k was been short picked will be recoved by 11th</t>
  </si>
  <si>
    <t xml:space="preserve">Recirculation stock was picked and sent to the MH without being dispatched in the system; due to this, the recirculation was cancelled and the same loss is reflecting in shrinkage &amp;all the products wiil be sending back to DH from the MH &amp; the same will be adding back to inventory.</t>
  </si>
  <si>
    <t xml:space="preserve">Assortment and capacity have been breached by more than 100%. Floor handover is not being done properly, and stock-fall cases are high due to the mini store. Squad deployed for recovery </t>
  </si>
  <si>
    <t xml:space="preserve">1,13,393</t>
  </si>
  <si>
    <t xml:space="preserve">BLR-Silver County SS</t>
  </si>
  <si>
    <t xml:space="preserve">store_name</t>
  </si>
  <si>
    <t xml:space="preserve">sub_store_type</t>
  </si>
  <si>
    <t xml:space="preserve">planogram_enabled_flag</t>
  </si>
  <si>
    <t xml:space="preserve">city_name</t>
  </si>
  <si>
    <t xml:space="preserve">Total Bins</t>
  </si>
  <si>
    <t xml:space="preserve">Target CC MTD</t>
  </si>
  <si>
    <t xml:space="preserve">CC MTD %</t>
  </si>
  <si>
    <t xml:space="preserve">BA MTD %</t>
  </si>
  <si>
    <t xml:space="preserve">IA MTD %</t>
  </si>
  <si>
    <t xml:space="preserve">CC ACC %</t>
  </si>
  <si>
    <t xml:space="preserve">CCA </t>
  </si>
  <si>
    <t xml:space="preserve">RCA &amp; POA</t>
  </si>
  <si>
    <t xml:space="preserve">ETA</t>
  </si>
  <si>
    <t xml:space="preserve">Yes</t>
  </si>
  <si>
    <t xml:space="preserve">Store has been closed.</t>
  </si>
  <si>
    <t xml:space="preserve">BLR-BROOKEFIELD</t>
  </si>
  <si>
    <t xml:space="preserve">No</t>
  </si>
  <si>
    <t xml:space="preserve">New store launched last month – no CCAs available.</t>
  </si>
  <si>
    <t xml:space="preserve">15th Oct</t>
  </si>
  <si>
    <t xml:space="preserve">SI &amp; CC delta. Deployed 3 CCs from other stores.</t>
  </si>
  <si>
    <t xml:space="preserve">Lowest-Performing Stores – Performance Action Plan</t>
  </si>
  <si>
    <t xml:space="preserve">Continuous MP absenteeism in the store: on Saturday, 4 and 5 were absent out of a total of 13 MP. Due to high putaway, unable to cross-deploy.</t>
  </si>
  <si>
    <t xml:space="preserve">14th</t>
  </si>
  <si>
    <t xml:space="preserve">Stock movement is currently ongoing; once the movement is closed, we will complete the full W2W.</t>
  </si>
  <si>
    <t xml:space="preserve">25th</t>
  </si>
  <si>
    <t xml:space="preserve">Store is recovering from an MP delta; a squad is currently deployed for the W2W audit.</t>
  </si>
  <si>
    <t xml:space="preserve">15th</t>
  </si>
  <si>
    <t xml:space="preserve">The store is recovering from a delta of 9 MP; the hiring issue has been raised with the HR team.</t>
  </si>
  <si>
    <t xml:space="preserve">Newly launched store; CC not nominated.</t>
  </si>
  <si>
    <t xml:space="preserve">CCAs have been converted to peak associates. SBC is system-generated through ATA.</t>
  </si>
  <si>
    <t xml:space="preserve">16th Oct</t>
  </si>
  <si>
    <t xml:space="preserve">CC delta. Deployed 2 CCs from different stores.</t>
  </si>
  <si>
    <t xml:space="preserve">CC associate delta in the store; the CC associate was absent due to illness. Squad support has been requested.</t>
  </si>
  <si>
    <t xml:space="preserve">2 CCAs – LC1 MP. One CCA has been removed from the job due to behavioural issues, and one more CCA will be hired from 9th October. The CCA will cover approximately 700 bins per day.</t>
  </si>
  <si>
    <t xml:space="preserve">1 CCA is on leave; 2 MP from the store team have been deployed to close the audit.</t>
  </si>
  <si>
    <t xml:space="preserve">CC delta. Deployed 2 CCs.</t>
  </si>
  <si>
    <t xml:space="preserve">1 CCA delta, and 1 CCA was on sick leave for 3 days. Conversion of 4 CCAs is done; targeting to complete 700 bins per day.</t>
  </si>
  <si>
    <t xml:space="preserve">13th Oct</t>
  </si>
  <si>
    <t xml:space="preserve">On track; will close by the 15th.</t>
  </si>
  <si>
    <t xml:space="preserve">2 CC associates are on leave and have not been reporting to the store for the past few days. 95% of CC will be completed by the 15th.</t>
  </si>
  <si>
    <t xml:space="preserve">15/10/2026</t>
  </si>
  <si>
    <t xml:space="preserve">Critical bin and ground floor audits have been initiated.</t>
  </si>
  <si>
    <t xml:space="preserve">20th Oct</t>
  </si>
  <si>
    <t xml:space="preserve">3 CCA delta. 1 CCA is on leave for 4 days due to exams. 4 CCAs have been hired and will report from 9th October; they will cover approximately 700 bins per day.</t>
  </si>
  <si>
    <t xml:space="preserve">Only one CC associate was available in the store, so squad support was requested.</t>
  </si>
  <si>
    <t xml:space="preserve">13th</t>
  </si>
  <si>
    <t xml:space="preserve">CC associate delta in the store for the past week; the DHM has given the nomination. Now covering 500 bins per day.</t>
  </si>
  <si>
    <t xml:space="preserve">2 CCAs are LC1 with low productivity; 2 associates will be deployed to cover 500 bins daily.</t>
  </si>
  <si>
    <t xml:space="preserve">CCAs were deployed for the chiller and freezer audit, which took 3 days to complete. 2 CC associates left the job on 5th Oct, resulting in a 2 CC delta at the store. A squad will be deployed to complete CC.</t>
  </si>
  <si>
    <t xml:space="preserve">2 CCAs not reporting due to health issues – SI and 2 CCAs will be deployed to cover 600 bins per day.</t>
  </si>
  <si>
    <t xml:space="preserve">CCAs were deployed for the chiller and freezer audit, which took 3 days to complete. 3 CCAs have now been deployed in Dry, targeting 1,200 bins per day.</t>
  </si>
  <si>
    <t xml:space="preserve">10th Oct</t>
  </si>
  <si>
    <t xml:space="preserve">1 CCA delta. 2 CCs and SI will be deployed, covering 600 bins per day.</t>
  </si>
  <si>
    <t xml:space="preserve">CCA was cross-deployed during high order flow; 2 CCAs will cover 750 bins per day.</t>
  </si>
  <si>
    <t xml:space="preserve">12th</t>
  </si>
  <si>
    <t xml:space="preserve">CCA was cross-deployed during high order flow. Squad will be deployed from 9th Oct, and CC will be completed before the 11th.</t>
  </si>
  <si>
    <t xml:space="preserve">11th</t>
  </si>
  <si>
    <t xml:space="preserve">1 CC was on unplanned leave for medical reasons. Squad support deployed; 500 bins per day.</t>
  </si>
  <si>
    <t xml:space="preserve">1 CCA at the store and one more CCA has been hired; 1,000 bins will be covered per day.</t>
  </si>
  <si>
    <t xml:space="preserve">New store launched last month; CC hiring is not yet done. Nomination has been given and will be closed by the 15th of this month.</t>
  </si>
  <si>
    <t xml:space="preserve">FR store manpower has still not been deployed for the CC associate role; deployment is in progress.</t>
  </si>
  <si>
    <t xml:space="preserve">2 CCA delta and 1 CCA on unplanned absenteeism; an inventory squad has been requested for the W2W audit. Overall, the store has a 17 MP delta.</t>
  </si>
  <si>
    <t xml:space="preserve">CCA was cross-deployed due to OB delta and high order flow. Squad (for one day) and 2 CCAs will be deployed, covering 800 bins per day.</t>
  </si>
  <si>
    <t xml:space="preserve">2 CCAs left the job by 1st Oct; 2 CCA conversions done – targeting completion of 500 bins per day.</t>
  </si>
  <si>
    <t xml:space="preserve">New store launched last month. A squad has been deployed for CC.</t>
  </si>
  <si>
    <t xml:space="preserve">1 CCA was cross-utilized due to non-availability of the SI and 1 CCA was on leave. 3 CCAs are now available and are being deployed to complete 600 bins per day.</t>
  </si>
  <si>
    <t xml:space="preserve">12th Oct</t>
  </si>
  <si>
    <t xml:space="preserve">CCA was cross-deployed during high order flow; 3 CCAs and an IBA will be deployed, and 800 bins per day will be covered.</t>
  </si>
  <si>
    <t xml:space="preserve">CCAs have been converted to peak associates. 2 CCAs were hired 2 days ago. Moving 2 CCAs from Aswath Nagar, and 3 MP will be deployed from the store, covering 1000 bins per day.</t>
  </si>
  <si>
    <t xml:space="preserve">1 CCA was on marriage leave for 4 days; only 2 were reporting, covering 600 bins daily.</t>
  </si>
  <si>
    <t xml:space="preserve">1 CC associate was on unplanned leave; planning to replace the associate. 600 bins being closed per day.</t>
  </si>
  <si>
    <t xml:space="preserve">17th Oct</t>
  </si>
  <si>
    <t xml:space="preserve">DHM adherence issue, and the DHM has resigned; SIs are not monitoring properly. Discussed with the CLM, and another store's DHM has been aligned for monitoring.</t>
  </si>
  <si>
    <t xml:space="preserve">1 CCA and a QCA left the job; 3 CCAs and an IBA will be deployed, and 1,000 bins per day will be covered.</t>
  </si>
  <si>
    <t xml:space="preserve">10th</t>
  </si>
  <si>
    <t xml:space="preserve">2 CCAs will be deployed, covering 1000 bins.</t>
  </si>
  <si>
    <t xml:space="preserve">CC associate was cross-deployed to a nearby store for shrinkage recovery; 1500 bins per day.</t>
  </si>
  <si>
    <t xml:space="preserve">2 CCAs absconding for the last 3 days – hiring today; 2 CCAs + DHM will be aligned for CC, covering 600 bins per day.</t>
  </si>
  <si>
    <t xml:space="preserve">Store is enabled with the ATA model for CCAs; SBC will be assigned to CCAs by default through the system.</t>
  </si>
  <si>
    <t xml:space="preserve">The old CC associate left the job on the 2nd of this month; 2 new CC associates have been deployed recently.</t>
  </si>
  <si>
    <t xml:space="preserve">2 CC associates have been absent for the last 2 days due to health issues, and the remaining CC was deployed to close all D2F and other ATA tasks, so it was missed from DH.</t>
  </si>
  <si>
    <t xml:space="preserve">Due to a bin suggestion issue and capacity breach, unable to meet the daily SBC target – recirculation and bin movement have been initiated. 4 CCAs have been deployed, covering 700 bins per day.</t>
  </si>
  <si>
    <t xml:space="preserve">CCA aligned for W2W audit.</t>
  </si>
  <si>
    <t xml:space="preserve">10 manpower delta; CC associates were cross-utilized for putaway and picking.</t>
  </si>
  <si>
    <t xml:space="preserve">13/10/2026</t>
  </si>
  <si>
    <t xml:space="preserve">Aisles A &amp; B have high commingling, with up to 8 SKUs and high quantity. 4 CCAs have been deployed, covering 1000 bins per day.</t>
  </si>
  <si>
    <t xml:space="preserve">Out of 2 CC associates, one has been converted to ATA mode, due to which they were unable to achieve the target.</t>
  </si>
  <si>
    <t xml:space="preserve">Post salary, 6 manpower have left the job; FR has been informed to hire manpower. CC has been cross-utilized for putaway and picking.</t>
  </si>
  <si>
    <t xml:space="preserve">1 CCA on sick leave. Aligned SI and 1 CCA, targeting to close 600 bins per day.</t>
  </si>
  <si>
    <t xml:space="preserve">DHM adherence issue, and the DHM has resigned; a squad has been deployed to complete the CC.</t>
  </si>
  <si>
    <t xml:space="preserve">1 CC associate delta; CCAs were deployed for the chiller and freezer audit, which took 2 days, and the ATA task D2F is creating high quantities.</t>
  </si>
  <si>
    <t xml:space="preserve">IBA ID issue led to D-1 PP and cross-utilization of CCAs. 2 CCAs deployed from today, covering 600 bins per day.</t>
  </si>
  <si>
    <t xml:space="preserve">11th Oct</t>
  </si>
  <si>
    <t xml:space="preserve">W2W audit is in progress; due to CC absenteeism, we are unable to achieve the target.</t>
  </si>
  <si>
    <t xml:space="preserve">Out of 3 CC associates, one has been on leave for the last 5 days, due to which the team was unable to achieve the target. 1 squad has been deployed from today for the next 2 days.</t>
  </si>
  <si>
    <t xml:space="preserve">New manpower; due to this, productivity is low.</t>
  </si>
  <si>
    <t xml:space="preserve">CC associates' productivity is low due to freezer and chiller audits.</t>
  </si>
  <si>
    <t xml:space="preserve">Unable to achieve the target due to CC absenteeism.</t>
  </si>
  <si>
    <t xml:space="preserve">On track as per the daily SBC target.</t>
  </si>
  <si>
    <t xml:space="preserve">Due to a bin suggestion issue, we are unable to complete the putaway pendency; DH has choked due to this.</t>
  </si>
  <si>
    <t xml:space="preserve">On track.</t>
  </si>
  <si>
    <t xml:space="preserve">3 CCAs have been deployed to cover the pending bins in the next 2 days.</t>
  </si>
  <si>
    <t xml:space="preserve">3 CCAs are at LC1. A squad has been deployed for the W2W audit.</t>
  </si>
  <si>
    <t xml:space="preserve">2 CCAs have been deployed; 95% CC will be covered in the next 2 days.</t>
  </si>
  <si>
    <t xml:space="preserve">1 CCA + squad deployed to complete the pending bins.</t>
  </si>
  <si>
    <t xml:space="preserve">store closed</t>
  </si>
  <si>
    <t xml:space="preserve">NA</t>
  </si>
  <si>
    <t xml:space="preserve">new lunch store There no CCA deployed MP issue ( DHM aligned for CC nomination within 1days CC ll deployed for pending bin closure, Shift incharge deployd for empty bin SBC 1800bin)</t>
  </si>
  <si>
    <t xml:space="preserve">CCAs were deployed for the chiller and freezer audit, which took 3 days to complete. 
2 CC associates left the job on 5th Oct, resulting in a 2 CC delta at the store.( NEW CCA deployed they under training. )
deploying  squad for SBC and recovery next 2 days </t>
  </si>
  <si>
    <t xml:space="preserve">DHM and SI monitoring issue and 2LC1 cca (Dhm replacement done given 2days target to all shift incharge for closing w2w + squad  support)</t>
  </si>
  <si>
    <t xml:space="preserve">2 CC associates have been absent for the last 2 days due to health issues, and the remaining CC was deployed to close all D2F and other ATA tasks, so it was missed from DH.
5cc deployed For SBC closed per CC 350 bin per day within 2 days ll closed</t>
  </si>
  <si>
    <t xml:space="preserve">2 CCA delta ( Nomination given for movement cca)</t>
  </si>
  <si>
    <t xml:space="preserve">1 CCA delta ( Nomination given for movement cca)</t>
  </si>
  <si>
    <t xml:space="preserve">2 CCA not reporting store from last 4 days ( new CCA hired done under training)</t>
  </si>
  <si>
    <t xml:space="preserve">CCA was cross-deployed during high order flow due to MP shortage , target given 350 bin per day to cca</t>
  </si>
  <si>
    <t xml:space="preserve">As per ETA it ll closed</t>
  </si>
  <si>
    <t xml:space="preserve">Store Names</t>
  </si>
  <si>
    <t xml:space="preserve">CLM Updated</t>
  </si>
  <si>
    <t xml:space="preserve">New IM Mapping</t>
  </si>
  <si>
    <t xml:space="preserve">Saddam Hussain</t>
  </si>
  <si>
    <t xml:space="preserve">Un Mapped</t>
  </si>
  <si>
    <t xml:space="preserve">Sundaresh S</t>
  </si>
  <si>
    <t xml:space="preserve">Rizwan Ahmed</t>
  </si>
  <si>
    <t xml:space="preserve">Girish N</t>
  </si>
  <si>
    <t xml:space="preserve">Manjunatha V</t>
  </si>
  <si>
    <t xml:space="preserve">Keshav G</t>
  </si>
  <si>
    <t xml:space="preserve">BLR-GUNJUR</t>
  </si>
  <si>
    <t xml:space="preserve">Akshay P</t>
  </si>
  <si>
    <t xml:space="preserve">Srittam Dhal</t>
  </si>
  <si>
    <t xml:space="preserve">Manoj Kj</t>
  </si>
  <si>
    <t xml:space="preserve">Arun Raj</t>
  </si>
  <si>
    <t xml:space="preserve">Simon Manoharan</t>
  </si>
  <si>
    <t xml:space="preserve">Basil Scariya</t>
  </si>
  <si>
    <t xml:space="preserve">Prakash BS</t>
  </si>
  <si>
    <t xml:space="preserve">Raghavendra Vernekar</t>
  </si>
  <si>
    <t xml:space="preserve">BLR-KOTHNUR New</t>
  </si>
  <si>
    <t xml:space="preserve">Adhavan Subramani</t>
  </si>
  <si>
    <t xml:space="preserve">Mohammed Akbar</t>
  </si>
  <si>
    <t xml:space="preserve">Balaji G</t>
  </si>
  <si>
    <t xml:space="preserve">BLR-SINGASANDRA</t>
  </si>
  <si>
    <t xml:space="preserve">Mohaideen DH</t>
  </si>
  <si>
    <t xml:space="preserve">MH</t>
  </si>
  <si>
    <t xml:space="preserve">Bangareppa CS</t>
  </si>
  <si>
    <t xml:space="preserve">Kishor K</t>
  </si>
  <si>
    <t xml:space="preserve">Narasimhamurthy R</t>
  </si>
  <si>
    <t xml:space="preserve">Ravishankar gowda</t>
  </si>
  <si>
    <t xml:space="preserve">Majid Kakatikar</t>
  </si>
  <si>
    <t xml:space="preserve">Richard Harris</t>
  </si>
  <si>
    <t xml:space="preserve">Kantha Kumar</t>
  </si>
  <si>
    <t xml:space="preserve">Ashwath S</t>
  </si>
  <si>
    <t xml:space="preserve">Vijay M</t>
  </si>
  <si>
    <t xml:space="preserve">BLR-SHIVAJI NAGAR New</t>
  </si>
  <si>
    <t xml:space="preserve">BLR-Margosa Road</t>
  </si>
  <si>
    <t xml:space="preserve">Silambarasan E</t>
  </si>
  <si>
    <t xml:space="preserve">Arivind S</t>
  </si>
  <si>
    <t xml:space="preserve">Vishnu V</t>
  </si>
  <si>
    <t xml:space="preserve">Suhas N</t>
  </si>
  <si>
    <t xml:space="preserve">Aravind S</t>
  </si>
  <si>
    <t xml:space="preserve">John Britto</t>
  </si>
  <si>
    <t xml:space="preserve">Santhosha M</t>
  </si>
  <si>
    <t xml:space="preserve">BLR-BANASHANKARI New</t>
  </si>
  <si>
    <t xml:space="preserve">TIR-KPN Colony</t>
  </si>
  <si>
    <t xml:space="preserve">TIR-Thiru VK Nagar Road</t>
  </si>
  <si>
    <t xml:space="preserve">Row Labels</t>
  </si>
  <si>
    <t xml:space="preserve">c) 48-72 hr</t>
  </si>
  <si>
    <t xml:space="preserve">d) 72-96 hr</t>
  </si>
  <si>
    <t xml:space="preserve">e) &gt;96 hr</t>
  </si>
  <si>
    <t xml:space="preserve">Grand Total</t>
  </si>
  <si>
    <t xml:space="preserve">Store closed; picking in progress.</t>
  </si>
  <si>
    <t xml:space="preserve">Dispatching tomorrow – 9th Oct.</t>
  </si>
  <si>
    <t xml:space="preserve">Out of 445 qty, only 225 qty is pending, and this qty has been mapped to Milapura MH. A request has been raised to the central team to change the mapping; once the mapping is done, picking and dispatch will be completed.</t>
  </si>
  <si>
    <t xml:space="preserve">Pharma is pending; will be closed by 8th Oct.</t>
  </si>
  <si>
    <t xml:space="preserve">8th Oct</t>
  </si>
  <si>
    <t xml:space="preserve">All MH vehicles are on hold due to Balagere SS RTV.</t>
  </si>
  <si>
    <t xml:space="preserve">DHM monitoring issue.</t>
  </si>
  <si>
    <t xml:space="preserve">Store is currently moving RTV to the MH, and the last vehicle will carry the RSTO.</t>
  </si>
  <si>
    <t xml:space="preserve">Picking in progress; closing at 4 PM.</t>
  </si>
  <si>
    <t xml:space="preserve">Picking in progress; closing by 5 PM.</t>
  </si>
  <si>
    <t xml:space="preserve">240 qty aged more than 96 hours was in packed status with only dispatch pending; it will be closed today.</t>
  </si>
  <si>
    <t xml:space="preserve">DH miss; picking will be closed by 4:00 PM.</t>
  </si>
  <si>
    <t xml:space="preserve">Picking in progress; will be closed by EOD.</t>
  </si>
  <si>
    <t xml:space="preserve">Tech issue: unable to dispatch F&amp;V.</t>
  </si>
  <si>
    <t xml:space="preserve">Only ad hoc vehicles are being placed by the MH; we have requested a regular vehicle today.</t>
  </si>
  <si>
    <t xml:space="preserve">Tech issue: document generation failed.</t>
  </si>
  <si>
    <t xml:space="preserve">Packed.</t>
  </si>
  <si>
    <t xml:space="preserve">Packer assigned.</t>
  </si>
  <si>
    <t xml:space="preserve">Packed; dispatching today.</t>
  </si>
  <si>
    <t xml:space="preserve">Packed</t>
  </si>
  <si>
    <t xml:space="preserve">Dispatched</t>
  </si>
  <si>
    <t xml:space="preserve">DHM miss – picking in progress.</t>
  </si>
  <si>
    <t xml:space="preserve">Picking in progress; dispatching today.</t>
  </si>
  <si>
    <t xml:space="preserve">SI &amp; DHM monitoring gap; stock not dispatched even after multiple reminders.</t>
  </si>
  <si>
    <t xml:space="preserve">8th</t>
  </si>
  <si>
    <t xml:space="preserve">All dispatched.</t>
  </si>
  <si>
    <t xml:space="preserve">DH issues.</t>
  </si>
  <si>
    <t xml:space="preserve">Picking in progress.</t>
  </si>
  <si>
    <t xml:space="preserve">Pharma stock is pending and waiting for the vehicle.</t>
  </si>
  <si>
    <t xml:space="preserve">9th</t>
  </si>
  <si>
    <t xml:space="preserve">Cold vehicle did not report yesterday; stock will be dispatched today.</t>
  </si>
  <si>
    <t xml:space="preserve">Picking in progress – dispatching today.</t>
  </si>
  <si>
    <t xml:space="preserve">Cold stock is pending and was missed out by SI.</t>
  </si>
  <si>
    <t xml:space="preserve">closing store picking in progress </t>
  </si>
  <si>
    <t xml:space="preserve">DHM has been terminated due to monitiring issue &amp; SI has been aligned to clear the pendency by today EOD</t>
  </si>
  <si>
    <t xml:space="preserve">EOD</t>
  </si>
  <si>
    <t xml:space="preserve">lack of abseentism in the store evan SI also on time was not closed </t>
  </si>
  <si>
    <t xml:space="preserve">Si Delta in the store leading to this pendency and it was in in packed status </t>
  </si>
  <si>
    <t xml:space="preserve">DHM Monitering Gap</t>
  </si>
  <si>
    <t xml:space="preserve">MH tagging Issue </t>
  </si>
  <si>
    <t xml:space="preserve">All the qty has been picked &amp; will be connected to MH today.</t>
  </si>
  <si>
    <t xml:space="preserve">Cold stock is pedning due to DHM monitoring gap and remaing everything dispatched </t>
  </si>
  <si>
    <t xml:space="preserve">10TH</t>
  </si>
  <si>
    <t xml:space="preserve">Store has been closed</t>
  </si>
  <si>
    <t xml:space="preserve">SI Negligence </t>
  </si>
  <si>
    <t xml:space="preserve">10th </t>
  </si>
  <si>
    <t xml:space="preserve">in Todays vehical it will dispatched</t>
  </si>
  <si>
    <t xml:space="preserve">Today it will be closed </t>
  </si>
  <si>
    <t xml:space="preserve">DHM &amp; SI Negligence </t>
  </si>
  <si>
    <t xml:space="preserve">Pharma stock waiting for vehicle </t>
  </si>
  <si>
    <t xml:space="preserve">On track</t>
  </si>
  <si>
    <t xml:space="preserve">Tech iisue </t>
  </si>
  <si>
    <t xml:space="preserve">24-48 hrs</t>
  </si>
  <si>
    <t xml:space="preserve">48-72 hrs</t>
  </si>
  <si>
    <t xml:space="preserve">72-96 hrs</t>
  </si>
  <si>
    <t xml:space="preserve">&gt;96 hrs</t>
  </si>
  <si>
    <t xml:space="preserve">A2P</t>
  </si>
  <si>
    <t xml:space="preserve">P2D</t>
  </si>
  <si>
    <t xml:space="preserve">Store closed; 3K Qty connected today. Aligned 4 MP for picking, targeting to pick 3K Qty.</t>
  </si>
  <si>
    <t xml:space="preserve">All created recirculation will be dispatched to MH by the 11th.</t>
  </si>
  <si>
    <t xml:space="preserve">All RTV on hold as per central alignment due to Balagere SS closure.</t>
  </si>
  <si>
    <t xml:space="preserve">Store closure RTV will be closed by 15th Oct.</t>
  </si>
  <si>
    <t xml:space="preserve">72-hour bucket packed; 24–48-hour bucket picking is in progress.</t>
  </si>
  <si>
    <t xml:space="preserve">Picking in progress; will be closed by the 9th.</t>
  </si>
  <si>
    <t xml:space="preserve">Picking in progress – picking will be closed by 4 PM.</t>
  </si>
  <si>
    <t xml:space="preserve">Stock older than 72 hrs will be dispatched today, and today's created stock will be dispatched by tomorrow.</t>
  </si>
  <si>
    <t xml:space="preserve">24-hour bucket stock is pending.</t>
  </si>
  <si>
    <t xml:space="preserve">Picking in progress – closing by 10 PM.</t>
  </si>
  <si>
    <t xml:space="preserve">Dispatching tomorrow at 2:00 PM.</t>
  </si>
  <si>
    <t xml:space="preserve">Only backdated Pharma is pending, due to ad hoc vehicles dispatched by the MH.</t>
  </si>
  <si>
    <t xml:space="preserve">The 300 qty has been in packed status in the store for 2 days; the vehicle comes only once every 2 days.</t>
  </si>
  <si>
    <t xml:space="preserve">Dispatched, but still reflecting as pending in WMS due to a tech issue.</t>
  </si>
  <si>
    <t xml:space="preserve">Missed out by SI.</t>
  </si>
  <si>
    <t xml:space="preserve">1 qty of pharma is pending and waiting for the vehicle; 8 qty were missed out by SI.</t>
  </si>
  <si>
    <t xml:space="preserve">Missed by SI.</t>
  </si>
  <si>
    <t xml:space="preserve">Pharma stock; waiting for the vehicle.</t>
  </si>
  <si>
    <t xml:space="preserve">Due to Mp ansent and DHM monitoring gap - Today partial qty will be dispatched and Tomorrow remaning qty will dispatched</t>
  </si>
  <si>
    <t xml:space="preserve">till 8th date was packed and it will be dispached along with today vehicle </t>
  </si>
  <si>
    <t xml:space="preserve">10th oct</t>
  </si>
  <si>
    <t xml:space="preserve">Dispatchd </t>
  </si>
  <si>
    <t xml:space="preserve">Kochi ss store 2 days only veh will come today veh will come will disaptch today \</t>
  </si>
  <si>
    <t xml:space="preserve">Packed waiting for vehicle </t>
  </si>
  <si>
    <t xml:space="preserve">it was in the packed status woll dispatch todaty </t>
  </si>
  <si>
    <t xml:space="preserve">Picking in proggress it will be dispach by 5PM today </t>
  </si>
  <si>
    <t xml:space="preserve">9th oct</t>
  </si>
  <si>
    <t xml:space="preserve">Packed it will be dispach along with today vehicle </t>
  </si>
  <si>
    <t xml:space="preserve">Store was closed and this was created on 5th oct same has been infromed to center POC Raffic </t>
  </si>
  <si>
    <t xml:space="preserve">N/A</t>
  </si>
  <si>
    <t xml:space="preserve">Closed </t>
  </si>
  <si>
    <t xml:space="preserve">Phrama</t>
  </si>
  <si>
    <t xml:space="preserve">SI neglience</t>
  </si>
  <si>
    <t xml:space="preserve">DAMAGEBIN</t>
  </si>
  <si>
    <t xml:space="preserve">EXPIRYBIN</t>
  </si>
  <si>
    <t xml:space="preserve">QUALITYBIN</t>
  </si>
  <si>
    <t xml:space="preserve">REINVENTORY-DAMAGEBIN</t>
  </si>
  <si>
    <t xml:space="preserve">REINVENTORY-QUALITYBIN</t>
  </si>
  <si>
    <t xml:space="preserve">SCRAPBIN</t>
  </si>
  <si>
    <t xml:space="preserve">Created_last_24_hours</t>
  </si>
  <si>
    <t xml:space="preserve">Tech issue: the expiry bin cannot be closed and has been pending since Aug. Ticket ID: 703796.</t>
  </si>
  <si>
    <t xml:space="preserve">FnV expiry bin was pending in the store; the morning SI failed to complete it, and a warning has been given to the SI.</t>
  </si>
  <si>
    <t xml:space="preserve">Bad bins closed; RI bins will be cleared on a day-to-day basis.</t>
  </si>
  <si>
    <t xml:space="preserve">Closed.</t>
  </si>
  <si>
    <t xml:space="preserve">Tech issue; needs to be escalated.</t>
  </si>
  <si>
    <t xml:space="preserve">SI delta of 2 in the store; 4 associates delta.</t>
  </si>
  <si>
    <t xml:space="preserve">Scrap FnV was pending; closed now.</t>
  </si>
  <si>
    <t xml:space="preserve">DHM &amp; SI delta in store; 4 associates delta.</t>
  </si>
  <si>
    <t xml:space="preserve">Bad bins closed; RI bins were not closed yesterday due to an SI monitoring gap.</t>
  </si>
  <si>
    <t xml:space="preserve">Cleared.</t>
  </si>
  <si>
    <t xml:space="preserve">4 MP delta in the store and Night Shift SI performance issue.</t>
  </si>
  <si>
    <t xml:space="preserve">DHM is on leave; SI aligned for closure.</t>
  </si>
  <si>
    <t xml:space="preserve">Being cleared on a day-to-day basis (expiry pendency due to tech issue).</t>
  </si>
  <si>
    <t xml:space="preserve">Getting cleared on a day-to-day basis.</t>
  </si>
  <si>
    <t xml:space="preserve">DHM &amp; SI monitoring issue.</t>
  </si>
  <si>
    <t xml:space="preserve">Secondary sales need to be closed | COI-Singanallu.</t>
  </si>
  <si>
    <t xml:space="preserve">Tech issues</t>
  </si>
  <si>
    <t xml:space="preserve">RI bin stocks cleared; RSTO picking in progress.</t>
  </si>
  <si>
    <t xml:space="preserve">SI was receiving the stock due to unplanned leave of 3 IBAs.</t>
  </si>
  <si>
    <t xml:space="preserve">On track; dispatching on a daily basis.</t>
  </si>
  <si>
    <t xml:space="preserve">Picking in progress will be closed by 7pm </t>
  </si>
  <si>
    <t xml:space="preserve">7pm Today</t>
  </si>
  <si>
    <t xml:space="preserve">Fnv was pending to move to scrap now it was cleard cross checked </t>
  </si>
  <si>
    <t xml:space="preserve">Picking in progress DHM has been aligned </t>
  </si>
  <si>
    <t xml:space="preserve">Closed</t>
  </si>
  <si>
    <t xml:space="preserve">Tech issue </t>
  </si>
  <si>
    <t xml:space="preserve">DH has 7 delta aligned DHM to clear the pending bins.</t>
  </si>
  <si>
    <t xml:space="preserve">Picking in progress aligned DHM </t>
  </si>
  <si>
    <t xml:space="preserve">Picking in progress SI has been aligned </t>
  </si>
  <si>
    <t xml:space="preserve">Picking in progress &amp; dispacting in daily basis.</t>
  </si>
  <si>
    <t xml:space="preserve">Date </t>
  </si>
  <si>
    <t xml:space="preserve">Store</t>
  </si>
  <si>
    <t xml:space="preserve">Total PP</t>
  </si>
  <si>
    <t xml:space="preserve">0-8 Hrs</t>
  </si>
  <si>
    <t xml:space="preserve">8-16 Hrs</t>
  </si>
  <si>
    <t xml:space="preserve">16-24 Hrs</t>
  </si>
  <si>
    <t xml:space="preserve">24-36 Hrs</t>
  </si>
  <si>
    <t xml:space="preserve">36- 48 Hrs</t>
  </si>
  <si>
    <t xml:space="preserve">48+ Hrs</t>
  </si>
  <si>
    <t xml:space="preserve">Critical PP</t>
  </si>
  <si>
    <t xml:space="preserve">PP DS</t>
  </si>
  <si>
    <t xml:space="preserve">Issue Bucket</t>
  </si>
  <si>
    <t xml:space="preserve">Remarks</t>
  </si>
  <si>
    <t xml:space="preserve">MP Deployed and ETA</t>
  </si>
  <si>
    <t xml:space="preserve">MP Absent</t>
  </si>
  <si>
    <t xml:space="preserve">All DH associate IDs were changed from FR to DH; they will be changed back in the evening.</t>
  </si>
  <si>
    <t xml:space="preserve">No ID is available for doing the putaway.</t>
  </si>
  <si>
    <t xml:space="preserve">Manpower delta</t>
  </si>
  <si>
    <t xml:space="preserve">10 MP delta in the store, leading to the putaway pendency.</t>
  </si>
  <si>
    <t xml:space="preserve">3 MP - 10 PM</t>
  </si>
  <si>
    <t xml:space="preserve">MP absenteeism in the store: out of 7, only 4 MP have been reporting for the past 5 days.</t>
  </si>
  <si>
    <t xml:space="preserve">4 MP - 9 PM</t>
  </si>
  <si>
    <t xml:space="preserve">Tech Issue</t>
  </si>
  <si>
    <t xml:space="preserve">Issue with the priority LPNs of Jayanagar 9th Block.</t>
  </si>
  <si>
    <t xml:space="preserve">6 MP</t>
  </si>
  <si>
    <t xml:space="preserve">10 MP delta in the store, leading to putaway pendency.</t>
  </si>
  <si>
    <t xml:space="preserve">Squad 4 – 8 PM</t>
  </si>
  <si>
    <t xml:space="preserve">Productivity issue</t>
  </si>
  <si>
    <t xml:space="preserve">IB associate at LC1.</t>
  </si>
  <si>
    <t xml:space="preserve">High Inbound</t>
  </si>
  <si>
    <t xml:space="preserve">High inbound in the store leading to putaway pendency.</t>
  </si>
  <si>
    <t xml:space="preserve">3 MP - 5 PM</t>
  </si>
  <si>
    <t xml:space="preserve">Receiving &gt;14K Qty over the last week, including SS stock.</t>
  </si>
  <si>
    <t xml:space="preserve">11 MP – 7:00 PM</t>
  </si>
  <si>
    <t xml:space="preserve">3 MP delta in IB associates, leading to the pendency.</t>
  </si>
  <si>
    <t xml:space="preserve">MP planned 6, reported 3 (2:00 PM)</t>
  </si>
  <si>
    <t xml:space="preserve">High indent with 400 LPNs.</t>
  </si>
  <si>
    <t xml:space="preserve">4 MP - 6:00 PM</t>
  </si>
  <si>
    <t xml:space="preserve">Bin suggestion issue</t>
  </si>
  <si>
    <t xml:space="preserve">Re: Putaway Issue – Suggestion Not Reflecting at BLR-Thyagaraja Nagar</t>
  </si>
  <si>
    <t xml:space="preserve">7 MP</t>
  </si>
  <si>
    <t xml:space="preserve">Vehicle Delays</t>
  </si>
  <si>
    <t xml:space="preserve">Vehicle delay and 2 MP absent.</t>
  </si>
  <si>
    <t xml:space="preserve">Squad and IBA deployed; will be closed by 3 PM.</t>
  </si>
  <si>
    <t xml:space="preserve">Two days ago, one extra vehicle arrived with 250 LPNs, leading to putaway pendency.</t>
  </si>
  <si>
    <t xml:space="preserve">4 MP – 7 PM</t>
  </si>
  <si>
    <t xml:space="preserve">3 MP</t>
  </si>
  <si>
    <t xml:space="preserve">6 IBA delta in the store.</t>
  </si>
  <si>
    <t xml:space="preserve">4 MP - 5:00 PM</t>
  </si>
  <si>
    <t xml:space="preserve">Vehicle arrival delayed by 4 hrs.</t>
  </si>
  <si>
    <t xml:space="preserve">2 IBAs on unplanned leave + 4 IBA delta.</t>
  </si>
  <si>
    <t xml:space="preserve">3 MP – 6:00 PM</t>
  </si>
  <si>
    <t xml:space="preserve">5 MP</t>
  </si>
  <si>
    <t xml:space="preserve">5 IBAs deployed; putaway will be closed by 3 PM.</t>
  </si>
  <si>
    <t xml:space="preserve">2 IBAs on unplanned absenteeism.</t>
  </si>
  <si>
    <t xml:space="preserve">2 MP - 6:00 PM</t>
  </si>
  <si>
    <t xml:space="preserve">New store – high indent; squad has been deployed for PP closure.</t>
  </si>
  <si>
    <t xml:space="preserve">3 MP – 5:00 PM</t>
  </si>
  <si>
    <t xml:space="preserve">5 IBA delta.</t>
  </si>
  <si>
    <t xml:space="preserve">Squad of 5 MP deployed; will be closed by 3 PM.</t>
  </si>
  <si>
    <t xml:space="preserve">3 IBAs on unplanned absence.</t>
  </si>
  <si>
    <t xml:space="preserve">3 MP – 5:30 PM</t>
  </si>
  <si>
    <t xml:space="preserve">Chiller and freezer bin suggestion issue. 2 MP deployed to clear Dry.</t>
  </si>
  <si>
    <t xml:space="preserve">2 MP – 5:00 PM</t>
  </si>
  <si>
    <t xml:space="preserve">DH Miss</t>
  </si>
  <si>
    <t xml:space="preserve">2 MP – 5:30 PM</t>
  </si>
  <si>
    <t xml:space="preserve">Vehicle arrival delayed by 3 hrs.</t>
  </si>
  <si>
    <t xml:space="preserve">Shortage Validation</t>
  </si>
  <si>
    <t xml:space="preserve">1 MP – 6:00 PM</t>
  </si>
  <si>
    <t xml:space="preserve">Planned: 4, Reported: 1; 3 MP absent in the night shift.</t>
  </si>
  <si>
    <t xml:space="preserve">3 MP – 8:00 PM</t>
  </si>
  <si>
    <t xml:space="preserve">₹7K value unable to be moved due to shortage putaway; escalated to the central team.</t>
  </si>
  <si>
    <t xml:space="preserve">One LPN not received from MH – escalated to MH, and SLP is moving it to short putaway.</t>
  </si>
  <si>
    <t xml:space="preserve">1 MP – 5:00 PM</t>
  </si>
  <si>
    <t xml:space="preserve">Shortage validation</t>
  </si>
  <si>
    <t xml:space="preserve">1 MP</t>
  </si>
  <si>
    <t xml:space="preserve">Infromed FR team to close the gape by 12th </t>
  </si>
  <si>
    <t xml:space="preserve">3MP Deployed and by 7th this will be colesd </t>
  </si>
  <si>
    <t xml:space="preserve">As of now 300qty pending will close before 7PM </t>
  </si>
  <si>
    <t xml:space="preserve">2MP Deployed by 7PM his will be closed </t>
  </si>
  <si>
    <t xml:space="preserve">Critical PP Closed + 6 hours vehicle delayed </t>
  </si>
  <si>
    <t xml:space="preserve">4MP will be deployed by 11PM this will be close </t>
  </si>
  <si>
    <t xml:space="preserve">As of now 600qty pedning </t>
  </si>
  <si>
    <t xml:space="preserve">1MP By 7PM this will be closed </t>
  </si>
  <si>
    <t xml:space="preserve">Store Closed By MCD</t>
  </si>
  <si>
    <t xml:space="preserve">8 Manpower delay inclusding 5IBA </t>
  </si>
  <si>
    <t xml:space="preserve">2MP Deployed by 9PM this will be closed </t>
  </si>
  <si>
    <t xml:space="preserve">Store capacity breached highlated to centrel team to reduce the capacity and plan for recirculation </t>
  </si>
  <si>
    <t xml:space="preserve">2MP  deployed by 11PM this will be closed </t>
  </si>
  <si>
    <t xml:space="preserve">4 mp 6 was closed by the sq no ib associate is there is there for putaway </t>
  </si>
  <si>
    <t xml:space="preserve">4 MP</t>
  </si>
  <si>
    <t xml:space="preserve">as of now 43qty pending DHM validating the stocks </t>
  </si>
  <si>
    <t xml:space="preserve">MP ID Issue</t>
  </si>
  <si>
    <t xml:space="preserve">IB Acc conversion pending. Same completed </t>
  </si>
  <si>
    <t xml:space="preserve">high inbounb in the store extra 250 lpn was came mail was dropped </t>
  </si>
  <si>
    <t xml:space="preserve">4 mp 8 pm </t>
  </si>
  <si>
    <t xml:space="preserve">Re: N/A Issue facing @ Coi-Sundrapuram</t>
  </si>
  <si>
    <t xml:space="preserve">Shrinkage Total Inhouse</t>
  </si>
  <si>
    <t xml:space="preserve">Inv Hygiene CC MTD %</t>
  </si>
  <si>
    <t xml:space="preserve">Bad Bins Grand Total</t>
  </si>
  <si>
    <t xml:space="preserve">RSTO &gt;48hrs Grand Total Qty</t>
  </si>
  <si>
    <t xml:space="preserve">Recirculation &gt;24hrs Grand Total</t>
  </si>
  <si>
    <t xml:space="preserve">Pending Putaway Total PP</t>
  </si>
  <si>
    <t xml:space="preserve">Select Date ▼</t>
  </si>
</sst>
</file>

<file path=xl/styles.xml><?xml version="1.0" encoding="utf-8"?>
<styleSheet xmlns="http://schemas.openxmlformats.org/spreadsheetml/2006/main">
  <numFmts count="11">
    <numFmt numFmtId="164" formatCode="General"/>
    <numFmt numFmtId="165" formatCode="#,##0"/>
    <numFmt numFmtId="166" formatCode="d\ mmm"/>
    <numFmt numFmtId="167" formatCode="0%"/>
    <numFmt numFmtId="168" formatCode="m/d/yyyy"/>
    <numFmt numFmtId="169" formatCode="0"/>
    <numFmt numFmtId="170" formatCode="h:mm\ AM/PM"/>
    <numFmt numFmtId="171" formatCode="General"/>
    <numFmt numFmtId="172" formatCode="0.00%"/>
    <numFmt numFmtId="173" formatCode="#,##0;[RED]\(#,##0\);\-"/>
    <numFmt numFmtId="174" formatCode="dd\-mmm\-yyyy"/>
  </numFmts>
  <fonts count="20">
    <font>
      <sz val="10"/>
      <color rgb="FF000000"/>
      <name val="Arial"/>
      <family val="0"/>
      <charset val="1"/>
    </font>
    <font>
      <sz val="10"/>
      <name val="Arial"/>
      <family val="0"/>
    </font>
    <font>
      <sz val="10"/>
      <name val="Arial"/>
      <family val="0"/>
    </font>
    <font>
      <sz val="10"/>
      <name val="Arial"/>
      <family val="0"/>
    </font>
    <font>
      <b val="true"/>
      <sz val="11"/>
      <color theme="1"/>
      <name val="Poppins"/>
      <family val="0"/>
      <charset val="1"/>
    </font>
    <font>
      <b val="true"/>
      <sz val="11"/>
      <color rgb="FFFFFFFF"/>
      <name val="Poppins"/>
      <family val="0"/>
      <charset val="1"/>
    </font>
    <font>
      <sz val="11"/>
      <color theme="1"/>
      <name val="Poppins"/>
      <family val="0"/>
      <charset val="1"/>
    </font>
    <font>
      <sz val="11"/>
      <color rgb="FF000000"/>
      <name val="Poppins"/>
      <family val="0"/>
      <charset val="1"/>
    </font>
    <font>
      <sz val="11"/>
      <color theme="1"/>
      <name val="Arial"/>
      <family val="0"/>
      <charset val="1"/>
    </font>
    <font>
      <sz val="17"/>
      <color rgb="FF1F1F1F"/>
      <name val="&quot;Google Sans&quot;"/>
      <family val="0"/>
      <charset val="1"/>
    </font>
    <font>
      <b val="true"/>
      <sz val="11"/>
      <color rgb="FF000000"/>
      <name val="Poppins"/>
      <family val="0"/>
      <charset val="1"/>
    </font>
    <font>
      <b val="true"/>
      <sz val="9"/>
      <color theme="1"/>
      <name val="Arial"/>
      <family val="0"/>
      <charset val="1"/>
    </font>
    <font>
      <b val="true"/>
      <sz val="11"/>
      <color theme="1"/>
      <name val="Arial"/>
      <family val="0"/>
      <charset val="1"/>
    </font>
    <font>
      <sz val="11"/>
      <color theme="1"/>
      <name val="Aptos Narrow"/>
      <family val="0"/>
      <charset val="1"/>
    </font>
    <font>
      <sz val="11"/>
      <color theme="1"/>
      <name val="Calibri"/>
      <family val="0"/>
      <charset val="1"/>
    </font>
    <font>
      <b val="true"/>
      <sz val="10"/>
      <color theme="1"/>
      <name val="Poppins"/>
      <family val="0"/>
      <charset val="1"/>
    </font>
    <font>
      <sz val="10"/>
      <color theme="1"/>
      <name val="Poppins"/>
      <family val="0"/>
      <charset val="1"/>
    </font>
    <font>
      <sz val="11"/>
      <color rgb="FF000000"/>
      <name val="Calibri"/>
      <family val="0"/>
      <charset val="1"/>
    </font>
    <font>
      <b val="true"/>
      <sz val="10"/>
      <color rgb="FFFFFFFF"/>
      <name val="Poppins"/>
      <family val="0"/>
      <charset val="1"/>
    </font>
    <font>
      <b val="true"/>
      <sz val="12"/>
      <color rgb="FF000000"/>
      <name val="Poppins"/>
      <family val="0"/>
      <charset val="1"/>
    </font>
  </fonts>
  <fills count="14">
    <fill>
      <patternFill patternType="none"/>
    </fill>
    <fill>
      <patternFill patternType="gray125"/>
    </fill>
    <fill>
      <patternFill patternType="solid">
        <fgColor rgb="FF9FC5E8"/>
        <bgColor rgb="FF95B3D7"/>
      </patternFill>
    </fill>
    <fill>
      <patternFill patternType="solid">
        <fgColor rgb="FFEAD1DC"/>
        <bgColor rgb="FFF4CCCC"/>
      </patternFill>
    </fill>
    <fill>
      <patternFill patternType="solid">
        <fgColor rgb="FFD9D2E9"/>
        <bgColor rgb="FFEAD1DC"/>
      </patternFill>
    </fill>
    <fill>
      <patternFill patternType="solid">
        <fgColor rgb="FF741B47"/>
        <bgColor rgb="FF800080"/>
      </patternFill>
    </fill>
    <fill>
      <patternFill patternType="solid">
        <fgColor rgb="FFFFFFFF"/>
        <bgColor rgb="FFFFF2CC"/>
      </patternFill>
    </fill>
    <fill>
      <patternFill patternType="solid">
        <fgColor rgb="FFFFF2CC"/>
        <bgColor rgb="FFFFFFFF"/>
      </patternFill>
    </fill>
    <fill>
      <patternFill patternType="solid">
        <fgColor rgb="FFC0E6F5"/>
        <bgColor rgb="FFD0E0E3"/>
      </patternFill>
    </fill>
    <fill>
      <patternFill patternType="solid">
        <fgColor rgb="FFF4CCCC"/>
        <bgColor rgb="FFEAD1DC"/>
      </patternFill>
    </fill>
    <fill>
      <patternFill patternType="solid">
        <fgColor rgb="FFD0E0E3"/>
        <bgColor rgb="FFD9E1F2"/>
      </patternFill>
    </fill>
    <fill>
      <patternFill patternType="solid">
        <fgColor rgb="FF1F4E78"/>
        <bgColor rgb="FF003366"/>
      </patternFill>
    </fill>
    <fill>
      <patternFill patternType="solid">
        <fgColor rgb="FFD9E1F2"/>
        <bgColor rgb="FFD0E0E3"/>
      </patternFill>
    </fill>
    <fill>
      <patternFill patternType="solid">
        <fgColor rgb="FFFFFF00"/>
        <bgColor rgb="FFFFFF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top/>
      <bottom style="thin">
        <color rgb="FF95B3D7"/>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1F4E78"/>
      </left>
      <right style="medium">
        <color rgb="FF1F4E78"/>
      </right>
      <top style="medium">
        <color rgb="FF1F4E78"/>
      </top>
      <bottom style="medium">
        <color rgb="FF1F4E7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5" fontId="4" fillId="3"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center"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9" fillId="6"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center" vertical="bottom" textRotation="0" wrapText="false" indent="0" shrinkToFit="false"/>
      <protection locked="true" hidden="false"/>
    </xf>
    <xf numFmtId="164" fontId="10" fillId="7" borderId="1" xfId="0" applyFont="true" applyBorder="true" applyAlignment="true" applyProtection="false">
      <alignment horizontal="center" vertical="bottom" textRotation="0" wrapText="tru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8"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center" vertical="bottom" textRotation="0" wrapText="false" indent="0" shrinkToFit="false"/>
      <protection locked="true" hidden="false"/>
    </xf>
    <xf numFmtId="169" fontId="10" fillId="8"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70" fontId="6" fillId="0" borderId="1" xfId="0" applyFont="true" applyBorder="true" applyAlignment="true" applyProtection="false">
      <alignment horizontal="center" vertical="bottom" textRotation="0" wrapText="false" indent="0" shrinkToFit="false"/>
      <protection locked="true" hidden="false"/>
    </xf>
    <xf numFmtId="170" fontId="6"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10" fillId="8" borderId="1"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10" fillId="8" borderId="1" xfId="0" applyFont="true" applyBorder="true" applyAlignment="true" applyProtection="false">
      <alignment horizontal="left" vertical="bottom" textRotation="0" wrapText="true" indent="0" shrinkToFit="false"/>
      <protection locked="true" hidden="false"/>
    </xf>
    <xf numFmtId="164" fontId="15" fillId="9" borderId="1" xfId="0" applyFont="true" applyBorder="true" applyAlignment="true" applyProtection="false">
      <alignment horizontal="center" vertical="bottom" textRotation="0" wrapText="false" indent="0" shrinkToFit="false"/>
      <protection locked="true" hidden="false"/>
    </xf>
    <xf numFmtId="164" fontId="15" fillId="10" borderId="1" xfId="0" applyFont="true" applyBorder="true" applyAlignment="true" applyProtection="false">
      <alignment horizontal="center" vertical="bottom" textRotation="0" wrapText="false" indent="0" shrinkToFit="false"/>
      <protection locked="true" hidden="false"/>
    </xf>
    <xf numFmtId="164" fontId="15" fillId="10" borderId="1" xfId="0" applyFont="true" applyBorder="true" applyAlignment="true" applyProtection="false">
      <alignment horizontal="center" vertical="bottom" textRotation="0" wrapText="tru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6" fontId="16" fillId="6" borderId="1" xfId="0" applyFont="true" applyBorder="true" applyAlignment="true" applyProtection="false">
      <alignment horizontal="center" vertical="bottom" textRotation="0" wrapText="false" indent="0" shrinkToFit="false"/>
      <protection locked="true" hidden="false"/>
    </xf>
    <xf numFmtId="164" fontId="16" fillId="6" borderId="1" xfId="0" applyFont="true" applyBorder="true" applyAlignment="true" applyProtection="false">
      <alignment horizontal="center" vertical="bottom" textRotation="0" wrapText="false" indent="0" shrinkToFit="false"/>
      <protection locked="true" hidden="false"/>
    </xf>
    <xf numFmtId="171" fontId="16" fillId="0"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9"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left" vertical="bottom" textRotation="0" wrapText="true" indent="0" shrinkToFit="false"/>
      <protection locked="true" hidden="false"/>
    </xf>
    <xf numFmtId="164" fontId="16" fillId="0" borderId="1" xfId="0" applyFont="true" applyBorder="true" applyAlignment="true" applyProtection="false">
      <alignment horizontal="center" vertical="bottom" textRotation="0" wrapText="true" indent="0" shrinkToFit="false"/>
      <protection locked="true" hidden="false"/>
    </xf>
    <xf numFmtId="172" fontId="14"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8" fillId="11" borderId="3" xfId="0" applyFont="true" applyBorder="true" applyAlignment="true" applyProtection="false">
      <alignment horizontal="center" vertical="center" textRotation="0" wrapText="true" indent="0" shrinkToFit="false"/>
      <protection locked="true" hidden="false"/>
    </xf>
    <xf numFmtId="165" fontId="18" fillId="11" borderId="3" xfId="0" applyFont="true" applyBorder="true" applyAlignment="true" applyProtection="false">
      <alignment horizontal="center" vertical="center" textRotation="0" wrapText="true" indent="0" shrinkToFit="false"/>
      <protection locked="true" hidden="false"/>
    </xf>
    <xf numFmtId="173" fontId="15" fillId="12" borderId="3" xfId="0" applyFont="true" applyBorder="true" applyAlignment="true" applyProtection="false">
      <alignment horizontal="center" vertical="bottom" textRotation="0" wrapText="false" indent="0" shrinkToFit="false"/>
      <protection locked="true" hidden="false"/>
    </xf>
    <xf numFmtId="165" fontId="15" fillId="12" borderId="3" xfId="0" applyFont="true" applyBorder="true" applyAlignment="true" applyProtection="false">
      <alignment horizontal="center" vertical="bottom" textRotation="0" wrapText="false" indent="0" shrinkToFit="false"/>
      <protection locked="true" hidden="false"/>
    </xf>
    <xf numFmtId="167" fontId="15" fillId="12" borderId="3" xfId="0" applyFont="true" applyBorder="true" applyAlignment="true" applyProtection="false">
      <alignment horizontal="center" vertical="bottom" textRotation="0" wrapText="false" indent="0" shrinkToFit="false"/>
      <protection locked="true" hidden="false"/>
    </xf>
    <xf numFmtId="174" fontId="19" fillId="13" borderId="4" xfId="0" applyFont="true" applyBorder="true" applyAlignment="true" applyProtection="false">
      <alignment horizontal="center" vertical="center" textRotation="0" wrapText="false" indent="0" shrinkToFit="false"/>
      <protection locked="true" hidden="false"/>
    </xf>
    <xf numFmtId="173" fontId="15" fillId="0" borderId="3"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7" fontId="15" fillId="0" borderId="3" xfId="0" applyFont="true" applyBorder="true" applyAlignment="true" applyProtection="false">
      <alignment horizontal="center" vertical="bottom" textRotation="0" wrapText="false" indent="0" shrinkToFit="false"/>
      <protection locked="true" hidden="false"/>
    </xf>
    <xf numFmtId="173" fontId="4" fillId="0" borderId="0" xfId="0" applyFont="true" applyBorder="false" applyAlignment="true" applyProtection="false">
      <alignment horizontal="center" vertical="bottom" textRotation="0" wrapText="false" indent="0" shrinkToFit="false"/>
      <protection locked="true" hidden="false"/>
    </xf>
    <xf numFmtId="171" fontId="4" fillId="0" borderId="0" xfId="0" applyFont="true" applyBorder="false" applyAlignment="true" applyProtection="false">
      <alignment horizontal="center" vertical="bottom" textRotation="0" wrapText="false" indent="0" shrinkToFit="false"/>
      <protection locked="true" hidden="false"/>
    </xf>
    <xf numFmtId="172" fontId="4" fillId="0" borderId="0" xfId="0" applyFont="true" applyBorder="false" applyAlignment="true" applyProtection="false">
      <alignment horizontal="center" vertical="bottom" textRotation="0" wrapText="false" indent="0" shrinkToFit="false"/>
      <protection locked="true" hidden="false"/>
    </xf>
    <xf numFmtId="173"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5">
    <dxf>
      <fill>
        <patternFill>
          <bgColor rgb="FFB7E1CD"/>
        </patternFill>
      </fill>
    </dxf>
    <dxf>
      <fill>
        <patternFill>
          <bgColor rgb="FFF4CCCC"/>
        </patternFill>
      </fill>
    </dxf>
    <dxf>
      <fill>
        <patternFill patternType="solid">
          <fgColor rgb="FFC0E6F5"/>
          <bgColor rgb="FF000000"/>
        </patternFill>
      </fill>
    </dxf>
    <dxf>
      <fill>
        <patternFill patternType="solid">
          <bgColor rgb="FF000000"/>
        </patternFill>
      </fill>
    </dxf>
    <dxf>
      <fill>
        <patternFill patternType="solid">
          <fgColor rgb="FF000000"/>
          <bgColor rgb="FF000000"/>
        </patternFill>
      </fill>
    </dxf>
    <dxf>
      <fill>
        <patternFill patternType="solid">
          <fgColor rgb="FF63BE7B"/>
          <bgColor rgb="FF000000"/>
        </patternFill>
      </fill>
    </dxf>
    <dxf>
      <fill>
        <patternFill patternType="solid">
          <fgColor rgb="FF66BF7B"/>
          <bgColor rgb="FF000000"/>
        </patternFill>
      </fill>
    </dxf>
    <dxf>
      <fill>
        <patternFill patternType="solid">
          <fgColor rgb="FF69C07B"/>
          <bgColor rgb="FF000000"/>
        </patternFill>
      </fill>
    </dxf>
    <dxf>
      <fill>
        <patternFill patternType="solid">
          <fgColor rgb="FF6DC17B"/>
          <bgColor rgb="FF000000"/>
        </patternFill>
      </fill>
    </dxf>
    <dxf>
      <fill>
        <patternFill patternType="solid">
          <fgColor rgb="FF70C27B"/>
          <bgColor rgb="FF000000"/>
        </patternFill>
      </fill>
    </dxf>
    <dxf>
      <fill>
        <patternFill patternType="solid">
          <fgColor rgb="FF74C37C"/>
          <bgColor rgb="FF000000"/>
        </patternFill>
      </fill>
    </dxf>
    <dxf>
      <fill>
        <patternFill patternType="solid">
          <fgColor rgb="FF77C47C"/>
          <bgColor rgb="FF000000"/>
        </patternFill>
      </fill>
    </dxf>
    <dxf>
      <fill>
        <patternFill patternType="solid">
          <fgColor rgb="FF7EC67C"/>
          <bgColor rgb="FF000000"/>
        </patternFill>
      </fill>
    </dxf>
    <dxf>
      <fill>
        <patternFill patternType="solid">
          <fgColor rgb="FF82C77C"/>
          <bgColor rgb="FF000000"/>
        </patternFill>
      </fill>
    </dxf>
    <dxf>
      <fill>
        <patternFill patternType="solid">
          <fgColor rgb="FF93CC7D"/>
          <bgColor rgb="FF000000"/>
        </patternFill>
      </fill>
    </dxf>
    <dxf>
      <fill>
        <patternFill patternType="solid">
          <fgColor rgb="FF97CD7E"/>
          <bgColor rgb="FF000000"/>
        </patternFill>
      </fill>
    </dxf>
    <dxf>
      <fill>
        <patternFill patternType="solid">
          <fgColor rgb="FF9ACE7E"/>
          <bgColor rgb="FF000000"/>
        </patternFill>
      </fill>
    </dxf>
    <dxf>
      <fill>
        <patternFill patternType="solid">
          <fgColor rgb="FFA4D17E"/>
          <bgColor rgb="FF000000"/>
        </patternFill>
      </fill>
    </dxf>
    <dxf>
      <fill>
        <patternFill patternType="solid">
          <fgColor rgb="FFC4DA80"/>
          <bgColor rgb="FF000000"/>
        </patternFill>
      </fill>
    </dxf>
    <dxf>
      <fill>
        <patternFill patternType="solid">
          <fgColor rgb="FFC7DB80"/>
          <bgColor rgb="FF000000"/>
        </patternFill>
      </fill>
    </dxf>
    <dxf>
      <fill>
        <patternFill patternType="solid">
          <fgColor rgb="FFCEDD81"/>
          <bgColor rgb="FF000000"/>
        </patternFill>
      </fill>
    </dxf>
    <dxf>
      <fill>
        <patternFill patternType="solid">
          <fgColor rgb="FFDFE282"/>
          <bgColor rgb="FF000000"/>
        </patternFill>
      </fill>
    </dxf>
    <dxf>
      <fill>
        <patternFill patternType="solid">
          <fgColor rgb="FFE6E482"/>
          <bgColor rgb="FF000000"/>
        </patternFill>
      </fill>
    </dxf>
    <dxf>
      <fill>
        <patternFill patternType="solid">
          <fgColor rgb="FFF1E783"/>
          <bgColor rgb="FF000000"/>
        </patternFill>
      </fill>
    </dxf>
    <dxf>
      <fill>
        <patternFill patternType="solid">
          <fgColor rgb="FFF8696B"/>
          <bgColor rgb="FF000000"/>
        </patternFill>
      </fill>
    </dxf>
    <dxf>
      <fill>
        <patternFill patternType="solid">
          <fgColor rgb="FFFA8771"/>
          <bgColor rgb="FF000000"/>
        </patternFill>
      </fill>
    </dxf>
    <dxf>
      <fill>
        <patternFill patternType="solid">
          <fgColor rgb="FFFA8E73"/>
          <bgColor rgb="FF000000"/>
        </patternFill>
      </fill>
    </dxf>
    <dxf>
      <fill>
        <patternFill patternType="solid">
          <fgColor rgb="FFFB9975"/>
          <bgColor rgb="FF000000"/>
        </patternFill>
      </fill>
    </dxf>
    <dxf>
      <fill>
        <patternFill patternType="solid">
          <fgColor rgb="FFFCA577"/>
          <bgColor rgb="FF000000"/>
        </patternFill>
      </fill>
    </dxf>
    <dxf>
      <fill>
        <patternFill patternType="solid">
          <fgColor rgb="FFFCB37A"/>
          <bgColor rgb="FF000000"/>
        </patternFill>
      </fill>
    </dxf>
    <dxf>
      <fill>
        <patternFill patternType="solid">
          <fgColor rgb="FFFCB47A"/>
          <bgColor rgb="FF000000"/>
        </patternFill>
      </fill>
    </dxf>
    <dxf>
      <fill>
        <patternFill patternType="solid">
          <fgColor rgb="FFFDB67A"/>
          <bgColor rgb="FF000000"/>
        </patternFill>
      </fill>
    </dxf>
    <dxf>
      <fill>
        <patternFill patternType="solid">
          <fgColor rgb="FFFDBB7B"/>
          <bgColor rgb="FF000000"/>
        </patternFill>
      </fill>
    </dxf>
    <dxf>
      <fill>
        <patternFill patternType="solid">
          <fgColor rgb="FFFEC77D"/>
          <bgColor rgb="FF000000"/>
        </patternFill>
      </fill>
    </dxf>
    <dxf>
      <fill>
        <patternFill patternType="solid">
          <fgColor rgb="FFFECA7E"/>
          <bgColor rgb="FF000000"/>
        </patternFill>
      </fill>
    </dxf>
    <dxf>
      <fill>
        <patternFill patternType="solid">
          <fgColor rgb="FFFECB7E"/>
          <bgColor rgb="FF000000"/>
        </patternFill>
      </fill>
    </dxf>
    <dxf>
      <fill>
        <patternFill patternType="solid">
          <fgColor rgb="FFFECE7F"/>
          <bgColor rgb="FF000000"/>
        </patternFill>
      </fill>
    </dxf>
    <dxf>
      <fill>
        <patternFill patternType="solid">
          <fgColor rgb="FFFED280"/>
          <bgColor rgb="FF000000"/>
        </patternFill>
      </fill>
    </dxf>
    <dxf>
      <fill>
        <patternFill patternType="solid">
          <fgColor rgb="FFFED580"/>
          <bgColor rgb="FF000000"/>
        </patternFill>
      </fill>
    </dxf>
    <dxf>
      <fill>
        <patternFill patternType="solid">
          <fgColor rgb="FFFED680"/>
          <bgColor rgb="FF000000"/>
        </patternFill>
      </fill>
    </dxf>
    <dxf>
      <fill>
        <patternFill patternType="solid">
          <fgColor rgb="FFFFD981"/>
          <bgColor rgb="FF000000"/>
        </patternFill>
      </fill>
    </dxf>
    <dxf>
      <fill>
        <patternFill patternType="solid">
          <fgColor rgb="FFFFDC81"/>
          <bgColor rgb="FF000000"/>
        </patternFill>
      </fill>
    </dxf>
    <dxf>
      <fill>
        <patternFill patternType="solid">
          <fgColor rgb="FFFFDE82"/>
          <bgColor rgb="FF000000"/>
        </patternFill>
      </fill>
    </dxf>
    <dxf>
      <fill>
        <patternFill patternType="solid">
          <fgColor rgb="FFFFDF82"/>
          <bgColor rgb="FF000000"/>
        </patternFill>
      </fill>
    </dxf>
    <dxf>
      <fill>
        <patternFill patternType="solid">
          <fgColor rgb="FFFFE082"/>
          <bgColor rgb="FF000000"/>
        </patternFill>
      </fill>
    </dxf>
    <dxf>
      <fill>
        <patternFill patternType="solid">
          <fgColor rgb="FFFFE183"/>
          <bgColor rgb="FF000000"/>
        </patternFill>
      </fill>
    </dxf>
    <dxf>
      <fill>
        <patternFill patternType="solid">
          <fgColor rgb="FFFFE283"/>
          <bgColor rgb="FF000000"/>
        </patternFill>
      </fill>
    </dxf>
    <dxf>
      <fill>
        <patternFill patternType="solid">
          <fgColor rgb="FFFFE383"/>
          <bgColor rgb="FF000000"/>
        </patternFill>
      </fill>
    </dxf>
    <dxf>
      <fill>
        <patternFill patternType="solid">
          <fgColor rgb="FFFFE483"/>
          <bgColor rgb="FF000000"/>
        </patternFill>
      </fill>
    </dxf>
    <dxf>
      <fill>
        <patternFill patternType="solid">
          <fgColor rgb="FFFFE583"/>
          <bgColor rgb="FF000000"/>
        </patternFill>
      </fill>
    </dxf>
    <dxf>
      <fill>
        <patternFill patternType="solid">
          <fgColor rgb="FFFFE683"/>
          <bgColor rgb="FF000000"/>
        </patternFill>
      </fill>
    </dxf>
    <dxf>
      <fill>
        <patternFill patternType="solid">
          <fgColor rgb="FFFFE784"/>
          <bgColor rgb="FF000000"/>
        </patternFill>
      </fill>
    </dxf>
    <dxf>
      <fill>
        <patternFill patternType="solid">
          <fgColor rgb="FFFFE884"/>
          <bgColor rgb="FF000000"/>
        </patternFill>
      </fill>
    </dxf>
    <dxf>
      <fill>
        <patternFill patternType="solid">
          <fgColor rgb="FFFFE984"/>
          <bgColor rgb="FF000000"/>
        </patternFill>
      </fill>
    </dxf>
    <dxf>
      <fill>
        <patternFill patternType="solid">
          <fgColor rgb="FFFFEA84"/>
          <bgColor rgb="FF000000"/>
        </patternFill>
      </fill>
    </dxf>
    <dxf>
      <fill>
        <patternFill patternType="solid">
          <fgColor rgb="FFFFEB84"/>
          <bgColor rgb="FF000000"/>
        </patternFill>
      </fill>
    </dxf>
    <dxf>
      <fill>
        <patternFill patternType="solid">
          <fgColor rgb="FF6BC07B"/>
          <bgColor rgb="FF000000"/>
        </patternFill>
      </fill>
    </dxf>
    <dxf>
      <fill>
        <patternFill patternType="solid">
          <fgColor rgb="FF7DC57C"/>
          <bgColor rgb="FF000000"/>
        </patternFill>
      </fill>
    </dxf>
    <dxf>
      <fill>
        <patternFill patternType="solid">
          <fgColor rgb="FF86C87D"/>
          <bgColor rgb="FF000000"/>
        </patternFill>
      </fill>
    </dxf>
    <dxf>
      <fill>
        <patternFill patternType="solid">
          <fgColor rgb="FF8FCA7D"/>
          <bgColor rgb="FF000000"/>
        </patternFill>
      </fill>
    </dxf>
    <dxf>
      <fill>
        <patternFill patternType="solid">
          <fgColor rgb="FF98CD7E"/>
          <bgColor rgb="FF000000"/>
        </patternFill>
      </fill>
    </dxf>
    <dxf>
      <fill>
        <patternFill patternType="solid">
          <fgColor rgb="FFAAD27F"/>
          <bgColor rgb="FF000000"/>
        </patternFill>
      </fill>
    </dxf>
    <dxf>
      <fill>
        <patternFill patternType="solid">
          <fgColor rgb="FFB3D57F"/>
          <bgColor rgb="FF000000"/>
        </patternFill>
      </fill>
    </dxf>
    <dxf>
      <fill>
        <patternFill patternType="solid">
          <fgColor rgb="FFBCD780"/>
          <bgColor rgb="FF000000"/>
        </patternFill>
      </fill>
    </dxf>
    <dxf>
      <fill>
        <patternFill patternType="solid">
          <fgColor rgb="FFCDDC81"/>
          <bgColor rgb="FF000000"/>
        </patternFill>
      </fill>
    </dxf>
    <dxf>
      <fill>
        <patternFill patternType="solid">
          <fgColor rgb="FFFB9875"/>
          <bgColor rgb="FF000000"/>
        </patternFill>
      </fill>
    </dxf>
    <dxf>
      <fill>
        <patternFill patternType="solid">
          <fgColor rgb="FFFB9A75"/>
          <bgColor rgb="FF000000"/>
        </patternFill>
      </fill>
    </dxf>
    <dxf>
      <fill>
        <patternFill patternType="solid">
          <fgColor rgb="FFFCAC78"/>
          <bgColor rgb="FF000000"/>
        </patternFill>
      </fill>
    </dxf>
    <dxf>
      <fill>
        <patternFill patternType="solid">
          <fgColor rgb="FFFCAE79"/>
          <bgColor rgb="FF000000"/>
        </patternFill>
      </fill>
    </dxf>
    <dxf>
      <fill>
        <patternFill patternType="solid">
          <fgColor rgb="FFFCB279"/>
          <bgColor rgb="FF000000"/>
        </patternFill>
      </fill>
    </dxf>
    <dxf>
      <fill>
        <patternFill patternType="solid">
          <fgColor rgb="FFFDBA7B"/>
          <bgColor rgb="FF000000"/>
        </patternFill>
      </fill>
    </dxf>
    <dxf>
      <fill>
        <patternFill patternType="solid">
          <fgColor rgb="FFFDC07C"/>
          <bgColor rgb="FF000000"/>
        </patternFill>
      </fill>
    </dxf>
    <dxf>
      <fill>
        <patternFill patternType="solid">
          <fgColor rgb="FFFDC67D"/>
          <bgColor rgb="FF000000"/>
        </patternFill>
      </fill>
    </dxf>
    <dxf>
      <fill>
        <patternFill patternType="solid">
          <fgColor rgb="FFFEC67D"/>
          <bgColor rgb="FF000000"/>
        </patternFill>
      </fill>
    </dxf>
    <dxf>
      <fill>
        <patternFill patternType="solid">
          <fgColor rgb="FFFECD7F"/>
          <bgColor rgb="FF000000"/>
        </patternFill>
      </fill>
    </dxf>
    <dxf>
      <fill>
        <patternFill patternType="solid">
          <fgColor rgb="FFFFDA81"/>
          <bgColor rgb="FF000000"/>
        </patternFill>
      </fill>
    </dxf>
    <dxf>
      <fill>
        <patternFill patternType="solid">
          <fgColor rgb="FFFFDB81"/>
          <bgColor rgb="FF000000"/>
        </patternFill>
      </fill>
    </dxf>
    <dxf>
      <fill>
        <patternFill patternType="solid">
          <fgColor rgb="FFFFE182"/>
          <bgColor rgb="FF000000"/>
        </patternFill>
      </fill>
    </dxf>
    <dxf>
      <fill>
        <patternFill patternType="solid">
          <fgColor rgb="FF6DC07B"/>
          <bgColor rgb="FF000000"/>
        </patternFill>
      </fill>
    </dxf>
    <dxf>
      <fill>
        <patternFill patternType="solid">
          <fgColor rgb="FF77C37C"/>
          <bgColor rgb="FF000000"/>
        </patternFill>
      </fill>
    </dxf>
    <dxf>
      <fill>
        <patternFill patternType="solid">
          <fgColor rgb="FF81C67C"/>
          <bgColor rgb="FF000000"/>
        </patternFill>
      </fill>
    </dxf>
    <dxf>
      <fill>
        <patternFill patternType="solid">
          <fgColor rgb="FF8BC97D"/>
          <bgColor rgb="FF000000"/>
        </patternFill>
      </fill>
    </dxf>
    <dxf>
      <fill>
        <patternFill patternType="solid">
          <fgColor rgb="FF95CC7D"/>
          <bgColor rgb="FF000000"/>
        </patternFill>
      </fill>
    </dxf>
    <dxf>
      <fill>
        <patternFill patternType="solid">
          <fgColor rgb="FF9FCF7E"/>
          <bgColor rgb="FF000000"/>
        </patternFill>
      </fill>
    </dxf>
    <dxf>
      <fill>
        <patternFill patternType="solid">
          <fgColor rgb="FFA9D27F"/>
          <bgColor rgb="FF000000"/>
        </patternFill>
      </fill>
    </dxf>
    <dxf>
      <fill>
        <patternFill patternType="solid">
          <fgColor rgb="FFBDD880"/>
          <bgColor rgb="FF000000"/>
        </patternFill>
      </fill>
    </dxf>
    <dxf>
      <fill>
        <patternFill patternType="solid">
          <fgColor rgb="FFD1DD81"/>
          <bgColor rgb="FF000000"/>
        </patternFill>
      </fill>
    </dxf>
    <dxf>
      <fill>
        <patternFill patternType="solid">
          <fgColor rgb="FFE5E382"/>
          <bgColor rgb="FF000000"/>
        </patternFill>
      </fill>
    </dxf>
    <dxf>
      <fill>
        <patternFill patternType="solid">
          <fgColor rgb="FFEFE683"/>
          <bgColor rgb="FF000000"/>
        </patternFill>
      </fill>
    </dxf>
    <dxf>
      <fill>
        <patternFill patternType="solid">
          <fgColor rgb="FFF9E983"/>
          <bgColor rgb="FF000000"/>
        </patternFill>
      </fill>
    </dxf>
    <dxf>
      <fill>
        <patternFill patternType="solid">
          <fgColor rgb="FFFB9874"/>
          <bgColor rgb="FF000000"/>
        </patternFill>
      </fill>
    </dxf>
    <dxf>
      <fill>
        <patternFill patternType="solid">
          <fgColor rgb="FFFCA677"/>
          <bgColor rgb="FF000000"/>
        </patternFill>
      </fill>
    </dxf>
    <dxf>
      <fill>
        <patternFill patternType="solid">
          <fgColor rgb="FFFDBD7C"/>
          <bgColor rgb="FF000000"/>
        </patternFill>
      </fill>
    </dxf>
    <dxf>
      <fill>
        <patternFill patternType="solid">
          <fgColor rgb="FFFDBE7C"/>
          <bgColor rgb="FF000000"/>
        </patternFill>
      </fill>
    </dxf>
    <dxf>
      <fill>
        <patternFill patternType="solid">
          <fgColor rgb="FFFDC37D"/>
          <bgColor rgb="FF000000"/>
        </patternFill>
      </fill>
    </dxf>
    <dxf>
      <fill>
        <patternFill patternType="solid">
          <fgColor rgb="FFFDC47D"/>
          <bgColor rgb="FF000000"/>
        </patternFill>
      </fill>
    </dxf>
    <dxf>
      <fill>
        <patternFill patternType="solid">
          <fgColor rgb="FFFED480"/>
          <bgColor rgb="FF000000"/>
        </patternFill>
      </fill>
    </dxf>
    <dxf>
      <fill>
        <patternFill patternType="solid">
          <fgColor rgb="FFFED781"/>
          <bgColor rgb="FF000000"/>
        </patternFill>
      </fill>
    </dxf>
    <dxf>
      <fill>
        <patternFill patternType="solid">
          <fgColor rgb="FFFED881"/>
          <bgColor rgb="FF000000"/>
        </patternFill>
      </fill>
    </dxf>
    <dxf>
      <fill>
        <patternFill patternType="solid">
          <fgColor rgb="FFFFE684"/>
          <bgColor rgb="FF000000"/>
        </patternFill>
      </fill>
    </dxf>
    <dxf>
      <fill>
        <patternFill patternType="solid">
          <fgColor rgb="FF85C87D"/>
          <bgColor rgb="FF000000"/>
        </patternFill>
      </fill>
    </dxf>
    <dxf>
      <fill>
        <patternFill patternType="solid">
          <fgColor rgb="FF8CCA7D"/>
          <bgColor rgb="FF000000"/>
        </patternFill>
      </fill>
    </dxf>
    <dxf>
      <fill>
        <patternFill patternType="solid">
          <fgColor rgb="FFA1D07E"/>
          <bgColor rgb="FF000000"/>
        </patternFill>
      </fill>
    </dxf>
    <dxf>
      <fill>
        <patternFill patternType="solid">
          <fgColor rgb="FFA8D27F"/>
          <bgColor rgb="FF000000"/>
        </patternFill>
      </fill>
    </dxf>
    <dxf>
      <fill>
        <patternFill patternType="solid">
          <fgColor rgb="FFAFD47F"/>
          <bgColor rgb="FF000000"/>
        </patternFill>
      </fill>
    </dxf>
    <dxf>
      <fill>
        <patternFill patternType="solid">
          <fgColor rgb="FFB6D67F"/>
          <bgColor rgb="FF000000"/>
        </patternFill>
      </fill>
    </dxf>
    <dxf>
      <fill>
        <patternFill patternType="solid">
          <fgColor rgb="FFBDD780"/>
          <bgColor rgb="FF000000"/>
        </patternFill>
      </fill>
    </dxf>
    <dxf>
      <fill>
        <patternFill patternType="solid">
          <fgColor rgb="FFCBDC81"/>
          <bgColor rgb="FF000000"/>
        </patternFill>
      </fill>
    </dxf>
    <dxf>
      <fill>
        <patternFill patternType="solid">
          <fgColor rgb="FFD1DE81"/>
          <bgColor rgb="FF000000"/>
        </patternFill>
      </fill>
    </dxf>
    <dxf>
      <fill>
        <patternFill patternType="solid">
          <fgColor rgb="FFD8E081"/>
          <bgColor rgb="FF000000"/>
        </patternFill>
      </fill>
    </dxf>
    <dxf>
      <fill>
        <patternFill patternType="solid">
          <fgColor rgb="FFEDE683"/>
          <bgColor rgb="FF000000"/>
        </patternFill>
      </fill>
    </dxf>
    <dxf>
      <fill>
        <patternFill patternType="solid">
          <fgColor rgb="FFF4E883"/>
          <bgColor rgb="FF000000"/>
        </patternFill>
      </fill>
    </dxf>
    <dxf>
      <fill>
        <patternFill patternType="solid">
          <fgColor rgb="FFFB8F73"/>
          <bgColor rgb="FF000000"/>
        </patternFill>
      </fill>
    </dxf>
    <dxf>
      <fill>
        <patternFill patternType="solid">
          <fgColor rgb="FFFDB47A"/>
          <bgColor rgb="FF000000"/>
        </patternFill>
      </fill>
    </dxf>
    <dxf>
      <fill>
        <patternFill patternType="solid">
          <fgColor rgb="FFFDB97B"/>
          <bgColor rgb="FF000000"/>
        </patternFill>
      </fill>
    </dxf>
    <dxf>
      <fill>
        <patternFill patternType="solid">
          <fgColor rgb="FFFDC17C"/>
          <bgColor rgb="FF000000"/>
        </patternFill>
      </fill>
    </dxf>
    <dxf>
      <fill>
        <patternFill patternType="solid">
          <fgColor rgb="FFFDC27C"/>
          <bgColor rgb="FF000000"/>
        </patternFill>
      </fill>
    </dxf>
    <dxf>
      <fill>
        <patternFill patternType="solid">
          <fgColor rgb="FFFEC97E"/>
          <bgColor rgb="FF000000"/>
        </patternFill>
      </fill>
    </dxf>
    <dxf>
      <fill>
        <patternFill patternType="solid">
          <fgColor rgb="FFFECC7E"/>
          <bgColor rgb="FF000000"/>
        </patternFill>
      </fill>
    </dxf>
    <dxf>
      <fill>
        <patternFill patternType="solid">
          <fgColor rgb="FFFECF7F"/>
          <bgColor rgb="FF000000"/>
        </patternFill>
      </fill>
    </dxf>
    <dxf>
      <fill>
        <patternFill patternType="solid">
          <fgColor rgb="FFFED981"/>
          <bgColor rgb="FF000000"/>
        </patternFill>
      </fill>
    </dxf>
    <dxf>
      <fill>
        <patternFill patternType="solid">
          <fgColor rgb="FF65BE7B"/>
          <bgColor rgb="FF000000"/>
        </patternFill>
      </fill>
    </dxf>
    <dxf>
      <fill>
        <patternFill patternType="solid">
          <fgColor rgb="FF67BF7B"/>
          <bgColor rgb="FF000000"/>
        </patternFill>
      </fill>
    </dxf>
    <dxf>
      <fill>
        <patternFill patternType="solid">
          <fgColor rgb="FF68BF7B"/>
          <bgColor rgb="FF000000"/>
        </patternFill>
      </fill>
    </dxf>
    <dxf>
      <fill>
        <patternFill patternType="solid">
          <fgColor rgb="FF6AC07B"/>
          <bgColor rgb="FF000000"/>
        </patternFill>
      </fill>
    </dxf>
    <dxf>
      <fill>
        <patternFill patternType="solid">
          <fgColor rgb="FF71C27B"/>
          <bgColor rgb="FF000000"/>
        </patternFill>
      </fill>
    </dxf>
    <dxf>
      <fill>
        <patternFill patternType="solid">
          <fgColor rgb="FF72C27B"/>
          <bgColor rgb="FF000000"/>
        </patternFill>
      </fill>
    </dxf>
    <dxf>
      <fill>
        <patternFill patternType="solid">
          <fgColor rgb="FF75C37C"/>
          <bgColor rgb="FF000000"/>
        </patternFill>
      </fill>
    </dxf>
    <dxf>
      <fill>
        <patternFill patternType="solid">
          <fgColor rgb="FF76C37C"/>
          <bgColor rgb="FF000000"/>
        </patternFill>
      </fill>
    </dxf>
    <dxf>
      <fill>
        <patternFill patternType="solid">
          <fgColor rgb="FF78C47C"/>
          <bgColor rgb="FF000000"/>
        </patternFill>
      </fill>
    </dxf>
    <dxf>
      <fill>
        <patternFill patternType="solid">
          <fgColor rgb="FF7AC47C"/>
          <bgColor rgb="FF000000"/>
        </patternFill>
      </fill>
    </dxf>
    <dxf>
      <fill>
        <patternFill patternType="solid">
          <fgColor rgb="FF7EC57C"/>
          <bgColor rgb="FF000000"/>
        </patternFill>
      </fill>
    </dxf>
    <dxf>
      <fill>
        <patternFill patternType="solid">
          <fgColor rgb="FF7FC67C"/>
          <bgColor rgb="FF000000"/>
        </patternFill>
      </fill>
    </dxf>
    <dxf>
      <fill>
        <patternFill patternType="solid">
          <fgColor rgb="FF80C67C"/>
          <bgColor rgb="FF000000"/>
        </patternFill>
      </fill>
    </dxf>
    <dxf>
      <fill>
        <patternFill patternType="solid">
          <fgColor rgb="FF83C77C"/>
          <bgColor rgb="FF000000"/>
        </patternFill>
      </fill>
    </dxf>
    <dxf>
      <fill>
        <patternFill patternType="solid">
          <fgColor rgb="FF84C77C"/>
          <bgColor rgb="FF000000"/>
        </patternFill>
      </fill>
    </dxf>
    <dxf>
      <fill>
        <patternFill patternType="solid">
          <fgColor rgb="FF88C87D"/>
          <bgColor rgb="FF000000"/>
        </patternFill>
      </fill>
    </dxf>
    <dxf>
      <fill>
        <patternFill patternType="solid">
          <fgColor rgb="FF8CC97D"/>
          <bgColor rgb="FF000000"/>
        </patternFill>
      </fill>
    </dxf>
    <dxf>
      <fill>
        <patternFill patternType="solid">
          <fgColor rgb="FF8DCA7D"/>
          <bgColor rgb="FF000000"/>
        </patternFill>
      </fill>
    </dxf>
    <dxf>
      <fill>
        <patternFill patternType="solid">
          <fgColor rgb="FF91CB7D"/>
          <bgColor rgb="FF000000"/>
        </patternFill>
      </fill>
    </dxf>
    <dxf>
      <fill>
        <patternFill patternType="solid">
          <fgColor rgb="FF96CC7D"/>
          <bgColor rgb="FF000000"/>
        </patternFill>
      </fill>
    </dxf>
    <dxf>
      <fill>
        <patternFill patternType="solid">
          <fgColor rgb="FF9CCE7E"/>
          <bgColor rgb="FF000000"/>
        </patternFill>
      </fill>
    </dxf>
    <dxf>
      <fill>
        <patternFill patternType="solid">
          <fgColor rgb="FF9DCE7E"/>
          <bgColor rgb="FF000000"/>
        </patternFill>
      </fill>
    </dxf>
    <dxf>
      <fill>
        <patternFill patternType="solid">
          <fgColor rgb="FFA2D07E"/>
          <bgColor rgb="FF000000"/>
        </patternFill>
      </fill>
    </dxf>
    <dxf>
      <fill>
        <patternFill patternType="solid">
          <fgColor rgb="FFA4D07E"/>
          <bgColor rgb="FF000000"/>
        </patternFill>
      </fill>
    </dxf>
    <dxf>
      <fill>
        <patternFill patternType="solid">
          <fgColor rgb="FFA5D17E"/>
          <bgColor rgb="FF000000"/>
        </patternFill>
      </fill>
    </dxf>
    <dxf>
      <fill>
        <patternFill patternType="solid">
          <fgColor rgb="FFABD27F"/>
          <bgColor rgb="FF000000"/>
        </patternFill>
      </fill>
    </dxf>
    <dxf>
      <fill>
        <patternFill patternType="solid">
          <fgColor rgb="FFB0D47F"/>
          <bgColor rgb="FF000000"/>
        </patternFill>
      </fill>
    </dxf>
    <dxf>
      <fill>
        <patternFill patternType="solid">
          <fgColor rgb="FFB1D47F"/>
          <bgColor rgb="FF000000"/>
        </patternFill>
      </fill>
    </dxf>
    <dxf>
      <fill>
        <patternFill patternType="solid">
          <fgColor rgb="FFB5D57F"/>
          <bgColor rgb="FF000000"/>
        </patternFill>
      </fill>
    </dxf>
    <dxf>
      <fill>
        <patternFill patternType="solid">
          <fgColor rgb="FFB9D67F"/>
          <bgColor rgb="FF000000"/>
        </patternFill>
      </fill>
    </dxf>
    <dxf>
      <fill>
        <patternFill patternType="solid">
          <fgColor rgb="FFBBD780"/>
          <bgColor rgb="FF000000"/>
        </patternFill>
      </fill>
    </dxf>
    <dxf>
      <fill>
        <patternFill patternType="solid">
          <fgColor rgb="FFC1D980"/>
          <bgColor rgb="FF000000"/>
        </patternFill>
      </fill>
    </dxf>
    <dxf>
      <fill>
        <patternFill patternType="solid">
          <fgColor rgb="FFC6DA80"/>
          <bgColor rgb="FF000000"/>
        </patternFill>
      </fill>
    </dxf>
    <dxf>
      <fill>
        <patternFill patternType="solid">
          <fgColor rgb="FFC7DA80"/>
          <bgColor rgb="FF000000"/>
        </patternFill>
      </fill>
    </dxf>
    <dxf>
      <fill>
        <patternFill patternType="solid">
          <fgColor rgb="FFC8DB80"/>
          <bgColor rgb="FF000000"/>
        </patternFill>
      </fill>
    </dxf>
    <dxf>
      <fill>
        <patternFill patternType="solid">
          <fgColor rgb="FFCADB80"/>
          <bgColor rgb="FF000000"/>
        </patternFill>
      </fill>
    </dxf>
    <dxf>
      <fill>
        <patternFill patternType="solid">
          <fgColor rgb="FFCEDC81"/>
          <bgColor rgb="FF000000"/>
        </patternFill>
      </fill>
    </dxf>
    <dxf>
      <fill>
        <patternFill patternType="solid">
          <fgColor rgb="FFD6DF81"/>
          <bgColor rgb="FF000000"/>
        </patternFill>
      </fill>
    </dxf>
    <dxf>
      <fill>
        <patternFill patternType="solid">
          <fgColor rgb="FFDCE182"/>
          <bgColor rgb="FF000000"/>
        </patternFill>
      </fill>
    </dxf>
    <dxf>
      <fill>
        <patternFill patternType="solid">
          <fgColor rgb="FFE2E282"/>
          <bgColor rgb="FF000000"/>
        </patternFill>
      </fill>
    </dxf>
    <dxf>
      <fill>
        <patternFill patternType="solid">
          <fgColor rgb="FFE3E382"/>
          <bgColor rgb="FF000000"/>
        </patternFill>
      </fill>
    </dxf>
    <dxf>
      <fill>
        <patternFill patternType="solid">
          <fgColor rgb="FFE9E482"/>
          <bgColor rgb="FF000000"/>
        </patternFill>
      </fill>
    </dxf>
    <dxf>
      <fill>
        <patternFill patternType="solid">
          <fgColor rgb="FFEAE582"/>
          <bgColor rgb="FF000000"/>
        </patternFill>
      </fill>
    </dxf>
    <dxf>
      <fill>
        <patternFill patternType="solid">
          <fgColor rgb="FFF4E783"/>
          <bgColor rgb="FF000000"/>
        </patternFill>
      </fill>
    </dxf>
    <dxf>
      <fill>
        <patternFill patternType="solid">
          <fgColor rgb="FFF96A6C"/>
          <bgColor rgb="FF000000"/>
        </patternFill>
      </fill>
    </dxf>
    <dxf>
      <fill>
        <patternFill patternType="solid">
          <fgColor rgb="FFF96E6C"/>
          <bgColor rgb="FF000000"/>
        </patternFill>
      </fill>
    </dxf>
    <dxf>
      <fill>
        <patternFill patternType="solid">
          <fgColor rgb="FFF9776E"/>
          <bgColor rgb="FF000000"/>
        </patternFill>
      </fill>
    </dxf>
    <dxf>
      <fill>
        <patternFill patternType="solid">
          <fgColor rgb="FFFA7F70"/>
          <bgColor rgb="FF000000"/>
        </patternFill>
      </fill>
    </dxf>
    <dxf>
      <fill>
        <patternFill patternType="solid">
          <fgColor rgb="FFFA8571"/>
          <bgColor rgb="FF000000"/>
        </patternFill>
      </fill>
    </dxf>
    <dxf>
      <fill>
        <patternFill patternType="solid">
          <fgColor rgb="FFFA8B72"/>
          <bgColor rgb="FF000000"/>
        </patternFill>
      </fill>
    </dxf>
    <dxf>
      <fill>
        <patternFill patternType="solid">
          <fgColor rgb="FFFB9B75"/>
          <bgColor rgb="FF000000"/>
        </patternFill>
      </fill>
    </dxf>
    <dxf>
      <fill>
        <patternFill patternType="solid">
          <fgColor rgb="FFFBE983"/>
          <bgColor rgb="FF000000"/>
        </patternFill>
      </fill>
    </dxf>
    <dxf>
      <fill>
        <patternFill patternType="solid">
          <fgColor rgb="FFFCEA83"/>
          <bgColor rgb="FF000000"/>
        </patternFill>
      </fill>
    </dxf>
    <dxf>
      <fill>
        <patternFill patternType="solid">
          <fgColor rgb="FFFDB77A"/>
          <bgColor rgb="FF000000"/>
        </patternFill>
      </fill>
    </dxf>
    <dxf>
      <fill>
        <patternFill patternType="solid">
          <fgColor rgb="FFFDB87B"/>
          <bgColor rgb="FF000000"/>
        </patternFill>
      </fill>
    </dxf>
    <dxf>
      <fill>
        <patternFill patternType="solid">
          <fgColor rgb="FFFDC27D"/>
          <bgColor rgb="FF000000"/>
        </patternFill>
      </fill>
    </dxf>
    <dxf>
      <fill>
        <patternFill patternType="solid">
          <fgColor rgb="FFFDC57D"/>
          <bgColor rgb="FF000000"/>
        </patternFill>
      </fill>
    </dxf>
    <dxf>
      <fill>
        <patternFill patternType="solid">
          <fgColor rgb="FFFDEA83"/>
          <bgColor rgb="FF000000"/>
        </patternFill>
      </fill>
    </dxf>
    <dxf>
      <fill>
        <patternFill patternType="solid">
          <fgColor rgb="FFFEC77E"/>
          <bgColor rgb="FF000000"/>
        </patternFill>
      </fill>
    </dxf>
    <dxf>
      <fill>
        <patternFill patternType="solid">
          <fgColor rgb="FFFED07F"/>
          <bgColor rgb="FF000000"/>
        </patternFill>
      </fill>
    </dxf>
    <dxf>
      <fill>
        <patternFill patternType="solid">
          <fgColor rgb="FFFED17F"/>
          <bgColor rgb="FF000000"/>
        </patternFill>
      </fill>
    </dxf>
    <dxf>
      <fill>
        <patternFill patternType="solid">
          <fgColor rgb="FFFED380"/>
          <bgColor rgb="FF000000"/>
        </patternFill>
      </fill>
    </dxf>
    <dxf>
      <fill>
        <patternFill patternType="solid">
          <fgColor rgb="FFFFDC82"/>
          <bgColor rgb="FF000000"/>
        </patternFill>
      </fill>
    </dxf>
    <dxf>
      <fill>
        <patternFill patternType="solid">
          <fgColor rgb="FFFFDD8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5B3D7"/>
      <rgbColor rgb="FF993366"/>
      <rgbColor rgb="FFFFF2CC"/>
      <rgbColor rgb="FFC0E6F5"/>
      <rgbColor rgb="FF741B47"/>
      <rgbColor rgb="FFFF8080"/>
      <rgbColor rgb="FF0066CC"/>
      <rgbColor rgb="FFD9D2E9"/>
      <rgbColor rgb="FF000080"/>
      <rgbColor rgb="FFFF00FF"/>
      <rgbColor rgb="FFFFFF00"/>
      <rgbColor rgb="FF00FFFF"/>
      <rgbColor rgb="FF800080"/>
      <rgbColor rgb="FF800000"/>
      <rgbColor rgb="FF008080"/>
      <rgbColor rgb="FF0000FF"/>
      <rgbColor rgb="FF00CCFF"/>
      <rgbColor rgb="FFD9E1F2"/>
      <rgbColor rgb="FFD0E0E3"/>
      <rgbColor rgb="FFEAD1DC"/>
      <rgbColor rgb="FF9FC5E8"/>
      <rgbColor rgb="FFFF99CC"/>
      <rgbColor rgb="FFB7E1CD"/>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E2" activeCellId="0" sqref="E2"/>
    </sheetView>
  </sheetViews>
  <sheetFormatPr defaultColWidth="12.6328125" defaultRowHeight="15" zeroHeight="false" outlineLevelRow="0" outlineLevelCol="0"/>
  <cols>
    <col collapsed="false" customWidth="true" hidden="false" outlineLevel="0" max="1" min="1" style="0" width="8"/>
    <col collapsed="false" customWidth="true" hidden="false" outlineLevel="0" max="2" min="2" style="0" width="8.13"/>
    <col collapsed="false" customWidth="true" hidden="false" outlineLevel="0" max="3" min="3" style="0" width="15.51"/>
    <col collapsed="false" customWidth="true" hidden="false" outlineLevel="0" max="4" min="4" style="0" width="28.38"/>
    <col collapsed="false" customWidth="true" hidden="false" outlineLevel="0" max="5" min="5" style="0" width="9.13"/>
    <col collapsed="false" customWidth="true" hidden="false" outlineLevel="0" max="6" min="6" style="0" width="12.38"/>
    <col collapsed="false" customWidth="true" hidden="false" outlineLevel="0" max="7" min="7" style="0" width="16.63"/>
    <col collapsed="false" customWidth="true" hidden="false" outlineLevel="0" max="8" min="8" style="0" width="12.13"/>
    <col collapsed="false" customWidth="true" hidden="false" outlineLevel="0" max="9" min="9" style="0" width="17.13"/>
    <col collapsed="false" customWidth="true" hidden="false" outlineLevel="0" max="10" min="10" style="0" width="18.75"/>
    <col collapsed="false" customWidth="true" hidden="false" outlineLevel="0" max="11" min="11" style="0" width="18"/>
    <col collapsed="false" customWidth="true" hidden="false" outlineLevel="0" max="12" min="12" style="0" width="12.75"/>
    <col collapsed="false" customWidth="true" hidden="false" outlineLevel="0" max="13" min="13" style="0" width="27.13"/>
    <col collapsed="false" customWidth="true" hidden="false" outlineLevel="0" max="14" min="14" style="0" width="28.25"/>
    <col collapsed="false" customWidth="true" hidden="false" outlineLevel="0" max="15" min="15" style="0" width="29.51"/>
    <col collapsed="false" customWidth="true" hidden="false" outlineLevel="0" max="16" min="16" style="0" width="16.25"/>
    <col collapsed="false" customWidth="true" hidden="false" outlineLevel="0" max="17" min="17" style="0" width="127.12"/>
    <col collapsed="false" customWidth="true" hidden="false" outlineLevel="0" max="18" min="18" style="0" width="15.88"/>
    <col collapsed="false" customWidth="true" hidden="false" outlineLevel="0" max="19" min="19" style="0" width="80"/>
    <col collapsed="false" customWidth="true" hidden="false" outlineLevel="0" max="20" min="20" style="0" width="31.63"/>
    <col collapsed="false" customWidth="true" hidden="false" outlineLevel="0" max="21" min="21" style="0" width="21.5"/>
    <col collapsed="false" customWidth="true" hidden="false" outlineLevel="0" max="22" min="22" style="0" width="27.38"/>
  </cols>
  <sheetData>
    <row r="1" customFormat="false" ht="15.75" hidden="false" customHeight="true" outlineLevel="0" collapsed="false">
      <c r="A1" s="1" t="s">
        <v>0</v>
      </c>
      <c r="B1" s="1" t="s">
        <v>1</v>
      </c>
      <c r="C1" s="1" t="s">
        <v>2</v>
      </c>
      <c r="D1" s="1" t="s">
        <v>3</v>
      </c>
      <c r="E1" s="1" t="s">
        <v>4</v>
      </c>
      <c r="F1" s="1" t="s">
        <v>5</v>
      </c>
      <c r="G1" s="1" t="s">
        <v>6</v>
      </c>
      <c r="H1" s="2" t="s">
        <v>7</v>
      </c>
      <c r="I1" s="2" t="s">
        <v>8</v>
      </c>
      <c r="J1" s="2" t="s">
        <v>9</v>
      </c>
      <c r="K1" s="2" t="s">
        <v>10</v>
      </c>
      <c r="L1" s="3" t="s">
        <v>11</v>
      </c>
      <c r="M1" s="4" t="s">
        <v>12</v>
      </c>
      <c r="N1" s="4" t="s">
        <v>13</v>
      </c>
      <c r="O1" s="4" t="s">
        <v>14</v>
      </c>
      <c r="P1" s="5" t="s">
        <v>15</v>
      </c>
      <c r="Q1" s="5" t="s">
        <v>16</v>
      </c>
      <c r="R1" s="5" t="s">
        <v>17</v>
      </c>
      <c r="S1" s="6" t="s">
        <v>18</v>
      </c>
      <c r="T1" s="7" t="s">
        <v>19</v>
      </c>
      <c r="U1" s="5" t="s">
        <v>20</v>
      </c>
      <c r="V1" s="5" t="s">
        <v>21</v>
      </c>
      <c r="W1" s="8"/>
      <c r="X1" s="8"/>
      <c r="Y1" s="8"/>
      <c r="Z1" s="8"/>
      <c r="AA1" s="8"/>
      <c r="AB1" s="8"/>
      <c r="AC1" s="8"/>
    </row>
    <row r="2" customFormat="false" ht="157.45" hidden="false" customHeight="false" outlineLevel="0" collapsed="false">
      <c r="A2" s="9" t="n">
        <v>46303</v>
      </c>
      <c r="B2" s="10" t="s">
        <v>22</v>
      </c>
      <c r="C2" s="11" t="s">
        <v>23</v>
      </c>
      <c r="D2" s="10" t="s">
        <v>24</v>
      </c>
      <c r="E2" s="11" t="str">
        <f aca="false" t="array" ref="E2:E2">IF(D2="","",IFERROR(INDEX('CLM &amp; IM Mapping'!$B$2:$B$270,MATCH(TRIM(D2),'CLM &amp; IM Mapping'!$A$2:$A$270,0)),"Not Mapped"))</f>
        <v>Arun Raj</v>
      </c>
      <c r="F2" s="11" t="str">
        <f aca="false" t="array" ref="F2:F2">IF(D2="","",IFERROR(INDEX('CLM &amp; IM Mapping'!$C$2:$C$270,MATCH(TRIM(D2),'CLM &amp; IM Mapping'!$A$2:$A$270,0)),"Not Mapped"))</f>
        <v>Simon Manoharan</v>
      </c>
      <c r="G2" s="11" t="s">
        <v>25</v>
      </c>
      <c r="H2" s="10" t="n">
        <v>69321</v>
      </c>
      <c r="I2" s="10" t="n">
        <v>75628</v>
      </c>
      <c r="J2" s="10" t="n">
        <v>0</v>
      </c>
      <c r="K2" s="10" t="n">
        <v>246</v>
      </c>
      <c r="L2" s="10" t="n">
        <v>1427</v>
      </c>
      <c r="M2" s="10" t="n">
        <v>0</v>
      </c>
      <c r="N2" s="10" t="n">
        <v>0</v>
      </c>
      <c r="O2" s="10" t="n">
        <v>9015</v>
      </c>
      <c r="P2" s="10" t="n">
        <v>155636</v>
      </c>
      <c r="Q2" s="12" t="s">
        <v>26</v>
      </c>
      <c r="R2" s="10" t="n">
        <v>15000</v>
      </c>
      <c r="S2" s="12" t="s">
        <v>27</v>
      </c>
      <c r="T2" s="13" t="n">
        <v>150000</v>
      </c>
      <c r="U2" s="14" t="s">
        <v>28</v>
      </c>
      <c r="V2" s="10" t="n">
        <v>36994</v>
      </c>
      <c r="W2" s="8"/>
      <c r="X2" s="8"/>
      <c r="Y2" s="8"/>
      <c r="Z2" s="8"/>
      <c r="AA2" s="8"/>
      <c r="AB2" s="8"/>
      <c r="AC2" s="8"/>
    </row>
    <row r="3" customFormat="false" ht="199.95" hidden="false" customHeight="false" outlineLevel="0" collapsed="false">
      <c r="A3" s="9" t="n">
        <v>46303</v>
      </c>
      <c r="B3" s="10" t="s">
        <v>22</v>
      </c>
      <c r="C3" s="11" t="s">
        <v>23</v>
      </c>
      <c r="D3" s="10" t="s">
        <v>29</v>
      </c>
      <c r="E3" s="11" t="str">
        <f aca="false" t="array" ref="E3:E3">IF(D3="","",IFERROR(INDEX('CLM &amp; IM Mapping'!$B$2:$B$270,MATCH(TRIM(D3),'CLM &amp; IM Mapping'!$A$2:$A$270,0)),"Not Mapped"))</f>
        <v>Arun Raj</v>
      </c>
      <c r="F3" s="11" t="str">
        <f aca="false" t="array" ref="F3:F3">IF(D3="","",IFERROR(INDEX('CLM &amp; IM Mapping'!$C$2:$C$270,MATCH(TRIM(D3),'CLM &amp; IM Mapping'!$A$2:$A$270,0)),"Not Mapped"))</f>
        <v>Simon Manoharan</v>
      </c>
      <c r="G3" s="11" t="s">
        <v>25</v>
      </c>
      <c r="H3" s="10" t="n">
        <v>18075</v>
      </c>
      <c r="I3" s="10" t="n">
        <v>115931</v>
      </c>
      <c r="J3" s="10" t="n">
        <v>-13909</v>
      </c>
      <c r="K3" s="10" t="n">
        <v>463</v>
      </c>
      <c r="L3" s="10" t="n">
        <v>14666</v>
      </c>
      <c r="M3" s="10" t="n">
        <v>0</v>
      </c>
      <c r="N3" s="10" t="n">
        <v>0</v>
      </c>
      <c r="O3" s="10" t="n">
        <v>0</v>
      </c>
      <c r="P3" s="10" t="n">
        <v>135225</v>
      </c>
      <c r="Q3" s="12" t="s">
        <v>30</v>
      </c>
      <c r="R3" s="11"/>
      <c r="S3" s="12" t="s">
        <v>31</v>
      </c>
      <c r="T3" s="15" t="n">
        <v>100000</v>
      </c>
      <c r="U3" s="14" t="s">
        <v>32</v>
      </c>
      <c r="V3" s="10" t="n">
        <v>48268</v>
      </c>
      <c r="W3" s="8"/>
      <c r="X3" s="8"/>
      <c r="Y3" s="8"/>
      <c r="Z3" s="8"/>
      <c r="AA3" s="8"/>
      <c r="AB3" s="8"/>
      <c r="AC3" s="8"/>
    </row>
    <row r="4" customFormat="false" ht="143.25" hidden="false" customHeight="false" outlineLevel="0" collapsed="false">
      <c r="A4" s="9" t="n">
        <v>46303</v>
      </c>
      <c r="B4" s="10" t="s">
        <v>22</v>
      </c>
      <c r="C4" s="11" t="s">
        <v>23</v>
      </c>
      <c r="D4" s="10" t="s">
        <v>33</v>
      </c>
      <c r="E4" s="11" t="str">
        <f aca="false" t="array" ref="E4:E4">IF(D4="","",IFERROR(INDEX('CLM &amp; IM Mapping'!$B$2:$B$270,MATCH(TRIM(D4),'CLM &amp; IM Mapping'!$A$2:$A$270,0)),"Not Mapped"))</f>
        <v>Manoj Kj</v>
      </c>
      <c r="F4" s="11" t="str">
        <f aca="false" t="array" ref="F4:F4">IF(D4="","",IFERROR(INDEX('CLM &amp; IM Mapping'!$C$2:$C$270,MATCH(TRIM(D4),'CLM &amp; IM Mapping'!$A$2:$A$270,0)),"Not Mapped"))</f>
        <v>Srittam Dhal</v>
      </c>
      <c r="G4" s="11" t="s">
        <v>34</v>
      </c>
      <c r="H4" s="10" t="n">
        <v>-82711</v>
      </c>
      <c r="I4" s="10" t="n">
        <v>0</v>
      </c>
      <c r="J4" s="10" t="n">
        <v>0</v>
      </c>
      <c r="K4" s="10" t="n">
        <v>191944</v>
      </c>
      <c r="L4" s="10" t="n">
        <v>0</v>
      </c>
      <c r="M4" s="10" t="n">
        <v>0</v>
      </c>
      <c r="N4" s="10" t="n">
        <v>0</v>
      </c>
      <c r="O4" s="10" t="n">
        <v>1470</v>
      </c>
      <c r="P4" s="10" t="n">
        <v>110703</v>
      </c>
      <c r="Q4" s="12" t="s">
        <v>35</v>
      </c>
      <c r="R4" s="11" t="n">
        <v>25000</v>
      </c>
      <c r="S4" s="12" t="s">
        <v>36</v>
      </c>
      <c r="T4" s="15" t="n">
        <v>30000</v>
      </c>
      <c r="U4" s="14" t="s">
        <v>37</v>
      </c>
      <c r="V4" s="11" t="n">
        <v>35</v>
      </c>
      <c r="W4" s="8"/>
      <c r="X4" s="8"/>
      <c r="Y4" s="8"/>
      <c r="Z4" s="8"/>
      <c r="AA4" s="8"/>
      <c r="AB4" s="8"/>
      <c r="AC4" s="8"/>
    </row>
    <row r="5" customFormat="false" ht="44" hidden="false" customHeight="false" outlineLevel="0" collapsed="false">
      <c r="A5" s="9" t="n">
        <v>46303</v>
      </c>
      <c r="B5" s="13" t="s">
        <v>22</v>
      </c>
      <c r="C5" s="15" t="s">
        <v>23</v>
      </c>
      <c r="D5" s="13" t="s">
        <v>38</v>
      </c>
      <c r="E5" s="15" t="str">
        <f aca="false" t="array" ref="E5:E5">IF(D5="","",IFERROR(INDEX('CLM &amp; IM Mapping'!$B$2:$B$270,MATCH(TRIM(D5),'CLM &amp; IM Mapping'!$A$2:$A$270,0)),"Not Mapped"))</f>
        <v>Vijay M</v>
      </c>
      <c r="F5" s="15" t="str">
        <f aca="false" t="array" ref="F5:F5">IF(D5="","",IFERROR(INDEX('CLM &amp; IM Mapping'!$C$2:$C$270,MATCH(TRIM(D5),'CLM &amp; IM Mapping'!$A$2:$A$270,0)),"Not Mapped"))</f>
        <v>Kantha Kumar</v>
      </c>
      <c r="G5" s="15" t="s">
        <v>34</v>
      </c>
      <c r="H5" s="13" t="n">
        <v>39978</v>
      </c>
      <c r="I5" s="13" t="n">
        <v>61074</v>
      </c>
      <c r="J5" s="13" t="n">
        <v>219</v>
      </c>
      <c r="K5" s="13" t="n">
        <v>451</v>
      </c>
      <c r="L5" s="13" t="n">
        <v>1542</v>
      </c>
      <c r="M5" s="13" t="n">
        <v>0</v>
      </c>
      <c r="N5" s="13" t="n">
        <v>1737</v>
      </c>
      <c r="O5" s="13" t="n">
        <v>0</v>
      </c>
      <c r="P5" s="13" t="n">
        <v>105001</v>
      </c>
      <c r="Q5" s="12" t="s">
        <v>39</v>
      </c>
      <c r="R5" s="15"/>
      <c r="S5" s="12" t="s">
        <v>39</v>
      </c>
      <c r="T5" s="15" t="n">
        <v>50000</v>
      </c>
      <c r="U5" s="14" t="s">
        <v>40</v>
      </c>
      <c r="V5" s="10" t="n">
        <v>45816</v>
      </c>
      <c r="W5" s="16"/>
      <c r="X5" s="16"/>
      <c r="Y5" s="16"/>
      <c r="Z5" s="16"/>
      <c r="AA5" s="16"/>
      <c r="AB5" s="16"/>
      <c r="AC5" s="16"/>
    </row>
    <row r="6" customFormat="false" ht="143.25" hidden="false" customHeight="false" outlineLevel="0" collapsed="false">
      <c r="A6" s="9" t="n">
        <v>46303</v>
      </c>
      <c r="B6" s="10" t="s">
        <v>22</v>
      </c>
      <c r="C6" s="11" t="s">
        <v>23</v>
      </c>
      <c r="D6" s="10" t="s">
        <v>41</v>
      </c>
      <c r="E6" s="11" t="str">
        <f aca="false" t="array" ref="E6:E6">IF(D6="","",IFERROR(INDEX('CLM &amp; IM Mapping'!$B$2:$B$270,MATCH(TRIM(D6),'CLM &amp; IM Mapping'!$A$2:$A$270,0)),"Not Mapped"))</f>
        <v>Rizwan Ahmed</v>
      </c>
      <c r="F6" s="11" t="str">
        <f aca="false" t="array" ref="F6:F6">IF(D6="","",IFERROR(INDEX('CLM &amp; IM Mapping'!$C$2:$C$270,MATCH(TRIM(D6),'CLM &amp; IM Mapping'!$A$2:$A$270,0)),"Not Mapped"))</f>
        <v>Un Mapped</v>
      </c>
      <c r="G6" s="11" t="s">
        <v>34</v>
      </c>
      <c r="H6" s="10" t="n">
        <v>22334</v>
      </c>
      <c r="I6" s="10" t="n">
        <v>66087</v>
      </c>
      <c r="J6" s="10" t="n">
        <v>0</v>
      </c>
      <c r="K6" s="10" t="n">
        <v>731</v>
      </c>
      <c r="L6" s="10" t="n">
        <v>763</v>
      </c>
      <c r="M6" s="10" t="n">
        <v>0</v>
      </c>
      <c r="N6" s="10" t="n">
        <v>4541</v>
      </c>
      <c r="O6" s="10" t="n">
        <v>0</v>
      </c>
      <c r="P6" s="10" t="n">
        <v>94456</v>
      </c>
      <c r="Q6" s="17"/>
      <c r="R6" s="11"/>
      <c r="S6" s="12" t="s">
        <v>42</v>
      </c>
      <c r="T6" s="15"/>
      <c r="U6" s="14" t="s">
        <v>43</v>
      </c>
      <c r="V6" s="10" t="n">
        <v>61440</v>
      </c>
      <c r="W6" s="8"/>
      <c r="X6" s="8"/>
      <c r="Y6" s="8"/>
      <c r="Z6" s="8"/>
      <c r="AA6" s="8"/>
      <c r="AB6" s="8"/>
      <c r="AC6" s="8"/>
    </row>
    <row r="7" customFormat="false" ht="114.9" hidden="false" customHeight="false" outlineLevel="0" collapsed="false">
      <c r="A7" s="9" t="n">
        <v>46303</v>
      </c>
      <c r="B7" s="10" t="s">
        <v>22</v>
      </c>
      <c r="C7" s="11" t="s">
        <v>23</v>
      </c>
      <c r="D7" s="10" t="s">
        <v>44</v>
      </c>
      <c r="E7" s="11" t="str">
        <f aca="false" t="array" ref="E7:E7">IF(D7="","",IFERROR(INDEX('CLM &amp; IM Mapping'!$B$2:$B$270,MATCH(TRIM(D7),'CLM &amp; IM Mapping'!$A$2:$A$270,0)),"Not Mapped"))</f>
        <v>Rizwan Ahmed</v>
      </c>
      <c r="F7" s="11" t="str">
        <f aca="false" t="array" ref="F7:F7">IF(D7="","",IFERROR(INDEX('CLM &amp; IM Mapping'!$C$2:$C$270,MATCH(TRIM(D7),'CLM &amp; IM Mapping'!$A$2:$A$270,0)),"Not Mapped"))</f>
        <v>Un Mapped</v>
      </c>
      <c r="G7" s="11" t="s">
        <v>34</v>
      </c>
      <c r="H7" s="10" t="n">
        <v>71595</v>
      </c>
      <c r="I7" s="10" t="n">
        <v>9181</v>
      </c>
      <c r="J7" s="10" t="n">
        <v>0</v>
      </c>
      <c r="K7" s="10" t="n">
        <v>360</v>
      </c>
      <c r="L7" s="10" t="n">
        <v>87</v>
      </c>
      <c r="M7" s="10" t="n">
        <v>0</v>
      </c>
      <c r="N7" s="10" t="n">
        <v>1957</v>
      </c>
      <c r="O7" s="10" t="n">
        <v>0</v>
      </c>
      <c r="P7" s="10" t="n">
        <v>83180</v>
      </c>
      <c r="Q7" s="17"/>
      <c r="R7" s="11"/>
      <c r="S7" s="12" t="s">
        <v>45</v>
      </c>
      <c r="T7" s="15"/>
      <c r="U7" s="14" t="s">
        <v>46</v>
      </c>
      <c r="V7" s="10" t="n">
        <v>16676</v>
      </c>
      <c r="W7" s="8"/>
      <c r="X7" s="8"/>
      <c r="Y7" s="8"/>
      <c r="Z7" s="8"/>
      <c r="AA7" s="8"/>
      <c r="AB7" s="8"/>
      <c r="AC7" s="8"/>
    </row>
    <row r="8" customFormat="false" ht="157.45" hidden="false" customHeight="false" outlineLevel="0" collapsed="false">
      <c r="A8" s="9" t="n">
        <v>46303</v>
      </c>
      <c r="B8" s="10" t="s">
        <v>22</v>
      </c>
      <c r="C8" s="11" t="s">
        <v>23</v>
      </c>
      <c r="D8" s="10" t="s">
        <v>47</v>
      </c>
      <c r="E8" s="11" t="str">
        <f aca="false" t="array" ref="E8:E8">IF(D8="","",IFERROR(INDEX('CLM &amp; IM Mapping'!$B$2:$B$270,MATCH(TRIM(D8),'CLM &amp; IM Mapping'!$A$2:$A$270,0)),"Not Mapped"))</f>
        <v>Saddam Hussain</v>
      </c>
      <c r="F8" s="11" t="str">
        <f aca="false" t="array" ref="F8:F8">IF(D8="","",IFERROR(INDEX('CLM &amp; IM Mapping'!$C$2:$C$270,MATCH(TRIM(D8),'CLM &amp; IM Mapping'!$A$2:$A$270,0)),"Not Mapped"))</f>
        <v>Un Mapped</v>
      </c>
      <c r="G8" s="11" t="s">
        <v>34</v>
      </c>
      <c r="H8" s="10" t="n">
        <v>15940</v>
      </c>
      <c r="I8" s="10" t="n">
        <v>42998</v>
      </c>
      <c r="J8" s="10" t="n">
        <v>1688</v>
      </c>
      <c r="K8" s="10" t="n">
        <v>2605</v>
      </c>
      <c r="L8" s="10" t="n">
        <v>3932</v>
      </c>
      <c r="M8" s="10" t="n">
        <v>0</v>
      </c>
      <c r="N8" s="10" t="n">
        <v>680</v>
      </c>
      <c r="O8" s="10" t="n">
        <v>0</v>
      </c>
      <c r="P8" s="10" t="n">
        <v>67844</v>
      </c>
      <c r="Q8" s="17"/>
      <c r="R8" s="11"/>
      <c r="S8" s="12" t="s">
        <v>48</v>
      </c>
      <c r="T8" s="15"/>
      <c r="U8" s="14" t="s">
        <v>49</v>
      </c>
      <c r="V8" s="10" t="n">
        <v>41543</v>
      </c>
      <c r="W8" s="8"/>
      <c r="X8" s="8"/>
      <c r="Y8" s="8"/>
      <c r="Z8" s="8"/>
      <c r="AA8" s="8"/>
      <c r="AB8" s="8"/>
      <c r="AC8" s="8"/>
    </row>
    <row r="9" customFormat="false" ht="58.2" hidden="false" customHeight="false" outlineLevel="0" collapsed="false">
      <c r="A9" s="9" t="n">
        <v>46303</v>
      </c>
      <c r="B9" s="10" t="s">
        <v>22</v>
      </c>
      <c r="C9" s="11" t="s">
        <v>23</v>
      </c>
      <c r="D9" s="10" t="s">
        <v>50</v>
      </c>
      <c r="E9" s="11" t="str">
        <f aca="false" t="array" ref="E9:E9">IF(D9="","",IFERROR(INDEX('CLM &amp; IM Mapping'!$B$2:$B$270,MATCH(TRIM(D9),'CLM &amp; IM Mapping'!$A$2:$A$270,0)),"Not Mapped"))</f>
        <v>Arun Raj</v>
      </c>
      <c r="F9" s="11" t="str">
        <f aca="false" t="array" ref="F9:F9">IF(D9="","",IFERROR(INDEX('CLM &amp; IM Mapping'!$C$2:$C$270,MATCH(TRIM(D9),'CLM &amp; IM Mapping'!$A$2:$A$270,0)),"Not Mapped"))</f>
        <v>Simon Manoharan</v>
      </c>
      <c r="G9" s="11" t="s">
        <v>25</v>
      </c>
      <c r="H9" s="10" t="n">
        <v>19452</v>
      </c>
      <c r="I9" s="10" t="n">
        <v>38867</v>
      </c>
      <c r="J9" s="10" t="n">
        <v>0</v>
      </c>
      <c r="K9" s="10" t="n">
        <v>0</v>
      </c>
      <c r="L9" s="10" t="n">
        <v>530</v>
      </c>
      <c r="M9" s="10" t="n">
        <v>0</v>
      </c>
      <c r="N9" s="10" t="n">
        <v>37</v>
      </c>
      <c r="O9" s="10" t="n">
        <v>0</v>
      </c>
      <c r="P9" s="10" t="n">
        <v>58886</v>
      </c>
      <c r="Q9" s="18"/>
      <c r="R9" s="11"/>
      <c r="S9" s="12" t="s">
        <v>51</v>
      </c>
      <c r="T9" s="15" t="n">
        <v>50000</v>
      </c>
      <c r="U9" s="14" t="s">
        <v>52</v>
      </c>
      <c r="V9" s="10" t="n">
        <v>18584</v>
      </c>
      <c r="W9" s="8"/>
      <c r="X9" s="8"/>
      <c r="Y9" s="8"/>
      <c r="Z9" s="8"/>
      <c r="AA9" s="8"/>
      <c r="AB9" s="8"/>
      <c r="AC9" s="8"/>
    </row>
    <row r="10" customFormat="false" ht="44" hidden="false" customHeight="false" outlineLevel="0" collapsed="false">
      <c r="A10" s="9" t="n">
        <v>46303</v>
      </c>
      <c r="B10" s="10" t="s">
        <v>22</v>
      </c>
      <c r="C10" s="11" t="s">
        <v>23</v>
      </c>
      <c r="D10" s="10" t="s">
        <v>53</v>
      </c>
      <c r="E10" s="11" t="str">
        <f aca="false" t="array" ref="E10:E10">IF(D10="","",IFERROR(INDEX('CLM &amp; IM Mapping'!$B$2:$B$270,MATCH(TRIM(D10),'CLM &amp; IM Mapping'!$A$2:$A$270,0)),"Not Mapped"))</f>
        <v>Richard Harris</v>
      </c>
      <c r="F10" s="11" t="str">
        <f aca="false" t="array" ref="F10:F10">IF(D10="","",IFERROR(INDEX('CLM &amp; IM Mapping'!$C$2:$C$270,MATCH(TRIM(D10),'CLM &amp; IM Mapping'!$A$2:$A$270,0)),"Not Mapped"))</f>
        <v>Kantha Kumar</v>
      </c>
      <c r="G10" s="11" t="s">
        <v>34</v>
      </c>
      <c r="H10" s="10" t="n">
        <v>41355</v>
      </c>
      <c r="I10" s="10" t="n">
        <v>12847</v>
      </c>
      <c r="J10" s="10" t="n">
        <v>226</v>
      </c>
      <c r="K10" s="10" t="n">
        <v>2374</v>
      </c>
      <c r="L10" s="10" t="n">
        <v>948</v>
      </c>
      <c r="M10" s="10" t="n">
        <v>0</v>
      </c>
      <c r="N10" s="10" t="n">
        <v>0</v>
      </c>
      <c r="O10" s="10" t="n">
        <v>0</v>
      </c>
      <c r="P10" s="10" t="n">
        <v>57750</v>
      </c>
      <c r="Q10" s="17"/>
      <c r="R10" s="11"/>
      <c r="S10" s="12" t="s">
        <v>54</v>
      </c>
      <c r="T10" s="15" t="n">
        <v>40000</v>
      </c>
      <c r="U10" s="14" t="s">
        <v>55</v>
      </c>
      <c r="V10" s="10" t="n">
        <v>31906</v>
      </c>
      <c r="W10" s="8"/>
      <c r="X10" s="8"/>
      <c r="Y10" s="8"/>
      <c r="Z10" s="8"/>
      <c r="AA10" s="8"/>
      <c r="AB10" s="8"/>
      <c r="AC10" s="8"/>
    </row>
    <row r="11" customFormat="false" ht="114.9" hidden="false" customHeight="false" outlineLevel="0" collapsed="false">
      <c r="A11" s="9" t="n">
        <v>46303</v>
      </c>
      <c r="B11" s="10" t="s">
        <v>22</v>
      </c>
      <c r="C11" s="11" t="s">
        <v>23</v>
      </c>
      <c r="D11" s="10" t="s">
        <v>56</v>
      </c>
      <c r="E11" s="11" t="str">
        <f aca="false" t="array" ref="E11:E11">IF(D11="","",IFERROR(INDEX('CLM &amp; IM Mapping'!$B$2:$B$270,MATCH(TRIM(D11),'CLM &amp; IM Mapping'!$A$2:$A$270,0)),"Not Mapped"))</f>
        <v>Keshav G</v>
      </c>
      <c r="F11" s="11" t="str">
        <f aca="false" t="array" ref="F11:F11">IF(D11="","",IFERROR(INDEX('CLM &amp; IM Mapping'!$C$2:$C$270,MATCH(TRIM(D11),'CLM &amp; IM Mapping'!$A$2:$A$270,0)),"Not Mapped"))</f>
        <v>Un Mapped</v>
      </c>
      <c r="G11" s="11" t="s">
        <v>34</v>
      </c>
      <c r="H11" s="10" t="n">
        <v>5817</v>
      </c>
      <c r="I11" s="10" t="n">
        <v>29841</v>
      </c>
      <c r="J11" s="10" t="n">
        <v>0</v>
      </c>
      <c r="K11" s="10" t="n">
        <v>1403</v>
      </c>
      <c r="L11" s="10" t="n">
        <v>3816</v>
      </c>
      <c r="M11" s="10" t="n">
        <v>0</v>
      </c>
      <c r="N11" s="10" t="n">
        <v>0</v>
      </c>
      <c r="O11" s="10" t="n">
        <v>13273</v>
      </c>
      <c r="P11" s="10" t="n">
        <v>54150</v>
      </c>
      <c r="Q11" s="17"/>
      <c r="R11" s="11"/>
      <c r="S11" s="12" t="s">
        <v>57</v>
      </c>
      <c r="T11" s="15"/>
      <c r="U11" s="14" t="s">
        <v>58</v>
      </c>
      <c r="V11" s="10" t="n">
        <v>23909</v>
      </c>
      <c r="W11" s="8"/>
      <c r="X11" s="8"/>
      <c r="Y11" s="8"/>
      <c r="Z11" s="8"/>
      <c r="AA11" s="8"/>
      <c r="AB11" s="8"/>
      <c r="AC11" s="8"/>
    </row>
    <row r="12" customFormat="false" ht="129.1" hidden="false" customHeight="false" outlineLevel="0" collapsed="false">
      <c r="A12" s="9" t="n">
        <v>46303</v>
      </c>
      <c r="B12" s="10" t="s">
        <v>22</v>
      </c>
      <c r="C12" s="11" t="s">
        <v>23</v>
      </c>
      <c r="D12" s="10" t="s">
        <v>59</v>
      </c>
      <c r="E12" s="11" t="str">
        <f aca="false" t="array" ref="E12:E12">IF(D12="","",IFERROR(INDEX('CLM &amp; IM Mapping'!$B$2:$B$270,MATCH(TRIM(D12),'CLM &amp; IM Mapping'!$A$2:$A$270,0)),"Not Mapped"))</f>
        <v>Saddam Hussain</v>
      </c>
      <c r="F12" s="11" t="str">
        <f aca="false" t="array" ref="F12:F12">IF(D12="","",IFERROR(INDEX('CLM &amp; IM Mapping'!$C$2:$C$270,MATCH(TRIM(D12),'CLM &amp; IM Mapping'!$A$2:$A$270,0)),"Not Mapped"))</f>
        <v>Un Mapped</v>
      </c>
      <c r="G12" s="11" t="s">
        <v>34</v>
      </c>
      <c r="H12" s="10" t="n">
        <v>20452</v>
      </c>
      <c r="I12" s="10" t="n">
        <v>23732</v>
      </c>
      <c r="J12" s="10" t="n">
        <v>0</v>
      </c>
      <c r="K12" s="10" t="n">
        <v>7696</v>
      </c>
      <c r="L12" s="10" t="n">
        <v>584</v>
      </c>
      <c r="M12" s="10" t="n">
        <v>0</v>
      </c>
      <c r="N12" s="10" t="n">
        <v>1629</v>
      </c>
      <c r="O12" s="10" t="n">
        <v>0</v>
      </c>
      <c r="P12" s="10" t="n">
        <v>54093</v>
      </c>
      <c r="Q12" s="17"/>
      <c r="R12" s="11"/>
      <c r="S12" s="12" t="s">
        <v>60</v>
      </c>
      <c r="T12" s="15"/>
      <c r="U12" s="14" t="s">
        <v>61</v>
      </c>
      <c r="V12" s="10" t="n">
        <v>17533</v>
      </c>
      <c r="W12" s="8"/>
      <c r="X12" s="8"/>
      <c r="Y12" s="8"/>
      <c r="Z12" s="8"/>
      <c r="AA12" s="8"/>
      <c r="AB12" s="8"/>
      <c r="AC12" s="8"/>
    </row>
    <row r="13" customFormat="false" ht="44" hidden="false" customHeight="false" outlineLevel="0" collapsed="false">
      <c r="A13" s="9" t="n">
        <v>46303</v>
      </c>
      <c r="B13" s="10" t="s">
        <v>22</v>
      </c>
      <c r="C13" s="11" t="s">
        <v>23</v>
      </c>
      <c r="D13" s="10" t="s">
        <v>62</v>
      </c>
      <c r="E13" s="11" t="str">
        <f aca="false" t="array" ref="E13:E13">IF(D13="","",IFERROR(INDEX('CLM &amp; IM Mapping'!$B$2:$B$270,MATCH(TRIM(D13),'CLM &amp; IM Mapping'!$A$2:$A$270,0)),"Not Mapped"))</f>
        <v>Basil Scariya</v>
      </c>
      <c r="F13" s="11" t="str">
        <f aca="false" t="array" ref="F13:F13">IF(D13="","",IFERROR(INDEX('CLM &amp; IM Mapping'!$C$2:$C$270,MATCH(TRIM(D13),'CLM &amp; IM Mapping'!$A$2:$A$270,0)),"Not Mapped"))</f>
        <v>Prakash BS</v>
      </c>
      <c r="G13" s="11" t="s">
        <v>34</v>
      </c>
      <c r="H13" s="10" t="n">
        <v>37013</v>
      </c>
      <c r="I13" s="10" t="n">
        <v>13720</v>
      </c>
      <c r="J13" s="10" t="n">
        <v>0</v>
      </c>
      <c r="K13" s="10" t="n">
        <v>0</v>
      </c>
      <c r="L13" s="10" t="n">
        <v>69</v>
      </c>
      <c r="M13" s="10" t="n">
        <v>0</v>
      </c>
      <c r="N13" s="10" t="n">
        <v>1350</v>
      </c>
      <c r="O13" s="10" t="n">
        <v>0</v>
      </c>
      <c r="P13" s="10" t="n">
        <v>52152</v>
      </c>
      <c r="Q13" s="19"/>
      <c r="R13" s="11"/>
      <c r="S13" s="12" t="s">
        <v>63</v>
      </c>
      <c r="T13" s="15" t="n">
        <v>40000</v>
      </c>
      <c r="U13" s="14" t="s">
        <v>64</v>
      </c>
      <c r="V13" s="10" t="n">
        <v>36339</v>
      </c>
      <c r="W13" s="8"/>
      <c r="X13" s="8"/>
      <c r="Y13" s="8"/>
      <c r="Z13" s="8"/>
      <c r="AA13" s="8"/>
      <c r="AB13" s="8"/>
      <c r="AC13" s="8"/>
    </row>
    <row r="14" customFormat="false" ht="58.2" hidden="false" customHeight="false" outlineLevel="0" collapsed="false">
      <c r="A14" s="9" t="n">
        <v>46303</v>
      </c>
      <c r="B14" s="10" t="s">
        <v>22</v>
      </c>
      <c r="C14" s="11" t="s">
        <v>23</v>
      </c>
      <c r="D14" s="10" t="s">
        <v>65</v>
      </c>
      <c r="E14" s="11" t="str">
        <f aca="false" t="array" ref="E14:E14">IF(D14="","",IFERROR(INDEX('CLM &amp; IM Mapping'!$B$2:$B$270,MATCH(TRIM(D14),'CLM &amp; IM Mapping'!$A$2:$A$270,0)),"Not Mapped"))</f>
        <v>Adhavan Subramani</v>
      </c>
      <c r="F14" s="11" t="str">
        <f aca="false" t="array" ref="F14:F14">IF(D14="","",IFERROR(INDEX('CLM &amp; IM Mapping'!$C$2:$C$270,MATCH(TRIM(D14),'CLM &amp; IM Mapping'!$A$2:$A$270,0)),"Not Mapped"))</f>
        <v>Mohammed Akbar</v>
      </c>
      <c r="G14" s="11" t="s">
        <v>34</v>
      </c>
      <c r="H14" s="10" t="n">
        <v>16761</v>
      </c>
      <c r="I14" s="10" t="n">
        <v>27598</v>
      </c>
      <c r="J14" s="10" t="n">
        <v>0</v>
      </c>
      <c r="K14" s="10" t="n">
        <v>5808</v>
      </c>
      <c r="L14" s="10" t="n">
        <v>1603</v>
      </c>
      <c r="M14" s="10" t="n">
        <v>0</v>
      </c>
      <c r="N14" s="10" t="n">
        <v>0</v>
      </c>
      <c r="O14" s="10" t="n">
        <v>0</v>
      </c>
      <c r="P14" s="10" t="n">
        <v>51771</v>
      </c>
      <c r="Q14" s="17"/>
      <c r="R14" s="11"/>
      <c r="S14" s="12" t="s">
        <v>66</v>
      </c>
      <c r="T14" s="15" t="n">
        <v>40000</v>
      </c>
      <c r="U14" s="14" t="s">
        <v>67</v>
      </c>
      <c r="V14" s="10" t="n">
        <v>28906</v>
      </c>
      <c r="W14" s="8"/>
      <c r="X14" s="8"/>
      <c r="Y14" s="8"/>
      <c r="Z14" s="8"/>
      <c r="AA14" s="8"/>
      <c r="AB14" s="8"/>
      <c r="AC14" s="8"/>
    </row>
    <row r="15" customFormat="false" ht="129.1" hidden="false" customHeight="false" outlineLevel="0" collapsed="false">
      <c r="A15" s="9" t="n">
        <v>46303</v>
      </c>
      <c r="B15" s="10" t="s">
        <v>22</v>
      </c>
      <c r="C15" s="11" t="s">
        <v>23</v>
      </c>
      <c r="D15" s="10" t="s">
        <v>68</v>
      </c>
      <c r="E15" s="11" t="str">
        <f aca="false" t="array" ref="E15:E15">IF(D15="","",IFERROR(INDEX('CLM &amp; IM Mapping'!$B$2:$B$270,MATCH(TRIM(D15),'CLM &amp; IM Mapping'!$A$2:$A$270,0)),"Not Mapped"))</f>
        <v>Girish N</v>
      </c>
      <c r="F15" s="11" t="str">
        <f aca="false" t="array" ref="F15:F15">IF(D15="","",IFERROR(INDEX('CLM &amp; IM Mapping'!$C$2:$C$270,MATCH(TRIM(D15),'CLM &amp; IM Mapping'!$A$2:$A$270,0)),"Not Mapped"))</f>
        <v>Un Mapped</v>
      </c>
      <c r="G15" s="11" t="s">
        <v>34</v>
      </c>
      <c r="H15" s="10" t="n">
        <v>34189</v>
      </c>
      <c r="I15" s="10" t="n">
        <v>13467</v>
      </c>
      <c r="J15" s="10" t="n">
        <v>1279</v>
      </c>
      <c r="K15" s="10" t="n">
        <v>0</v>
      </c>
      <c r="L15" s="10" t="n">
        <v>541</v>
      </c>
      <c r="M15" s="10" t="n">
        <v>0</v>
      </c>
      <c r="N15" s="10" t="n">
        <v>21</v>
      </c>
      <c r="O15" s="10" t="n">
        <v>0</v>
      </c>
      <c r="P15" s="10" t="n">
        <v>49497</v>
      </c>
      <c r="Q15" s="17"/>
      <c r="R15" s="11"/>
      <c r="S15" s="12" t="s">
        <v>69</v>
      </c>
      <c r="T15" s="15"/>
      <c r="U15" s="14" t="s">
        <v>61</v>
      </c>
      <c r="V15" s="10" t="n">
        <v>20482</v>
      </c>
      <c r="W15" s="8"/>
      <c r="X15" s="8"/>
      <c r="Y15" s="8"/>
      <c r="Z15" s="8"/>
      <c r="AA15" s="8"/>
      <c r="AB15" s="8"/>
      <c r="AC15" s="8"/>
    </row>
    <row r="16" customFormat="false" ht="129.1" hidden="false" customHeight="false" outlineLevel="0" collapsed="false">
      <c r="A16" s="9" t="n">
        <v>46303</v>
      </c>
      <c r="B16" s="10" t="s">
        <v>22</v>
      </c>
      <c r="C16" s="11" t="s">
        <v>23</v>
      </c>
      <c r="D16" s="10" t="s">
        <v>70</v>
      </c>
      <c r="E16" s="11" t="str">
        <f aca="false" t="array" ref="E16:E16">IF(D16="","",IFERROR(INDEX('CLM &amp; IM Mapping'!$B$2:$B$270,MATCH(TRIM(D16),'CLM &amp; IM Mapping'!$A$2:$A$270,0)),"Not Mapped"))</f>
        <v>Rizwan Ahmed</v>
      </c>
      <c r="F16" s="11" t="str">
        <f aca="false" t="array" ref="F16:F16">IF(D16="","",IFERROR(INDEX('CLM &amp; IM Mapping'!$C$2:$C$270,MATCH(TRIM(D16),'CLM &amp; IM Mapping'!$A$2:$A$270,0)),"Not Mapped"))</f>
        <v>Un Mapped</v>
      </c>
      <c r="G16" s="11" t="s">
        <v>34</v>
      </c>
      <c r="H16" s="10" t="n">
        <v>31101</v>
      </c>
      <c r="I16" s="10" t="n">
        <v>16912</v>
      </c>
      <c r="J16" s="10" t="n">
        <v>235</v>
      </c>
      <c r="K16" s="10" t="n">
        <v>28</v>
      </c>
      <c r="L16" s="10" t="n">
        <v>595</v>
      </c>
      <c r="M16" s="10" t="n">
        <v>0</v>
      </c>
      <c r="N16" s="10" t="n">
        <v>0</v>
      </c>
      <c r="O16" s="10" t="n">
        <v>0</v>
      </c>
      <c r="P16" s="10" t="n">
        <v>48871</v>
      </c>
      <c r="Q16" s="17"/>
      <c r="R16" s="11"/>
      <c r="S16" s="12" t="s">
        <v>71</v>
      </c>
      <c r="T16" s="15"/>
      <c r="U16" s="14" t="s">
        <v>72</v>
      </c>
      <c r="V16" s="10" t="n">
        <v>11018</v>
      </c>
      <c r="W16" s="8"/>
      <c r="X16" s="8"/>
      <c r="Y16" s="8"/>
      <c r="Z16" s="8"/>
      <c r="AA16" s="8"/>
      <c r="AB16" s="8"/>
      <c r="AC16" s="8"/>
    </row>
    <row r="17" customFormat="false" ht="58.2" hidden="false" customHeight="false" outlineLevel="0" collapsed="false">
      <c r="A17" s="9" t="n">
        <v>46303</v>
      </c>
      <c r="B17" s="10" t="s">
        <v>22</v>
      </c>
      <c r="C17" s="11" t="s">
        <v>23</v>
      </c>
      <c r="D17" s="10" t="s">
        <v>73</v>
      </c>
      <c r="E17" s="11" t="str">
        <f aca="false" t="array" ref="E17:E17">IF(D17="","",IFERROR(INDEX('CLM &amp; IM Mapping'!$B$2:$B$270,MATCH(TRIM(D17),'CLM &amp; IM Mapping'!$A$2:$A$270,0)),"Not Mapped"))</f>
        <v>Narasimhamurthy R</v>
      </c>
      <c r="F17" s="11" t="str">
        <f aca="false" t="array" ref="F17:F17">IF(D17="","",IFERROR(INDEX('CLM &amp; IM Mapping'!$C$2:$C$270,MATCH(TRIM(D17),'CLM &amp; IM Mapping'!$A$2:$A$270,0)),"Not Mapped"))</f>
        <v>Kishor K</v>
      </c>
      <c r="G17" s="11" t="s">
        <v>34</v>
      </c>
      <c r="H17" s="10" t="n">
        <v>26779</v>
      </c>
      <c r="I17" s="10" t="n">
        <v>20348</v>
      </c>
      <c r="J17" s="10" t="n">
        <v>0</v>
      </c>
      <c r="K17" s="10" t="n">
        <v>1436</v>
      </c>
      <c r="L17" s="10" t="n">
        <v>101</v>
      </c>
      <c r="M17" s="10" t="n">
        <v>0</v>
      </c>
      <c r="N17" s="10" t="n">
        <v>0</v>
      </c>
      <c r="O17" s="10" t="n">
        <v>0</v>
      </c>
      <c r="P17" s="10" t="n">
        <v>48665</v>
      </c>
      <c r="Q17" s="17"/>
      <c r="R17" s="11"/>
      <c r="S17" s="12" t="s">
        <v>74</v>
      </c>
      <c r="T17" s="15" t="n">
        <v>40000</v>
      </c>
      <c r="U17" s="14" t="s">
        <v>75</v>
      </c>
      <c r="V17" s="10" t="n">
        <v>29310</v>
      </c>
      <c r="W17" s="8"/>
      <c r="X17" s="8"/>
      <c r="Y17" s="8"/>
      <c r="Z17" s="8"/>
      <c r="AA17" s="8"/>
      <c r="AB17" s="8"/>
      <c r="AC17" s="8"/>
    </row>
    <row r="18" customFormat="false" ht="29.85" hidden="false" customHeight="false" outlineLevel="0" collapsed="false">
      <c r="A18" s="9" t="n">
        <v>46303</v>
      </c>
      <c r="B18" s="10" t="s">
        <v>22</v>
      </c>
      <c r="C18" s="11" t="s">
        <v>23</v>
      </c>
      <c r="D18" s="10" t="s">
        <v>76</v>
      </c>
      <c r="E18" s="11" t="str">
        <f aca="false" t="array" ref="E18:E18">IF(D18="","",IFERROR(INDEX('CLM &amp; IM Mapping'!$B$2:$B$270,MATCH(TRIM(D18),'CLM &amp; IM Mapping'!$A$2:$A$270,0)),"Not Mapped"))</f>
        <v>Silambarasan E</v>
      </c>
      <c r="F18" s="11" t="str">
        <f aca="false" t="array" ref="F18:F18">IF(D18="","",IFERROR(INDEX('CLM &amp; IM Mapping'!$C$2:$C$270,MATCH(TRIM(D18),'CLM &amp; IM Mapping'!$A$2:$A$270,0)),"Not Mapped"))</f>
        <v>Arivind S</v>
      </c>
      <c r="G18" s="11" t="s">
        <v>34</v>
      </c>
      <c r="H18" s="10" t="n">
        <v>44009</v>
      </c>
      <c r="I18" s="10" t="n">
        <v>4060</v>
      </c>
      <c r="J18" s="10" t="n">
        <v>0</v>
      </c>
      <c r="K18" s="10" t="n">
        <v>0</v>
      </c>
      <c r="L18" s="10" t="n">
        <v>190</v>
      </c>
      <c r="M18" s="10" t="n">
        <v>0</v>
      </c>
      <c r="N18" s="10" t="n">
        <v>0</v>
      </c>
      <c r="O18" s="10" t="n">
        <v>0</v>
      </c>
      <c r="P18" s="10" t="n">
        <v>48259</v>
      </c>
      <c r="Q18" s="12" t="s">
        <v>77</v>
      </c>
      <c r="R18" s="11"/>
      <c r="S18" s="12" t="s">
        <v>78</v>
      </c>
      <c r="T18" s="15"/>
      <c r="U18" s="14" t="s">
        <v>79</v>
      </c>
      <c r="V18" s="10" t="n">
        <v>15781</v>
      </c>
      <c r="W18" s="8"/>
      <c r="X18" s="8"/>
      <c r="Y18" s="8"/>
      <c r="Z18" s="8"/>
      <c r="AA18" s="8"/>
      <c r="AB18" s="8"/>
      <c r="AC18" s="8"/>
    </row>
    <row r="19" customFormat="false" ht="100.7" hidden="false" customHeight="false" outlineLevel="0" collapsed="false">
      <c r="A19" s="9" t="n">
        <v>46303</v>
      </c>
      <c r="B19" s="10" t="s">
        <v>22</v>
      </c>
      <c r="C19" s="11" t="s">
        <v>23</v>
      </c>
      <c r="D19" s="11" t="s">
        <v>80</v>
      </c>
      <c r="E19" s="11" t="str">
        <f aca="false" t="array" ref="E19:E19">IF(D19="","",IFERROR(INDEX('CLM &amp; IM Mapping'!$B$2:$B$270,MATCH(TRIM(D19),'CLM &amp; IM Mapping'!$A$2:$A$270,0)),"Not Mapped"))</f>
        <v>Sundaresh S</v>
      </c>
      <c r="F19" s="11" t="str">
        <f aca="false" t="array" ref="F19:F19">IF(D19="","",IFERROR(INDEX('CLM &amp; IM Mapping'!$C$2:$C$270,MATCH(TRIM(D19),'CLM &amp; IM Mapping'!$A$2:$A$270,0)),"Not Mapped"))</f>
        <v>Un Mapped</v>
      </c>
      <c r="G19" s="11" t="s">
        <v>34</v>
      </c>
      <c r="H19" s="10" t="n">
        <v>15241</v>
      </c>
      <c r="I19" s="10" t="n">
        <v>17511</v>
      </c>
      <c r="J19" s="10" t="n">
        <v>0</v>
      </c>
      <c r="K19" s="10" t="n">
        <v>651</v>
      </c>
      <c r="L19" s="10" t="n">
        <v>1730</v>
      </c>
      <c r="M19" s="10" t="n">
        <v>0</v>
      </c>
      <c r="N19" s="10" t="n">
        <v>12084</v>
      </c>
      <c r="O19" s="10" t="n">
        <v>0</v>
      </c>
      <c r="P19" s="10" t="n">
        <v>47218</v>
      </c>
      <c r="Q19" s="17"/>
      <c r="R19" s="11"/>
      <c r="S19" s="12" t="s">
        <v>81</v>
      </c>
      <c r="T19" s="15"/>
      <c r="U19" s="14" t="s">
        <v>82</v>
      </c>
      <c r="V19" s="10" t="n">
        <v>21608</v>
      </c>
      <c r="W19" s="8"/>
      <c r="X19" s="8"/>
      <c r="Y19" s="8"/>
      <c r="Z19" s="8"/>
      <c r="AA19" s="8"/>
      <c r="AB19" s="8"/>
      <c r="AC19" s="8"/>
    </row>
    <row r="20" customFormat="false" ht="52.2" hidden="false" customHeight="false" outlineLevel="0" collapsed="false">
      <c r="A20" s="9" t="n">
        <v>46303</v>
      </c>
      <c r="B20" s="10" t="s">
        <v>22</v>
      </c>
      <c r="C20" s="11" t="s">
        <v>23</v>
      </c>
      <c r="D20" s="10" t="s">
        <v>83</v>
      </c>
      <c r="E20" s="11" t="str">
        <f aca="false" t="array" ref="E20:E20">IF(D20="","",IFERROR(INDEX('CLM &amp; IM Mapping'!$B$2:$B$270,MATCH(TRIM(D20),'CLM &amp; IM Mapping'!$A$2:$A$270,0)),"Not Mapped"))</f>
        <v>Keshav G</v>
      </c>
      <c r="F20" s="11" t="str">
        <f aca="false" t="array" ref="F20:F20">IF(D20="","",IFERROR(INDEX('CLM &amp; IM Mapping'!$C$2:$C$270,MATCH(TRIM(D20),'CLM &amp; IM Mapping'!$A$2:$A$270,0)),"Not Mapped"))</f>
        <v>Mohammed Akbar</v>
      </c>
      <c r="G20" s="11" t="s">
        <v>34</v>
      </c>
      <c r="H20" s="10" t="n">
        <v>9409</v>
      </c>
      <c r="I20" s="10" t="n">
        <v>27235</v>
      </c>
      <c r="J20" s="10" t="n">
        <v>0</v>
      </c>
      <c r="K20" s="10" t="n">
        <v>235</v>
      </c>
      <c r="L20" s="10" t="n">
        <v>6731</v>
      </c>
      <c r="M20" s="10" t="n">
        <v>0</v>
      </c>
      <c r="N20" s="10" t="n">
        <v>3486</v>
      </c>
      <c r="O20" s="10" t="n">
        <v>0</v>
      </c>
      <c r="P20" s="10" t="n">
        <v>47094</v>
      </c>
      <c r="Q20" s="17"/>
      <c r="R20" s="11"/>
      <c r="S20" s="20" t="s">
        <v>84</v>
      </c>
      <c r="T20" s="15" t="n">
        <v>40000</v>
      </c>
      <c r="U20" s="14" t="s">
        <v>85</v>
      </c>
      <c r="V20" s="10" t="n">
        <v>25002</v>
      </c>
      <c r="W20" s="8"/>
      <c r="X20" s="8"/>
      <c r="Y20" s="8"/>
      <c r="Z20" s="8"/>
      <c r="AA20" s="8"/>
      <c r="AB20" s="8"/>
      <c r="AC20" s="8"/>
    </row>
    <row r="21" customFormat="false" ht="29.85" hidden="false" customHeight="false" outlineLevel="0" collapsed="false">
      <c r="A21" s="9" t="n">
        <v>46303</v>
      </c>
      <c r="B21" s="10" t="s">
        <v>22</v>
      </c>
      <c r="C21" s="11" t="s">
        <v>23</v>
      </c>
      <c r="D21" s="10" t="s">
        <v>86</v>
      </c>
      <c r="E21" s="11" t="str">
        <f aca="false" t="array" ref="E21:E21">IF(D21="","",IFERROR(INDEX('CLM &amp; IM Mapping'!$B$2:$B$270,MATCH(TRIM(D21),'CLM &amp; IM Mapping'!$A$2:$A$270,0)),"Not Mapped"))</f>
        <v>Raghavendra Vernekar</v>
      </c>
      <c r="F21" s="11" t="str">
        <f aca="false" t="array" ref="F21:F21">IF(D21="","",IFERROR(INDEX('CLM &amp; IM Mapping'!$C$2:$C$270,MATCH(TRIM(D21),'CLM &amp; IM Mapping'!$A$2:$A$270,0)),"Not Mapped"))</f>
        <v>Prakash BS</v>
      </c>
      <c r="G21" s="11" t="s">
        <v>34</v>
      </c>
      <c r="H21" s="10" t="n">
        <v>27603</v>
      </c>
      <c r="I21" s="10" t="n">
        <v>14083</v>
      </c>
      <c r="J21" s="10" t="n">
        <v>0</v>
      </c>
      <c r="K21" s="10" t="n">
        <v>3884</v>
      </c>
      <c r="L21" s="10" t="n">
        <v>804</v>
      </c>
      <c r="M21" s="10" t="n">
        <v>0</v>
      </c>
      <c r="N21" s="10" t="n">
        <v>0</v>
      </c>
      <c r="O21" s="10" t="n">
        <v>0</v>
      </c>
      <c r="P21" s="10" t="n">
        <v>46374</v>
      </c>
      <c r="Q21" s="17"/>
      <c r="R21" s="11"/>
      <c r="S21" s="12" t="s">
        <v>87</v>
      </c>
      <c r="T21" s="15" t="n">
        <v>40000</v>
      </c>
      <c r="U21" s="14" t="s">
        <v>88</v>
      </c>
      <c r="V21" s="10" t="n">
        <v>31277</v>
      </c>
      <c r="W21" s="8"/>
      <c r="X21" s="8"/>
      <c r="Y21" s="8"/>
      <c r="Z21" s="8"/>
      <c r="AA21" s="8"/>
      <c r="AB21" s="8"/>
      <c r="AC21" s="8"/>
    </row>
    <row r="22" customFormat="false" ht="44" hidden="false" customHeight="false" outlineLevel="0" collapsed="false">
      <c r="A22" s="9" t="n">
        <v>46303</v>
      </c>
      <c r="B22" s="10" t="s">
        <v>22</v>
      </c>
      <c r="C22" s="11" t="s">
        <v>23</v>
      </c>
      <c r="D22" s="10" t="s">
        <v>89</v>
      </c>
      <c r="E22" s="11" t="str">
        <f aca="false" t="array" ref="E22:E22">IF(D22="","",IFERROR(INDEX('CLM &amp; IM Mapping'!$B$2:$B$270,MATCH(TRIM(D22),'CLM &amp; IM Mapping'!$A$2:$A$270,0)),"Not Mapped"))</f>
        <v>Raghavendra Vernekar</v>
      </c>
      <c r="F22" s="11" t="str">
        <f aca="false" t="array" ref="F22:F22">IF(D22="","",IFERROR(INDEX('CLM &amp; IM Mapping'!$C$2:$C$270,MATCH(TRIM(D22),'CLM &amp; IM Mapping'!$A$2:$A$270,0)),"Not Mapped"))</f>
        <v>Prakash BS</v>
      </c>
      <c r="G22" s="11" t="s">
        <v>34</v>
      </c>
      <c r="H22" s="10" t="n">
        <v>201</v>
      </c>
      <c r="I22" s="10" t="n">
        <v>2037</v>
      </c>
      <c r="J22" s="10" t="n">
        <v>0</v>
      </c>
      <c r="K22" s="10" t="n">
        <v>0</v>
      </c>
      <c r="L22" s="10" t="n">
        <v>170</v>
      </c>
      <c r="M22" s="10" t="n">
        <v>0</v>
      </c>
      <c r="N22" s="10" t="n">
        <v>41386</v>
      </c>
      <c r="O22" s="10" t="n">
        <v>0</v>
      </c>
      <c r="P22" s="10" t="n">
        <v>43795</v>
      </c>
      <c r="Q22" s="17"/>
      <c r="R22" s="11"/>
      <c r="S22" s="12" t="s">
        <v>90</v>
      </c>
      <c r="T22" s="15" t="n">
        <v>43000</v>
      </c>
      <c r="U22" s="14" t="s">
        <v>91</v>
      </c>
      <c r="V22" s="10" t="n">
        <v>4747</v>
      </c>
      <c r="W22" s="8"/>
      <c r="X22" s="8"/>
      <c r="Y22" s="8"/>
      <c r="Z22" s="8"/>
      <c r="AA22" s="8"/>
      <c r="AB22" s="8"/>
      <c r="AC22" s="8"/>
    </row>
    <row r="23" customFormat="false" ht="58.2" hidden="false" customHeight="false" outlineLevel="0" collapsed="false">
      <c r="A23" s="9" t="n">
        <v>46303</v>
      </c>
      <c r="B23" s="10" t="s">
        <v>22</v>
      </c>
      <c r="C23" s="11" t="s">
        <v>23</v>
      </c>
      <c r="D23" s="10" t="s">
        <v>92</v>
      </c>
      <c r="E23" s="11" t="str">
        <f aca="false" t="array" ref="E23:E23">IF(D23="","",IFERROR(INDEX('CLM &amp; IM Mapping'!$B$2:$B$270,MATCH(TRIM(D23),'CLM &amp; IM Mapping'!$A$2:$A$270,0)),"Not Mapped"))</f>
        <v>Balaji G</v>
      </c>
      <c r="F23" s="11" t="str">
        <f aca="false" t="array" ref="F23:F23">IF(D23="","",IFERROR(INDEX('CLM &amp; IM Mapping'!$C$2:$C$270,MATCH(TRIM(D23),'CLM &amp; IM Mapping'!$A$2:$A$270,0)),"Not Mapped"))</f>
        <v>Mohammed Akbar</v>
      </c>
      <c r="G23" s="11" t="s">
        <v>34</v>
      </c>
      <c r="H23" s="10" t="n">
        <v>3171</v>
      </c>
      <c r="I23" s="10" t="n">
        <v>31819</v>
      </c>
      <c r="J23" s="10" t="n">
        <v>2882</v>
      </c>
      <c r="K23" s="10" t="n">
        <v>3955</v>
      </c>
      <c r="L23" s="10" t="n">
        <v>1745</v>
      </c>
      <c r="M23" s="10" t="n">
        <v>0</v>
      </c>
      <c r="N23" s="10" t="n">
        <v>0</v>
      </c>
      <c r="O23" s="10" t="n">
        <v>0</v>
      </c>
      <c r="P23" s="10" t="n">
        <v>43571</v>
      </c>
      <c r="Q23" s="17"/>
      <c r="R23" s="11"/>
      <c r="S23" s="12" t="s">
        <v>93</v>
      </c>
      <c r="T23" s="15" t="n">
        <v>40000</v>
      </c>
      <c r="U23" s="14" t="s">
        <v>67</v>
      </c>
      <c r="V23" s="10" t="n">
        <v>31810</v>
      </c>
      <c r="W23" s="8"/>
      <c r="X23" s="8"/>
      <c r="Y23" s="8"/>
      <c r="Z23" s="8"/>
      <c r="AA23" s="8"/>
      <c r="AB23" s="8"/>
      <c r="AC23" s="8"/>
    </row>
    <row r="24" customFormat="false" ht="44" hidden="false" customHeight="false" outlineLevel="0" collapsed="false">
      <c r="A24" s="9" t="n">
        <v>46303</v>
      </c>
      <c r="B24" s="10" t="s">
        <v>22</v>
      </c>
      <c r="C24" s="11" t="s">
        <v>23</v>
      </c>
      <c r="D24" s="10" t="s">
        <v>94</v>
      </c>
      <c r="E24" s="11" t="str">
        <f aca="false" t="array" ref="E24:E24">IF(D24="","",IFERROR(INDEX('CLM &amp; IM Mapping'!$B$2:$B$270,MATCH(TRIM(D24),'CLM &amp; IM Mapping'!$A$2:$A$270,0)),"Not Mapped"))</f>
        <v>Ashwath S</v>
      </c>
      <c r="F24" s="11" t="str">
        <f aca="false" t="array" ref="F24:F24">IF(D24="","",IFERROR(INDEX('CLM &amp; IM Mapping'!$C$2:$C$270,MATCH(TRIM(D24),'CLM &amp; IM Mapping'!$A$2:$A$270,0)),"Not Mapped"))</f>
        <v>Kantha Kumar</v>
      </c>
      <c r="G24" s="11" t="s">
        <v>34</v>
      </c>
      <c r="H24" s="10" t="n">
        <v>33628</v>
      </c>
      <c r="I24" s="10" t="n">
        <v>9141</v>
      </c>
      <c r="J24" s="10" t="n">
        <v>0</v>
      </c>
      <c r="K24" s="10" t="n">
        <v>0</v>
      </c>
      <c r="L24" s="10" t="n">
        <v>243</v>
      </c>
      <c r="M24" s="10" t="n">
        <v>0</v>
      </c>
      <c r="N24" s="10" t="n">
        <v>0</v>
      </c>
      <c r="O24" s="10" t="n">
        <v>0</v>
      </c>
      <c r="P24" s="10" t="n">
        <v>43012</v>
      </c>
      <c r="Q24" s="17"/>
      <c r="R24" s="11"/>
      <c r="S24" s="12" t="s">
        <v>95</v>
      </c>
      <c r="T24" s="15" t="n">
        <v>40000</v>
      </c>
      <c r="U24" s="14" t="s">
        <v>96</v>
      </c>
      <c r="V24" s="10" t="n">
        <v>20793</v>
      </c>
      <c r="W24" s="8"/>
      <c r="X24" s="8"/>
      <c r="Y24" s="8"/>
      <c r="Z24" s="8"/>
      <c r="AA24" s="8"/>
      <c r="AB24" s="8"/>
      <c r="AC24" s="8"/>
    </row>
    <row r="25" customFormat="false" ht="44" hidden="false" customHeight="false" outlineLevel="0" collapsed="false">
      <c r="A25" s="9" t="n">
        <v>46303</v>
      </c>
      <c r="B25" s="10" t="s">
        <v>22</v>
      </c>
      <c r="C25" s="11" t="s">
        <v>23</v>
      </c>
      <c r="D25" s="11" t="s">
        <v>97</v>
      </c>
      <c r="E25" s="11" t="str">
        <f aca="false" t="array" ref="E25:E25">IF(D25="","",IFERROR(INDEX('CLM &amp; IM Mapping'!$B$2:$B$270,MATCH(TRIM(D25),'CLM &amp; IM Mapping'!$A$2:$A$270,0)),"Not Mapped"))</f>
        <v>Raghavendra Vernekar</v>
      </c>
      <c r="F25" s="11" t="str">
        <f aca="false" t="array" ref="F25:F25">IF(D25="","",IFERROR(INDEX('CLM &amp; IM Mapping'!$C$2:$C$270,MATCH(TRIM(D25),'CLM &amp; IM Mapping'!$A$2:$A$270,0)),"Not Mapped"))</f>
        <v>Prakash BS</v>
      </c>
      <c r="G25" s="11" t="s">
        <v>34</v>
      </c>
      <c r="H25" s="10" t="n">
        <v>-18636</v>
      </c>
      <c r="I25" s="10" t="n">
        <v>26089</v>
      </c>
      <c r="J25" s="10" t="n">
        <v>0</v>
      </c>
      <c r="K25" s="10" t="n">
        <v>228</v>
      </c>
      <c r="L25" s="10" t="n">
        <v>237</v>
      </c>
      <c r="M25" s="10" t="n">
        <v>0</v>
      </c>
      <c r="N25" s="10" t="n">
        <v>2148</v>
      </c>
      <c r="O25" s="10" t="n">
        <v>32886</v>
      </c>
      <c r="P25" s="10" t="n">
        <v>42952</v>
      </c>
      <c r="Q25" s="17"/>
      <c r="R25" s="11"/>
      <c r="S25" s="12" t="s">
        <v>98</v>
      </c>
      <c r="T25" s="15" t="n">
        <v>30000</v>
      </c>
      <c r="U25" s="14" t="s">
        <v>99</v>
      </c>
      <c r="V25" s="10" t="n">
        <v>17465</v>
      </c>
      <c r="W25" s="8"/>
      <c r="X25" s="8"/>
      <c r="Y25" s="8"/>
      <c r="Z25" s="8"/>
      <c r="AA25" s="8"/>
      <c r="AB25" s="8"/>
      <c r="AC25" s="8"/>
    </row>
    <row r="26" customFormat="false" ht="100.7" hidden="false" customHeight="false" outlineLevel="0" collapsed="false">
      <c r="A26" s="9" t="n">
        <v>46303</v>
      </c>
      <c r="B26" s="10" t="s">
        <v>22</v>
      </c>
      <c r="C26" s="11" t="s">
        <v>23</v>
      </c>
      <c r="D26" s="10" t="s">
        <v>100</v>
      </c>
      <c r="E26" s="11" t="str">
        <f aca="false" t="array" ref="E26:E26">IF(D26="","",IFERROR(INDEX('CLM &amp; IM Mapping'!$B$2:$B$270,MATCH(TRIM(D26),'CLM &amp; IM Mapping'!$A$2:$A$270,0)),"Not Mapped"))</f>
        <v>Sundaresh S</v>
      </c>
      <c r="F26" s="11" t="str">
        <f aca="false" t="array" ref="F26:F26">IF(D26="","",IFERROR(INDEX('CLM &amp; IM Mapping'!$C$2:$C$270,MATCH(TRIM(D26),'CLM &amp; IM Mapping'!$A$2:$A$270,0)),"Not Mapped"))</f>
        <v>Un Mapped</v>
      </c>
      <c r="G26" s="11" t="s">
        <v>34</v>
      </c>
      <c r="H26" s="10" t="n">
        <v>23680</v>
      </c>
      <c r="I26" s="10" t="n">
        <v>12580</v>
      </c>
      <c r="J26" s="10" t="n">
        <v>38</v>
      </c>
      <c r="K26" s="10" t="n">
        <v>5740</v>
      </c>
      <c r="L26" s="10" t="n">
        <v>746</v>
      </c>
      <c r="M26" s="10" t="n">
        <v>0</v>
      </c>
      <c r="N26" s="10" t="n">
        <v>0</v>
      </c>
      <c r="O26" s="10" t="n">
        <v>0</v>
      </c>
      <c r="P26" s="10" t="n">
        <v>42783</v>
      </c>
      <c r="Q26" s="17"/>
      <c r="R26" s="11"/>
      <c r="S26" s="12" t="s">
        <v>101</v>
      </c>
      <c r="T26" s="15"/>
      <c r="U26" s="14" t="s">
        <v>102</v>
      </c>
      <c r="V26" s="10" t="n">
        <v>36506</v>
      </c>
      <c r="W26" s="8"/>
      <c r="X26" s="8"/>
      <c r="Y26" s="8"/>
      <c r="Z26" s="8"/>
      <c r="AA26" s="8"/>
      <c r="AB26" s="8"/>
      <c r="AC26" s="8"/>
    </row>
    <row r="27" customFormat="false" ht="129.1" hidden="false" customHeight="false" outlineLevel="0" collapsed="false">
      <c r="A27" s="9" t="n">
        <v>46303</v>
      </c>
      <c r="B27" s="10" t="s">
        <v>22</v>
      </c>
      <c r="C27" s="11" t="s">
        <v>23</v>
      </c>
      <c r="D27" s="10" t="s">
        <v>103</v>
      </c>
      <c r="E27" s="11" t="str">
        <f aca="false" t="array" ref="E27:E27">IF(D27="","",IFERROR(INDEX('CLM &amp; IM Mapping'!$B$2:$B$270,MATCH(TRIM(D27),'CLM &amp; IM Mapping'!$A$2:$A$270,0)),"Not Mapped"))</f>
        <v>Girish N</v>
      </c>
      <c r="F27" s="11" t="str">
        <f aca="false" t="array" ref="F27:F27">IF(D27="","",IFERROR(INDEX('CLM &amp; IM Mapping'!$C$2:$C$270,MATCH(TRIM(D27),'CLM &amp; IM Mapping'!$A$2:$A$270,0)),"Not Mapped"))</f>
        <v>Un Mapped</v>
      </c>
      <c r="G27" s="11" t="s">
        <v>34</v>
      </c>
      <c r="H27" s="10" t="n">
        <v>29680</v>
      </c>
      <c r="I27" s="10" t="n">
        <v>9315</v>
      </c>
      <c r="J27" s="10" t="n">
        <v>0</v>
      </c>
      <c r="K27" s="10" t="n">
        <v>3498</v>
      </c>
      <c r="L27" s="10" t="n">
        <v>283</v>
      </c>
      <c r="M27" s="10" t="n">
        <v>0</v>
      </c>
      <c r="N27" s="10" t="n">
        <v>0</v>
      </c>
      <c r="O27" s="10" t="n">
        <v>0</v>
      </c>
      <c r="P27" s="10" t="n">
        <v>42776</v>
      </c>
      <c r="Q27" s="17"/>
      <c r="R27" s="11"/>
      <c r="S27" s="12" t="s">
        <v>104</v>
      </c>
      <c r="T27" s="15"/>
      <c r="U27" s="14" t="s">
        <v>40</v>
      </c>
      <c r="V27" s="10" t="n">
        <v>24298</v>
      </c>
      <c r="W27" s="8"/>
      <c r="X27" s="8"/>
      <c r="Y27" s="8"/>
      <c r="Z27" s="8"/>
      <c r="AA27" s="8"/>
      <c r="AB27" s="8"/>
      <c r="AC27" s="8"/>
    </row>
    <row r="28" customFormat="false" ht="29.85" hidden="false" customHeight="false" outlineLevel="0" collapsed="false">
      <c r="A28" s="9" t="n">
        <v>46303</v>
      </c>
      <c r="B28" s="10" t="s">
        <v>22</v>
      </c>
      <c r="C28" s="11" t="s">
        <v>23</v>
      </c>
      <c r="D28" s="10" t="s">
        <v>105</v>
      </c>
      <c r="E28" s="11" t="str">
        <f aca="false" t="array" ref="E28:E28">IF(D28="","",IFERROR(INDEX('CLM &amp; IM Mapping'!$B$2:$B$270,MATCH(TRIM(D28),'CLM &amp; IM Mapping'!$A$2:$A$270,0)),"Not Mapped"))</f>
        <v>Suhas N</v>
      </c>
      <c r="F28" s="11" t="str">
        <f aca="false" t="array" ref="F28:F28">IF(D28="","",IFERROR(INDEX('CLM &amp; IM Mapping'!$C$2:$C$270,MATCH(TRIM(D28),'CLM &amp; IM Mapping'!$A$2:$A$270,0)),"Not Mapped"))</f>
        <v>Aravind S</v>
      </c>
      <c r="G28" s="11" t="s">
        <v>34</v>
      </c>
      <c r="H28" s="10" t="n">
        <v>29203</v>
      </c>
      <c r="I28" s="10" t="n">
        <v>9567</v>
      </c>
      <c r="J28" s="10" t="n">
        <v>0</v>
      </c>
      <c r="K28" s="10" t="n">
        <v>778</v>
      </c>
      <c r="L28" s="10" t="n">
        <v>2992</v>
      </c>
      <c r="M28" s="10" t="n">
        <v>0</v>
      </c>
      <c r="N28" s="10" t="n">
        <v>0</v>
      </c>
      <c r="O28" s="10" t="n">
        <v>0</v>
      </c>
      <c r="P28" s="10" t="n">
        <v>42540</v>
      </c>
      <c r="Q28" s="12" t="s">
        <v>106</v>
      </c>
      <c r="R28" s="11" t="s">
        <v>107</v>
      </c>
      <c r="S28" s="12" t="s">
        <v>108</v>
      </c>
      <c r="T28" s="15" t="s">
        <v>109</v>
      </c>
      <c r="U28" s="14" t="s">
        <v>110</v>
      </c>
      <c r="V28" s="10" t="n">
        <v>20194</v>
      </c>
      <c r="W28" s="8"/>
      <c r="X28" s="8"/>
      <c r="Y28" s="8"/>
      <c r="Z28" s="8"/>
      <c r="AA28" s="8"/>
      <c r="AB28" s="8"/>
      <c r="AC28" s="8"/>
    </row>
    <row r="29" customFormat="false" ht="58.2" hidden="false" customHeight="false" outlineLevel="0" collapsed="false">
      <c r="A29" s="9" t="n">
        <v>46303</v>
      </c>
      <c r="B29" s="10" t="s">
        <v>22</v>
      </c>
      <c r="C29" s="11" t="s">
        <v>23</v>
      </c>
      <c r="D29" s="10" t="s">
        <v>111</v>
      </c>
      <c r="E29" s="11" t="str">
        <f aca="false" t="array" ref="E29:E29">IF(D29="","",IFERROR(INDEX('CLM &amp; IM Mapping'!$B$2:$B$270,MATCH(TRIM(D29),'CLM &amp; IM Mapping'!$A$2:$A$270,0)),"Not Mapped"))</f>
        <v>Narasimhamurthy R</v>
      </c>
      <c r="F29" s="11" t="str">
        <f aca="false" t="array" ref="F29:F29">IF(D29="","",IFERROR(INDEX('CLM &amp; IM Mapping'!$C$2:$C$270,MATCH(TRIM(D29),'CLM &amp; IM Mapping'!$A$2:$A$270,0)),"Not Mapped"))</f>
        <v>Kishor K</v>
      </c>
      <c r="G29" s="11" t="s">
        <v>34</v>
      </c>
      <c r="H29" s="10" t="n">
        <v>16668</v>
      </c>
      <c r="I29" s="10" t="n">
        <v>23989</v>
      </c>
      <c r="J29" s="10" t="n">
        <v>0</v>
      </c>
      <c r="K29" s="10" t="n">
        <v>0</v>
      </c>
      <c r="L29" s="10" t="n">
        <v>843</v>
      </c>
      <c r="M29" s="10" t="n">
        <v>0</v>
      </c>
      <c r="N29" s="10" t="n">
        <v>0</v>
      </c>
      <c r="O29" s="10" t="n">
        <v>0</v>
      </c>
      <c r="P29" s="10" t="n">
        <v>41500</v>
      </c>
      <c r="Q29" s="17"/>
      <c r="R29" s="11"/>
      <c r="S29" s="12" t="s">
        <v>112</v>
      </c>
      <c r="T29" s="15" t="n">
        <v>40000</v>
      </c>
      <c r="U29" s="14" t="s">
        <v>113</v>
      </c>
      <c r="V29" s="10" t="n">
        <v>15143</v>
      </c>
      <c r="W29" s="8"/>
      <c r="X29" s="8"/>
      <c r="Y29" s="8"/>
      <c r="Z29" s="8"/>
      <c r="AA29" s="8"/>
      <c r="AB29" s="8"/>
      <c r="AC29" s="8"/>
    </row>
    <row r="30" customFormat="false" ht="44" hidden="false" customHeight="false" outlineLevel="0" collapsed="false">
      <c r="A30" s="9" t="n">
        <v>46303</v>
      </c>
      <c r="B30" s="10" t="s">
        <v>22</v>
      </c>
      <c r="C30" s="11" t="s">
        <v>23</v>
      </c>
      <c r="D30" s="10" t="s">
        <v>114</v>
      </c>
      <c r="E30" s="11" t="str">
        <f aca="false" t="array" ref="E30:E30">IF(D30="","",IFERROR(INDEX('CLM &amp; IM Mapping'!$B$2:$B$270,MATCH(TRIM(D30),'CLM &amp; IM Mapping'!$A$2:$A$270,0)),"Not Mapped"))</f>
        <v>Adhavan Subramani</v>
      </c>
      <c r="F30" s="11" t="str">
        <f aca="false" t="array" ref="F30:F30">IF(D30="","",IFERROR(INDEX('CLM &amp; IM Mapping'!$C$2:$C$270,MATCH(TRIM(D30),'CLM &amp; IM Mapping'!$A$2:$A$270,0)),"Not Mapped"))</f>
        <v>Mohammed Akbar</v>
      </c>
      <c r="G30" s="11" t="s">
        <v>34</v>
      </c>
      <c r="H30" s="10" t="n">
        <v>27933</v>
      </c>
      <c r="I30" s="10" t="n">
        <v>6780</v>
      </c>
      <c r="J30" s="10" t="n">
        <v>0</v>
      </c>
      <c r="K30" s="10" t="n">
        <v>3921</v>
      </c>
      <c r="L30" s="10" t="n">
        <v>2264</v>
      </c>
      <c r="M30" s="10" t="n">
        <v>0</v>
      </c>
      <c r="N30" s="10" t="n">
        <v>180</v>
      </c>
      <c r="O30" s="10" t="n">
        <v>248</v>
      </c>
      <c r="P30" s="10" t="n">
        <v>41326</v>
      </c>
      <c r="Q30" s="12" t="s">
        <v>115</v>
      </c>
      <c r="R30" s="11" t="n">
        <v>6000</v>
      </c>
      <c r="S30" s="12" t="s">
        <v>116</v>
      </c>
      <c r="T30" s="15" t="n">
        <v>34000</v>
      </c>
      <c r="U30" s="14" t="s">
        <v>117</v>
      </c>
      <c r="V30" s="10" t="n">
        <v>16179</v>
      </c>
      <c r="W30" s="8"/>
      <c r="X30" s="8"/>
      <c r="Y30" s="8"/>
      <c r="Z30" s="8"/>
      <c r="AA30" s="8"/>
      <c r="AB30" s="8"/>
      <c r="AC30" s="8"/>
    </row>
    <row r="31" customFormat="false" ht="29.85" hidden="false" customHeight="false" outlineLevel="0" collapsed="false">
      <c r="A31" s="9" t="n">
        <v>46303</v>
      </c>
      <c r="B31" s="10" t="s">
        <v>22</v>
      </c>
      <c r="C31" s="11" t="s">
        <v>23</v>
      </c>
      <c r="D31" s="10" t="s">
        <v>118</v>
      </c>
      <c r="E31" s="11" t="str">
        <f aca="false" t="array" ref="E31:E31">IF(D31="","",IFERROR(INDEX('CLM &amp; IM Mapping'!$B$2:$B$270,MATCH(TRIM(D31),'CLM &amp; IM Mapping'!$A$2:$A$270,0)),"Not Mapped"))</f>
        <v>Adhavan Subramani</v>
      </c>
      <c r="F31" s="11" t="str">
        <f aca="false" t="array" ref="F31:F31">IF(D31="","",IFERROR(INDEX('CLM &amp; IM Mapping'!$C$2:$C$270,MATCH(TRIM(D31),'CLM &amp; IM Mapping'!$A$2:$A$270,0)),"Not Mapped"))</f>
        <v>Mohammed Akbar</v>
      </c>
      <c r="G31" s="11" t="s">
        <v>34</v>
      </c>
      <c r="H31" s="10" t="n">
        <v>30178</v>
      </c>
      <c r="I31" s="10" t="n">
        <v>6153</v>
      </c>
      <c r="J31" s="10" t="n">
        <v>0</v>
      </c>
      <c r="K31" s="10" t="n">
        <v>3968</v>
      </c>
      <c r="L31" s="10" t="n">
        <v>810</v>
      </c>
      <c r="M31" s="10" t="n">
        <v>0</v>
      </c>
      <c r="N31" s="10" t="n">
        <v>0</v>
      </c>
      <c r="O31" s="10" t="n">
        <v>0</v>
      </c>
      <c r="P31" s="10" t="n">
        <v>41109</v>
      </c>
      <c r="Q31" s="17"/>
      <c r="R31" s="11"/>
      <c r="S31" s="12" t="s">
        <v>119</v>
      </c>
      <c r="T31" s="15" t="n">
        <v>40000</v>
      </c>
      <c r="U31" s="14" t="s">
        <v>55</v>
      </c>
      <c r="V31" s="10" t="n">
        <v>28949</v>
      </c>
      <c r="W31" s="8"/>
      <c r="X31" s="8"/>
      <c r="Y31" s="8"/>
      <c r="Z31" s="8"/>
      <c r="AA31" s="8"/>
      <c r="AB31" s="8"/>
      <c r="AC31" s="8"/>
    </row>
    <row r="32" customFormat="false" ht="44" hidden="false" customHeight="false" outlineLevel="0" collapsed="false">
      <c r="A32" s="9" t="n">
        <v>46303</v>
      </c>
      <c r="B32" s="10" t="s">
        <v>22</v>
      </c>
      <c r="C32" s="11" t="s">
        <v>23</v>
      </c>
      <c r="D32" s="10" t="s">
        <v>120</v>
      </c>
      <c r="E32" s="11" t="str">
        <f aca="false" t="array" ref="E32:E32">IF(D32="","",IFERROR(INDEX('CLM &amp; IM Mapping'!$B$2:$B$270,MATCH(TRIM(D32),'CLM &amp; IM Mapping'!$A$2:$A$270,0)),"Not Mapped"))</f>
        <v>Balaji G</v>
      </c>
      <c r="F32" s="11" t="str">
        <f aca="false" t="array" ref="F32:F32">IF(D32="","",IFERROR(INDEX('CLM &amp; IM Mapping'!$C$2:$C$270,MATCH(TRIM(D32),'CLM &amp; IM Mapping'!$A$2:$A$270,0)),"Not Mapped"))</f>
        <v>Mohammed Akbar</v>
      </c>
      <c r="G32" s="11" t="s">
        <v>34</v>
      </c>
      <c r="H32" s="10" t="n">
        <v>29057</v>
      </c>
      <c r="I32" s="10" t="n">
        <v>9676</v>
      </c>
      <c r="J32" s="10" t="n">
        <v>340</v>
      </c>
      <c r="K32" s="10" t="n">
        <v>395</v>
      </c>
      <c r="L32" s="10" t="n">
        <v>773</v>
      </c>
      <c r="M32" s="10" t="n">
        <v>0</v>
      </c>
      <c r="N32" s="10" t="n">
        <v>0</v>
      </c>
      <c r="O32" s="10" t="n">
        <v>0</v>
      </c>
      <c r="P32" s="10" t="n">
        <v>40242</v>
      </c>
      <c r="Q32" s="17"/>
      <c r="R32" s="11"/>
      <c r="S32" s="12" t="s">
        <v>121</v>
      </c>
      <c r="T32" s="15" t="n">
        <v>40000</v>
      </c>
      <c r="U32" s="14" t="s">
        <v>122</v>
      </c>
      <c r="V32" s="10" t="n">
        <v>14773</v>
      </c>
      <c r="W32" s="8"/>
      <c r="X32" s="8"/>
      <c r="Y32" s="8"/>
      <c r="Z32" s="8"/>
      <c r="AA32" s="8"/>
      <c r="AB32" s="8"/>
      <c r="AC32" s="8"/>
    </row>
    <row r="33" customFormat="false" ht="143.25" hidden="false" customHeight="false" outlineLevel="0" collapsed="false">
      <c r="A33" s="9" t="n">
        <v>46303</v>
      </c>
      <c r="B33" s="10" t="s">
        <v>22</v>
      </c>
      <c r="C33" s="11" t="s">
        <v>23</v>
      </c>
      <c r="D33" s="10" t="s">
        <v>123</v>
      </c>
      <c r="E33" s="11" t="str">
        <f aca="false" t="array" ref="E33:E33">IF(D33="","",IFERROR(INDEX('CLM &amp; IM Mapping'!$B$2:$B$270,MATCH(TRIM(D33),'CLM &amp; IM Mapping'!$A$2:$A$270,0)),"Not Mapped"))</f>
        <v>Silambarasan E</v>
      </c>
      <c r="F33" s="11" t="str">
        <f aca="false" t="array" ref="F33:F33">IF(D33="","",IFERROR(INDEX('CLM &amp; IM Mapping'!$C$2:$C$270,MATCH(TRIM(D33),'CLM &amp; IM Mapping'!$A$2:$A$270,0)),"Not Mapped"))</f>
        <v>Arivind S</v>
      </c>
      <c r="G33" s="11" t="s">
        <v>34</v>
      </c>
      <c r="H33" s="10" t="n">
        <v>13995</v>
      </c>
      <c r="I33" s="10" t="n">
        <v>11558</v>
      </c>
      <c r="J33" s="10" t="n">
        <v>415</v>
      </c>
      <c r="K33" s="10" t="n">
        <v>828</v>
      </c>
      <c r="L33" s="10" t="n">
        <v>1365</v>
      </c>
      <c r="M33" s="10" t="n">
        <v>0</v>
      </c>
      <c r="N33" s="10" t="n">
        <v>2031</v>
      </c>
      <c r="O33" s="10" t="n">
        <v>9909</v>
      </c>
      <c r="P33" s="10" t="n">
        <v>40101</v>
      </c>
      <c r="Q33" s="17"/>
      <c r="R33" s="11"/>
      <c r="S33" s="12" t="s">
        <v>124</v>
      </c>
      <c r="T33" s="15"/>
      <c r="U33" s="14" t="s">
        <v>125</v>
      </c>
      <c r="V33" s="10" t="n">
        <v>11356</v>
      </c>
      <c r="W33" s="8"/>
      <c r="X33" s="8"/>
      <c r="Y33" s="8"/>
      <c r="Z33" s="8"/>
      <c r="AA33" s="8"/>
      <c r="AB33" s="8"/>
      <c r="AC33" s="8"/>
    </row>
    <row r="34" customFormat="false" ht="100.7" hidden="false" customHeight="false" outlineLevel="0" collapsed="false">
      <c r="A34" s="9" t="n">
        <v>46303</v>
      </c>
      <c r="B34" s="10" t="s">
        <v>22</v>
      </c>
      <c r="C34" s="11" t="s">
        <v>23</v>
      </c>
      <c r="D34" s="10" t="s">
        <v>126</v>
      </c>
      <c r="E34" s="11" t="str">
        <f aca="false" t="array" ref="E34:E34">IF(D34="","",IFERROR(INDEX('CLM &amp; IM Mapping'!$B$2:$B$270,MATCH(TRIM(D34),'CLM &amp; IM Mapping'!$A$2:$A$270,0)),"Not Mapped"))</f>
        <v>Girish N</v>
      </c>
      <c r="F34" s="11" t="str">
        <f aca="false" t="array" ref="F34:F34">IF(D34="","",IFERROR(INDEX('CLM &amp; IM Mapping'!$C$2:$C$270,MATCH(TRIM(D34),'CLM &amp; IM Mapping'!$A$2:$A$270,0)),"Not Mapped"))</f>
        <v>Un Mapped</v>
      </c>
      <c r="G34" s="11" t="s">
        <v>34</v>
      </c>
      <c r="H34" s="10" t="n">
        <v>19635</v>
      </c>
      <c r="I34" s="10" t="n">
        <v>18346</v>
      </c>
      <c r="J34" s="10" t="n">
        <v>0</v>
      </c>
      <c r="K34" s="10" t="n">
        <v>292</v>
      </c>
      <c r="L34" s="10" t="n">
        <v>1633</v>
      </c>
      <c r="M34" s="10" t="n">
        <v>0</v>
      </c>
      <c r="N34" s="10" t="n">
        <v>0</v>
      </c>
      <c r="O34" s="10" t="n">
        <v>0</v>
      </c>
      <c r="P34" s="10" t="n">
        <v>39906</v>
      </c>
      <c r="Q34" s="17"/>
      <c r="R34" s="11"/>
      <c r="S34" s="12" t="s">
        <v>127</v>
      </c>
      <c r="T34" s="15"/>
      <c r="U34" s="14" t="s">
        <v>128</v>
      </c>
      <c r="V34" s="10" t="n">
        <v>16904</v>
      </c>
      <c r="W34" s="8"/>
      <c r="X34" s="8"/>
      <c r="Y34" s="8"/>
      <c r="Z34" s="8"/>
      <c r="AA34" s="8"/>
      <c r="AB34" s="8"/>
      <c r="AC34" s="8"/>
    </row>
    <row r="35" customFormat="false" ht="44" hidden="false" customHeight="false" outlineLevel="0" collapsed="false">
      <c r="A35" s="9" t="n">
        <v>46303</v>
      </c>
      <c r="B35" s="10" t="s">
        <v>22</v>
      </c>
      <c r="C35" s="11" t="s">
        <v>23</v>
      </c>
      <c r="D35" s="11" t="s">
        <v>129</v>
      </c>
      <c r="E35" s="11" t="str">
        <f aca="false" t="array" ref="E35:E35">IF(D35="","",IFERROR(INDEX('CLM &amp; IM Mapping'!$B$2:$B$270,MATCH(TRIM(D35),'CLM &amp; IM Mapping'!$A$2:$A$270,0)),"Not Mapped"))</f>
        <v>Ashwath S</v>
      </c>
      <c r="F35" s="11" t="str">
        <f aca="false" t="array" ref="F35:F35">IF(D35="","",IFERROR(INDEX('CLM &amp; IM Mapping'!$C$2:$C$270,MATCH(TRIM(D35),'CLM &amp; IM Mapping'!$A$2:$A$270,0)),"Not Mapped"))</f>
        <v>Kantha Kumar</v>
      </c>
      <c r="G35" s="11" t="s">
        <v>34</v>
      </c>
      <c r="H35" s="10" t="n">
        <v>28774</v>
      </c>
      <c r="I35" s="10" t="n">
        <v>10857</v>
      </c>
      <c r="J35" s="10" t="n">
        <v>0</v>
      </c>
      <c r="K35" s="10" t="n">
        <v>0</v>
      </c>
      <c r="L35" s="10" t="n">
        <v>49</v>
      </c>
      <c r="M35" s="10" t="n">
        <v>0</v>
      </c>
      <c r="N35" s="10" t="n">
        <v>0</v>
      </c>
      <c r="O35" s="10" t="n">
        <v>0</v>
      </c>
      <c r="P35" s="10" t="n">
        <v>39679</v>
      </c>
      <c r="Q35" s="17"/>
      <c r="R35" s="11"/>
      <c r="S35" s="12" t="s">
        <v>130</v>
      </c>
      <c r="T35" s="15" t="n">
        <v>40000</v>
      </c>
      <c r="U35" s="14" t="s">
        <v>131</v>
      </c>
      <c r="V35" s="10" t="n">
        <v>28849</v>
      </c>
      <c r="W35" s="8"/>
      <c r="X35" s="8"/>
      <c r="Y35" s="8"/>
      <c r="Z35" s="8"/>
      <c r="AA35" s="8"/>
      <c r="AB35" s="8"/>
      <c r="AC35" s="8"/>
    </row>
    <row r="36" customFormat="false" ht="143.25" hidden="false" customHeight="false" outlineLevel="0" collapsed="false">
      <c r="A36" s="9" t="n">
        <v>46303</v>
      </c>
      <c r="B36" s="10" t="s">
        <v>22</v>
      </c>
      <c r="C36" s="11" t="s">
        <v>23</v>
      </c>
      <c r="D36" s="10" t="s">
        <v>132</v>
      </c>
      <c r="E36" s="11" t="str">
        <f aca="false" t="array" ref="E36:E36">IF(D36="","",IFERROR(INDEX('CLM &amp; IM Mapping'!$B$2:$B$270,MATCH(TRIM(D36),'CLM &amp; IM Mapping'!$A$2:$A$270,0)),"Not Mapped"))</f>
        <v>Saddam Hussain</v>
      </c>
      <c r="F36" s="11" t="str">
        <f aca="false" t="array" ref="F36:F36">IF(D36="","",IFERROR(INDEX('CLM &amp; IM Mapping'!$C$2:$C$270,MATCH(TRIM(D36),'CLM &amp; IM Mapping'!$A$2:$A$270,0)),"Not Mapped"))</f>
        <v>Un Mapped</v>
      </c>
      <c r="G36" s="11" t="s">
        <v>34</v>
      </c>
      <c r="H36" s="10" t="n">
        <v>21968</v>
      </c>
      <c r="I36" s="10" t="n">
        <v>12107</v>
      </c>
      <c r="J36" s="10" t="n">
        <v>0</v>
      </c>
      <c r="K36" s="10" t="n">
        <v>5366</v>
      </c>
      <c r="L36" s="10" t="n">
        <v>0</v>
      </c>
      <c r="M36" s="10" t="n">
        <v>0</v>
      </c>
      <c r="N36" s="10" t="n">
        <v>0</v>
      </c>
      <c r="O36" s="10" t="n">
        <v>0</v>
      </c>
      <c r="P36" s="10" t="n">
        <v>39440</v>
      </c>
      <c r="Q36" s="17"/>
      <c r="R36" s="11"/>
      <c r="S36" s="12" t="s">
        <v>133</v>
      </c>
      <c r="T36" s="15"/>
      <c r="U36" s="14" t="s">
        <v>128</v>
      </c>
      <c r="V36" s="10" t="n">
        <v>18504</v>
      </c>
      <c r="W36" s="8"/>
      <c r="X36" s="8"/>
      <c r="Y36" s="8"/>
      <c r="Z36" s="8"/>
      <c r="AA36" s="8"/>
      <c r="AB36" s="8"/>
      <c r="AC36" s="8"/>
    </row>
    <row r="37" customFormat="false" ht="29.85" hidden="false" customHeight="false" outlineLevel="0" collapsed="false">
      <c r="A37" s="9" t="n">
        <v>46303</v>
      </c>
      <c r="B37" s="10" t="s">
        <v>22</v>
      </c>
      <c r="C37" s="11" t="s">
        <v>23</v>
      </c>
      <c r="D37" s="10" t="s">
        <v>134</v>
      </c>
      <c r="E37" s="11" t="str">
        <f aca="false" t="array" ref="E37:E37">IF(D37="","",IFERROR(INDEX('CLM &amp; IM Mapping'!$B$2:$B$270,MATCH(TRIM(D37),'CLM &amp; IM Mapping'!$A$2:$A$270,0)),"Not Mapped"))</f>
        <v>Raghavendra Vernekar</v>
      </c>
      <c r="F37" s="11" t="str">
        <f aca="false" t="array" ref="F37:F37">IF(D37="","",IFERROR(INDEX('CLM &amp; IM Mapping'!$C$2:$C$270,MATCH(TRIM(D37),'CLM &amp; IM Mapping'!$A$2:$A$270,0)),"Not Mapped"))</f>
        <v>Prakash BS</v>
      </c>
      <c r="G37" s="11" t="s">
        <v>34</v>
      </c>
      <c r="H37" s="10" t="n">
        <v>16378</v>
      </c>
      <c r="I37" s="10" t="n">
        <v>18410</v>
      </c>
      <c r="J37" s="10" t="n">
        <v>227</v>
      </c>
      <c r="K37" s="10" t="n">
        <v>2848</v>
      </c>
      <c r="L37" s="10" t="n">
        <v>751</v>
      </c>
      <c r="M37" s="10" t="n">
        <v>0</v>
      </c>
      <c r="N37" s="10" t="n">
        <v>756</v>
      </c>
      <c r="O37" s="10" t="n">
        <v>0</v>
      </c>
      <c r="P37" s="10" t="n">
        <v>39369</v>
      </c>
      <c r="Q37" s="17"/>
      <c r="R37" s="11"/>
      <c r="S37" s="12" t="s">
        <v>135</v>
      </c>
      <c r="T37" s="15" t="n">
        <v>30000</v>
      </c>
      <c r="U37" s="14" t="s">
        <v>43</v>
      </c>
      <c r="V37" s="10" t="n">
        <v>17206</v>
      </c>
      <c r="W37" s="8"/>
      <c r="X37" s="8"/>
      <c r="Y37" s="8"/>
      <c r="Z37" s="8"/>
      <c r="AA37" s="8"/>
      <c r="AB37" s="8"/>
      <c r="AC37" s="8"/>
    </row>
    <row r="38" customFormat="false" ht="29.85" hidden="false" customHeight="false" outlineLevel="0" collapsed="false">
      <c r="A38" s="9" t="n">
        <v>46303</v>
      </c>
      <c r="B38" s="10" t="s">
        <v>22</v>
      </c>
      <c r="C38" s="11" t="s">
        <v>23</v>
      </c>
      <c r="D38" s="10" t="s">
        <v>136</v>
      </c>
      <c r="E38" s="11" t="str">
        <f aca="false" t="array" ref="E38:E38">IF(D38="","",IFERROR(INDEX('CLM &amp; IM Mapping'!$B$2:$B$270,MATCH(TRIM(D38),'CLM &amp; IM Mapping'!$A$2:$A$270,0)),"Not Mapped"))</f>
        <v>Arun Raj</v>
      </c>
      <c r="F38" s="11" t="str">
        <f aca="false" t="array" ref="F38:F38">IF(D38="","",IFERROR(INDEX('CLM &amp; IM Mapping'!$C$2:$C$270,MATCH(TRIM(D38),'CLM &amp; IM Mapping'!$A$2:$A$270,0)),"Not Mapped"))</f>
        <v>Simon Manoharan</v>
      </c>
      <c r="G38" s="11" t="s">
        <v>25</v>
      </c>
      <c r="H38" s="10" t="n">
        <v>23481</v>
      </c>
      <c r="I38" s="10" t="n">
        <v>11376</v>
      </c>
      <c r="J38" s="10" t="n">
        <v>0</v>
      </c>
      <c r="K38" s="10" t="n">
        <v>0</v>
      </c>
      <c r="L38" s="10" t="n">
        <v>3479</v>
      </c>
      <c r="M38" s="10" t="n">
        <v>0</v>
      </c>
      <c r="N38" s="10" t="n">
        <v>0</v>
      </c>
      <c r="O38" s="10" t="n">
        <v>0</v>
      </c>
      <c r="P38" s="10" t="n">
        <v>38336</v>
      </c>
      <c r="Q38" s="17"/>
      <c r="R38" s="11"/>
      <c r="S38" s="12" t="s">
        <v>137</v>
      </c>
      <c r="T38" s="15" t="n">
        <v>38000</v>
      </c>
      <c r="U38" s="14" t="s">
        <v>138</v>
      </c>
      <c r="V38" s="10" t="n">
        <v>14287</v>
      </c>
      <c r="W38" s="8"/>
      <c r="X38" s="8"/>
      <c r="Y38" s="8"/>
      <c r="Z38" s="8"/>
      <c r="AA38" s="8"/>
      <c r="AB38" s="8"/>
      <c r="AC38" s="8"/>
    </row>
    <row r="39" customFormat="false" ht="157.45" hidden="false" customHeight="false" outlineLevel="0" collapsed="false">
      <c r="A39" s="9" t="n">
        <v>46303</v>
      </c>
      <c r="B39" s="10" t="s">
        <v>22</v>
      </c>
      <c r="C39" s="11" t="s">
        <v>23</v>
      </c>
      <c r="D39" s="10" t="s">
        <v>139</v>
      </c>
      <c r="E39" s="11" t="str">
        <f aca="false" t="array" ref="E39:E39">IF(D39="","",IFERROR(INDEX('CLM &amp; IM Mapping'!$B$2:$B$270,MATCH(TRIM(D39),'CLM &amp; IM Mapping'!$A$2:$A$270,0)),"Not Mapped"))</f>
        <v>Mohaideen DH</v>
      </c>
      <c r="F39" s="11" t="str">
        <f aca="false" t="array" ref="F39:F39">IF(D39="","",IFERROR(INDEX('CLM &amp; IM Mapping'!$C$2:$C$270,MATCH(TRIM(D39),'CLM &amp; IM Mapping'!$A$2:$A$270,0)),"Not Mapped"))</f>
        <v>Mohammed Akbar</v>
      </c>
      <c r="G39" s="11" t="s">
        <v>34</v>
      </c>
      <c r="H39" s="10" t="n">
        <v>7420</v>
      </c>
      <c r="I39" s="10" t="n">
        <v>28642</v>
      </c>
      <c r="J39" s="10" t="n">
        <v>116</v>
      </c>
      <c r="K39" s="10" t="n">
        <v>710</v>
      </c>
      <c r="L39" s="10" t="n">
        <v>298</v>
      </c>
      <c r="M39" s="10" t="n">
        <v>0</v>
      </c>
      <c r="N39" s="10" t="n">
        <v>0</v>
      </c>
      <c r="O39" s="10" t="n">
        <v>0</v>
      </c>
      <c r="P39" s="10" t="n">
        <v>37186</v>
      </c>
      <c r="Q39" s="17"/>
      <c r="R39" s="11"/>
      <c r="S39" s="12" t="s">
        <v>140</v>
      </c>
      <c r="T39" s="15" t="n">
        <v>37000</v>
      </c>
      <c r="U39" s="14" t="s">
        <v>141</v>
      </c>
      <c r="V39" s="10" t="n">
        <v>30449</v>
      </c>
      <c r="W39" s="8"/>
      <c r="X39" s="8"/>
      <c r="Y39" s="8"/>
      <c r="Z39" s="8"/>
      <c r="AA39" s="8"/>
      <c r="AB39" s="8"/>
      <c r="AC39" s="8"/>
    </row>
    <row r="40" customFormat="false" ht="129.1" hidden="false" customHeight="false" outlineLevel="0" collapsed="false">
      <c r="A40" s="9" t="n">
        <v>46303</v>
      </c>
      <c r="B40" s="10" t="s">
        <v>22</v>
      </c>
      <c r="C40" s="11" t="s">
        <v>23</v>
      </c>
      <c r="D40" s="10" t="s">
        <v>142</v>
      </c>
      <c r="E40" s="11" t="str">
        <f aca="false" t="array" ref="E40:E40">IF(D40="","",IFERROR(INDEX('CLM &amp; IM Mapping'!$B$2:$B$270,MATCH(TRIM(D40),'CLM &amp; IM Mapping'!$A$2:$A$270,0)),"Not Mapped"))</f>
        <v>Sundaresh S</v>
      </c>
      <c r="F40" s="11" t="str">
        <f aca="false" t="array" ref="F40:F40">IF(D40="","",IFERROR(INDEX('CLM &amp; IM Mapping'!$C$2:$C$270,MATCH(TRIM(D40),'CLM &amp; IM Mapping'!$A$2:$A$270,0)),"Not Mapped"))</f>
        <v>Un Mapped</v>
      </c>
      <c r="G40" s="11" t="s">
        <v>34</v>
      </c>
      <c r="H40" s="10" t="n">
        <v>15298</v>
      </c>
      <c r="I40" s="10" t="n">
        <v>12439</v>
      </c>
      <c r="J40" s="10" t="n">
        <v>0</v>
      </c>
      <c r="K40" s="10" t="n">
        <v>1021</v>
      </c>
      <c r="L40" s="10" t="n">
        <v>1315</v>
      </c>
      <c r="M40" s="10" t="n">
        <v>0</v>
      </c>
      <c r="N40" s="10" t="n">
        <v>7022</v>
      </c>
      <c r="O40" s="10" t="n">
        <v>0</v>
      </c>
      <c r="P40" s="10" t="n">
        <v>37095</v>
      </c>
      <c r="Q40" s="17"/>
      <c r="R40" s="11"/>
      <c r="S40" s="12" t="s">
        <v>143</v>
      </c>
      <c r="T40" s="15"/>
      <c r="U40" s="14" t="s">
        <v>102</v>
      </c>
      <c r="V40" s="10" t="n">
        <v>16594</v>
      </c>
      <c r="W40" s="8"/>
      <c r="X40" s="8"/>
      <c r="Y40" s="8"/>
      <c r="Z40" s="8"/>
      <c r="AA40" s="8"/>
      <c r="AB40" s="8"/>
      <c r="AC40" s="8"/>
    </row>
    <row r="41" customFormat="false" ht="114.9" hidden="false" customHeight="false" outlineLevel="0" collapsed="false">
      <c r="A41" s="9" t="n">
        <v>46303</v>
      </c>
      <c r="B41" s="10" t="s">
        <v>22</v>
      </c>
      <c r="C41" s="11" t="s">
        <v>23</v>
      </c>
      <c r="D41" s="10" t="s">
        <v>144</v>
      </c>
      <c r="E41" s="11" t="str">
        <f aca="false" t="array" ref="E41:E41">IF(D41="","",IFERROR(INDEX('CLM &amp; IM Mapping'!$B$2:$B$270,MATCH(TRIM(D41),'CLM &amp; IM Mapping'!$A$2:$A$270,0)),"Not Mapped"))</f>
        <v>Mohaideen DH</v>
      </c>
      <c r="F41" s="11" t="str">
        <f aca="false" t="array" ref="F41:F41">IF(D41="","",IFERROR(INDEX('CLM &amp; IM Mapping'!$C$2:$C$270,MATCH(TRIM(D41),'CLM &amp; IM Mapping'!$A$2:$A$270,0)),"Not Mapped"))</f>
        <v>Mohammed Akbar</v>
      </c>
      <c r="G41" s="11" t="s">
        <v>34</v>
      </c>
      <c r="H41" s="10" t="n">
        <v>-24477</v>
      </c>
      <c r="I41" s="10" t="n">
        <v>36085</v>
      </c>
      <c r="J41" s="10" t="n">
        <v>0</v>
      </c>
      <c r="K41" s="10" t="n">
        <v>5221</v>
      </c>
      <c r="L41" s="10" t="n">
        <v>13126</v>
      </c>
      <c r="M41" s="10" t="n">
        <v>0</v>
      </c>
      <c r="N41" s="10" t="n">
        <v>4987</v>
      </c>
      <c r="O41" s="10" t="n">
        <v>0</v>
      </c>
      <c r="P41" s="10" t="n">
        <v>34942</v>
      </c>
      <c r="Q41" s="17"/>
      <c r="R41" s="11"/>
      <c r="S41" s="12" t="s">
        <v>145</v>
      </c>
      <c r="T41" s="15" t="n">
        <v>34000</v>
      </c>
      <c r="U41" s="14" t="s">
        <v>146</v>
      </c>
      <c r="V41" s="10" t="n">
        <v>28413</v>
      </c>
      <c r="W41" s="8"/>
      <c r="X41" s="8"/>
      <c r="Y41" s="8"/>
      <c r="Z41" s="8"/>
      <c r="AA41" s="8"/>
      <c r="AB41" s="8"/>
      <c r="AC41" s="8"/>
    </row>
    <row r="42" customFormat="false" ht="143.25" hidden="false" customHeight="false" outlineLevel="0" collapsed="false">
      <c r="A42" s="9" t="n">
        <v>46303</v>
      </c>
      <c r="B42" s="10" t="s">
        <v>22</v>
      </c>
      <c r="C42" s="11" t="s">
        <v>23</v>
      </c>
      <c r="D42" s="10" t="s">
        <v>147</v>
      </c>
      <c r="E42" s="11" t="str">
        <f aca="false" t="array" ref="E42:E42">IF(D42="","",IFERROR(INDEX('CLM &amp; IM Mapping'!$B$2:$B$270,MATCH(TRIM(D42),'CLM &amp; IM Mapping'!$A$2:$A$270,0)),"Not Mapped"))</f>
        <v>Manjunatha V</v>
      </c>
      <c r="F42" s="11" t="str">
        <f aca="false" t="array" ref="F42:F42">IF(D42="","",IFERROR(INDEX('CLM &amp; IM Mapping'!$C$2:$C$270,MATCH(TRIM(D42),'CLM &amp; IM Mapping'!$A$2:$A$270,0)),"Not Mapped"))</f>
        <v>Un Mapped</v>
      </c>
      <c r="G42" s="11" t="s">
        <v>34</v>
      </c>
      <c r="H42" s="10" t="n">
        <v>-2863</v>
      </c>
      <c r="I42" s="10" t="n">
        <v>33910</v>
      </c>
      <c r="J42" s="10" t="n">
        <v>0</v>
      </c>
      <c r="K42" s="10" t="n">
        <v>1993</v>
      </c>
      <c r="L42" s="10" t="n">
        <v>363</v>
      </c>
      <c r="M42" s="10" t="n">
        <v>0</v>
      </c>
      <c r="N42" s="10" t="n">
        <v>0</v>
      </c>
      <c r="O42" s="10" t="n">
        <v>0</v>
      </c>
      <c r="P42" s="10" t="n">
        <v>33402</v>
      </c>
      <c r="Q42" s="17"/>
      <c r="R42" s="11"/>
      <c r="S42" s="12" t="s">
        <v>148</v>
      </c>
      <c r="T42" s="15"/>
      <c r="U42" s="14" t="s">
        <v>149</v>
      </c>
      <c r="V42" s="10" t="n">
        <v>18034</v>
      </c>
      <c r="W42" s="8"/>
      <c r="X42" s="8"/>
      <c r="Y42" s="8"/>
      <c r="Z42" s="8"/>
      <c r="AA42" s="8"/>
      <c r="AB42" s="8"/>
      <c r="AC42" s="8"/>
    </row>
    <row r="43" customFormat="false" ht="143.25" hidden="false" customHeight="false" outlineLevel="0" collapsed="false">
      <c r="A43" s="9" t="n">
        <v>46303</v>
      </c>
      <c r="B43" s="10" t="s">
        <v>22</v>
      </c>
      <c r="C43" s="11" t="s">
        <v>23</v>
      </c>
      <c r="D43" s="10" t="s">
        <v>150</v>
      </c>
      <c r="E43" s="11" t="str">
        <f aca="false" t="array" ref="E43:E43">IF(D43="","",IFERROR(INDEX('CLM &amp; IM Mapping'!$B$2:$B$270,MATCH(TRIM(D43),'CLM &amp; IM Mapping'!$A$2:$A$270,0)),"Not Mapped"))</f>
        <v>Akshay P</v>
      </c>
      <c r="F43" s="11" t="str">
        <f aca="false" t="array" ref="F43:F43">IF(D43="","",IFERROR(INDEX('CLM &amp; IM Mapping'!$C$2:$C$270,MATCH(TRIM(D43),'CLM &amp; IM Mapping'!$A$2:$A$270,0)),"Not Mapped"))</f>
        <v>Srittam Dhal</v>
      </c>
      <c r="G43" s="11" t="s">
        <v>34</v>
      </c>
      <c r="H43" s="10" t="n">
        <v>7636</v>
      </c>
      <c r="I43" s="10" t="n">
        <v>21392</v>
      </c>
      <c r="J43" s="10" t="n">
        <v>0</v>
      </c>
      <c r="K43" s="10" t="n">
        <v>301</v>
      </c>
      <c r="L43" s="10" t="n">
        <v>3982</v>
      </c>
      <c r="M43" s="10" t="n">
        <v>0</v>
      </c>
      <c r="N43" s="10" t="n">
        <v>0</v>
      </c>
      <c r="O43" s="10" t="n">
        <v>0</v>
      </c>
      <c r="P43" s="10" t="n">
        <v>33311</v>
      </c>
      <c r="Q43" s="17"/>
      <c r="R43" s="11"/>
      <c r="S43" s="12" t="s">
        <v>151</v>
      </c>
      <c r="T43" s="15" t="n">
        <v>30000</v>
      </c>
      <c r="U43" s="14" t="s">
        <v>152</v>
      </c>
      <c r="V43" s="10" t="n">
        <v>10086</v>
      </c>
      <c r="W43" s="8"/>
      <c r="X43" s="8"/>
      <c r="Y43" s="8"/>
      <c r="Z43" s="8"/>
      <c r="AA43" s="8"/>
      <c r="AB43" s="8"/>
      <c r="AC43" s="8"/>
    </row>
    <row r="44" customFormat="false" ht="100.7" hidden="false" customHeight="false" outlineLevel="0" collapsed="false">
      <c r="A44" s="9" t="n">
        <v>46303</v>
      </c>
      <c r="B44" s="10" t="s">
        <v>22</v>
      </c>
      <c r="C44" s="11" t="s">
        <v>23</v>
      </c>
      <c r="D44" s="10" t="s">
        <v>153</v>
      </c>
      <c r="E44" s="11" t="str">
        <f aca="false" t="array" ref="E44:E44">IF(D44="","",IFERROR(INDEX('CLM &amp; IM Mapping'!$B$2:$B$270,MATCH(TRIM(D44),'CLM &amp; IM Mapping'!$A$2:$A$270,0)),"Not Mapped"))</f>
        <v>Ashwath S</v>
      </c>
      <c r="F44" s="11" t="str">
        <f aca="false" t="array" ref="F44:F44">IF(D44="","",IFERROR(INDEX('CLM &amp; IM Mapping'!$C$2:$C$270,MATCH(TRIM(D44),'CLM &amp; IM Mapping'!$A$2:$A$270,0)),"Not Mapped"))</f>
        <v>Kantha Kumar</v>
      </c>
      <c r="G44" s="11" t="s">
        <v>34</v>
      </c>
      <c r="H44" s="10" t="n">
        <v>21341</v>
      </c>
      <c r="I44" s="10" t="n">
        <v>9514</v>
      </c>
      <c r="J44" s="10" t="n">
        <v>308</v>
      </c>
      <c r="K44" s="10" t="n">
        <v>0</v>
      </c>
      <c r="L44" s="10" t="n">
        <v>0</v>
      </c>
      <c r="M44" s="10" t="n">
        <v>0</v>
      </c>
      <c r="N44" s="10" t="n">
        <v>1394</v>
      </c>
      <c r="O44" s="10" t="n">
        <v>0</v>
      </c>
      <c r="P44" s="10" t="n">
        <v>32557</v>
      </c>
      <c r="Q44" s="17"/>
      <c r="R44" s="11"/>
      <c r="S44" s="12" t="s">
        <v>154</v>
      </c>
      <c r="T44" s="15"/>
      <c r="U44" s="14" t="s">
        <v>155</v>
      </c>
      <c r="V44" s="10" t="n">
        <v>14669</v>
      </c>
      <c r="W44" s="8"/>
      <c r="X44" s="8"/>
      <c r="Y44" s="8"/>
      <c r="Z44" s="8"/>
      <c r="AA44" s="8"/>
      <c r="AB44" s="8"/>
      <c r="AC44" s="8"/>
    </row>
    <row r="45" customFormat="false" ht="29.85" hidden="false" customHeight="false" outlineLevel="0" collapsed="false">
      <c r="A45" s="9" t="n">
        <v>46303</v>
      </c>
      <c r="B45" s="10" t="s">
        <v>22</v>
      </c>
      <c r="C45" s="11" t="s">
        <v>23</v>
      </c>
      <c r="D45" s="10" t="s">
        <v>156</v>
      </c>
      <c r="E45" s="11" t="str">
        <f aca="false" t="array" ref="E45:E45">IF(D45="","",IFERROR(INDEX('CLM &amp; IM Mapping'!$B$2:$B$270,MATCH(TRIM(D45),'CLM &amp; IM Mapping'!$A$2:$A$270,0)),"Not Mapped"))</f>
        <v>Manoj Kj</v>
      </c>
      <c r="F45" s="11" t="str">
        <f aca="false" t="array" ref="F45:F45">IF(D45="","",IFERROR(INDEX('CLM &amp; IM Mapping'!$C$2:$C$270,MATCH(TRIM(D45),'CLM &amp; IM Mapping'!$A$2:$A$270,0)),"Not Mapped"))</f>
        <v>Srittam Dhal</v>
      </c>
      <c r="G45" s="11" t="s">
        <v>34</v>
      </c>
      <c r="H45" s="10" t="n">
        <v>24834</v>
      </c>
      <c r="I45" s="10" t="n">
        <v>7008</v>
      </c>
      <c r="J45" s="10" t="n">
        <v>0</v>
      </c>
      <c r="K45" s="10" t="n">
        <v>0</v>
      </c>
      <c r="L45" s="10" t="n">
        <v>218</v>
      </c>
      <c r="M45" s="10" t="n">
        <v>0</v>
      </c>
      <c r="N45" s="10" t="n">
        <v>0</v>
      </c>
      <c r="O45" s="10" t="n">
        <v>0</v>
      </c>
      <c r="P45" s="10" t="n">
        <v>32060</v>
      </c>
      <c r="Q45" s="17"/>
      <c r="R45" s="11"/>
      <c r="S45" s="12" t="s">
        <v>157</v>
      </c>
      <c r="T45" s="15"/>
      <c r="U45" s="14" t="s">
        <v>158</v>
      </c>
      <c r="V45" s="10" t="n">
        <v>26273</v>
      </c>
      <c r="W45" s="8"/>
      <c r="X45" s="8"/>
      <c r="Y45" s="8"/>
      <c r="Z45" s="8"/>
      <c r="AA45" s="8"/>
      <c r="AB45" s="8"/>
      <c r="AC45" s="8"/>
    </row>
    <row r="46" customFormat="false" ht="129.1" hidden="false" customHeight="false" outlineLevel="0" collapsed="false">
      <c r="A46" s="9" t="n">
        <v>46303</v>
      </c>
      <c r="B46" s="10" t="s">
        <v>22</v>
      </c>
      <c r="C46" s="11" t="s">
        <v>23</v>
      </c>
      <c r="D46" s="10" t="s">
        <v>159</v>
      </c>
      <c r="E46" s="11" t="str">
        <f aca="false" t="array" ref="E46:E46">IF(D46="","",IFERROR(INDEX('CLM &amp; IM Mapping'!$B$2:$B$270,MATCH(TRIM(D46),'CLM &amp; IM Mapping'!$A$2:$A$270,0)),"Not Mapped"))</f>
        <v>Rizwan Ahmed</v>
      </c>
      <c r="F46" s="11" t="str">
        <f aca="false" t="array" ref="F46:F46">IF(D46="","",IFERROR(INDEX('CLM &amp; IM Mapping'!$C$2:$C$270,MATCH(TRIM(D46),'CLM &amp; IM Mapping'!$A$2:$A$270,0)),"Not Mapped"))</f>
        <v>Un Mapped</v>
      </c>
      <c r="G46" s="11" t="s">
        <v>34</v>
      </c>
      <c r="H46" s="10" t="n">
        <v>14300</v>
      </c>
      <c r="I46" s="10" t="n">
        <v>9717</v>
      </c>
      <c r="J46" s="10" t="n">
        <v>114</v>
      </c>
      <c r="K46" s="10" t="n">
        <v>6589</v>
      </c>
      <c r="L46" s="10" t="n">
        <v>776</v>
      </c>
      <c r="M46" s="10" t="n">
        <v>0</v>
      </c>
      <c r="N46" s="10" t="n">
        <v>0</v>
      </c>
      <c r="O46" s="10" t="n">
        <v>0</v>
      </c>
      <c r="P46" s="10" t="n">
        <v>31497</v>
      </c>
      <c r="Q46" s="17"/>
      <c r="R46" s="11"/>
      <c r="S46" s="12" t="s">
        <v>160</v>
      </c>
      <c r="T46" s="15"/>
      <c r="U46" s="14" t="s">
        <v>161</v>
      </c>
      <c r="V46" s="10" t="n">
        <v>24007</v>
      </c>
      <c r="W46" s="8"/>
      <c r="X46" s="8"/>
      <c r="Y46" s="8"/>
      <c r="Z46" s="8"/>
      <c r="AA46" s="8"/>
      <c r="AB46" s="8"/>
      <c r="AC46" s="8"/>
    </row>
    <row r="47" customFormat="false" ht="29.85" hidden="false" customHeight="false" outlineLevel="0" collapsed="false">
      <c r="A47" s="9" t="n">
        <v>46303</v>
      </c>
      <c r="B47" s="10" t="s">
        <v>22</v>
      </c>
      <c r="C47" s="11" t="s">
        <v>23</v>
      </c>
      <c r="D47" s="10" t="s">
        <v>162</v>
      </c>
      <c r="E47" s="11" t="str">
        <f aca="false" t="array" ref="E47:E47">IF(D47="","",IFERROR(INDEX('CLM &amp; IM Mapping'!$B$2:$B$270,MATCH(TRIM(D47),'CLM &amp; IM Mapping'!$A$2:$A$270,0)),"Not Mapped"))</f>
        <v>Ashwath S</v>
      </c>
      <c r="F47" s="11" t="str">
        <f aca="false" t="array" ref="F47:F47">IF(D47="","",IFERROR(INDEX('CLM &amp; IM Mapping'!$C$2:$C$270,MATCH(TRIM(D47),'CLM &amp; IM Mapping'!$A$2:$A$270,0)),"Not Mapped"))</f>
        <v>Kantha Kumar</v>
      </c>
      <c r="G47" s="11" t="s">
        <v>34</v>
      </c>
      <c r="H47" s="10" t="n">
        <v>19018</v>
      </c>
      <c r="I47" s="10" t="n">
        <v>10858</v>
      </c>
      <c r="J47" s="10" t="n">
        <v>27</v>
      </c>
      <c r="K47" s="10" t="n">
        <v>200</v>
      </c>
      <c r="L47" s="10" t="n">
        <v>179</v>
      </c>
      <c r="M47" s="10" t="n">
        <v>0</v>
      </c>
      <c r="N47" s="10" t="n">
        <v>120</v>
      </c>
      <c r="O47" s="10" t="n">
        <v>0</v>
      </c>
      <c r="P47" s="10" t="n">
        <v>30401</v>
      </c>
      <c r="Q47" s="17"/>
      <c r="R47" s="11"/>
      <c r="S47" s="12" t="s">
        <v>163</v>
      </c>
      <c r="T47" s="15" t="n">
        <v>30000</v>
      </c>
      <c r="U47" s="14" t="s">
        <v>164</v>
      </c>
      <c r="V47" s="10" t="n">
        <v>28437</v>
      </c>
      <c r="W47" s="8"/>
      <c r="X47" s="8"/>
      <c r="Y47" s="8"/>
      <c r="Z47" s="8"/>
      <c r="AA47" s="8"/>
      <c r="AB47" s="8"/>
      <c r="AC47" s="8"/>
    </row>
    <row r="48" customFormat="false" ht="100.7" hidden="false" customHeight="false" outlineLevel="0" collapsed="false">
      <c r="A48" s="9" t="n">
        <v>46303</v>
      </c>
      <c r="B48" s="10" t="s">
        <v>22</v>
      </c>
      <c r="C48" s="11" t="s">
        <v>23</v>
      </c>
      <c r="D48" s="10" t="s">
        <v>165</v>
      </c>
      <c r="E48" s="11" t="str">
        <f aca="false" t="array" ref="E48:E48">IF(D48="","",IFERROR(INDEX('CLM &amp; IM Mapping'!$B$2:$B$270,MATCH(TRIM(D48),'CLM &amp; IM Mapping'!$A$2:$A$270,0)),"Not Mapped"))</f>
        <v>Akshay P</v>
      </c>
      <c r="F48" s="11" t="str">
        <f aca="false" t="array" ref="F48:F48">IF(D48="","",IFERROR(INDEX('CLM &amp; IM Mapping'!$C$2:$C$270,MATCH(TRIM(D48),'CLM &amp; IM Mapping'!$A$2:$A$270,0)),"Not Mapped"))</f>
        <v>Srittam Dhal</v>
      </c>
      <c r="G48" s="11" t="s">
        <v>34</v>
      </c>
      <c r="H48" s="10" t="n">
        <v>3774</v>
      </c>
      <c r="I48" s="10" t="n">
        <v>23498</v>
      </c>
      <c r="J48" s="10" t="n">
        <v>301</v>
      </c>
      <c r="K48" s="10" t="n">
        <v>939</v>
      </c>
      <c r="L48" s="10" t="n">
        <v>732</v>
      </c>
      <c r="M48" s="10" t="n">
        <v>0</v>
      </c>
      <c r="N48" s="10" t="n">
        <v>1092</v>
      </c>
      <c r="O48" s="10" t="n">
        <v>63</v>
      </c>
      <c r="P48" s="10" t="n">
        <v>30399</v>
      </c>
      <c r="Q48" s="17"/>
      <c r="R48" s="11"/>
      <c r="S48" s="12" t="s">
        <v>166</v>
      </c>
      <c r="T48" s="15" t="n">
        <v>20000</v>
      </c>
      <c r="U48" s="14" t="s">
        <v>167</v>
      </c>
      <c r="V48" s="10" t="n">
        <v>25713</v>
      </c>
      <c r="W48" s="8"/>
      <c r="X48" s="8"/>
      <c r="Y48" s="8"/>
      <c r="Z48" s="8"/>
      <c r="AA48" s="8"/>
      <c r="AB48" s="8"/>
      <c r="AC48" s="8"/>
    </row>
    <row r="49" customFormat="false" ht="129.1" hidden="false" customHeight="false" outlineLevel="0" collapsed="false">
      <c r="A49" s="9" t="n">
        <v>46303</v>
      </c>
      <c r="B49" s="10" t="s">
        <v>22</v>
      </c>
      <c r="C49" s="11" t="s">
        <v>23</v>
      </c>
      <c r="D49" s="10" t="s">
        <v>168</v>
      </c>
      <c r="E49" s="11" t="str">
        <f aca="false" t="array" ref="E49:E49">IF(D49="","",IFERROR(INDEX('CLM &amp; IM Mapping'!$B$2:$B$270,MATCH(TRIM(D49),'CLM &amp; IM Mapping'!$A$2:$A$270,0)),"Not Mapped"))</f>
        <v>Vijay M</v>
      </c>
      <c r="F49" s="11" t="str">
        <f aca="false" t="array" ref="F49:F49">IF(D49="","",IFERROR(INDEX('CLM &amp; IM Mapping'!$C$2:$C$270,MATCH(TRIM(D49),'CLM &amp; IM Mapping'!$A$2:$A$270,0)),"Not Mapped"))</f>
        <v>Kantha Kumar</v>
      </c>
      <c r="G49" s="11" t="s">
        <v>34</v>
      </c>
      <c r="H49" s="10" t="n">
        <v>23160</v>
      </c>
      <c r="I49" s="10" t="n">
        <v>5953</v>
      </c>
      <c r="J49" s="10" t="n">
        <v>227</v>
      </c>
      <c r="K49" s="10" t="n">
        <v>0</v>
      </c>
      <c r="L49" s="10" t="n">
        <v>479</v>
      </c>
      <c r="M49" s="10" t="n">
        <v>0</v>
      </c>
      <c r="N49" s="10" t="n">
        <v>198</v>
      </c>
      <c r="O49" s="10" t="n">
        <v>0</v>
      </c>
      <c r="P49" s="10" t="n">
        <v>30017</v>
      </c>
      <c r="Q49" s="17"/>
      <c r="R49" s="11"/>
      <c r="S49" s="12" t="s">
        <v>169</v>
      </c>
      <c r="T49" s="15"/>
      <c r="U49" s="14" t="s">
        <v>170</v>
      </c>
      <c r="V49" s="10" t="n">
        <v>7781</v>
      </c>
      <c r="W49" s="8"/>
      <c r="X49" s="8"/>
      <c r="Y49" s="8"/>
      <c r="Z49" s="8"/>
      <c r="AA49" s="8"/>
      <c r="AB49" s="8"/>
      <c r="AC49" s="8"/>
    </row>
    <row r="50" customFormat="false" ht="44" hidden="false" customHeight="false" outlineLevel="0" collapsed="false">
      <c r="A50" s="9" t="n">
        <v>46303</v>
      </c>
      <c r="B50" s="10" t="s">
        <v>22</v>
      </c>
      <c r="C50" s="11" t="s">
        <v>23</v>
      </c>
      <c r="D50" s="10" t="s">
        <v>171</v>
      </c>
      <c r="E50" s="11" t="str">
        <f aca="false" t="array" ref="E50:E50">IF(D50="","",IFERROR(INDEX('CLM &amp; IM Mapping'!$B$2:$B$270,MATCH(TRIM(D50),'CLM &amp; IM Mapping'!$A$2:$A$270,0)),"Not Mapped"))</f>
        <v>Ashwath S</v>
      </c>
      <c r="F50" s="11" t="str">
        <f aca="false" t="array" ref="F50:F50">IF(D50="","",IFERROR(INDEX('CLM &amp; IM Mapping'!$C$2:$C$270,MATCH(TRIM(D50),'CLM &amp; IM Mapping'!$A$2:$A$270,0)),"Not Mapped"))</f>
        <v>Kantha Kumar</v>
      </c>
      <c r="G50" s="11" t="s">
        <v>34</v>
      </c>
      <c r="H50" s="10" t="n">
        <v>15739</v>
      </c>
      <c r="I50" s="10" t="n">
        <v>11064</v>
      </c>
      <c r="J50" s="10" t="n">
        <v>497</v>
      </c>
      <c r="K50" s="10" t="n">
        <v>2098</v>
      </c>
      <c r="L50" s="10" t="n">
        <v>354</v>
      </c>
      <c r="M50" s="10" t="n">
        <v>0</v>
      </c>
      <c r="N50" s="10" t="n">
        <v>0</v>
      </c>
      <c r="O50" s="10" t="n">
        <v>0</v>
      </c>
      <c r="P50" s="10" t="n">
        <v>29752</v>
      </c>
      <c r="Q50" s="17"/>
      <c r="R50" s="11"/>
      <c r="S50" s="12" t="s">
        <v>172</v>
      </c>
      <c r="T50" s="15" t="n">
        <v>25000</v>
      </c>
      <c r="U50" s="14" t="s">
        <v>110</v>
      </c>
      <c r="V50" s="10" t="n">
        <v>20254</v>
      </c>
      <c r="W50" s="8"/>
      <c r="X50" s="8"/>
      <c r="Y50" s="8"/>
      <c r="Z50" s="8"/>
      <c r="AA50" s="8"/>
      <c r="AB50" s="8"/>
      <c r="AC50" s="8"/>
    </row>
    <row r="51" customFormat="false" ht="15" hidden="false" customHeight="false" outlineLevel="0" collapsed="false">
      <c r="A51" s="9" t="n">
        <v>46303</v>
      </c>
      <c r="B51" s="10" t="s">
        <v>22</v>
      </c>
      <c r="C51" s="11" t="s">
        <v>23</v>
      </c>
      <c r="D51" s="10" t="s">
        <v>173</v>
      </c>
      <c r="E51" s="11" t="str">
        <f aca="false" t="array" ref="E51:E51">IF(D51="","",IFERROR(INDEX('CLM &amp; IM Mapping'!$B$2:$B$270,MATCH(TRIM(D51),'CLM &amp; IM Mapping'!$A$2:$A$270,0)),"Not Mapped"))</f>
        <v>Akshay P</v>
      </c>
      <c r="F51" s="11" t="str">
        <f aca="false" t="array" ref="F51:F51">IF(D51="","",IFERROR(INDEX('CLM &amp; IM Mapping'!$C$2:$C$270,MATCH(TRIM(D51),'CLM &amp; IM Mapping'!$A$2:$A$270,0)),"Not Mapped"))</f>
        <v>Srittam Dhal</v>
      </c>
      <c r="G51" s="11" t="s">
        <v>34</v>
      </c>
      <c r="H51" s="10" t="n">
        <v>12638</v>
      </c>
      <c r="I51" s="10" t="n">
        <v>16169</v>
      </c>
      <c r="J51" s="10" t="n">
        <v>265</v>
      </c>
      <c r="K51" s="10" t="n">
        <v>0</v>
      </c>
      <c r="L51" s="10" t="n">
        <v>107</v>
      </c>
      <c r="M51" s="10" t="n">
        <v>0</v>
      </c>
      <c r="N51" s="10" t="n">
        <v>0</v>
      </c>
      <c r="O51" s="10" t="n">
        <v>0</v>
      </c>
      <c r="P51" s="10" t="n">
        <v>29179</v>
      </c>
      <c r="Q51" s="17"/>
      <c r="R51" s="11"/>
      <c r="S51" s="21"/>
      <c r="T51" s="15" t="n">
        <v>20000</v>
      </c>
      <c r="U51" s="14" t="s">
        <v>174</v>
      </c>
      <c r="V51" s="10" t="n">
        <v>16999</v>
      </c>
      <c r="W51" s="8"/>
      <c r="X51" s="8"/>
      <c r="Y51" s="8"/>
      <c r="Z51" s="8"/>
      <c r="AA51" s="8"/>
      <c r="AB51" s="8"/>
      <c r="AC51" s="8"/>
    </row>
    <row r="52" customFormat="false" ht="15" hidden="false" customHeight="false" outlineLevel="0" collapsed="false">
      <c r="A52" s="9" t="n">
        <v>46303</v>
      </c>
      <c r="B52" s="10" t="s">
        <v>22</v>
      </c>
      <c r="C52" s="11" t="s">
        <v>23</v>
      </c>
      <c r="D52" s="10" t="s">
        <v>175</v>
      </c>
      <c r="E52" s="11" t="str">
        <f aca="false" t="array" ref="E52:E52">IF(D52="","",IFERROR(INDEX('CLM &amp; IM Mapping'!$B$2:$B$270,MATCH(TRIM(D52),'CLM &amp; IM Mapping'!$A$2:$A$270,0)),"Not Mapped"))</f>
        <v>Arun Raj</v>
      </c>
      <c r="F52" s="11" t="str">
        <f aca="false" t="array" ref="F52:F52">IF(D52="","",IFERROR(INDEX('CLM &amp; IM Mapping'!$C$2:$C$270,MATCH(TRIM(D52),'CLM &amp; IM Mapping'!$A$2:$A$270,0)),"Not Mapped"))</f>
        <v>Simon Manoharan</v>
      </c>
      <c r="G52" s="11" t="s">
        <v>25</v>
      </c>
      <c r="H52" s="10" t="n">
        <v>462</v>
      </c>
      <c r="I52" s="10" t="n">
        <v>23403</v>
      </c>
      <c r="J52" s="10" t="n">
        <v>0</v>
      </c>
      <c r="K52" s="10" t="n">
        <v>0</v>
      </c>
      <c r="L52" s="10" t="n">
        <v>4786</v>
      </c>
      <c r="M52" s="10" t="n">
        <v>0</v>
      </c>
      <c r="N52" s="10" t="n">
        <v>0</v>
      </c>
      <c r="O52" s="10" t="n">
        <v>0</v>
      </c>
      <c r="P52" s="10" t="n">
        <v>28651</v>
      </c>
      <c r="Q52" s="17"/>
      <c r="R52" s="11"/>
      <c r="S52" s="21"/>
      <c r="T52" s="15"/>
      <c r="U52" s="14" t="s">
        <v>176</v>
      </c>
      <c r="V52" s="10" t="n">
        <v>10875</v>
      </c>
      <c r="W52" s="8"/>
      <c r="X52" s="8"/>
      <c r="Y52" s="8"/>
      <c r="Z52" s="8"/>
      <c r="AA52" s="8"/>
      <c r="AB52" s="8"/>
      <c r="AC52" s="8"/>
    </row>
    <row r="53" customFormat="false" ht="29.85" hidden="false" customHeight="false" outlineLevel="0" collapsed="false">
      <c r="A53" s="9" t="n">
        <v>46303</v>
      </c>
      <c r="B53" s="10" t="s">
        <v>22</v>
      </c>
      <c r="C53" s="11" t="s">
        <v>177</v>
      </c>
      <c r="D53" s="11" t="s">
        <v>178</v>
      </c>
      <c r="E53" s="11" t="str">
        <f aca="false" t="array" ref="E53:E53">IF(D53="","",IFERROR(INDEX('CLM &amp; IM Mapping'!$B$2:$B$270,MATCH(TRIM(D53),'CLM &amp; IM Mapping'!$A$2:$A$270,0)),"Not Mapped"))</f>
        <v>Balaji G</v>
      </c>
      <c r="F53" s="11" t="str">
        <f aca="false" t="array" ref="F53:F53">IF(D53="","",IFERROR(INDEX('CLM &amp; IM Mapping'!$C$2:$C$270,MATCH(TRIM(D53),'CLM &amp; IM Mapping'!$A$2:$A$270,0)),"Not Mapped"))</f>
        <v>Mohammed Akbar</v>
      </c>
      <c r="G53" s="11" t="s">
        <v>34</v>
      </c>
      <c r="H53" s="10" t="n">
        <v>-203</v>
      </c>
      <c r="I53" s="10" t="n">
        <v>28240</v>
      </c>
      <c r="J53" s="10" t="n">
        <v>0</v>
      </c>
      <c r="K53" s="10" t="n">
        <v>0</v>
      </c>
      <c r="L53" s="10" t="n">
        <v>340</v>
      </c>
      <c r="M53" s="10" t="n">
        <v>0</v>
      </c>
      <c r="N53" s="10" t="n">
        <v>0</v>
      </c>
      <c r="O53" s="10" t="n">
        <v>0</v>
      </c>
      <c r="P53" s="10" t="n">
        <v>28377</v>
      </c>
      <c r="Q53" s="17"/>
      <c r="R53" s="11"/>
      <c r="S53" s="12" t="s">
        <v>179</v>
      </c>
      <c r="T53" s="15" t="n">
        <v>28000</v>
      </c>
      <c r="U53" s="14" t="s">
        <v>180</v>
      </c>
      <c r="V53" s="10" t="n">
        <v>15749</v>
      </c>
      <c r="W53" s="8"/>
      <c r="X53" s="8"/>
      <c r="Y53" s="8"/>
      <c r="Z53" s="8"/>
      <c r="AA53" s="8"/>
      <c r="AB53" s="8"/>
      <c r="AC53" s="8"/>
    </row>
    <row r="54" customFormat="false" ht="15" hidden="false" customHeight="false" outlineLevel="0" collapsed="false">
      <c r="A54" s="9" t="n">
        <v>46303</v>
      </c>
      <c r="B54" s="10" t="s">
        <v>22</v>
      </c>
      <c r="C54" s="11" t="s">
        <v>23</v>
      </c>
      <c r="D54" s="10" t="s">
        <v>181</v>
      </c>
      <c r="E54" s="11" t="str">
        <f aca="false" t="array" ref="E54:E54">IF(D54="","",IFERROR(INDEX('CLM &amp; IM Mapping'!$B$2:$B$270,MATCH(TRIM(D54),'CLM &amp; IM Mapping'!$A$2:$A$270,0)),"Not Mapped"))</f>
        <v>Silambarasan E</v>
      </c>
      <c r="F54" s="11" t="str">
        <f aca="false" t="array" ref="F54:F54">IF(D54="","",IFERROR(INDEX('CLM &amp; IM Mapping'!$C$2:$C$270,MATCH(TRIM(D54),'CLM &amp; IM Mapping'!$A$2:$A$270,0)),"Not Mapped"))</f>
        <v>Arivind S</v>
      </c>
      <c r="G54" s="11" t="s">
        <v>34</v>
      </c>
      <c r="H54" s="10" t="n">
        <v>18883</v>
      </c>
      <c r="I54" s="10" t="n">
        <v>7350</v>
      </c>
      <c r="J54" s="10" t="n">
        <v>1000</v>
      </c>
      <c r="K54" s="10" t="n">
        <v>615</v>
      </c>
      <c r="L54" s="10" t="n">
        <v>501</v>
      </c>
      <c r="M54" s="10" t="n">
        <v>0</v>
      </c>
      <c r="N54" s="10" t="n">
        <v>0</v>
      </c>
      <c r="O54" s="10" t="n">
        <v>0</v>
      </c>
      <c r="P54" s="10" t="n">
        <v>28349</v>
      </c>
      <c r="Q54" s="17"/>
      <c r="R54" s="11"/>
      <c r="S54" s="21"/>
      <c r="T54" s="15"/>
      <c r="U54" s="14" t="s">
        <v>182</v>
      </c>
      <c r="V54" s="10" t="n">
        <v>11308</v>
      </c>
      <c r="W54" s="8"/>
      <c r="X54" s="8"/>
      <c r="Y54" s="8"/>
      <c r="Z54" s="8"/>
      <c r="AA54" s="8"/>
      <c r="AB54" s="8"/>
      <c r="AC54" s="8"/>
    </row>
    <row r="55" customFormat="false" ht="15" hidden="false" customHeight="false" outlineLevel="0" collapsed="false">
      <c r="A55" s="9" t="n">
        <v>46303</v>
      </c>
      <c r="B55" s="10" t="s">
        <v>22</v>
      </c>
      <c r="C55" s="11" t="s">
        <v>23</v>
      </c>
      <c r="D55" s="10" t="s">
        <v>183</v>
      </c>
      <c r="E55" s="11" t="str">
        <f aca="false" t="array" ref="E55:E55">IF(D55="","",IFERROR(INDEX('CLM &amp; IM Mapping'!$B$2:$B$270,MATCH(TRIM(D55),'CLM &amp; IM Mapping'!$A$2:$A$270,0)),"Not Mapped"))</f>
        <v>Saddam Hussain</v>
      </c>
      <c r="F55" s="11" t="str">
        <f aca="false" t="array" ref="F55:F55">IF(D55="","",IFERROR(INDEX('CLM &amp; IM Mapping'!$C$2:$C$270,MATCH(TRIM(D55),'CLM &amp; IM Mapping'!$A$2:$A$270,0)),"Not Mapped"))</f>
        <v>Un Mapped</v>
      </c>
      <c r="G55" s="11" t="s">
        <v>34</v>
      </c>
      <c r="H55" s="10" t="n">
        <v>-4516</v>
      </c>
      <c r="I55" s="10" t="n">
        <v>31960</v>
      </c>
      <c r="J55" s="10" t="n">
        <v>0</v>
      </c>
      <c r="K55" s="10" t="n">
        <v>351</v>
      </c>
      <c r="L55" s="10" t="n">
        <v>161</v>
      </c>
      <c r="M55" s="10" t="n">
        <v>0</v>
      </c>
      <c r="N55" s="10" t="n">
        <v>181</v>
      </c>
      <c r="O55" s="10" t="n">
        <v>0</v>
      </c>
      <c r="P55" s="10" t="n">
        <v>28136</v>
      </c>
      <c r="Q55" s="17"/>
      <c r="R55" s="11"/>
      <c r="S55" s="21"/>
      <c r="T55" s="15"/>
      <c r="U55" s="14" t="s">
        <v>125</v>
      </c>
      <c r="V55" s="10" t="n">
        <v>35851</v>
      </c>
      <c r="W55" s="8"/>
      <c r="X55" s="8"/>
      <c r="Y55" s="8"/>
      <c r="Z55" s="8"/>
      <c r="AA55" s="8"/>
      <c r="AB55" s="8"/>
      <c r="AC55" s="8"/>
    </row>
    <row r="56" customFormat="false" ht="15" hidden="false" customHeight="false" outlineLevel="0" collapsed="false">
      <c r="A56" s="9" t="n">
        <v>46303</v>
      </c>
      <c r="B56" s="10" t="s">
        <v>22</v>
      </c>
      <c r="C56" s="11" t="s">
        <v>23</v>
      </c>
      <c r="D56" s="10" t="s">
        <v>184</v>
      </c>
      <c r="E56" s="11" t="str">
        <f aca="false" t="array" ref="E56:E56">IF(D56="","",IFERROR(INDEX('CLM &amp; IM Mapping'!$B$2:$B$270,MATCH(TRIM(D56),'CLM &amp; IM Mapping'!$A$2:$A$270,0)),"Not Mapped"))</f>
        <v>Richard Harris</v>
      </c>
      <c r="F56" s="11" t="str">
        <f aca="false" t="array" ref="F56:F56">IF(D56="","",IFERROR(INDEX('CLM &amp; IM Mapping'!$C$2:$C$270,MATCH(TRIM(D56),'CLM &amp; IM Mapping'!$A$2:$A$270,0)),"Not Mapped"))</f>
        <v>Kantha Kumar</v>
      </c>
      <c r="G56" s="11" t="s">
        <v>34</v>
      </c>
      <c r="H56" s="10" t="n">
        <v>16726</v>
      </c>
      <c r="I56" s="10" t="n">
        <v>10196</v>
      </c>
      <c r="J56" s="10" t="n">
        <v>0</v>
      </c>
      <c r="K56" s="10" t="n">
        <v>96</v>
      </c>
      <c r="L56" s="10" t="n">
        <v>454</v>
      </c>
      <c r="M56" s="10" t="n">
        <v>0</v>
      </c>
      <c r="N56" s="10" t="n">
        <v>0</v>
      </c>
      <c r="O56" s="10" t="n">
        <v>0</v>
      </c>
      <c r="P56" s="10" t="n">
        <v>27472</v>
      </c>
      <c r="Q56" s="17"/>
      <c r="R56" s="11"/>
      <c r="S56" s="21"/>
      <c r="T56" s="15"/>
      <c r="U56" s="14" t="s">
        <v>185</v>
      </c>
      <c r="V56" s="10" t="n">
        <v>18642</v>
      </c>
      <c r="W56" s="8"/>
      <c r="X56" s="8"/>
      <c r="Y56" s="8"/>
      <c r="Z56" s="8"/>
      <c r="AA56" s="8"/>
      <c r="AB56" s="8"/>
      <c r="AC56" s="8"/>
    </row>
    <row r="57" customFormat="false" ht="15" hidden="false" customHeight="false" outlineLevel="0" collapsed="false">
      <c r="A57" s="9" t="n">
        <v>46303</v>
      </c>
      <c r="B57" s="10" t="s">
        <v>22</v>
      </c>
      <c r="C57" s="11" t="s">
        <v>23</v>
      </c>
      <c r="D57" s="10" t="s">
        <v>186</v>
      </c>
      <c r="E57" s="11" t="str">
        <f aca="false" t="array" ref="E57:E57">IF(D57="","",IFERROR(INDEX('CLM &amp; IM Mapping'!$B$2:$B$270,MATCH(TRIM(D57),'CLM &amp; IM Mapping'!$A$2:$A$270,0)),"Not Mapped"))</f>
        <v>Silambarasan E</v>
      </c>
      <c r="F57" s="11" t="str">
        <f aca="false" t="array" ref="F57:F57">IF(D57="","",IFERROR(INDEX('CLM &amp; IM Mapping'!$C$2:$C$270,MATCH(TRIM(D57),'CLM &amp; IM Mapping'!$A$2:$A$270,0)),"Not Mapped"))</f>
        <v>Arivind S</v>
      </c>
      <c r="G57" s="11" t="s">
        <v>34</v>
      </c>
      <c r="H57" s="10" t="n">
        <v>24616</v>
      </c>
      <c r="I57" s="10" t="n">
        <v>1423</v>
      </c>
      <c r="J57" s="10" t="n">
        <v>38</v>
      </c>
      <c r="K57" s="10" t="n">
        <v>0</v>
      </c>
      <c r="L57" s="10" t="n">
        <v>1222</v>
      </c>
      <c r="M57" s="10" t="n">
        <v>0</v>
      </c>
      <c r="N57" s="10" t="n">
        <v>0</v>
      </c>
      <c r="O57" s="10" t="n">
        <v>0</v>
      </c>
      <c r="P57" s="10" t="n">
        <v>27298</v>
      </c>
      <c r="Q57" s="17"/>
      <c r="R57" s="11"/>
      <c r="S57" s="21"/>
      <c r="T57" s="15"/>
      <c r="U57" s="14" t="s">
        <v>187</v>
      </c>
      <c r="V57" s="10" t="n">
        <v>20082</v>
      </c>
      <c r="W57" s="8"/>
      <c r="X57" s="8"/>
      <c r="Y57" s="8"/>
      <c r="Z57" s="8"/>
      <c r="AA57" s="8"/>
      <c r="AB57" s="8"/>
      <c r="AC57" s="8"/>
    </row>
    <row r="58" customFormat="false" ht="15" hidden="false" customHeight="false" outlineLevel="0" collapsed="false">
      <c r="A58" s="9" t="n">
        <v>46303</v>
      </c>
      <c r="B58" s="10" t="s">
        <v>22</v>
      </c>
      <c r="C58" s="11" t="s">
        <v>23</v>
      </c>
      <c r="D58" s="10" t="s">
        <v>188</v>
      </c>
      <c r="E58" s="11" t="str">
        <f aca="false" t="array" ref="E58:E58">IF(D58="","",IFERROR(INDEX('CLM &amp; IM Mapping'!$B$2:$B$270,MATCH(TRIM(D58),'CLM &amp; IM Mapping'!$A$2:$A$270,0)),"Not Mapped"))</f>
        <v>Richard Harris</v>
      </c>
      <c r="F58" s="11" t="str">
        <f aca="false" t="array" ref="F58:F58">IF(D58="","",IFERROR(INDEX('CLM &amp; IM Mapping'!$C$2:$C$270,MATCH(TRIM(D58),'CLM &amp; IM Mapping'!$A$2:$A$270,0)),"Not Mapped"))</f>
        <v>Kantha Kumar</v>
      </c>
      <c r="G58" s="11" t="s">
        <v>34</v>
      </c>
      <c r="H58" s="10" t="n">
        <v>6414</v>
      </c>
      <c r="I58" s="10" t="n">
        <v>11926</v>
      </c>
      <c r="J58" s="10" t="n">
        <v>0</v>
      </c>
      <c r="K58" s="10" t="n">
        <v>1448</v>
      </c>
      <c r="L58" s="10" t="n">
        <v>63</v>
      </c>
      <c r="M58" s="10" t="n">
        <v>0</v>
      </c>
      <c r="N58" s="10" t="n">
        <v>0</v>
      </c>
      <c r="O58" s="10" t="n">
        <v>7417</v>
      </c>
      <c r="P58" s="10" t="n">
        <v>27268</v>
      </c>
      <c r="Q58" s="17"/>
      <c r="R58" s="11"/>
      <c r="S58" s="21"/>
      <c r="T58" s="15"/>
      <c r="U58" s="14" t="s">
        <v>40</v>
      </c>
      <c r="V58" s="10" t="n">
        <v>18547</v>
      </c>
      <c r="W58" s="8"/>
      <c r="X58" s="8"/>
      <c r="Y58" s="8"/>
      <c r="Z58" s="8"/>
      <c r="AA58" s="8"/>
      <c r="AB58" s="8"/>
      <c r="AC58" s="8"/>
    </row>
    <row r="59" customFormat="false" ht="15" hidden="false" customHeight="false" outlineLevel="0" collapsed="false">
      <c r="A59" s="9" t="n">
        <v>46303</v>
      </c>
      <c r="B59" s="10" t="s">
        <v>22</v>
      </c>
      <c r="C59" s="11" t="s">
        <v>23</v>
      </c>
      <c r="D59" s="10" t="s">
        <v>189</v>
      </c>
      <c r="E59" s="11" t="str">
        <f aca="false" t="array" ref="E59:E59">IF(D59="","",IFERROR(INDEX('CLM &amp; IM Mapping'!$B$2:$B$270,MATCH(TRIM(D59),'CLM &amp; IM Mapping'!$A$2:$A$270,0)),"Not Mapped"))</f>
        <v>Girish N</v>
      </c>
      <c r="F59" s="11" t="str">
        <f aca="false" t="array" ref="F59:F59">IF(D59="","",IFERROR(INDEX('CLM &amp; IM Mapping'!$C$2:$C$270,MATCH(TRIM(D59),'CLM &amp; IM Mapping'!$A$2:$A$270,0)),"Not Mapped"))</f>
        <v>Un Mapped</v>
      </c>
      <c r="G59" s="11" t="s">
        <v>34</v>
      </c>
      <c r="H59" s="10" t="n">
        <v>4568</v>
      </c>
      <c r="I59" s="10" t="n">
        <v>18329</v>
      </c>
      <c r="J59" s="10" t="n">
        <v>2129</v>
      </c>
      <c r="K59" s="10" t="n">
        <v>106</v>
      </c>
      <c r="L59" s="10" t="n">
        <v>765</v>
      </c>
      <c r="M59" s="10" t="n">
        <v>0</v>
      </c>
      <c r="N59" s="10" t="n">
        <v>0</v>
      </c>
      <c r="O59" s="10" t="n">
        <v>0</v>
      </c>
      <c r="P59" s="10" t="n">
        <v>25896</v>
      </c>
      <c r="Q59" s="17"/>
      <c r="R59" s="11"/>
      <c r="S59" s="21"/>
      <c r="T59" s="15"/>
      <c r="U59" s="14" t="s">
        <v>190</v>
      </c>
      <c r="V59" s="10" t="n">
        <v>24177</v>
      </c>
      <c r="W59" s="8"/>
      <c r="X59" s="8"/>
      <c r="Y59" s="8"/>
      <c r="Z59" s="8"/>
      <c r="AA59" s="8"/>
      <c r="AB59" s="8"/>
      <c r="AC59" s="8"/>
    </row>
    <row r="60" customFormat="false" ht="15" hidden="false" customHeight="false" outlineLevel="0" collapsed="false">
      <c r="A60" s="9" t="n">
        <v>46303</v>
      </c>
      <c r="B60" s="10" t="s">
        <v>22</v>
      </c>
      <c r="C60" s="11" t="s">
        <v>23</v>
      </c>
      <c r="D60" s="10" t="s">
        <v>191</v>
      </c>
      <c r="E60" s="11" t="str">
        <f aca="false" t="array" ref="E60:E60">IF(D60="","",IFERROR(INDEX('CLM &amp; IM Mapping'!$B$2:$B$270,MATCH(TRIM(D60),'CLM &amp; IM Mapping'!$A$2:$A$270,0)),"Not Mapped"))</f>
        <v>Adhavan Subramani</v>
      </c>
      <c r="F60" s="11" t="str">
        <f aca="false" t="array" ref="F60:F60">IF(D60="","",IFERROR(INDEX('CLM &amp; IM Mapping'!$C$2:$C$270,MATCH(TRIM(D60),'CLM &amp; IM Mapping'!$A$2:$A$270,0)),"Not Mapped"))</f>
        <v>Mohammed Akbar</v>
      </c>
      <c r="G60" s="11" t="s">
        <v>34</v>
      </c>
      <c r="H60" s="10" t="n">
        <v>-9055</v>
      </c>
      <c r="I60" s="10" t="n">
        <v>0</v>
      </c>
      <c r="J60" s="10" t="n">
        <v>0</v>
      </c>
      <c r="K60" s="10" t="n">
        <v>34052</v>
      </c>
      <c r="L60" s="10" t="n">
        <v>0</v>
      </c>
      <c r="M60" s="10" t="n">
        <v>0</v>
      </c>
      <c r="N60" s="10" t="n">
        <v>0</v>
      </c>
      <c r="O60" s="10" t="n">
        <v>0</v>
      </c>
      <c r="P60" s="10" t="n">
        <v>24998</v>
      </c>
      <c r="Q60" s="17"/>
      <c r="R60" s="11"/>
      <c r="S60" s="12" t="s">
        <v>192</v>
      </c>
      <c r="T60" s="15"/>
      <c r="U60" s="14" t="n">
        <v>1</v>
      </c>
      <c r="V60" s="11" t="n">
        <v>720</v>
      </c>
      <c r="W60" s="8"/>
      <c r="X60" s="8"/>
      <c r="Y60" s="8"/>
      <c r="Z60" s="8"/>
      <c r="AA60" s="8"/>
      <c r="AB60" s="8"/>
      <c r="AC60" s="8"/>
    </row>
    <row r="61" customFormat="false" ht="15" hidden="false" customHeight="false" outlineLevel="0" collapsed="false">
      <c r="A61" s="9" t="n">
        <v>46303</v>
      </c>
      <c r="B61" s="10" t="s">
        <v>22</v>
      </c>
      <c r="C61" s="11" t="s">
        <v>23</v>
      </c>
      <c r="D61" s="10" t="s">
        <v>193</v>
      </c>
      <c r="E61" s="11" t="str">
        <f aca="false" t="array" ref="E61:E61">IF(D61="","",IFERROR(INDEX('CLM &amp; IM Mapping'!$B$2:$B$270,MATCH(TRIM(D61),'CLM &amp; IM Mapping'!$A$2:$A$270,0)),"Not Mapped"))</f>
        <v>Girish N</v>
      </c>
      <c r="F61" s="11" t="str">
        <f aca="false" t="array" ref="F61:F61">IF(D61="","",IFERROR(INDEX('CLM &amp; IM Mapping'!$C$2:$C$270,MATCH(TRIM(D61),'CLM &amp; IM Mapping'!$A$2:$A$270,0)),"Not Mapped"))</f>
        <v>Un Mapped</v>
      </c>
      <c r="G61" s="11" t="s">
        <v>34</v>
      </c>
      <c r="H61" s="10" t="n">
        <v>-4546</v>
      </c>
      <c r="I61" s="10" t="n">
        <v>23681</v>
      </c>
      <c r="J61" s="10" t="n">
        <v>0</v>
      </c>
      <c r="K61" s="10" t="n">
        <v>617</v>
      </c>
      <c r="L61" s="10" t="n">
        <v>5061</v>
      </c>
      <c r="M61" s="10" t="n">
        <v>0</v>
      </c>
      <c r="N61" s="10" t="n">
        <v>0</v>
      </c>
      <c r="O61" s="10" t="n">
        <v>0</v>
      </c>
      <c r="P61" s="10" t="n">
        <v>24812</v>
      </c>
      <c r="Q61" s="17"/>
      <c r="R61" s="11"/>
      <c r="S61" s="21"/>
      <c r="T61" s="15"/>
      <c r="U61" s="14" t="s">
        <v>194</v>
      </c>
      <c r="V61" s="10" t="n">
        <v>10630</v>
      </c>
      <c r="W61" s="8"/>
      <c r="X61" s="8"/>
      <c r="Y61" s="8"/>
      <c r="Z61" s="8"/>
      <c r="AA61" s="8"/>
      <c r="AB61" s="8"/>
      <c r="AC61" s="8"/>
    </row>
    <row r="62" customFormat="false" ht="29.85" hidden="false" customHeight="false" outlineLevel="0" collapsed="false">
      <c r="A62" s="9" t="n">
        <v>46303</v>
      </c>
      <c r="B62" s="10" t="s">
        <v>22</v>
      </c>
      <c r="C62" s="11" t="s">
        <v>23</v>
      </c>
      <c r="D62" s="10" t="s">
        <v>195</v>
      </c>
      <c r="E62" s="11" t="str">
        <f aca="false" t="array" ref="E62:E62">IF(D62="","",IFERROR(INDEX('CLM &amp; IM Mapping'!$B$2:$B$270,MATCH(TRIM(D62),'CLM &amp; IM Mapping'!$A$2:$A$270,0)),"Not Mapped"))</f>
        <v>Adhavan Subramani</v>
      </c>
      <c r="F62" s="11" t="str">
        <f aca="false" t="array" ref="F62:F62">IF(D62="","",IFERROR(INDEX('CLM &amp; IM Mapping'!$C$2:$C$270,MATCH(TRIM(D62),'CLM &amp; IM Mapping'!$A$2:$A$270,0)),"Not Mapped"))</f>
        <v>Mohammed Akbar</v>
      </c>
      <c r="G62" s="11" t="s">
        <v>34</v>
      </c>
      <c r="H62" s="10" t="n">
        <v>14994</v>
      </c>
      <c r="I62" s="10" t="n">
        <v>5392</v>
      </c>
      <c r="J62" s="10" t="n">
        <v>580</v>
      </c>
      <c r="K62" s="10" t="n">
        <v>44</v>
      </c>
      <c r="L62" s="10" t="n">
        <v>23</v>
      </c>
      <c r="M62" s="10" t="n">
        <v>0</v>
      </c>
      <c r="N62" s="10" t="n">
        <v>1321</v>
      </c>
      <c r="O62" s="10" t="n">
        <v>0</v>
      </c>
      <c r="P62" s="10" t="n">
        <v>22354</v>
      </c>
      <c r="Q62" s="17"/>
      <c r="R62" s="11"/>
      <c r="S62" s="12" t="s">
        <v>196</v>
      </c>
      <c r="T62" s="15" t="n">
        <v>22000</v>
      </c>
      <c r="U62" s="14" t="s">
        <v>197</v>
      </c>
      <c r="V62" s="10" t="n">
        <v>13632</v>
      </c>
      <c r="W62" s="8"/>
      <c r="X62" s="8"/>
      <c r="Y62" s="8"/>
      <c r="Z62" s="8"/>
      <c r="AA62" s="8"/>
      <c r="AB62" s="8"/>
      <c r="AC62" s="8"/>
    </row>
    <row r="63" customFormat="false" ht="15" hidden="false" customHeight="false" outlineLevel="0" collapsed="false">
      <c r="A63" s="9" t="n">
        <v>46303</v>
      </c>
      <c r="B63" s="10" t="s">
        <v>22</v>
      </c>
      <c r="C63" s="11" t="s">
        <v>23</v>
      </c>
      <c r="D63" s="10" t="s">
        <v>198</v>
      </c>
      <c r="E63" s="11" t="str">
        <f aca="false" t="array" ref="E63:E63">IF(D63="","",IFERROR(INDEX('CLM &amp; IM Mapping'!$B$2:$B$270,MATCH(TRIM(D63),'CLM &amp; IM Mapping'!$A$2:$A$270,0)),"Not Mapped"))</f>
        <v>Manjunatha V</v>
      </c>
      <c r="F63" s="11" t="str">
        <f aca="false" t="array" ref="F63:F63">IF(D63="","",IFERROR(INDEX('CLM &amp; IM Mapping'!$C$2:$C$270,MATCH(TRIM(D63),'CLM &amp; IM Mapping'!$A$2:$A$270,0)),"Not Mapped"))</f>
        <v>Un Mapped</v>
      </c>
      <c r="G63" s="11" t="s">
        <v>34</v>
      </c>
      <c r="H63" s="10" t="n">
        <v>-30293</v>
      </c>
      <c r="I63" s="10" t="n">
        <v>19556</v>
      </c>
      <c r="J63" s="10" t="n">
        <v>188</v>
      </c>
      <c r="K63" s="10" t="n">
        <v>31331</v>
      </c>
      <c r="L63" s="10" t="n">
        <v>1349</v>
      </c>
      <c r="M63" s="10" t="n">
        <v>0</v>
      </c>
      <c r="N63" s="10" t="n">
        <v>0</v>
      </c>
      <c r="O63" s="10" t="n">
        <v>0</v>
      </c>
      <c r="P63" s="10" t="n">
        <v>22131</v>
      </c>
      <c r="Q63" s="17"/>
      <c r="R63" s="11"/>
      <c r="S63" s="21"/>
      <c r="T63" s="15"/>
      <c r="U63" s="14" t="s">
        <v>199</v>
      </c>
      <c r="V63" s="10" t="n">
        <v>18766</v>
      </c>
      <c r="W63" s="8"/>
      <c r="X63" s="8"/>
      <c r="Y63" s="8"/>
      <c r="Z63" s="8"/>
      <c r="AA63" s="8"/>
      <c r="AB63" s="8"/>
      <c r="AC63" s="8"/>
    </row>
    <row r="64" customFormat="false" ht="29.85" hidden="false" customHeight="false" outlineLevel="0" collapsed="false">
      <c r="A64" s="9" t="n">
        <v>46303</v>
      </c>
      <c r="B64" s="10" t="s">
        <v>22</v>
      </c>
      <c r="C64" s="11" t="s">
        <v>23</v>
      </c>
      <c r="D64" s="10" t="s">
        <v>200</v>
      </c>
      <c r="E64" s="11" t="str">
        <f aca="false" t="array" ref="E64:E64">IF(D64="","",IFERROR(INDEX('CLM &amp; IM Mapping'!$B$2:$B$270,MATCH(TRIM(D64),'CLM &amp; IM Mapping'!$A$2:$A$270,0)),"Not Mapped"))</f>
        <v>Adhavan Subramani</v>
      </c>
      <c r="F64" s="11" t="str">
        <f aca="false" t="array" ref="F64:F64">IF(D64="","",IFERROR(INDEX('CLM &amp; IM Mapping'!$C$2:$C$270,MATCH(TRIM(D64),'CLM &amp; IM Mapping'!$A$2:$A$270,0)),"Not Mapped"))</f>
        <v>Mohammed Akbar</v>
      </c>
      <c r="G64" s="11" t="s">
        <v>34</v>
      </c>
      <c r="H64" s="10" t="n">
        <v>11541</v>
      </c>
      <c r="I64" s="10" t="n">
        <v>8646</v>
      </c>
      <c r="J64" s="10" t="n">
        <v>418</v>
      </c>
      <c r="K64" s="10" t="n">
        <v>230</v>
      </c>
      <c r="L64" s="10" t="n">
        <v>538</v>
      </c>
      <c r="M64" s="10" t="n">
        <v>0</v>
      </c>
      <c r="N64" s="10" t="n">
        <v>576</v>
      </c>
      <c r="O64" s="10" t="n">
        <v>0</v>
      </c>
      <c r="P64" s="10" t="n">
        <v>21949</v>
      </c>
      <c r="Q64" s="17"/>
      <c r="R64" s="11"/>
      <c r="S64" s="12" t="s">
        <v>201</v>
      </c>
      <c r="T64" s="15" t="n">
        <v>22000</v>
      </c>
      <c r="U64" s="14" t="s">
        <v>202</v>
      </c>
      <c r="V64" s="10" t="n">
        <v>8515</v>
      </c>
      <c r="W64" s="8"/>
      <c r="X64" s="8"/>
      <c r="Y64" s="8"/>
      <c r="Z64" s="8"/>
      <c r="AA64" s="8"/>
      <c r="AB64" s="8"/>
      <c r="AC64" s="8"/>
    </row>
    <row r="65" customFormat="false" ht="29.85" hidden="false" customHeight="false" outlineLevel="0" collapsed="false">
      <c r="A65" s="9" t="n">
        <v>46303</v>
      </c>
      <c r="B65" s="10" t="s">
        <v>22</v>
      </c>
      <c r="C65" s="11" t="s">
        <v>23</v>
      </c>
      <c r="D65" s="10" t="s">
        <v>203</v>
      </c>
      <c r="E65" s="11" t="str">
        <f aca="false" t="array" ref="E65:E65">IF(D65="","",IFERROR(INDEX('CLM &amp; IM Mapping'!$B$2:$B$270,MATCH(TRIM(D65),'CLM &amp; IM Mapping'!$A$2:$A$270,0)),"Not Mapped"))</f>
        <v>Suhas N</v>
      </c>
      <c r="F65" s="11" t="str">
        <f aca="false" t="array" ref="F65:F65">IF(D65="","",IFERROR(INDEX('CLM &amp; IM Mapping'!$C$2:$C$270,MATCH(TRIM(D65),'CLM &amp; IM Mapping'!$A$2:$A$270,0)),"Not Mapped"))</f>
        <v>Aravind S</v>
      </c>
      <c r="G65" s="11" t="s">
        <v>34</v>
      </c>
      <c r="H65" s="10" t="n">
        <v>7126</v>
      </c>
      <c r="I65" s="10" t="n">
        <v>13109</v>
      </c>
      <c r="J65" s="10" t="n">
        <v>0</v>
      </c>
      <c r="K65" s="10" t="n">
        <v>0</v>
      </c>
      <c r="L65" s="10" t="n">
        <v>1666</v>
      </c>
      <c r="M65" s="10" t="n">
        <v>0</v>
      </c>
      <c r="N65" s="10" t="n">
        <v>0</v>
      </c>
      <c r="O65" s="10" t="n">
        <v>0</v>
      </c>
      <c r="P65" s="10" t="n">
        <v>21901</v>
      </c>
      <c r="Q65" s="17"/>
      <c r="R65" s="11"/>
      <c r="S65" s="12" t="s">
        <v>204</v>
      </c>
      <c r="T65" s="15" t="n">
        <v>20000</v>
      </c>
      <c r="U65" s="14" t="s">
        <v>99</v>
      </c>
      <c r="V65" s="10" t="n">
        <v>7304</v>
      </c>
      <c r="W65" s="8"/>
      <c r="X65" s="8"/>
      <c r="Y65" s="8"/>
      <c r="Z65" s="8"/>
      <c r="AA65" s="8"/>
      <c r="AB65" s="8"/>
      <c r="AC65" s="8"/>
    </row>
    <row r="66" customFormat="false" ht="29.85" hidden="false" customHeight="false" outlineLevel="0" collapsed="false">
      <c r="A66" s="9" t="n">
        <v>46303</v>
      </c>
      <c r="B66" s="10" t="s">
        <v>22</v>
      </c>
      <c r="C66" s="11" t="s">
        <v>23</v>
      </c>
      <c r="D66" s="10" t="s">
        <v>205</v>
      </c>
      <c r="E66" s="11" t="str">
        <f aca="false" t="array" ref="E66:E66">IF(D66="","",IFERROR(INDEX('CLM &amp; IM Mapping'!$B$2:$B$270,MATCH(TRIM(D66),'CLM &amp; IM Mapping'!$A$2:$A$270,0)),"Not Mapped"))</f>
        <v>Akshay P</v>
      </c>
      <c r="F66" s="11" t="str">
        <f aca="false" t="array" ref="F66:F66">IF(D66="","",IFERROR(INDEX('CLM &amp; IM Mapping'!$C$2:$C$270,MATCH(TRIM(D66),'CLM &amp; IM Mapping'!$A$2:$A$270,0)),"Not Mapped"))</f>
        <v>Srittam Dhal</v>
      </c>
      <c r="G66" s="11" t="s">
        <v>34</v>
      </c>
      <c r="H66" s="10" t="n">
        <v>10290</v>
      </c>
      <c r="I66" s="10" t="n">
        <v>10216</v>
      </c>
      <c r="J66" s="10" t="n">
        <v>0</v>
      </c>
      <c r="K66" s="10" t="n">
        <v>0</v>
      </c>
      <c r="L66" s="10" t="n">
        <v>593</v>
      </c>
      <c r="M66" s="10" t="n">
        <v>0</v>
      </c>
      <c r="N66" s="10" t="n">
        <v>0</v>
      </c>
      <c r="O66" s="10" t="n">
        <v>452</v>
      </c>
      <c r="P66" s="10" t="n">
        <v>21552</v>
      </c>
      <c r="Q66" s="17"/>
      <c r="R66" s="11"/>
      <c r="S66" s="12" t="s">
        <v>206</v>
      </c>
      <c r="T66" s="15" t="n">
        <v>15000</v>
      </c>
      <c r="U66" s="14" t="s">
        <v>207</v>
      </c>
      <c r="V66" s="10" t="n">
        <v>12430</v>
      </c>
      <c r="W66" s="8"/>
      <c r="X66" s="8"/>
      <c r="Y66" s="8"/>
      <c r="Z66" s="8"/>
      <c r="AA66" s="8"/>
      <c r="AB66" s="8"/>
      <c r="AC66" s="8"/>
    </row>
    <row r="67" customFormat="false" ht="29.85" hidden="false" customHeight="false" outlineLevel="0" collapsed="false">
      <c r="A67" s="9" t="n">
        <v>46303</v>
      </c>
      <c r="B67" s="10" t="s">
        <v>22</v>
      </c>
      <c r="C67" s="11" t="s">
        <v>23</v>
      </c>
      <c r="D67" s="10" t="s">
        <v>208</v>
      </c>
      <c r="E67" s="11" t="str">
        <f aca="false" t="array" ref="E67:E67">IF(D67="","",IFERROR(INDEX('CLM &amp; IM Mapping'!$B$2:$B$270,MATCH(TRIM(D67),'CLM &amp; IM Mapping'!$A$2:$A$270,0)),"Not Mapped"))</f>
        <v>Silambarasan E</v>
      </c>
      <c r="F67" s="11" t="str">
        <f aca="false" t="array" ref="F67:F67">IF(D67="","",IFERROR(INDEX('CLM &amp; IM Mapping'!$C$2:$C$270,MATCH(TRIM(D67),'CLM &amp; IM Mapping'!$A$2:$A$270,0)),"Not Mapped"))</f>
        <v>Arivind S</v>
      </c>
      <c r="G67" s="11" t="s">
        <v>34</v>
      </c>
      <c r="H67" s="10" t="n">
        <v>527</v>
      </c>
      <c r="I67" s="10" t="n">
        <v>14651</v>
      </c>
      <c r="J67" s="10" t="n">
        <v>599</v>
      </c>
      <c r="K67" s="10" t="n">
        <v>1905</v>
      </c>
      <c r="L67" s="10" t="n">
        <v>2728</v>
      </c>
      <c r="M67" s="10" t="n">
        <v>0</v>
      </c>
      <c r="N67" s="10" t="n">
        <v>179</v>
      </c>
      <c r="O67" s="10" t="n">
        <v>773</v>
      </c>
      <c r="P67" s="10" t="n">
        <v>21363</v>
      </c>
      <c r="Q67" s="18"/>
      <c r="R67" s="11"/>
      <c r="S67" s="12" t="s">
        <v>209</v>
      </c>
      <c r="T67" s="15" t="s">
        <v>210</v>
      </c>
      <c r="U67" s="14" t="s">
        <v>211</v>
      </c>
      <c r="V67" s="10" t="n">
        <v>22942</v>
      </c>
      <c r="W67" s="8"/>
      <c r="X67" s="8"/>
      <c r="Y67" s="8"/>
      <c r="Z67" s="8"/>
      <c r="AA67" s="8"/>
      <c r="AB67" s="8"/>
      <c r="AC67" s="8"/>
    </row>
    <row r="68" customFormat="false" ht="29.85" hidden="false" customHeight="false" outlineLevel="0" collapsed="false">
      <c r="A68" s="9" t="n">
        <v>46303</v>
      </c>
      <c r="B68" s="10" t="s">
        <v>22</v>
      </c>
      <c r="C68" s="11" t="s">
        <v>212</v>
      </c>
      <c r="D68" s="10" t="s">
        <v>213</v>
      </c>
      <c r="E68" s="11" t="str">
        <f aca="false" t="array" ref="E68:E68">IF(D68="","",IFERROR(INDEX('CLM &amp; IM Mapping'!$B$2:$B$270,MATCH(TRIM(D68),'CLM &amp; IM Mapping'!$A$2:$A$270,0)),"Not Mapped"))</f>
        <v>Bangareppa CS</v>
      </c>
      <c r="F68" s="11" t="str">
        <f aca="false" t="array" ref="F68:F68">IF(D68="","",IFERROR(INDEX('CLM &amp; IM Mapping'!$C$2:$C$270,MATCH(TRIM(D68),'CLM &amp; IM Mapping'!$A$2:$A$270,0)),"Not Mapped"))</f>
        <v>Kishor K</v>
      </c>
      <c r="G68" s="11" t="s">
        <v>34</v>
      </c>
      <c r="H68" s="10" t="n">
        <v>18163</v>
      </c>
      <c r="I68" s="10" t="n">
        <v>1919</v>
      </c>
      <c r="J68" s="10" t="n">
        <v>0</v>
      </c>
      <c r="K68" s="10" t="n">
        <v>0</v>
      </c>
      <c r="L68" s="10" t="n">
        <v>735</v>
      </c>
      <c r="M68" s="10" t="n">
        <v>0</v>
      </c>
      <c r="N68" s="10" t="n">
        <v>0</v>
      </c>
      <c r="O68" s="10" t="n">
        <v>0</v>
      </c>
      <c r="P68" s="10" t="n">
        <v>20817</v>
      </c>
      <c r="Q68" s="17"/>
      <c r="R68" s="11"/>
      <c r="S68" s="12" t="s">
        <v>214</v>
      </c>
      <c r="T68" s="15" t="n">
        <v>20000</v>
      </c>
      <c r="U68" s="14" t="s">
        <v>215</v>
      </c>
      <c r="V68" s="11" t="n">
        <v>792</v>
      </c>
      <c r="W68" s="8"/>
      <c r="X68" s="8"/>
      <c r="Y68" s="8"/>
      <c r="Z68" s="8"/>
      <c r="AA68" s="8"/>
      <c r="AB68" s="8"/>
      <c r="AC68" s="8"/>
    </row>
    <row r="69" customFormat="false" ht="15" hidden="false" customHeight="false" outlineLevel="0" collapsed="false">
      <c r="A69" s="9" t="n">
        <v>46303</v>
      </c>
      <c r="B69" s="10" t="s">
        <v>22</v>
      </c>
      <c r="C69" s="11" t="s">
        <v>23</v>
      </c>
      <c r="D69" s="10" t="s">
        <v>216</v>
      </c>
      <c r="E69" s="11" t="str">
        <f aca="false" t="array" ref="E69:E69">IF(D69="","",IFERROR(INDEX('CLM &amp; IM Mapping'!$B$2:$B$270,MATCH(TRIM(D69),'CLM &amp; IM Mapping'!$A$2:$A$270,0)),"Not Mapped"))</f>
        <v>Silambarasan E</v>
      </c>
      <c r="F69" s="11" t="str">
        <f aca="false" t="array" ref="F69:F69">IF(D69="","",IFERROR(INDEX('CLM &amp; IM Mapping'!$C$2:$C$270,MATCH(TRIM(D69),'CLM &amp; IM Mapping'!$A$2:$A$270,0)),"Not Mapped"))</f>
        <v>Arivind S</v>
      </c>
      <c r="G69" s="11" t="s">
        <v>34</v>
      </c>
      <c r="H69" s="10" t="n">
        <v>8356</v>
      </c>
      <c r="I69" s="10" t="n">
        <v>9481</v>
      </c>
      <c r="J69" s="10" t="n">
        <v>1526</v>
      </c>
      <c r="K69" s="10" t="n">
        <v>0</v>
      </c>
      <c r="L69" s="10" t="n">
        <v>589</v>
      </c>
      <c r="M69" s="10" t="n">
        <v>0</v>
      </c>
      <c r="N69" s="10" t="n">
        <v>0</v>
      </c>
      <c r="O69" s="10" t="n">
        <v>0</v>
      </c>
      <c r="P69" s="10" t="n">
        <v>19952</v>
      </c>
      <c r="Q69" s="17"/>
      <c r="R69" s="11"/>
      <c r="S69" s="21"/>
      <c r="T69" s="15"/>
      <c r="U69" s="14" t="s">
        <v>217</v>
      </c>
      <c r="V69" s="10" t="n">
        <v>11237</v>
      </c>
      <c r="W69" s="8"/>
      <c r="X69" s="8"/>
      <c r="Y69" s="8"/>
      <c r="Z69" s="8"/>
      <c r="AA69" s="8"/>
      <c r="AB69" s="8"/>
      <c r="AC69" s="8"/>
    </row>
    <row r="70" customFormat="false" ht="15" hidden="false" customHeight="false" outlineLevel="0" collapsed="false">
      <c r="A70" s="9" t="n">
        <v>46303</v>
      </c>
      <c r="B70" s="10" t="s">
        <v>22</v>
      </c>
      <c r="C70" s="11" t="s">
        <v>23</v>
      </c>
      <c r="D70" s="11" t="s">
        <v>218</v>
      </c>
      <c r="E70" s="11" t="str">
        <f aca="false" t="array" ref="E70:E70">IF(D70="","",IFERROR(INDEX('CLM &amp; IM Mapping'!$B$2:$B$270,MATCH(TRIM(D70),'CLM &amp; IM Mapping'!$A$2:$A$270,0)),"Not Mapped"))</f>
        <v>Ashwath S</v>
      </c>
      <c r="F70" s="11" t="str">
        <f aca="false" t="array" ref="F70:F70">IF(D70="","",IFERROR(INDEX('CLM &amp; IM Mapping'!$C$2:$C$270,MATCH(TRIM(D70),'CLM &amp; IM Mapping'!$A$2:$A$270,0)),"Not Mapped"))</f>
        <v>Kantha Kumar</v>
      </c>
      <c r="G70" s="11" t="s">
        <v>34</v>
      </c>
      <c r="H70" s="10" t="n">
        <v>7252</v>
      </c>
      <c r="I70" s="10" t="n">
        <v>9912</v>
      </c>
      <c r="J70" s="10" t="n">
        <v>38</v>
      </c>
      <c r="K70" s="10" t="n">
        <v>2129</v>
      </c>
      <c r="L70" s="10" t="n">
        <v>187</v>
      </c>
      <c r="M70" s="10" t="n">
        <v>0</v>
      </c>
      <c r="N70" s="10" t="n">
        <v>0</v>
      </c>
      <c r="O70" s="10" t="n">
        <v>0</v>
      </c>
      <c r="P70" s="10" t="n">
        <v>19518</v>
      </c>
      <c r="Q70" s="17"/>
      <c r="R70" s="11"/>
      <c r="S70" s="21"/>
      <c r="T70" s="15"/>
      <c r="U70" s="14" t="s">
        <v>152</v>
      </c>
      <c r="V70" s="10" t="n">
        <v>49699</v>
      </c>
      <c r="W70" s="8"/>
      <c r="X70" s="8"/>
      <c r="Y70" s="8"/>
      <c r="Z70" s="8"/>
      <c r="AA70" s="8"/>
      <c r="AB70" s="8"/>
      <c r="AC70" s="8"/>
    </row>
    <row r="71" customFormat="false" ht="15" hidden="false" customHeight="false" outlineLevel="0" collapsed="false">
      <c r="A71" s="9" t="n">
        <v>46303</v>
      </c>
      <c r="B71" s="10" t="s">
        <v>22</v>
      </c>
      <c r="C71" s="11" t="s">
        <v>23</v>
      </c>
      <c r="D71" s="10" t="s">
        <v>219</v>
      </c>
      <c r="E71" s="11" t="str">
        <f aca="false" t="array" ref="E71:E71">IF(D71="","",IFERROR(INDEX('CLM &amp; IM Mapping'!$B$2:$B$270,MATCH(TRIM(D71),'CLM &amp; IM Mapping'!$A$2:$A$270,0)),"Not Mapped"))</f>
        <v>Arun Raj</v>
      </c>
      <c r="F71" s="11" t="str">
        <f aca="false" t="array" ref="F71:F71">IF(D71="","",IFERROR(INDEX('CLM &amp; IM Mapping'!$C$2:$C$270,MATCH(TRIM(D71),'CLM &amp; IM Mapping'!$A$2:$A$270,0)),"Not Mapped"))</f>
        <v>Simon Manoharan</v>
      </c>
      <c r="G71" s="11" t="s">
        <v>25</v>
      </c>
      <c r="H71" s="10" t="n">
        <v>6867</v>
      </c>
      <c r="I71" s="10" t="n">
        <v>11317</v>
      </c>
      <c r="J71" s="10" t="n">
        <v>0</v>
      </c>
      <c r="K71" s="10" t="n">
        <v>0</v>
      </c>
      <c r="L71" s="10" t="n">
        <v>876</v>
      </c>
      <c r="M71" s="10" t="n">
        <v>0</v>
      </c>
      <c r="N71" s="10" t="n">
        <v>0</v>
      </c>
      <c r="O71" s="10" t="n">
        <v>0</v>
      </c>
      <c r="P71" s="10" t="n">
        <v>19060</v>
      </c>
      <c r="Q71" s="17"/>
      <c r="R71" s="11"/>
      <c r="S71" s="21"/>
      <c r="T71" s="15"/>
      <c r="U71" s="14" t="s">
        <v>220</v>
      </c>
      <c r="V71" s="10" t="n">
        <v>5124</v>
      </c>
      <c r="W71" s="8"/>
      <c r="X71" s="8"/>
      <c r="Y71" s="8"/>
      <c r="Z71" s="8"/>
      <c r="AA71" s="8"/>
      <c r="AB71" s="8"/>
      <c r="AC71" s="8"/>
    </row>
    <row r="72" customFormat="false" ht="15" hidden="false" customHeight="false" outlineLevel="0" collapsed="false">
      <c r="A72" s="9" t="n">
        <v>46303</v>
      </c>
      <c r="B72" s="10" t="s">
        <v>22</v>
      </c>
      <c r="C72" s="11" t="s">
        <v>221</v>
      </c>
      <c r="D72" s="10" t="s">
        <v>222</v>
      </c>
      <c r="E72" s="11" t="str">
        <f aca="false" t="array" ref="E72:E72">IF(D72="","",IFERROR(INDEX('CLM &amp; IM Mapping'!$B$2:$B$270,MATCH(TRIM(D72),'CLM &amp; IM Mapping'!$A$2:$A$270,0)),"Not Mapped"))</f>
        <v>Vishnu V</v>
      </c>
      <c r="F72" s="11" t="str">
        <f aca="false" t="array" ref="F72:F72">IF(D72="","",IFERROR(INDEX('CLM &amp; IM Mapping'!$C$2:$C$270,MATCH(TRIM(D72),'CLM &amp; IM Mapping'!$A$2:$A$270,0)),"Not Mapped"))</f>
        <v>Arivind S</v>
      </c>
      <c r="G72" s="11" t="s">
        <v>34</v>
      </c>
      <c r="H72" s="10" t="n">
        <v>-14100</v>
      </c>
      <c r="I72" s="10" t="n">
        <v>14892</v>
      </c>
      <c r="J72" s="10" t="n">
        <v>1759</v>
      </c>
      <c r="K72" s="10" t="n">
        <v>263</v>
      </c>
      <c r="L72" s="10" t="n">
        <v>110</v>
      </c>
      <c r="M72" s="10" t="n">
        <v>0</v>
      </c>
      <c r="N72" s="10" t="n">
        <v>15548</v>
      </c>
      <c r="O72" s="10" t="n">
        <v>0</v>
      </c>
      <c r="P72" s="10" t="n">
        <v>18472</v>
      </c>
      <c r="Q72" s="17"/>
      <c r="R72" s="11"/>
      <c r="S72" s="21"/>
      <c r="T72" s="15"/>
      <c r="U72" s="14" t="s">
        <v>223</v>
      </c>
      <c r="V72" s="10" t="n">
        <v>5540</v>
      </c>
      <c r="W72" s="8"/>
      <c r="X72" s="8"/>
      <c r="Y72" s="8"/>
      <c r="Z72" s="8"/>
      <c r="AA72" s="8"/>
      <c r="AB72" s="8"/>
      <c r="AC72" s="8"/>
    </row>
    <row r="73" customFormat="false" ht="15" hidden="false" customHeight="false" outlineLevel="0" collapsed="false">
      <c r="A73" s="9" t="n">
        <v>46303</v>
      </c>
      <c r="B73" s="10" t="s">
        <v>22</v>
      </c>
      <c r="C73" s="11" t="s">
        <v>221</v>
      </c>
      <c r="D73" s="10" t="s">
        <v>224</v>
      </c>
      <c r="E73" s="11" t="str">
        <f aca="false" t="array" ref="E73:E73">IF(D73="","",IFERROR(INDEX('CLM &amp; IM Mapping'!$B$2:$B$270,MATCH(TRIM(D73),'CLM &amp; IM Mapping'!$A$2:$A$270,0)),"Not Mapped"))</f>
        <v>Vishnu V</v>
      </c>
      <c r="F73" s="11" t="str">
        <f aca="false" t="array" ref="F73:F73">IF(D73="","",IFERROR(INDEX('CLM &amp; IM Mapping'!$C$2:$C$270,MATCH(TRIM(D73),'CLM &amp; IM Mapping'!$A$2:$A$270,0)),"Not Mapped"))</f>
        <v>Arivind S</v>
      </c>
      <c r="G73" s="11" t="s">
        <v>25</v>
      </c>
      <c r="H73" s="10" t="n">
        <v>122</v>
      </c>
      <c r="I73" s="10" t="n">
        <v>17260</v>
      </c>
      <c r="J73" s="10" t="n">
        <v>0</v>
      </c>
      <c r="K73" s="10" t="n">
        <v>0</v>
      </c>
      <c r="L73" s="10" t="n">
        <v>0</v>
      </c>
      <c r="M73" s="10" t="n">
        <v>0</v>
      </c>
      <c r="N73" s="10" t="n">
        <v>0</v>
      </c>
      <c r="O73" s="10" t="n">
        <v>0</v>
      </c>
      <c r="P73" s="10" t="n">
        <v>17382</v>
      </c>
      <c r="Q73" s="17"/>
      <c r="R73" s="11"/>
      <c r="S73" s="21"/>
      <c r="T73" s="15"/>
      <c r="U73" s="14" t="s">
        <v>225</v>
      </c>
      <c r="V73" s="10" t="n">
        <v>7554</v>
      </c>
      <c r="W73" s="8"/>
      <c r="X73" s="8"/>
      <c r="Y73" s="8"/>
      <c r="Z73" s="8"/>
      <c r="AA73" s="8"/>
      <c r="AB73" s="8"/>
      <c r="AC73" s="8"/>
    </row>
    <row r="74" customFormat="false" ht="15" hidden="false" customHeight="false" outlineLevel="0" collapsed="false">
      <c r="A74" s="9" t="n">
        <v>46303</v>
      </c>
      <c r="B74" s="10" t="s">
        <v>22</v>
      </c>
      <c r="C74" s="11" t="s">
        <v>23</v>
      </c>
      <c r="D74" s="10" t="s">
        <v>226</v>
      </c>
      <c r="E74" s="11" t="str">
        <f aca="false" t="array" ref="E74:E74">IF(D74="","",IFERROR(INDEX('CLM &amp; IM Mapping'!$B$2:$B$270,MATCH(TRIM(D74),'CLM &amp; IM Mapping'!$A$2:$A$270,0)),"Not Mapped"))</f>
        <v>Manoj Kj</v>
      </c>
      <c r="F74" s="11" t="str">
        <f aca="false" t="array" ref="F74:F74">IF(D74="","",IFERROR(INDEX('CLM &amp; IM Mapping'!$C$2:$C$270,MATCH(TRIM(D74),'CLM &amp; IM Mapping'!$A$2:$A$270,0)),"Not Mapped"))</f>
        <v>Srittam Dhal</v>
      </c>
      <c r="G74" s="11" t="s">
        <v>34</v>
      </c>
      <c r="H74" s="10" t="n">
        <v>84</v>
      </c>
      <c r="I74" s="10" t="n">
        <v>0</v>
      </c>
      <c r="J74" s="10" t="n">
        <v>0</v>
      </c>
      <c r="K74" s="10" t="n">
        <v>16377</v>
      </c>
      <c r="L74" s="10" t="n">
        <v>0</v>
      </c>
      <c r="M74" s="10" t="n">
        <v>0</v>
      </c>
      <c r="N74" s="10" t="n">
        <v>0</v>
      </c>
      <c r="O74" s="10" t="n">
        <v>0</v>
      </c>
      <c r="P74" s="10" t="n">
        <v>16461</v>
      </c>
      <c r="Q74" s="17"/>
      <c r="R74" s="11"/>
      <c r="S74" s="21"/>
      <c r="T74" s="15"/>
      <c r="U74" s="14" t="s">
        <v>117</v>
      </c>
      <c r="V74" s="11" t="n">
        <v>84</v>
      </c>
      <c r="W74" s="8"/>
      <c r="X74" s="8"/>
      <c r="Y74" s="8"/>
      <c r="Z74" s="8"/>
      <c r="AA74" s="8"/>
      <c r="AB74" s="8"/>
      <c r="AC74" s="8"/>
    </row>
    <row r="75" customFormat="false" ht="15" hidden="false" customHeight="false" outlineLevel="0" collapsed="false">
      <c r="A75" s="9" t="n">
        <v>46303</v>
      </c>
      <c r="B75" s="10" t="s">
        <v>22</v>
      </c>
      <c r="C75" s="11" t="s">
        <v>23</v>
      </c>
      <c r="D75" s="10" t="s">
        <v>227</v>
      </c>
      <c r="E75" s="11" t="str">
        <f aca="false" t="array" ref="E75:E75">IF(D75="","",IFERROR(INDEX('CLM &amp; IM Mapping'!$B$2:$B$270,MATCH(TRIM(D75),'CLM &amp; IM Mapping'!$A$2:$A$270,0)),"Not Mapped"))</f>
        <v>Vijay M</v>
      </c>
      <c r="F75" s="11" t="str">
        <f aca="false" t="array" ref="F75:F75">IF(D75="","",IFERROR(INDEX('CLM &amp; IM Mapping'!$C$2:$C$270,MATCH(TRIM(D75),'CLM &amp; IM Mapping'!$A$2:$A$270,0)),"Not Mapped"))</f>
        <v>Kantha Kumar</v>
      </c>
      <c r="G75" s="11" t="s">
        <v>34</v>
      </c>
      <c r="H75" s="10" t="n">
        <v>-2679</v>
      </c>
      <c r="I75" s="10" t="n">
        <v>15849</v>
      </c>
      <c r="J75" s="10" t="n">
        <v>0</v>
      </c>
      <c r="K75" s="10" t="n">
        <v>60</v>
      </c>
      <c r="L75" s="10" t="n">
        <v>1571</v>
      </c>
      <c r="M75" s="10" t="n">
        <v>0</v>
      </c>
      <c r="N75" s="10" t="n">
        <v>1559</v>
      </c>
      <c r="O75" s="10" t="n">
        <v>0</v>
      </c>
      <c r="P75" s="10" t="n">
        <v>16360</v>
      </c>
      <c r="Q75" s="17"/>
      <c r="R75" s="11"/>
      <c r="S75" s="21"/>
      <c r="T75" s="15"/>
      <c r="U75" s="14" t="s">
        <v>228</v>
      </c>
      <c r="V75" s="10" t="n">
        <v>17398</v>
      </c>
      <c r="W75" s="8"/>
      <c r="X75" s="8"/>
      <c r="Y75" s="8"/>
      <c r="Z75" s="8"/>
      <c r="AA75" s="8"/>
      <c r="AB75" s="8"/>
      <c r="AC75" s="8"/>
    </row>
    <row r="76" customFormat="false" ht="15" hidden="false" customHeight="false" outlineLevel="0" collapsed="false">
      <c r="A76" s="9" t="n">
        <v>46303</v>
      </c>
      <c r="B76" s="10" t="s">
        <v>22</v>
      </c>
      <c r="C76" s="11" t="s">
        <v>23</v>
      </c>
      <c r="D76" s="10" t="s">
        <v>229</v>
      </c>
      <c r="E76" s="11" t="str">
        <f aca="false" t="array" ref="E76:E76">IF(D76="","",IFERROR(INDEX('CLM &amp; IM Mapping'!$B$2:$B$270,MATCH(TRIM(D76),'CLM &amp; IM Mapping'!$A$2:$A$270,0)),"Not Mapped"))</f>
        <v>Arun Raj</v>
      </c>
      <c r="F76" s="11" t="str">
        <f aca="false" t="array" ref="F76:F76">IF(D76="","",IFERROR(INDEX('CLM &amp; IM Mapping'!$C$2:$C$270,MATCH(TRIM(D76),'CLM &amp; IM Mapping'!$A$2:$A$270,0)),"Not Mapped"))</f>
        <v>Simon Manoharan</v>
      </c>
      <c r="G76" s="11" t="s">
        <v>25</v>
      </c>
      <c r="H76" s="10" t="n">
        <v>-2036</v>
      </c>
      <c r="I76" s="10" t="n">
        <v>111</v>
      </c>
      <c r="J76" s="10" t="n">
        <v>0</v>
      </c>
      <c r="K76" s="10" t="n">
        <v>0</v>
      </c>
      <c r="L76" s="10" t="n">
        <v>523</v>
      </c>
      <c r="M76" s="10" t="n">
        <v>0</v>
      </c>
      <c r="N76" s="10" t="n">
        <v>17559</v>
      </c>
      <c r="O76" s="10" t="n">
        <v>0</v>
      </c>
      <c r="P76" s="10" t="n">
        <v>16158</v>
      </c>
      <c r="Q76" s="17"/>
      <c r="R76" s="11"/>
      <c r="S76" s="21"/>
      <c r="T76" s="15"/>
      <c r="U76" s="14" t="s">
        <v>230</v>
      </c>
      <c r="V76" s="10" t="n">
        <v>4603</v>
      </c>
      <c r="W76" s="8"/>
      <c r="X76" s="8"/>
      <c r="Y76" s="8"/>
      <c r="Z76" s="8"/>
      <c r="AA76" s="8"/>
      <c r="AB76" s="8"/>
      <c r="AC76" s="8"/>
    </row>
    <row r="77" customFormat="false" ht="15" hidden="false" customHeight="false" outlineLevel="0" collapsed="false">
      <c r="A77" s="9" t="n">
        <v>46303</v>
      </c>
      <c r="B77" s="10" t="s">
        <v>22</v>
      </c>
      <c r="C77" s="11" t="s">
        <v>23</v>
      </c>
      <c r="D77" s="10" t="s">
        <v>231</v>
      </c>
      <c r="E77" s="11" t="str">
        <f aca="false" t="array" ref="E77:E77">IF(D77="","",IFERROR(INDEX('CLM &amp; IM Mapping'!$B$2:$B$270,MATCH(TRIM(D77),'CLM &amp; IM Mapping'!$A$2:$A$270,0)),"Not Mapped"))</f>
        <v>Arun Raj</v>
      </c>
      <c r="F77" s="11" t="str">
        <f aca="false" t="array" ref="F77:F77">IF(D77="","",IFERROR(INDEX('CLM &amp; IM Mapping'!$C$2:$C$270,MATCH(TRIM(D77),'CLM &amp; IM Mapping'!$A$2:$A$270,0)),"Not Mapped"))</f>
        <v>Simon Manoharan</v>
      </c>
      <c r="G77" s="11" t="s">
        <v>25</v>
      </c>
      <c r="H77" s="10" t="n">
        <v>137</v>
      </c>
      <c r="I77" s="10" t="n">
        <v>14237</v>
      </c>
      <c r="J77" s="10" t="n">
        <v>0</v>
      </c>
      <c r="K77" s="10" t="n">
        <v>0</v>
      </c>
      <c r="L77" s="10" t="n">
        <v>1674</v>
      </c>
      <c r="M77" s="10" t="n">
        <v>0</v>
      </c>
      <c r="N77" s="10" t="n">
        <v>0</v>
      </c>
      <c r="O77" s="10" t="n">
        <v>0</v>
      </c>
      <c r="P77" s="10" t="n">
        <v>16049</v>
      </c>
      <c r="Q77" s="17"/>
      <c r="R77" s="11"/>
      <c r="S77" s="21"/>
      <c r="T77" s="15"/>
      <c r="U77" s="14" t="s">
        <v>232</v>
      </c>
      <c r="V77" s="10" t="n">
        <v>6820</v>
      </c>
      <c r="W77" s="8"/>
      <c r="X77" s="8"/>
      <c r="Y77" s="8"/>
      <c r="Z77" s="8"/>
      <c r="AA77" s="8"/>
      <c r="AB77" s="8"/>
      <c r="AC77" s="8"/>
    </row>
    <row r="78" customFormat="false" ht="44" hidden="false" customHeight="false" outlineLevel="0" collapsed="false">
      <c r="A78" s="9" t="n">
        <v>46303</v>
      </c>
      <c r="B78" s="10" t="s">
        <v>22</v>
      </c>
      <c r="C78" s="11" t="s">
        <v>23</v>
      </c>
      <c r="D78" s="10" t="s">
        <v>233</v>
      </c>
      <c r="E78" s="11" t="str">
        <f aca="false" t="array" ref="E78:E78">IF(D78="","",IFERROR(INDEX('CLM &amp; IM Mapping'!$B$2:$B$270,MATCH(TRIM(D78),'CLM &amp; IM Mapping'!$A$2:$A$270,0)),"Not Mapped"))</f>
        <v>Suhas N</v>
      </c>
      <c r="F78" s="11" t="str">
        <f aca="false" t="array" ref="F78:F78">IF(D78="","",IFERROR(INDEX('CLM &amp; IM Mapping'!$C$2:$C$270,MATCH(TRIM(D78),'CLM &amp; IM Mapping'!$A$2:$A$270,0)),"Not Mapped"))</f>
        <v>Aravind S</v>
      </c>
      <c r="G78" s="11" t="s">
        <v>34</v>
      </c>
      <c r="H78" s="10" t="n">
        <v>-2744</v>
      </c>
      <c r="I78" s="10" t="n">
        <v>5055</v>
      </c>
      <c r="J78" s="10" t="n">
        <v>0</v>
      </c>
      <c r="K78" s="10" t="n">
        <v>75</v>
      </c>
      <c r="L78" s="10" t="n">
        <v>7309</v>
      </c>
      <c r="M78" s="10" t="n">
        <v>0</v>
      </c>
      <c r="N78" s="10" t="n">
        <v>5831</v>
      </c>
      <c r="O78" s="10" t="n">
        <v>0</v>
      </c>
      <c r="P78" s="10" t="n">
        <v>15527</v>
      </c>
      <c r="Q78" s="17"/>
      <c r="R78" s="11"/>
      <c r="S78" s="12" t="s">
        <v>234</v>
      </c>
      <c r="T78" s="15" t="n">
        <v>10000</v>
      </c>
      <c r="U78" s="14" t="s">
        <v>125</v>
      </c>
      <c r="V78" s="10" t="n">
        <v>28158</v>
      </c>
      <c r="W78" s="8"/>
      <c r="X78" s="8"/>
      <c r="Y78" s="8"/>
      <c r="Z78" s="8"/>
      <c r="AA78" s="8"/>
      <c r="AB78" s="8"/>
      <c r="AC78" s="8"/>
    </row>
    <row r="79" customFormat="false" ht="15" hidden="false" customHeight="false" outlineLevel="0" collapsed="false">
      <c r="A79" s="9" t="n">
        <v>46303</v>
      </c>
      <c r="B79" s="10" t="s">
        <v>22</v>
      </c>
      <c r="C79" s="11" t="s">
        <v>23</v>
      </c>
      <c r="D79" s="10" t="s">
        <v>235</v>
      </c>
      <c r="E79" s="11" t="str">
        <f aca="false" t="array" ref="E79:E79">IF(D79="","",IFERROR(INDEX('CLM &amp; IM Mapping'!$B$2:$B$270,MATCH(TRIM(D79),'CLM &amp; IM Mapping'!$A$2:$A$270,0)),"Not Mapped"))</f>
        <v>Akshay P</v>
      </c>
      <c r="F79" s="11" t="str">
        <f aca="false" t="array" ref="F79:F79">IF(D79="","",IFERROR(INDEX('CLM &amp; IM Mapping'!$C$2:$C$270,MATCH(TRIM(D79),'CLM &amp; IM Mapping'!$A$2:$A$270,0)),"Not Mapped"))</f>
        <v>Srittam Dhal</v>
      </c>
      <c r="G79" s="11" t="s">
        <v>34</v>
      </c>
      <c r="H79" s="10" t="n">
        <v>12137</v>
      </c>
      <c r="I79" s="10" t="n">
        <v>1776</v>
      </c>
      <c r="J79" s="10" t="n">
        <v>51</v>
      </c>
      <c r="K79" s="10" t="n">
        <v>111</v>
      </c>
      <c r="L79" s="10" t="n">
        <v>1054</v>
      </c>
      <c r="M79" s="10" t="n">
        <v>0</v>
      </c>
      <c r="N79" s="10" t="n">
        <v>0</v>
      </c>
      <c r="O79" s="10" t="n">
        <v>0</v>
      </c>
      <c r="P79" s="10" t="n">
        <v>15130</v>
      </c>
      <c r="Q79" s="17"/>
      <c r="R79" s="11"/>
      <c r="S79" s="12" t="s">
        <v>236</v>
      </c>
      <c r="T79" s="15"/>
      <c r="U79" s="14" t="s">
        <v>237</v>
      </c>
      <c r="V79" s="10" t="n">
        <v>14320</v>
      </c>
      <c r="W79" s="8"/>
      <c r="X79" s="8"/>
      <c r="Y79" s="8"/>
      <c r="Z79" s="8"/>
      <c r="AA79" s="8"/>
      <c r="AB79" s="8"/>
      <c r="AC79" s="8"/>
    </row>
    <row r="80" customFormat="false" ht="29.85" hidden="false" customHeight="false" outlineLevel="0" collapsed="false">
      <c r="A80" s="9" t="n">
        <v>46303</v>
      </c>
      <c r="B80" s="10" t="s">
        <v>22</v>
      </c>
      <c r="C80" s="11" t="s">
        <v>23</v>
      </c>
      <c r="D80" s="10" t="s">
        <v>238</v>
      </c>
      <c r="E80" s="11" t="str">
        <f aca="false" t="array" ref="E80:E80">IF(D80="","",IFERROR(INDEX('CLM &amp; IM Mapping'!$B$2:$B$270,MATCH(TRIM(D80),'CLM &amp; IM Mapping'!$A$2:$A$270,0)),"Not Mapped"))</f>
        <v>Suhas N</v>
      </c>
      <c r="F80" s="11" t="str">
        <f aca="false" t="array" ref="F80:F80">IF(D80="","",IFERROR(INDEX('CLM &amp; IM Mapping'!$C$2:$C$270,MATCH(TRIM(D80),'CLM &amp; IM Mapping'!$A$2:$A$270,0)),"Not Mapped"))</f>
        <v>Aravind S</v>
      </c>
      <c r="G80" s="11" t="s">
        <v>34</v>
      </c>
      <c r="H80" s="10" t="n">
        <v>-1601</v>
      </c>
      <c r="I80" s="10" t="n">
        <v>1285</v>
      </c>
      <c r="J80" s="10" t="n">
        <v>161</v>
      </c>
      <c r="K80" s="10" t="n">
        <v>11109</v>
      </c>
      <c r="L80" s="10" t="n">
        <v>3740</v>
      </c>
      <c r="M80" s="10" t="n">
        <v>0</v>
      </c>
      <c r="N80" s="10" t="n">
        <v>0</v>
      </c>
      <c r="O80" s="10" t="n">
        <v>0</v>
      </c>
      <c r="P80" s="10" t="n">
        <v>14693</v>
      </c>
      <c r="Q80" s="17"/>
      <c r="R80" s="11"/>
      <c r="S80" s="12" t="s">
        <v>239</v>
      </c>
      <c r="T80" s="15" t="n">
        <v>10000</v>
      </c>
      <c r="U80" s="14" t="s">
        <v>240</v>
      </c>
      <c r="V80" s="10" t="n">
        <v>8086</v>
      </c>
      <c r="W80" s="8"/>
      <c r="X80" s="8"/>
      <c r="Y80" s="8"/>
      <c r="Z80" s="8"/>
      <c r="AA80" s="8"/>
      <c r="AB80" s="8"/>
      <c r="AC80" s="8"/>
    </row>
    <row r="81" customFormat="false" ht="15" hidden="false" customHeight="false" outlineLevel="0" collapsed="false">
      <c r="A81" s="9" t="n">
        <v>46303</v>
      </c>
      <c r="B81" s="10" t="s">
        <v>22</v>
      </c>
      <c r="C81" s="11" t="s">
        <v>23</v>
      </c>
      <c r="D81" s="10" t="s">
        <v>241</v>
      </c>
      <c r="E81" s="11" t="str">
        <f aca="false" t="array" ref="E81:E81">IF(D81="","",IFERROR(INDEX('CLM &amp; IM Mapping'!$B$2:$B$270,MATCH(TRIM(D81),'CLM &amp; IM Mapping'!$A$2:$A$270,0)),"Not Mapped"))</f>
        <v>Sundaresh S</v>
      </c>
      <c r="F81" s="11" t="str">
        <f aca="false" t="array" ref="F81:F81">IF(D81="","",IFERROR(INDEX('CLM &amp; IM Mapping'!$C$2:$C$270,MATCH(TRIM(D81),'CLM &amp; IM Mapping'!$A$2:$A$270,0)),"Not Mapped"))</f>
        <v>Un Mapped</v>
      </c>
      <c r="G81" s="11" t="s">
        <v>34</v>
      </c>
      <c r="H81" s="10" t="n">
        <v>10126</v>
      </c>
      <c r="I81" s="10" t="n">
        <v>1106</v>
      </c>
      <c r="J81" s="10" t="n">
        <v>0</v>
      </c>
      <c r="K81" s="10" t="n">
        <v>274</v>
      </c>
      <c r="L81" s="10" t="n">
        <v>184</v>
      </c>
      <c r="M81" s="10" t="n">
        <v>0</v>
      </c>
      <c r="N81" s="10" t="n">
        <v>2985</v>
      </c>
      <c r="O81" s="10" t="n">
        <v>0</v>
      </c>
      <c r="P81" s="10" t="n">
        <v>14674</v>
      </c>
      <c r="Q81" s="17"/>
      <c r="R81" s="11"/>
      <c r="S81" s="21"/>
      <c r="T81" s="15"/>
      <c r="U81" s="14" t="s">
        <v>113</v>
      </c>
      <c r="V81" s="10" t="n">
        <v>26227</v>
      </c>
      <c r="W81" s="8"/>
      <c r="X81" s="8"/>
      <c r="Y81" s="8"/>
      <c r="Z81" s="8"/>
      <c r="AA81" s="8"/>
      <c r="AB81" s="8"/>
      <c r="AC81" s="8"/>
    </row>
    <row r="82" customFormat="false" ht="15" hidden="false" customHeight="false" outlineLevel="0" collapsed="false">
      <c r="A82" s="9" t="n">
        <v>46303</v>
      </c>
      <c r="B82" s="10" t="s">
        <v>22</v>
      </c>
      <c r="C82" s="11" t="s">
        <v>23</v>
      </c>
      <c r="D82" s="10" t="s">
        <v>242</v>
      </c>
      <c r="E82" s="11" t="str">
        <f aca="false" t="array" ref="E82:E82">IF(D82="","",IFERROR(INDEX('CLM &amp; IM Mapping'!$B$2:$B$270,MATCH(TRIM(D82),'CLM &amp; IM Mapping'!$A$2:$A$270,0)),"Not Mapped"))</f>
        <v>Suhas N</v>
      </c>
      <c r="F82" s="11" t="str">
        <f aca="false" t="array" ref="F82:F82">IF(D82="","",IFERROR(INDEX('CLM &amp; IM Mapping'!$C$2:$C$270,MATCH(TRIM(D82),'CLM &amp; IM Mapping'!$A$2:$A$270,0)),"Not Mapped"))</f>
        <v>Aravind S</v>
      </c>
      <c r="G82" s="11" t="s">
        <v>34</v>
      </c>
      <c r="H82" s="10" t="n">
        <v>2224</v>
      </c>
      <c r="I82" s="10" t="n">
        <v>8085</v>
      </c>
      <c r="J82" s="10" t="n">
        <v>0</v>
      </c>
      <c r="K82" s="10" t="n">
        <v>1589</v>
      </c>
      <c r="L82" s="10" t="n">
        <v>165</v>
      </c>
      <c r="M82" s="10" t="n">
        <v>0</v>
      </c>
      <c r="N82" s="10" t="n">
        <v>1514</v>
      </c>
      <c r="O82" s="10" t="n">
        <v>0</v>
      </c>
      <c r="P82" s="10" t="n">
        <v>13576</v>
      </c>
      <c r="Q82" s="17"/>
      <c r="R82" s="11"/>
      <c r="S82" s="12" t="s">
        <v>243</v>
      </c>
      <c r="T82" s="15" t="n">
        <v>6000</v>
      </c>
      <c r="U82" s="14" t="s">
        <v>244</v>
      </c>
      <c r="V82" s="10" t="n">
        <v>6007</v>
      </c>
      <c r="W82" s="8"/>
      <c r="X82" s="8"/>
      <c r="Y82" s="8"/>
      <c r="Z82" s="8"/>
      <c r="AA82" s="8"/>
      <c r="AB82" s="8"/>
      <c r="AC82" s="8"/>
    </row>
    <row r="83" customFormat="false" ht="29.85" hidden="false" customHeight="false" outlineLevel="0" collapsed="false">
      <c r="A83" s="9" t="n">
        <v>46303</v>
      </c>
      <c r="B83" s="10" t="s">
        <v>22</v>
      </c>
      <c r="C83" s="11" t="s">
        <v>23</v>
      </c>
      <c r="D83" s="10" t="s">
        <v>245</v>
      </c>
      <c r="E83" s="11" t="str">
        <f aca="false" t="array" ref="E83:E83">IF(D83="","",IFERROR(INDEX('CLM &amp; IM Mapping'!$B$2:$B$270,MATCH(TRIM(D83),'CLM &amp; IM Mapping'!$A$2:$A$270,0)),"Not Mapped"))</f>
        <v>Adhavan Subramani</v>
      </c>
      <c r="F83" s="11" t="str">
        <f aca="false" t="array" ref="F83:F83">IF(D83="","",IFERROR(INDEX('CLM &amp; IM Mapping'!$C$2:$C$270,MATCH(TRIM(D83),'CLM &amp; IM Mapping'!$A$2:$A$270,0)),"Not Mapped"))</f>
        <v>Mohammed Akbar</v>
      </c>
      <c r="G83" s="11" t="s">
        <v>34</v>
      </c>
      <c r="H83" s="10" t="n">
        <v>-6675</v>
      </c>
      <c r="I83" s="10" t="n">
        <v>16761</v>
      </c>
      <c r="J83" s="10" t="n">
        <v>928</v>
      </c>
      <c r="K83" s="10" t="n">
        <v>420</v>
      </c>
      <c r="L83" s="10" t="n">
        <v>1098</v>
      </c>
      <c r="M83" s="10" t="n">
        <v>0</v>
      </c>
      <c r="N83" s="10" t="n">
        <v>59</v>
      </c>
      <c r="O83" s="10" t="n">
        <v>330</v>
      </c>
      <c r="P83" s="10" t="n">
        <v>12922</v>
      </c>
      <c r="Q83" s="17"/>
      <c r="R83" s="11"/>
      <c r="S83" s="12" t="s">
        <v>246</v>
      </c>
      <c r="T83" s="15" t="n">
        <v>12000</v>
      </c>
      <c r="U83" s="14" t="s">
        <v>247</v>
      </c>
      <c r="V83" s="10" t="n">
        <v>11429</v>
      </c>
      <c r="W83" s="8"/>
      <c r="X83" s="8"/>
      <c r="Y83" s="8"/>
      <c r="Z83" s="8"/>
      <c r="AA83" s="8"/>
      <c r="AB83" s="8"/>
      <c r="AC83" s="8"/>
    </row>
    <row r="84" customFormat="false" ht="15" hidden="false" customHeight="false" outlineLevel="0" collapsed="false">
      <c r="A84" s="9" t="n">
        <v>46303</v>
      </c>
      <c r="B84" s="10" t="s">
        <v>22</v>
      </c>
      <c r="C84" s="11" t="s">
        <v>23</v>
      </c>
      <c r="D84" s="11" t="s">
        <v>248</v>
      </c>
      <c r="E84" s="11" t="str">
        <f aca="false" t="array" ref="E84:E84">IF(D84="","",IFERROR(INDEX('CLM &amp; IM Mapping'!$B$2:$B$270,MATCH(TRIM(D84),'CLM &amp; IM Mapping'!$A$2:$A$270,0)),"Not Mapped"))</f>
        <v>Arun Raj</v>
      </c>
      <c r="F84" s="11" t="str">
        <f aca="false" t="array" ref="F84:F84">IF(D84="","",IFERROR(INDEX('CLM &amp; IM Mapping'!$C$2:$C$270,MATCH(TRIM(D84),'CLM &amp; IM Mapping'!$A$2:$A$270,0)),"Not Mapped"))</f>
        <v>Simon Manoharan</v>
      </c>
      <c r="G84" s="11" t="s">
        <v>25</v>
      </c>
      <c r="H84" s="10" t="n">
        <v>-2075</v>
      </c>
      <c r="I84" s="10" t="n">
        <v>12709</v>
      </c>
      <c r="J84" s="10" t="n">
        <v>0</v>
      </c>
      <c r="K84" s="10" t="n">
        <v>0</v>
      </c>
      <c r="L84" s="10" t="n">
        <v>1301</v>
      </c>
      <c r="M84" s="10" t="n">
        <v>0</v>
      </c>
      <c r="N84" s="10" t="n">
        <v>0</v>
      </c>
      <c r="O84" s="10" t="n">
        <v>0</v>
      </c>
      <c r="P84" s="10" t="n">
        <v>11936</v>
      </c>
      <c r="Q84" s="17"/>
      <c r="R84" s="11"/>
      <c r="S84" s="21"/>
      <c r="T84" s="15"/>
      <c r="U84" s="14" t="s">
        <v>249</v>
      </c>
      <c r="V84" s="10" t="n">
        <v>12434</v>
      </c>
      <c r="W84" s="8"/>
      <c r="X84" s="8"/>
      <c r="Y84" s="8"/>
      <c r="Z84" s="8"/>
      <c r="AA84" s="8"/>
      <c r="AB84" s="8"/>
      <c r="AC84" s="8"/>
    </row>
    <row r="85" customFormat="false" ht="15" hidden="false" customHeight="false" outlineLevel="0" collapsed="false">
      <c r="A85" s="9" t="n">
        <v>46303</v>
      </c>
      <c r="B85" s="10" t="s">
        <v>22</v>
      </c>
      <c r="C85" s="11" t="s">
        <v>23</v>
      </c>
      <c r="D85" s="10" t="s">
        <v>250</v>
      </c>
      <c r="E85" s="11" t="str">
        <f aca="false" t="array" ref="E85:E85">IF(D85="","",IFERROR(INDEX('CLM &amp; IM Mapping'!$B$2:$B$270,MATCH(TRIM(D85),'CLM &amp; IM Mapping'!$A$2:$A$270,0)),"Not Mapped"))</f>
        <v>Akshay P</v>
      </c>
      <c r="F85" s="11" t="str">
        <f aca="false" t="array" ref="F85:F85">IF(D85="","",IFERROR(INDEX('CLM &amp; IM Mapping'!$C$2:$C$270,MATCH(TRIM(D85),'CLM &amp; IM Mapping'!$A$2:$A$270,0)),"Not Mapped"))</f>
        <v>Srittam Dhal</v>
      </c>
      <c r="G85" s="11" t="s">
        <v>34</v>
      </c>
      <c r="H85" s="10" t="n">
        <v>-2729</v>
      </c>
      <c r="I85" s="10" t="n">
        <v>14097</v>
      </c>
      <c r="J85" s="10" t="n">
        <v>0</v>
      </c>
      <c r="K85" s="10" t="n">
        <v>0</v>
      </c>
      <c r="L85" s="10" t="n">
        <v>273</v>
      </c>
      <c r="M85" s="10" t="n">
        <v>0</v>
      </c>
      <c r="N85" s="10" t="n">
        <v>0</v>
      </c>
      <c r="O85" s="10" t="n">
        <v>0</v>
      </c>
      <c r="P85" s="10" t="n">
        <v>11641</v>
      </c>
      <c r="Q85" s="17"/>
      <c r="R85" s="11"/>
      <c r="S85" s="12" t="s">
        <v>236</v>
      </c>
      <c r="T85" s="15"/>
      <c r="U85" s="14" t="s">
        <v>251</v>
      </c>
      <c r="V85" s="10" t="n">
        <v>10829</v>
      </c>
      <c r="W85" s="8"/>
      <c r="X85" s="8"/>
      <c r="Y85" s="8"/>
      <c r="Z85" s="8"/>
      <c r="AA85" s="8"/>
      <c r="AB85" s="8"/>
      <c r="AC85" s="8"/>
    </row>
    <row r="86" customFormat="false" ht="15" hidden="false" customHeight="false" outlineLevel="0" collapsed="false">
      <c r="A86" s="9" t="n">
        <v>46303</v>
      </c>
      <c r="B86" s="10" t="s">
        <v>22</v>
      </c>
      <c r="C86" s="11" t="s">
        <v>221</v>
      </c>
      <c r="D86" s="10" t="s">
        <v>252</v>
      </c>
      <c r="E86" s="11" t="str">
        <f aca="false" t="array" ref="E86:E86">IF(D86="","",IFERROR(INDEX('CLM &amp; IM Mapping'!$B$2:$B$270,MATCH(TRIM(D86),'CLM &amp; IM Mapping'!$A$2:$A$270,0)),"Not Mapped"))</f>
        <v>Vishnu V</v>
      </c>
      <c r="F86" s="11" t="str">
        <f aca="false" t="array" ref="F86:F86">IF(D86="","",IFERROR(INDEX('CLM &amp; IM Mapping'!$C$2:$C$270,MATCH(TRIM(D86),'CLM &amp; IM Mapping'!$A$2:$A$270,0)),"Not Mapped"))</f>
        <v>Arivind S</v>
      </c>
      <c r="G86" s="11" t="s">
        <v>34</v>
      </c>
      <c r="H86" s="10" t="n">
        <v>1004</v>
      </c>
      <c r="I86" s="10" t="n">
        <v>8174</v>
      </c>
      <c r="J86" s="10" t="n">
        <v>281</v>
      </c>
      <c r="K86" s="10" t="n">
        <v>1371</v>
      </c>
      <c r="L86" s="10" t="n">
        <v>507</v>
      </c>
      <c r="M86" s="10" t="n">
        <v>0</v>
      </c>
      <c r="N86" s="10" t="n">
        <v>0</v>
      </c>
      <c r="O86" s="10" t="n">
        <v>0</v>
      </c>
      <c r="P86" s="10" t="n">
        <v>11337</v>
      </c>
      <c r="Q86" s="17"/>
      <c r="R86" s="11"/>
      <c r="S86" s="21"/>
      <c r="T86" s="15"/>
      <c r="U86" s="14" t="s">
        <v>253</v>
      </c>
      <c r="V86" s="10" t="n">
        <v>5393</v>
      </c>
      <c r="W86" s="8"/>
      <c r="X86" s="8"/>
      <c r="Y86" s="8"/>
      <c r="Z86" s="8"/>
      <c r="AA86" s="8"/>
      <c r="AB86" s="8"/>
      <c r="AC86" s="8"/>
    </row>
    <row r="87" customFormat="false" ht="15" hidden="false" customHeight="false" outlineLevel="0" collapsed="false">
      <c r="A87" s="9" t="n">
        <v>46303</v>
      </c>
      <c r="B87" s="10" t="s">
        <v>22</v>
      </c>
      <c r="C87" s="11" t="s">
        <v>23</v>
      </c>
      <c r="D87" s="10" t="s">
        <v>254</v>
      </c>
      <c r="E87" s="11" t="str">
        <f aca="false" t="array" ref="E87:E87">IF(D87="","",IFERROR(INDEX('CLM &amp; IM Mapping'!$B$2:$B$270,MATCH(TRIM(D87),'CLM &amp; IM Mapping'!$A$2:$A$270,0)),"Not Mapped"))</f>
        <v>Basil Scariya</v>
      </c>
      <c r="F87" s="11" t="str">
        <f aca="false" t="array" ref="F87:F87">IF(D87="","",IFERROR(INDEX('CLM &amp; IM Mapping'!$C$2:$C$270,MATCH(TRIM(D87),'CLM &amp; IM Mapping'!$A$2:$A$270,0)),"Not Mapped"))</f>
        <v>Prakash BS</v>
      </c>
      <c r="G87" s="11" t="s">
        <v>34</v>
      </c>
      <c r="H87" s="10" t="n">
        <v>-14853</v>
      </c>
      <c r="I87" s="10" t="n">
        <v>19035</v>
      </c>
      <c r="J87" s="10" t="n">
        <v>0</v>
      </c>
      <c r="K87" s="10" t="n">
        <v>873</v>
      </c>
      <c r="L87" s="10" t="n">
        <v>3511</v>
      </c>
      <c r="M87" s="10" t="n">
        <v>0</v>
      </c>
      <c r="N87" s="10" t="n">
        <v>2507</v>
      </c>
      <c r="O87" s="10" t="n">
        <v>0</v>
      </c>
      <c r="P87" s="10" t="n">
        <v>11074</v>
      </c>
      <c r="Q87" s="17"/>
      <c r="R87" s="11"/>
      <c r="S87" s="12" t="s">
        <v>255</v>
      </c>
      <c r="T87" s="15" t="n">
        <v>10000</v>
      </c>
      <c r="U87" s="14" t="s">
        <v>256</v>
      </c>
      <c r="V87" s="10" t="n">
        <v>42937</v>
      </c>
      <c r="W87" s="8"/>
      <c r="X87" s="8"/>
      <c r="Y87" s="8"/>
      <c r="Z87" s="8"/>
      <c r="AA87" s="8"/>
      <c r="AB87" s="8"/>
      <c r="AC87" s="8"/>
    </row>
    <row r="88" customFormat="false" ht="15" hidden="false" customHeight="false" outlineLevel="0" collapsed="false">
      <c r="A88" s="9" t="n">
        <v>46303</v>
      </c>
      <c r="B88" s="10" t="s">
        <v>22</v>
      </c>
      <c r="C88" s="11" t="s">
        <v>23</v>
      </c>
      <c r="D88" s="10" t="s">
        <v>257</v>
      </c>
      <c r="E88" s="11" t="str">
        <f aca="false" t="array" ref="E88:E88">IF(D88="","",IFERROR(INDEX('CLM &amp; IM Mapping'!$B$2:$B$270,MATCH(TRIM(D88),'CLM &amp; IM Mapping'!$A$2:$A$270,0)),"Not Mapped"))</f>
        <v>Raghavendra Vernekar</v>
      </c>
      <c r="F88" s="11" t="str">
        <f aca="false" t="array" ref="F88:F88">IF(D88="","",IFERROR(INDEX('CLM &amp; IM Mapping'!$C$2:$C$270,MATCH(TRIM(D88),'CLM &amp; IM Mapping'!$A$2:$A$270,0)),"Not Mapped"))</f>
        <v>Prakash BS</v>
      </c>
      <c r="G88" s="11" t="s">
        <v>34</v>
      </c>
      <c r="H88" s="10" t="n">
        <v>-29868</v>
      </c>
      <c r="I88" s="10" t="n">
        <v>39442</v>
      </c>
      <c r="J88" s="10" t="n">
        <v>156</v>
      </c>
      <c r="K88" s="10" t="n">
        <v>119</v>
      </c>
      <c r="L88" s="10" t="n">
        <v>1093</v>
      </c>
      <c r="M88" s="10" t="n">
        <v>0</v>
      </c>
      <c r="N88" s="10" t="n">
        <v>0</v>
      </c>
      <c r="O88" s="10" t="n">
        <v>0</v>
      </c>
      <c r="P88" s="10" t="n">
        <v>10941</v>
      </c>
      <c r="Q88" s="17"/>
      <c r="R88" s="11"/>
      <c r="S88" s="12" t="s">
        <v>255</v>
      </c>
      <c r="T88" s="15"/>
      <c r="U88" s="14" t="s">
        <v>258</v>
      </c>
      <c r="V88" s="10" t="n">
        <v>11503</v>
      </c>
      <c r="W88" s="8"/>
      <c r="X88" s="8"/>
      <c r="Y88" s="8"/>
      <c r="Z88" s="8"/>
      <c r="AA88" s="8"/>
      <c r="AB88" s="8"/>
      <c r="AC88" s="8"/>
    </row>
    <row r="89" customFormat="false" ht="15" hidden="false" customHeight="false" outlineLevel="0" collapsed="false">
      <c r="A89" s="9" t="n">
        <v>46303</v>
      </c>
      <c r="B89" s="10" t="s">
        <v>22</v>
      </c>
      <c r="C89" s="11" t="s">
        <v>23</v>
      </c>
      <c r="D89" s="10" t="s">
        <v>259</v>
      </c>
      <c r="E89" s="11" t="str">
        <f aca="false" t="array" ref="E89:E89">IF(D89="","",IFERROR(INDEX('CLM &amp; IM Mapping'!$B$2:$B$270,MATCH(TRIM(D89),'CLM &amp; IM Mapping'!$A$2:$A$270,0)),"Not Mapped"))</f>
        <v>Raghavendra Vernekar</v>
      </c>
      <c r="F89" s="11" t="str">
        <f aca="false" t="array" ref="F89:F89">IF(D89="","",IFERROR(INDEX('CLM &amp; IM Mapping'!$C$2:$C$270,MATCH(TRIM(D89),'CLM &amp; IM Mapping'!$A$2:$A$270,0)),"Not Mapped"))</f>
        <v>Prakash BS</v>
      </c>
      <c r="G89" s="11" t="s">
        <v>34</v>
      </c>
      <c r="H89" s="10" t="n">
        <v>-2622</v>
      </c>
      <c r="I89" s="10" t="n">
        <v>11454</v>
      </c>
      <c r="J89" s="10" t="n">
        <v>0</v>
      </c>
      <c r="K89" s="10" t="n">
        <v>815</v>
      </c>
      <c r="L89" s="10" t="n">
        <v>408</v>
      </c>
      <c r="M89" s="10" t="n">
        <v>0</v>
      </c>
      <c r="N89" s="10" t="n">
        <v>0</v>
      </c>
      <c r="O89" s="10" t="n">
        <v>0</v>
      </c>
      <c r="P89" s="10" t="n">
        <v>10056</v>
      </c>
      <c r="Q89" s="17"/>
      <c r="R89" s="11"/>
      <c r="S89" s="12" t="s">
        <v>255</v>
      </c>
      <c r="T89" s="15"/>
      <c r="U89" s="14" t="s">
        <v>260</v>
      </c>
      <c r="V89" s="10" t="n">
        <v>5096</v>
      </c>
      <c r="W89" s="8"/>
      <c r="X89" s="8"/>
      <c r="Y89" s="8"/>
      <c r="Z89" s="8"/>
      <c r="AA89" s="8"/>
      <c r="AB89" s="8"/>
      <c r="AC89" s="8"/>
    </row>
    <row r="90" customFormat="false" ht="15" hidden="false" customHeight="false" outlineLevel="0" collapsed="false">
      <c r="A90" s="9" t="n">
        <v>46303</v>
      </c>
      <c r="B90" s="10" t="s">
        <v>22</v>
      </c>
      <c r="C90" s="11" t="s">
        <v>261</v>
      </c>
      <c r="D90" s="10" t="s">
        <v>262</v>
      </c>
      <c r="E90" s="11" t="str">
        <f aca="false" t="array" ref="E90:E90">IF(D90="","",IFERROR(INDEX('CLM &amp; IM Mapping'!$B$2:$B$270,MATCH(TRIM(D90),'CLM &amp; IM Mapping'!$A$2:$A$270,0)),"Not Mapped"))</f>
        <v>Majid Kakatikar</v>
      </c>
      <c r="F90" s="11" t="str">
        <f aca="false" t="array" ref="F90:F90">IF(D90="","",IFERROR(INDEX('CLM &amp; IM Mapping'!$C$2:$C$270,MATCH(TRIM(D90),'CLM &amp; IM Mapping'!$A$2:$A$270,0)),"Not Mapped"))</f>
        <v>Kishor K</v>
      </c>
      <c r="G90" s="11" t="s">
        <v>34</v>
      </c>
      <c r="H90" s="10" t="n">
        <v>4667</v>
      </c>
      <c r="I90" s="10" t="n">
        <v>4363</v>
      </c>
      <c r="J90" s="10" t="n">
        <v>0</v>
      </c>
      <c r="K90" s="10" t="n">
        <v>430</v>
      </c>
      <c r="L90" s="10" t="n">
        <v>85</v>
      </c>
      <c r="M90" s="10" t="n">
        <v>0</v>
      </c>
      <c r="N90" s="10" t="n">
        <v>0</v>
      </c>
      <c r="O90" s="10" t="n">
        <v>0</v>
      </c>
      <c r="P90" s="10" t="n">
        <v>9545</v>
      </c>
      <c r="Q90" s="17"/>
      <c r="R90" s="11"/>
      <c r="S90" s="12" t="s">
        <v>263</v>
      </c>
      <c r="T90" s="15" t="n">
        <v>13000</v>
      </c>
      <c r="U90" s="14" t="s">
        <v>264</v>
      </c>
      <c r="V90" s="10" t="n">
        <v>2470</v>
      </c>
      <c r="W90" s="8"/>
      <c r="X90" s="8"/>
      <c r="Y90" s="8"/>
      <c r="Z90" s="8"/>
      <c r="AA90" s="8"/>
      <c r="AB90" s="8"/>
      <c r="AC90" s="8"/>
    </row>
    <row r="91" customFormat="false" ht="15" hidden="false" customHeight="false" outlineLevel="0" collapsed="false">
      <c r="A91" s="9" t="n">
        <v>46303</v>
      </c>
      <c r="B91" s="10" t="s">
        <v>22</v>
      </c>
      <c r="C91" s="11" t="s">
        <v>23</v>
      </c>
      <c r="D91" s="10" t="s">
        <v>265</v>
      </c>
      <c r="E91" s="11" t="str">
        <f aca="false" t="array" ref="E91:E91">IF(D91="","",IFERROR(INDEX('CLM &amp; IM Mapping'!$B$2:$B$270,MATCH(TRIM(D91),'CLM &amp; IM Mapping'!$A$2:$A$270,0)),"Not Mapped"))</f>
        <v>Adhavan Subramani</v>
      </c>
      <c r="F91" s="11" t="str">
        <f aca="false" t="array" ref="F91:F91">IF(D91="","",IFERROR(INDEX('CLM &amp; IM Mapping'!$C$2:$C$270,MATCH(TRIM(D91),'CLM &amp; IM Mapping'!$A$2:$A$270,0)),"Not Mapped"))</f>
        <v>Mohammed Akbar</v>
      </c>
      <c r="G91" s="11" t="s">
        <v>34</v>
      </c>
      <c r="H91" s="10" t="n">
        <v>-1394</v>
      </c>
      <c r="I91" s="10" t="n">
        <v>0</v>
      </c>
      <c r="J91" s="10" t="n">
        <v>0</v>
      </c>
      <c r="K91" s="10" t="n">
        <v>0</v>
      </c>
      <c r="L91" s="10" t="n">
        <v>2014</v>
      </c>
      <c r="M91" s="10" t="n">
        <v>0</v>
      </c>
      <c r="N91" s="10" t="n">
        <v>8853</v>
      </c>
      <c r="O91" s="10" t="n">
        <v>0</v>
      </c>
      <c r="P91" s="10" t="n">
        <v>9473</v>
      </c>
      <c r="Q91" s="17"/>
      <c r="R91" s="11"/>
      <c r="S91" s="21"/>
      <c r="T91" s="15"/>
      <c r="U91" s="14" t="s">
        <v>266</v>
      </c>
      <c r="V91" s="10" t="n">
        <v>3178</v>
      </c>
      <c r="W91" s="8"/>
      <c r="X91" s="8"/>
      <c r="Y91" s="8"/>
      <c r="Z91" s="8"/>
      <c r="AA91" s="8"/>
      <c r="AB91" s="8"/>
      <c r="AC91" s="8"/>
    </row>
    <row r="92" customFormat="false" ht="29.85" hidden="false" customHeight="false" outlineLevel="0" collapsed="false">
      <c r="A92" s="9" t="n">
        <v>46303</v>
      </c>
      <c r="B92" s="10" t="s">
        <v>22</v>
      </c>
      <c r="C92" s="11" t="s">
        <v>23</v>
      </c>
      <c r="D92" s="10" t="s">
        <v>267</v>
      </c>
      <c r="E92" s="11" t="str">
        <f aca="false" t="array" ref="E92:E92">IF(D92="","",IFERROR(INDEX('CLM &amp; IM Mapping'!$B$2:$B$270,MATCH(TRIM(D92),'CLM &amp; IM Mapping'!$A$2:$A$270,0)),"Not Mapped"))</f>
        <v>Balaji G</v>
      </c>
      <c r="F92" s="11" t="str">
        <f aca="false" t="array" ref="F92:F92">IF(D92="","",IFERROR(INDEX('CLM &amp; IM Mapping'!$C$2:$C$270,MATCH(TRIM(D92),'CLM &amp; IM Mapping'!$A$2:$A$270,0)),"Not Mapped"))</f>
        <v>Mohammed Akbar</v>
      </c>
      <c r="G92" s="11" t="s">
        <v>34</v>
      </c>
      <c r="H92" s="10" t="n">
        <v>5392</v>
      </c>
      <c r="I92" s="10" t="n">
        <v>3343</v>
      </c>
      <c r="J92" s="10" t="n">
        <v>207</v>
      </c>
      <c r="K92" s="10" t="n">
        <v>0</v>
      </c>
      <c r="L92" s="10" t="n">
        <v>226</v>
      </c>
      <c r="M92" s="10" t="n">
        <v>0</v>
      </c>
      <c r="N92" s="10" t="n">
        <v>297</v>
      </c>
      <c r="O92" s="10" t="n">
        <v>0</v>
      </c>
      <c r="P92" s="10" t="n">
        <v>9465</v>
      </c>
      <c r="Q92" s="12" t="s">
        <v>268</v>
      </c>
      <c r="R92" s="11" t="n">
        <v>25000</v>
      </c>
      <c r="S92" s="12" t="s">
        <v>269</v>
      </c>
      <c r="T92" s="15"/>
      <c r="U92" s="14" t="s">
        <v>270</v>
      </c>
      <c r="V92" s="10" t="n">
        <v>4726</v>
      </c>
      <c r="W92" s="8"/>
      <c r="X92" s="8"/>
      <c r="Y92" s="8"/>
      <c r="Z92" s="8"/>
      <c r="AA92" s="8"/>
      <c r="AB92" s="8"/>
      <c r="AC92" s="8"/>
    </row>
    <row r="93" customFormat="false" ht="15" hidden="false" customHeight="false" outlineLevel="0" collapsed="false">
      <c r="A93" s="9" t="n">
        <v>46303</v>
      </c>
      <c r="B93" s="10" t="s">
        <v>22</v>
      </c>
      <c r="C93" s="11" t="s">
        <v>23</v>
      </c>
      <c r="D93" s="10" t="s">
        <v>271</v>
      </c>
      <c r="E93" s="11" t="str">
        <f aca="false" t="array" ref="E93:E93">IF(D93="","",IFERROR(INDEX('CLM &amp; IM Mapping'!$B$2:$B$270,MATCH(TRIM(D93),'CLM &amp; IM Mapping'!$A$2:$A$270,0)),"Not Mapped"))</f>
        <v>Rizwan Ahmed</v>
      </c>
      <c r="F93" s="11" t="str">
        <f aca="false" t="array" ref="F93:F93">IF(D93="","",IFERROR(INDEX('CLM &amp; IM Mapping'!$C$2:$C$270,MATCH(TRIM(D93),'CLM &amp; IM Mapping'!$A$2:$A$270,0)),"Not Mapped"))</f>
        <v>Prakash BS</v>
      </c>
      <c r="G93" s="11" t="s">
        <v>34</v>
      </c>
      <c r="H93" s="10" t="n">
        <v>-8700</v>
      </c>
      <c r="I93" s="10" t="n">
        <v>11408</v>
      </c>
      <c r="J93" s="10" t="n">
        <v>0</v>
      </c>
      <c r="K93" s="10" t="n">
        <v>0</v>
      </c>
      <c r="L93" s="10" t="n">
        <v>6176</v>
      </c>
      <c r="M93" s="10" t="n">
        <v>0</v>
      </c>
      <c r="N93" s="10" t="n">
        <v>0</v>
      </c>
      <c r="O93" s="10" t="n">
        <v>0</v>
      </c>
      <c r="P93" s="10" t="n">
        <v>8883</v>
      </c>
      <c r="Q93" s="17"/>
      <c r="R93" s="11"/>
      <c r="S93" s="12" t="s">
        <v>255</v>
      </c>
      <c r="T93" s="15"/>
      <c r="U93" s="14" t="s">
        <v>138</v>
      </c>
      <c r="V93" s="10" t="n">
        <v>12269</v>
      </c>
      <c r="W93" s="8"/>
      <c r="X93" s="8"/>
      <c r="Y93" s="8"/>
      <c r="Z93" s="8"/>
      <c r="AA93" s="8"/>
      <c r="AB93" s="8"/>
      <c r="AC93" s="8"/>
    </row>
    <row r="94" customFormat="false" ht="15" hidden="false" customHeight="false" outlineLevel="0" collapsed="false">
      <c r="A94" s="9" t="n">
        <v>46303</v>
      </c>
      <c r="B94" s="10" t="s">
        <v>22</v>
      </c>
      <c r="C94" s="11" t="s">
        <v>23</v>
      </c>
      <c r="D94" s="10" t="s">
        <v>272</v>
      </c>
      <c r="E94" s="11" t="str">
        <f aca="false" t="array" ref="E94:E94">IF(D94="","",IFERROR(INDEX('CLM &amp; IM Mapping'!$B$2:$B$270,MATCH(TRIM(D94),'CLM &amp; IM Mapping'!$A$2:$A$270,0)),"Not Mapped"))</f>
        <v>Arun Raj</v>
      </c>
      <c r="F94" s="11" t="str">
        <f aca="false" t="array" ref="F94:F94">IF(D94="","",IFERROR(INDEX('CLM &amp; IM Mapping'!$C$2:$C$270,MATCH(TRIM(D94),'CLM &amp; IM Mapping'!$A$2:$A$270,0)),"Not Mapped"))</f>
        <v>Simon Manoharan</v>
      </c>
      <c r="G94" s="11" t="s">
        <v>25</v>
      </c>
      <c r="H94" s="10" t="n">
        <v>-2019</v>
      </c>
      <c r="I94" s="10" t="n">
        <v>6545</v>
      </c>
      <c r="J94" s="10" t="n">
        <v>0</v>
      </c>
      <c r="K94" s="10" t="n">
        <v>272</v>
      </c>
      <c r="L94" s="10" t="n">
        <v>4026</v>
      </c>
      <c r="M94" s="10" t="n">
        <v>0</v>
      </c>
      <c r="N94" s="10" t="n">
        <v>0</v>
      </c>
      <c r="O94" s="10" t="n">
        <v>0</v>
      </c>
      <c r="P94" s="10" t="n">
        <v>8825</v>
      </c>
      <c r="Q94" s="17"/>
      <c r="R94" s="11"/>
      <c r="S94" s="21"/>
      <c r="T94" s="15"/>
      <c r="U94" s="14" t="s">
        <v>273</v>
      </c>
      <c r="V94" s="10" t="n">
        <v>6813</v>
      </c>
      <c r="W94" s="8"/>
      <c r="X94" s="8"/>
      <c r="Y94" s="8"/>
      <c r="Z94" s="8"/>
      <c r="AA94" s="8"/>
      <c r="AB94" s="8"/>
      <c r="AC94" s="8"/>
    </row>
    <row r="95" customFormat="false" ht="15" hidden="false" customHeight="false" outlineLevel="0" collapsed="false">
      <c r="A95" s="9" t="n">
        <v>46303</v>
      </c>
      <c r="B95" s="10" t="s">
        <v>22</v>
      </c>
      <c r="C95" s="11" t="s">
        <v>221</v>
      </c>
      <c r="D95" s="10" t="s">
        <v>274</v>
      </c>
      <c r="E95" s="11" t="str">
        <f aca="false" t="array" ref="E95:E95">IF(D95="","",IFERROR(INDEX('CLM &amp; IM Mapping'!$B$2:$B$270,MATCH(TRIM(D95),'CLM &amp; IM Mapping'!$A$2:$A$270,0)),"Not Mapped"))</f>
        <v>Vishnu V</v>
      </c>
      <c r="F95" s="11" t="str">
        <f aca="false" t="array" ref="F95:F95">IF(D95="","",IFERROR(INDEX('CLM &amp; IM Mapping'!$C$2:$C$270,MATCH(TRIM(D95),'CLM &amp; IM Mapping'!$A$2:$A$270,0)),"Not Mapped"))</f>
        <v>Arivind S</v>
      </c>
      <c r="G95" s="11" t="s">
        <v>34</v>
      </c>
      <c r="H95" s="10" t="n">
        <v>-3369</v>
      </c>
      <c r="I95" s="10" t="n">
        <v>10805</v>
      </c>
      <c r="J95" s="10" t="n">
        <v>748</v>
      </c>
      <c r="K95" s="10" t="n">
        <v>0</v>
      </c>
      <c r="L95" s="10" t="n">
        <v>535</v>
      </c>
      <c r="M95" s="10" t="n">
        <v>0</v>
      </c>
      <c r="N95" s="10" t="n">
        <v>0</v>
      </c>
      <c r="O95" s="10" t="n">
        <v>0</v>
      </c>
      <c r="P95" s="10" t="n">
        <v>8719</v>
      </c>
      <c r="Q95" s="17"/>
      <c r="R95" s="11"/>
      <c r="S95" s="21"/>
      <c r="T95" s="15"/>
      <c r="U95" s="14" t="s">
        <v>275</v>
      </c>
      <c r="V95" s="10" t="n">
        <v>9958</v>
      </c>
      <c r="W95" s="8"/>
      <c r="X95" s="8"/>
      <c r="Y95" s="8"/>
      <c r="Z95" s="8"/>
      <c r="AA95" s="8"/>
      <c r="AB95" s="8"/>
      <c r="AC95" s="8"/>
    </row>
    <row r="96" customFormat="false" ht="15" hidden="false" customHeight="false" outlineLevel="0" collapsed="false">
      <c r="A96" s="9" t="n">
        <v>46303</v>
      </c>
      <c r="B96" s="10" t="s">
        <v>22</v>
      </c>
      <c r="C96" s="11" t="s">
        <v>276</v>
      </c>
      <c r="D96" s="10" t="s">
        <v>277</v>
      </c>
      <c r="E96" s="11" t="str">
        <f aca="false" t="array" ref="E96:E96">IF(D96="","",IFERROR(INDEX('CLM &amp; IM Mapping'!$B$2:$B$270,MATCH(TRIM(D96),'CLM &amp; IM Mapping'!$A$2:$A$270,0)),"Not Mapped"))</f>
        <v>Santhosha M</v>
      </c>
      <c r="F96" s="11" t="str">
        <f aca="false" t="array" ref="F96:F96">IF(D96="","",IFERROR(INDEX('CLM &amp; IM Mapping'!$C$2:$C$270,MATCH(TRIM(D96),'CLM &amp; IM Mapping'!$A$2:$A$270,0)),"Not Mapped"))</f>
        <v>Aravind S</v>
      </c>
      <c r="G96" s="11" t="s">
        <v>34</v>
      </c>
      <c r="H96" s="10" t="n">
        <v>8097</v>
      </c>
      <c r="I96" s="10" t="n">
        <v>424</v>
      </c>
      <c r="J96" s="10" t="n">
        <v>0</v>
      </c>
      <c r="K96" s="10" t="n">
        <v>0</v>
      </c>
      <c r="L96" s="10" t="n">
        <v>132</v>
      </c>
      <c r="M96" s="10" t="n">
        <v>0</v>
      </c>
      <c r="N96" s="10" t="n">
        <v>0</v>
      </c>
      <c r="O96" s="10" t="n">
        <v>0</v>
      </c>
      <c r="P96" s="10" t="n">
        <v>8653</v>
      </c>
      <c r="Q96" s="17"/>
      <c r="R96" s="11"/>
      <c r="S96" s="21"/>
      <c r="T96" s="15"/>
      <c r="U96" s="14" t="s">
        <v>278</v>
      </c>
      <c r="V96" s="10" t="n">
        <v>14889</v>
      </c>
      <c r="W96" s="8"/>
      <c r="X96" s="8"/>
      <c r="Y96" s="8"/>
      <c r="Z96" s="8"/>
      <c r="AA96" s="8"/>
      <c r="AB96" s="8"/>
      <c r="AC96" s="8"/>
    </row>
    <row r="97" customFormat="false" ht="15" hidden="false" customHeight="false" outlineLevel="0" collapsed="false">
      <c r="A97" s="9" t="n">
        <v>46303</v>
      </c>
      <c r="B97" s="10" t="s">
        <v>22</v>
      </c>
      <c r="C97" s="11" t="s">
        <v>23</v>
      </c>
      <c r="D97" s="10" t="s">
        <v>279</v>
      </c>
      <c r="E97" s="11" t="str">
        <f aca="false" t="array" ref="E97:E97">IF(D97="","",IFERROR(INDEX('CLM &amp; IM Mapping'!$B$2:$B$270,MATCH(TRIM(D97),'CLM &amp; IM Mapping'!$A$2:$A$270,0)),"Not Mapped"))</f>
        <v>Rizwan Ahmed</v>
      </c>
      <c r="F97" s="11" t="str">
        <f aca="false" t="array" ref="F97:F97">IF(D97="","",IFERROR(INDEX('CLM &amp; IM Mapping'!$C$2:$C$270,MATCH(TRIM(D97),'CLM &amp; IM Mapping'!$A$2:$A$270,0)),"Not Mapped"))</f>
        <v>Un Mapped</v>
      </c>
      <c r="G97" s="11" t="s">
        <v>34</v>
      </c>
      <c r="H97" s="10" t="n">
        <v>5407</v>
      </c>
      <c r="I97" s="10" t="n">
        <v>2745</v>
      </c>
      <c r="J97" s="10" t="n">
        <v>0</v>
      </c>
      <c r="K97" s="10" t="n">
        <v>0</v>
      </c>
      <c r="L97" s="10" t="n">
        <v>0</v>
      </c>
      <c r="M97" s="10" t="n">
        <v>0</v>
      </c>
      <c r="N97" s="10" t="n">
        <v>0</v>
      </c>
      <c r="O97" s="10" t="n">
        <v>0</v>
      </c>
      <c r="P97" s="10" t="n">
        <v>8152</v>
      </c>
      <c r="Q97" s="17"/>
      <c r="R97" s="11"/>
      <c r="S97" s="21"/>
      <c r="T97" s="15"/>
      <c r="U97" s="14" t="s">
        <v>280</v>
      </c>
      <c r="V97" s="10" t="n">
        <v>3996</v>
      </c>
      <c r="W97" s="8"/>
      <c r="X97" s="8"/>
      <c r="Y97" s="8"/>
      <c r="Z97" s="8"/>
      <c r="AA97" s="8"/>
      <c r="AB97" s="8"/>
      <c r="AC97" s="8"/>
    </row>
    <row r="98" customFormat="false" ht="29.85" hidden="false" customHeight="false" outlineLevel="0" collapsed="false">
      <c r="A98" s="9" t="n">
        <v>46303</v>
      </c>
      <c r="B98" s="10" t="s">
        <v>22</v>
      </c>
      <c r="C98" s="11" t="s">
        <v>23</v>
      </c>
      <c r="D98" s="11" t="s">
        <v>281</v>
      </c>
      <c r="E98" s="11" t="str">
        <f aca="false" t="array" ref="E98:E98">IF(D98="","",IFERROR(INDEX('CLM &amp; IM Mapping'!$B$2:$B$270,MATCH(TRIM(D98),'CLM &amp; IM Mapping'!$A$2:$A$270,0)),"Not Mapped"))</f>
        <v>Balaji G</v>
      </c>
      <c r="F98" s="11" t="str">
        <f aca="false" t="array" ref="F98:F98">IF(D98="","",IFERROR(INDEX('CLM &amp; IM Mapping'!$C$2:$C$270,MATCH(TRIM(D98),'CLM &amp; IM Mapping'!$A$2:$A$270,0)),"Not Mapped"))</f>
        <v>Mohammed Akbar</v>
      </c>
      <c r="G98" s="11" t="s">
        <v>34</v>
      </c>
      <c r="H98" s="10" t="n">
        <v>3821</v>
      </c>
      <c r="I98" s="10" t="n">
        <v>3869</v>
      </c>
      <c r="J98" s="10" t="n">
        <v>0</v>
      </c>
      <c r="K98" s="10" t="n">
        <v>0</v>
      </c>
      <c r="L98" s="10" t="n">
        <v>0</v>
      </c>
      <c r="M98" s="10" t="n">
        <v>0</v>
      </c>
      <c r="N98" s="10" t="n">
        <v>0</v>
      </c>
      <c r="O98" s="10" t="n">
        <v>0</v>
      </c>
      <c r="P98" s="10" t="n">
        <v>7689</v>
      </c>
      <c r="Q98" s="17"/>
      <c r="R98" s="11"/>
      <c r="S98" s="12" t="s">
        <v>282</v>
      </c>
      <c r="T98" s="15" t="n">
        <v>10000</v>
      </c>
      <c r="U98" s="14" t="s">
        <v>283</v>
      </c>
      <c r="V98" s="10" t="n">
        <v>13544</v>
      </c>
      <c r="W98" s="8"/>
      <c r="X98" s="8"/>
      <c r="Y98" s="8"/>
      <c r="Z98" s="8"/>
      <c r="AA98" s="8"/>
      <c r="AB98" s="8"/>
      <c r="AC98" s="8"/>
    </row>
    <row r="99" customFormat="false" ht="29.85" hidden="false" customHeight="false" outlineLevel="0" collapsed="false">
      <c r="A99" s="9" t="n">
        <v>46303</v>
      </c>
      <c r="B99" s="10" t="s">
        <v>22</v>
      </c>
      <c r="C99" s="11" t="s">
        <v>23</v>
      </c>
      <c r="D99" s="10" t="s">
        <v>284</v>
      </c>
      <c r="E99" s="11" t="str">
        <f aca="false" t="array" ref="E99:E99">IF(D99="","",IFERROR(INDEX('CLM &amp; IM Mapping'!$B$2:$B$270,MATCH(TRIM(D99),'CLM &amp; IM Mapping'!$A$2:$A$270,0)),"Not Mapped"))</f>
        <v>Balaji G</v>
      </c>
      <c r="F99" s="11" t="str">
        <f aca="false" t="array" ref="F99:F99">IF(D99="","",IFERROR(INDEX('CLM &amp; IM Mapping'!$C$2:$C$270,MATCH(TRIM(D99),'CLM &amp; IM Mapping'!$A$2:$A$270,0)),"Not Mapped"))</f>
        <v>Mohammed Akbar</v>
      </c>
      <c r="G99" s="11" t="s">
        <v>34</v>
      </c>
      <c r="H99" s="10" t="n">
        <v>-482</v>
      </c>
      <c r="I99" s="10" t="n">
        <v>7047</v>
      </c>
      <c r="J99" s="10" t="n">
        <v>0</v>
      </c>
      <c r="K99" s="10" t="n">
        <v>0</v>
      </c>
      <c r="L99" s="10" t="n">
        <v>970</v>
      </c>
      <c r="M99" s="10" t="n">
        <v>0</v>
      </c>
      <c r="N99" s="10" t="n">
        <v>0</v>
      </c>
      <c r="O99" s="10" t="n">
        <v>0</v>
      </c>
      <c r="P99" s="10" t="n">
        <v>7536</v>
      </c>
      <c r="Q99" s="17"/>
      <c r="R99" s="11"/>
      <c r="S99" s="12" t="s">
        <v>285</v>
      </c>
      <c r="T99" s="15" t="n">
        <v>10000</v>
      </c>
      <c r="U99" s="14" t="s">
        <v>286</v>
      </c>
      <c r="V99" s="10" t="n">
        <v>8300</v>
      </c>
      <c r="W99" s="8"/>
      <c r="X99" s="8"/>
      <c r="Y99" s="8"/>
      <c r="Z99" s="8"/>
      <c r="AA99" s="8"/>
      <c r="AB99" s="8"/>
      <c r="AC99" s="8"/>
    </row>
    <row r="100" customFormat="false" ht="15" hidden="false" customHeight="false" outlineLevel="0" collapsed="false">
      <c r="A100" s="9" t="n">
        <v>46303</v>
      </c>
      <c r="B100" s="10" t="s">
        <v>22</v>
      </c>
      <c r="C100" s="11" t="s">
        <v>23</v>
      </c>
      <c r="D100" s="10" t="s">
        <v>287</v>
      </c>
      <c r="E100" s="11" t="str">
        <f aca="false" t="array" ref="E100:E100">IF(D100="","",IFERROR(INDEX('CLM &amp; IM Mapping'!$B$2:$B$270,MATCH(TRIM(D100),'CLM &amp; IM Mapping'!$A$2:$A$270,0)),"Not Mapped"))</f>
        <v>Sundaresh S</v>
      </c>
      <c r="F100" s="11" t="str">
        <f aca="false" t="array" ref="F100:F100">IF(D100="","",IFERROR(INDEX('CLM &amp; IM Mapping'!$C$2:$C$270,MATCH(TRIM(D100),'CLM &amp; IM Mapping'!$A$2:$A$270,0)),"Not Mapped"))</f>
        <v>Un Mapped</v>
      </c>
      <c r="G100" s="11" t="s">
        <v>34</v>
      </c>
      <c r="H100" s="10" t="n">
        <v>-2061</v>
      </c>
      <c r="I100" s="10" t="n">
        <v>8363</v>
      </c>
      <c r="J100" s="10" t="n">
        <v>0</v>
      </c>
      <c r="K100" s="10" t="n">
        <v>916</v>
      </c>
      <c r="L100" s="10" t="n">
        <v>119</v>
      </c>
      <c r="M100" s="10" t="n">
        <v>0</v>
      </c>
      <c r="N100" s="10" t="n">
        <v>0</v>
      </c>
      <c r="O100" s="10" t="n">
        <v>0</v>
      </c>
      <c r="P100" s="10" t="n">
        <v>7336</v>
      </c>
      <c r="Q100" s="17"/>
      <c r="R100" s="11"/>
      <c r="S100" s="21"/>
      <c r="T100" s="15"/>
      <c r="U100" s="14" t="s">
        <v>32</v>
      </c>
      <c r="V100" s="10" t="n">
        <v>10123</v>
      </c>
      <c r="W100" s="8"/>
      <c r="X100" s="8"/>
      <c r="Y100" s="8"/>
      <c r="Z100" s="8"/>
      <c r="AA100" s="8"/>
      <c r="AB100" s="8"/>
      <c r="AC100" s="8"/>
    </row>
    <row r="101" customFormat="false" ht="15" hidden="false" customHeight="false" outlineLevel="0" collapsed="false">
      <c r="A101" s="9" t="n">
        <v>46303</v>
      </c>
      <c r="B101" s="10" t="s">
        <v>22</v>
      </c>
      <c r="C101" s="11" t="s">
        <v>23</v>
      </c>
      <c r="D101" s="10" t="s">
        <v>288</v>
      </c>
      <c r="E101" s="11" t="str">
        <f aca="false" t="array" ref="E101:E101">IF(D101="","",IFERROR(INDEX('CLM &amp; IM Mapping'!$B$2:$B$270,MATCH(TRIM(D101),'CLM &amp; IM Mapping'!$A$2:$A$270,0)),"Not Mapped"))</f>
        <v>Arun Raj</v>
      </c>
      <c r="F101" s="11" t="str">
        <f aca="false" t="array" ref="F101:F101">IF(D101="","",IFERROR(INDEX('CLM &amp; IM Mapping'!$C$2:$C$270,MATCH(TRIM(D101),'CLM &amp; IM Mapping'!$A$2:$A$270,0)),"Not Mapped"))</f>
        <v>Simon Manoharan</v>
      </c>
      <c r="G101" s="11" t="s">
        <v>25</v>
      </c>
      <c r="H101" s="10" t="n">
        <v>-10424</v>
      </c>
      <c r="I101" s="10" t="n">
        <v>14667</v>
      </c>
      <c r="J101" s="10" t="n">
        <v>0</v>
      </c>
      <c r="K101" s="10" t="n">
        <v>1081</v>
      </c>
      <c r="L101" s="10" t="n">
        <v>1977</v>
      </c>
      <c r="M101" s="10" t="n">
        <v>0</v>
      </c>
      <c r="N101" s="10" t="n">
        <v>0</v>
      </c>
      <c r="O101" s="10" t="n">
        <v>0</v>
      </c>
      <c r="P101" s="10" t="n">
        <v>7301</v>
      </c>
      <c r="Q101" s="17"/>
      <c r="R101" s="11"/>
      <c r="S101" s="21"/>
      <c r="T101" s="15"/>
      <c r="U101" s="14" t="s">
        <v>289</v>
      </c>
      <c r="V101" s="10" t="n">
        <v>10056</v>
      </c>
      <c r="W101" s="8"/>
      <c r="X101" s="8"/>
      <c r="Y101" s="8"/>
      <c r="Z101" s="8"/>
      <c r="AA101" s="8"/>
      <c r="AB101" s="8"/>
      <c r="AC101" s="8"/>
    </row>
    <row r="102" customFormat="false" ht="15" hidden="false" customHeight="false" outlineLevel="0" collapsed="false">
      <c r="A102" s="9" t="n">
        <v>46303</v>
      </c>
      <c r="B102" s="10" t="s">
        <v>22</v>
      </c>
      <c r="C102" s="11" t="s">
        <v>23</v>
      </c>
      <c r="D102" s="10" t="s">
        <v>290</v>
      </c>
      <c r="E102" s="11" t="str">
        <f aca="false" t="array" ref="E102:E102">IF(D102="","",IFERROR(INDEX('CLM &amp; IM Mapping'!$B$2:$B$270,MATCH(TRIM(D102),'CLM &amp; IM Mapping'!$A$2:$A$270,0)),"Not Mapped"))</f>
        <v>Akshay P</v>
      </c>
      <c r="F102" s="11" t="str">
        <f aca="false" t="array" ref="F102:F102">IF(D102="","",IFERROR(INDEX('CLM &amp; IM Mapping'!$C$2:$C$270,MATCH(TRIM(D102),'CLM &amp; IM Mapping'!$A$2:$A$270,0)),"Not Mapped"))</f>
        <v>Srittam Dhal</v>
      </c>
      <c r="G102" s="11" t="s">
        <v>34</v>
      </c>
      <c r="H102" s="10" t="n">
        <v>-1395</v>
      </c>
      <c r="I102" s="10" t="n">
        <v>8104</v>
      </c>
      <c r="J102" s="10" t="n">
        <v>0</v>
      </c>
      <c r="K102" s="10" t="n">
        <v>0</v>
      </c>
      <c r="L102" s="10" t="n">
        <v>573</v>
      </c>
      <c r="M102" s="10" t="n">
        <v>0</v>
      </c>
      <c r="N102" s="10" t="n">
        <v>0</v>
      </c>
      <c r="O102" s="10" t="n">
        <v>0</v>
      </c>
      <c r="P102" s="10" t="n">
        <v>7282</v>
      </c>
      <c r="Q102" s="17"/>
      <c r="R102" s="11"/>
      <c r="S102" s="12" t="s">
        <v>236</v>
      </c>
      <c r="T102" s="15"/>
      <c r="U102" s="14" t="s">
        <v>182</v>
      </c>
      <c r="V102" s="10" t="n">
        <v>16487</v>
      </c>
      <c r="W102" s="8"/>
      <c r="X102" s="8"/>
      <c r="Y102" s="8"/>
      <c r="Z102" s="8"/>
      <c r="AA102" s="8"/>
      <c r="AB102" s="8"/>
      <c r="AC102" s="8"/>
    </row>
    <row r="103" customFormat="false" ht="15" hidden="false" customHeight="false" outlineLevel="0" collapsed="false">
      <c r="A103" s="9" t="n">
        <v>46303</v>
      </c>
      <c r="B103" s="10" t="s">
        <v>22</v>
      </c>
      <c r="C103" s="11" t="s">
        <v>23</v>
      </c>
      <c r="D103" s="10" t="s">
        <v>291</v>
      </c>
      <c r="E103" s="11" t="str">
        <f aca="false" t="array" ref="E103:E103">IF(D103="","",IFERROR(INDEX('CLM &amp; IM Mapping'!$B$2:$B$270,MATCH(TRIM(D103),'CLM &amp; IM Mapping'!$A$2:$A$270,0)),"Not Mapped"))</f>
        <v>Ashwath S</v>
      </c>
      <c r="F103" s="11" t="str">
        <f aca="false" t="array" ref="F103:F103">IF(D103="","",IFERROR(INDEX('CLM &amp; IM Mapping'!$C$2:$C$270,MATCH(TRIM(D103),'CLM &amp; IM Mapping'!$A$2:$A$270,0)),"Not Mapped"))</f>
        <v>Kantha Kumar</v>
      </c>
      <c r="G103" s="11" t="s">
        <v>34</v>
      </c>
      <c r="H103" s="10" t="n">
        <v>5711</v>
      </c>
      <c r="I103" s="10" t="n">
        <v>629</v>
      </c>
      <c r="J103" s="10" t="n">
        <v>0</v>
      </c>
      <c r="K103" s="10" t="n">
        <v>0</v>
      </c>
      <c r="L103" s="10" t="n">
        <v>590</v>
      </c>
      <c r="M103" s="10" t="n">
        <v>0</v>
      </c>
      <c r="N103" s="10" t="n">
        <v>219</v>
      </c>
      <c r="O103" s="10" t="n">
        <v>0</v>
      </c>
      <c r="P103" s="10" t="n">
        <v>7149</v>
      </c>
      <c r="Q103" s="17"/>
      <c r="R103" s="11"/>
      <c r="S103" s="21"/>
      <c r="T103" s="15"/>
      <c r="U103" s="14" t="s">
        <v>125</v>
      </c>
      <c r="V103" s="10" t="n">
        <v>11541</v>
      </c>
      <c r="W103" s="8"/>
      <c r="X103" s="8"/>
      <c r="Y103" s="8"/>
      <c r="Z103" s="8"/>
      <c r="AA103" s="8"/>
      <c r="AB103" s="8"/>
      <c r="AC103" s="8"/>
    </row>
    <row r="104" customFormat="false" ht="15" hidden="false" customHeight="false" outlineLevel="0" collapsed="false">
      <c r="A104" s="9" t="n">
        <v>46303</v>
      </c>
      <c r="B104" s="10" t="s">
        <v>22</v>
      </c>
      <c r="C104" s="11" t="s">
        <v>23</v>
      </c>
      <c r="D104" s="10" t="s">
        <v>292</v>
      </c>
      <c r="E104" s="11" t="str">
        <f aca="false" t="array" ref="E104:E104">IF(D104="","",IFERROR(INDEX('CLM &amp; IM Mapping'!$B$2:$B$270,MATCH(TRIM(D104),'CLM &amp; IM Mapping'!$A$2:$A$270,0)),"Not Mapped"))</f>
        <v>Mohaideen DH</v>
      </c>
      <c r="F104" s="11" t="str">
        <f aca="false" t="array" ref="F104:F104">IF(D104="","",IFERROR(INDEX('CLM &amp; IM Mapping'!$C$2:$C$270,MATCH(TRIM(D104),'CLM &amp; IM Mapping'!$A$2:$A$270,0)),"Not Mapped"))</f>
        <v>Mohammed Akbar</v>
      </c>
      <c r="G104" s="11" t="s">
        <v>34</v>
      </c>
      <c r="H104" s="10" t="n">
        <v>805</v>
      </c>
      <c r="I104" s="10" t="n">
        <v>3126</v>
      </c>
      <c r="J104" s="10" t="n">
        <v>0</v>
      </c>
      <c r="K104" s="10" t="n">
        <v>180</v>
      </c>
      <c r="L104" s="10" t="n">
        <v>16</v>
      </c>
      <c r="M104" s="10" t="n">
        <v>0</v>
      </c>
      <c r="N104" s="10" t="n">
        <v>2753</v>
      </c>
      <c r="O104" s="10" t="n">
        <v>0</v>
      </c>
      <c r="P104" s="10" t="n">
        <v>6880</v>
      </c>
      <c r="Q104" s="17"/>
      <c r="R104" s="11"/>
      <c r="S104" s="21"/>
      <c r="T104" s="15" t="n">
        <v>10000</v>
      </c>
      <c r="U104" s="14" t="s">
        <v>167</v>
      </c>
      <c r="V104" s="10" t="n">
        <v>7328</v>
      </c>
      <c r="W104" s="8"/>
      <c r="X104" s="8"/>
      <c r="Y104" s="8"/>
      <c r="Z104" s="8"/>
      <c r="AA104" s="8"/>
      <c r="AB104" s="8"/>
      <c r="AC104" s="8"/>
    </row>
    <row r="105" customFormat="false" ht="15" hidden="false" customHeight="false" outlineLevel="0" collapsed="false">
      <c r="A105" s="9" t="n">
        <v>46303</v>
      </c>
      <c r="B105" s="10" t="s">
        <v>22</v>
      </c>
      <c r="C105" s="11" t="s">
        <v>23</v>
      </c>
      <c r="D105" s="10" t="s">
        <v>293</v>
      </c>
      <c r="E105" s="11" t="str">
        <f aca="false" t="array" ref="E105:E105">IF(D105="","",IFERROR(INDEX('CLM &amp; IM Mapping'!$B$2:$B$270,MATCH(TRIM(D105),'CLM &amp; IM Mapping'!$A$2:$A$270,0)),"Not Mapped"))</f>
        <v>Suhas N</v>
      </c>
      <c r="F105" s="11" t="str">
        <f aca="false" t="array" ref="F105:F105">IF(D105="","",IFERROR(INDEX('CLM &amp; IM Mapping'!$C$2:$C$270,MATCH(TRIM(D105),'CLM &amp; IM Mapping'!$A$2:$A$270,0)),"Not Mapped"))</f>
        <v>Aravind S</v>
      </c>
      <c r="G105" s="11" t="s">
        <v>34</v>
      </c>
      <c r="H105" s="10" t="n">
        <v>-5788</v>
      </c>
      <c r="I105" s="10" t="n">
        <v>5360</v>
      </c>
      <c r="J105" s="10" t="n">
        <v>0</v>
      </c>
      <c r="K105" s="10" t="n">
        <v>6955</v>
      </c>
      <c r="L105" s="10" t="n">
        <v>142</v>
      </c>
      <c r="M105" s="10" t="n">
        <v>0</v>
      </c>
      <c r="N105" s="10" t="n">
        <v>0</v>
      </c>
      <c r="O105" s="10" t="n">
        <v>0</v>
      </c>
      <c r="P105" s="10" t="n">
        <v>6668</v>
      </c>
      <c r="Q105" s="17"/>
      <c r="R105" s="11"/>
      <c r="S105" s="21"/>
      <c r="T105" s="15"/>
      <c r="U105" s="14" t="s">
        <v>215</v>
      </c>
      <c r="V105" s="10" t="n">
        <v>7938</v>
      </c>
      <c r="W105" s="8"/>
      <c r="X105" s="8"/>
      <c r="Y105" s="8"/>
      <c r="Z105" s="8"/>
      <c r="AA105" s="8"/>
      <c r="AB105" s="8"/>
      <c r="AC105" s="8"/>
    </row>
    <row r="106" customFormat="false" ht="15" hidden="false" customHeight="false" outlineLevel="0" collapsed="false">
      <c r="A106" s="9" t="n">
        <v>46303</v>
      </c>
      <c r="B106" s="10" t="s">
        <v>22</v>
      </c>
      <c r="C106" s="11" t="s">
        <v>23</v>
      </c>
      <c r="D106" s="10" t="s">
        <v>294</v>
      </c>
      <c r="E106" s="11" t="str">
        <f aca="false" t="array" ref="E106:E106">IF(D106="","",IFERROR(INDEX('CLM &amp; IM Mapping'!$B$2:$B$270,MATCH(TRIM(D106),'CLM &amp; IM Mapping'!$A$2:$A$270,0)),"Not Mapped"))</f>
        <v>Manoj Kj</v>
      </c>
      <c r="F106" s="11" t="str">
        <f aca="false" t="array" ref="F106:F106">IF(D106="","",IFERROR(INDEX('CLM &amp; IM Mapping'!$C$2:$C$270,MATCH(TRIM(D106),'CLM &amp; IM Mapping'!$A$2:$A$270,0)),"Not Mapped"))</f>
        <v>Srittam Dhal</v>
      </c>
      <c r="G106" s="11" t="s">
        <v>34</v>
      </c>
      <c r="H106" s="10" t="n">
        <v>5734</v>
      </c>
      <c r="I106" s="10" t="n">
        <v>198</v>
      </c>
      <c r="J106" s="10" t="n">
        <v>0</v>
      </c>
      <c r="K106" s="10" t="n">
        <v>240</v>
      </c>
      <c r="L106" s="10" t="n">
        <v>340</v>
      </c>
      <c r="M106" s="10" t="n">
        <v>0</v>
      </c>
      <c r="N106" s="10" t="n">
        <v>0</v>
      </c>
      <c r="O106" s="10" t="n">
        <v>0</v>
      </c>
      <c r="P106" s="10" t="n">
        <v>6512</v>
      </c>
      <c r="Q106" s="17"/>
      <c r="R106" s="11"/>
      <c r="S106" s="12" t="s">
        <v>236</v>
      </c>
      <c r="T106" s="15"/>
      <c r="U106" s="14" t="s">
        <v>295</v>
      </c>
      <c r="V106" s="10" t="n">
        <v>15620</v>
      </c>
      <c r="W106" s="8"/>
      <c r="X106" s="8"/>
      <c r="Y106" s="8"/>
      <c r="Z106" s="8"/>
      <c r="AA106" s="8"/>
      <c r="AB106" s="8"/>
      <c r="AC106" s="8"/>
    </row>
    <row r="107" customFormat="false" ht="29.85" hidden="false" customHeight="false" outlineLevel="0" collapsed="false">
      <c r="A107" s="9" t="n">
        <v>46303</v>
      </c>
      <c r="B107" s="10" t="s">
        <v>22</v>
      </c>
      <c r="C107" s="11" t="s">
        <v>23</v>
      </c>
      <c r="D107" s="10" t="s">
        <v>296</v>
      </c>
      <c r="E107" s="11" t="str">
        <f aca="false" t="array" ref="E107:E107">IF(D107="","",IFERROR(INDEX('CLM &amp; IM Mapping'!$B$2:$B$270,MATCH(TRIM(D107),'CLM &amp; IM Mapping'!$A$2:$A$270,0)),"Not Mapped"))</f>
        <v>Balaji G</v>
      </c>
      <c r="F107" s="11" t="str">
        <f aca="false" t="array" ref="F107:F107">IF(D107="","",IFERROR(INDEX('CLM &amp; IM Mapping'!$C$2:$C$270,MATCH(TRIM(D107),'CLM &amp; IM Mapping'!$A$2:$A$270,0)),"Not Mapped"))</f>
        <v>Mohammed Akbar</v>
      </c>
      <c r="G107" s="11" t="s">
        <v>34</v>
      </c>
      <c r="H107" s="10" t="n">
        <v>1235</v>
      </c>
      <c r="I107" s="10" t="n">
        <v>3422</v>
      </c>
      <c r="J107" s="10" t="n">
        <v>0</v>
      </c>
      <c r="K107" s="10" t="n">
        <v>1307</v>
      </c>
      <c r="L107" s="10" t="n">
        <v>418</v>
      </c>
      <c r="M107" s="10" t="n">
        <v>0</v>
      </c>
      <c r="N107" s="10" t="n">
        <v>0</v>
      </c>
      <c r="O107" s="10" t="n">
        <v>0</v>
      </c>
      <c r="P107" s="10" t="n">
        <v>6380</v>
      </c>
      <c r="Q107" s="17"/>
      <c r="R107" s="11"/>
      <c r="S107" s="12" t="s">
        <v>157</v>
      </c>
      <c r="T107" s="15" t="n">
        <v>10000</v>
      </c>
      <c r="U107" s="14" t="s">
        <v>297</v>
      </c>
      <c r="V107" s="10" t="n">
        <v>4300</v>
      </c>
      <c r="W107" s="8"/>
      <c r="X107" s="8"/>
      <c r="Y107" s="8"/>
      <c r="Z107" s="8"/>
      <c r="AA107" s="8"/>
      <c r="AB107" s="8"/>
      <c r="AC107" s="8"/>
    </row>
    <row r="108" customFormat="false" ht="29.85" hidden="false" customHeight="false" outlineLevel="0" collapsed="false">
      <c r="A108" s="9" t="n">
        <v>46303</v>
      </c>
      <c r="B108" s="10" t="s">
        <v>22</v>
      </c>
      <c r="C108" s="11" t="s">
        <v>23</v>
      </c>
      <c r="D108" s="10" t="s">
        <v>298</v>
      </c>
      <c r="E108" s="11" t="str">
        <f aca="false" t="array" ref="E108:E108">IF(D108="","",IFERROR(INDEX('CLM &amp; IM Mapping'!$B$2:$B$270,MATCH(TRIM(D108),'CLM &amp; IM Mapping'!$A$2:$A$270,0)),"Not Mapped"))</f>
        <v>Ravishankar gowda</v>
      </c>
      <c r="F108" s="11" t="str">
        <f aca="false" t="array" ref="F108:F108">IF(D108="","",IFERROR(INDEX('CLM &amp; IM Mapping'!$C$2:$C$270,MATCH(TRIM(D108),'CLM &amp; IM Mapping'!$A$2:$A$270,0)),"Not Mapped"))</f>
        <v>Kishor K</v>
      </c>
      <c r="G108" s="11" t="s">
        <v>34</v>
      </c>
      <c r="H108" s="10" t="n">
        <v>-1590</v>
      </c>
      <c r="I108" s="10" t="n">
        <v>6841</v>
      </c>
      <c r="J108" s="10" t="n">
        <v>0</v>
      </c>
      <c r="K108" s="10" t="n">
        <v>882</v>
      </c>
      <c r="L108" s="10" t="n">
        <v>209</v>
      </c>
      <c r="M108" s="10" t="n">
        <v>0</v>
      </c>
      <c r="N108" s="10" t="n">
        <v>0</v>
      </c>
      <c r="O108" s="10" t="n">
        <v>0</v>
      </c>
      <c r="P108" s="10" t="n">
        <v>6342</v>
      </c>
      <c r="Q108" s="17"/>
      <c r="R108" s="11"/>
      <c r="S108" s="12" t="s">
        <v>299</v>
      </c>
      <c r="T108" s="15" t="n">
        <v>10000</v>
      </c>
      <c r="U108" s="14" t="s">
        <v>228</v>
      </c>
      <c r="V108" s="10" t="n">
        <v>10448</v>
      </c>
      <c r="W108" s="8"/>
      <c r="X108" s="8"/>
      <c r="Y108" s="8"/>
      <c r="Z108" s="8"/>
      <c r="AA108" s="8"/>
      <c r="AB108" s="8"/>
      <c r="AC108" s="8"/>
    </row>
    <row r="109" customFormat="false" ht="15" hidden="false" customHeight="false" outlineLevel="0" collapsed="false">
      <c r="A109" s="9" t="n">
        <v>46303</v>
      </c>
      <c r="B109" s="10" t="s">
        <v>22</v>
      </c>
      <c r="C109" s="11" t="s">
        <v>212</v>
      </c>
      <c r="D109" s="10" t="s">
        <v>300</v>
      </c>
      <c r="E109" s="11" t="str">
        <f aca="false" t="array" ref="E109:E109">IF(D109="","",IFERROR(INDEX('CLM &amp; IM Mapping'!$B$2:$B$270,MATCH(TRIM(D109),'CLM &amp; IM Mapping'!$A$2:$A$270,0)),"Not Mapped"))</f>
        <v>Bangareppa CS</v>
      </c>
      <c r="F109" s="11" t="str">
        <f aca="false" t="array" ref="F109:F109">IF(D109="","",IFERROR(INDEX('CLM &amp; IM Mapping'!$C$2:$C$270,MATCH(TRIM(D109),'CLM &amp; IM Mapping'!$A$2:$A$270,0)),"Not Mapped"))</f>
        <v>Kishor K</v>
      </c>
      <c r="G109" s="11" t="s">
        <v>34</v>
      </c>
      <c r="H109" s="10" t="n">
        <v>3745</v>
      </c>
      <c r="I109" s="10" t="n">
        <v>2119</v>
      </c>
      <c r="J109" s="10" t="n">
        <v>0</v>
      </c>
      <c r="K109" s="10" t="n">
        <v>36</v>
      </c>
      <c r="L109" s="10" t="n">
        <v>0</v>
      </c>
      <c r="M109" s="10" t="n">
        <v>0</v>
      </c>
      <c r="N109" s="10" t="n">
        <v>0</v>
      </c>
      <c r="O109" s="10" t="n">
        <v>0</v>
      </c>
      <c r="P109" s="10" t="n">
        <v>5899</v>
      </c>
      <c r="Q109" s="17"/>
      <c r="R109" s="11"/>
      <c r="S109" s="12" t="s">
        <v>301</v>
      </c>
      <c r="T109" s="15" t="n">
        <v>9000</v>
      </c>
      <c r="U109" s="14" t="s">
        <v>302</v>
      </c>
      <c r="V109" s="10" t="n">
        <v>2904</v>
      </c>
      <c r="W109" s="8"/>
      <c r="X109" s="8"/>
      <c r="Y109" s="8"/>
      <c r="Z109" s="8"/>
      <c r="AA109" s="8"/>
      <c r="AB109" s="8"/>
      <c r="AC109" s="8"/>
    </row>
    <row r="110" customFormat="false" ht="15" hidden="false" customHeight="false" outlineLevel="0" collapsed="false">
      <c r="A110" s="9" t="n">
        <v>46303</v>
      </c>
      <c r="B110" s="10" t="s">
        <v>22</v>
      </c>
      <c r="C110" s="11" t="s">
        <v>303</v>
      </c>
      <c r="D110" s="11" t="s">
        <v>304</v>
      </c>
      <c r="E110" s="11" t="str">
        <f aca="false" t="array" ref="E110:E110">IF(D110="","",IFERROR(INDEX('CLM &amp; IM Mapping'!$B$2:$B$270,MATCH(TRIM(D110),'CLM &amp; IM Mapping'!$A$2:$A$270,0)),"Not Mapped"))</f>
        <v>John Britto</v>
      </c>
      <c r="F110" s="11" t="str">
        <f aca="false" t="array" ref="F110:F110">IF(D110="","",IFERROR(INDEX('CLM &amp; IM Mapping'!$C$2:$C$270,MATCH(TRIM(D110),'CLM &amp; IM Mapping'!$A$2:$A$270,0)),"Not Mapped"))</f>
        <v>Aravind S</v>
      </c>
      <c r="G110" s="11" t="s">
        <v>34</v>
      </c>
      <c r="H110" s="10" t="n">
        <v>4157</v>
      </c>
      <c r="I110" s="10" t="n">
        <v>487</v>
      </c>
      <c r="J110" s="10" t="n">
        <v>0</v>
      </c>
      <c r="K110" s="10" t="n">
        <v>191</v>
      </c>
      <c r="L110" s="10" t="n">
        <v>666</v>
      </c>
      <c r="M110" s="10" t="n">
        <v>0</v>
      </c>
      <c r="N110" s="10" t="n">
        <v>0</v>
      </c>
      <c r="O110" s="10" t="n">
        <v>0</v>
      </c>
      <c r="P110" s="10" t="n">
        <v>5501</v>
      </c>
      <c r="Q110" s="17"/>
      <c r="R110" s="11"/>
      <c r="S110" s="21"/>
      <c r="T110" s="15"/>
      <c r="U110" s="14" t="s">
        <v>40</v>
      </c>
      <c r="V110" s="10" t="n">
        <v>4593</v>
      </c>
      <c r="W110" s="8"/>
      <c r="X110" s="8"/>
      <c r="Y110" s="8"/>
      <c r="Z110" s="8"/>
      <c r="AA110" s="8"/>
      <c r="AB110" s="8"/>
      <c r="AC110" s="8"/>
    </row>
    <row r="111" customFormat="false" ht="15" hidden="false" customHeight="false" outlineLevel="0" collapsed="false">
      <c r="A111" s="9" t="n">
        <v>46303</v>
      </c>
      <c r="B111" s="10" t="s">
        <v>22</v>
      </c>
      <c r="C111" s="11" t="s">
        <v>23</v>
      </c>
      <c r="D111" s="10" t="s">
        <v>305</v>
      </c>
      <c r="E111" s="11" t="str">
        <f aca="false" t="array" ref="E111:E111">IF(D111="","",IFERROR(INDEX('CLM &amp; IM Mapping'!$B$2:$B$270,MATCH(TRIM(D111),'CLM &amp; IM Mapping'!$A$2:$A$270,0)),"Not Mapped"))</f>
        <v>Manjunatha V</v>
      </c>
      <c r="F111" s="11" t="str">
        <f aca="false" t="array" ref="F111:F111">IF(D111="","",IFERROR(INDEX('CLM &amp; IM Mapping'!$C$2:$C$270,MATCH(TRIM(D111),'CLM &amp; IM Mapping'!$A$2:$A$270,0)),"Not Mapped"))</f>
        <v>Un Mapped</v>
      </c>
      <c r="G111" s="11" t="s">
        <v>34</v>
      </c>
      <c r="H111" s="10" t="n">
        <v>-1563</v>
      </c>
      <c r="I111" s="10" t="n">
        <v>6067</v>
      </c>
      <c r="J111" s="10" t="n">
        <v>414</v>
      </c>
      <c r="K111" s="10" t="n">
        <v>227</v>
      </c>
      <c r="L111" s="10" t="n">
        <v>169</v>
      </c>
      <c r="M111" s="10" t="n">
        <v>0</v>
      </c>
      <c r="N111" s="10" t="n">
        <v>0</v>
      </c>
      <c r="O111" s="10" t="n">
        <v>0</v>
      </c>
      <c r="P111" s="10" t="n">
        <v>5314</v>
      </c>
      <c r="Q111" s="17"/>
      <c r="R111" s="11"/>
      <c r="S111" s="21"/>
      <c r="T111" s="15"/>
      <c r="U111" s="14" t="s">
        <v>187</v>
      </c>
      <c r="V111" s="10" t="n">
        <v>10700</v>
      </c>
      <c r="W111" s="8"/>
      <c r="X111" s="8"/>
      <c r="Y111" s="8"/>
      <c r="Z111" s="8"/>
      <c r="AA111" s="8"/>
      <c r="AB111" s="8"/>
      <c r="AC111" s="8"/>
    </row>
    <row r="112" customFormat="false" ht="29.85" hidden="false" customHeight="false" outlineLevel="0" collapsed="false">
      <c r="A112" s="9" t="n">
        <v>46303</v>
      </c>
      <c r="B112" s="10" t="s">
        <v>22</v>
      </c>
      <c r="C112" s="11" t="s">
        <v>23</v>
      </c>
      <c r="D112" s="10" t="s">
        <v>306</v>
      </c>
      <c r="E112" s="11" t="str">
        <f aca="false" t="array" ref="E112:E112">IF(D112="","",IFERROR(INDEX('CLM &amp; IM Mapping'!$B$2:$B$270,MATCH(TRIM(D112),'CLM &amp; IM Mapping'!$A$2:$A$270,0)),"Not Mapped"))</f>
        <v>Narasimhamurthy R</v>
      </c>
      <c r="F112" s="11" t="str">
        <f aca="false" t="array" ref="F112:F112">IF(D112="","",IFERROR(INDEX('CLM &amp; IM Mapping'!$C$2:$C$270,MATCH(TRIM(D112),'CLM &amp; IM Mapping'!$A$2:$A$270,0)),"Not Mapped"))</f>
        <v>Kishor K</v>
      </c>
      <c r="G112" s="11" t="s">
        <v>34</v>
      </c>
      <c r="H112" s="10" t="n">
        <v>1067</v>
      </c>
      <c r="I112" s="10" t="n">
        <v>3758</v>
      </c>
      <c r="J112" s="10" t="n">
        <v>0</v>
      </c>
      <c r="K112" s="10" t="n">
        <v>0</v>
      </c>
      <c r="L112" s="10" t="n">
        <v>332</v>
      </c>
      <c r="M112" s="10" t="n">
        <v>0</v>
      </c>
      <c r="N112" s="10" t="n">
        <v>0</v>
      </c>
      <c r="O112" s="10" t="n">
        <v>0</v>
      </c>
      <c r="P112" s="10" t="n">
        <v>5158</v>
      </c>
      <c r="Q112" s="17"/>
      <c r="R112" s="11"/>
      <c r="S112" s="12" t="s">
        <v>307</v>
      </c>
      <c r="T112" s="15" t="n">
        <v>7000</v>
      </c>
      <c r="U112" s="14" t="s">
        <v>308</v>
      </c>
      <c r="V112" s="10" t="n">
        <v>11500</v>
      </c>
      <c r="W112" s="8"/>
      <c r="X112" s="8"/>
      <c r="Y112" s="8"/>
      <c r="Z112" s="8"/>
      <c r="AA112" s="8"/>
      <c r="AB112" s="8"/>
      <c r="AC112" s="8"/>
    </row>
    <row r="113" customFormat="false" ht="15" hidden="false" customHeight="false" outlineLevel="0" collapsed="false">
      <c r="A113" s="9" t="n">
        <v>46303</v>
      </c>
      <c r="B113" s="10" t="s">
        <v>22</v>
      </c>
      <c r="C113" s="11" t="s">
        <v>23</v>
      </c>
      <c r="D113" s="10" t="s">
        <v>309</v>
      </c>
      <c r="E113" s="11" t="str">
        <f aca="false" t="array" ref="E113:E113">IF(D113="","",IFERROR(INDEX('CLM &amp; IM Mapping'!$B$2:$B$270,MATCH(TRIM(D113),'CLM &amp; IM Mapping'!$A$2:$A$270,0)),"Not Mapped"))</f>
        <v>Ashwath S</v>
      </c>
      <c r="F113" s="11" t="str">
        <f aca="false" t="array" ref="F113:F113">IF(D113="","",IFERROR(INDEX('CLM &amp; IM Mapping'!$C$2:$C$270,MATCH(TRIM(D113),'CLM &amp; IM Mapping'!$A$2:$A$270,0)),"Not Mapped"))</f>
        <v>Kantha Kumar</v>
      </c>
      <c r="G113" s="11" t="s">
        <v>34</v>
      </c>
      <c r="H113" s="10" t="n">
        <v>-2982</v>
      </c>
      <c r="I113" s="10" t="n">
        <v>6814</v>
      </c>
      <c r="J113" s="10" t="n">
        <v>0</v>
      </c>
      <c r="K113" s="10" t="n">
        <v>732</v>
      </c>
      <c r="L113" s="10" t="n">
        <v>357</v>
      </c>
      <c r="M113" s="10" t="n">
        <v>0</v>
      </c>
      <c r="N113" s="10" t="n">
        <v>0</v>
      </c>
      <c r="O113" s="10" t="n">
        <v>0</v>
      </c>
      <c r="P113" s="10" t="n">
        <v>4921</v>
      </c>
      <c r="Q113" s="17"/>
      <c r="R113" s="11"/>
      <c r="S113" s="21"/>
      <c r="T113" s="15"/>
      <c r="U113" s="14" t="s">
        <v>310</v>
      </c>
      <c r="V113" s="10" t="n">
        <v>7151</v>
      </c>
      <c r="W113" s="8"/>
      <c r="X113" s="8"/>
      <c r="Y113" s="8"/>
      <c r="Z113" s="8"/>
      <c r="AA113" s="8"/>
      <c r="AB113" s="8"/>
      <c r="AC113" s="8"/>
    </row>
    <row r="114" customFormat="false" ht="15" hidden="false" customHeight="false" outlineLevel="0" collapsed="false">
      <c r="A114" s="9" t="n">
        <v>46303</v>
      </c>
      <c r="B114" s="10" t="s">
        <v>22</v>
      </c>
      <c r="C114" s="11" t="s">
        <v>23</v>
      </c>
      <c r="D114" s="10" t="s">
        <v>311</v>
      </c>
      <c r="E114" s="11" t="str">
        <f aca="false" t="array" ref="E114:E114">IF(D114="","",IFERROR(INDEX('CLM &amp; IM Mapping'!$B$2:$B$270,MATCH(TRIM(D114),'CLM &amp; IM Mapping'!$A$2:$A$270,0)),"Not Mapped"))</f>
        <v>Manjunatha V</v>
      </c>
      <c r="F114" s="11" t="str">
        <f aca="false" t="array" ref="F114:F114">IF(D114="","",IFERROR(INDEX('CLM &amp; IM Mapping'!$C$2:$C$270,MATCH(TRIM(D114),'CLM &amp; IM Mapping'!$A$2:$A$270,0)),"Not Mapped"))</f>
        <v>Un Mapped</v>
      </c>
      <c r="G114" s="11" t="s">
        <v>34</v>
      </c>
      <c r="H114" s="10" t="n">
        <v>-3573</v>
      </c>
      <c r="I114" s="10" t="n">
        <v>8200</v>
      </c>
      <c r="J114" s="10" t="n">
        <v>0</v>
      </c>
      <c r="K114" s="10" t="n">
        <v>0</v>
      </c>
      <c r="L114" s="10" t="n">
        <v>0</v>
      </c>
      <c r="M114" s="10" t="n">
        <v>0</v>
      </c>
      <c r="N114" s="10" t="n">
        <v>0</v>
      </c>
      <c r="O114" s="10" t="n">
        <v>0</v>
      </c>
      <c r="P114" s="10" t="n">
        <v>4627</v>
      </c>
      <c r="Q114" s="17"/>
      <c r="R114" s="11"/>
      <c r="S114" s="21"/>
      <c r="T114" s="15"/>
      <c r="U114" s="14" t="s">
        <v>273</v>
      </c>
      <c r="V114" s="10" t="n">
        <v>6205</v>
      </c>
      <c r="W114" s="8"/>
      <c r="X114" s="8"/>
      <c r="Y114" s="8"/>
      <c r="Z114" s="8"/>
      <c r="AA114" s="8"/>
      <c r="AB114" s="8"/>
      <c r="AC114" s="8"/>
    </row>
    <row r="115" customFormat="false" ht="15" hidden="false" customHeight="false" outlineLevel="0" collapsed="false">
      <c r="A115" s="9" t="n">
        <v>46303</v>
      </c>
      <c r="B115" s="10" t="s">
        <v>22</v>
      </c>
      <c r="C115" s="11" t="s">
        <v>23</v>
      </c>
      <c r="D115" s="10" t="s">
        <v>312</v>
      </c>
      <c r="E115" s="11" t="str">
        <f aca="false" t="array" ref="E115:E115">IF(D115="","",IFERROR(INDEX('CLM &amp; IM Mapping'!$B$2:$B$270,MATCH(TRIM(D115),'CLM &amp; IM Mapping'!$A$2:$A$270,0)),"Not Mapped"))</f>
        <v>Manoj Kj</v>
      </c>
      <c r="F115" s="11" t="str">
        <f aca="false" t="array" ref="F115:F115">IF(D115="","",IFERROR(INDEX('CLM &amp; IM Mapping'!$C$2:$C$270,MATCH(TRIM(D115),'CLM &amp; IM Mapping'!$A$2:$A$270,0)),"Not Mapped"))</f>
        <v>Srittam Dhal</v>
      </c>
      <c r="G115" s="11" t="s">
        <v>34</v>
      </c>
      <c r="H115" s="10" t="n">
        <v>-7353</v>
      </c>
      <c r="I115" s="10" t="n">
        <v>11485</v>
      </c>
      <c r="J115" s="10" t="n">
        <v>0</v>
      </c>
      <c r="K115" s="10" t="n">
        <v>0</v>
      </c>
      <c r="L115" s="10" t="n">
        <v>0</v>
      </c>
      <c r="M115" s="10" t="n">
        <v>0</v>
      </c>
      <c r="N115" s="10" t="n">
        <v>260</v>
      </c>
      <c r="O115" s="10" t="n">
        <v>0</v>
      </c>
      <c r="P115" s="10" t="n">
        <v>4392</v>
      </c>
      <c r="Q115" s="17"/>
      <c r="R115" s="11"/>
      <c r="S115" s="12" t="s">
        <v>236</v>
      </c>
      <c r="T115" s="15"/>
      <c r="U115" s="14" t="s">
        <v>313</v>
      </c>
      <c r="V115" s="10" t="n">
        <v>10045</v>
      </c>
      <c r="W115" s="8"/>
      <c r="X115" s="8"/>
      <c r="Y115" s="8"/>
      <c r="Z115" s="8"/>
      <c r="AA115" s="8"/>
      <c r="AB115" s="8"/>
      <c r="AC115" s="8"/>
    </row>
    <row r="116" customFormat="false" ht="15" hidden="false" customHeight="false" outlineLevel="0" collapsed="false">
      <c r="A116" s="9" t="n">
        <v>46303</v>
      </c>
      <c r="B116" s="10" t="s">
        <v>22</v>
      </c>
      <c r="C116" s="11" t="s">
        <v>23</v>
      </c>
      <c r="D116" s="10" t="s">
        <v>314</v>
      </c>
      <c r="E116" s="11" t="str">
        <f aca="false" t="array" ref="E116:E116">IF(D116="","",IFERROR(INDEX('CLM &amp; IM Mapping'!$B$2:$B$270,MATCH(TRIM(D116),'CLM &amp; IM Mapping'!$A$2:$A$270,0)),"Not Mapped"))</f>
        <v>Basil Scariya</v>
      </c>
      <c r="F116" s="11" t="str">
        <f aca="false" t="array" ref="F116:F116">IF(D116="","",IFERROR(INDEX('CLM &amp; IM Mapping'!$C$2:$C$270,MATCH(TRIM(D116),'CLM &amp; IM Mapping'!$A$2:$A$270,0)),"Not Mapped"))</f>
        <v>Prakash BS</v>
      </c>
      <c r="G116" s="11" t="s">
        <v>34</v>
      </c>
      <c r="H116" s="10" t="n">
        <v>-2327</v>
      </c>
      <c r="I116" s="10" t="n">
        <v>6483</v>
      </c>
      <c r="J116" s="10" t="n">
        <v>0</v>
      </c>
      <c r="K116" s="10" t="n">
        <v>107</v>
      </c>
      <c r="L116" s="10" t="n">
        <v>124</v>
      </c>
      <c r="M116" s="10" t="n">
        <v>0</v>
      </c>
      <c r="N116" s="10" t="n">
        <v>0</v>
      </c>
      <c r="O116" s="10" t="n">
        <v>0</v>
      </c>
      <c r="P116" s="10" t="n">
        <v>4387</v>
      </c>
      <c r="Q116" s="17"/>
      <c r="R116" s="11"/>
      <c r="S116" s="12" t="s">
        <v>255</v>
      </c>
      <c r="T116" s="15"/>
      <c r="U116" s="14" t="s">
        <v>315</v>
      </c>
      <c r="V116" s="10" t="n">
        <v>4680</v>
      </c>
      <c r="W116" s="8"/>
      <c r="X116" s="8"/>
      <c r="Y116" s="8"/>
      <c r="Z116" s="8"/>
      <c r="AA116" s="8"/>
      <c r="AB116" s="8"/>
      <c r="AC116" s="8"/>
    </row>
    <row r="117" customFormat="false" ht="15" hidden="false" customHeight="false" outlineLevel="0" collapsed="false">
      <c r="A117" s="9" t="n">
        <v>46303</v>
      </c>
      <c r="B117" s="10" t="s">
        <v>22</v>
      </c>
      <c r="C117" s="11" t="s">
        <v>221</v>
      </c>
      <c r="D117" s="10" t="s">
        <v>316</v>
      </c>
      <c r="E117" s="11" t="str">
        <f aca="false" t="array" ref="E117:E117">IF(D117="","",IFERROR(INDEX('CLM &amp; IM Mapping'!$B$2:$B$270,MATCH(TRIM(D117),'CLM &amp; IM Mapping'!$A$2:$A$270,0)),"Not Mapped"))</f>
        <v>Vishnu V</v>
      </c>
      <c r="F117" s="11" t="str">
        <f aca="false" t="array" ref="F117:F117">IF(D117="","",IFERROR(INDEX('CLM &amp; IM Mapping'!$C$2:$C$270,MATCH(TRIM(D117),'CLM &amp; IM Mapping'!$A$2:$A$270,0)),"Not Mapped"))</f>
        <v>Arivind S</v>
      </c>
      <c r="G117" s="11" t="s">
        <v>34</v>
      </c>
      <c r="H117" s="10" t="n">
        <v>-5122</v>
      </c>
      <c r="I117" s="10" t="n">
        <v>9454</v>
      </c>
      <c r="J117" s="10" t="n">
        <v>0</v>
      </c>
      <c r="K117" s="10" t="n">
        <v>0</v>
      </c>
      <c r="L117" s="10" t="n">
        <v>0</v>
      </c>
      <c r="M117" s="10" t="n">
        <v>0</v>
      </c>
      <c r="N117" s="10" t="n">
        <v>0</v>
      </c>
      <c r="O117" s="10" t="n">
        <v>0</v>
      </c>
      <c r="P117" s="10" t="n">
        <v>4332</v>
      </c>
      <c r="Q117" s="17"/>
      <c r="R117" s="11"/>
      <c r="S117" s="21"/>
      <c r="T117" s="15"/>
      <c r="U117" s="14" t="s">
        <v>75</v>
      </c>
      <c r="V117" s="10" t="n">
        <v>4428</v>
      </c>
      <c r="W117" s="8"/>
      <c r="X117" s="8"/>
      <c r="Y117" s="8"/>
      <c r="Z117" s="8"/>
      <c r="AA117" s="8"/>
      <c r="AB117" s="8"/>
      <c r="AC117" s="8"/>
    </row>
    <row r="118" customFormat="false" ht="15" hidden="false" customHeight="false" outlineLevel="0" collapsed="false">
      <c r="A118" s="9" t="n">
        <v>46303</v>
      </c>
      <c r="B118" s="10" t="s">
        <v>22</v>
      </c>
      <c r="C118" s="11" t="s">
        <v>23</v>
      </c>
      <c r="D118" s="10" t="s">
        <v>317</v>
      </c>
      <c r="E118" s="11" t="str">
        <f aca="false" t="array" ref="E118:E118">IF(D118="","",IFERROR(INDEX('CLM &amp; IM Mapping'!$B$2:$B$270,MATCH(TRIM(D118),'CLM &amp; IM Mapping'!$A$2:$A$270,0)),"Not Mapped"))</f>
        <v>Akshay P</v>
      </c>
      <c r="F118" s="11" t="str">
        <f aca="false" t="array" ref="F118:F118">IF(D118="","",IFERROR(INDEX('CLM &amp; IM Mapping'!$C$2:$C$270,MATCH(TRIM(D118),'CLM &amp; IM Mapping'!$A$2:$A$270,0)),"Not Mapped"))</f>
        <v>Srittam Dhal</v>
      </c>
      <c r="G118" s="11" t="s">
        <v>34</v>
      </c>
      <c r="H118" s="10" t="n">
        <v>-7256</v>
      </c>
      <c r="I118" s="10" t="n">
        <v>9465</v>
      </c>
      <c r="J118" s="10" t="n">
        <v>0</v>
      </c>
      <c r="K118" s="10" t="n">
        <v>0</v>
      </c>
      <c r="L118" s="10" t="n">
        <v>2002</v>
      </c>
      <c r="M118" s="10" t="n">
        <v>0</v>
      </c>
      <c r="N118" s="10" t="n">
        <v>0</v>
      </c>
      <c r="O118" s="10" t="n">
        <v>0</v>
      </c>
      <c r="P118" s="10" t="n">
        <v>4210</v>
      </c>
      <c r="Q118" s="17"/>
      <c r="R118" s="11"/>
      <c r="S118" s="12" t="s">
        <v>236</v>
      </c>
      <c r="T118" s="15"/>
      <c r="U118" s="14" t="s">
        <v>318</v>
      </c>
      <c r="V118" s="10" t="n">
        <v>34640</v>
      </c>
      <c r="W118" s="8"/>
      <c r="X118" s="8"/>
      <c r="Y118" s="8"/>
      <c r="Z118" s="8"/>
      <c r="AA118" s="8"/>
      <c r="AB118" s="8"/>
      <c r="AC118" s="8"/>
    </row>
    <row r="119" customFormat="false" ht="15" hidden="false" customHeight="false" outlineLevel="0" collapsed="false">
      <c r="A119" s="9" t="n">
        <v>46303</v>
      </c>
      <c r="B119" s="10" t="s">
        <v>22</v>
      </c>
      <c r="C119" s="11" t="s">
        <v>303</v>
      </c>
      <c r="D119" s="10" t="s">
        <v>319</v>
      </c>
      <c r="E119" s="11" t="str">
        <f aca="false" t="array" ref="E119:E119">IF(D119="","",IFERROR(INDEX('CLM &amp; IM Mapping'!$B$2:$B$270,MATCH(TRIM(D119),'CLM &amp; IM Mapping'!$A$2:$A$270,0)),"Not Mapped"))</f>
        <v>John Britto</v>
      </c>
      <c r="F119" s="11" t="str">
        <f aca="false" t="array" ref="F119:F119">IF(D119="","",IFERROR(INDEX('CLM &amp; IM Mapping'!$C$2:$C$270,MATCH(TRIM(D119),'CLM &amp; IM Mapping'!$A$2:$A$270,0)),"Not Mapped"))</f>
        <v>Aravind S</v>
      </c>
      <c r="G119" s="11" t="s">
        <v>34</v>
      </c>
      <c r="H119" s="10" t="n">
        <v>2784</v>
      </c>
      <c r="I119" s="10" t="n">
        <v>1073</v>
      </c>
      <c r="J119" s="10" t="n">
        <v>0</v>
      </c>
      <c r="K119" s="10" t="n">
        <v>0</v>
      </c>
      <c r="L119" s="10" t="n">
        <v>295</v>
      </c>
      <c r="M119" s="10" t="n">
        <v>0</v>
      </c>
      <c r="N119" s="10" t="n">
        <v>0</v>
      </c>
      <c r="O119" s="10" t="n">
        <v>0</v>
      </c>
      <c r="P119" s="10" t="n">
        <v>4151</v>
      </c>
      <c r="Q119" s="17"/>
      <c r="R119" s="11"/>
      <c r="S119" s="21"/>
      <c r="T119" s="15"/>
      <c r="U119" s="14" t="s">
        <v>253</v>
      </c>
      <c r="V119" s="10" t="n">
        <v>5981</v>
      </c>
      <c r="W119" s="8"/>
      <c r="X119" s="8"/>
      <c r="Y119" s="8"/>
      <c r="Z119" s="8"/>
      <c r="AA119" s="8"/>
      <c r="AB119" s="8"/>
      <c r="AC119" s="8"/>
    </row>
    <row r="120" customFormat="false" ht="15" hidden="false" customHeight="false" outlineLevel="0" collapsed="false">
      <c r="A120" s="9" t="n">
        <v>46303</v>
      </c>
      <c r="B120" s="10" t="s">
        <v>22</v>
      </c>
      <c r="C120" s="11" t="s">
        <v>23</v>
      </c>
      <c r="D120" s="10" t="s">
        <v>320</v>
      </c>
      <c r="E120" s="11" t="str">
        <f aca="false" t="array" ref="E120:E120">IF(D120="","",IFERROR(INDEX('CLM &amp; IM Mapping'!$B$2:$B$270,MATCH(TRIM(D120),'CLM &amp; IM Mapping'!$A$2:$A$270,0)),"Not Mapped"))</f>
        <v>Ashwath S</v>
      </c>
      <c r="F120" s="11" t="str">
        <f aca="false" t="array" ref="F120:F120">IF(D120="","",IFERROR(INDEX('CLM &amp; IM Mapping'!$C$2:$C$270,MATCH(TRIM(D120),'CLM &amp; IM Mapping'!$A$2:$A$270,0)),"Not Mapped"))</f>
        <v>Kantha Kumar</v>
      </c>
      <c r="G120" s="11" t="s">
        <v>34</v>
      </c>
      <c r="H120" s="10" t="n">
        <v>-6644</v>
      </c>
      <c r="I120" s="10" t="n">
        <v>7146</v>
      </c>
      <c r="J120" s="10" t="n">
        <v>1302</v>
      </c>
      <c r="K120" s="10" t="n">
        <v>2188</v>
      </c>
      <c r="L120" s="10" t="n">
        <v>0</v>
      </c>
      <c r="M120" s="10" t="n">
        <v>0</v>
      </c>
      <c r="N120" s="10" t="n">
        <v>0</v>
      </c>
      <c r="O120" s="10" t="n">
        <v>0</v>
      </c>
      <c r="P120" s="10" t="n">
        <v>3992</v>
      </c>
      <c r="Q120" s="17"/>
      <c r="R120" s="11"/>
      <c r="S120" s="21"/>
      <c r="T120" s="15"/>
      <c r="U120" s="14" t="s">
        <v>321</v>
      </c>
      <c r="V120" s="10" t="n">
        <v>4289</v>
      </c>
      <c r="W120" s="8"/>
      <c r="X120" s="8"/>
      <c r="Y120" s="8"/>
      <c r="Z120" s="8"/>
      <c r="AA120" s="8"/>
      <c r="AB120" s="8"/>
      <c r="AC120" s="8"/>
    </row>
    <row r="121" customFormat="false" ht="15" hidden="false" customHeight="false" outlineLevel="0" collapsed="false">
      <c r="A121" s="9" t="n">
        <v>46303</v>
      </c>
      <c r="B121" s="10" t="s">
        <v>22</v>
      </c>
      <c r="C121" s="11" t="s">
        <v>23</v>
      </c>
      <c r="D121" s="10" t="s">
        <v>322</v>
      </c>
      <c r="E121" s="11" t="str">
        <f aca="false" t="array" ref="E121:E121">IF(D121="","",IFERROR(INDEX('CLM &amp; IM Mapping'!$B$2:$B$270,MATCH(TRIM(D121),'CLM &amp; IM Mapping'!$A$2:$A$270,0)),"Not Mapped"))</f>
        <v>Ashwath S</v>
      </c>
      <c r="F121" s="11" t="str">
        <f aca="false" t="array" ref="F121:F121">IF(D121="","",IFERROR(INDEX('CLM &amp; IM Mapping'!$C$2:$C$270,MATCH(TRIM(D121),'CLM &amp; IM Mapping'!$A$2:$A$270,0)),"Not Mapped"))</f>
        <v>Kantha Kumar</v>
      </c>
      <c r="G121" s="11" t="s">
        <v>34</v>
      </c>
      <c r="H121" s="10" t="n">
        <v>-1423</v>
      </c>
      <c r="I121" s="10" t="n">
        <v>3189</v>
      </c>
      <c r="J121" s="10" t="n">
        <v>0</v>
      </c>
      <c r="K121" s="10" t="n">
        <v>1771</v>
      </c>
      <c r="L121" s="10" t="n">
        <v>99</v>
      </c>
      <c r="M121" s="10" t="n">
        <v>0</v>
      </c>
      <c r="N121" s="10" t="n">
        <v>0</v>
      </c>
      <c r="O121" s="10" t="n">
        <v>0</v>
      </c>
      <c r="P121" s="10" t="n">
        <v>3636</v>
      </c>
      <c r="Q121" s="17"/>
      <c r="R121" s="11"/>
      <c r="S121" s="21"/>
      <c r="T121" s="15"/>
      <c r="U121" s="14" t="s">
        <v>52</v>
      </c>
      <c r="V121" s="10" t="n">
        <v>20759</v>
      </c>
      <c r="W121" s="8"/>
      <c r="X121" s="8"/>
      <c r="Y121" s="8"/>
      <c r="Z121" s="8"/>
      <c r="AA121" s="8"/>
      <c r="AB121" s="8"/>
      <c r="AC121" s="8"/>
    </row>
    <row r="122" customFormat="false" ht="15" hidden="false" customHeight="false" outlineLevel="0" collapsed="false">
      <c r="A122" s="9" t="n">
        <v>46303</v>
      </c>
      <c r="B122" s="10" t="s">
        <v>22</v>
      </c>
      <c r="C122" s="11" t="s">
        <v>221</v>
      </c>
      <c r="D122" s="11" t="s">
        <v>323</v>
      </c>
      <c r="E122" s="11" t="str">
        <f aca="false" t="array" ref="E122:E122">IF(D122="","",IFERROR(INDEX('CLM &amp; IM Mapping'!$B$2:$B$270,MATCH(TRIM(D122),'CLM &amp; IM Mapping'!$A$2:$A$270,0)),"Not Mapped"))</f>
        <v>Vishnu V</v>
      </c>
      <c r="F122" s="11" t="str">
        <f aca="false" t="array" ref="F122:F122">IF(D122="","",IFERROR(INDEX('CLM &amp; IM Mapping'!$C$2:$C$270,MATCH(TRIM(D122),'CLM &amp; IM Mapping'!$A$2:$A$270,0)),"Not Mapped"))</f>
        <v>Arivind S</v>
      </c>
      <c r="G122" s="11" t="s">
        <v>34</v>
      </c>
      <c r="H122" s="10" t="n">
        <v>632</v>
      </c>
      <c r="I122" s="10" t="n">
        <v>2776</v>
      </c>
      <c r="J122" s="10" t="n">
        <v>0</v>
      </c>
      <c r="K122" s="10" t="n">
        <v>0</v>
      </c>
      <c r="L122" s="10" t="n">
        <v>0</v>
      </c>
      <c r="M122" s="10" t="n">
        <v>0</v>
      </c>
      <c r="N122" s="10" t="n">
        <v>0</v>
      </c>
      <c r="O122" s="10" t="n">
        <v>0</v>
      </c>
      <c r="P122" s="10" t="n">
        <v>3408</v>
      </c>
      <c r="Q122" s="17"/>
      <c r="R122" s="11"/>
      <c r="S122" s="21"/>
      <c r="T122" s="15"/>
      <c r="U122" s="14" t="s">
        <v>324</v>
      </c>
      <c r="V122" s="10" t="n">
        <v>12633</v>
      </c>
      <c r="W122" s="8"/>
      <c r="X122" s="8"/>
      <c r="Y122" s="8"/>
      <c r="Z122" s="8"/>
      <c r="AA122" s="8"/>
      <c r="AB122" s="8"/>
      <c r="AC122" s="8"/>
    </row>
    <row r="123" customFormat="false" ht="15" hidden="false" customHeight="false" outlineLevel="0" collapsed="false">
      <c r="A123" s="9" t="n">
        <v>46303</v>
      </c>
      <c r="B123" s="10" t="s">
        <v>22</v>
      </c>
      <c r="C123" s="11" t="s">
        <v>276</v>
      </c>
      <c r="D123" s="10" t="s">
        <v>325</v>
      </c>
      <c r="E123" s="11" t="str">
        <f aca="false" t="array" ref="E123:E123">IF(D123="","",IFERROR(INDEX('CLM &amp; IM Mapping'!$B$2:$B$270,MATCH(TRIM(D123),'CLM &amp; IM Mapping'!$A$2:$A$270,0)),"Not Mapped"))</f>
        <v>Santhosha M</v>
      </c>
      <c r="F123" s="11" t="str">
        <f aca="false" t="array" ref="F123:F123">IF(D123="","",IFERROR(INDEX('CLM &amp; IM Mapping'!$C$2:$C$270,MATCH(TRIM(D123),'CLM &amp; IM Mapping'!$A$2:$A$270,0)),"Not Mapped"))</f>
        <v>Aravind S</v>
      </c>
      <c r="G123" s="11" t="s">
        <v>34</v>
      </c>
      <c r="H123" s="10" t="n">
        <v>3322</v>
      </c>
      <c r="I123" s="10" t="n">
        <v>0</v>
      </c>
      <c r="J123" s="10" t="n">
        <v>0</v>
      </c>
      <c r="K123" s="10" t="n">
        <v>0</v>
      </c>
      <c r="L123" s="10" t="n">
        <v>70</v>
      </c>
      <c r="M123" s="10" t="n">
        <v>0</v>
      </c>
      <c r="N123" s="10" t="n">
        <v>0</v>
      </c>
      <c r="O123" s="10" t="n">
        <v>0</v>
      </c>
      <c r="P123" s="10" t="n">
        <v>3391</v>
      </c>
      <c r="Q123" s="17"/>
      <c r="R123" s="11"/>
      <c r="S123" s="21"/>
      <c r="T123" s="15"/>
      <c r="U123" s="14" t="s">
        <v>326</v>
      </c>
      <c r="V123" s="10" t="n">
        <v>3812</v>
      </c>
      <c r="W123" s="8"/>
      <c r="X123" s="8"/>
      <c r="Y123" s="8"/>
      <c r="Z123" s="8"/>
      <c r="AA123" s="8"/>
      <c r="AB123" s="8"/>
      <c r="AC123" s="8"/>
    </row>
    <row r="124" customFormat="false" ht="15" hidden="false" customHeight="false" outlineLevel="0" collapsed="false">
      <c r="A124" s="9" t="n">
        <v>46303</v>
      </c>
      <c r="B124" s="10" t="s">
        <v>22</v>
      </c>
      <c r="C124" s="11" t="s">
        <v>23</v>
      </c>
      <c r="D124" s="11" t="s">
        <v>327</v>
      </c>
      <c r="E124" s="11" t="str">
        <f aca="false" t="array" ref="E124:E124">IF(D124="","",IFERROR(INDEX('CLM &amp; IM Mapping'!$B$2:$B$270,MATCH(TRIM(D124),'CLM &amp; IM Mapping'!$A$2:$A$270,0)),"Not Mapped"))</f>
        <v>Suhas N</v>
      </c>
      <c r="F124" s="11" t="str">
        <f aca="false" t="array" ref="F124:F124">IF(D124="","",IFERROR(INDEX('CLM &amp; IM Mapping'!$C$2:$C$270,MATCH(TRIM(D124),'CLM &amp; IM Mapping'!$A$2:$A$270,0)),"Not Mapped"))</f>
        <v>Aravind S</v>
      </c>
      <c r="G124" s="11" t="s">
        <v>34</v>
      </c>
      <c r="H124" s="10" t="n">
        <v>2986</v>
      </c>
      <c r="I124" s="10" t="n">
        <v>0</v>
      </c>
      <c r="J124" s="10" t="n">
        <v>0</v>
      </c>
      <c r="K124" s="10" t="n">
        <v>0</v>
      </c>
      <c r="L124" s="10" t="n">
        <v>144</v>
      </c>
      <c r="M124" s="10" t="n">
        <v>0</v>
      </c>
      <c r="N124" s="10" t="n">
        <v>0</v>
      </c>
      <c r="O124" s="10" t="n">
        <v>0</v>
      </c>
      <c r="P124" s="10" t="n">
        <v>3130</v>
      </c>
      <c r="Q124" s="17"/>
      <c r="R124" s="11"/>
      <c r="S124" s="21"/>
      <c r="T124" s="15"/>
      <c r="U124" s="14" t="s">
        <v>328</v>
      </c>
      <c r="V124" s="10" t="n">
        <v>6682</v>
      </c>
      <c r="W124" s="8"/>
      <c r="X124" s="8"/>
      <c r="Y124" s="8"/>
      <c r="Z124" s="8"/>
      <c r="AA124" s="8"/>
      <c r="AB124" s="8"/>
      <c r="AC124" s="8"/>
    </row>
    <row r="125" customFormat="false" ht="15" hidden="false" customHeight="false" outlineLevel="0" collapsed="false">
      <c r="A125" s="9" t="n">
        <v>46303</v>
      </c>
      <c r="B125" s="10" t="s">
        <v>22</v>
      </c>
      <c r="C125" s="11" t="s">
        <v>23</v>
      </c>
      <c r="D125" s="10" t="s">
        <v>329</v>
      </c>
      <c r="E125" s="11" t="str">
        <f aca="false" t="array" ref="E125:E125">IF(D125="","",IFERROR(INDEX('CLM &amp; IM Mapping'!$B$2:$B$270,MATCH(TRIM(D125),'CLM &amp; IM Mapping'!$A$2:$A$270,0)),"Not Mapped"))</f>
        <v>Ashwath S</v>
      </c>
      <c r="F125" s="11" t="str">
        <f aca="false" t="array" ref="F125:F125">IF(D125="","",IFERROR(INDEX('CLM &amp; IM Mapping'!$C$2:$C$270,MATCH(TRIM(D125),'CLM &amp; IM Mapping'!$A$2:$A$270,0)),"Not Mapped"))</f>
        <v>Kantha Kumar</v>
      </c>
      <c r="G125" s="11" t="s">
        <v>34</v>
      </c>
      <c r="H125" s="10" t="n">
        <v>1551</v>
      </c>
      <c r="I125" s="10" t="n">
        <v>792</v>
      </c>
      <c r="J125" s="10" t="n">
        <v>0</v>
      </c>
      <c r="K125" s="10" t="n">
        <v>0</v>
      </c>
      <c r="L125" s="10" t="n">
        <v>426</v>
      </c>
      <c r="M125" s="10" t="n">
        <v>0</v>
      </c>
      <c r="N125" s="10" t="n">
        <v>0</v>
      </c>
      <c r="O125" s="10" t="n">
        <v>0</v>
      </c>
      <c r="P125" s="10" t="n">
        <v>2770</v>
      </c>
      <c r="Q125" s="17"/>
      <c r="R125" s="11"/>
      <c r="S125" s="21"/>
      <c r="T125" s="15"/>
      <c r="U125" s="14" t="s">
        <v>330</v>
      </c>
      <c r="V125" s="10" t="n">
        <v>5520</v>
      </c>
      <c r="W125" s="8"/>
      <c r="X125" s="8"/>
      <c r="Y125" s="8"/>
      <c r="Z125" s="8"/>
      <c r="AA125" s="8"/>
      <c r="AB125" s="8"/>
      <c r="AC125" s="8"/>
    </row>
    <row r="126" customFormat="false" ht="15" hidden="false" customHeight="false" outlineLevel="0" collapsed="false">
      <c r="A126" s="9" t="n">
        <v>46303</v>
      </c>
      <c r="B126" s="10" t="s">
        <v>22</v>
      </c>
      <c r="C126" s="11" t="s">
        <v>23</v>
      </c>
      <c r="D126" s="10" t="s">
        <v>331</v>
      </c>
      <c r="E126" s="11" t="str">
        <f aca="false" t="array" ref="E126:E126">IF(D126="","",IFERROR(INDEX('CLM &amp; IM Mapping'!$B$2:$B$270,MATCH(TRIM(D126),'CLM &amp; IM Mapping'!$A$2:$A$270,0)),"Not Mapped"))</f>
        <v>Vijay M</v>
      </c>
      <c r="F126" s="11" t="str">
        <f aca="false" t="array" ref="F126:F126">IF(D126="","",IFERROR(INDEX('CLM &amp; IM Mapping'!$C$2:$C$270,MATCH(TRIM(D126),'CLM &amp; IM Mapping'!$A$2:$A$270,0)),"Not Mapped"))</f>
        <v>Kantha Kumar</v>
      </c>
      <c r="G126" s="11" t="s">
        <v>34</v>
      </c>
      <c r="H126" s="10" t="n">
        <v>-17737</v>
      </c>
      <c r="I126" s="10" t="n">
        <v>18120</v>
      </c>
      <c r="J126" s="10" t="n">
        <v>166</v>
      </c>
      <c r="K126" s="10" t="n">
        <v>1924</v>
      </c>
      <c r="L126" s="10" t="n">
        <v>232</v>
      </c>
      <c r="M126" s="10" t="n">
        <v>0</v>
      </c>
      <c r="N126" s="10" t="n">
        <v>0</v>
      </c>
      <c r="O126" s="10" t="n">
        <v>0</v>
      </c>
      <c r="P126" s="10" t="n">
        <v>2706</v>
      </c>
      <c r="Q126" s="17"/>
      <c r="R126" s="11"/>
      <c r="S126" s="21"/>
      <c r="T126" s="15"/>
      <c r="U126" s="14" t="s">
        <v>332</v>
      </c>
      <c r="V126" s="10" t="n">
        <v>14672</v>
      </c>
      <c r="W126" s="8"/>
      <c r="X126" s="8"/>
      <c r="Y126" s="8"/>
      <c r="Z126" s="8"/>
      <c r="AA126" s="8"/>
      <c r="AB126" s="8"/>
      <c r="AC126" s="8"/>
    </row>
    <row r="127" customFormat="false" ht="15" hidden="false" customHeight="false" outlineLevel="0" collapsed="false">
      <c r="A127" s="9" t="n">
        <v>46303</v>
      </c>
      <c r="B127" s="10" t="s">
        <v>22</v>
      </c>
      <c r="C127" s="11" t="s">
        <v>23</v>
      </c>
      <c r="D127" s="11" t="s">
        <v>333</v>
      </c>
      <c r="E127" s="11" t="str">
        <f aca="false" t="array" ref="E127:E127">IF(D127="","",IFERROR(INDEX('CLM &amp; IM Mapping'!$B$2:$B$270,MATCH(TRIM(D127),'CLM &amp; IM Mapping'!$A$2:$A$270,0)),"Not Mapped"))</f>
        <v>Basil Scariya</v>
      </c>
      <c r="F127" s="11" t="str">
        <f aca="false" t="array" ref="F127:F127">IF(D127="","",IFERROR(INDEX('CLM &amp; IM Mapping'!$C$2:$C$270,MATCH(TRIM(D127),'CLM &amp; IM Mapping'!$A$2:$A$270,0)),"Not Mapped"))</f>
        <v>Prakash BS</v>
      </c>
      <c r="G127" s="11" t="s">
        <v>34</v>
      </c>
      <c r="H127" s="10" t="n">
        <v>-5301</v>
      </c>
      <c r="I127" s="10" t="n">
        <v>7662</v>
      </c>
      <c r="J127" s="10" t="n">
        <v>0</v>
      </c>
      <c r="K127" s="10" t="n">
        <v>98</v>
      </c>
      <c r="L127" s="10" t="n">
        <v>222</v>
      </c>
      <c r="M127" s="10" t="n">
        <v>0</v>
      </c>
      <c r="N127" s="10" t="n">
        <v>0</v>
      </c>
      <c r="O127" s="10" t="n">
        <v>0</v>
      </c>
      <c r="P127" s="10" t="n">
        <v>2681</v>
      </c>
      <c r="Q127" s="17"/>
      <c r="R127" s="11"/>
      <c r="S127" s="12" t="s">
        <v>255</v>
      </c>
      <c r="T127" s="15"/>
      <c r="U127" s="14" t="s">
        <v>220</v>
      </c>
      <c r="V127" s="10" t="n">
        <v>8830</v>
      </c>
      <c r="W127" s="8"/>
      <c r="X127" s="8"/>
      <c r="Y127" s="8"/>
      <c r="Z127" s="8"/>
      <c r="AA127" s="8"/>
      <c r="AB127" s="8"/>
      <c r="AC127" s="8"/>
    </row>
    <row r="128" customFormat="false" ht="15" hidden="false" customHeight="false" outlineLevel="0" collapsed="false">
      <c r="A128" s="9" t="n">
        <v>46303</v>
      </c>
      <c r="B128" s="10" t="s">
        <v>22</v>
      </c>
      <c r="C128" s="11" t="s">
        <v>23</v>
      </c>
      <c r="D128" s="10" t="s">
        <v>334</v>
      </c>
      <c r="E128" s="11" t="str">
        <f aca="false" t="array" ref="E128:E128">IF(D128="","",IFERROR(INDEX('CLM &amp; IM Mapping'!$B$2:$B$270,MATCH(TRIM(D128),'CLM &amp; IM Mapping'!$A$2:$A$270,0)),"Not Mapped"))</f>
        <v>Akshay P</v>
      </c>
      <c r="F128" s="11" t="str">
        <f aca="false" t="array" ref="F128:F128">IF(D128="","",IFERROR(INDEX('CLM &amp; IM Mapping'!$C$2:$C$270,MATCH(TRIM(D128),'CLM &amp; IM Mapping'!$A$2:$A$270,0)),"Not Mapped"))</f>
        <v>Srittam Dhal</v>
      </c>
      <c r="G128" s="11" t="s">
        <v>34</v>
      </c>
      <c r="H128" s="10" t="n">
        <v>1510</v>
      </c>
      <c r="I128" s="10" t="n">
        <v>33</v>
      </c>
      <c r="J128" s="10" t="n">
        <v>38</v>
      </c>
      <c r="K128" s="10" t="n">
        <v>94</v>
      </c>
      <c r="L128" s="10" t="n">
        <v>658</v>
      </c>
      <c r="M128" s="10" t="n">
        <v>0</v>
      </c>
      <c r="N128" s="10" t="n">
        <v>0</v>
      </c>
      <c r="O128" s="10" t="n">
        <v>0</v>
      </c>
      <c r="P128" s="10" t="n">
        <v>2332</v>
      </c>
      <c r="Q128" s="17"/>
      <c r="R128" s="11"/>
      <c r="S128" s="12" t="s">
        <v>236</v>
      </c>
      <c r="T128" s="15"/>
      <c r="U128" s="14" t="s">
        <v>335</v>
      </c>
      <c r="V128" s="10" t="n">
        <v>3832</v>
      </c>
      <c r="W128" s="8"/>
      <c r="X128" s="8"/>
      <c r="Y128" s="8"/>
      <c r="Z128" s="8"/>
      <c r="AA128" s="8"/>
      <c r="AB128" s="8"/>
      <c r="AC128" s="8"/>
    </row>
    <row r="129" customFormat="false" ht="15" hidden="false" customHeight="false" outlineLevel="0" collapsed="false">
      <c r="A129" s="9" t="n">
        <v>46303</v>
      </c>
      <c r="B129" s="10" t="s">
        <v>22</v>
      </c>
      <c r="C129" s="11" t="s">
        <v>336</v>
      </c>
      <c r="D129" s="10" t="s">
        <v>337</v>
      </c>
      <c r="E129" s="11" t="str">
        <f aca="false" t="array" ref="E129:E129">IF(D129="","",IFERROR(INDEX('CLM &amp; IM Mapping'!$B$2:$B$270,MATCH(TRIM(D129),'CLM &amp; IM Mapping'!$A$2:$A$270,0)),"Not Mapped"))</f>
        <v>Akshay P</v>
      </c>
      <c r="F129" s="11" t="str">
        <f aca="false" t="array" ref="F129:F129">IF(D129="","",IFERROR(INDEX('CLM &amp; IM Mapping'!$C$2:$C$270,MATCH(TRIM(D129),'CLM &amp; IM Mapping'!$A$2:$A$270,0)),"Not Mapped"))</f>
        <v>Srittam Dhal</v>
      </c>
      <c r="G129" s="11" t="s">
        <v>34</v>
      </c>
      <c r="H129" s="10" t="n">
        <v>1775</v>
      </c>
      <c r="I129" s="10" t="n">
        <v>511</v>
      </c>
      <c r="J129" s="10" t="n">
        <v>0</v>
      </c>
      <c r="K129" s="10" t="n">
        <v>0</v>
      </c>
      <c r="L129" s="10" t="n">
        <v>0</v>
      </c>
      <c r="M129" s="10" t="n">
        <v>0</v>
      </c>
      <c r="N129" s="10" t="n">
        <v>0</v>
      </c>
      <c r="O129" s="10" t="n">
        <v>0</v>
      </c>
      <c r="P129" s="10" t="n">
        <v>2287</v>
      </c>
      <c r="Q129" s="17"/>
      <c r="R129" s="11"/>
      <c r="S129" s="12" t="s">
        <v>236</v>
      </c>
      <c r="T129" s="15"/>
      <c r="U129" s="14" t="s">
        <v>338</v>
      </c>
      <c r="V129" s="10" t="n">
        <v>3585</v>
      </c>
      <c r="W129" s="8"/>
      <c r="X129" s="8"/>
      <c r="Y129" s="8"/>
      <c r="Z129" s="8"/>
      <c r="AA129" s="8"/>
      <c r="AB129" s="8"/>
      <c r="AC129" s="8"/>
    </row>
    <row r="130" customFormat="false" ht="15" hidden="false" customHeight="false" outlineLevel="0" collapsed="false">
      <c r="A130" s="9" t="n">
        <v>46303</v>
      </c>
      <c r="B130" s="10" t="s">
        <v>22</v>
      </c>
      <c r="C130" s="11" t="s">
        <v>23</v>
      </c>
      <c r="D130" s="10" t="s">
        <v>339</v>
      </c>
      <c r="E130" s="11" t="str">
        <f aca="false" t="array" ref="E130:E130">IF(D130="","",IFERROR(INDEX('CLM &amp; IM Mapping'!$B$2:$B$270,MATCH(TRIM(D130),'CLM &amp; IM Mapping'!$A$2:$A$270,0)),"Not Mapped"))</f>
        <v>Ravishankar gowda</v>
      </c>
      <c r="F130" s="11" t="str">
        <f aca="false" t="array" ref="F130:F130">IF(D130="","",IFERROR(INDEX('CLM &amp; IM Mapping'!$C$2:$C$270,MATCH(TRIM(D130),'CLM &amp; IM Mapping'!$A$2:$A$270,0)),"Not Mapped"))</f>
        <v>Kishor K</v>
      </c>
      <c r="G130" s="11" t="s">
        <v>34</v>
      </c>
      <c r="H130" s="10" t="n">
        <v>-1992</v>
      </c>
      <c r="I130" s="10" t="n">
        <v>3967</v>
      </c>
      <c r="J130" s="10" t="n">
        <v>0</v>
      </c>
      <c r="K130" s="10" t="n">
        <v>0</v>
      </c>
      <c r="L130" s="10" t="n">
        <v>0</v>
      </c>
      <c r="M130" s="10" t="n">
        <v>0</v>
      </c>
      <c r="N130" s="10" t="n">
        <v>0</v>
      </c>
      <c r="O130" s="10" t="n">
        <v>0</v>
      </c>
      <c r="P130" s="10" t="n">
        <v>1975</v>
      </c>
      <c r="Q130" s="17"/>
      <c r="R130" s="11"/>
      <c r="S130" s="12" t="s">
        <v>340</v>
      </c>
      <c r="T130" s="15" t="n">
        <v>5000</v>
      </c>
      <c r="U130" s="14" t="s">
        <v>341</v>
      </c>
      <c r="V130" s="10" t="n">
        <v>12347</v>
      </c>
      <c r="W130" s="8"/>
      <c r="X130" s="8"/>
      <c r="Y130" s="8"/>
      <c r="Z130" s="8"/>
      <c r="AA130" s="8"/>
      <c r="AB130" s="8"/>
      <c r="AC130" s="8"/>
    </row>
    <row r="131" customFormat="false" ht="15" hidden="false" customHeight="false" outlineLevel="0" collapsed="false">
      <c r="A131" s="9" t="n">
        <v>46303</v>
      </c>
      <c r="B131" s="10" t="s">
        <v>22</v>
      </c>
      <c r="C131" s="11" t="s">
        <v>23</v>
      </c>
      <c r="D131" s="10" t="s">
        <v>342</v>
      </c>
      <c r="E131" s="11" t="str">
        <f aca="false" t="array" ref="E131:E131">IF(D131="","",IFERROR(INDEX('CLM &amp; IM Mapping'!$B$2:$B$270,MATCH(TRIM(D131),'CLM &amp; IM Mapping'!$A$2:$A$270,0)),"Not Mapped"))</f>
        <v>Saddam Hussain</v>
      </c>
      <c r="F131" s="11" t="str">
        <f aca="false" t="array" ref="F131:F131">IF(D131="","",IFERROR(INDEX('CLM &amp; IM Mapping'!$C$2:$C$270,MATCH(TRIM(D131),'CLM &amp; IM Mapping'!$A$2:$A$270,0)),"Not Mapped"))</f>
        <v>Un Mapped</v>
      </c>
      <c r="G131" s="11" t="s">
        <v>34</v>
      </c>
      <c r="H131" s="10" t="n">
        <v>-5011</v>
      </c>
      <c r="I131" s="10" t="n">
        <v>6387</v>
      </c>
      <c r="J131" s="10" t="n">
        <v>0</v>
      </c>
      <c r="K131" s="10" t="n">
        <v>0</v>
      </c>
      <c r="L131" s="10" t="n">
        <v>441</v>
      </c>
      <c r="M131" s="10" t="n">
        <v>0</v>
      </c>
      <c r="N131" s="10" t="n">
        <v>0</v>
      </c>
      <c r="O131" s="10" t="n">
        <v>0</v>
      </c>
      <c r="P131" s="10" t="n">
        <v>1817</v>
      </c>
      <c r="Q131" s="17"/>
      <c r="R131" s="11"/>
      <c r="S131" s="21"/>
      <c r="T131" s="15"/>
      <c r="U131" s="14" t="s">
        <v>343</v>
      </c>
      <c r="V131" s="10" t="n">
        <v>4174</v>
      </c>
      <c r="W131" s="8"/>
      <c r="X131" s="8"/>
      <c r="Y131" s="8"/>
      <c r="Z131" s="8"/>
      <c r="AA131" s="8"/>
      <c r="AB131" s="8"/>
      <c r="AC131" s="8"/>
    </row>
    <row r="132" customFormat="false" ht="15" hidden="false" customHeight="false" outlineLevel="0" collapsed="false">
      <c r="A132" s="9" t="n">
        <v>46303</v>
      </c>
      <c r="B132" s="10" t="s">
        <v>22</v>
      </c>
      <c r="C132" s="11" t="s">
        <v>23</v>
      </c>
      <c r="D132" s="10" t="s">
        <v>344</v>
      </c>
      <c r="E132" s="11" t="str">
        <f aca="false" t="array" ref="E132:E132">IF(D132="","",IFERROR(INDEX('CLM &amp; IM Mapping'!$B$2:$B$270,MATCH(TRIM(D132),'CLM &amp; IM Mapping'!$A$2:$A$270,0)),"Not Mapped"))</f>
        <v>Arun Raj</v>
      </c>
      <c r="F132" s="11" t="str">
        <f aca="false" t="array" ref="F132:F132">IF(D132="","",IFERROR(INDEX('CLM &amp; IM Mapping'!$C$2:$C$270,MATCH(TRIM(D132),'CLM &amp; IM Mapping'!$A$2:$A$270,0)),"Not Mapped"))</f>
        <v>Simon Manoharan</v>
      </c>
      <c r="G132" s="11" t="s">
        <v>25</v>
      </c>
      <c r="H132" s="10" t="n">
        <v>-20840</v>
      </c>
      <c r="I132" s="10" t="n">
        <v>22589</v>
      </c>
      <c r="J132" s="10" t="n">
        <v>0</v>
      </c>
      <c r="K132" s="10" t="n">
        <v>0</v>
      </c>
      <c r="L132" s="10" t="n">
        <v>33</v>
      </c>
      <c r="M132" s="10" t="n">
        <v>0</v>
      </c>
      <c r="N132" s="10" t="n">
        <v>0</v>
      </c>
      <c r="O132" s="10" t="n">
        <v>0</v>
      </c>
      <c r="P132" s="10" t="n">
        <v>1782</v>
      </c>
      <c r="Q132" s="17"/>
      <c r="R132" s="11"/>
      <c r="S132" s="21"/>
      <c r="T132" s="15"/>
      <c r="U132" s="14" t="s">
        <v>313</v>
      </c>
      <c r="V132" s="10" t="n">
        <v>14300</v>
      </c>
      <c r="W132" s="8"/>
      <c r="X132" s="8"/>
      <c r="Y132" s="8"/>
      <c r="Z132" s="8"/>
      <c r="AA132" s="8"/>
      <c r="AB132" s="8"/>
      <c r="AC132" s="8"/>
    </row>
    <row r="133" customFormat="false" ht="15" hidden="false" customHeight="false" outlineLevel="0" collapsed="false">
      <c r="A133" s="9" t="n">
        <v>46303</v>
      </c>
      <c r="B133" s="10" t="s">
        <v>22</v>
      </c>
      <c r="C133" s="11" t="s">
        <v>303</v>
      </c>
      <c r="D133" s="10" t="s">
        <v>345</v>
      </c>
      <c r="E133" s="11" t="str">
        <f aca="false" t="array" ref="E133:E133">IF(D133="","",IFERROR(INDEX('CLM &amp; IM Mapping'!$B$2:$B$270,MATCH(TRIM(D133),'CLM &amp; IM Mapping'!$A$2:$A$270,0)),"Not Mapped"))</f>
        <v>John Britto</v>
      </c>
      <c r="F133" s="11" t="str">
        <f aca="false" t="array" ref="F133:F133">IF(D133="","",IFERROR(INDEX('CLM &amp; IM Mapping'!$C$2:$C$270,MATCH(TRIM(D133),'CLM &amp; IM Mapping'!$A$2:$A$270,0)),"Not Mapped"))</f>
        <v>Aravind S</v>
      </c>
      <c r="G133" s="11" t="s">
        <v>34</v>
      </c>
      <c r="H133" s="10" t="n">
        <v>-3148</v>
      </c>
      <c r="I133" s="10" t="n">
        <v>4674</v>
      </c>
      <c r="J133" s="10" t="n">
        <v>0</v>
      </c>
      <c r="K133" s="10" t="n">
        <v>0</v>
      </c>
      <c r="L133" s="10" t="n">
        <v>176</v>
      </c>
      <c r="M133" s="10" t="n">
        <v>0</v>
      </c>
      <c r="N133" s="10" t="n">
        <v>0</v>
      </c>
      <c r="O133" s="10" t="n">
        <v>0</v>
      </c>
      <c r="P133" s="10" t="n">
        <v>1702</v>
      </c>
      <c r="Q133" s="17"/>
      <c r="R133" s="11"/>
      <c r="S133" s="21"/>
      <c r="T133" s="15"/>
      <c r="U133" s="14" t="s">
        <v>141</v>
      </c>
      <c r="V133" s="10" t="n">
        <v>4789</v>
      </c>
      <c r="W133" s="8"/>
      <c r="X133" s="8"/>
      <c r="Y133" s="8"/>
      <c r="Z133" s="8"/>
      <c r="AA133" s="8"/>
      <c r="AB133" s="8"/>
      <c r="AC133" s="8"/>
    </row>
    <row r="134" customFormat="false" ht="15" hidden="false" customHeight="false" outlineLevel="0" collapsed="false">
      <c r="A134" s="9" t="n">
        <v>46303</v>
      </c>
      <c r="B134" s="10" t="s">
        <v>22</v>
      </c>
      <c r="C134" s="11" t="s">
        <v>23</v>
      </c>
      <c r="D134" s="10" t="s">
        <v>346</v>
      </c>
      <c r="E134" s="11" t="str">
        <f aca="false" t="array" ref="E134:E134">IF(D134="","",IFERROR(INDEX('CLM &amp; IM Mapping'!$B$2:$B$270,MATCH(TRIM(D134),'CLM &amp; IM Mapping'!$A$2:$A$270,0)),"Not Mapped"))</f>
        <v>Saddam Hussain</v>
      </c>
      <c r="F134" s="11" t="str">
        <f aca="false" t="array" ref="F134:F134">IF(D134="","",IFERROR(INDEX('CLM &amp; IM Mapping'!$C$2:$C$270,MATCH(TRIM(D134),'CLM &amp; IM Mapping'!$A$2:$A$270,0)),"Not Mapped"))</f>
        <v>Un Mapped</v>
      </c>
      <c r="G134" s="11" t="s">
        <v>34</v>
      </c>
      <c r="H134" s="10" t="n">
        <v>-9935</v>
      </c>
      <c r="I134" s="10" t="n">
        <v>4383</v>
      </c>
      <c r="J134" s="10" t="n">
        <v>0</v>
      </c>
      <c r="K134" s="10" t="n">
        <v>2991</v>
      </c>
      <c r="L134" s="10" t="n">
        <v>339</v>
      </c>
      <c r="M134" s="10" t="n">
        <v>0</v>
      </c>
      <c r="N134" s="10" t="n">
        <v>3750</v>
      </c>
      <c r="O134" s="10" t="n">
        <v>0</v>
      </c>
      <c r="P134" s="10" t="n">
        <v>1528</v>
      </c>
      <c r="Q134" s="17"/>
      <c r="R134" s="11"/>
      <c r="S134" s="21"/>
      <c r="T134" s="15"/>
      <c r="U134" s="14" t="s">
        <v>347</v>
      </c>
      <c r="V134" s="10" t="n">
        <v>1694</v>
      </c>
      <c r="W134" s="8"/>
      <c r="X134" s="8"/>
      <c r="Y134" s="8"/>
      <c r="Z134" s="8"/>
      <c r="AA134" s="8"/>
      <c r="AB134" s="8"/>
      <c r="AC134" s="8"/>
    </row>
    <row r="135" customFormat="false" ht="15" hidden="false" customHeight="false" outlineLevel="0" collapsed="false">
      <c r="A135" s="9" t="n">
        <v>46303</v>
      </c>
      <c r="B135" s="10" t="s">
        <v>22</v>
      </c>
      <c r="C135" s="11" t="s">
        <v>23</v>
      </c>
      <c r="D135" s="10" t="s">
        <v>348</v>
      </c>
      <c r="E135" s="11" t="str">
        <f aca="false" t="array" ref="E135:E135">IF(D135="","",IFERROR(INDEX('CLM &amp; IM Mapping'!$B$2:$B$270,MATCH(TRIM(D135),'CLM &amp; IM Mapping'!$A$2:$A$270,0)),"Not Mapped"))</f>
        <v>Arun Raj</v>
      </c>
      <c r="F135" s="11" t="str">
        <f aca="false" t="array" ref="F135:F135">IF(D135="","",IFERROR(INDEX('CLM &amp; IM Mapping'!$C$2:$C$270,MATCH(TRIM(D135),'CLM &amp; IM Mapping'!$A$2:$A$270,0)),"Not Mapped"))</f>
        <v>Simon Manoharan</v>
      </c>
      <c r="G135" s="11" t="s">
        <v>25</v>
      </c>
      <c r="H135" s="10" t="n">
        <v>-10421</v>
      </c>
      <c r="I135" s="10" t="n">
        <v>11277</v>
      </c>
      <c r="J135" s="10" t="n">
        <v>0</v>
      </c>
      <c r="K135" s="10" t="n">
        <v>0</v>
      </c>
      <c r="L135" s="10" t="n">
        <v>236</v>
      </c>
      <c r="M135" s="10" t="n">
        <v>0</v>
      </c>
      <c r="N135" s="10" t="n">
        <v>0</v>
      </c>
      <c r="O135" s="10" t="n">
        <v>0</v>
      </c>
      <c r="P135" s="10" t="n">
        <v>1092</v>
      </c>
      <c r="Q135" s="17"/>
      <c r="R135" s="11"/>
      <c r="S135" s="21"/>
      <c r="T135" s="15"/>
      <c r="U135" s="14" t="s">
        <v>349</v>
      </c>
      <c r="V135" s="10" t="n">
        <v>6711</v>
      </c>
      <c r="W135" s="8"/>
      <c r="X135" s="8"/>
      <c r="Y135" s="8"/>
      <c r="Z135" s="8"/>
      <c r="AA135" s="8"/>
      <c r="AB135" s="8"/>
      <c r="AC135" s="8"/>
    </row>
    <row r="136" customFormat="false" ht="15" hidden="false" customHeight="false" outlineLevel="0" collapsed="false">
      <c r="A136" s="9" t="n">
        <v>46303</v>
      </c>
      <c r="B136" s="10" t="s">
        <v>22</v>
      </c>
      <c r="C136" s="11" t="s">
        <v>221</v>
      </c>
      <c r="D136" s="10" t="s">
        <v>350</v>
      </c>
      <c r="E136" s="11" t="str">
        <f aca="false" t="array" ref="E136:E136">IF(D136="","",IFERROR(INDEX('CLM &amp; IM Mapping'!$B$2:$B$270,MATCH(TRIM(D136),'CLM &amp; IM Mapping'!$A$2:$A$270,0)),"Not Mapped"))</f>
        <v>Vishnu V</v>
      </c>
      <c r="F136" s="11" t="str">
        <f aca="false" t="array" ref="F136:F136">IF(D136="","",IFERROR(INDEX('CLM &amp; IM Mapping'!$C$2:$C$270,MATCH(TRIM(D136),'CLM &amp; IM Mapping'!$A$2:$A$270,0)),"Not Mapped"))</f>
        <v>Arivind S</v>
      </c>
      <c r="G136" s="11" t="s">
        <v>34</v>
      </c>
      <c r="H136" s="10" t="n">
        <v>-334</v>
      </c>
      <c r="I136" s="10" t="n">
        <v>1200</v>
      </c>
      <c r="J136" s="10" t="n">
        <v>0</v>
      </c>
      <c r="K136" s="10" t="n">
        <v>183</v>
      </c>
      <c r="L136" s="10" t="n">
        <v>0</v>
      </c>
      <c r="M136" s="10" t="n">
        <v>0</v>
      </c>
      <c r="N136" s="10" t="n">
        <v>0</v>
      </c>
      <c r="O136" s="10" t="n">
        <v>0</v>
      </c>
      <c r="P136" s="10" t="n">
        <v>1049</v>
      </c>
      <c r="Q136" s="17"/>
      <c r="R136" s="11"/>
      <c r="S136" s="21"/>
      <c r="T136" s="15"/>
      <c r="U136" s="14" t="s">
        <v>351</v>
      </c>
      <c r="V136" s="10" t="n">
        <v>2885</v>
      </c>
      <c r="W136" s="8"/>
      <c r="X136" s="8"/>
      <c r="Y136" s="8"/>
      <c r="Z136" s="8"/>
      <c r="AA136" s="8"/>
      <c r="AB136" s="8"/>
      <c r="AC136" s="8"/>
    </row>
    <row r="137" customFormat="false" ht="15" hidden="false" customHeight="false" outlineLevel="0" collapsed="false">
      <c r="A137" s="9" t="n">
        <v>46303</v>
      </c>
      <c r="B137" s="10" t="s">
        <v>22</v>
      </c>
      <c r="C137" s="11" t="s">
        <v>23</v>
      </c>
      <c r="D137" s="10" t="s">
        <v>352</v>
      </c>
      <c r="E137" s="11" t="str">
        <f aca="false" t="array" ref="E137:E137">IF(D137="","",IFERROR(INDEX('CLM &amp; IM Mapping'!$B$2:$B$270,MATCH(TRIM(D137),'CLM &amp; IM Mapping'!$A$2:$A$270,0)),"Not Mapped"))</f>
        <v>Raghavendra Vernekar</v>
      </c>
      <c r="F137" s="11" t="str">
        <f aca="false" t="array" ref="F137:F137">IF(D137="","",IFERROR(INDEX('CLM &amp; IM Mapping'!$C$2:$C$270,MATCH(TRIM(D137),'CLM &amp; IM Mapping'!$A$2:$A$270,0)),"Not Mapped"))</f>
        <v>Prakash BS</v>
      </c>
      <c r="G137" s="11" t="s">
        <v>34</v>
      </c>
      <c r="H137" s="10" t="n">
        <v>-5128</v>
      </c>
      <c r="I137" s="10" t="n">
        <v>2653</v>
      </c>
      <c r="J137" s="10" t="n">
        <v>2490</v>
      </c>
      <c r="K137" s="10" t="n">
        <v>0</v>
      </c>
      <c r="L137" s="10" t="n">
        <v>391</v>
      </c>
      <c r="M137" s="10" t="n">
        <v>0</v>
      </c>
      <c r="N137" s="10" t="n">
        <v>305</v>
      </c>
      <c r="O137" s="10" t="n">
        <v>0</v>
      </c>
      <c r="P137" s="10" t="n">
        <v>711</v>
      </c>
      <c r="Q137" s="17"/>
      <c r="R137" s="11"/>
      <c r="S137" s="12" t="s">
        <v>255</v>
      </c>
      <c r="T137" s="15"/>
      <c r="U137" s="14" t="s">
        <v>256</v>
      </c>
      <c r="V137" s="10" t="n">
        <v>1320</v>
      </c>
      <c r="W137" s="8"/>
      <c r="X137" s="8"/>
      <c r="Y137" s="8"/>
      <c r="Z137" s="8"/>
      <c r="AA137" s="8"/>
      <c r="AB137" s="8"/>
      <c r="AC137" s="8"/>
    </row>
    <row r="138" customFormat="false" ht="15" hidden="false" customHeight="false" outlineLevel="0" collapsed="false">
      <c r="A138" s="9" t="n">
        <v>46303</v>
      </c>
      <c r="B138" s="10" t="s">
        <v>22</v>
      </c>
      <c r="C138" s="11" t="s">
        <v>23</v>
      </c>
      <c r="D138" s="10" t="s">
        <v>353</v>
      </c>
      <c r="E138" s="11" t="str">
        <f aca="false" t="array" ref="E138:E138">IF(D138="","",IFERROR(INDEX('CLM &amp; IM Mapping'!$B$2:$B$270,MATCH(TRIM(D138),'CLM &amp; IM Mapping'!$A$2:$A$270,0)),"Not Mapped"))</f>
        <v>MH</v>
      </c>
      <c r="F138" s="11" t="str">
        <f aca="false" t="array" ref="F138:F138">IF(D138="","",IFERROR(INDEX('CLM &amp; IM Mapping'!$C$2:$C$270,MATCH(TRIM(D138),'CLM &amp; IM Mapping'!$A$2:$A$270,0)),"Not Mapped"))</f>
        <v>MH</v>
      </c>
      <c r="G138" s="11" t="s">
        <v>34</v>
      </c>
      <c r="H138" s="10" t="n">
        <v>320</v>
      </c>
      <c r="I138" s="10" t="n">
        <v>0</v>
      </c>
      <c r="J138" s="10" t="n">
        <v>0</v>
      </c>
      <c r="K138" s="10" t="n">
        <v>370</v>
      </c>
      <c r="L138" s="10" t="n">
        <v>0</v>
      </c>
      <c r="M138" s="10" t="n">
        <v>0</v>
      </c>
      <c r="N138" s="10" t="n">
        <v>0</v>
      </c>
      <c r="O138" s="10" t="n">
        <v>0</v>
      </c>
      <c r="P138" s="10" t="n">
        <v>690</v>
      </c>
      <c r="Q138" s="17"/>
      <c r="R138" s="11"/>
      <c r="S138" s="21"/>
      <c r="T138" s="15"/>
      <c r="U138" s="14" t="s">
        <v>354</v>
      </c>
      <c r="V138" s="11" t="n">
        <v>397</v>
      </c>
      <c r="W138" s="8"/>
      <c r="X138" s="8"/>
      <c r="Y138" s="8"/>
      <c r="Z138" s="8"/>
      <c r="AA138" s="8"/>
      <c r="AB138" s="8"/>
      <c r="AC138" s="8"/>
    </row>
    <row r="139" customFormat="false" ht="15" hidden="false" customHeight="false" outlineLevel="0" collapsed="false">
      <c r="A139" s="9" t="n">
        <v>46303</v>
      </c>
      <c r="B139" s="10" t="s">
        <v>22</v>
      </c>
      <c r="C139" s="11" t="s">
        <v>23</v>
      </c>
      <c r="D139" s="10" t="s">
        <v>355</v>
      </c>
      <c r="E139" s="11" t="str">
        <f aca="false" t="array" ref="E139:E139">IF(D139="","",IFERROR(INDEX('CLM &amp; IM Mapping'!$B$2:$B$270,MATCH(TRIM(D139),'CLM &amp; IM Mapping'!$A$2:$A$270,0)),"Not Mapped"))</f>
        <v>Arun Raj</v>
      </c>
      <c r="F139" s="11" t="str">
        <f aca="false" t="array" ref="F139:F139">IF(D139="","",IFERROR(INDEX('CLM &amp; IM Mapping'!$C$2:$C$270,MATCH(TRIM(D139),'CLM &amp; IM Mapping'!$A$2:$A$270,0)),"Not Mapped"))</f>
        <v>Simon Manoharan</v>
      </c>
      <c r="G139" s="11" t="s">
        <v>25</v>
      </c>
      <c r="H139" s="10" t="n">
        <v>-6715</v>
      </c>
      <c r="I139" s="10" t="n">
        <v>0</v>
      </c>
      <c r="J139" s="10" t="n">
        <v>0</v>
      </c>
      <c r="K139" s="10" t="n">
        <v>0</v>
      </c>
      <c r="L139" s="10" t="n">
        <v>7318</v>
      </c>
      <c r="M139" s="10" t="n">
        <v>0</v>
      </c>
      <c r="N139" s="10" t="n">
        <v>0</v>
      </c>
      <c r="O139" s="10" t="n">
        <v>0</v>
      </c>
      <c r="P139" s="10" t="n">
        <v>603</v>
      </c>
      <c r="Q139" s="17"/>
      <c r="R139" s="11"/>
      <c r="S139" s="21"/>
      <c r="T139" s="15"/>
      <c r="U139" s="14" t="s">
        <v>356</v>
      </c>
      <c r="V139" s="10" t="n">
        <v>2864</v>
      </c>
      <c r="W139" s="8"/>
      <c r="X139" s="8"/>
      <c r="Y139" s="8"/>
      <c r="Z139" s="8"/>
      <c r="AA139" s="8"/>
      <c r="AB139" s="8"/>
      <c r="AC139" s="8"/>
    </row>
    <row r="140" customFormat="false" ht="15" hidden="false" customHeight="false" outlineLevel="0" collapsed="false">
      <c r="A140" s="9" t="n">
        <v>46303</v>
      </c>
      <c r="B140" s="10" t="s">
        <v>22</v>
      </c>
      <c r="C140" s="11" t="s">
        <v>23</v>
      </c>
      <c r="D140" s="10" t="s">
        <v>357</v>
      </c>
      <c r="E140" s="11" t="str">
        <f aca="false" t="array" ref="E140:E140">IF(D140="","",IFERROR(INDEX('CLM &amp; IM Mapping'!$B$2:$B$270,MATCH(TRIM(D140),'CLM &amp; IM Mapping'!$A$2:$A$270,0)),"Not Mapped"))</f>
        <v>Arun Raj</v>
      </c>
      <c r="F140" s="11" t="str">
        <f aca="false" t="array" ref="F140:F140">IF(D140="","",IFERROR(INDEX('CLM &amp; IM Mapping'!$C$2:$C$270,MATCH(TRIM(D140),'CLM &amp; IM Mapping'!$A$2:$A$270,0)),"Not Mapped"))</f>
        <v>Simon Manoharan</v>
      </c>
      <c r="G140" s="11" t="s">
        <v>25</v>
      </c>
      <c r="H140" s="10" t="n">
        <v>-6193</v>
      </c>
      <c r="I140" s="10" t="n">
        <v>4717</v>
      </c>
      <c r="J140" s="10" t="n">
        <v>0</v>
      </c>
      <c r="K140" s="10" t="n">
        <v>0</v>
      </c>
      <c r="L140" s="10" t="n">
        <v>1988</v>
      </c>
      <c r="M140" s="10" t="n">
        <v>0</v>
      </c>
      <c r="N140" s="10" t="n">
        <v>0</v>
      </c>
      <c r="O140" s="10" t="n">
        <v>0</v>
      </c>
      <c r="P140" s="10" t="n">
        <v>513</v>
      </c>
      <c r="Q140" s="17"/>
      <c r="R140" s="11"/>
      <c r="S140" s="21"/>
      <c r="T140" s="15"/>
      <c r="U140" s="14" t="s">
        <v>358</v>
      </c>
      <c r="V140" s="10" t="n">
        <v>5800</v>
      </c>
      <c r="W140" s="8"/>
      <c r="X140" s="8"/>
      <c r="Y140" s="8"/>
      <c r="Z140" s="8"/>
      <c r="AA140" s="8"/>
      <c r="AB140" s="8"/>
      <c r="AC140" s="8"/>
    </row>
    <row r="141" customFormat="false" ht="15" hidden="false" customHeight="false" outlineLevel="0" collapsed="false">
      <c r="A141" s="9" t="n">
        <v>46303</v>
      </c>
      <c r="B141" s="10" t="s">
        <v>22</v>
      </c>
      <c r="C141" s="11" t="s">
        <v>276</v>
      </c>
      <c r="D141" s="10" t="s">
        <v>359</v>
      </c>
      <c r="E141" s="11" t="str">
        <f aca="false" t="array" ref="E141:E141">IF(D141="","",IFERROR(INDEX('CLM &amp; IM Mapping'!$B$2:$B$270,MATCH(TRIM(D141),'CLM &amp; IM Mapping'!$A$2:$A$270,0)),"Not Mapped"))</f>
        <v>Santhosha M</v>
      </c>
      <c r="F141" s="11" t="str">
        <f aca="false" t="array" ref="F141:F141">IF(D141="","",IFERROR(INDEX('CLM &amp; IM Mapping'!$C$2:$C$270,MATCH(TRIM(D141),'CLM &amp; IM Mapping'!$A$2:$A$270,0)),"Not Mapped"))</f>
        <v>Aravind S</v>
      </c>
      <c r="G141" s="11" t="s">
        <v>34</v>
      </c>
      <c r="H141" s="10" t="n">
        <v>-15</v>
      </c>
      <c r="I141" s="10" t="n">
        <v>415</v>
      </c>
      <c r="J141" s="10" t="n">
        <v>0</v>
      </c>
      <c r="K141" s="10" t="n">
        <v>0</v>
      </c>
      <c r="L141" s="10" t="n">
        <v>0</v>
      </c>
      <c r="M141" s="10" t="n">
        <v>0</v>
      </c>
      <c r="N141" s="10" t="n">
        <v>0</v>
      </c>
      <c r="O141" s="10" t="n">
        <v>0</v>
      </c>
      <c r="P141" s="10" t="n">
        <v>400</v>
      </c>
      <c r="Q141" s="17"/>
      <c r="R141" s="11"/>
      <c r="S141" s="21"/>
      <c r="T141" s="15"/>
      <c r="U141" s="14" t="s">
        <v>360</v>
      </c>
      <c r="V141" s="10" t="n">
        <v>1283</v>
      </c>
      <c r="W141" s="8"/>
      <c r="X141" s="8"/>
      <c r="Y141" s="8"/>
      <c r="Z141" s="8"/>
      <c r="AA141" s="8"/>
      <c r="AB141" s="8"/>
      <c r="AC141" s="8"/>
    </row>
    <row r="142" customFormat="false" ht="15" hidden="false" customHeight="false" outlineLevel="0" collapsed="false">
      <c r="A142" s="9" t="n">
        <v>46303</v>
      </c>
      <c r="B142" s="10" t="s">
        <v>22</v>
      </c>
      <c r="C142" s="11" t="s">
        <v>276</v>
      </c>
      <c r="D142" s="10" t="s">
        <v>361</v>
      </c>
      <c r="E142" s="11" t="str">
        <f aca="false" t="array" ref="E142:E142">IF(D142="","",IFERROR(INDEX('CLM &amp; IM Mapping'!$B$2:$B$270,MATCH(TRIM(D142),'CLM &amp; IM Mapping'!$A$2:$A$270,0)),"Not Mapped"))</f>
        <v>Santhosha M</v>
      </c>
      <c r="F142" s="11" t="str">
        <f aca="false" t="array" ref="F142:F142">IF(D142="","",IFERROR(INDEX('CLM &amp; IM Mapping'!$C$2:$C$270,MATCH(TRIM(D142),'CLM &amp; IM Mapping'!$A$2:$A$270,0)),"Not Mapped"))</f>
        <v>Aravind S</v>
      </c>
      <c r="G142" s="11" t="s">
        <v>34</v>
      </c>
      <c r="H142" s="10" t="n">
        <v>-292</v>
      </c>
      <c r="I142" s="10" t="n">
        <v>449</v>
      </c>
      <c r="J142" s="10" t="n">
        <v>0</v>
      </c>
      <c r="K142" s="10" t="n">
        <v>0</v>
      </c>
      <c r="L142" s="10" t="n">
        <v>8</v>
      </c>
      <c r="M142" s="10" t="n">
        <v>0</v>
      </c>
      <c r="N142" s="10" t="n">
        <v>0</v>
      </c>
      <c r="O142" s="10" t="n">
        <v>19</v>
      </c>
      <c r="P142" s="10" t="n">
        <v>184</v>
      </c>
      <c r="Q142" s="17"/>
      <c r="R142" s="11"/>
      <c r="S142" s="21"/>
      <c r="T142" s="15"/>
      <c r="U142" s="14" t="s">
        <v>360</v>
      </c>
      <c r="V142" s="10" t="n">
        <v>3166</v>
      </c>
      <c r="W142" s="8"/>
      <c r="X142" s="8"/>
      <c r="Y142" s="8"/>
      <c r="Z142" s="8"/>
      <c r="AA142" s="8"/>
      <c r="AB142" s="8"/>
      <c r="AC142" s="8"/>
    </row>
    <row r="143" customFormat="false" ht="15" hidden="false" customHeight="false" outlineLevel="0" collapsed="false">
      <c r="A143" s="9" t="n">
        <v>46303</v>
      </c>
      <c r="B143" s="10" t="s">
        <v>22</v>
      </c>
      <c r="C143" s="11" t="s">
        <v>23</v>
      </c>
      <c r="D143" s="10" t="s">
        <v>362</v>
      </c>
      <c r="E143" s="11" t="str">
        <f aca="false" t="array" ref="E143:E143">IF(D143="","",IFERROR(INDEX('CLM &amp; IM Mapping'!$B$2:$B$270,MATCH(TRIM(D143),'CLM &amp; IM Mapping'!$A$2:$A$270,0)),"Not Mapped"))</f>
        <v>Ashwath S</v>
      </c>
      <c r="F143" s="11" t="str">
        <f aca="false" t="array" ref="F143:F143">IF(D143="","",IFERROR(INDEX('CLM &amp; IM Mapping'!$C$2:$C$270,MATCH(TRIM(D143),'CLM &amp; IM Mapping'!$A$2:$A$270,0)),"Not Mapped"))</f>
        <v>Kantha Kumar</v>
      </c>
      <c r="G143" s="11" t="s">
        <v>34</v>
      </c>
      <c r="H143" s="10" t="n">
        <v>-2276</v>
      </c>
      <c r="I143" s="10" t="n">
        <v>645</v>
      </c>
      <c r="J143" s="10" t="n">
        <v>786</v>
      </c>
      <c r="K143" s="10" t="n">
        <v>0</v>
      </c>
      <c r="L143" s="10" t="n">
        <v>1011</v>
      </c>
      <c r="M143" s="10" t="n">
        <v>0</v>
      </c>
      <c r="N143" s="10" t="n">
        <v>0</v>
      </c>
      <c r="O143" s="10" t="n">
        <v>0</v>
      </c>
      <c r="P143" s="10" t="n">
        <v>166</v>
      </c>
      <c r="Q143" s="17"/>
      <c r="R143" s="11"/>
      <c r="S143" s="21"/>
      <c r="T143" s="15"/>
      <c r="U143" s="14" t="s">
        <v>363</v>
      </c>
      <c r="V143" s="10" t="n">
        <v>3057</v>
      </c>
      <c r="W143" s="8"/>
      <c r="X143" s="8"/>
      <c r="Y143" s="8"/>
      <c r="Z143" s="8"/>
      <c r="AA143" s="8"/>
      <c r="AB143" s="8"/>
      <c r="AC143" s="8"/>
    </row>
    <row r="144" customFormat="false" ht="15" hidden="false" customHeight="false" outlineLevel="0" collapsed="false">
      <c r="A144" s="9" t="n">
        <v>46303</v>
      </c>
      <c r="B144" s="10" t="s">
        <v>22</v>
      </c>
      <c r="C144" s="11" t="s">
        <v>23</v>
      </c>
      <c r="D144" s="10" t="s">
        <v>364</v>
      </c>
      <c r="E144" s="11" t="str">
        <f aca="false" t="array" ref="E144:E144">IF(D144="","",IFERROR(INDEX('CLM &amp; IM Mapping'!$B$2:$B$270,MATCH(TRIM(D144),'CLM &amp; IM Mapping'!$A$2:$A$270,0)),"Not Mapped"))</f>
        <v>Raghavendra Vernekar</v>
      </c>
      <c r="F144" s="11" t="str">
        <f aca="false" t="array" ref="F144:F144">IF(D144="","",IFERROR(INDEX('CLM &amp; IM Mapping'!$C$2:$C$270,MATCH(TRIM(D144),'CLM &amp; IM Mapping'!$A$2:$A$270,0)),"Not Mapped"))</f>
        <v>Prakash BS</v>
      </c>
      <c r="G144" s="11" t="s">
        <v>34</v>
      </c>
      <c r="H144" s="10" t="n">
        <v>-22635</v>
      </c>
      <c r="I144" s="10" t="n">
        <v>11072</v>
      </c>
      <c r="J144" s="10" t="n">
        <v>0</v>
      </c>
      <c r="K144" s="10" t="n">
        <v>9255</v>
      </c>
      <c r="L144" s="10" t="n">
        <v>2172</v>
      </c>
      <c r="M144" s="10" t="n">
        <v>0</v>
      </c>
      <c r="N144" s="10" t="n">
        <v>170</v>
      </c>
      <c r="O144" s="10" t="n">
        <v>0</v>
      </c>
      <c r="P144" s="10" t="n">
        <v>34</v>
      </c>
      <c r="Q144" s="17"/>
      <c r="R144" s="11"/>
      <c r="S144" s="12" t="s">
        <v>255</v>
      </c>
      <c r="T144" s="15"/>
      <c r="U144" s="14" t="s">
        <v>244</v>
      </c>
      <c r="V144" s="10" t="n">
        <v>4825</v>
      </c>
      <c r="W144" s="8"/>
      <c r="X144" s="8"/>
      <c r="Y144" s="8"/>
      <c r="Z144" s="8"/>
      <c r="AA144" s="8"/>
      <c r="AB144" s="8"/>
      <c r="AC144" s="8"/>
    </row>
    <row r="145" customFormat="false" ht="15" hidden="false" customHeight="false" outlineLevel="0" collapsed="false">
      <c r="A145" s="9" t="n">
        <v>46303</v>
      </c>
      <c r="B145" s="10" t="s">
        <v>22</v>
      </c>
      <c r="C145" s="11" t="s">
        <v>23</v>
      </c>
      <c r="D145" s="10" t="s">
        <v>365</v>
      </c>
      <c r="E145" s="11" t="str">
        <f aca="false" t="array" ref="E145:E145">IF(D145="","",IFERROR(INDEX('CLM &amp; IM Mapping'!$B$2:$B$270,MATCH(TRIM(D145),'CLM &amp; IM Mapping'!$A$2:$A$270,0)),"Not Mapped"))</f>
        <v>Raghavendra Vernekar</v>
      </c>
      <c r="F145" s="11" t="str">
        <f aca="false" t="array" ref="F145:F145">IF(D145="","",IFERROR(INDEX('CLM &amp; IM Mapping'!$C$2:$C$270,MATCH(TRIM(D145),'CLM &amp; IM Mapping'!$A$2:$A$270,0)),"Not Mapped"))</f>
        <v>Prakash BS</v>
      </c>
      <c r="G145" s="11" t="s">
        <v>34</v>
      </c>
      <c r="H145" s="10" t="n">
        <v>0</v>
      </c>
      <c r="I145" s="10" t="n">
        <v>0</v>
      </c>
      <c r="J145" s="10" t="n">
        <v>0</v>
      </c>
      <c r="K145" s="10" t="n">
        <v>0</v>
      </c>
      <c r="L145" s="10" t="n">
        <v>0</v>
      </c>
      <c r="M145" s="10" t="n">
        <v>0</v>
      </c>
      <c r="N145" s="10" t="n">
        <v>0</v>
      </c>
      <c r="O145" s="10" t="n">
        <v>0</v>
      </c>
      <c r="P145" s="10" t="n">
        <v>0</v>
      </c>
      <c r="Q145" s="17"/>
      <c r="R145" s="11"/>
      <c r="S145" s="21"/>
      <c r="T145" s="15"/>
      <c r="U145" s="14" t="s">
        <v>366</v>
      </c>
      <c r="V145" s="11" t="n">
        <v>0</v>
      </c>
      <c r="W145" s="8"/>
      <c r="X145" s="8"/>
      <c r="Y145" s="8"/>
      <c r="Z145" s="8"/>
      <c r="AA145" s="8"/>
      <c r="AB145" s="8"/>
      <c r="AC145" s="8"/>
    </row>
    <row r="146" customFormat="false" ht="15" hidden="false" customHeight="false" outlineLevel="0" collapsed="false">
      <c r="A146" s="9" t="n">
        <v>46303</v>
      </c>
      <c r="B146" s="10" t="s">
        <v>22</v>
      </c>
      <c r="C146" s="11" t="s">
        <v>23</v>
      </c>
      <c r="D146" s="10" t="s">
        <v>367</v>
      </c>
      <c r="E146" s="11" t="str">
        <f aca="false" t="array" ref="E146:E146">IF(D146="","",IFERROR(INDEX('CLM &amp; IM Mapping'!$B$2:$B$270,MATCH(TRIM(D146),'CLM &amp; IM Mapping'!$A$2:$A$270,0)),"Not Mapped"))</f>
        <v>Akshay P</v>
      </c>
      <c r="F146" s="11" t="str">
        <f aca="false" t="array" ref="F146:F146">IF(D146="","",IFERROR(INDEX('CLM &amp; IM Mapping'!$C$2:$C$270,MATCH(TRIM(D146),'CLM &amp; IM Mapping'!$A$2:$A$270,0)),"Not Mapped"))</f>
        <v>Srittam Dhal</v>
      </c>
      <c r="G146" s="11" t="s">
        <v>34</v>
      </c>
      <c r="H146" s="10" t="n">
        <v>0</v>
      </c>
      <c r="I146" s="10" t="n">
        <v>0</v>
      </c>
      <c r="J146" s="10" t="n">
        <v>0</v>
      </c>
      <c r="K146" s="10" t="n">
        <v>0</v>
      </c>
      <c r="L146" s="10" t="n">
        <v>0</v>
      </c>
      <c r="M146" s="10" t="n">
        <v>0</v>
      </c>
      <c r="N146" s="10" t="n">
        <v>0</v>
      </c>
      <c r="O146" s="10" t="n">
        <v>0</v>
      </c>
      <c r="P146" s="10" t="n">
        <v>0</v>
      </c>
      <c r="Q146" s="17"/>
      <c r="R146" s="11"/>
      <c r="S146" s="21"/>
      <c r="T146" s="15"/>
      <c r="U146" s="14" t="s">
        <v>366</v>
      </c>
      <c r="V146" s="11" t="n">
        <v>0</v>
      </c>
      <c r="W146" s="8"/>
      <c r="X146" s="8"/>
      <c r="Y146" s="8"/>
      <c r="Z146" s="8"/>
      <c r="AA146" s="8"/>
      <c r="AB146" s="8"/>
      <c r="AC146" s="8"/>
    </row>
    <row r="147" customFormat="false" ht="15" hidden="false" customHeight="false" outlineLevel="0" collapsed="false">
      <c r="A147" s="9" t="n">
        <v>46303</v>
      </c>
      <c r="B147" s="10" t="s">
        <v>22</v>
      </c>
      <c r="C147" s="11" t="s">
        <v>23</v>
      </c>
      <c r="D147" s="10" t="s">
        <v>368</v>
      </c>
      <c r="E147" s="11" t="str">
        <f aca="false" t="array" ref="E147:E147">IF(D147="","",IFERROR(INDEX('CLM &amp; IM Mapping'!$B$2:$B$270,MATCH(TRIM(D147),'CLM &amp; IM Mapping'!$A$2:$A$270,0)),"Not Mapped"))</f>
        <v>Arun Raj</v>
      </c>
      <c r="F147" s="11" t="str">
        <f aca="false" t="array" ref="F147:F147">IF(D147="","",IFERROR(INDEX('CLM &amp; IM Mapping'!$C$2:$C$270,MATCH(TRIM(D147),'CLM &amp; IM Mapping'!$A$2:$A$270,0)),"Not Mapped"))</f>
        <v>Simon Manoharan</v>
      </c>
      <c r="G147" s="11" t="s">
        <v>25</v>
      </c>
      <c r="H147" s="10" t="n">
        <v>0</v>
      </c>
      <c r="I147" s="10" t="n">
        <v>0</v>
      </c>
      <c r="J147" s="10" t="n">
        <v>0</v>
      </c>
      <c r="K147" s="10" t="n">
        <v>0</v>
      </c>
      <c r="L147" s="10" t="n">
        <v>0</v>
      </c>
      <c r="M147" s="10" t="n">
        <v>0</v>
      </c>
      <c r="N147" s="10" t="n">
        <v>0</v>
      </c>
      <c r="O147" s="10" t="n">
        <v>0</v>
      </c>
      <c r="P147" s="10" t="n">
        <v>0</v>
      </c>
      <c r="Q147" s="17"/>
      <c r="R147" s="11"/>
      <c r="S147" s="21"/>
      <c r="T147" s="15"/>
      <c r="U147" s="14" t="s">
        <v>366</v>
      </c>
      <c r="V147" s="11" t="n">
        <v>0</v>
      </c>
      <c r="W147" s="8"/>
      <c r="X147" s="8"/>
      <c r="Y147" s="8"/>
      <c r="Z147" s="8"/>
      <c r="AA147" s="8"/>
      <c r="AB147" s="8"/>
      <c r="AC147" s="8"/>
    </row>
    <row r="148" customFormat="false" ht="15" hidden="false" customHeight="false" outlineLevel="0" collapsed="false">
      <c r="A148" s="9" t="n">
        <v>46303</v>
      </c>
      <c r="B148" s="10" t="s">
        <v>22</v>
      </c>
      <c r="C148" s="11" t="s">
        <v>23</v>
      </c>
      <c r="D148" s="10" t="s">
        <v>369</v>
      </c>
      <c r="E148" s="11" t="str">
        <f aca="false" t="array" ref="E148:E148">IF(D148="","",IFERROR(INDEX('CLM &amp; IM Mapping'!$B$2:$B$270,MATCH(TRIM(D148),'CLM &amp; IM Mapping'!$A$2:$A$270,0)),"Not Mapped"))</f>
        <v>Not Mapped</v>
      </c>
      <c r="F148" s="11" t="str">
        <f aca="false" t="array" ref="F148:F148">IF(D148="","",IFERROR(INDEX('CLM &amp; IM Mapping'!$C$2:$C$270,MATCH(TRIM(D148),'CLM &amp; IM Mapping'!$A$2:$A$270,0)),"Not Mapped"))</f>
        <v>Not Mapped</v>
      </c>
      <c r="G148" s="11" t="s">
        <v>34</v>
      </c>
      <c r="H148" s="10" t="n">
        <v>0</v>
      </c>
      <c r="I148" s="10" t="n">
        <v>0</v>
      </c>
      <c r="J148" s="10" t="n">
        <v>0</v>
      </c>
      <c r="K148" s="10" t="n">
        <v>0</v>
      </c>
      <c r="L148" s="10" t="n">
        <v>0</v>
      </c>
      <c r="M148" s="10" t="n">
        <v>0</v>
      </c>
      <c r="N148" s="10" t="n">
        <v>0</v>
      </c>
      <c r="O148" s="10" t="n">
        <v>0</v>
      </c>
      <c r="P148" s="10" t="n">
        <v>0</v>
      </c>
      <c r="Q148" s="17"/>
      <c r="R148" s="11"/>
      <c r="S148" s="21"/>
      <c r="T148" s="15"/>
      <c r="U148" s="14" t="s">
        <v>366</v>
      </c>
      <c r="V148" s="11" t="n">
        <v>0</v>
      </c>
      <c r="W148" s="8"/>
      <c r="X148" s="8"/>
      <c r="Y148" s="8"/>
      <c r="Z148" s="8"/>
      <c r="AA148" s="8"/>
      <c r="AB148" s="8"/>
      <c r="AC148" s="8"/>
    </row>
    <row r="149" customFormat="false" ht="15" hidden="false" customHeight="false" outlineLevel="0" collapsed="false">
      <c r="A149" s="9" t="n">
        <v>46303</v>
      </c>
      <c r="B149" s="10" t="s">
        <v>22</v>
      </c>
      <c r="C149" s="11" t="s">
        <v>23</v>
      </c>
      <c r="D149" s="10" t="s">
        <v>370</v>
      </c>
      <c r="E149" s="11" t="str">
        <f aca="false" t="array" ref="E149:E149">IF(D149="","",IFERROR(INDEX('CLM &amp; IM Mapping'!$B$2:$B$270,MATCH(TRIM(D149),'CLM &amp; IM Mapping'!$A$2:$A$270,0)),"Not Mapped"))</f>
        <v>Not Mapped</v>
      </c>
      <c r="F149" s="11" t="str">
        <f aca="false" t="array" ref="F149:F149">IF(D149="","",IFERROR(INDEX('CLM &amp; IM Mapping'!$C$2:$C$270,MATCH(TRIM(D149),'CLM &amp; IM Mapping'!$A$2:$A$270,0)),"Not Mapped"))</f>
        <v>Not Mapped</v>
      </c>
      <c r="G149" s="11" t="s">
        <v>34</v>
      </c>
      <c r="H149" s="10" t="n">
        <v>0</v>
      </c>
      <c r="I149" s="10" t="n">
        <v>0</v>
      </c>
      <c r="J149" s="10" t="n">
        <v>0</v>
      </c>
      <c r="K149" s="10" t="n">
        <v>0</v>
      </c>
      <c r="L149" s="10" t="n">
        <v>0</v>
      </c>
      <c r="M149" s="10" t="n">
        <v>0</v>
      </c>
      <c r="N149" s="10" t="n">
        <v>0</v>
      </c>
      <c r="O149" s="10" t="n">
        <v>0</v>
      </c>
      <c r="P149" s="10" t="n">
        <v>0</v>
      </c>
      <c r="Q149" s="17"/>
      <c r="R149" s="11"/>
      <c r="S149" s="21"/>
      <c r="T149" s="15"/>
      <c r="U149" s="14" t="s">
        <v>366</v>
      </c>
      <c r="V149" s="11" t="n">
        <v>0</v>
      </c>
      <c r="W149" s="8"/>
      <c r="X149" s="8"/>
      <c r="Y149" s="8"/>
      <c r="Z149" s="8"/>
      <c r="AA149" s="8"/>
      <c r="AB149" s="8"/>
      <c r="AC149" s="8"/>
    </row>
    <row r="150" customFormat="false" ht="15" hidden="false" customHeight="false" outlineLevel="0" collapsed="false">
      <c r="A150" s="9" t="n">
        <v>46303</v>
      </c>
      <c r="B150" s="10" t="s">
        <v>22</v>
      </c>
      <c r="C150" s="11" t="s">
        <v>23</v>
      </c>
      <c r="D150" s="10" t="s">
        <v>371</v>
      </c>
      <c r="E150" s="11" t="str">
        <f aca="false" t="array" ref="E150:E150">IF(D150="","",IFERROR(INDEX('CLM &amp; IM Mapping'!$B$2:$B$270,MATCH(TRIM(D150),'CLM &amp; IM Mapping'!$A$2:$A$270,0)),"Not Mapped"))</f>
        <v>Akshay P</v>
      </c>
      <c r="F150" s="11" t="str">
        <f aca="false" t="array" ref="F150:F150">IF(D150="","",IFERROR(INDEX('CLM &amp; IM Mapping'!$C$2:$C$270,MATCH(TRIM(D150),'CLM &amp; IM Mapping'!$A$2:$A$270,0)),"Not Mapped"))</f>
        <v>Srittam Dhal</v>
      </c>
      <c r="G150" s="11" t="s">
        <v>34</v>
      </c>
      <c r="H150" s="10" t="n">
        <v>-1479</v>
      </c>
      <c r="I150" s="10" t="n">
        <v>956</v>
      </c>
      <c r="J150" s="10" t="n">
        <v>0</v>
      </c>
      <c r="K150" s="10" t="n">
        <v>0</v>
      </c>
      <c r="L150" s="10" t="n">
        <v>283</v>
      </c>
      <c r="M150" s="10" t="n">
        <v>0</v>
      </c>
      <c r="N150" s="10" t="n">
        <v>0</v>
      </c>
      <c r="O150" s="10" t="n">
        <v>0</v>
      </c>
      <c r="P150" s="10" t="n">
        <v>-240</v>
      </c>
      <c r="Q150" s="17"/>
      <c r="R150" s="11"/>
      <c r="S150" s="21"/>
      <c r="T150" s="15"/>
      <c r="U150" s="14" t="s">
        <v>372</v>
      </c>
      <c r="V150" s="10" t="n">
        <v>3603</v>
      </c>
      <c r="W150" s="8"/>
      <c r="X150" s="8"/>
      <c r="Y150" s="8"/>
      <c r="Z150" s="8"/>
      <c r="AA150" s="8"/>
      <c r="AB150" s="8"/>
      <c r="AC150" s="8"/>
    </row>
    <row r="151" customFormat="false" ht="15" hidden="false" customHeight="false" outlineLevel="0" collapsed="false">
      <c r="A151" s="9" t="n">
        <v>46303</v>
      </c>
      <c r="B151" s="10" t="s">
        <v>22</v>
      </c>
      <c r="C151" s="11" t="s">
        <v>261</v>
      </c>
      <c r="D151" s="10" t="s">
        <v>373</v>
      </c>
      <c r="E151" s="11" t="str">
        <f aca="false" t="array" ref="E151:E151">IF(D151="","",IFERROR(INDEX('CLM &amp; IM Mapping'!$B$2:$B$270,MATCH(TRIM(D151),'CLM &amp; IM Mapping'!$A$2:$A$270,0)),"Not Mapped"))</f>
        <v>Majid Kakatikar</v>
      </c>
      <c r="F151" s="11" t="str">
        <f aca="false" t="array" ref="F151:F151">IF(D151="","",IFERROR(INDEX('CLM &amp; IM Mapping'!$C$2:$C$270,MATCH(TRIM(D151),'CLM &amp; IM Mapping'!$A$2:$A$270,0)),"Not Mapped"))</f>
        <v>Kishor K</v>
      </c>
      <c r="G151" s="11" t="s">
        <v>34</v>
      </c>
      <c r="H151" s="10" t="n">
        <v>-1896</v>
      </c>
      <c r="I151" s="10" t="n">
        <v>1503</v>
      </c>
      <c r="J151" s="10" t="n">
        <v>0</v>
      </c>
      <c r="K151" s="10" t="n">
        <v>0</v>
      </c>
      <c r="L151" s="10" t="n">
        <v>129</v>
      </c>
      <c r="M151" s="10" t="n">
        <v>0</v>
      </c>
      <c r="N151" s="10" t="n">
        <v>0</v>
      </c>
      <c r="O151" s="10" t="n">
        <v>0</v>
      </c>
      <c r="P151" s="10" t="n">
        <v>-264</v>
      </c>
      <c r="Q151" s="17"/>
      <c r="R151" s="11"/>
      <c r="S151" s="21"/>
      <c r="T151" s="15"/>
      <c r="U151" s="14" t="s">
        <v>374</v>
      </c>
      <c r="V151" s="10" t="n">
        <v>1309</v>
      </c>
      <c r="W151" s="8"/>
      <c r="X151" s="8"/>
      <c r="Y151" s="8"/>
      <c r="Z151" s="8"/>
      <c r="AA151" s="8"/>
      <c r="AB151" s="8"/>
      <c r="AC151" s="8"/>
    </row>
    <row r="152" customFormat="false" ht="15" hidden="false" customHeight="false" outlineLevel="0" collapsed="false">
      <c r="A152" s="9" t="n">
        <v>46303</v>
      </c>
      <c r="B152" s="10" t="s">
        <v>22</v>
      </c>
      <c r="C152" s="11" t="s">
        <v>23</v>
      </c>
      <c r="D152" s="10" t="s">
        <v>375</v>
      </c>
      <c r="E152" s="11" t="str">
        <f aca="false" t="array" ref="E152:E152">IF(D152="","",IFERROR(INDEX('CLM &amp; IM Mapping'!$B$2:$B$270,MATCH(TRIM(D152),'CLM &amp; IM Mapping'!$A$2:$A$270,0)),"Not Mapped"))</f>
        <v>Saddam Hussain</v>
      </c>
      <c r="F152" s="11" t="str">
        <f aca="false" t="array" ref="F152:F152">IF(D152="","",IFERROR(INDEX('CLM &amp; IM Mapping'!$C$2:$C$270,MATCH(TRIM(D152),'CLM &amp; IM Mapping'!$A$2:$A$270,0)),"Not Mapped"))</f>
        <v>Un Mapped</v>
      </c>
      <c r="G152" s="11" t="s">
        <v>34</v>
      </c>
      <c r="H152" s="10" t="n">
        <v>-4229</v>
      </c>
      <c r="I152" s="10" t="n">
        <v>1324</v>
      </c>
      <c r="J152" s="10" t="n">
        <v>0</v>
      </c>
      <c r="K152" s="10" t="n">
        <v>43</v>
      </c>
      <c r="L152" s="10" t="n">
        <v>1118</v>
      </c>
      <c r="M152" s="10" t="n">
        <v>0</v>
      </c>
      <c r="N152" s="10" t="n">
        <v>1386</v>
      </c>
      <c r="O152" s="10" t="n">
        <v>0</v>
      </c>
      <c r="P152" s="10" t="n">
        <v>-358</v>
      </c>
      <c r="Q152" s="17"/>
      <c r="R152" s="11"/>
      <c r="S152" s="21"/>
      <c r="T152" s="15"/>
      <c r="U152" s="14" t="s">
        <v>341</v>
      </c>
      <c r="V152" s="10" t="n">
        <v>2567</v>
      </c>
      <c r="W152" s="8"/>
      <c r="X152" s="8"/>
      <c r="Y152" s="8"/>
      <c r="Z152" s="8"/>
      <c r="AA152" s="8"/>
      <c r="AB152" s="8"/>
      <c r="AC152" s="8"/>
    </row>
    <row r="153" customFormat="false" ht="15" hidden="false" customHeight="false" outlineLevel="0" collapsed="false">
      <c r="A153" s="9" t="n">
        <v>46303</v>
      </c>
      <c r="B153" s="10" t="s">
        <v>22</v>
      </c>
      <c r="C153" s="11" t="s">
        <v>23</v>
      </c>
      <c r="D153" s="10" t="s">
        <v>376</v>
      </c>
      <c r="E153" s="11" t="str">
        <f aca="false" t="array" ref="E153:E153">IF(D153="","",IFERROR(INDEX('CLM &amp; IM Mapping'!$B$2:$B$270,MATCH(TRIM(D153),'CLM &amp; IM Mapping'!$A$2:$A$270,0)),"Not Mapped"))</f>
        <v>Sundaresh S</v>
      </c>
      <c r="F153" s="11" t="str">
        <f aca="false" t="array" ref="F153:F153">IF(D153="","",IFERROR(INDEX('CLM &amp; IM Mapping'!$C$2:$C$270,MATCH(TRIM(D153),'CLM &amp; IM Mapping'!$A$2:$A$270,0)),"Not Mapped"))</f>
        <v>Un Mapped</v>
      </c>
      <c r="G153" s="11" t="s">
        <v>34</v>
      </c>
      <c r="H153" s="10" t="n">
        <v>-13425</v>
      </c>
      <c r="I153" s="10" t="n">
        <v>4786</v>
      </c>
      <c r="J153" s="10" t="n">
        <v>1649</v>
      </c>
      <c r="K153" s="10" t="n">
        <v>5982</v>
      </c>
      <c r="L153" s="10" t="n">
        <v>543</v>
      </c>
      <c r="M153" s="10" t="n">
        <v>0</v>
      </c>
      <c r="N153" s="10" t="n">
        <v>0</v>
      </c>
      <c r="O153" s="10" t="n">
        <v>0</v>
      </c>
      <c r="P153" s="10" t="n">
        <v>-465</v>
      </c>
      <c r="Q153" s="17"/>
      <c r="R153" s="11"/>
      <c r="S153" s="21"/>
      <c r="T153" s="15"/>
      <c r="U153" s="14" t="s">
        <v>244</v>
      </c>
      <c r="V153" s="10" t="n">
        <v>2735</v>
      </c>
      <c r="W153" s="8"/>
      <c r="X153" s="8"/>
      <c r="Y153" s="8"/>
      <c r="Z153" s="8"/>
      <c r="AA153" s="8"/>
      <c r="AB153" s="8"/>
      <c r="AC153" s="8"/>
    </row>
    <row r="154" customFormat="false" ht="15" hidden="false" customHeight="false" outlineLevel="0" collapsed="false">
      <c r="A154" s="9" t="n">
        <v>46303</v>
      </c>
      <c r="B154" s="10" t="s">
        <v>22</v>
      </c>
      <c r="C154" s="11" t="s">
        <v>377</v>
      </c>
      <c r="D154" s="10" t="s">
        <v>378</v>
      </c>
      <c r="E154" s="11" t="str">
        <f aca="false" t="array" ref="E154:E154">IF(D154="","",IFERROR(INDEX('CLM &amp; IM Mapping'!$B$2:$B$270,MATCH(TRIM(D154),'CLM &amp; IM Mapping'!$A$2:$A$270,0)),"Not Mapped"))</f>
        <v>Vishnu V</v>
      </c>
      <c r="F154" s="11" t="str">
        <f aca="false" t="array" ref="F154:F154">IF(D154="","",IFERROR(INDEX('CLM &amp; IM Mapping'!$C$2:$C$270,MATCH(TRIM(D154),'CLM &amp; IM Mapping'!$A$2:$A$270,0)),"Not Mapped"))</f>
        <v>Arivind S</v>
      </c>
      <c r="G154" s="11" t="s">
        <v>34</v>
      </c>
      <c r="H154" s="10" t="n">
        <v>-599</v>
      </c>
      <c r="I154" s="10" t="n">
        <v>0</v>
      </c>
      <c r="J154" s="10" t="n">
        <v>0</v>
      </c>
      <c r="K154" s="10" t="n">
        <v>0</v>
      </c>
      <c r="L154" s="10" t="n">
        <v>0</v>
      </c>
      <c r="M154" s="10" t="n">
        <v>0</v>
      </c>
      <c r="N154" s="10" t="n">
        <v>0</v>
      </c>
      <c r="O154" s="10" t="n">
        <v>0</v>
      </c>
      <c r="P154" s="10" t="n">
        <v>-599</v>
      </c>
      <c r="Q154" s="17"/>
      <c r="R154" s="11"/>
      <c r="S154" s="21"/>
      <c r="T154" s="15"/>
      <c r="U154" s="14" t="s">
        <v>366</v>
      </c>
      <c r="V154" s="11" t="n">
        <v>0</v>
      </c>
      <c r="W154" s="8"/>
      <c r="X154" s="8"/>
      <c r="Y154" s="8"/>
      <c r="Z154" s="8"/>
      <c r="AA154" s="8"/>
      <c r="AB154" s="8"/>
      <c r="AC154" s="8"/>
    </row>
    <row r="155" customFormat="false" ht="15" hidden="false" customHeight="false" outlineLevel="0" collapsed="false">
      <c r="A155" s="9" t="n">
        <v>46303</v>
      </c>
      <c r="B155" s="10" t="s">
        <v>22</v>
      </c>
      <c r="C155" s="11" t="s">
        <v>23</v>
      </c>
      <c r="D155" s="10" t="s">
        <v>379</v>
      </c>
      <c r="E155" s="11" t="str">
        <f aca="false" t="array" ref="E155:E155">IF(D155="","",IFERROR(INDEX('CLM &amp; IM Mapping'!$B$2:$B$270,MATCH(TRIM(D155),'CLM &amp; IM Mapping'!$A$2:$A$270,0)),"Not Mapped"))</f>
        <v>Richard Harris</v>
      </c>
      <c r="F155" s="11" t="str">
        <f aca="false" t="array" ref="F155:F155">IF(D155="","",IFERROR(INDEX('CLM &amp; IM Mapping'!$C$2:$C$270,MATCH(TRIM(D155),'CLM &amp; IM Mapping'!$A$2:$A$270,0)),"Not Mapped"))</f>
        <v>Kantha Kumar</v>
      </c>
      <c r="G155" s="11" t="s">
        <v>34</v>
      </c>
      <c r="H155" s="10" t="n">
        <v>-9479</v>
      </c>
      <c r="I155" s="10" t="n">
        <v>3869</v>
      </c>
      <c r="J155" s="10" t="n">
        <v>0</v>
      </c>
      <c r="K155" s="10" t="n">
        <v>0</v>
      </c>
      <c r="L155" s="10" t="n">
        <v>652</v>
      </c>
      <c r="M155" s="10" t="n">
        <v>0</v>
      </c>
      <c r="N155" s="10" t="n">
        <v>4320</v>
      </c>
      <c r="O155" s="10" t="n">
        <v>0</v>
      </c>
      <c r="P155" s="10" t="n">
        <v>-638</v>
      </c>
      <c r="Q155" s="17"/>
      <c r="R155" s="11"/>
      <c r="S155" s="21"/>
      <c r="T155" s="15"/>
      <c r="U155" s="14" t="s">
        <v>380</v>
      </c>
      <c r="V155" s="10" t="n">
        <v>7241</v>
      </c>
      <c r="W155" s="8"/>
      <c r="X155" s="8"/>
      <c r="Y155" s="8"/>
      <c r="Z155" s="8"/>
      <c r="AA155" s="8"/>
      <c r="AB155" s="8"/>
      <c r="AC155" s="8"/>
    </row>
    <row r="156" customFormat="false" ht="15" hidden="false" customHeight="false" outlineLevel="0" collapsed="false">
      <c r="A156" s="9" t="n">
        <v>46303</v>
      </c>
      <c r="B156" s="10" t="s">
        <v>22</v>
      </c>
      <c r="C156" s="11" t="s">
        <v>23</v>
      </c>
      <c r="D156" s="10" t="s">
        <v>381</v>
      </c>
      <c r="E156" s="11" t="str">
        <f aca="false" t="array" ref="E156:E156">IF(D156="","",IFERROR(INDEX('CLM &amp; IM Mapping'!$B$2:$B$270,MATCH(TRIM(D156),'CLM &amp; IM Mapping'!$A$2:$A$270,0)),"Not Mapped"))</f>
        <v>Balaji G</v>
      </c>
      <c r="F156" s="11" t="str">
        <f aca="false" t="array" ref="F156:F156">IF(D156="","",IFERROR(INDEX('CLM &amp; IM Mapping'!$C$2:$C$270,MATCH(TRIM(D156),'CLM &amp; IM Mapping'!$A$2:$A$270,0)),"Not Mapped"))</f>
        <v>Mohammed Akbar</v>
      </c>
      <c r="G156" s="11" t="s">
        <v>34</v>
      </c>
      <c r="H156" s="10" t="n">
        <v>-15225</v>
      </c>
      <c r="I156" s="10" t="n">
        <v>12342</v>
      </c>
      <c r="J156" s="10" t="n">
        <v>428</v>
      </c>
      <c r="K156" s="10" t="n">
        <v>902</v>
      </c>
      <c r="L156" s="10" t="n">
        <v>744</v>
      </c>
      <c r="M156" s="10" t="n">
        <v>0</v>
      </c>
      <c r="N156" s="10" t="n">
        <v>0</v>
      </c>
      <c r="O156" s="10" t="n">
        <v>0</v>
      </c>
      <c r="P156" s="10" t="n">
        <v>-809</v>
      </c>
      <c r="Q156" s="17"/>
      <c r="R156" s="11"/>
      <c r="S156" s="21"/>
      <c r="T156" s="15"/>
      <c r="U156" s="14" t="s">
        <v>55</v>
      </c>
      <c r="V156" s="10" t="n">
        <v>4636</v>
      </c>
      <c r="W156" s="8"/>
      <c r="X156" s="8"/>
      <c r="Y156" s="8"/>
      <c r="Z156" s="8"/>
      <c r="AA156" s="8"/>
      <c r="AB156" s="8"/>
      <c r="AC156" s="8"/>
    </row>
    <row r="157" customFormat="false" ht="15" hidden="false" customHeight="false" outlineLevel="0" collapsed="false">
      <c r="A157" s="9" t="n">
        <v>46303</v>
      </c>
      <c r="B157" s="10" t="s">
        <v>22</v>
      </c>
      <c r="C157" s="11" t="s">
        <v>23</v>
      </c>
      <c r="D157" s="10" t="s">
        <v>382</v>
      </c>
      <c r="E157" s="11" t="str">
        <f aca="false" t="array" ref="E157:E157">IF(D157="","",IFERROR(INDEX('CLM &amp; IM Mapping'!$B$2:$B$270,MATCH(TRIM(D157),'CLM &amp; IM Mapping'!$A$2:$A$270,0)),"Not Mapped"))</f>
        <v>Arun Raj</v>
      </c>
      <c r="F157" s="11" t="str">
        <f aca="false" t="array" ref="F157:F157">IF(D157="","",IFERROR(INDEX('CLM &amp; IM Mapping'!$C$2:$C$270,MATCH(TRIM(D157),'CLM &amp; IM Mapping'!$A$2:$A$270,0)),"Not Mapped"))</f>
        <v>Simon Manoharan</v>
      </c>
      <c r="G157" s="11" t="s">
        <v>25</v>
      </c>
      <c r="H157" s="10" t="n">
        <v>-14443</v>
      </c>
      <c r="I157" s="10" t="n">
        <v>12883</v>
      </c>
      <c r="J157" s="10" t="n">
        <v>0</v>
      </c>
      <c r="K157" s="10" t="n">
        <v>0</v>
      </c>
      <c r="L157" s="10" t="n">
        <v>741</v>
      </c>
      <c r="M157" s="10" t="n">
        <v>0</v>
      </c>
      <c r="N157" s="10" t="n">
        <v>0</v>
      </c>
      <c r="O157" s="10" t="n">
        <v>0</v>
      </c>
      <c r="P157" s="10" t="n">
        <v>-819</v>
      </c>
      <c r="Q157" s="17"/>
      <c r="R157" s="11"/>
      <c r="S157" s="21"/>
      <c r="T157" s="15"/>
      <c r="U157" s="14" t="s">
        <v>383</v>
      </c>
      <c r="V157" s="10" t="n">
        <v>2450</v>
      </c>
      <c r="W157" s="8"/>
      <c r="X157" s="8"/>
      <c r="Y157" s="8"/>
      <c r="Z157" s="8"/>
      <c r="AA157" s="8"/>
      <c r="AB157" s="8"/>
      <c r="AC157" s="8"/>
    </row>
    <row r="158" customFormat="false" ht="15" hidden="false" customHeight="false" outlineLevel="0" collapsed="false">
      <c r="A158" s="9" t="n">
        <v>46303</v>
      </c>
      <c r="B158" s="10" t="s">
        <v>22</v>
      </c>
      <c r="C158" s="11" t="s">
        <v>23</v>
      </c>
      <c r="D158" s="10" t="s">
        <v>384</v>
      </c>
      <c r="E158" s="11" t="str">
        <f aca="false" t="array" ref="E158:E158">IF(D158="","",IFERROR(INDEX('CLM &amp; IM Mapping'!$B$2:$B$270,MATCH(TRIM(D158),'CLM &amp; IM Mapping'!$A$2:$A$270,0)),"Not Mapped"))</f>
        <v>Saddam Hussain</v>
      </c>
      <c r="F158" s="11" t="str">
        <f aca="false" t="array" ref="F158:F158">IF(D158="","",IFERROR(INDEX('CLM &amp; IM Mapping'!$C$2:$C$270,MATCH(TRIM(D158),'CLM &amp; IM Mapping'!$A$2:$A$270,0)),"Not Mapped"))</f>
        <v>Un Mapped</v>
      </c>
      <c r="G158" s="11" t="s">
        <v>34</v>
      </c>
      <c r="H158" s="10" t="n">
        <v>-8358</v>
      </c>
      <c r="I158" s="10" t="n">
        <v>6455</v>
      </c>
      <c r="J158" s="10" t="n">
        <v>0</v>
      </c>
      <c r="K158" s="10" t="n">
        <v>0</v>
      </c>
      <c r="L158" s="10" t="n">
        <v>841</v>
      </c>
      <c r="M158" s="10" t="n">
        <v>0</v>
      </c>
      <c r="N158" s="10" t="n">
        <v>0</v>
      </c>
      <c r="O158" s="10" t="n">
        <v>0</v>
      </c>
      <c r="P158" s="10" t="n">
        <v>-1062</v>
      </c>
      <c r="Q158" s="17"/>
      <c r="R158" s="11"/>
      <c r="S158" s="21"/>
      <c r="T158" s="15"/>
      <c r="U158" s="14" t="s">
        <v>385</v>
      </c>
      <c r="V158" s="10" t="n">
        <v>2132</v>
      </c>
      <c r="W158" s="8"/>
      <c r="X158" s="8"/>
      <c r="Y158" s="8"/>
      <c r="Z158" s="8"/>
      <c r="AA158" s="8"/>
      <c r="AB158" s="8"/>
      <c r="AC158" s="8"/>
    </row>
    <row r="159" customFormat="false" ht="15" hidden="false" customHeight="false" outlineLevel="0" collapsed="false">
      <c r="A159" s="9" t="n">
        <v>46303</v>
      </c>
      <c r="B159" s="10" t="s">
        <v>22</v>
      </c>
      <c r="C159" s="11" t="s">
        <v>23</v>
      </c>
      <c r="D159" s="10" t="s">
        <v>386</v>
      </c>
      <c r="E159" s="11" t="str">
        <f aca="false" t="array" ref="E159:E159">IF(D159="","",IFERROR(INDEX('CLM &amp; IM Mapping'!$B$2:$B$270,MATCH(TRIM(D159),'CLM &amp; IM Mapping'!$A$2:$A$270,0)),"Not Mapped"))</f>
        <v>Arun Raj</v>
      </c>
      <c r="F159" s="11" t="str">
        <f aca="false" t="array" ref="F159:F159">IF(D159="","",IFERROR(INDEX('CLM &amp; IM Mapping'!$C$2:$C$270,MATCH(TRIM(D159),'CLM &amp; IM Mapping'!$A$2:$A$270,0)),"Not Mapped"))</f>
        <v>Simon Manoharan</v>
      </c>
      <c r="G159" s="11" t="s">
        <v>25</v>
      </c>
      <c r="H159" s="10" t="n">
        <v>-4601</v>
      </c>
      <c r="I159" s="10" t="n">
        <v>1560</v>
      </c>
      <c r="J159" s="10" t="n">
        <v>0</v>
      </c>
      <c r="K159" s="10" t="n">
        <v>69</v>
      </c>
      <c r="L159" s="10" t="n">
        <v>1727</v>
      </c>
      <c r="M159" s="10" t="n">
        <v>0</v>
      </c>
      <c r="N159" s="10" t="n">
        <v>0</v>
      </c>
      <c r="O159" s="10" t="n">
        <v>0</v>
      </c>
      <c r="P159" s="10" t="n">
        <v>-1245</v>
      </c>
      <c r="Q159" s="17"/>
      <c r="R159" s="11"/>
      <c r="S159" s="21"/>
      <c r="T159" s="15"/>
      <c r="U159" s="14" t="s">
        <v>387</v>
      </c>
      <c r="V159" s="10" t="n">
        <v>3049</v>
      </c>
      <c r="W159" s="8"/>
      <c r="X159" s="8"/>
      <c r="Y159" s="8"/>
      <c r="Z159" s="8"/>
      <c r="AA159" s="8"/>
      <c r="AB159" s="8"/>
      <c r="AC159" s="8"/>
    </row>
    <row r="160" customFormat="false" ht="15" hidden="false" customHeight="false" outlineLevel="0" collapsed="false">
      <c r="A160" s="9" t="n">
        <v>46303</v>
      </c>
      <c r="B160" s="10" t="s">
        <v>22</v>
      </c>
      <c r="C160" s="11" t="s">
        <v>23</v>
      </c>
      <c r="D160" s="11" t="s">
        <v>388</v>
      </c>
      <c r="E160" s="11" t="str">
        <f aca="false" t="array" ref="E160:E160">IF(D160="","",IFERROR(INDEX('CLM &amp; IM Mapping'!$B$2:$B$270,MATCH(TRIM(D160),'CLM &amp; IM Mapping'!$A$2:$A$270,0)),"Not Mapped"))</f>
        <v>Arun Raj</v>
      </c>
      <c r="F160" s="11" t="str">
        <f aca="false" t="array" ref="F160:F160">IF(D160="","",IFERROR(INDEX('CLM &amp; IM Mapping'!$C$2:$C$270,MATCH(TRIM(D160),'CLM &amp; IM Mapping'!$A$2:$A$270,0)),"Not Mapped"))</f>
        <v>Simon Manoharan</v>
      </c>
      <c r="G160" s="11" t="s">
        <v>25</v>
      </c>
      <c r="H160" s="10" t="n">
        <v>-5354</v>
      </c>
      <c r="I160" s="10" t="n">
        <v>2283</v>
      </c>
      <c r="J160" s="10" t="n">
        <v>0</v>
      </c>
      <c r="K160" s="10" t="n">
        <v>0</v>
      </c>
      <c r="L160" s="10" t="n">
        <v>1819</v>
      </c>
      <c r="M160" s="10" t="n">
        <v>0</v>
      </c>
      <c r="N160" s="10" t="n">
        <v>0</v>
      </c>
      <c r="O160" s="10" t="n">
        <v>0</v>
      </c>
      <c r="P160" s="10" t="n">
        <v>-1252</v>
      </c>
      <c r="Q160" s="17"/>
      <c r="R160" s="11"/>
      <c r="S160" s="21"/>
      <c r="T160" s="15"/>
      <c r="U160" s="14" t="s">
        <v>389</v>
      </c>
      <c r="V160" s="10" t="n">
        <v>1046</v>
      </c>
      <c r="W160" s="8"/>
      <c r="X160" s="8"/>
      <c r="Y160" s="8"/>
      <c r="Z160" s="8"/>
      <c r="AA160" s="8"/>
      <c r="AB160" s="8"/>
      <c r="AC160" s="8"/>
    </row>
    <row r="161" customFormat="false" ht="15" hidden="false" customHeight="false" outlineLevel="0" collapsed="false">
      <c r="A161" s="9" t="n">
        <v>46303</v>
      </c>
      <c r="B161" s="10" t="s">
        <v>22</v>
      </c>
      <c r="C161" s="11" t="s">
        <v>23</v>
      </c>
      <c r="D161" s="10" t="s">
        <v>390</v>
      </c>
      <c r="E161" s="11" t="str">
        <f aca="false" t="array" ref="E161:E161">IF(D161="","",IFERROR(INDEX('CLM &amp; IM Mapping'!$B$2:$B$270,MATCH(TRIM(D161),'CLM &amp; IM Mapping'!$A$2:$A$270,0)),"Not Mapped"))</f>
        <v>Sundaresh S</v>
      </c>
      <c r="F161" s="11" t="str">
        <f aca="false" t="array" ref="F161:F161">IF(D161="","",IFERROR(INDEX('CLM &amp; IM Mapping'!$C$2:$C$270,MATCH(TRIM(D161),'CLM &amp; IM Mapping'!$A$2:$A$270,0)),"Not Mapped"))</f>
        <v>Un Mapped</v>
      </c>
      <c r="G161" s="11" t="s">
        <v>34</v>
      </c>
      <c r="H161" s="10" t="n">
        <v>-12067</v>
      </c>
      <c r="I161" s="10" t="n">
        <v>954</v>
      </c>
      <c r="J161" s="10" t="n">
        <v>214</v>
      </c>
      <c r="K161" s="10" t="n">
        <v>4030</v>
      </c>
      <c r="L161" s="10" t="n">
        <v>268</v>
      </c>
      <c r="M161" s="10" t="n">
        <v>0</v>
      </c>
      <c r="N161" s="10" t="n">
        <v>5326</v>
      </c>
      <c r="O161" s="10" t="n">
        <v>0</v>
      </c>
      <c r="P161" s="10" t="n">
        <v>-1276</v>
      </c>
      <c r="Q161" s="17"/>
      <c r="R161" s="11"/>
      <c r="S161" s="21"/>
      <c r="T161" s="15"/>
      <c r="U161" s="14" t="s">
        <v>217</v>
      </c>
      <c r="V161" s="10" t="n">
        <v>5210</v>
      </c>
      <c r="W161" s="8"/>
      <c r="X161" s="8"/>
      <c r="Y161" s="8"/>
      <c r="Z161" s="8"/>
      <c r="AA161" s="8"/>
      <c r="AB161" s="8"/>
      <c r="AC161" s="8"/>
    </row>
    <row r="162" customFormat="false" ht="15" hidden="false" customHeight="false" outlineLevel="0" collapsed="false">
      <c r="A162" s="9" t="n">
        <v>46303</v>
      </c>
      <c r="B162" s="10" t="s">
        <v>22</v>
      </c>
      <c r="C162" s="11" t="s">
        <v>303</v>
      </c>
      <c r="D162" s="11" t="s">
        <v>391</v>
      </c>
      <c r="E162" s="11" t="str">
        <f aca="false" t="array" ref="E162:E162">IF(D162="","",IFERROR(INDEX('CLM &amp; IM Mapping'!$B$2:$B$270,MATCH(TRIM(D162),'CLM &amp; IM Mapping'!$A$2:$A$270,0)),"Not Mapped"))</f>
        <v>John Britto</v>
      </c>
      <c r="F162" s="11" t="str">
        <f aca="false" t="array" ref="F162:F162">IF(D162="","",IFERROR(INDEX('CLM &amp; IM Mapping'!$C$2:$C$270,MATCH(TRIM(D162),'CLM &amp; IM Mapping'!$A$2:$A$270,0)),"Not Mapped"))</f>
        <v>Aravind S</v>
      </c>
      <c r="G162" s="11" t="s">
        <v>34</v>
      </c>
      <c r="H162" s="10" t="n">
        <v>-2375</v>
      </c>
      <c r="I162" s="10" t="n">
        <v>1050</v>
      </c>
      <c r="J162" s="10" t="n">
        <v>0</v>
      </c>
      <c r="K162" s="10" t="n">
        <v>0</v>
      </c>
      <c r="L162" s="10" t="n">
        <v>39</v>
      </c>
      <c r="M162" s="10" t="n">
        <v>0</v>
      </c>
      <c r="N162" s="10" t="n">
        <v>0</v>
      </c>
      <c r="O162" s="10" t="n">
        <v>0</v>
      </c>
      <c r="P162" s="10" t="n">
        <v>-1287</v>
      </c>
      <c r="Q162" s="17"/>
      <c r="R162" s="11"/>
      <c r="S162" s="21"/>
      <c r="T162" s="15"/>
      <c r="U162" s="14" t="s">
        <v>275</v>
      </c>
      <c r="V162" s="11" t="n">
        <v>578</v>
      </c>
      <c r="W162" s="8"/>
      <c r="X162" s="8"/>
      <c r="Y162" s="8"/>
      <c r="Z162" s="8"/>
      <c r="AA162" s="8"/>
      <c r="AB162" s="8"/>
      <c r="AC162" s="8"/>
    </row>
    <row r="163" customFormat="false" ht="15" hidden="false" customHeight="false" outlineLevel="0" collapsed="false">
      <c r="A163" s="9" t="n">
        <v>46303</v>
      </c>
      <c r="B163" s="10" t="s">
        <v>22</v>
      </c>
      <c r="C163" s="11" t="s">
        <v>23</v>
      </c>
      <c r="D163" s="10" t="s">
        <v>392</v>
      </c>
      <c r="E163" s="11" t="str">
        <f aca="false" t="array" ref="E163:E163">IF(D163="","",IFERROR(INDEX('CLM &amp; IM Mapping'!$B$2:$B$270,MATCH(TRIM(D163),'CLM &amp; IM Mapping'!$A$2:$A$270,0)),"Not Mapped"))</f>
        <v>Balaji G</v>
      </c>
      <c r="F163" s="11" t="str">
        <f aca="false" t="array" ref="F163:F163">IF(D163="","",IFERROR(INDEX('CLM &amp; IM Mapping'!$C$2:$C$270,MATCH(TRIM(D163),'CLM &amp; IM Mapping'!$A$2:$A$270,0)),"Not Mapped"))</f>
        <v>Mohammed Akbar</v>
      </c>
      <c r="G163" s="11" t="s">
        <v>34</v>
      </c>
      <c r="H163" s="10" t="n">
        <v>-1490</v>
      </c>
      <c r="I163" s="10" t="n">
        <v>0</v>
      </c>
      <c r="J163" s="10" t="n">
        <v>0</v>
      </c>
      <c r="K163" s="10" t="n">
        <v>0</v>
      </c>
      <c r="L163" s="10" t="n">
        <v>23</v>
      </c>
      <c r="M163" s="10" t="n">
        <v>0</v>
      </c>
      <c r="N163" s="10" t="n">
        <v>0</v>
      </c>
      <c r="O163" s="10" t="n">
        <v>0</v>
      </c>
      <c r="P163" s="10" t="n">
        <v>-1467</v>
      </c>
      <c r="Q163" s="17"/>
      <c r="R163" s="11"/>
      <c r="S163" s="21"/>
      <c r="T163" s="15"/>
      <c r="U163" s="14" t="s">
        <v>393</v>
      </c>
      <c r="V163" s="11" t="n">
        <v>755</v>
      </c>
      <c r="W163" s="8"/>
      <c r="X163" s="8"/>
      <c r="Y163" s="8"/>
      <c r="Z163" s="8"/>
      <c r="AA163" s="8"/>
      <c r="AB163" s="8"/>
      <c r="AC163" s="8"/>
    </row>
    <row r="164" customFormat="false" ht="15" hidden="false" customHeight="false" outlineLevel="0" collapsed="false">
      <c r="A164" s="9" t="n">
        <v>46303</v>
      </c>
      <c r="B164" s="10" t="s">
        <v>22</v>
      </c>
      <c r="C164" s="11" t="s">
        <v>394</v>
      </c>
      <c r="D164" s="10" t="s">
        <v>395</v>
      </c>
      <c r="E164" s="11" t="str">
        <f aca="false" t="array" ref="E164:E164">IF(D164="","",IFERROR(INDEX('CLM &amp; IM Mapping'!$B$2:$B$270,MATCH(TRIM(D164),'CLM &amp; IM Mapping'!$A$2:$A$270,0)),"Not Mapped"))</f>
        <v>Bangareppa CS</v>
      </c>
      <c r="F164" s="11" t="str">
        <f aca="false" t="array" ref="F164:F164">IF(D164="","",IFERROR(INDEX('CLM &amp; IM Mapping'!$C$2:$C$270,MATCH(TRIM(D164),'CLM &amp; IM Mapping'!$A$2:$A$270,0)),"Not Mapped"))</f>
        <v>Kishor K</v>
      </c>
      <c r="G164" s="11" t="s">
        <v>34</v>
      </c>
      <c r="H164" s="10" t="n">
        <v>-17927</v>
      </c>
      <c r="I164" s="10" t="n">
        <v>8661</v>
      </c>
      <c r="J164" s="10" t="n">
        <v>0</v>
      </c>
      <c r="K164" s="10" t="n">
        <v>0</v>
      </c>
      <c r="L164" s="10" t="n">
        <v>545</v>
      </c>
      <c r="M164" s="10" t="n">
        <v>0</v>
      </c>
      <c r="N164" s="10" t="n">
        <v>7164</v>
      </c>
      <c r="O164" s="10" t="n">
        <v>0</v>
      </c>
      <c r="P164" s="10" t="n">
        <v>-1558</v>
      </c>
      <c r="Q164" s="17"/>
      <c r="R164" s="11"/>
      <c r="S164" s="21"/>
      <c r="T164" s="15"/>
      <c r="U164" s="14" t="s">
        <v>194</v>
      </c>
      <c r="V164" s="10" t="n">
        <v>1623</v>
      </c>
      <c r="W164" s="8"/>
      <c r="X164" s="8"/>
      <c r="Y164" s="8"/>
      <c r="Z164" s="8"/>
      <c r="AA164" s="8"/>
      <c r="AB164" s="8"/>
      <c r="AC164" s="8"/>
    </row>
    <row r="165" customFormat="false" ht="15" hidden="false" customHeight="false" outlineLevel="0" collapsed="false">
      <c r="A165" s="9" t="n">
        <v>46303</v>
      </c>
      <c r="B165" s="10" t="s">
        <v>22</v>
      </c>
      <c r="C165" s="11" t="s">
        <v>23</v>
      </c>
      <c r="D165" s="10" t="s">
        <v>396</v>
      </c>
      <c r="E165" s="11" t="str">
        <f aca="false" t="array" ref="E165:E165">IF(D165="","",IFERROR(INDEX('CLM &amp; IM Mapping'!$B$2:$B$270,MATCH(TRIM(D165),'CLM &amp; IM Mapping'!$A$2:$A$270,0)),"Not Mapped"))</f>
        <v>Ravishankar gowda</v>
      </c>
      <c r="F165" s="11" t="str">
        <f aca="false" t="array" ref="F165:F165">IF(D165="","",IFERROR(INDEX('CLM &amp; IM Mapping'!$C$2:$C$270,MATCH(TRIM(D165),'CLM &amp; IM Mapping'!$A$2:$A$270,0)),"Not Mapped"))</f>
        <v>Kishor K</v>
      </c>
      <c r="G165" s="11" t="s">
        <v>34</v>
      </c>
      <c r="H165" s="10" t="n">
        <v>-12397</v>
      </c>
      <c r="I165" s="10" t="n">
        <v>9854</v>
      </c>
      <c r="J165" s="10" t="n">
        <v>0</v>
      </c>
      <c r="K165" s="10" t="n">
        <v>129</v>
      </c>
      <c r="L165" s="10" t="n">
        <v>321</v>
      </c>
      <c r="M165" s="10" t="n">
        <v>0</v>
      </c>
      <c r="N165" s="10" t="n">
        <v>165</v>
      </c>
      <c r="O165" s="10" t="n">
        <v>0</v>
      </c>
      <c r="P165" s="10" t="n">
        <v>-1928</v>
      </c>
      <c r="Q165" s="17"/>
      <c r="R165" s="11"/>
      <c r="S165" s="21"/>
      <c r="T165" s="15"/>
      <c r="U165" s="14" t="s">
        <v>335</v>
      </c>
      <c r="V165" s="10" t="n">
        <v>8169</v>
      </c>
      <c r="W165" s="8"/>
      <c r="X165" s="8"/>
      <c r="Y165" s="8"/>
      <c r="Z165" s="8"/>
      <c r="AA165" s="8"/>
      <c r="AB165" s="8"/>
      <c r="AC165" s="8"/>
    </row>
    <row r="166" customFormat="false" ht="15" hidden="false" customHeight="false" outlineLevel="0" collapsed="false">
      <c r="A166" s="9" t="n">
        <v>46303</v>
      </c>
      <c r="B166" s="10" t="s">
        <v>22</v>
      </c>
      <c r="C166" s="11" t="s">
        <v>23</v>
      </c>
      <c r="D166" s="10" t="s">
        <v>397</v>
      </c>
      <c r="E166" s="11" t="str">
        <f aca="false" t="array" ref="E166:E166">IF(D166="","",IFERROR(INDEX('CLM &amp; IM Mapping'!$B$2:$B$270,MATCH(TRIM(D166),'CLM &amp; IM Mapping'!$A$2:$A$270,0)),"Not Mapped"))</f>
        <v>Akshay P</v>
      </c>
      <c r="F166" s="11" t="str">
        <f aca="false" t="array" ref="F166:F166">IF(D166="","",IFERROR(INDEX('CLM &amp; IM Mapping'!$C$2:$C$270,MATCH(TRIM(D166),'CLM &amp; IM Mapping'!$A$2:$A$270,0)),"Not Mapped"))</f>
        <v>Srittam Dhal</v>
      </c>
      <c r="G166" s="11" t="s">
        <v>34</v>
      </c>
      <c r="H166" s="10" t="n">
        <v>-8114</v>
      </c>
      <c r="I166" s="10" t="n">
        <v>3079</v>
      </c>
      <c r="J166" s="10" t="n">
        <v>0</v>
      </c>
      <c r="K166" s="10" t="n">
        <v>1573</v>
      </c>
      <c r="L166" s="10" t="n">
        <v>0</v>
      </c>
      <c r="M166" s="10" t="n">
        <v>0</v>
      </c>
      <c r="N166" s="10" t="n">
        <v>1533</v>
      </c>
      <c r="O166" s="10" t="n">
        <v>0</v>
      </c>
      <c r="P166" s="10" t="n">
        <v>-1929</v>
      </c>
      <c r="Q166" s="17"/>
      <c r="R166" s="11"/>
      <c r="S166" s="21"/>
      <c r="T166" s="15"/>
      <c r="U166" s="14" t="s">
        <v>99</v>
      </c>
      <c r="V166" s="10" t="n">
        <v>3111</v>
      </c>
      <c r="W166" s="8"/>
      <c r="X166" s="8"/>
      <c r="Y166" s="8"/>
      <c r="Z166" s="8"/>
      <c r="AA166" s="8"/>
      <c r="AB166" s="8"/>
      <c r="AC166" s="8"/>
    </row>
    <row r="167" customFormat="false" ht="15" hidden="false" customHeight="false" outlineLevel="0" collapsed="false">
      <c r="A167" s="9" t="n">
        <v>46303</v>
      </c>
      <c r="B167" s="10" t="s">
        <v>22</v>
      </c>
      <c r="C167" s="11" t="s">
        <v>23</v>
      </c>
      <c r="D167" s="11" t="s">
        <v>398</v>
      </c>
      <c r="E167" s="11" t="str">
        <f aca="false" t="array" ref="E167:E167">IF(D167="","",IFERROR(INDEX('CLM &amp; IM Mapping'!$B$2:$B$270,MATCH(TRIM(D167),'CLM &amp; IM Mapping'!$A$2:$A$270,0)),"Not Mapped"))</f>
        <v>Raghavendra Vernekar</v>
      </c>
      <c r="F167" s="11" t="str">
        <f aca="false" t="array" ref="F167:F167">IF(D167="","",IFERROR(INDEX('CLM &amp; IM Mapping'!$C$2:$C$270,MATCH(TRIM(D167),'CLM &amp; IM Mapping'!$A$2:$A$270,0)),"Not Mapped"))</f>
        <v>Prakash BS</v>
      </c>
      <c r="G167" s="11" t="s">
        <v>34</v>
      </c>
      <c r="H167" s="10" t="n">
        <v>-12248</v>
      </c>
      <c r="I167" s="10" t="n">
        <v>9745</v>
      </c>
      <c r="J167" s="10" t="n">
        <v>0</v>
      </c>
      <c r="K167" s="10" t="n">
        <v>0</v>
      </c>
      <c r="L167" s="10" t="n">
        <v>559</v>
      </c>
      <c r="M167" s="10" t="n">
        <v>0</v>
      </c>
      <c r="N167" s="10" t="n">
        <v>0</v>
      </c>
      <c r="O167" s="10" t="n">
        <v>0</v>
      </c>
      <c r="P167" s="10" t="n">
        <v>-1945</v>
      </c>
      <c r="Q167" s="17"/>
      <c r="R167" s="11"/>
      <c r="S167" s="21"/>
      <c r="T167" s="15"/>
      <c r="U167" s="14" t="s">
        <v>167</v>
      </c>
      <c r="V167" s="10" t="n">
        <v>6806</v>
      </c>
      <c r="W167" s="8"/>
      <c r="X167" s="8"/>
      <c r="Y167" s="8"/>
      <c r="Z167" s="8"/>
      <c r="AA167" s="8"/>
      <c r="AB167" s="8"/>
      <c r="AC167" s="8"/>
    </row>
    <row r="168" customFormat="false" ht="15" hidden="false" customHeight="false" outlineLevel="0" collapsed="false">
      <c r="A168" s="9" t="n">
        <v>46303</v>
      </c>
      <c r="B168" s="10" t="s">
        <v>22</v>
      </c>
      <c r="C168" s="11" t="s">
        <v>303</v>
      </c>
      <c r="D168" s="10" t="s">
        <v>399</v>
      </c>
      <c r="E168" s="11" t="str">
        <f aca="false" t="array" ref="E168:E168">IF(D168="","",IFERROR(INDEX('CLM &amp; IM Mapping'!$B$2:$B$270,MATCH(TRIM(D168),'CLM &amp; IM Mapping'!$A$2:$A$270,0)),"Not Mapped"))</f>
        <v>John Britto</v>
      </c>
      <c r="F168" s="11" t="str">
        <f aca="false" t="array" ref="F168:F168">IF(D168="","",IFERROR(INDEX('CLM &amp; IM Mapping'!$C$2:$C$270,MATCH(TRIM(D168),'CLM &amp; IM Mapping'!$A$2:$A$270,0)),"Not Mapped"))</f>
        <v>Aravind S</v>
      </c>
      <c r="G168" s="11" t="s">
        <v>34</v>
      </c>
      <c r="H168" s="10" t="n">
        <v>-2936</v>
      </c>
      <c r="I168" s="10" t="n">
        <v>0</v>
      </c>
      <c r="J168" s="10" t="n">
        <v>896</v>
      </c>
      <c r="K168" s="10" t="n">
        <v>0</v>
      </c>
      <c r="L168" s="10" t="n">
        <v>0</v>
      </c>
      <c r="M168" s="10" t="n">
        <v>0</v>
      </c>
      <c r="N168" s="10" t="n">
        <v>0</v>
      </c>
      <c r="O168" s="10" t="n">
        <v>0</v>
      </c>
      <c r="P168" s="10" t="n">
        <v>-2040</v>
      </c>
      <c r="Q168" s="17"/>
      <c r="R168" s="11"/>
      <c r="S168" s="21"/>
      <c r="T168" s="15"/>
      <c r="U168" s="14" t="s">
        <v>52</v>
      </c>
      <c r="V168" s="10" t="n">
        <v>2380</v>
      </c>
      <c r="W168" s="8"/>
      <c r="X168" s="8"/>
      <c r="Y168" s="8"/>
      <c r="Z168" s="8"/>
      <c r="AA168" s="8"/>
      <c r="AB168" s="8"/>
      <c r="AC168" s="8"/>
    </row>
    <row r="169" customFormat="false" ht="15" hidden="false" customHeight="false" outlineLevel="0" collapsed="false">
      <c r="A169" s="9" t="n">
        <v>46303</v>
      </c>
      <c r="B169" s="10" t="s">
        <v>22</v>
      </c>
      <c r="C169" s="11" t="s">
        <v>394</v>
      </c>
      <c r="D169" s="11" t="s">
        <v>400</v>
      </c>
      <c r="E169" s="11" t="str">
        <f aca="false" t="array" ref="E169:E169">IF(D169="","",IFERROR(INDEX('CLM &amp; IM Mapping'!$B$2:$B$270,MATCH(TRIM(D169),'CLM &amp; IM Mapping'!$A$2:$A$270,0)),"Not Mapped"))</f>
        <v>Bangareppa CS</v>
      </c>
      <c r="F169" s="11" t="str">
        <f aca="false" t="array" ref="F169:F169">IF(D169="","",IFERROR(INDEX('CLM &amp; IM Mapping'!$C$2:$C$270,MATCH(TRIM(D169),'CLM &amp; IM Mapping'!$A$2:$A$270,0)),"Not Mapped"))</f>
        <v>Kishor K</v>
      </c>
      <c r="G169" s="11" t="s">
        <v>34</v>
      </c>
      <c r="H169" s="10" t="n">
        <v>-8069</v>
      </c>
      <c r="I169" s="10" t="n">
        <v>5498</v>
      </c>
      <c r="J169" s="10" t="n">
        <v>0</v>
      </c>
      <c r="K169" s="10" t="n">
        <v>0</v>
      </c>
      <c r="L169" s="10" t="n">
        <v>417</v>
      </c>
      <c r="M169" s="10" t="n">
        <v>0</v>
      </c>
      <c r="N169" s="10" t="n">
        <v>0</v>
      </c>
      <c r="O169" s="10" t="n">
        <v>0</v>
      </c>
      <c r="P169" s="10" t="n">
        <v>-2154</v>
      </c>
      <c r="Q169" s="17"/>
      <c r="R169" s="11"/>
      <c r="S169" s="21"/>
      <c r="T169" s="15"/>
      <c r="U169" s="14" t="s">
        <v>401</v>
      </c>
      <c r="V169" s="10" t="n">
        <v>1615</v>
      </c>
      <c r="W169" s="8"/>
      <c r="X169" s="8"/>
      <c r="Y169" s="8"/>
      <c r="Z169" s="8"/>
      <c r="AA169" s="8"/>
      <c r="AB169" s="8"/>
      <c r="AC169" s="8"/>
    </row>
    <row r="170" customFormat="false" ht="15" hidden="false" customHeight="false" outlineLevel="0" collapsed="false">
      <c r="A170" s="9" t="n">
        <v>46303</v>
      </c>
      <c r="B170" s="10" t="s">
        <v>22</v>
      </c>
      <c r="C170" s="11" t="s">
        <v>23</v>
      </c>
      <c r="D170" s="10" t="s">
        <v>402</v>
      </c>
      <c r="E170" s="11" t="str">
        <f aca="false" t="array" ref="E170:E170">IF(D170="","",IFERROR(INDEX('CLM &amp; IM Mapping'!$B$2:$B$270,MATCH(TRIM(D170),'CLM &amp; IM Mapping'!$A$2:$A$270,0)),"Not Mapped"))</f>
        <v>Narasimhamurthy R</v>
      </c>
      <c r="F170" s="11" t="str">
        <f aca="false" t="array" ref="F170:F170">IF(D170="","",IFERROR(INDEX('CLM &amp; IM Mapping'!$C$2:$C$270,MATCH(TRIM(D170),'CLM &amp; IM Mapping'!$A$2:$A$270,0)),"Not Mapped"))</f>
        <v>Kishor K</v>
      </c>
      <c r="G170" s="11" t="s">
        <v>34</v>
      </c>
      <c r="H170" s="10" t="n">
        <v>-8935</v>
      </c>
      <c r="I170" s="10" t="n">
        <v>6625</v>
      </c>
      <c r="J170" s="10" t="n">
        <v>0</v>
      </c>
      <c r="K170" s="10" t="n">
        <v>7</v>
      </c>
      <c r="L170" s="10" t="n">
        <v>23</v>
      </c>
      <c r="M170" s="10" t="n">
        <v>0</v>
      </c>
      <c r="N170" s="10" t="n">
        <v>0</v>
      </c>
      <c r="O170" s="10" t="n">
        <v>0</v>
      </c>
      <c r="P170" s="10" t="n">
        <v>-2281</v>
      </c>
      <c r="Q170" s="17"/>
      <c r="R170" s="11"/>
      <c r="S170" s="21"/>
      <c r="T170" s="15"/>
      <c r="U170" s="14" t="s">
        <v>99</v>
      </c>
      <c r="V170" s="10" t="n">
        <v>8086</v>
      </c>
      <c r="W170" s="8"/>
      <c r="X170" s="8"/>
      <c r="Y170" s="8"/>
      <c r="Z170" s="8"/>
      <c r="AA170" s="8"/>
      <c r="AB170" s="8"/>
      <c r="AC170" s="8"/>
    </row>
    <row r="171" customFormat="false" ht="15" hidden="false" customHeight="false" outlineLevel="0" collapsed="false">
      <c r="A171" s="9" t="n">
        <v>46303</v>
      </c>
      <c r="B171" s="10" t="s">
        <v>22</v>
      </c>
      <c r="C171" s="11" t="s">
        <v>23</v>
      </c>
      <c r="D171" s="10" t="s">
        <v>403</v>
      </c>
      <c r="E171" s="11" t="str">
        <f aca="false" t="array" ref="E171:E171">IF(D171="","",IFERROR(INDEX('CLM &amp; IM Mapping'!$B$2:$B$270,MATCH(TRIM(D171),'CLM &amp; IM Mapping'!$A$2:$A$270,0)),"Not Mapped"))</f>
        <v>Narasimhamurthy R</v>
      </c>
      <c r="F171" s="11" t="str">
        <f aca="false" t="array" ref="F171:F171">IF(D171="","",IFERROR(INDEX('CLM &amp; IM Mapping'!$C$2:$C$270,MATCH(TRIM(D171),'CLM &amp; IM Mapping'!$A$2:$A$270,0)),"Not Mapped"))</f>
        <v>Kishor K</v>
      </c>
      <c r="G171" s="11" t="s">
        <v>34</v>
      </c>
      <c r="H171" s="10" t="n">
        <v>-20322</v>
      </c>
      <c r="I171" s="10" t="n">
        <v>8876</v>
      </c>
      <c r="J171" s="10" t="n">
        <v>128</v>
      </c>
      <c r="K171" s="10" t="n">
        <v>8507</v>
      </c>
      <c r="L171" s="10" t="n">
        <v>370</v>
      </c>
      <c r="M171" s="10" t="n">
        <v>0</v>
      </c>
      <c r="N171" s="10" t="n">
        <v>0</v>
      </c>
      <c r="O171" s="10" t="n">
        <v>0</v>
      </c>
      <c r="P171" s="10" t="n">
        <v>-2441</v>
      </c>
      <c r="Q171" s="17"/>
      <c r="R171" s="11"/>
      <c r="S171" s="21"/>
      <c r="T171" s="15"/>
      <c r="U171" s="14" t="s">
        <v>297</v>
      </c>
      <c r="V171" s="10" t="n">
        <v>12526</v>
      </c>
      <c r="W171" s="8"/>
      <c r="X171" s="8"/>
      <c r="Y171" s="8"/>
      <c r="Z171" s="8"/>
      <c r="AA171" s="8"/>
      <c r="AB171" s="8"/>
      <c r="AC171" s="8"/>
    </row>
    <row r="172" customFormat="false" ht="15" hidden="false" customHeight="false" outlineLevel="0" collapsed="false">
      <c r="A172" s="9" t="n">
        <v>46303</v>
      </c>
      <c r="B172" s="10" t="s">
        <v>22</v>
      </c>
      <c r="C172" s="11" t="s">
        <v>23</v>
      </c>
      <c r="D172" s="11" t="s">
        <v>404</v>
      </c>
      <c r="E172" s="11" t="str">
        <f aca="false" t="array" ref="E172:E172">IF(D172="","",IFERROR(INDEX('CLM &amp; IM Mapping'!$B$2:$B$270,MATCH(TRIM(D172),'CLM &amp; IM Mapping'!$A$2:$A$270,0)),"Not Mapped"))</f>
        <v>Arun Raj</v>
      </c>
      <c r="F172" s="11" t="str">
        <f aca="false" t="array" ref="F172:F172">IF(D172="","",IFERROR(INDEX('CLM &amp; IM Mapping'!$C$2:$C$270,MATCH(TRIM(D172),'CLM &amp; IM Mapping'!$A$2:$A$270,0)),"Not Mapped"))</f>
        <v>Simon Manoharan</v>
      </c>
      <c r="G172" s="11" t="s">
        <v>25</v>
      </c>
      <c r="H172" s="10" t="n">
        <v>-19616</v>
      </c>
      <c r="I172" s="10" t="n">
        <v>15330</v>
      </c>
      <c r="J172" s="10" t="n">
        <v>0</v>
      </c>
      <c r="K172" s="10" t="n">
        <v>490</v>
      </c>
      <c r="L172" s="10" t="n">
        <v>1353</v>
      </c>
      <c r="M172" s="10" t="n">
        <v>0</v>
      </c>
      <c r="N172" s="10" t="n">
        <v>0</v>
      </c>
      <c r="O172" s="10" t="n">
        <v>0</v>
      </c>
      <c r="P172" s="10" t="n">
        <v>-2443</v>
      </c>
      <c r="Q172" s="17"/>
      <c r="R172" s="11"/>
      <c r="S172" s="21"/>
      <c r="T172" s="15"/>
      <c r="U172" s="14" t="s">
        <v>266</v>
      </c>
      <c r="V172" s="10" t="n">
        <v>4193</v>
      </c>
      <c r="W172" s="8"/>
      <c r="X172" s="8"/>
      <c r="Y172" s="8"/>
      <c r="Z172" s="8"/>
      <c r="AA172" s="8"/>
      <c r="AB172" s="8"/>
      <c r="AC172" s="8"/>
    </row>
    <row r="173" customFormat="false" ht="15" hidden="false" customHeight="false" outlineLevel="0" collapsed="false">
      <c r="A173" s="9" t="n">
        <v>46303</v>
      </c>
      <c r="B173" s="10" t="s">
        <v>22</v>
      </c>
      <c r="C173" s="11" t="s">
        <v>23</v>
      </c>
      <c r="D173" s="10" t="s">
        <v>405</v>
      </c>
      <c r="E173" s="11" t="str">
        <f aca="false" t="array" ref="E173:E173">IF(D173="","",IFERROR(INDEX('CLM &amp; IM Mapping'!$B$2:$B$270,MATCH(TRIM(D173),'CLM &amp; IM Mapping'!$A$2:$A$270,0)),"Not Mapped"))</f>
        <v>Adhavan Subramani</v>
      </c>
      <c r="F173" s="11" t="str">
        <f aca="false" t="array" ref="F173:F173">IF(D173="","",IFERROR(INDEX('CLM &amp; IM Mapping'!$C$2:$C$270,MATCH(TRIM(D173),'CLM &amp; IM Mapping'!$A$2:$A$270,0)),"Not Mapped"))</f>
        <v>Mohammed Akbar</v>
      </c>
      <c r="G173" s="11" t="s">
        <v>34</v>
      </c>
      <c r="H173" s="10" t="n">
        <v>-2872</v>
      </c>
      <c r="I173" s="10" t="n">
        <v>52</v>
      </c>
      <c r="J173" s="10" t="n">
        <v>0</v>
      </c>
      <c r="K173" s="10" t="n">
        <v>0</v>
      </c>
      <c r="L173" s="10" t="n">
        <v>138</v>
      </c>
      <c r="M173" s="10" t="n">
        <v>0</v>
      </c>
      <c r="N173" s="10" t="n">
        <v>0</v>
      </c>
      <c r="O173" s="10" t="n">
        <v>0</v>
      </c>
      <c r="P173" s="10" t="n">
        <v>-2683</v>
      </c>
      <c r="Q173" s="17"/>
      <c r="R173" s="11"/>
      <c r="S173" s="12" t="s">
        <v>406</v>
      </c>
      <c r="T173" s="15" t="n">
        <v>10000</v>
      </c>
      <c r="U173" s="14" t="s">
        <v>347</v>
      </c>
      <c r="V173" s="10" t="n">
        <v>1923</v>
      </c>
      <c r="W173" s="8"/>
      <c r="X173" s="8"/>
      <c r="Y173" s="8"/>
      <c r="Z173" s="8"/>
      <c r="AA173" s="8"/>
      <c r="AB173" s="8"/>
      <c r="AC173" s="8"/>
    </row>
    <row r="174" customFormat="false" ht="15" hidden="false" customHeight="false" outlineLevel="0" collapsed="false">
      <c r="A174" s="9" t="n">
        <v>46303</v>
      </c>
      <c r="B174" s="10" t="s">
        <v>22</v>
      </c>
      <c r="C174" s="11" t="s">
        <v>23</v>
      </c>
      <c r="D174" s="10" t="s">
        <v>407</v>
      </c>
      <c r="E174" s="11" t="str">
        <f aca="false" t="array" ref="E174:E174">IF(D174="","",IFERROR(INDEX('CLM &amp; IM Mapping'!$B$2:$B$270,MATCH(TRIM(D174),'CLM &amp; IM Mapping'!$A$2:$A$270,0)),"Not Mapped"))</f>
        <v>Rizwan Ahmed</v>
      </c>
      <c r="F174" s="11" t="str">
        <f aca="false" t="array" ref="F174:F174">IF(D174="","",IFERROR(INDEX('CLM &amp; IM Mapping'!$C$2:$C$270,MATCH(TRIM(D174),'CLM &amp; IM Mapping'!$A$2:$A$270,0)),"Not Mapped"))</f>
        <v>Un Mapped</v>
      </c>
      <c r="G174" s="11" t="s">
        <v>34</v>
      </c>
      <c r="H174" s="10" t="n">
        <v>-5163</v>
      </c>
      <c r="I174" s="10" t="n">
        <v>2380</v>
      </c>
      <c r="J174" s="10" t="n">
        <v>0</v>
      </c>
      <c r="K174" s="10" t="n">
        <v>0</v>
      </c>
      <c r="L174" s="10" t="n">
        <v>45</v>
      </c>
      <c r="M174" s="10" t="n">
        <v>0</v>
      </c>
      <c r="N174" s="10" t="n">
        <v>0</v>
      </c>
      <c r="O174" s="10" t="n">
        <v>0</v>
      </c>
      <c r="P174" s="10" t="n">
        <v>-2738</v>
      </c>
      <c r="Q174" s="17"/>
      <c r="R174" s="11"/>
      <c r="S174" s="21"/>
      <c r="T174" s="15"/>
      <c r="U174" s="14" t="s">
        <v>273</v>
      </c>
      <c r="V174" s="10" t="n">
        <v>1685</v>
      </c>
      <c r="W174" s="8"/>
      <c r="X174" s="8"/>
      <c r="Y174" s="8"/>
      <c r="Z174" s="8"/>
      <c r="AA174" s="8"/>
      <c r="AB174" s="8"/>
      <c r="AC174" s="8"/>
    </row>
    <row r="175" customFormat="false" ht="15" hidden="false" customHeight="false" outlineLevel="0" collapsed="false">
      <c r="A175" s="9" t="n">
        <v>46303</v>
      </c>
      <c r="B175" s="10" t="s">
        <v>22</v>
      </c>
      <c r="C175" s="11" t="s">
        <v>23</v>
      </c>
      <c r="D175" s="10" t="s">
        <v>408</v>
      </c>
      <c r="E175" s="11" t="str">
        <f aca="false" t="array" ref="E175:E175">IF(D175="","",IFERROR(INDEX('CLM &amp; IM Mapping'!$B$2:$B$270,MATCH(TRIM(D175),'CLM &amp; IM Mapping'!$A$2:$A$270,0)),"Not Mapped"))</f>
        <v>Ravishankar gowda</v>
      </c>
      <c r="F175" s="11" t="str">
        <f aca="false" t="array" ref="F175:F175">IF(D175="","",IFERROR(INDEX('CLM &amp; IM Mapping'!$C$2:$C$270,MATCH(TRIM(D175),'CLM &amp; IM Mapping'!$A$2:$A$270,0)),"Not Mapped"))</f>
        <v>Kishor K</v>
      </c>
      <c r="G175" s="11" t="s">
        <v>34</v>
      </c>
      <c r="H175" s="10" t="n">
        <v>-8308</v>
      </c>
      <c r="I175" s="10" t="n">
        <v>5468</v>
      </c>
      <c r="J175" s="10" t="n">
        <v>0</v>
      </c>
      <c r="K175" s="10" t="n">
        <v>0</v>
      </c>
      <c r="L175" s="10" t="n">
        <v>0</v>
      </c>
      <c r="M175" s="10" t="n">
        <v>0</v>
      </c>
      <c r="N175" s="10" t="n">
        <v>0</v>
      </c>
      <c r="O175" s="10" t="n">
        <v>0</v>
      </c>
      <c r="P175" s="10" t="n">
        <v>-2840</v>
      </c>
      <c r="Q175" s="17"/>
      <c r="R175" s="11"/>
      <c r="S175" s="21"/>
      <c r="T175" s="15"/>
      <c r="U175" s="14" t="s">
        <v>409</v>
      </c>
      <c r="V175" s="10" t="n">
        <v>3531</v>
      </c>
      <c r="W175" s="8"/>
      <c r="X175" s="8"/>
      <c r="Y175" s="8"/>
      <c r="Z175" s="8"/>
      <c r="AA175" s="8"/>
      <c r="AB175" s="8"/>
      <c r="AC175" s="8"/>
    </row>
    <row r="176" customFormat="false" ht="15" hidden="false" customHeight="false" outlineLevel="0" collapsed="false">
      <c r="A176" s="9" t="n">
        <v>46303</v>
      </c>
      <c r="B176" s="10" t="s">
        <v>22</v>
      </c>
      <c r="C176" s="11" t="s">
        <v>23</v>
      </c>
      <c r="D176" s="10" t="s">
        <v>410</v>
      </c>
      <c r="E176" s="11" t="str">
        <f aca="false" t="array" ref="E176:E176">IF(D176="","",IFERROR(INDEX('CLM &amp; IM Mapping'!$B$2:$B$270,MATCH(TRIM(D176),'CLM &amp; IM Mapping'!$A$2:$A$270,0)),"Not Mapped"))</f>
        <v>Akshay P</v>
      </c>
      <c r="F176" s="11" t="str">
        <f aca="false" t="array" ref="F176:F176">IF(D176="","",IFERROR(INDEX('CLM &amp; IM Mapping'!$C$2:$C$270,MATCH(TRIM(D176),'CLM &amp; IM Mapping'!$A$2:$A$270,0)),"Not Mapped"))</f>
        <v>Srittam Dhal</v>
      </c>
      <c r="G176" s="11" t="s">
        <v>34</v>
      </c>
      <c r="H176" s="10" t="n">
        <v>-3150</v>
      </c>
      <c r="I176" s="10" t="n">
        <v>39</v>
      </c>
      <c r="J176" s="10" t="n">
        <v>0</v>
      </c>
      <c r="K176" s="10" t="n">
        <v>0</v>
      </c>
      <c r="L176" s="10" t="n">
        <v>127</v>
      </c>
      <c r="M176" s="10" t="n">
        <v>0</v>
      </c>
      <c r="N176" s="10" t="n">
        <v>0</v>
      </c>
      <c r="O176" s="10" t="n">
        <v>0</v>
      </c>
      <c r="P176" s="10" t="n">
        <v>-2984</v>
      </c>
      <c r="Q176" s="17"/>
      <c r="R176" s="11"/>
      <c r="S176" s="21"/>
      <c r="T176" s="15"/>
      <c r="U176" s="14" t="s">
        <v>338</v>
      </c>
      <c r="V176" s="10" t="n">
        <v>5706</v>
      </c>
      <c r="W176" s="8"/>
      <c r="X176" s="8"/>
      <c r="Y176" s="8"/>
      <c r="Z176" s="8"/>
      <c r="AA176" s="8"/>
      <c r="AB176" s="8"/>
      <c r="AC176" s="8"/>
    </row>
    <row r="177" customFormat="false" ht="15" hidden="false" customHeight="false" outlineLevel="0" collapsed="false">
      <c r="A177" s="9" t="n">
        <v>46303</v>
      </c>
      <c r="B177" s="10" t="s">
        <v>22</v>
      </c>
      <c r="C177" s="11" t="s">
        <v>221</v>
      </c>
      <c r="D177" s="10" t="s">
        <v>411</v>
      </c>
      <c r="E177" s="11" t="str">
        <f aca="false" t="array" ref="E177:E177">IF(D177="","",IFERROR(INDEX('CLM &amp; IM Mapping'!$B$2:$B$270,MATCH(TRIM(D177),'CLM &amp; IM Mapping'!$A$2:$A$270,0)),"Not Mapped"))</f>
        <v>Vishnu V</v>
      </c>
      <c r="F177" s="11" t="str">
        <f aca="false" t="array" ref="F177:F177">IF(D177="","",IFERROR(INDEX('CLM &amp; IM Mapping'!$C$2:$C$270,MATCH(TRIM(D177),'CLM &amp; IM Mapping'!$A$2:$A$270,0)),"Not Mapped"))</f>
        <v>Arivind S</v>
      </c>
      <c r="G177" s="11" t="s">
        <v>34</v>
      </c>
      <c r="H177" s="10" t="n">
        <v>-3321</v>
      </c>
      <c r="I177" s="10" t="n">
        <v>216</v>
      </c>
      <c r="J177" s="10" t="n">
        <v>0</v>
      </c>
      <c r="K177" s="10" t="n">
        <v>0</v>
      </c>
      <c r="L177" s="10" t="n">
        <v>86</v>
      </c>
      <c r="M177" s="10" t="n">
        <v>0</v>
      </c>
      <c r="N177" s="10" t="n">
        <v>0</v>
      </c>
      <c r="O177" s="10" t="n">
        <v>0</v>
      </c>
      <c r="P177" s="10" t="n">
        <v>-3019</v>
      </c>
      <c r="Q177" s="17"/>
      <c r="R177" s="11"/>
      <c r="S177" s="21"/>
      <c r="T177" s="15"/>
      <c r="U177" s="14" t="s">
        <v>324</v>
      </c>
      <c r="V177" s="10" t="n">
        <v>1574</v>
      </c>
      <c r="W177" s="8"/>
      <c r="X177" s="8"/>
      <c r="Y177" s="8"/>
      <c r="Z177" s="8"/>
      <c r="AA177" s="8"/>
      <c r="AB177" s="8"/>
      <c r="AC177" s="8"/>
    </row>
    <row r="178" customFormat="false" ht="15" hidden="false" customHeight="false" outlineLevel="0" collapsed="false">
      <c r="A178" s="9" t="n">
        <v>46303</v>
      </c>
      <c r="B178" s="10" t="s">
        <v>22</v>
      </c>
      <c r="C178" s="11" t="s">
        <v>23</v>
      </c>
      <c r="D178" s="10" t="s">
        <v>412</v>
      </c>
      <c r="E178" s="11" t="str">
        <f aca="false" t="array" ref="E178:E178">IF(D178="","",IFERROR(INDEX('CLM &amp; IM Mapping'!$B$2:$B$270,MATCH(TRIM(D178),'CLM &amp; IM Mapping'!$A$2:$A$270,0)),"Not Mapped"))</f>
        <v>Richard Harris</v>
      </c>
      <c r="F178" s="11" t="str">
        <f aca="false" t="array" ref="F178:F178">IF(D178="","",IFERROR(INDEX('CLM &amp; IM Mapping'!$C$2:$C$270,MATCH(TRIM(D178),'CLM &amp; IM Mapping'!$A$2:$A$270,0)),"Not Mapped"))</f>
        <v>Kantha Kumar</v>
      </c>
      <c r="G178" s="11" t="s">
        <v>34</v>
      </c>
      <c r="H178" s="10" t="n">
        <v>-8078</v>
      </c>
      <c r="I178" s="10" t="n">
        <v>4151</v>
      </c>
      <c r="J178" s="10" t="n">
        <v>0</v>
      </c>
      <c r="K178" s="10" t="n">
        <v>253</v>
      </c>
      <c r="L178" s="10" t="n">
        <v>352</v>
      </c>
      <c r="M178" s="10" t="n">
        <v>0</v>
      </c>
      <c r="N178" s="10" t="n">
        <v>0</v>
      </c>
      <c r="O178" s="10" t="n">
        <v>0</v>
      </c>
      <c r="P178" s="10" t="n">
        <v>-3323</v>
      </c>
      <c r="Q178" s="17"/>
      <c r="R178" s="11"/>
      <c r="S178" s="21"/>
      <c r="T178" s="15"/>
      <c r="U178" s="14" t="s">
        <v>32</v>
      </c>
      <c r="V178" s="10" t="n">
        <v>7536</v>
      </c>
      <c r="W178" s="8"/>
      <c r="X178" s="8"/>
      <c r="Y178" s="8"/>
      <c r="Z178" s="8"/>
      <c r="AA178" s="8"/>
      <c r="AB178" s="8"/>
      <c r="AC178" s="8"/>
    </row>
    <row r="179" customFormat="false" ht="15" hidden="false" customHeight="false" outlineLevel="0" collapsed="false">
      <c r="A179" s="9" t="n">
        <v>46303</v>
      </c>
      <c r="B179" s="10" t="s">
        <v>22</v>
      </c>
      <c r="C179" s="11" t="s">
        <v>23</v>
      </c>
      <c r="D179" s="10" t="s">
        <v>413</v>
      </c>
      <c r="E179" s="11" t="str">
        <f aca="false" t="array" ref="E179:E179">IF(D179="","",IFERROR(INDEX('CLM &amp; IM Mapping'!$B$2:$B$270,MATCH(TRIM(D179),'CLM &amp; IM Mapping'!$A$2:$A$270,0)),"Not Mapped"))</f>
        <v>Arun Raj</v>
      </c>
      <c r="F179" s="11" t="str">
        <f aca="false" t="array" ref="F179:F179">IF(D179="","",IFERROR(INDEX('CLM &amp; IM Mapping'!$C$2:$C$270,MATCH(TRIM(D179),'CLM &amp; IM Mapping'!$A$2:$A$270,0)),"Not Mapped"))</f>
        <v>Simon Manoharan</v>
      </c>
      <c r="G179" s="11" t="s">
        <v>25</v>
      </c>
      <c r="H179" s="10" t="n">
        <v>-8918</v>
      </c>
      <c r="I179" s="10" t="n">
        <v>787</v>
      </c>
      <c r="J179" s="10" t="n">
        <v>0</v>
      </c>
      <c r="K179" s="10" t="n">
        <v>0</v>
      </c>
      <c r="L179" s="10" t="n">
        <v>754</v>
      </c>
      <c r="M179" s="10" t="n">
        <v>0</v>
      </c>
      <c r="N179" s="10" t="n">
        <v>0</v>
      </c>
      <c r="O179" s="10" t="n">
        <v>3862</v>
      </c>
      <c r="P179" s="10" t="n">
        <v>-3514</v>
      </c>
      <c r="Q179" s="17"/>
      <c r="R179" s="11"/>
      <c r="S179" s="21"/>
      <c r="T179" s="15"/>
      <c r="U179" s="14" t="s">
        <v>414</v>
      </c>
      <c r="V179" s="10" t="n">
        <v>1058</v>
      </c>
      <c r="W179" s="8"/>
      <c r="X179" s="8"/>
      <c r="Y179" s="8"/>
      <c r="Z179" s="8"/>
      <c r="AA179" s="8"/>
      <c r="AB179" s="8"/>
      <c r="AC179" s="8"/>
    </row>
    <row r="180" customFormat="false" ht="15" hidden="false" customHeight="false" outlineLevel="0" collapsed="false">
      <c r="A180" s="9" t="n">
        <v>46303</v>
      </c>
      <c r="B180" s="10" t="s">
        <v>22</v>
      </c>
      <c r="C180" s="11" t="s">
        <v>221</v>
      </c>
      <c r="D180" s="10" t="s">
        <v>415</v>
      </c>
      <c r="E180" s="11" t="str">
        <f aca="false" t="array" ref="E180:E180">IF(D180="","",IFERROR(INDEX('CLM &amp; IM Mapping'!$B$2:$B$270,MATCH(TRIM(D180),'CLM &amp; IM Mapping'!$A$2:$A$270,0)),"Not Mapped"))</f>
        <v>Vishnu V</v>
      </c>
      <c r="F180" s="11" t="str">
        <f aca="false" t="array" ref="F180:F180">IF(D180="","",IFERROR(INDEX('CLM &amp; IM Mapping'!$C$2:$C$270,MATCH(TRIM(D180),'CLM &amp; IM Mapping'!$A$2:$A$270,0)),"Not Mapped"))</f>
        <v>Arivind S</v>
      </c>
      <c r="G180" s="11" t="s">
        <v>34</v>
      </c>
      <c r="H180" s="10" t="n">
        <v>-10618</v>
      </c>
      <c r="I180" s="10" t="n">
        <v>4246</v>
      </c>
      <c r="J180" s="10" t="n">
        <v>1571</v>
      </c>
      <c r="K180" s="10" t="n">
        <v>258</v>
      </c>
      <c r="L180" s="10" t="n">
        <v>925</v>
      </c>
      <c r="M180" s="10" t="n">
        <v>0</v>
      </c>
      <c r="N180" s="10" t="n">
        <v>0</v>
      </c>
      <c r="O180" s="10" t="n">
        <v>0</v>
      </c>
      <c r="P180" s="10" t="n">
        <v>-3618</v>
      </c>
      <c r="Q180" s="17"/>
      <c r="R180" s="11"/>
      <c r="S180" s="21"/>
      <c r="T180" s="15"/>
      <c r="U180" s="14" t="s">
        <v>174</v>
      </c>
      <c r="V180" s="10" t="n">
        <v>3845</v>
      </c>
      <c r="W180" s="8"/>
      <c r="X180" s="8"/>
      <c r="Y180" s="8"/>
      <c r="Z180" s="8"/>
      <c r="AA180" s="8"/>
      <c r="AB180" s="8"/>
      <c r="AC180" s="8"/>
    </row>
    <row r="181" customFormat="false" ht="15" hidden="false" customHeight="false" outlineLevel="0" collapsed="false">
      <c r="A181" s="9" t="n">
        <v>46303</v>
      </c>
      <c r="B181" s="10" t="s">
        <v>22</v>
      </c>
      <c r="C181" s="11" t="s">
        <v>23</v>
      </c>
      <c r="D181" s="10" t="s">
        <v>416</v>
      </c>
      <c r="E181" s="11" t="str">
        <f aca="false" t="array" ref="E181:E181">IF(D181="","",IFERROR(INDEX('CLM &amp; IM Mapping'!$B$2:$B$270,MATCH(TRIM(D181),'CLM &amp; IM Mapping'!$A$2:$A$270,0)),"Not Mapped"))</f>
        <v>Girish N</v>
      </c>
      <c r="F181" s="11" t="str">
        <f aca="false" t="array" ref="F181:F181">IF(D181="","",IFERROR(INDEX('CLM &amp; IM Mapping'!$C$2:$C$270,MATCH(TRIM(D181),'CLM &amp; IM Mapping'!$A$2:$A$270,0)),"Not Mapped"))</f>
        <v>Un Mapped</v>
      </c>
      <c r="G181" s="11" t="s">
        <v>34</v>
      </c>
      <c r="H181" s="10" t="n">
        <v>-10402</v>
      </c>
      <c r="I181" s="10" t="n">
        <v>6439</v>
      </c>
      <c r="J181" s="10" t="n">
        <v>0</v>
      </c>
      <c r="K181" s="10" t="n">
        <v>0</v>
      </c>
      <c r="L181" s="10" t="n">
        <v>111</v>
      </c>
      <c r="M181" s="10" t="n">
        <v>0</v>
      </c>
      <c r="N181" s="10" t="n">
        <v>0</v>
      </c>
      <c r="O181" s="10" t="n">
        <v>0</v>
      </c>
      <c r="P181" s="10" t="n">
        <v>-3852</v>
      </c>
      <c r="Q181" s="17"/>
      <c r="R181" s="11"/>
      <c r="S181" s="21"/>
      <c r="T181" s="15"/>
      <c r="U181" s="14" t="s">
        <v>347</v>
      </c>
      <c r="V181" s="10" t="n">
        <v>11273</v>
      </c>
      <c r="W181" s="8"/>
      <c r="X181" s="8"/>
      <c r="Y181" s="8"/>
      <c r="Z181" s="8"/>
      <c r="AA181" s="8"/>
      <c r="AB181" s="8"/>
      <c r="AC181" s="8"/>
    </row>
    <row r="182" customFormat="false" ht="15" hidden="false" customHeight="false" outlineLevel="0" collapsed="false">
      <c r="A182" s="9" t="n">
        <v>46303</v>
      </c>
      <c r="B182" s="10" t="s">
        <v>22</v>
      </c>
      <c r="C182" s="11" t="s">
        <v>417</v>
      </c>
      <c r="D182" s="10" t="s">
        <v>418</v>
      </c>
      <c r="E182" s="11" t="str">
        <f aca="false" t="array" ref="E182:E182">IF(D182="","",IFERROR(INDEX('CLM &amp; IM Mapping'!$B$2:$B$270,MATCH(TRIM(D182),'CLM &amp; IM Mapping'!$A$2:$A$270,0)),"Not Mapped"))</f>
        <v>Vishnu V</v>
      </c>
      <c r="F182" s="11" t="str">
        <f aca="false" t="array" ref="F182:F182">IF(D182="","",IFERROR(INDEX('CLM &amp; IM Mapping'!$C$2:$C$270,MATCH(TRIM(D182),'CLM &amp; IM Mapping'!$A$2:$A$270,0)),"Not Mapped"))</f>
        <v>Arivind S</v>
      </c>
      <c r="G182" s="11" t="s">
        <v>34</v>
      </c>
      <c r="H182" s="10" t="n">
        <v>-4380</v>
      </c>
      <c r="I182" s="10" t="n">
        <v>0</v>
      </c>
      <c r="J182" s="10" t="n">
        <v>0</v>
      </c>
      <c r="K182" s="10" t="n">
        <v>0</v>
      </c>
      <c r="L182" s="10" t="n">
        <v>275</v>
      </c>
      <c r="M182" s="10" t="n">
        <v>0</v>
      </c>
      <c r="N182" s="10" t="n">
        <v>0</v>
      </c>
      <c r="O182" s="10" t="n">
        <v>0</v>
      </c>
      <c r="P182" s="10" t="n">
        <v>-4105</v>
      </c>
      <c r="Q182" s="17"/>
      <c r="R182" s="11"/>
      <c r="S182" s="21"/>
      <c r="T182" s="15"/>
      <c r="U182" s="14" t="s">
        <v>419</v>
      </c>
      <c r="V182" s="11" t="n">
        <v>554</v>
      </c>
      <c r="W182" s="8"/>
      <c r="X182" s="8"/>
      <c r="Y182" s="8"/>
      <c r="Z182" s="8"/>
      <c r="AA182" s="8"/>
      <c r="AB182" s="8"/>
      <c r="AC182" s="8"/>
    </row>
    <row r="183" customFormat="false" ht="15" hidden="false" customHeight="false" outlineLevel="0" collapsed="false">
      <c r="A183" s="9" t="n">
        <v>46303</v>
      </c>
      <c r="B183" s="10" t="s">
        <v>22</v>
      </c>
      <c r="C183" s="11" t="s">
        <v>23</v>
      </c>
      <c r="D183" s="10" t="s">
        <v>420</v>
      </c>
      <c r="E183" s="11" t="str">
        <f aca="false" t="array" ref="E183:E183">IF(D183="","",IFERROR(INDEX('CLM &amp; IM Mapping'!$B$2:$B$270,MATCH(TRIM(D183),'CLM &amp; IM Mapping'!$A$2:$A$270,0)),"Not Mapped"))</f>
        <v>Ravishankar gowda</v>
      </c>
      <c r="F183" s="11" t="str">
        <f aca="false" t="array" ref="F183:F183">IF(D183="","",IFERROR(INDEX('CLM &amp; IM Mapping'!$C$2:$C$270,MATCH(TRIM(D183),'CLM &amp; IM Mapping'!$A$2:$A$270,0)),"Not Mapped"))</f>
        <v>Kishor K</v>
      </c>
      <c r="G183" s="11" t="s">
        <v>34</v>
      </c>
      <c r="H183" s="10" t="n">
        <v>-5924</v>
      </c>
      <c r="I183" s="10" t="n">
        <v>1578</v>
      </c>
      <c r="J183" s="10" t="n">
        <v>0</v>
      </c>
      <c r="K183" s="10" t="n">
        <v>0</v>
      </c>
      <c r="L183" s="10" t="n">
        <v>167</v>
      </c>
      <c r="M183" s="10" t="n">
        <v>0</v>
      </c>
      <c r="N183" s="10" t="n">
        <v>0</v>
      </c>
      <c r="O183" s="10" t="n">
        <v>0</v>
      </c>
      <c r="P183" s="10" t="n">
        <v>-4178</v>
      </c>
      <c r="Q183" s="17"/>
      <c r="R183" s="11"/>
      <c r="S183" s="21"/>
      <c r="T183" s="15"/>
      <c r="U183" s="14" t="s">
        <v>237</v>
      </c>
      <c r="V183" s="10" t="n">
        <v>3574</v>
      </c>
      <c r="W183" s="8"/>
      <c r="X183" s="8"/>
      <c r="Y183" s="8"/>
      <c r="Z183" s="8"/>
      <c r="AA183" s="8"/>
      <c r="AB183" s="8"/>
      <c r="AC183" s="8"/>
    </row>
    <row r="184" customFormat="false" ht="15" hidden="false" customHeight="false" outlineLevel="0" collapsed="false">
      <c r="A184" s="9" t="n">
        <v>46303</v>
      </c>
      <c r="B184" s="10" t="s">
        <v>22</v>
      </c>
      <c r="C184" s="11" t="s">
        <v>276</v>
      </c>
      <c r="D184" s="11" t="s">
        <v>421</v>
      </c>
      <c r="E184" s="11" t="str">
        <f aca="false" t="array" ref="E184:E184">IF(D184="","",IFERROR(INDEX('CLM &amp; IM Mapping'!$B$2:$B$270,MATCH(TRIM(D184),'CLM &amp; IM Mapping'!$A$2:$A$270,0)),"Not Mapped"))</f>
        <v>Santhosha M</v>
      </c>
      <c r="F184" s="11" t="str">
        <f aca="false" t="array" ref="F184:F184">IF(D184="","",IFERROR(INDEX('CLM &amp; IM Mapping'!$C$2:$C$270,MATCH(TRIM(D184),'CLM &amp; IM Mapping'!$A$2:$A$270,0)),"Not Mapped"))</f>
        <v>Aravind S</v>
      </c>
      <c r="G184" s="11" t="s">
        <v>34</v>
      </c>
      <c r="H184" s="10" t="n">
        <v>-4415</v>
      </c>
      <c r="I184" s="10" t="n">
        <v>0</v>
      </c>
      <c r="J184" s="10" t="n">
        <v>0</v>
      </c>
      <c r="K184" s="10" t="n">
        <v>0</v>
      </c>
      <c r="L184" s="10" t="n">
        <v>0</v>
      </c>
      <c r="M184" s="10" t="n">
        <v>0</v>
      </c>
      <c r="N184" s="10" t="n">
        <v>0</v>
      </c>
      <c r="O184" s="10" t="n">
        <v>0</v>
      </c>
      <c r="P184" s="10" t="n">
        <v>-4415</v>
      </c>
      <c r="Q184" s="17"/>
      <c r="R184" s="11"/>
      <c r="S184" s="21"/>
      <c r="T184" s="15"/>
      <c r="U184" s="14" t="s">
        <v>197</v>
      </c>
      <c r="V184" s="11" t="n">
        <v>954</v>
      </c>
      <c r="W184" s="8"/>
      <c r="X184" s="8"/>
      <c r="Y184" s="8"/>
      <c r="Z184" s="8"/>
      <c r="AA184" s="8"/>
      <c r="AB184" s="8"/>
      <c r="AC184" s="8"/>
    </row>
    <row r="185" customFormat="false" ht="15" hidden="false" customHeight="false" outlineLevel="0" collapsed="false">
      <c r="A185" s="9" t="n">
        <v>46303</v>
      </c>
      <c r="B185" s="10" t="s">
        <v>22</v>
      </c>
      <c r="C185" s="11" t="s">
        <v>23</v>
      </c>
      <c r="D185" s="10" t="s">
        <v>422</v>
      </c>
      <c r="E185" s="11" t="str">
        <f aca="false" t="array" ref="E185:E185">IF(D185="","",IFERROR(INDEX('CLM &amp; IM Mapping'!$B$2:$B$270,MATCH(TRIM(D185),'CLM &amp; IM Mapping'!$A$2:$A$270,0)),"Not Mapped"))</f>
        <v>Manjunatha V</v>
      </c>
      <c r="F185" s="11" t="str">
        <f aca="false" t="array" ref="F185:F185">IF(D185="","",IFERROR(INDEX('CLM &amp; IM Mapping'!$C$2:$C$270,MATCH(TRIM(D185),'CLM &amp; IM Mapping'!$A$2:$A$270,0)),"Not Mapped"))</f>
        <v>Un Mapped</v>
      </c>
      <c r="G185" s="11" t="s">
        <v>34</v>
      </c>
      <c r="H185" s="10" t="n">
        <v>-11226</v>
      </c>
      <c r="I185" s="10" t="n">
        <v>5297</v>
      </c>
      <c r="J185" s="10" t="n">
        <v>0</v>
      </c>
      <c r="K185" s="10" t="n">
        <v>176</v>
      </c>
      <c r="L185" s="10" t="n">
        <v>1021</v>
      </c>
      <c r="M185" s="10" t="n">
        <v>0</v>
      </c>
      <c r="N185" s="10" t="n">
        <v>0</v>
      </c>
      <c r="O185" s="10" t="n">
        <v>66</v>
      </c>
      <c r="P185" s="10" t="n">
        <v>-4667</v>
      </c>
      <c r="Q185" s="17"/>
      <c r="R185" s="11"/>
      <c r="S185" s="21"/>
      <c r="T185" s="15"/>
      <c r="U185" s="14" t="s">
        <v>125</v>
      </c>
      <c r="V185" s="10" t="n">
        <v>7665</v>
      </c>
      <c r="W185" s="8"/>
      <c r="X185" s="8"/>
      <c r="Y185" s="8"/>
      <c r="Z185" s="8"/>
      <c r="AA185" s="8"/>
      <c r="AB185" s="8"/>
      <c r="AC185" s="8"/>
    </row>
    <row r="186" customFormat="false" ht="15" hidden="false" customHeight="false" outlineLevel="0" collapsed="false">
      <c r="A186" s="9" t="n">
        <v>46303</v>
      </c>
      <c r="B186" s="10" t="s">
        <v>22</v>
      </c>
      <c r="C186" s="11" t="s">
        <v>23</v>
      </c>
      <c r="D186" s="10" t="s">
        <v>423</v>
      </c>
      <c r="E186" s="11" t="str">
        <f aca="false" t="array" ref="E186:E186">IF(D186="","",IFERROR(INDEX('CLM &amp; IM Mapping'!$B$2:$B$270,MATCH(TRIM(D186),'CLM &amp; IM Mapping'!$A$2:$A$270,0)),"Not Mapped"))</f>
        <v>Ashwath S</v>
      </c>
      <c r="F186" s="11" t="str">
        <f aca="false" t="array" ref="F186:F186">IF(D186="","",IFERROR(INDEX('CLM &amp; IM Mapping'!$C$2:$C$270,MATCH(TRIM(D186),'CLM &amp; IM Mapping'!$A$2:$A$270,0)),"Not Mapped"))</f>
        <v>Kantha Kumar</v>
      </c>
      <c r="G186" s="11" t="s">
        <v>34</v>
      </c>
      <c r="H186" s="10" t="n">
        <v>-5055</v>
      </c>
      <c r="I186" s="10" t="n">
        <v>0</v>
      </c>
      <c r="J186" s="10" t="n">
        <v>0</v>
      </c>
      <c r="K186" s="10" t="n">
        <v>0</v>
      </c>
      <c r="L186" s="10" t="n">
        <v>43</v>
      </c>
      <c r="M186" s="10" t="n">
        <v>0</v>
      </c>
      <c r="N186" s="10" t="n">
        <v>0</v>
      </c>
      <c r="O186" s="10" t="n">
        <v>194</v>
      </c>
      <c r="P186" s="10" t="n">
        <v>-4818</v>
      </c>
      <c r="Q186" s="17"/>
      <c r="R186" s="11"/>
      <c r="S186" s="21"/>
      <c r="T186" s="15"/>
      <c r="U186" s="14" t="s">
        <v>424</v>
      </c>
      <c r="V186" s="10" t="n">
        <v>5032</v>
      </c>
      <c r="W186" s="8"/>
      <c r="X186" s="8"/>
      <c r="Y186" s="8"/>
      <c r="Z186" s="8"/>
      <c r="AA186" s="8"/>
      <c r="AB186" s="8"/>
      <c r="AC186" s="8"/>
    </row>
    <row r="187" customFormat="false" ht="15" hidden="false" customHeight="false" outlineLevel="0" collapsed="false">
      <c r="A187" s="9" t="n">
        <v>46303</v>
      </c>
      <c r="B187" s="10" t="s">
        <v>22</v>
      </c>
      <c r="C187" s="11" t="s">
        <v>276</v>
      </c>
      <c r="D187" s="10" t="s">
        <v>425</v>
      </c>
      <c r="E187" s="11" t="str">
        <f aca="false" t="array" ref="E187:E187">IF(D187="","",IFERROR(INDEX('CLM &amp; IM Mapping'!$B$2:$B$270,MATCH(TRIM(D187),'CLM &amp; IM Mapping'!$A$2:$A$270,0)),"Not Mapped"))</f>
        <v>Santhosha M</v>
      </c>
      <c r="F187" s="11" t="str">
        <f aca="false" t="array" ref="F187:F187">IF(D187="","",IFERROR(INDEX('CLM &amp; IM Mapping'!$C$2:$C$270,MATCH(TRIM(D187),'CLM &amp; IM Mapping'!$A$2:$A$270,0)),"Not Mapped"))</f>
        <v>Aravind S</v>
      </c>
      <c r="G187" s="11" t="s">
        <v>34</v>
      </c>
      <c r="H187" s="10" t="n">
        <v>-5009</v>
      </c>
      <c r="I187" s="10" t="n">
        <v>59</v>
      </c>
      <c r="J187" s="10" t="n">
        <v>0</v>
      </c>
      <c r="K187" s="10" t="n">
        <v>0</v>
      </c>
      <c r="L187" s="10" t="n">
        <v>0</v>
      </c>
      <c r="M187" s="10" t="n">
        <v>0</v>
      </c>
      <c r="N187" s="10" t="n">
        <v>0</v>
      </c>
      <c r="O187" s="10" t="n">
        <v>19</v>
      </c>
      <c r="P187" s="10" t="n">
        <v>-4930</v>
      </c>
      <c r="Q187" s="17"/>
      <c r="R187" s="11"/>
      <c r="S187" s="21"/>
      <c r="T187" s="15"/>
      <c r="U187" s="14" t="s">
        <v>335</v>
      </c>
      <c r="V187" s="10" t="n">
        <v>1912</v>
      </c>
      <c r="W187" s="8"/>
      <c r="X187" s="8"/>
      <c r="Y187" s="8"/>
      <c r="Z187" s="8"/>
      <c r="AA187" s="8"/>
      <c r="AB187" s="8"/>
      <c r="AC187" s="8"/>
    </row>
    <row r="188" customFormat="false" ht="15" hidden="false" customHeight="false" outlineLevel="0" collapsed="false">
      <c r="A188" s="9" t="n">
        <v>46303</v>
      </c>
      <c r="B188" s="10" t="s">
        <v>22</v>
      </c>
      <c r="C188" s="11" t="s">
        <v>23</v>
      </c>
      <c r="D188" s="11" t="s">
        <v>426</v>
      </c>
      <c r="E188" s="11" t="str">
        <f aca="false" t="array" ref="E188:E188">IF(D188="","",IFERROR(INDEX('CLM &amp; IM Mapping'!$B$2:$B$270,MATCH(TRIM(D188),'CLM &amp; IM Mapping'!$A$2:$A$270,0)),"Not Mapped"))</f>
        <v>Silambarasan E</v>
      </c>
      <c r="F188" s="11" t="str">
        <f aca="false" t="array" ref="F188:F188">IF(D188="","",IFERROR(INDEX('CLM &amp; IM Mapping'!$C$2:$C$270,MATCH(TRIM(D188),'CLM &amp; IM Mapping'!$A$2:$A$270,0)),"Not Mapped"))</f>
        <v>Arivind S</v>
      </c>
      <c r="G188" s="11" t="s">
        <v>34</v>
      </c>
      <c r="H188" s="10" t="n">
        <v>-14706</v>
      </c>
      <c r="I188" s="10" t="n">
        <v>7716</v>
      </c>
      <c r="J188" s="10" t="n">
        <v>535</v>
      </c>
      <c r="K188" s="10" t="n">
        <v>780</v>
      </c>
      <c r="L188" s="10" t="n">
        <v>736</v>
      </c>
      <c r="M188" s="10" t="n">
        <v>0</v>
      </c>
      <c r="N188" s="10" t="n">
        <v>0</v>
      </c>
      <c r="O188" s="10" t="n">
        <v>0</v>
      </c>
      <c r="P188" s="10" t="n">
        <v>-4939</v>
      </c>
      <c r="Q188" s="17"/>
      <c r="R188" s="11"/>
      <c r="S188" s="21"/>
      <c r="T188" s="15"/>
      <c r="U188" s="14" t="s">
        <v>46</v>
      </c>
      <c r="V188" s="10" t="n">
        <v>9109</v>
      </c>
      <c r="W188" s="8"/>
      <c r="X188" s="8"/>
      <c r="Y188" s="8"/>
      <c r="Z188" s="8"/>
      <c r="AA188" s="8"/>
      <c r="AB188" s="8"/>
      <c r="AC188" s="8"/>
    </row>
    <row r="189" customFormat="false" ht="15" hidden="false" customHeight="false" outlineLevel="0" collapsed="false">
      <c r="A189" s="9" t="n">
        <v>46303</v>
      </c>
      <c r="B189" s="10" t="s">
        <v>22</v>
      </c>
      <c r="C189" s="11" t="s">
        <v>303</v>
      </c>
      <c r="D189" s="10" t="s">
        <v>427</v>
      </c>
      <c r="E189" s="11" t="str">
        <f aca="false" t="array" ref="E189:E189">IF(D189="","",IFERROR(INDEX('CLM &amp; IM Mapping'!$B$2:$B$270,MATCH(TRIM(D189),'CLM &amp; IM Mapping'!$A$2:$A$270,0)),"Not Mapped"))</f>
        <v>John Britto</v>
      </c>
      <c r="F189" s="11" t="str">
        <f aca="false" t="array" ref="F189:F189">IF(D189="","",IFERROR(INDEX('CLM &amp; IM Mapping'!$C$2:$C$270,MATCH(TRIM(D189),'CLM &amp; IM Mapping'!$A$2:$A$270,0)),"Not Mapped"))</f>
        <v>Aravind S</v>
      </c>
      <c r="G189" s="11" t="s">
        <v>34</v>
      </c>
      <c r="H189" s="10" t="n">
        <v>-13832</v>
      </c>
      <c r="I189" s="10" t="n">
        <v>8038</v>
      </c>
      <c r="J189" s="10" t="n">
        <v>0</v>
      </c>
      <c r="K189" s="10" t="n">
        <v>0</v>
      </c>
      <c r="L189" s="10" t="n">
        <v>836</v>
      </c>
      <c r="M189" s="10" t="n">
        <v>0</v>
      </c>
      <c r="N189" s="10" t="n">
        <v>0</v>
      </c>
      <c r="O189" s="10" t="n">
        <v>0</v>
      </c>
      <c r="P189" s="10" t="n">
        <v>-4958</v>
      </c>
      <c r="Q189" s="17"/>
      <c r="R189" s="11"/>
      <c r="S189" s="21"/>
      <c r="T189" s="15"/>
      <c r="U189" s="14" t="s">
        <v>428</v>
      </c>
      <c r="V189" s="10" t="n">
        <v>5649</v>
      </c>
      <c r="W189" s="8"/>
      <c r="X189" s="8"/>
      <c r="Y189" s="8"/>
      <c r="Z189" s="8"/>
      <c r="AA189" s="8"/>
      <c r="AB189" s="8"/>
      <c r="AC189" s="8"/>
    </row>
    <row r="190" customFormat="false" ht="15" hidden="false" customHeight="false" outlineLevel="0" collapsed="false">
      <c r="A190" s="9" t="n">
        <v>46303</v>
      </c>
      <c r="B190" s="10" t="s">
        <v>22</v>
      </c>
      <c r="C190" s="11" t="s">
        <v>23</v>
      </c>
      <c r="D190" s="10" t="s">
        <v>429</v>
      </c>
      <c r="E190" s="11" t="str">
        <f aca="false" t="array" ref="E190:E190">IF(D190="","",IFERROR(INDEX('CLM &amp; IM Mapping'!$B$2:$B$270,MATCH(TRIM(D190),'CLM &amp; IM Mapping'!$A$2:$A$270,0)),"Not Mapped"))</f>
        <v>Manjunatha V</v>
      </c>
      <c r="F190" s="11" t="str">
        <f aca="false" t="array" ref="F190:F190">IF(D190="","",IFERROR(INDEX('CLM &amp; IM Mapping'!$C$2:$C$270,MATCH(TRIM(D190),'CLM &amp; IM Mapping'!$A$2:$A$270,0)),"Not Mapped"))</f>
        <v>Un Mapped</v>
      </c>
      <c r="G190" s="11" t="s">
        <v>34</v>
      </c>
      <c r="H190" s="10" t="n">
        <v>-15436</v>
      </c>
      <c r="I190" s="10" t="n">
        <v>7018</v>
      </c>
      <c r="J190" s="10" t="n">
        <v>0</v>
      </c>
      <c r="K190" s="10" t="n">
        <v>49</v>
      </c>
      <c r="L190" s="10" t="n">
        <v>3344</v>
      </c>
      <c r="M190" s="10" t="n">
        <v>0</v>
      </c>
      <c r="N190" s="10" t="n">
        <v>0</v>
      </c>
      <c r="O190" s="10" t="n">
        <v>0</v>
      </c>
      <c r="P190" s="10" t="n">
        <v>-5025</v>
      </c>
      <c r="Q190" s="17"/>
      <c r="R190" s="11"/>
      <c r="S190" s="21"/>
      <c r="T190" s="15"/>
      <c r="U190" s="14" t="s">
        <v>430</v>
      </c>
      <c r="V190" s="10" t="n">
        <v>7820</v>
      </c>
      <c r="W190" s="8"/>
      <c r="X190" s="8"/>
      <c r="Y190" s="8"/>
      <c r="Z190" s="8"/>
      <c r="AA190" s="8"/>
      <c r="AB190" s="8"/>
      <c r="AC190" s="8"/>
    </row>
    <row r="191" customFormat="false" ht="15" hidden="false" customHeight="false" outlineLevel="0" collapsed="false">
      <c r="A191" s="9" t="n">
        <v>46303</v>
      </c>
      <c r="B191" s="10" t="s">
        <v>22</v>
      </c>
      <c r="C191" s="11" t="s">
        <v>221</v>
      </c>
      <c r="D191" s="10" t="s">
        <v>431</v>
      </c>
      <c r="E191" s="11" t="str">
        <f aca="false" t="array" ref="E191:E191">IF(D191="","",IFERROR(INDEX('CLM &amp; IM Mapping'!$B$2:$B$270,MATCH(TRIM(D191),'CLM &amp; IM Mapping'!$A$2:$A$270,0)),"Not Mapped"))</f>
        <v>Vishnu V</v>
      </c>
      <c r="F191" s="11" t="str">
        <f aca="false" t="array" ref="F191:F191">IF(D191="","",IFERROR(INDEX('CLM &amp; IM Mapping'!$C$2:$C$270,MATCH(TRIM(D191),'CLM &amp; IM Mapping'!$A$2:$A$270,0)),"Not Mapped"))</f>
        <v>Arivind S</v>
      </c>
      <c r="G191" s="11" t="s">
        <v>34</v>
      </c>
      <c r="H191" s="10" t="n">
        <v>-12408</v>
      </c>
      <c r="I191" s="10" t="n">
        <v>4910</v>
      </c>
      <c r="J191" s="10" t="n">
        <v>2313</v>
      </c>
      <c r="K191" s="10" t="n">
        <v>0</v>
      </c>
      <c r="L191" s="10" t="n">
        <v>139</v>
      </c>
      <c r="M191" s="10" t="n">
        <v>0</v>
      </c>
      <c r="N191" s="10" t="n">
        <v>0</v>
      </c>
      <c r="O191" s="10" t="n">
        <v>0</v>
      </c>
      <c r="P191" s="10" t="n">
        <v>-5046</v>
      </c>
      <c r="Q191" s="17"/>
      <c r="R191" s="11"/>
      <c r="S191" s="21"/>
      <c r="T191" s="15"/>
      <c r="U191" s="14" t="s">
        <v>432</v>
      </c>
      <c r="V191" s="10" t="n">
        <v>1967</v>
      </c>
      <c r="W191" s="8"/>
      <c r="X191" s="8"/>
      <c r="Y191" s="8"/>
      <c r="Z191" s="8"/>
      <c r="AA191" s="8"/>
      <c r="AB191" s="8"/>
      <c r="AC191" s="8"/>
    </row>
    <row r="192" customFormat="false" ht="15" hidden="false" customHeight="false" outlineLevel="0" collapsed="false">
      <c r="A192" s="9" t="n">
        <v>46303</v>
      </c>
      <c r="B192" s="10" t="s">
        <v>22</v>
      </c>
      <c r="C192" s="11" t="s">
        <v>23</v>
      </c>
      <c r="D192" s="10" t="s">
        <v>433</v>
      </c>
      <c r="E192" s="11" t="str">
        <f aca="false" t="array" ref="E192:E192">IF(D192="","",IFERROR(INDEX('CLM &amp; IM Mapping'!$B$2:$B$270,MATCH(TRIM(D192),'CLM &amp; IM Mapping'!$A$2:$A$270,0)),"Not Mapped"))</f>
        <v>Silambarasan E</v>
      </c>
      <c r="F192" s="11" t="str">
        <f aca="false" t="array" ref="F192:F192">IF(D192="","",IFERROR(INDEX('CLM &amp; IM Mapping'!$C$2:$C$270,MATCH(TRIM(D192),'CLM &amp; IM Mapping'!$A$2:$A$270,0)),"Not Mapped"))</f>
        <v>Arivind S</v>
      </c>
      <c r="G192" s="11" t="s">
        <v>34</v>
      </c>
      <c r="H192" s="10" t="n">
        <v>-20246</v>
      </c>
      <c r="I192" s="10" t="n">
        <v>14628</v>
      </c>
      <c r="J192" s="10" t="n">
        <v>0</v>
      </c>
      <c r="K192" s="10" t="n">
        <v>34</v>
      </c>
      <c r="L192" s="10" t="n">
        <v>256</v>
      </c>
      <c r="M192" s="10" t="n">
        <v>0</v>
      </c>
      <c r="N192" s="10" t="n">
        <v>251</v>
      </c>
      <c r="O192" s="10" t="n">
        <v>0</v>
      </c>
      <c r="P192" s="10" t="n">
        <v>-5077</v>
      </c>
      <c r="Q192" s="17"/>
      <c r="R192" s="11"/>
      <c r="S192" s="21"/>
      <c r="T192" s="15"/>
      <c r="U192" s="14" t="s">
        <v>434</v>
      </c>
      <c r="V192" s="10" t="n">
        <v>4246</v>
      </c>
      <c r="W192" s="8"/>
      <c r="X192" s="8"/>
      <c r="Y192" s="8"/>
      <c r="Z192" s="8"/>
      <c r="AA192" s="8"/>
      <c r="AB192" s="8"/>
      <c r="AC192" s="8"/>
    </row>
    <row r="193" customFormat="false" ht="15" hidden="false" customHeight="false" outlineLevel="0" collapsed="false">
      <c r="A193" s="9" t="n">
        <v>46303</v>
      </c>
      <c r="B193" s="10" t="s">
        <v>22</v>
      </c>
      <c r="C193" s="11" t="s">
        <v>23</v>
      </c>
      <c r="D193" s="10" t="s">
        <v>435</v>
      </c>
      <c r="E193" s="11" t="str">
        <f aca="false" t="array" ref="E193:E193">IF(D193="","",IFERROR(INDEX('CLM &amp; IM Mapping'!$B$2:$B$270,MATCH(TRIM(D193),'CLM &amp; IM Mapping'!$A$2:$A$270,0)),"Not Mapped"))</f>
        <v>Balaji G</v>
      </c>
      <c r="F193" s="11" t="str">
        <f aca="false" t="array" ref="F193:F193">IF(D193="","",IFERROR(INDEX('CLM &amp; IM Mapping'!$C$2:$C$270,MATCH(TRIM(D193),'CLM &amp; IM Mapping'!$A$2:$A$270,0)),"Not Mapped"))</f>
        <v>Mohammed Akbar</v>
      </c>
      <c r="G193" s="11" t="s">
        <v>34</v>
      </c>
      <c r="H193" s="10" t="n">
        <v>-10294</v>
      </c>
      <c r="I193" s="10" t="n">
        <v>4340</v>
      </c>
      <c r="J193" s="10" t="n">
        <v>0</v>
      </c>
      <c r="K193" s="10" t="n">
        <v>702</v>
      </c>
      <c r="L193" s="10" t="n">
        <v>119</v>
      </c>
      <c r="M193" s="10" t="n">
        <v>0</v>
      </c>
      <c r="N193" s="10" t="n">
        <v>0</v>
      </c>
      <c r="O193" s="10" t="n">
        <v>0</v>
      </c>
      <c r="P193" s="10" t="n">
        <v>-5133</v>
      </c>
      <c r="Q193" s="17"/>
      <c r="R193" s="11"/>
      <c r="S193" s="21"/>
      <c r="T193" s="15"/>
      <c r="U193" s="14" t="s">
        <v>297</v>
      </c>
      <c r="V193" s="10" t="n">
        <v>6294</v>
      </c>
      <c r="W193" s="8"/>
      <c r="X193" s="8"/>
      <c r="Y193" s="8"/>
      <c r="Z193" s="8"/>
      <c r="AA193" s="8"/>
      <c r="AB193" s="8"/>
      <c r="AC193" s="8"/>
    </row>
    <row r="194" customFormat="false" ht="15" hidden="false" customHeight="false" outlineLevel="0" collapsed="false">
      <c r="A194" s="9" t="n">
        <v>46303</v>
      </c>
      <c r="B194" s="10" t="s">
        <v>22</v>
      </c>
      <c r="C194" s="11" t="s">
        <v>23</v>
      </c>
      <c r="D194" s="10" t="s">
        <v>436</v>
      </c>
      <c r="E194" s="11" t="str">
        <f aca="false" t="array" ref="E194:E194">IF(D194="","",IFERROR(INDEX('CLM &amp; IM Mapping'!$B$2:$B$270,MATCH(TRIM(D194),'CLM &amp; IM Mapping'!$A$2:$A$270,0)),"Not Mapped"))</f>
        <v>Narasimhamurthy R</v>
      </c>
      <c r="F194" s="11" t="str">
        <f aca="false" t="array" ref="F194:F194">IF(D194="","",IFERROR(INDEX('CLM &amp; IM Mapping'!$C$2:$C$270,MATCH(TRIM(D194),'CLM &amp; IM Mapping'!$A$2:$A$270,0)),"Not Mapped"))</f>
        <v>Kishor K</v>
      </c>
      <c r="G194" s="11" t="s">
        <v>34</v>
      </c>
      <c r="H194" s="10" t="n">
        <v>-7590</v>
      </c>
      <c r="I194" s="10" t="n">
        <v>1741</v>
      </c>
      <c r="J194" s="10" t="n">
        <v>115</v>
      </c>
      <c r="K194" s="10" t="n">
        <v>0</v>
      </c>
      <c r="L194" s="10" t="n">
        <v>403</v>
      </c>
      <c r="M194" s="10" t="n">
        <v>0</v>
      </c>
      <c r="N194" s="10" t="n">
        <v>0</v>
      </c>
      <c r="O194" s="10" t="n">
        <v>0</v>
      </c>
      <c r="P194" s="10" t="n">
        <v>-5331</v>
      </c>
      <c r="Q194" s="17"/>
      <c r="R194" s="11"/>
      <c r="S194" s="21"/>
      <c r="T194" s="15"/>
      <c r="U194" s="14" t="s">
        <v>432</v>
      </c>
      <c r="V194" s="10" t="n">
        <v>3537</v>
      </c>
      <c r="W194" s="8"/>
      <c r="X194" s="8"/>
      <c r="Y194" s="8"/>
      <c r="Z194" s="8"/>
      <c r="AA194" s="8"/>
      <c r="AB194" s="8"/>
      <c r="AC194" s="8"/>
    </row>
    <row r="195" customFormat="false" ht="15" hidden="false" customHeight="false" outlineLevel="0" collapsed="false">
      <c r="A195" s="9" t="n">
        <v>46303</v>
      </c>
      <c r="B195" s="10" t="s">
        <v>22</v>
      </c>
      <c r="C195" s="11" t="s">
        <v>23</v>
      </c>
      <c r="D195" s="10" t="s">
        <v>437</v>
      </c>
      <c r="E195" s="11" t="str">
        <f aca="false" t="array" ref="E195:E195">IF(D195="","",IFERROR(INDEX('CLM &amp; IM Mapping'!$B$2:$B$270,MATCH(TRIM(D195),'CLM &amp; IM Mapping'!$A$2:$A$270,0)),"Not Mapped"))</f>
        <v>Balaji G</v>
      </c>
      <c r="F195" s="11" t="str">
        <f aca="false" t="array" ref="F195:F195">IF(D195="","",IFERROR(INDEX('CLM &amp; IM Mapping'!$C$2:$C$270,MATCH(TRIM(D195),'CLM &amp; IM Mapping'!$A$2:$A$270,0)),"Not Mapped"))</f>
        <v>Mohammed Akbar</v>
      </c>
      <c r="G195" s="11" t="s">
        <v>34</v>
      </c>
      <c r="H195" s="10" t="n">
        <v>-19317</v>
      </c>
      <c r="I195" s="10" t="n">
        <v>10703</v>
      </c>
      <c r="J195" s="10" t="n">
        <v>0</v>
      </c>
      <c r="K195" s="10" t="n">
        <v>400</v>
      </c>
      <c r="L195" s="10" t="n">
        <v>2810</v>
      </c>
      <c r="M195" s="10" t="n">
        <v>0</v>
      </c>
      <c r="N195" s="10" t="n">
        <v>0</v>
      </c>
      <c r="O195" s="10" t="n">
        <v>0</v>
      </c>
      <c r="P195" s="10" t="n">
        <v>-5403</v>
      </c>
      <c r="Q195" s="17"/>
      <c r="R195" s="11"/>
      <c r="S195" s="21"/>
      <c r="T195" s="15"/>
      <c r="U195" s="14" t="s">
        <v>438</v>
      </c>
      <c r="V195" s="10" t="n">
        <v>19639</v>
      </c>
      <c r="W195" s="8"/>
      <c r="X195" s="8"/>
      <c r="Y195" s="8"/>
      <c r="Z195" s="8"/>
      <c r="AA195" s="8"/>
      <c r="AB195" s="8"/>
      <c r="AC195" s="8"/>
    </row>
    <row r="196" customFormat="false" ht="15" hidden="false" customHeight="false" outlineLevel="0" collapsed="false">
      <c r="A196" s="9" t="n">
        <v>46303</v>
      </c>
      <c r="B196" s="10" t="s">
        <v>22</v>
      </c>
      <c r="C196" s="11" t="s">
        <v>417</v>
      </c>
      <c r="D196" s="10" t="s">
        <v>439</v>
      </c>
      <c r="E196" s="11" t="str">
        <f aca="false" t="array" ref="E196:E196">IF(D196="","",IFERROR(INDEX('CLM &amp; IM Mapping'!$B$2:$B$270,MATCH(TRIM(D196),'CLM &amp; IM Mapping'!$A$2:$A$270,0)),"Not Mapped"))</f>
        <v>Vishnu V</v>
      </c>
      <c r="F196" s="11" t="str">
        <f aca="false" t="array" ref="F196:F196">IF(D196="","",IFERROR(INDEX('CLM &amp; IM Mapping'!$C$2:$C$270,MATCH(TRIM(D196),'CLM &amp; IM Mapping'!$A$2:$A$270,0)),"Not Mapped"))</f>
        <v>Arivind S</v>
      </c>
      <c r="G196" s="11" t="s">
        <v>34</v>
      </c>
      <c r="H196" s="10" t="n">
        <v>-5488</v>
      </c>
      <c r="I196" s="10" t="n">
        <v>0</v>
      </c>
      <c r="J196" s="10" t="n">
        <v>0</v>
      </c>
      <c r="K196" s="10" t="n">
        <v>0</v>
      </c>
      <c r="L196" s="10" t="n">
        <v>0</v>
      </c>
      <c r="M196" s="10" t="n">
        <v>0</v>
      </c>
      <c r="N196" s="10" t="n">
        <v>0</v>
      </c>
      <c r="O196" s="10" t="n">
        <v>0</v>
      </c>
      <c r="P196" s="10" t="n">
        <v>-5488</v>
      </c>
      <c r="Q196" s="17"/>
      <c r="R196" s="11"/>
      <c r="S196" s="21"/>
      <c r="T196" s="15"/>
      <c r="U196" s="14" t="s">
        <v>164</v>
      </c>
      <c r="V196" s="11" t="n">
        <v>402</v>
      </c>
      <c r="W196" s="8"/>
      <c r="X196" s="8"/>
      <c r="Y196" s="8"/>
      <c r="Z196" s="8"/>
      <c r="AA196" s="8"/>
      <c r="AB196" s="8"/>
      <c r="AC196" s="8"/>
    </row>
    <row r="197" customFormat="false" ht="15" hidden="false" customHeight="false" outlineLevel="0" collapsed="false">
      <c r="A197" s="9" t="n">
        <v>46303</v>
      </c>
      <c r="B197" s="10" t="s">
        <v>22</v>
      </c>
      <c r="C197" s="11" t="s">
        <v>212</v>
      </c>
      <c r="D197" s="10" t="s">
        <v>440</v>
      </c>
      <c r="E197" s="11" t="str">
        <f aca="false" t="array" ref="E197:E197">IF(D197="","",IFERROR(INDEX('CLM &amp; IM Mapping'!$B$2:$B$270,MATCH(TRIM(D197),'CLM &amp; IM Mapping'!$A$2:$A$270,0)),"Not Mapped"))</f>
        <v>Bangareppa CS</v>
      </c>
      <c r="F197" s="11" t="str">
        <f aca="false" t="array" ref="F197:F197">IF(D197="","",IFERROR(INDEX('CLM &amp; IM Mapping'!$C$2:$C$270,MATCH(TRIM(D197),'CLM &amp; IM Mapping'!$A$2:$A$270,0)),"Not Mapped"))</f>
        <v>Kishor K</v>
      </c>
      <c r="G197" s="11" t="s">
        <v>34</v>
      </c>
      <c r="H197" s="10" t="n">
        <v>-5576</v>
      </c>
      <c r="I197" s="10" t="n">
        <v>0</v>
      </c>
      <c r="J197" s="10" t="n">
        <v>0</v>
      </c>
      <c r="K197" s="10" t="n">
        <v>0</v>
      </c>
      <c r="L197" s="10" t="n">
        <v>8</v>
      </c>
      <c r="M197" s="10" t="n">
        <v>0</v>
      </c>
      <c r="N197" s="10" t="n">
        <v>0</v>
      </c>
      <c r="O197" s="10" t="n">
        <v>0</v>
      </c>
      <c r="P197" s="10" t="n">
        <v>-5568</v>
      </c>
      <c r="Q197" s="17"/>
      <c r="R197" s="11"/>
      <c r="S197" s="21"/>
      <c r="T197" s="15"/>
      <c r="U197" s="14" t="s">
        <v>273</v>
      </c>
      <c r="V197" s="10" t="n">
        <v>3286</v>
      </c>
      <c r="W197" s="8"/>
      <c r="X197" s="8"/>
      <c r="Y197" s="8"/>
      <c r="Z197" s="8"/>
      <c r="AA197" s="8"/>
      <c r="AB197" s="8"/>
      <c r="AC197" s="8"/>
    </row>
    <row r="198" customFormat="false" ht="15" hidden="false" customHeight="false" outlineLevel="0" collapsed="false">
      <c r="A198" s="9" t="n">
        <v>46303</v>
      </c>
      <c r="B198" s="10" t="s">
        <v>22</v>
      </c>
      <c r="C198" s="11" t="s">
        <v>23</v>
      </c>
      <c r="D198" s="10" t="s">
        <v>441</v>
      </c>
      <c r="E198" s="11" t="str">
        <f aca="false" t="array" ref="E198:E198">IF(D198="","",IFERROR(INDEX('CLM &amp; IM Mapping'!$B$2:$B$270,MATCH(TRIM(D198),'CLM &amp; IM Mapping'!$A$2:$A$270,0)),"Not Mapped"))</f>
        <v>Vijay M</v>
      </c>
      <c r="F198" s="11" t="str">
        <f aca="false" t="array" ref="F198:F198">IF(D198="","",IFERROR(INDEX('CLM &amp; IM Mapping'!$C$2:$C$270,MATCH(TRIM(D198),'CLM &amp; IM Mapping'!$A$2:$A$270,0)),"Not Mapped"))</f>
        <v>Kantha Kumar</v>
      </c>
      <c r="G198" s="11" t="s">
        <v>34</v>
      </c>
      <c r="H198" s="10" t="n">
        <v>-11044</v>
      </c>
      <c r="I198" s="10" t="n">
        <v>4177</v>
      </c>
      <c r="J198" s="10" t="n">
        <v>0</v>
      </c>
      <c r="K198" s="10" t="n">
        <v>197</v>
      </c>
      <c r="L198" s="10" t="n">
        <v>686</v>
      </c>
      <c r="M198" s="10" t="n">
        <v>0</v>
      </c>
      <c r="N198" s="10" t="n">
        <v>0</v>
      </c>
      <c r="O198" s="10" t="n">
        <v>348</v>
      </c>
      <c r="P198" s="10" t="n">
        <v>-5636</v>
      </c>
      <c r="Q198" s="17"/>
      <c r="R198" s="11"/>
      <c r="S198" s="21"/>
      <c r="T198" s="15"/>
      <c r="U198" s="14" t="s">
        <v>442</v>
      </c>
      <c r="V198" s="10" t="n">
        <v>1588</v>
      </c>
      <c r="W198" s="8"/>
      <c r="X198" s="8"/>
      <c r="Y198" s="8"/>
      <c r="Z198" s="8"/>
      <c r="AA198" s="8"/>
      <c r="AB198" s="8"/>
      <c r="AC198" s="8"/>
    </row>
    <row r="199" customFormat="false" ht="15" hidden="false" customHeight="false" outlineLevel="0" collapsed="false">
      <c r="A199" s="9" t="n">
        <v>46303</v>
      </c>
      <c r="B199" s="10" t="s">
        <v>22</v>
      </c>
      <c r="C199" s="11" t="s">
        <v>23</v>
      </c>
      <c r="D199" s="10" t="s">
        <v>443</v>
      </c>
      <c r="E199" s="11" t="str">
        <f aca="false" t="array" ref="E199:E199">IF(D199="","",IFERROR(INDEX('CLM &amp; IM Mapping'!$B$2:$B$270,MATCH(TRIM(D199),'CLM &amp; IM Mapping'!$A$2:$A$270,0)),"Not Mapped"))</f>
        <v>Manoj Kj</v>
      </c>
      <c r="F199" s="11" t="str">
        <f aca="false" t="array" ref="F199:F199">IF(D199="","",IFERROR(INDEX('CLM &amp; IM Mapping'!$C$2:$C$270,MATCH(TRIM(D199),'CLM &amp; IM Mapping'!$A$2:$A$270,0)),"Not Mapped"))</f>
        <v>Srittam Dhal</v>
      </c>
      <c r="G199" s="11" t="s">
        <v>34</v>
      </c>
      <c r="H199" s="10" t="n">
        <v>-10049</v>
      </c>
      <c r="I199" s="10" t="n">
        <v>3910</v>
      </c>
      <c r="J199" s="10" t="n">
        <v>0</v>
      </c>
      <c r="K199" s="10" t="n">
        <v>0</v>
      </c>
      <c r="L199" s="10" t="n">
        <v>0</v>
      </c>
      <c r="M199" s="10" t="n">
        <v>0</v>
      </c>
      <c r="N199" s="10" t="n">
        <v>0</v>
      </c>
      <c r="O199" s="10" t="n">
        <v>0</v>
      </c>
      <c r="P199" s="10" t="n">
        <v>-6139</v>
      </c>
      <c r="Q199" s="17"/>
      <c r="R199" s="11"/>
      <c r="S199" s="21"/>
      <c r="T199" s="15"/>
      <c r="U199" s="14" t="s">
        <v>247</v>
      </c>
      <c r="V199" s="10" t="n">
        <v>10021</v>
      </c>
      <c r="W199" s="8"/>
      <c r="X199" s="8"/>
      <c r="Y199" s="8"/>
      <c r="Z199" s="8"/>
      <c r="AA199" s="8"/>
      <c r="AB199" s="8"/>
      <c r="AC199" s="8"/>
    </row>
    <row r="200" customFormat="false" ht="15" hidden="false" customHeight="false" outlineLevel="0" collapsed="false">
      <c r="A200" s="9" t="n">
        <v>46303</v>
      </c>
      <c r="B200" s="10" t="s">
        <v>22</v>
      </c>
      <c r="C200" s="11" t="s">
        <v>23</v>
      </c>
      <c r="D200" s="10" t="s">
        <v>444</v>
      </c>
      <c r="E200" s="11" t="str">
        <f aca="false" t="array" ref="E200:E200">IF(D200="","",IFERROR(INDEX('CLM &amp; IM Mapping'!$B$2:$B$270,MATCH(TRIM(D200),'CLM &amp; IM Mapping'!$A$2:$A$270,0)),"Not Mapped"))</f>
        <v>Narasimhamurthy R</v>
      </c>
      <c r="F200" s="11" t="str">
        <f aca="false" t="array" ref="F200:F200">IF(D200="","",IFERROR(INDEX('CLM &amp; IM Mapping'!$C$2:$C$270,MATCH(TRIM(D200),'CLM &amp; IM Mapping'!$A$2:$A$270,0)),"Not Mapped"))</f>
        <v>Kishor K</v>
      </c>
      <c r="G200" s="11" t="s">
        <v>34</v>
      </c>
      <c r="H200" s="10" t="n">
        <v>-7144</v>
      </c>
      <c r="I200" s="10" t="n">
        <v>933</v>
      </c>
      <c r="J200" s="10" t="n">
        <v>0</v>
      </c>
      <c r="K200" s="10" t="n">
        <v>0</v>
      </c>
      <c r="L200" s="10" t="n">
        <v>0</v>
      </c>
      <c r="M200" s="10" t="n">
        <v>0</v>
      </c>
      <c r="N200" s="10" t="n">
        <v>61</v>
      </c>
      <c r="O200" s="10" t="n">
        <v>0</v>
      </c>
      <c r="P200" s="10" t="n">
        <v>-6150</v>
      </c>
      <c r="Q200" s="17"/>
      <c r="R200" s="11"/>
      <c r="S200" s="21"/>
      <c r="T200" s="15"/>
      <c r="U200" s="14" t="s">
        <v>215</v>
      </c>
      <c r="V200" s="10" t="n">
        <v>4696</v>
      </c>
      <c r="W200" s="8"/>
      <c r="X200" s="8"/>
      <c r="Y200" s="8"/>
      <c r="Z200" s="8"/>
      <c r="AA200" s="8"/>
      <c r="AB200" s="8"/>
      <c r="AC200" s="8"/>
    </row>
    <row r="201" customFormat="false" ht="15" hidden="false" customHeight="false" outlineLevel="0" collapsed="false">
      <c r="A201" s="9" t="n">
        <v>46303</v>
      </c>
      <c r="B201" s="10" t="s">
        <v>22</v>
      </c>
      <c r="C201" s="11" t="s">
        <v>23</v>
      </c>
      <c r="D201" s="10" t="s">
        <v>445</v>
      </c>
      <c r="E201" s="11" t="str">
        <f aca="false" t="array" ref="E201:E201">IF(D201="","",IFERROR(INDEX('CLM &amp; IM Mapping'!$B$2:$B$270,MATCH(TRIM(D201),'CLM &amp; IM Mapping'!$A$2:$A$270,0)),"Not Mapped"))</f>
        <v>Sundaresh S</v>
      </c>
      <c r="F201" s="11" t="str">
        <f aca="false" t="array" ref="F201:F201">IF(D201="","",IFERROR(INDEX('CLM &amp; IM Mapping'!$C$2:$C$270,MATCH(TRIM(D201),'CLM &amp; IM Mapping'!$A$2:$A$270,0)),"Not Mapped"))</f>
        <v>Un Mapped</v>
      </c>
      <c r="G201" s="11" t="s">
        <v>34</v>
      </c>
      <c r="H201" s="10" t="n">
        <v>-6726</v>
      </c>
      <c r="I201" s="10" t="n">
        <v>356</v>
      </c>
      <c r="J201" s="10" t="n">
        <v>0</v>
      </c>
      <c r="K201" s="10" t="n">
        <v>0</v>
      </c>
      <c r="L201" s="10" t="n">
        <v>64</v>
      </c>
      <c r="M201" s="10" t="n">
        <v>0</v>
      </c>
      <c r="N201" s="10" t="n">
        <v>0</v>
      </c>
      <c r="O201" s="10" t="n">
        <v>0</v>
      </c>
      <c r="P201" s="10" t="n">
        <v>-6307</v>
      </c>
      <c r="Q201" s="17"/>
      <c r="R201" s="11"/>
      <c r="S201" s="21"/>
      <c r="T201" s="15"/>
      <c r="U201" s="14" t="s">
        <v>446</v>
      </c>
      <c r="V201" s="11" t="n">
        <v>24</v>
      </c>
      <c r="W201" s="8"/>
      <c r="X201" s="8"/>
      <c r="Y201" s="8"/>
      <c r="Z201" s="8"/>
      <c r="AA201" s="8"/>
      <c r="AB201" s="8"/>
      <c r="AC201" s="8"/>
    </row>
    <row r="202" customFormat="false" ht="15" hidden="false" customHeight="false" outlineLevel="0" collapsed="false">
      <c r="A202" s="9" t="n">
        <v>46303</v>
      </c>
      <c r="B202" s="10" t="s">
        <v>22</v>
      </c>
      <c r="C202" s="11" t="s">
        <v>303</v>
      </c>
      <c r="D202" s="10" t="s">
        <v>447</v>
      </c>
      <c r="E202" s="11" t="str">
        <f aca="false" t="array" ref="E202:E202">IF(D202="","",IFERROR(INDEX('CLM &amp; IM Mapping'!$B$2:$B$270,MATCH(TRIM(D202),'CLM &amp; IM Mapping'!$A$2:$A$270,0)),"Not Mapped"))</f>
        <v>John Britto</v>
      </c>
      <c r="F202" s="11" t="str">
        <f aca="false" t="array" ref="F202:F202">IF(D202="","",IFERROR(INDEX('CLM &amp; IM Mapping'!$C$2:$C$270,MATCH(TRIM(D202),'CLM &amp; IM Mapping'!$A$2:$A$270,0)),"Not Mapped"))</f>
        <v>Aravind S</v>
      </c>
      <c r="G202" s="11" t="s">
        <v>34</v>
      </c>
      <c r="H202" s="10" t="n">
        <v>-6360</v>
      </c>
      <c r="I202" s="10" t="n">
        <v>0</v>
      </c>
      <c r="J202" s="10" t="n">
        <v>0</v>
      </c>
      <c r="K202" s="10" t="n">
        <v>0</v>
      </c>
      <c r="L202" s="10" t="n">
        <v>0</v>
      </c>
      <c r="M202" s="10" t="n">
        <v>0</v>
      </c>
      <c r="N202" s="10" t="n">
        <v>0</v>
      </c>
      <c r="O202" s="10" t="n">
        <v>0</v>
      </c>
      <c r="P202" s="10" t="n">
        <v>-6360</v>
      </c>
      <c r="Q202" s="17"/>
      <c r="R202" s="11"/>
      <c r="S202" s="21"/>
      <c r="T202" s="15"/>
      <c r="U202" s="14" t="s">
        <v>448</v>
      </c>
      <c r="V202" s="11" t="n">
        <v>72</v>
      </c>
      <c r="W202" s="8"/>
      <c r="X202" s="8"/>
      <c r="Y202" s="8"/>
      <c r="Z202" s="8"/>
      <c r="AA202" s="8"/>
      <c r="AB202" s="8"/>
      <c r="AC202" s="8"/>
    </row>
    <row r="203" customFormat="false" ht="15" hidden="false" customHeight="false" outlineLevel="0" collapsed="false">
      <c r="A203" s="9" t="n">
        <v>46303</v>
      </c>
      <c r="B203" s="10" t="s">
        <v>22</v>
      </c>
      <c r="C203" s="11" t="s">
        <v>23</v>
      </c>
      <c r="D203" s="10" t="s">
        <v>449</v>
      </c>
      <c r="E203" s="11" t="str">
        <f aca="false" t="array" ref="E203:E203">IF(D203="","",IFERROR(INDEX('CLM &amp; IM Mapping'!$B$2:$B$270,MATCH(TRIM(D203),'CLM &amp; IM Mapping'!$A$2:$A$270,0)),"Not Mapped"))</f>
        <v>Manjunatha V</v>
      </c>
      <c r="F203" s="11" t="str">
        <f aca="false" t="array" ref="F203:F203">IF(D203="","",IFERROR(INDEX('CLM &amp; IM Mapping'!$C$2:$C$270,MATCH(TRIM(D203),'CLM &amp; IM Mapping'!$A$2:$A$270,0)),"Not Mapped"))</f>
        <v>Un Mapped</v>
      </c>
      <c r="G203" s="11" t="s">
        <v>34</v>
      </c>
      <c r="H203" s="10" t="n">
        <v>-11184</v>
      </c>
      <c r="I203" s="10" t="n">
        <v>4108</v>
      </c>
      <c r="J203" s="10" t="n">
        <v>0</v>
      </c>
      <c r="K203" s="10" t="n">
        <v>0</v>
      </c>
      <c r="L203" s="10" t="n">
        <v>182</v>
      </c>
      <c r="M203" s="10" t="n">
        <v>0</v>
      </c>
      <c r="N203" s="10" t="n">
        <v>491</v>
      </c>
      <c r="O203" s="10" t="n">
        <v>0</v>
      </c>
      <c r="P203" s="10" t="n">
        <v>-6403</v>
      </c>
      <c r="Q203" s="17"/>
      <c r="R203" s="11"/>
      <c r="S203" s="21"/>
      <c r="T203" s="15"/>
      <c r="U203" s="14" t="s">
        <v>117</v>
      </c>
      <c r="V203" s="10" t="n">
        <v>4767</v>
      </c>
      <c r="W203" s="8"/>
      <c r="X203" s="8"/>
      <c r="Y203" s="8"/>
      <c r="Z203" s="8"/>
      <c r="AA203" s="8"/>
      <c r="AB203" s="8"/>
      <c r="AC203" s="8"/>
    </row>
    <row r="204" customFormat="false" ht="15" hidden="false" customHeight="false" outlineLevel="0" collapsed="false">
      <c r="A204" s="9" t="n">
        <v>46303</v>
      </c>
      <c r="B204" s="10" t="s">
        <v>22</v>
      </c>
      <c r="C204" s="11" t="s">
        <v>276</v>
      </c>
      <c r="D204" s="10" t="s">
        <v>450</v>
      </c>
      <c r="E204" s="11" t="str">
        <f aca="false" t="array" ref="E204:E204">IF(D204="","",IFERROR(INDEX('CLM &amp; IM Mapping'!$B$2:$B$270,MATCH(TRIM(D204),'CLM &amp; IM Mapping'!$A$2:$A$270,0)),"Not Mapped"))</f>
        <v>Santhosha M</v>
      </c>
      <c r="F204" s="11" t="str">
        <f aca="false" t="array" ref="F204:F204">IF(D204="","",IFERROR(INDEX('CLM &amp; IM Mapping'!$C$2:$C$270,MATCH(TRIM(D204),'CLM &amp; IM Mapping'!$A$2:$A$270,0)),"Not Mapped"))</f>
        <v>Aravind S</v>
      </c>
      <c r="G204" s="11" t="s">
        <v>34</v>
      </c>
      <c r="H204" s="10" t="n">
        <v>-7967</v>
      </c>
      <c r="I204" s="10" t="n">
        <v>392</v>
      </c>
      <c r="J204" s="10" t="n">
        <v>0</v>
      </c>
      <c r="K204" s="10" t="n">
        <v>781</v>
      </c>
      <c r="L204" s="10" t="n">
        <v>380</v>
      </c>
      <c r="M204" s="10" t="n">
        <v>0</v>
      </c>
      <c r="N204" s="10" t="n">
        <v>0</v>
      </c>
      <c r="O204" s="10" t="n">
        <v>0</v>
      </c>
      <c r="P204" s="10" t="n">
        <v>-6416</v>
      </c>
      <c r="Q204" s="17"/>
      <c r="R204" s="11"/>
      <c r="S204" s="21"/>
      <c r="T204" s="15"/>
      <c r="U204" s="14" t="s">
        <v>125</v>
      </c>
      <c r="V204" s="10" t="n">
        <v>3243</v>
      </c>
      <c r="W204" s="8"/>
      <c r="X204" s="8"/>
      <c r="Y204" s="8"/>
      <c r="Z204" s="8"/>
      <c r="AA204" s="8"/>
      <c r="AB204" s="8"/>
      <c r="AC204" s="8"/>
    </row>
    <row r="205" customFormat="false" ht="15" hidden="false" customHeight="false" outlineLevel="0" collapsed="false">
      <c r="A205" s="9" t="n">
        <v>46303</v>
      </c>
      <c r="B205" s="10" t="s">
        <v>22</v>
      </c>
      <c r="C205" s="11" t="s">
        <v>23</v>
      </c>
      <c r="D205" s="10" t="s">
        <v>451</v>
      </c>
      <c r="E205" s="11" t="str">
        <f aca="false" t="array" ref="E205:E205">IF(D205="","",IFERROR(INDEX('CLM &amp; IM Mapping'!$B$2:$B$270,MATCH(TRIM(D205),'CLM &amp; IM Mapping'!$A$2:$A$270,0)),"Not Mapped"))</f>
        <v>Ashwath S</v>
      </c>
      <c r="F205" s="11" t="str">
        <f aca="false" t="array" ref="F205:F205">IF(D205="","",IFERROR(INDEX('CLM &amp; IM Mapping'!$C$2:$C$270,MATCH(TRIM(D205),'CLM &amp; IM Mapping'!$A$2:$A$270,0)),"Not Mapped"))</f>
        <v>Kantha Kumar</v>
      </c>
      <c r="G205" s="11" t="s">
        <v>34</v>
      </c>
      <c r="H205" s="10" t="n">
        <v>-10079</v>
      </c>
      <c r="I205" s="10" t="n">
        <v>815</v>
      </c>
      <c r="J205" s="10" t="n">
        <v>1168</v>
      </c>
      <c r="K205" s="10" t="n">
        <v>635</v>
      </c>
      <c r="L205" s="10" t="n">
        <v>277</v>
      </c>
      <c r="M205" s="10" t="n">
        <v>0</v>
      </c>
      <c r="N205" s="10" t="n">
        <v>593</v>
      </c>
      <c r="O205" s="10" t="n">
        <v>0</v>
      </c>
      <c r="P205" s="10" t="n">
        <v>-6592</v>
      </c>
      <c r="Q205" s="17"/>
      <c r="R205" s="11"/>
      <c r="S205" s="21"/>
      <c r="T205" s="15"/>
      <c r="U205" s="14" t="s">
        <v>220</v>
      </c>
      <c r="V205" s="10" t="n">
        <v>8679</v>
      </c>
      <c r="W205" s="8"/>
      <c r="X205" s="8"/>
      <c r="Y205" s="8"/>
      <c r="Z205" s="8"/>
      <c r="AA205" s="8"/>
      <c r="AB205" s="8"/>
      <c r="AC205" s="8"/>
    </row>
    <row r="206" customFormat="false" ht="15" hidden="false" customHeight="false" outlineLevel="0" collapsed="false">
      <c r="A206" s="9" t="n">
        <v>46303</v>
      </c>
      <c r="B206" s="10" t="s">
        <v>22</v>
      </c>
      <c r="C206" s="11" t="s">
        <v>417</v>
      </c>
      <c r="D206" s="10" t="s">
        <v>452</v>
      </c>
      <c r="E206" s="11" t="str">
        <f aca="false" t="array" ref="E206:E206">IF(D206="","",IFERROR(INDEX('CLM &amp; IM Mapping'!$B$2:$B$270,MATCH(TRIM(D206),'CLM &amp; IM Mapping'!$A$2:$A$270,0)),"Not Mapped"))</f>
        <v>Vishnu V</v>
      </c>
      <c r="F206" s="11" t="str">
        <f aca="false" t="array" ref="F206:F206">IF(D206="","",IFERROR(INDEX('CLM &amp; IM Mapping'!$C$2:$C$270,MATCH(TRIM(D206),'CLM &amp; IM Mapping'!$A$2:$A$270,0)),"Not Mapped"))</f>
        <v>Arivind S</v>
      </c>
      <c r="G206" s="11" t="s">
        <v>34</v>
      </c>
      <c r="H206" s="10" t="n">
        <v>-6649</v>
      </c>
      <c r="I206" s="10" t="n">
        <v>0</v>
      </c>
      <c r="J206" s="10" t="n">
        <v>0</v>
      </c>
      <c r="K206" s="10" t="n">
        <v>0</v>
      </c>
      <c r="L206" s="10" t="n">
        <v>0</v>
      </c>
      <c r="M206" s="10" t="n">
        <v>0</v>
      </c>
      <c r="N206" s="10" t="n">
        <v>0</v>
      </c>
      <c r="O206" s="10" t="n">
        <v>0</v>
      </c>
      <c r="P206" s="10" t="n">
        <v>-6649</v>
      </c>
      <c r="Q206" s="17"/>
      <c r="R206" s="11"/>
      <c r="S206" s="21"/>
      <c r="T206" s="15"/>
      <c r="U206" s="14" t="s">
        <v>453</v>
      </c>
      <c r="V206" s="11" t="n">
        <v>201</v>
      </c>
      <c r="W206" s="8"/>
      <c r="X206" s="8"/>
      <c r="Y206" s="8"/>
      <c r="Z206" s="8"/>
      <c r="AA206" s="8"/>
      <c r="AB206" s="8"/>
      <c r="AC206" s="8"/>
    </row>
    <row r="207" customFormat="false" ht="15" hidden="false" customHeight="false" outlineLevel="0" collapsed="false">
      <c r="A207" s="9" t="n">
        <v>46303</v>
      </c>
      <c r="B207" s="10" t="s">
        <v>22</v>
      </c>
      <c r="C207" s="11" t="s">
        <v>23</v>
      </c>
      <c r="D207" s="10" t="s">
        <v>454</v>
      </c>
      <c r="E207" s="11" t="str">
        <f aca="false" t="array" ref="E207:E207">IF(D207="","",IFERROR(INDEX('CLM &amp; IM Mapping'!$B$2:$B$270,MATCH(TRIM(D207),'CLM &amp; IM Mapping'!$A$2:$A$270,0)),"Not Mapped"))</f>
        <v>Balaji G</v>
      </c>
      <c r="F207" s="11" t="str">
        <f aca="false" t="array" ref="F207:F207">IF(D207="","",IFERROR(INDEX('CLM &amp; IM Mapping'!$C$2:$C$270,MATCH(TRIM(D207),'CLM &amp; IM Mapping'!$A$2:$A$270,0)),"Not Mapped"))</f>
        <v>Mohammed Akbar</v>
      </c>
      <c r="G207" s="11" t="s">
        <v>34</v>
      </c>
      <c r="H207" s="10" t="n">
        <v>-12490</v>
      </c>
      <c r="I207" s="10" t="n">
        <v>5741</v>
      </c>
      <c r="J207" s="10" t="n">
        <v>0</v>
      </c>
      <c r="K207" s="10" t="n">
        <v>30</v>
      </c>
      <c r="L207" s="10" t="n">
        <v>0</v>
      </c>
      <c r="M207" s="10" t="n">
        <v>0</v>
      </c>
      <c r="N207" s="10" t="n">
        <v>0</v>
      </c>
      <c r="O207" s="10" t="n">
        <v>0</v>
      </c>
      <c r="P207" s="10" t="n">
        <v>-6720</v>
      </c>
      <c r="Q207" s="17"/>
      <c r="R207" s="11"/>
      <c r="S207" s="21"/>
      <c r="T207" s="15"/>
      <c r="U207" s="14" t="s">
        <v>335</v>
      </c>
      <c r="V207" s="10" t="n">
        <v>7290</v>
      </c>
      <c r="W207" s="8"/>
      <c r="X207" s="8"/>
      <c r="Y207" s="8"/>
      <c r="Z207" s="8"/>
      <c r="AA207" s="8"/>
      <c r="AB207" s="8"/>
      <c r="AC207" s="8"/>
    </row>
    <row r="208" customFormat="false" ht="15" hidden="false" customHeight="false" outlineLevel="0" collapsed="false">
      <c r="A208" s="9" t="n">
        <v>46303</v>
      </c>
      <c r="B208" s="10" t="s">
        <v>22</v>
      </c>
      <c r="C208" s="11" t="s">
        <v>23</v>
      </c>
      <c r="D208" s="10" t="s">
        <v>455</v>
      </c>
      <c r="E208" s="11" t="str">
        <f aca="false" t="array" ref="E208:E208">IF(D208="","",IFERROR(INDEX('CLM &amp; IM Mapping'!$B$2:$B$270,MATCH(TRIM(D208),'CLM &amp; IM Mapping'!$A$2:$A$270,0)),"Not Mapped"))</f>
        <v>Rizwan Ahmed</v>
      </c>
      <c r="F208" s="11" t="str">
        <f aca="false" t="array" ref="F208:F208">IF(D208="","",IFERROR(INDEX('CLM &amp; IM Mapping'!$C$2:$C$270,MATCH(TRIM(D208),'CLM &amp; IM Mapping'!$A$2:$A$270,0)),"Not Mapped"))</f>
        <v>Un Mapped</v>
      </c>
      <c r="G208" s="11" t="s">
        <v>34</v>
      </c>
      <c r="H208" s="10" t="n">
        <v>-10959</v>
      </c>
      <c r="I208" s="10" t="n">
        <v>3796</v>
      </c>
      <c r="J208" s="10" t="n">
        <v>0</v>
      </c>
      <c r="K208" s="10" t="n">
        <v>260</v>
      </c>
      <c r="L208" s="10" t="n">
        <v>73</v>
      </c>
      <c r="M208" s="10" t="n">
        <v>0</v>
      </c>
      <c r="N208" s="10" t="n">
        <v>0</v>
      </c>
      <c r="O208" s="10" t="n">
        <v>0</v>
      </c>
      <c r="P208" s="10" t="n">
        <v>-6830</v>
      </c>
      <c r="Q208" s="17"/>
      <c r="R208" s="11"/>
      <c r="S208" s="21"/>
      <c r="T208" s="15"/>
      <c r="U208" s="14" t="s">
        <v>456</v>
      </c>
      <c r="V208" s="10" t="n">
        <v>5613</v>
      </c>
      <c r="W208" s="8"/>
      <c r="X208" s="8"/>
      <c r="Y208" s="8"/>
      <c r="Z208" s="8"/>
      <c r="AA208" s="8"/>
      <c r="AB208" s="8"/>
      <c r="AC208" s="8"/>
    </row>
    <row r="209" customFormat="false" ht="15" hidden="false" customHeight="false" outlineLevel="0" collapsed="false">
      <c r="A209" s="9" t="n">
        <v>46303</v>
      </c>
      <c r="B209" s="10" t="s">
        <v>22</v>
      </c>
      <c r="C209" s="11" t="s">
        <v>23</v>
      </c>
      <c r="D209" s="10" t="s">
        <v>457</v>
      </c>
      <c r="E209" s="11" t="str">
        <f aca="false" t="array" ref="E209:E209">IF(D209="","",IFERROR(INDEX('CLM &amp; IM Mapping'!$B$2:$B$270,MATCH(TRIM(D209),'CLM &amp; IM Mapping'!$A$2:$A$270,0)),"Not Mapped"))</f>
        <v>Saddam Hussain</v>
      </c>
      <c r="F209" s="11" t="str">
        <f aca="false" t="array" ref="F209:F209">IF(D209="","",IFERROR(INDEX('CLM &amp; IM Mapping'!$C$2:$C$270,MATCH(TRIM(D209),'CLM &amp; IM Mapping'!$A$2:$A$270,0)),"Not Mapped"))</f>
        <v>Un Mapped</v>
      </c>
      <c r="G209" s="11" t="s">
        <v>34</v>
      </c>
      <c r="H209" s="10" t="n">
        <v>-7373</v>
      </c>
      <c r="I209" s="10" t="n">
        <v>190</v>
      </c>
      <c r="J209" s="10" t="n">
        <v>0</v>
      </c>
      <c r="K209" s="10" t="n">
        <v>0</v>
      </c>
      <c r="L209" s="10" t="n">
        <v>333</v>
      </c>
      <c r="M209" s="10" t="n">
        <v>0</v>
      </c>
      <c r="N209" s="10" t="n">
        <v>0</v>
      </c>
      <c r="O209" s="10" t="n">
        <v>0</v>
      </c>
      <c r="P209" s="10" t="n">
        <v>-6850</v>
      </c>
      <c r="Q209" s="17"/>
      <c r="R209" s="11"/>
      <c r="S209" s="21"/>
      <c r="T209" s="15"/>
      <c r="U209" s="14" t="s">
        <v>419</v>
      </c>
      <c r="V209" s="11" t="n">
        <v>280</v>
      </c>
      <c r="W209" s="8"/>
      <c r="X209" s="8"/>
      <c r="Y209" s="8"/>
      <c r="Z209" s="8"/>
      <c r="AA209" s="8"/>
      <c r="AB209" s="8"/>
      <c r="AC209" s="8"/>
    </row>
    <row r="210" customFormat="false" ht="15" hidden="false" customHeight="false" outlineLevel="0" collapsed="false">
      <c r="A210" s="9" t="n">
        <v>46303</v>
      </c>
      <c r="B210" s="10" t="s">
        <v>22</v>
      </c>
      <c r="C210" s="11" t="s">
        <v>303</v>
      </c>
      <c r="D210" s="10" t="s">
        <v>458</v>
      </c>
      <c r="E210" s="11" t="str">
        <f aca="false" t="array" ref="E210:E210">IF(D210="","",IFERROR(INDEX('CLM &amp; IM Mapping'!$B$2:$B$270,MATCH(TRIM(D210),'CLM &amp; IM Mapping'!$A$2:$A$270,0)),"Not Mapped"))</f>
        <v>John Britto</v>
      </c>
      <c r="F210" s="11" t="str">
        <f aca="false" t="array" ref="F210:F210">IF(D210="","",IFERROR(INDEX('CLM &amp; IM Mapping'!$C$2:$C$270,MATCH(TRIM(D210),'CLM &amp; IM Mapping'!$A$2:$A$270,0)),"Not Mapped"))</f>
        <v>Aravind S</v>
      </c>
      <c r="G210" s="11" t="s">
        <v>34</v>
      </c>
      <c r="H210" s="10" t="n">
        <v>-7519</v>
      </c>
      <c r="I210" s="10" t="n">
        <v>299</v>
      </c>
      <c r="J210" s="10" t="n">
        <v>0</v>
      </c>
      <c r="K210" s="10" t="n">
        <v>0</v>
      </c>
      <c r="L210" s="10" t="n">
        <v>0</v>
      </c>
      <c r="M210" s="10" t="n">
        <v>0</v>
      </c>
      <c r="N210" s="10" t="n">
        <v>0</v>
      </c>
      <c r="O210" s="10" t="n">
        <v>0</v>
      </c>
      <c r="P210" s="10" t="n">
        <v>-7220</v>
      </c>
      <c r="Q210" s="17"/>
      <c r="R210" s="11"/>
      <c r="S210" s="21"/>
      <c r="T210" s="15"/>
      <c r="U210" s="14" t="s">
        <v>459</v>
      </c>
      <c r="V210" s="10" t="n">
        <v>3911</v>
      </c>
      <c r="W210" s="8"/>
      <c r="X210" s="8"/>
      <c r="Y210" s="8"/>
      <c r="Z210" s="8"/>
      <c r="AA210" s="8"/>
      <c r="AB210" s="8"/>
      <c r="AC210" s="8"/>
    </row>
    <row r="211" customFormat="false" ht="15" hidden="false" customHeight="false" outlineLevel="0" collapsed="false">
      <c r="A211" s="9" t="n">
        <v>46303</v>
      </c>
      <c r="B211" s="10" t="s">
        <v>22</v>
      </c>
      <c r="C211" s="11" t="s">
        <v>23</v>
      </c>
      <c r="D211" s="10" t="s">
        <v>460</v>
      </c>
      <c r="E211" s="11" t="str">
        <f aca="false" t="array" ref="E211:E211">IF(D211="","",IFERROR(INDEX('CLM &amp; IM Mapping'!$B$2:$B$270,MATCH(TRIM(D211),'CLM &amp; IM Mapping'!$A$2:$A$270,0)),"Not Mapped"))</f>
        <v>Vijay M</v>
      </c>
      <c r="F211" s="11" t="str">
        <f aca="false" t="array" ref="F211:F211">IF(D211="","",IFERROR(INDEX('CLM &amp; IM Mapping'!$C$2:$C$270,MATCH(TRIM(D211),'CLM &amp; IM Mapping'!$A$2:$A$270,0)),"Not Mapped"))</f>
        <v>Kantha Kumar</v>
      </c>
      <c r="G211" s="11" t="s">
        <v>34</v>
      </c>
      <c r="H211" s="10" t="n">
        <v>-23739</v>
      </c>
      <c r="I211" s="10" t="n">
        <v>14937</v>
      </c>
      <c r="J211" s="10" t="n">
        <v>0</v>
      </c>
      <c r="K211" s="10" t="n">
        <v>322</v>
      </c>
      <c r="L211" s="10" t="n">
        <v>878</v>
      </c>
      <c r="M211" s="10" t="n">
        <v>0</v>
      </c>
      <c r="N211" s="10" t="n">
        <v>0</v>
      </c>
      <c r="O211" s="10" t="n">
        <v>0</v>
      </c>
      <c r="P211" s="10" t="n">
        <v>-7602</v>
      </c>
      <c r="Q211" s="17"/>
      <c r="R211" s="11"/>
      <c r="S211" s="21"/>
      <c r="T211" s="15"/>
      <c r="U211" s="14" t="s">
        <v>330</v>
      </c>
      <c r="V211" s="10" t="n">
        <v>19440</v>
      </c>
      <c r="W211" s="8"/>
      <c r="X211" s="8"/>
      <c r="Y211" s="8"/>
      <c r="Z211" s="8"/>
      <c r="AA211" s="8"/>
      <c r="AB211" s="8"/>
      <c r="AC211" s="8"/>
    </row>
    <row r="212" customFormat="false" ht="15" hidden="false" customHeight="false" outlineLevel="0" collapsed="false">
      <c r="A212" s="9" t="n">
        <v>46303</v>
      </c>
      <c r="B212" s="10" t="s">
        <v>22</v>
      </c>
      <c r="C212" s="11" t="s">
        <v>23</v>
      </c>
      <c r="D212" s="10" t="s">
        <v>461</v>
      </c>
      <c r="E212" s="11" t="str">
        <f aca="false" t="array" ref="E212:E212">IF(D212="","",IFERROR(INDEX('CLM &amp; IM Mapping'!$B$2:$B$270,MATCH(TRIM(D212),'CLM &amp; IM Mapping'!$A$2:$A$270,0)),"Not Mapped"))</f>
        <v>Arun Raj</v>
      </c>
      <c r="F212" s="11" t="str">
        <f aca="false" t="array" ref="F212:F212">IF(D212="","",IFERROR(INDEX('CLM &amp; IM Mapping'!$C$2:$C$270,MATCH(TRIM(D212),'CLM &amp; IM Mapping'!$A$2:$A$270,0)),"Not Mapped"))</f>
        <v>Simon Manoharan</v>
      </c>
      <c r="G212" s="11" t="s">
        <v>25</v>
      </c>
      <c r="H212" s="10" t="n">
        <v>-10777</v>
      </c>
      <c r="I212" s="10" t="n">
        <v>3143</v>
      </c>
      <c r="J212" s="10" t="n">
        <v>0</v>
      </c>
      <c r="K212" s="10" t="n">
        <v>0</v>
      </c>
      <c r="L212" s="10" t="n">
        <v>0</v>
      </c>
      <c r="M212" s="10" t="n">
        <v>0</v>
      </c>
      <c r="N212" s="10" t="n">
        <v>0</v>
      </c>
      <c r="O212" s="10" t="n">
        <v>0</v>
      </c>
      <c r="P212" s="10" t="n">
        <v>-7634</v>
      </c>
      <c r="Q212" s="17"/>
      <c r="R212" s="11"/>
      <c r="S212" s="21"/>
      <c r="T212" s="15"/>
      <c r="U212" s="14" t="s">
        <v>462</v>
      </c>
      <c r="V212" s="11" t="n">
        <v>37</v>
      </c>
      <c r="W212" s="8"/>
      <c r="X212" s="8"/>
      <c r="Y212" s="8"/>
      <c r="Z212" s="8"/>
      <c r="AA212" s="8"/>
      <c r="AB212" s="8"/>
      <c r="AC212" s="8"/>
    </row>
    <row r="213" customFormat="false" ht="15" hidden="false" customHeight="false" outlineLevel="0" collapsed="false">
      <c r="A213" s="9" t="n">
        <v>46303</v>
      </c>
      <c r="B213" s="10" t="s">
        <v>22</v>
      </c>
      <c r="C213" s="11" t="s">
        <v>23</v>
      </c>
      <c r="D213" s="10" t="s">
        <v>463</v>
      </c>
      <c r="E213" s="11" t="str">
        <f aca="false" t="array" ref="E213:E213">IF(D213="","",IFERROR(INDEX('CLM &amp; IM Mapping'!$B$2:$B$270,MATCH(TRIM(D213),'CLM &amp; IM Mapping'!$A$2:$A$270,0)),"Not Mapped"))</f>
        <v>Ashwath S</v>
      </c>
      <c r="F213" s="11" t="str">
        <f aca="false" t="array" ref="F213:F213">IF(D213="","",IFERROR(INDEX('CLM &amp; IM Mapping'!$C$2:$C$270,MATCH(TRIM(D213),'CLM &amp; IM Mapping'!$A$2:$A$270,0)),"Not Mapped"))</f>
        <v>Kantha Kumar</v>
      </c>
      <c r="G213" s="11" t="s">
        <v>34</v>
      </c>
      <c r="H213" s="10" t="n">
        <v>-9149</v>
      </c>
      <c r="I213" s="10" t="n">
        <v>1023</v>
      </c>
      <c r="J213" s="10" t="n">
        <v>336</v>
      </c>
      <c r="K213" s="10" t="n">
        <v>27</v>
      </c>
      <c r="L213" s="10" t="n">
        <v>56</v>
      </c>
      <c r="M213" s="10" t="n">
        <v>0</v>
      </c>
      <c r="N213" s="10" t="n">
        <v>0</v>
      </c>
      <c r="O213" s="10" t="n">
        <v>0</v>
      </c>
      <c r="P213" s="10" t="n">
        <v>-7708</v>
      </c>
      <c r="Q213" s="17"/>
      <c r="R213" s="11"/>
      <c r="S213" s="21"/>
      <c r="T213" s="15"/>
      <c r="U213" s="14" t="s">
        <v>464</v>
      </c>
      <c r="V213" s="10" t="n">
        <v>9138</v>
      </c>
      <c r="W213" s="8"/>
      <c r="X213" s="8"/>
      <c r="Y213" s="8"/>
      <c r="Z213" s="8"/>
      <c r="AA213" s="8"/>
      <c r="AB213" s="8"/>
      <c r="AC213" s="8"/>
    </row>
    <row r="214" customFormat="false" ht="15" hidden="false" customHeight="false" outlineLevel="0" collapsed="false">
      <c r="A214" s="9" t="n">
        <v>46303</v>
      </c>
      <c r="B214" s="10" t="s">
        <v>22</v>
      </c>
      <c r="C214" s="11" t="s">
        <v>23</v>
      </c>
      <c r="D214" s="10" t="s">
        <v>465</v>
      </c>
      <c r="E214" s="11" t="str">
        <f aca="false" t="array" ref="E214:E214">IF(D214="","",IFERROR(INDEX('CLM &amp; IM Mapping'!$B$2:$B$270,MATCH(TRIM(D214),'CLM &amp; IM Mapping'!$A$2:$A$270,0)),"Not Mapped"))</f>
        <v>Suhas N</v>
      </c>
      <c r="F214" s="11" t="str">
        <f aca="false" t="array" ref="F214:F214">IF(D214="","",IFERROR(INDEX('CLM &amp; IM Mapping'!$C$2:$C$270,MATCH(TRIM(D214),'CLM &amp; IM Mapping'!$A$2:$A$270,0)),"Not Mapped"))</f>
        <v>Aravind S</v>
      </c>
      <c r="G214" s="11" t="s">
        <v>34</v>
      </c>
      <c r="H214" s="10" t="n">
        <v>-12944</v>
      </c>
      <c r="I214" s="10" t="n">
        <v>4491</v>
      </c>
      <c r="J214" s="10" t="n">
        <v>0</v>
      </c>
      <c r="K214" s="10" t="n">
        <v>648</v>
      </c>
      <c r="L214" s="10" t="n">
        <v>0</v>
      </c>
      <c r="M214" s="10" t="n">
        <v>0</v>
      </c>
      <c r="N214" s="10" t="n">
        <v>0</v>
      </c>
      <c r="O214" s="10" t="n">
        <v>0</v>
      </c>
      <c r="P214" s="10" t="n">
        <v>-7805</v>
      </c>
      <c r="Q214" s="17"/>
      <c r="R214" s="11"/>
      <c r="S214" s="21"/>
      <c r="T214" s="15"/>
      <c r="U214" s="14" t="s">
        <v>199</v>
      </c>
      <c r="V214" s="10" t="n">
        <v>3091</v>
      </c>
      <c r="W214" s="8"/>
      <c r="X214" s="8"/>
      <c r="Y214" s="8"/>
      <c r="Z214" s="8"/>
      <c r="AA214" s="8"/>
      <c r="AB214" s="8"/>
      <c r="AC214" s="8"/>
    </row>
    <row r="215" customFormat="false" ht="15" hidden="false" customHeight="false" outlineLevel="0" collapsed="false">
      <c r="A215" s="9" t="n">
        <v>46303</v>
      </c>
      <c r="B215" s="10" t="s">
        <v>22</v>
      </c>
      <c r="C215" s="11" t="s">
        <v>221</v>
      </c>
      <c r="D215" s="10" t="s">
        <v>466</v>
      </c>
      <c r="E215" s="11" t="str">
        <f aca="false" t="array" ref="E215:E215">IF(D215="","",IFERROR(INDEX('CLM &amp; IM Mapping'!$B$2:$B$270,MATCH(TRIM(D215),'CLM &amp; IM Mapping'!$A$2:$A$270,0)),"Not Mapped"))</f>
        <v>Vishnu V</v>
      </c>
      <c r="F215" s="11" t="str">
        <f aca="false" t="array" ref="F215:F215">IF(D215="","",IFERROR(INDEX('CLM &amp; IM Mapping'!$C$2:$C$270,MATCH(TRIM(D215),'CLM &amp; IM Mapping'!$A$2:$A$270,0)),"Not Mapped"))</f>
        <v>Arivind S</v>
      </c>
      <c r="G215" s="11" t="s">
        <v>34</v>
      </c>
      <c r="H215" s="10" t="n">
        <v>-19476</v>
      </c>
      <c r="I215" s="10" t="n">
        <v>6667</v>
      </c>
      <c r="J215" s="10" t="n">
        <v>1000</v>
      </c>
      <c r="K215" s="10" t="n">
        <v>0</v>
      </c>
      <c r="L215" s="10" t="n">
        <v>0</v>
      </c>
      <c r="M215" s="10" t="n">
        <v>0</v>
      </c>
      <c r="N215" s="10" t="n">
        <v>3786</v>
      </c>
      <c r="O215" s="10" t="n">
        <v>0</v>
      </c>
      <c r="P215" s="10" t="n">
        <v>-8023</v>
      </c>
      <c r="Q215" s="17"/>
      <c r="R215" s="11"/>
      <c r="S215" s="21"/>
      <c r="T215" s="15"/>
      <c r="U215" s="14" t="s">
        <v>467</v>
      </c>
      <c r="V215" s="10" t="n">
        <v>2761</v>
      </c>
      <c r="W215" s="8"/>
      <c r="X215" s="8"/>
      <c r="Y215" s="8"/>
      <c r="Z215" s="8"/>
      <c r="AA215" s="8"/>
      <c r="AB215" s="8"/>
      <c r="AC215" s="8"/>
    </row>
    <row r="216" customFormat="false" ht="15" hidden="false" customHeight="false" outlineLevel="0" collapsed="false">
      <c r="A216" s="9" t="n">
        <v>46303</v>
      </c>
      <c r="B216" s="10" t="s">
        <v>22</v>
      </c>
      <c r="C216" s="11" t="s">
        <v>23</v>
      </c>
      <c r="D216" s="11" t="s">
        <v>468</v>
      </c>
      <c r="E216" s="11" t="str">
        <f aca="false" t="array" ref="E216:E216">IF(D216="","",IFERROR(INDEX('CLM &amp; IM Mapping'!$B$2:$B$270,MATCH(TRIM(D216),'CLM &amp; IM Mapping'!$A$2:$A$270,0)),"Not Mapped"))</f>
        <v>Suhas N</v>
      </c>
      <c r="F216" s="11" t="str">
        <f aca="false" t="array" ref="F216:F216">IF(D216="","",IFERROR(INDEX('CLM &amp; IM Mapping'!$C$2:$C$270,MATCH(TRIM(D216),'CLM &amp; IM Mapping'!$A$2:$A$270,0)),"Not Mapped"))</f>
        <v>Aravind S</v>
      </c>
      <c r="G216" s="11" t="s">
        <v>34</v>
      </c>
      <c r="H216" s="10" t="n">
        <v>-23503</v>
      </c>
      <c r="I216" s="10" t="n">
        <v>12828</v>
      </c>
      <c r="J216" s="10" t="n">
        <v>0</v>
      </c>
      <c r="K216" s="10" t="n">
        <v>842</v>
      </c>
      <c r="L216" s="10" t="n">
        <v>622</v>
      </c>
      <c r="M216" s="10" t="n">
        <v>0</v>
      </c>
      <c r="N216" s="10" t="n">
        <v>1082</v>
      </c>
      <c r="O216" s="10" t="n">
        <v>19</v>
      </c>
      <c r="P216" s="10" t="n">
        <v>-8110</v>
      </c>
      <c r="Q216" s="17"/>
      <c r="R216" s="11"/>
      <c r="S216" s="21"/>
      <c r="T216" s="15"/>
      <c r="U216" s="14" t="s">
        <v>469</v>
      </c>
      <c r="V216" s="10" t="n">
        <v>15207</v>
      </c>
      <c r="W216" s="8"/>
      <c r="X216" s="8"/>
      <c r="Y216" s="8"/>
      <c r="Z216" s="8"/>
      <c r="AA216" s="8"/>
      <c r="AB216" s="8"/>
      <c r="AC216" s="8"/>
    </row>
    <row r="217" customFormat="false" ht="15" hidden="false" customHeight="false" outlineLevel="0" collapsed="false">
      <c r="A217" s="9" t="n">
        <v>46303</v>
      </c>
      <c r="B217" s="10" t="s">
        <v>22</v>
      </c>
      <c r="C217" s="11" t="s">
        <v>221</v>
      </c>
      <c r="D217" s="10" t="s">
        <v>470</v>
      </c>
      <c r="E217" s="11" t="str">
        <f aca="false" t="array" ref="E217:E217">IF(D217="","",IFERROR(INDEX('CLM &amp; IM Mapping'!$B$2:$B$270,MATCH(TRIM(D217),'CLM &amp; IM Mapping'!$A$2:$A$270,0)),"Not Mapped"))</f>
        <v>Vishnu V</v>
      </c>
      <c r="F217" s="11" t="str">
        <f aca="false" t="array" ref="F217:F217">IF(D217="","",IFERROR(INDEX('CLM &amp; IM Mapping'!$C$2:$C$270,MATCH(TRIM(D217),'CLM &amp; IM Mapping'!$A$2:$A$270,0)),"Not Mapped"))</f>
        <v>Arivind S</v>
      </c>
      <c r="G217" s="11" t="s">
        <v>34</v>
      </c>
      <c r="H217" s="10" t="n">
        <v>-10069</v>
      </c>
      <c r="I217" s="10" t="n">
        <v>1068</v>
      </c>
      <c r="J217" s="10" t="n">
        <v>0</v>
      </c>
      <c r="K217" s="10" t="n">
        <v>0</v>
      </c>
      <c r="L217" s="10" t="n">
        <v>443</v>
      </c>
      <c r="M217" s="10" t="n">
        <v>0</v>
      </c>
      <c r="N217" s="10" t="n">
        <v>0</v>
      </c>
      <c r="O217" s="10" t="n">
        <v>0</v>
      </c>
      <c r="P217" s="10" t="n">
        <v>-8558</v>
      </c>
      <c r="Q217" s="17"/>
      <c r="R217" s="11"/>
      <c r="S217" s="21"/>
      <c r="T217" s="15"/>
      <c r="U217" s="14" t="s">
        <v>471</v>
      </c>
      <c r="V217" s="10" t="n">
        <v>2424</v>
      </c>
      <c r="W217" s="8"/>
      <c r="X217" s="8"/>
      <c r="Y217" s="8"/>
      <c r="Z217" s="8"/>
      <c r="AA217" s="8"/>
      <c r="AB217" s="8"/>
      <c r="AC217" s="8"/>
    </row>
    <row r="218" customFormat="false" ht="15" hidden="false" customHeight="false" outlineLevel="0" collapsed="false">
      <c r="A218" s="9" t="n">
        <v>46303</v>
      </c>
      <c r="B218" s="10" t="s">
        <v>22</v>
      </c>
      <c r="C218" s="11" t="s">
        <v>212</v>
      </c>
      <c r="D218" s="10" t="s">
        <v>472</v>
      </c>
      <c r="E218" s="11" t="str">
        <f aca="false" t="array" ref="E218:E218">IF(D218="","",IFERROR(INDEX('CLM &amp; IM Mapping'!$B$2:$B$270,MATCH(TRIM(D218),'CLM &amp; IM Mapping'!$A$2:$A$270,0)),"Not Mapped"))</f>
        <v>Bangareppa CS</v>
      </c>
      <c r="F218" s="11" t="str">
        <f aca="false" t="array" ref="F218:F218">IF(D218="","",IFERROR(INDEX('CLM &amp; IM Mapping'!$C$2:$C$270,MATCH(TRIM(D218),'CLM &amp; IM Mapping'!$A$2:$A$270,0)),"Not Mapped"))</f>
        <v>Kishor K</v>
      </c>
      <c r="G218" s="11" t="s">
        <v>34</v>
      </c>
      <c r="H218" s="10" t="n">
        <v>-15646</v>
      </c>
      <c r="I218" s="10" t="n">
        <v>5885</v>
      </c>
      <c r="J218" s="10" t="n">
        <v>641</v>
      </c>
      <c r="K218" s="10" t="n">
        <v>0</v>
      </c>
      <c r="L218" s="10" t="n">
        <v>555</v>
      </c>
      <c r="M218" s="10" t="n">
        <v>0</v>
      </c>
      <c r="N218" s="10" t="n">
        <v>0</v>
      </c>
      <c r="O218" s="10" t="n">
        <v>0</v>
      </c>
      <c r="P218" s="10" t="n">
        <v>-8566</v>
      </c>
      <c r="Q218" s="17"/>
      <c r="R218" s="11"/>
      <c r="S218" s="21"/>
      <c r="T218" s="15"/>
      <c r="U218" s="14" t="s">
        <v>343</v>
      </c>
      <c r="V218" s="10" t="n">
        <v>1186</v>
      </c>
      <c r="W218" s="8"/>
      <c r="X218" s="8"/>
      <c r="Y218" s="8"/>
      <c r="Z218" s="8"/>
      <c r="AA218" s="8"/>
      <c r="AB218" s="8"/>
      <c r="AC218" s="8"/>
    </row>
    <row r="219" customFormat="false" ht="15" hidden="false" customHeight="false" outlineLevel="0" collapsed="false">
      <c r="A219" s="9" t="n">
        <v>46303</v>
      </c>
      <c r="B219" s="10" t="s">
        <v>22</v>
      </c>
      <c r="C219" s="11" t="s">
        <v>23</v>
      </c>
      <c r="D219" s="10" t="s">
        <v>473</v>
      </c>
      <c r="E219" s="11" t="str">
        <f aca="false" t="array" ref="E219:E219">IF(D219="","",IFERROR(INDEX('CLM &amp; IM Mapping'!$B$2:$B$270,MATCH(TRIM(D219),'CLM &amp; IM Mapping'!$A$2:$A$270,0)),"Not Mapped"))</f>
        <v>Raghavendra Vernekar</v>
      </c>
      <c r="F219" s="11" t="str">
        <f aca="false" t="array" ref="F219:F219">IF(D219="","",IFERROR(INDEX('CLM &amp; IM Mapping'!$C$2:$C$270,MATCH(TRIM(D219),'CLM &amp; IM Mapping'!$A$2:$A$270,0)),"Not Mapped"))</f>
        <v>Prakash BS</v>
      </c>
      <c r="G219" s="11" t="s">
        <v>34</v>
      </c>
      <c r="H219" s="10" t="n">
        <v>-11983</v>
      </c>
      <c r="I219" s="10" t="n">
        <v>2784</v>
      </c>
      <c r="J219" s="10" t="n">
        <v>0</v>
      </c>
      <c r="K219" s="10" t="n">
        <v>0</v>
      </c>
      <c r="L219" s="10" t="n">
        <v>346</v>
      </c>
      <c r="M219" s="10" t="n">
        <v>0</v>
      </c>
      <c r="N219" s="10" t="n">
        <v>0</v>
      </c>
      <c r="O219" s="10" t="n">
        <v>0</v>
      </c>
      <c r="P219" s="10" t="n">
        <v>-8853</v>
      </c>
      <c r="Q219" s="17"/>
      <c r="R219" s="11"/>
      <c r="S219" s="21"/>
      <c r="T219" s="15"/>
      <c r="U219" s="14" t="s">
        <v>215</v>
      </c>
      <c r="V219" s="10" t="n">
        <v>2133</v>
      </c>
      <c r="W219" s="8"/>
      <c r="X219" s="8"/>
      <c r="Y219" s="8"/>
      <c r="Z219" s="8"/>
      <c r="AA219" s="8"/>
      <c r="AB219" s="8"/>
      <c r="AC219" s="8"/>
    </row>
    <row r="220" customFormat="false" ht="15" hidden="false" customHeight="false" outlineLevel="0" collapsed="false">
      <c r="A220" s="9" t="n">
        <v>46303</v>
      </c>
      <c r="B220" s="10" t="s">
        <v>22</v>
      </c>
      <c r="C220" s="11" t="s">
        <v>23</v>
      </c>
      <c r="D220" s="10" t="s">
        <v>474</v>
      </c>
      <c r="E220" s="11" t="str">
        <f aca="false" t="array" ref="E220:E220">IF(D220="","",IFERROR(INDEX('CLM &amp; IM Mapping'!$B$2:$B$270,MATCH(TRIM(D220),'CLM &amp; IM Mapping'!$A$2:$A$270,0)),"Not Mapped"))</f>
        <v>Silambarasan E</v>
      </c>
      <c r="F220" s="11" t="str">
        <f aca="false" t="array" ref="F220:F220">IF(D220="","",IFERROR(INDEX('CLM &amp; IM Mapping'!$C$2:$C$270,MATCH(TRIM(D220),'CLM &amp; IM Mapping'!$A$2:$A$270,0)),"Not Mapped"))</f>
        <v>Arivind S</v>
      </c>
      <c r="G220" s="11" t="s">
        <v>34</v>
      </c>
      <c r="H220" s="10" t="n">
        <v>-19351</v>
      </c>
      <c r="I220" s="10" t="n">
        <v>9488</v>
      </c>
      <c r="J220" s="10" t="n">
        <v>179</v>
      </c>
      <c r="K220" s="10" t="n">
        <v>43</v>
      </c>
      <c r="L220" s="10" t="n">
        <v>471</v>
      </c>
      <c r="M220" s="10" t="n">
        <v>0</v>
      </c>
      <c r="N220" s="10" t="n">
        <v>0</v>
      </c>
      <c r="O220" s="10" t="n">
        <v>0</v>
      </c>
      <c r="P220" s="10" t="n">
        <v>-9170</v>
      </c>
      <c r="Q220" s="17"/>
      <c r="R220" s="11"/>
      <c r="S220" s="21"/>
      <c r="T220" s="15"/>
      <c r="U220" s="14" t="s">
        <v>32</v>
      </c>
      <c r="V220" s="10" t="n">
        <v>3469</v>
      </c>
      <c r="W220" s="8"/>
      <c r="X220" s="8"/>
      <c r="Y220" s="8"/>
      <c r="Z220" s="8"/>
      <c r="AA220" s="8"/>
      <c r="AB220" s="8"/>
      <c r="AC220" s="8"/>
    </row>
    <row r="221" customFormat="false" ht="15" hidden="false" customHeight="false" outlineLevel="0" collapsed="false">
      <c r="A221" s="9" t="n">
        <v>46303</v>
      </c>
      <c r="B221" s="10" t="s">
        <v>22</v>
      </c>
      <c r="C221" s="11" t="s">
        <v>303</v>
      </c>
      <c r="D221" s="10" t="s">
        <v>475</v>
      </c>
      <c r="E221" s="11" t="str">
        <f aca="false" t="array" ref="E221:E221">IF(D221="","",IFERROR(INDEX('CLM &amp; IM Mapping'!$B$2:$B$270,MATCH(TRIM(D221),'CLM &amp; IM Mapping'!$A$2:$A$270,0)),"Not Mapped"))</f>
        <v>John Britto</v>
      </c>
      <c r="F221" s="11" t="str">
        <f aca="false" t="array" ref="F221:F221">IF(D221="","",IFERROR(INDEX('CLM &amp; IM Mapping'!$C$2:$C$270,MATCH(TRIM(D221),'CLM &amp; IM Mapping'!$A$2:$A$270,0)),"Not Mapped"))</f>
        <v>Aravind S</v>
      </c>
      <c r="G221" s="11" t="s">
        <v>34</v>
      </c>
      <c r="H221" s="10" t="n">
        <v>-11910</v>
      </c>
      <c r="I221" s="10" t="n">
        <v>2411</v>
      </c>
      <c r="J221" s="10" t="n">
        <v>0</v>
      </c>
      <c r="K221" s="10" t="n">
        <v>0</v>
      </c>
      <c r="L221" s="10" t="n">
        <v>246</v>
      </c>
      <c r="M221" s="10" t="n">
        <v>0</v>
      </c>
      <c r="N221" s="10" t="n">
        <v>0</v>
      </c>
      <c r="O221" s="10" t="n">
        <v>0</v>
      </c>
      <c r="P221" s="10" t="n">
        <v>-9253</v>
      </c>
      <c r="Q221" s="17"/>
      <c r="R221" s="11"/>
      <c r="S221" s="21"/>
      <c r="T221" s="15"/>
      <c r="U221" s="14" t="s">
        <v>476</v>
      </c>
      <c r="V221" s="10" t="n">
        <v>7345</v>
      </c>
      <c r="W221" s="8"/>
      <c r="X221" s="8"/>
      <c r="Y221" s="8"/>
      <c r="Z221" s="8"/>
      <c r="AA221" s="8"/>
      <c r="AB221" s="8"/>
      <c r="AC221" s="8"/>
    </row>
    <row r="222" customFormat="false" ht="15" hidden="false" customHeight="false" outlineLevel="0" collapsed="false">
      <c r="A222" s="9" t="n">
        <v>46303</v>
      </c>
      <c r="B222" s="10" t="s">
        <v>22</v>
      </c>
      <c r="C222" s="11" t="s">
        <v>23</v>
      </c>
      <c r="D222" s="10" t="s">
        <v>477</v>
      </c>
      <c r="E222" s="11" t="str">
        <f aca="false" t="array" ref="E222:E222">IF(D222="","",IFERROR(INDEX('CLM &amp; IM Mapping'!$B$2:$B$270,MATCH(TRIM(D222),'CLM &amp; IM Mapping'!$A$2:$A$270,0)),"Not Mapped"))</f>
        <v>MH</v>
      </c>
      <c r="F222" s="11" t="str">
        <f aca="false" t="array" ref="F222:F222">IF(D222="","",IFERROR(INDEX('CLM &amp; IM Mapping'!$C$2:$C$270,MATCH(TRIM(D222),'CLM &amp; IM Mapping'!$A$2:$A$270,0)),"Not Mapped"))</f>
        <v>MH</v>
      </c>
      <c r="G222" s="11" t="s">
        <v>34</v>
      </c>
      <c r="H222" s="10" t="n">
        <v>-10316</v>
      </c>
      <c r="I222" s="10" t="n">
        <v>0</v>
      </c>
      <c r="J222" s="10" t="n">
        <v>0</v>
      </c>
      <c r="K222" s="10" t="n">
        <v>0</v>
      </c>
      <c r="L222" s="10" t="n">
        <v>953</v>
      </c>
      <c r="M222" s="10" t="n">
        <v>0</v>
      </c>
      <c r="N222" s="10" t="n">
        <v>0</v>
      </c>
      <c r="O222" s="10" t="n">
        <v>0</v>
      </c>
      <c r="P222" s="10" t="n">
        <v>-9363</v>
      </c>
      <c r="Q222" s="17"/>
      <c r="R222" s="11"/>
      <c r="S222" s="21"/>
      <c r="T222" s="15"/>
      <c r="U222" s="14" t="s">
        <v>366</v>
      </c>
      <c r="V222" s="11" t="n">
        <v>0</v>
      </c>
      <c r="W222" s="8"/>
      <c r="X222" s="8"/>
      <c r="Y222" s="8"/>
      <c r="Z222" s="8"/>
      <c r="AA222" s="8"/>
      <c r="AB222" s="8"/>
      <c r="AC222" s="8"/>
    </row>
    <row r="223" customFormat="false" ht="15" hidden="false" customHeight="false" outlineLevel="0" collapsed="false">
      <c r="A223" s="9" t="n">
        <v>46303</v>
      </c>
      <c r="B223" s="10" t="s">
        <v>22</v>
      </c>
      <c r="C223" s="11" t="s">
        <v>221</v>
      </c>
      <c r="D223" s="10" t="s">
        <v>478</v>
      </c>
      <c r="E223" s="11" t="str">
        <f aca="false" t="array" ref="E223:E223">IF(D223="","",IFERROR(INDEX('CLM &amp; IM Mapping'!$B$2:$B$270,MATCH(TRIM(D223),'CLM &amp; IM Mapping'!$A$2:$A$270,0)),"Not Mapped"))</f>
        <v>Vishnu V</v>
      </c>
      <c r="F223" s="11" t="str">
        <f aca="false" t="array" ref="F223:F223">IF(D223="","",IFERROR(INDEX('CLM &amp; IM Mapping'!$C$2:$C$270,MATCH(TRIM(D223),'CLM &amp; IM Mapping'!$A$2:$A$270,0)),"Not Mapped"))</f>
        <v>Arivind S</v>
      </c>
      <c r="G223" s="11" t="s">
        <v>34</v>
      </c>
      <c r="H223" s="10" t="n">
        <v>-17880</v>
      </c>
      <c r="I223" s="10" t="n">
        <v>6443</v>
      </c>
      <c r="J223" s="10" t="n">
        <v>624</v>
      </c>
      <c r="K223" s="10" t="n">
        <v>74</v>
      </c>
      <c r="L223" s="10" t="n">
        <v>509</v>
      </c>
      <c r="M223" s="10" t="n">
        <v>0</v>
      </c>
      <c r="N223" s="10" t="n">
        <v>0</v>
      </c>
      <c r="O223" s="10" t="n">
        <v>0</v>
      </c>
      <c r="P223" s="10" t="n">
        <v>-10230</v>
      </c>
      <c r="Q223" s="17"/>
      <c r="R223" s="11"/>
      <c r="S223" s="21"/>
      <c r="T223" s="15"/>
      <c r="U223" s="14" t="s">
        <v>125</v>
      </c>
      <c r="V223" s="10" t="n">
        <v>9423</v>
      </c>
      <c r="W223" s="8"/>
      <c r="X223" s="8"/>
      <c r="Y223" s="8"/>
      <c r="Z223" s="8"/>
      <c r="AA223" s="8"/>
      <c r="AB223" s="8"/>
      <c r="AC223" s="8"/>
    </row>
    <row r="224" customFormat="false" ht="15" hidden="false" customHeight="false" outlineLevel="0" collapsed="false">
      <c r="A224" s="9" t="n">
        <v>46303</v>
      </c>
      <c r="B224" s="10" t="s">
        <v>22</v>
      </c>
      <c r="C224" s="11" t="s">
        <v>23</v>
      </c>
      <c r="D224" s="10" t="s">
        <v>479</v>
      </c>
      <c r="E224" s="11" t="str">
        <f aca="false" t="array" ref="E224:E224">IF(D224="","",IFERROR(INDEX('CLM &amp; IM Mapping'!$B$2:$B$270,MATCH(TRIM(D224),'CLM &amp; IM Mapping'!$A$2:$A$270,0)),"Not Mapped"))</f>
        <v>Arun Raj</v>
      </c>
      <c r="F224" s="11" t="str">
        <f aca="false" t="array" ref="F224:F224">IF(D224="","",IFERROR(INDEX('CLM &amp; IM Mapping'!$C$2:$C$270,MATCH(TRIM(D224),'CLM &amp; IM Mapping'!$A$2:$A$270,0)),"Not Mapped"))</f>
        <v>Simon Manoharan</v>
      </c>
      <c r="G224" s="11" t="s">
        <v>25</v>
      </c>
      <c r="H224" s="10" t="n">
        <v>-10970</v>
      </c>
      <c r="I224" s="10" t="n">
        <v>0</v>
      </c>
      <c r="J224" s="10" t="n">
        <v>0</v>
      </c>
      <c r="K224" s="10" t="n">
        <v>0</v>
      </c>
      <c r="L224" s="10" t="n">
        <v>0</v>
      </c>
      <c r="M224" s="10" t="n">
        <v>0</v>
      </c>
      <c r="N224" s="10" t="n">
        <v>0</v>
      </c>
      <c r="O224" s="10" t="n">
        <v>0</v>
      </c>
      <c r="P224" s="10" t="n">
        <v>-10970</v>
      </c>
      <c r="Q224" s="17"/>
      <c r="R224" s="11"/>
      <c r="S224" s="21"/>
      <c r="T224" s="15"/>
      <c r="U224" s="14" t="s">
        <v>480</v>
      </c>
      <c r="V224" s="11" t="n">
        <v>980</v>
      </c>
      <c r="W224" s="8"/>
      <c r="X224" s="8"/>
      <c r="Y224" s="8"/>
      <c r="Z224" s="8"/>
      <c r="AA224" s="8"/>
      <c r="AB224" s="8"/>
      <c r="AC224" s="8"/>
    </row>
    <row r="225" customFormat="false" ht="15" hidden="false" customHeight="false" outlineLevel="0" collapsed="false">
      <c r="A225" s="9" t="n">
        <v>46303</v>
      </c>
      <c r="B225" s="10" t="s">
        <v>22</v>
      </c>
      <c r="C225" s="11" t="s">
        <v>23</v>
      </c>
      <c r="D225" s="10" t="s">
        <v>481</v>
      </c>
      <c r="E225" s="11" t="str">
        <f aca="false" t="array" ref="E225:E225">IF(D225="","",IFERROR(INDEX('CLM &amp; IM Mapping'!$B$2:$B$270,MATCH(TRIM(D225),'CLM &amp; IM Mapping'!$A$2:$A$270,0)),"Not Mapped"))</f>
        <v>Akshay P</v>
      </c>
      <c r="F225" s="11" t="str">
        <f aca="false" t="array" ref="F225:F225">IF(D225="","",IFERROR(INDEX('CLM &amp; IM Mapping'!$C$2:$C$270,MATCH(TRIM(D225),'CLM &amp; IM Mapping'!$A$2:$A$270,0)),"Not Mapped"))</f>
        <v>Srittam Dhal</v>
      </c>
      <c r="G225" s="11" t="s">
        <v>34</v>
      </c>
      <c r="H225" s="10" t="n">
        <v>-11107</v>
      </c>
      <c r="I225" s="10" t="n">
        <v>0</v>
      </c>
      <c r="J225" s="10" t="n">
        <v>0</v>
      </c>
      <c r="K225" s="10" t="n">
        <v>0</v>
      </c>
      <c r="L225" s="10" t="n">
        <v>48</v>
      </c>
      <c r="M225" s="10" t="n">
        <v>0</v>
      </c>
      <c r="N225" s="10" t="n">
        <v>0</v>
      </c>
      <c r="O225" s="10" t="n">
        <v>0</v>
      </c>
      <c r="P225" s="10" t="n">
        <v>-11059</v>
      </c>
      <c r="Q225" s="17"/>
      <c r="R225" s="11"/>
      <c r="S225" s="21"/>
      <c r="T225" s="15"/>
      <c r="U225" s="14" t="s">
        <v>482</v>
      </c>
      <c r="V225" s="10" t="n">
        <v>2218</v>
      </c>
      <c r="W225" s="8"/>
      <c r="X225" s="8"/>
      <c r="Y225" s="8"/>
      <c r="Z225" s="8"/>
      <c r="AA225" s="8"/>
      <c r="AB225" s="8"/>
      <c r="AC225" s="8"/>
    </row>
    <row r="226" customFormat="false" ht="15" hidden="false" customHeight="false" outlineLevel="0" collapsed="false">
      <c r="A226" s="9" t="n">
        <v>46303</v>
      </c>
      <c r="B226" s="10" t="s">
        <v>22</v>
      </c>
      <c r="C226" s="11" t="s">
        <v>23</v>
      </c>
      <c r="D226" s="10" t="s">
        <v>483</v>
      </c>
      <c r="E226" s="11" t="str">
        <f aca="false" t="array" ref="E226:E226">IF(D226="","",IFERROR(INDEX('CLM &amp; IM Mapping'!$B$2:$B$270,MATCH(TRIM(D226),'CLM &amp; IM Mapping'!$A$2:$A$270,0)),"Not Mapped"))</f>
        <v>Sundaresh S</v>
      </c>
      <c r="F226" s="11" t="str">
        <f aca="false" t="array" ref="F226:F226">IF(D226="","",IFERROR(INDEX('CLM &amp; IM Mapping'!$C$2:$C$270,MATCH(TRIM(D226),'CLM &amp; IM Mapping'!$A$2:$A$270,0)),"Not Mapped"))</f>
        <v>Un Mapped</v>
      </c>
      <c r="G226" s="11" t="s">
        <v>34</v>
      </c>
      <c r="H226" s="10" t="n">
        <v>-14078</v>
      </c>
      <c r="I226" s="10" t="n">
        <v>1038</v>
      </c>
      <c r="J226" s="10" t="n">
        <v>0</v>
      </c>
      <c r="K226" s="10" t="n">
        <v>0</v>
      </c>
      <c r="L226" s="10" t="n">
        <v>62</v>
      </c>
      <c r="M226" s="10" t="n">
        <v>0</v>
      </c>
      <c r="N226" s="10" t="n">
        <v>1375</v>
      </c>
      <c r="O226" s="10" t="n">
        <v>506</v>
      </c>
      <c r="P226" s="10" t="n">
        <v>-11098</v>
      </c>
      <c r="Q226" s="17"/>
      <c r="R226" s="11"/>
      <c r="S226" s="21"/>
      <c r="T226" s="15"/>
      <c r="U226" s="14" t="s">
        <v>297</v>
      </c>
      <c r="V226" s="10" t="n">
        <v>1108</v>
      </c>
      <c r="W226" s="8"/>
      <c r="X226" s="8"/>
      <c r="Y226" s="8"/>
      <c r="Z226" s="8"/>
      <c r="AA226" s="8"/>
      <c r="AB226" s="8"/>
      <c r="AC226" s="8"/>
    </row>
    <row r="227" customFormat="false" ht="15" hidden="false" customHeight="false" outlineLevel="0" collapsed="false">
      <c r="A227" s="9" t="n">
        <v>46303</v>
      </c>
      <c r="B227" s="10" t="s">
        <v>22</v>
      </c>
      <c r="C227" s="11" t="s">
        <v>23</v>
      </c>
      <c r="D227" s="10" t="s">
        <v>484</v>
      </c>
      <c r="E227" s="11" t="str">
        <f aca="false" t="array" ref="E227:E227">IF(D227="","",IFERROR(INDEX('CLM &amp; IM Mapping'!$B$2:$B$270,MATCH(TRIM(D227),'CLM &amp; IM Mapping'!$A$2:$A$270,0)),"Not Mapped"))</f>
        <v>Raghavendra Vernekar</v>
      </c>
      <c r="F227" s="11" t="str">
        <f aca="false" t="array" ref="F227:F227">IF(D227="","",IFERROR(INDEX('CLM &amp; IM Mapping'!$C$2:$C$270,MATCH(TRIM(D227),'CLM &amp; IM Mapping'!$A$2:$A$270,0)),"Not Mapped"))</f>
        <v>Prakash BS</v>
      </c>
      <c r="G227" s="11" t="s">
        <v>34</v>
      </c>
      <c r="H227" s="10" t="n">
        <v>-13071</v>
      </c>
      <c r="I227" s="10" t="n">
        <v>1396</v>
      </c>
      <c r="J227" s="10" t="n">
        <v>0</v>
      </c>
      <c r="K227" s="10" t="n">
        <v>232</v>
      </c>
      <c r="L227" s="10" t="n">
        <v>107</v>
      </c>
      <c r="M227" s="10" t="n">
        <v>0</v>
      </c>
      <c r="N227" s="10" t="n">
        <v>54</v>
      </c>
      <c r="O227" s="10" t="n">
        <v>0</v>
      </c>
      <c r="P227" s="10" t="n">
        <v>-11283</v>
      </c>
      <c r="Q227" s="17"/>
      <c r="R227" s="11"/>
      <c r="S227" s="21"/>
      <c r="T227" s="15"/>
      <c r="U227" s="14" t="s">
        <v>485</v>
      </c>
      <c r="V227" s="10" t="n">
        <v>6924</v>
      </c>
      <c r="W227" s="8"/>
      <c r="X227" s="8"/>
      <c r="Y227" s="8"/>
      <c r="Z227" s="8"/>
      <c r="AA227" s="8"/>
      <c r="AB227" s="8"/>
      <c r="AC227" s="8"/>
    </row>
    <row r="228" customFormat="false" ht="15" hidden="false" customHeight="false" outlineLevel="0" collapsed="false">
      <c r="A228" s="9" t="n">
        <v>46303</v>
      </c>
      <c r="B228" s="10" t="s">
        <v>22</v>
      </c>
      <c r="C228" s="11" t="s">
        <v>23</v>
      </c>
      <c r="D228" s="10" t="s">
        <v>486</v>
      </c>
      <c r="E228" s="11" t="str">
        <f aca="false" t="array" ref="E228:E228">IF(D228="","",IFERROR(INDEX('CLM &amp; IM Mapping'!$B$2:$B$270,MATCH(TRIM(D228),'CLM &amp; IM Mapping'!$A$2:$A$270,0)),"Not Mapped"))</f>
        <v>Balaji G</v>
      </c>
      <c r="F228" s="11" t="str">
        <f aca="false" t="array" ref="F228:F228">IF(D228="","",IFERROR(INDEX('CLM &amp; IM Mapping'!$C$2:$C$270,MATCH(TRIM(D228),'CLM &amp; IM Mapping'!$A$2:$A$270,0)),"Not Mapped"))</f>
        <v>Mohammed Akbar</v>
      </c>
      <c r="G228" s="11" t="s">
        <v>34</v>
      </c>
      <c r="H228" s="10" t="n">
        <v>-25203</v>
      </c>
      <c r="I228" s="10" t="n">
        <v>13631</v>
      </c>
      <c r="J228" s="10" t="n">
        <v>0</v>
      </c>
      <c r="K228" s="10" t="n">
        <v>0</v>
      </c>
      <c r="L228" s="10" t="n">
        <v>258</v>
      </c>
      <c r="M228" s="10" t="n">
        <v>0</v>
      </c>
      <c r="N228" s="10" t="n">
        <v>0</v>
      </c>
      <c r="O228" s="10" t="n">
        <v>0</v>
      </c>
      <c r="P228" s="10" t="n">
        <v>-11314</v>
      </c>
      <c r="Q228" s="17"/>
      <c r="R228" s="11"/>
      <c r="S228" s="21"/>
      <c r="T228" s="15"/>
      <c r="U228" s="14" t="s">
        <v>487</v>
      </c>
      <c r="V228" s="10" t="n">
        <v>1470</v>
      </c>
      <c r="W228" s="8"/>
      <c r="X228" s="8"/>
      <c r="Y228" s="8"/>
      <c r="Z228" s="8"/>
      <c r="AA228" s="8"/>
      <c r="AB228" s="8"/>
      <c r="AC228" s="8"/>
    </row>
    <row r="229" customFormat="false" ht="15" hidden="false" customHeight="false" outlineLevel="0" collapsed="false">
      <c r="A229" s="9" t="n">
        <v>46303</v>
      </c>
      <c r="B229" s="10" t="s">
        <v>22</v>
      </c>
      <c r="C229" s="11" t="s">
        <v>23</v>
      </c>
      <c r="D229" s="10" t="s">
        <v>488</v>
      </c>
      <c r="E229" s="11" t="str">
        <f aca="false" t="array" ref="E229:E229">IF(D229="","",IFERROR(INDEX('CLM &amp; IM Mapping'!$B$2:$B$270,MATCH(TRIM(D229),'CLM &amp; IM Mapping'!$A$2:$A$270,0)),"Not Mapped"))</f>
        <v>Sundaresh S</v>
      </c>
      <c r="F229" s="11" t="str">
        <f aca="false" t="array" ref="F229:F229">IF(D229="","",IFERROR(INDEX('CLM &amp; IM Mapping'!$C$2:$C$270,MATCH(TRIM(D229),'CLM &amp; IM Mapping'!$A$2:$A$270,0)),"Not Mapped"))</f>
        <v>Un Mapped</v>
      </c>
      <c r="G229" s="11" t="s">
        <v>34</v>
      </c>
      <c r="H229" s="10" t="n">
        <v>-18091</v>
      </c>
      <c r="I229" s="10" t="n">
        <v>5898</v>
      </c>
      <c r="J229" s="10" t="n">
        <v>0</v>
      </c>
      <c r="K229" s="10" t="n">
        <v>0</v>
      </c>
      <c r="L229" s="10" t="n">
        <v>863</v>
      </c>
      <c r="M229" s="10" t="n">
        <v>0</v>
      </c>
      <c r="N229" s="10" t="n">
        <v>0</v>
      </c>
      <c r="O229" s="10" t="n">
        <v>0</v>
      </c>
      <c r="P229" s="10" t="n">
        <v>-11330</v>
      </c>
      <c r="Q229" s="17"/>
      <c r="R229" s="11"/>
      <c r="S229" s="21"/>
      <c r="T229" s="15"/>
      <c r="U229" s="14" t="s">
        <v>489</v>
      </c>
      <c r="V229" s="10" t="n">
        <v>7016</v>
      </c>
      <c r="W229" s="8"/>
      <c r="X229" s="8"/>
      <c r="Y229" s="8"/>
      <c r="Z229" s="8"/>
      <c r="AA229" s="8"/>
      <c r="AB229" s="8"/>
      <c r="AC229" s="8"/>
    </row>
    <row r="230" customFormat="false" ht="15" hidden="false" customHeight="false" outlineLevel="0" collapsed="false">
      <c r="A230" s="9" t="n">
        <v>46303</v>
      </c>
      <c r="B230" s="10" t="s">
        <v>22</v>
      </c>
      <c r="C230" s="11" t="s">
        <v>23</v>
      </c>
      <c r="D230" s="10" t="s">
        <v>490</v>
      </c>
      <c r="E230" s="11" t="str">
        <f aca="false" t="array" ref="E230:E230">IF(D230="","",IFERROR(INDEX('CLM &amp; IM Mapping'!$B$2:$B$270,MATCH(TRIM(D230),'CLM &amp; IM Mapping'!$A$2:$A$270,0)),"Not Mapped"))</f>
        <v>Arun Raj</v>
      </c>
      <c r="F230" s="11" t="str">
        <f aca="false" t="array" ref="F230:F230">IF(D230="","",IFERROR(INDEX('CLM &amp; IM Mapping'!$C$2:$C$270,MATCH(TRIM(D230),'CLM &amp; IM Mapping'!$A$2:$A$270,0)),"Not Mapped"))</f>
        <v>Simon Manoharan</v>
      </c>
      <c r="G230" s="11" t="s">
        <v>25</v>
      </c>
      <c r="H230" s="10" t="n">
        <v>-13119</v>
      </c>
      <c r="I230" s="10" t="n">
        <v>756</v>
      </c>
      <c r="J230" s="10" t="n">
        <v>0</v>
      </c>
      <c r="K230" s="10" t="n">
        <v>0</v>
      </c>
      <c r="L230" s="10" t="n">
        <v>966</v>
      </c>
      <c r="M230" s="10" t="n">
        <v>0</v>
      </c>
      <c r="N230" s="10" t="n">
        <v>0</v>
      </c>
      <c r="O230" s="10" t="n">
        <v>0</v>
      </c>
      <c r="P230" s="10" t="n">
        <v>-11397</v>
      </c>
      <c r="Q230" s="17"/>
      <c r="R230" s="11"/>
      <c r="S230" s="21"/>
      <c r="T230" s="15"/>
      <c r="U230" s="14" t="s">
        <v>471</v>
      </c>
      <c r="V230" s="10" t="n">
        <v>6271</v>
      </c>
      <c r="W230" s="8"/>
      <c r="X230" s="8"/>
      <c r="Y230" s="8"/>
      <c r="Z230" s="8"/>
      <c r="AA230" s="8"/>
      <c r="AB230" s="8"/>
      <c r="AC230" s="8"/>
    </row>
    <row r="231" customFormat="false" ht="15" hidden="false" customHeight="false" outlineLevel="0" collapsed="false">
      <c r="A231" s="9" t="n">
        <v>46303</v>
      </c>
      <c r="B231" s="10" t="s">
        <v>22</v>
      </c>
      <c r="C231" s="11" t="s">
        <v>23</v>
      </c>
      <c r="D231" s="11" t="s">
        <v>491</v>
      </c>
      <c r="E231" s="11" t="str">
        <f aca="false" t="array" ref="E231:E231">IF(D231="","",IFERROR(INDEX('CLM &amp; IM Mapping'!$B$2:$B$270,MATCH(TRIM(D231),'CLM &amp; IM Mapping'!$A$2:$A$270,0)),"Not Mapped"))</f>
        <v>Manjunatha V</v>
      </c>
      <c r="F231" s="11" t="str">
        <f aca="false" t="array" ref="F231:F231">IF(D231="","",IFERROR(INDEX('CLM &amp; IM Mapping'!$C$2:$C$270,MATCH(TRIM(D231),'CLM &amp; IM Mapping'!$A$2:$A$270,0)),"Not Mapped"))</f>
        <v>Un Mapped</v>
      </c>
      <c r="G231" s="11" t="s">
        <v>34</v>
      </c>
      <c r="H231" s="10" t="n">
        <v>-15262</v>
      </c>
      <c r="I231" s="10" t="n">
        <v>2022</v>
      </c>
      <c r="J231" s="10" t="n">
        <v>0</v>
      </c>
      <c r="K231" s="10" t="n">
        <v>262</v>
      </c>
      <c r="L231" s="10" t="n">
        <v>1084</v>
      </c>
      <c r="M231" s="10" t="n">
        <v>0</v>
      </c>
      <c r="N231" s="10" t="n">
        <v>323</v>
      </c>
      <c r="O231" s="10" t="n">
        <v>0</v>
      </c>
      <c r="P231" s="10" t="n">
        <v>-11570</v>
      </c>
      <c r="Q231" s="17"/>
      <c r="R231" s="11"/>
      <c r="S231" s="21"/>
      <c r="T231" s="15"/>
      <c r="U231" s="14" t="s">
        <v>485</v>
      </c>
      <c r="V231" s="10" t="n">
        <v>10143</v>
      </c>
      <c r="W231" s="8"/>
      <c r="X231" s="8"/>
      <c r="Y231" s="8"/>
      <c r="Z231" s="8"/>
      <c r="AA231" s="8"/>
      <c r="AB231" s="8"/>
      <c r="AC231" s="8"/>
    </row>
    <row r="232" customFormat="false" ht="15" hidden="false" customHeight="false" outlineLevel="0" collapsed="false">
      <c r="A232" s="9" t="n">
        <v>46303</v>
      </c>
      <c r="B232" s="10" t="s">
        <v>22</v>
      </c>
      <c r="C232" s="11" t="s">
        <v>23</v>
      </c>
      <c r="D232" s="10" t="s">
        <v>492</v>
      </c>
      <c r="E232" s="11" t="str">
        <f aca="false" t="array" ref="E232:E232">IF(D232="","",IFERROR(INDEX('CLM &amp; IM Mapping'!$B$2:$B$270,MATCH(TRIM(D232),'CLM &amp; IM Mapping'!$A$2:$A$270,0)),"Not Mapped"))</f>
        <v>Balaji G</v>
      </c>
      <c r="F232" s="11" t="str">
        <f aca="false" t="array" ref="F232:F232">IF(D232="","",IFERROR(INDEX('CLM &amp; IM Mapping'!$C$2:$C$270,MATCH(TRIM(D232),'CLM &amp; IM Mapping'!$A$2:$A$270,0)),"Not Mapped"))</f>
        <v>Mohammed Akbar</v>
      </c>
      <c r="G232" s="11" t="s">
        <v>34</v>
      </c>
      <c r="H232" s="10" t="n">
        <v>-12306</v>
      </c>
      <c r="I232" s="10" t="n">
        <v>627</v>
      </c>
      <c r="J232" s="10" t="n">
        <v>0</v>
      </c>
      <c r="K232" s="10" t="n">
        <v>0</v>
      </c>
      <c r="L232" s="10" t="n">
        <v>36</v>
      </c>
      <c r="M232" s="10" t="n">
        <v>0</v>
      </c>
      <c r="N232" s="10" t="n">
        <v>0</v>
      </c>
      <c r="O232" s="10" t="n">
        <v>0</v>
      </c>
      <c r="P232" s="10" t="n">
        <v>-11643</v>
      </c>
      <c r="Q232" s="17"/>
      <c r="R232" s="11"/>
      <c r="S232" s="21"/>
      <c r="T232" s="15"/>
      <c r="U232" s="14" t="s">
        <v>286</v>
      </c>
      <c r="V232" s="10" t="n">
        <v>1922</v>
      </c>
      <c r="W232" s="8"/>
      <c r="X232" s="8"/>
      <c r="Y232" s="8"/>
      <c r="Z232" s="8"/>
      <c r="AA232" s="8"/>
      <c r="AB232" s="8"/>
      <c r="AC232" s="8"/>
    </row>
    <row r="233" customFormat="false" ht="15" hidden="false" customHeight="false" outlineLevel="0" collapsed="false">
      <c r="A233" s="9" t="n">
        <v>46303</v>
      </c>
      <c r="B233" s="10" t="s">
        <v>22</v>
      </c>
      <c r="C233" s="11" t="s">
        <v>276</v>
      </c>
      <c r="D233" s="10" t="s">
        <v>493</v>
      </c>
      <c r="E233" s="11" t="str">
        <f aca="false" t="array" ref="E233:E233">IF(D233="","",IFERROR(INDEX('CLM &amp; IM Mapping'!$B$2:$B$270,MATCH(TRIM(D233),'CLM &amp; IM Mapping'!$A$2:$A$270,0)),"Not Mapped"))</f>
        <v>Santhosha M</v>
      </c>
      <c r="F233" s="11" t="str">
        <f aca="false" t="array" ref="F233:F233">IF(D233="","",IFERROR(INDEX('CLM &amp; IM Mapping'!$C$2:$C$270,MATCH(TRIM(D233),'CLM &amp; IM Mapping'!$A$2:$A$270,0)),"Not Mapped"))</f>
        <v>Aravind S</v>
      </c>
      <c r="G233" s="11" t="s">
        <v>34</v>
      </c>
      <c r="H233" s="10" t="n">
        <v>-12987</v>
      </c>
      <c r="I233" s="10" t="n">
        <v>551</v>
      </c>
      <c r="J233" s="10" t="n">
        <v>0</v>
      </c>
      <c r="K233" s="10" t="n">
        <v>0</v>
      </c>
      <c r="L233" s="10" t="n">
        <v>573</v>
      </c>
      <c r="M233" s="10" t="n">
        <v>0</v>
      </c>
      <c r="N233" s="10" t="n">
        <v>0</v>
      </c>
      <c r="O233" s="10" t="n">
        <v>19</v>
      </c>
      <c r="P233" s="10" t="n">
        <v>-11844</v>
      </c>
      <c r="Q233" s="17"/>
      <c r="R233" s="11"/>
      <c r="S233" s="21"/>
      <c r="T233" s="15"/>
      <c r="U233" s="14" t="s">
        <v>197</v>
      </c>
      <c r="V233" s="10" t="n">
        <v>3082</v>
      </c>
      <c r="W233" s="8"/>
      <c r="X233" s="8"/>
      <c r="Y233" s="8"/>
      <c r="Z233" s="8"/>
      <c r="AA233" s="8"/>
      <c r="AB233" s="8"/>
      <c r="AC233" s="8"/>
    </row>
    <row r="234" customFormat="false" ht="15" hidden="false" customHeight="false" outlineLevel="0" collapsed="false">
      <c r="A234" s="9" t="n">
        <v>46303</v>
      </c>
      <c r="B234" s="10" t="s">
        <v>22</v>
      </c>
      <c r="C234" s="11" t="s">
        <v>23</v>
      </c>
      <c r="D234" s="10" t="s">
        <v>494</v>
      </c>
      <c r="E234" s="11" t="str">
        <f aca="false" t="array" ref="E234:E234">IF(D234="","",IFERROR(INDEX('CLM &amp; IM Mapping'!$B$2:$B$270,MATCH(TRIM(D234),'CLM &amp; IM Mapping'!$A$2:$A$270,0)),"Not Mapped"))</f>
        <v>Arun Raj</v>
      </c>
      <c r="F234" s="11" t="str">
        <f aca="false" t="array" ref="F234:F234">IF(D234="","",IFERROR(INDEX('CLM &amp; IM Mapping'!$C$2:$C$270,MATCH(TRIM(D234),'CLM &amp; IM Mapping'!$A$2:$A$270,0)),"Not Mapped"))</f>
        <v>Simon Manoharan</v>
      </c>
      <c r="G234" s="11" t="s">
        <v>25</v>
      </c>
      <c r="H234" s="10" t="n">
        <v>-14560</v>
      </c>
      <c r="I234" s="10" t="n">
        <v>1882</v>
      </c>
      <c r="J234" s="10" t="n">
        <v>0</v>
      </c>
      <c r="K234" s="10" t="n">
        <v>0</v>
      </c>
      <c r="L234" s="10" t="n">
        <v>534</v>
      </c>
      <c r="M234" s="10" t="n">
        <v>0</v>
      </c>
      <c r="N234" s="10" t="n">
        <v>0</v>
      </c>
      <c r="O234" s="10" t="n">
        <v>0</v>
      </c>
      <c r="P234" s="10" t="n">
        <v>-12144</v>
      </c>
      <c r="Q234" s="17"/>
      <c r="R234" s="11"/>
      <c r="S234" s="21"/>
      <c r="T234" s="15"/>
      <c r="U234" s="14" t="s">
        <v>495</v>
      </c>
      <c r="V234" s="10" t="n">
        <v>1727</v>
      </c>
      <c r="W234" s="8"/>
      <c r="X234" s="8"/>
      <c r="Y234" s="8"/>
      <c r="Z234" s="8"/>
      <c r="AA234" s="8"/>
      <c r="AB234" s="8"/>
      <c r="AC234" s="8"/>
    </row>
    <row r="235" customFormat="false" ht="15" hidden="false" customHeight="false" outlineLevel="0" collapsed="false">
      <c r="A235" s="9" t="n">
        <v>46303</v>
      </c>
      <c r="B235" s="10" t="s">
        <v>22</v>
      </c>
      <c r="C235" s="11" t="s">
        <v>23</v>
      </c>
      <c r="D235" s="10" t="s">
        <v>496</v>
      </c>
      <c r="E235" s="11" t="str">
        <f aca="false" t="array" ref="E235:E235">IF(D235="","",IFERROR(INDEX('CLM &amp; IM Mapping'!$B$2:$B$270,MATCH(TRIM(D235),'CLM &amp; IM Mapping'!$A$2:$A$270,0)),"Not Mapped"))</f>
        <v>Keshav G</v>
      </c>
      <c r="F235" s="11" t="str">
        <f aca="false" t="array" ref="F235:F235">IF(D235="","",IFERROR(INDEX('CLM &amp; IM Mapping'!$C$2:$C$270,MATCH(TRIM(D235),'CLM &amp; IM Mapping'!$A$2:$A$270,0)),"Not Mapped"))</f>
        <v>Un Mapped</v>
      </c>
      <c r="G235" s="11" t="s">
        <v>34</v>
      </c>
      <c r="H235" s="10" t="n">
        <v>-18949</v>
      </c>
      <c r="I235" s="10" t="n">
        <v>6267</v>
      </c>
      <c r="J235" s="10" t="n">
        <v>0</v>
      </c>
      <c r="K235" s="10" t="n">
        <v>0</v>
      </c>
      <c r="L235" s="10" t="n">
        <v>146</v>
      </c>
      <c r="M235" s="10" t="n">
        <v>0</v>
      </c>
      <c r="N235" s="10" t="n">
        <v>0</v>
      </c>
      <c r="O235" s="10" t="n">
        <v>0</v>
      </c>
      <c r="P235" s="10" t="n">
        <v>-12536</v>
      </c>
      <c r="Q235" s="17"/>
      <c r="R235" s="11"/>
      <c r="S235" s="21"/>
      <c r="T235" s="15"/>
      <c r="U235" s="14" t="s">
        <v>75</v>
      </c>
      <c r="V235" s="10" t="n">
        <v>2923</v>
      </c>
      <c r="W235" s="8"/>
      <c r="X235" s="8"/>
      <c r="Y235" s="8"/>
      <c r="Z235" s="8"/>
      <c r="AA235" s="8"/>
      <c r="AB235" s="8"/>
      <c r="AC235" s="8"/>
    </row>
    <row r="236" customFormat="false" ht="15" hidden="false" customHeight="false" outlineLevel="0" collapsed="false">
      <c r="A236" s="9" t="n">
        <v>46303</v>
      </c>
      <c r="B236" s="10" t="s">
        <v>22</v>
      </c>
      <c r="C236" s="11" t="s">
        <v>23</v>
      </c>
      <c r="D236" s="10" t="s">
        <v>497</v>
      </c>
      <c r="E236" s="11" t="str">
        <f aca="false" t="array" ref="E236:E236">IF(D236="","",IFERROR(INDEX('CLM &amp; IM Mapping'!$B$2:$B$270,MATCH(TRIM(D236),'CLM &amp; IM Mapping'!$A$2:$A$270,0)),"Not Mapped"))</f>
        <v>Narasimhamurthy R</v>
      </c>
      <c r="F236" s="11" t="str">
        <f aca="false" t="array" ref="F236:F236">IF(D236="","",IFERROR(INDEX('CLM &amp; IM Mapping'!$C$2:$C$270,MATCH(TRIM(D236),'CLM &amp; IM Mapping'!$A$2:$A$270,0)),"Not Mapped"))</f>
        <v>Kishor K</v>
      </c>
      <c r="G236" s="11" t="s">
        <v>34</v>
      </c>
      <c r="H236" s="10" t="n">
        <v>-13313</v>
      </c>
      <c r="I236" s="10" t="n">
        <v>0</v>
      </c>
      <c r="J236" s="10" t="n">
        <v>0</v>
      </c>
      <c r="K236" s="10" t="n">
        <v>63</v>
      </c>
      <c r="L236" s="10" t="n">
        <v>23</v>
      </c>
      <c r="M236" s="10" t="n">
        <v>0</v>
      </c>
      <c r="N236" s="10" t="n">
        <v>0</v>
      </c>
      <c r="O236" s="10" t="n">
        <v>0</v>
      </c>
      <c r="P236" s="10" t="n">
        <v>-13227</v>
      </c>
      <c r="Q236" s="17"/>
      <c r="R236" s="11"/>
      <c r="S236" s="21"/>
      <c r="T236" s="15"/>
      <c r="U236" s="14" t="s">
        <v>383</v>
      </c>
      <c r="V236" s="10" t="n">
        <v>1499</v>
      </c>
      <c r="W236" s="8"/>
      <c r="X236" s="8"/>
      <c r="Y236" s="8"/>
      <c r="Z236" s="8"/>
      <c r="AA236" s="8"/>
      <c r="AB236" s="8"/>
      <c r="AC236" s="8"/>
    </row>
    <row r="237" customFormat="false" ht="15" hidden="false" customHeight="false" outlineLevel="0" collapsed="false">
      <c r="A237" s="9" t="n">
        <v>46303</v>
      </c>
      <c r="B237" s="10" t="s">
        <v>22</v>
      </c>
      <c r="C237" s="11" t="s">
        <v>23</v>
      </c>
      <c r="D237" s="10" t="s">
        <v>498</v>
      </c>
      <c r="E237" s="11" t="str">
        <f aca="false" t="array" ref="E237:E237">IF(D237="","",IFERROR(INDEX('CLM &amp; IM Mapping'!$B$2:$B$270,MATCH(TRIM(D237),'CLM &amp; IM Mapping'!$A$2:$A$270,0)),"Not Mapped"))</f>
        <v>Adhavan Subramani</v>
      </c>
      <c r="F237" s="11" t="str">
        <f aca="false" t="array" ref="F237:F237">IF(D237="","",IFERROR(INDEX('CLM &amp; IM Mapping'!$C$2:$C$270,MATCH(TRIM(D237),'CLM &amp; IM Mapping'!$A$2:$A$270,0)),"Not Mapped"))</f>
        <v>Mohammed Akbar</v>
      </c>
      <c r="G237" s="11" t="s">
        <v>34</v>
      </c>
      <c r="H237" s="10" t="n">
        <v>-13519</v>
      </c>
      <c r="I237" s="10" t="n">
        <v>154</v>
      </c>
      <c r="J237" s="10" t="n">
        <v>0</v>
      </c>
      <c r="K237" s="10" t="n">
        <v>0</v>
      </c>
      <c r="L237" s="10" t="n">
        <v>51</v>
      </c>
      <c r="M237" s="10" t="n">
        <v>0</v>
      </c>
      <c r="N237" s="10" t="n">
        <v>0</v>
      </c>
      <c r="O237" s="10" t="n">
        <v>0</v>
      </c>
      <c r="P237" s="10" t="n">
        <v>-13314</v>
      </c>
      <c r="Q237" s="17"/>
      <c r="R237" s="11"/>
      <c r="S237" s="21"/>
      <c r="T237" s="15"/>
      <c r="U237" s="14" t="s">
        <v>499</v>
      </c>
      <c r="V237" s="11" t="n">
        <v>450</v>
      </c>
      <c r="W237" s="8"/>
      <c r="X237" s="8"/>
      <c r="Y237" s="8"/>
      <c r="Z237" s="8"/>
      <c r="AA237" s="8"/>
      <c r="AB237" s="8"/>
      <c r="AC237" s="8"/>
    </row>
    <row r="238" customFormat="false" ht="15" hidden="false" customHeight="false" outlineLevel="0" collapsed="false">
      <c r="A238" s="9" t="n">
        <v>46303</v>
      </c>
      <c r="B238" s="10" t="s">
        <v>22</v>
      </c>
      <c r="C238" s="11" t="s">
        <v>23</v>
      </c>
      <c r="D238" s="10" t="s">
        <v>500</v>
      </c>
      <c r="E238" s="11" t="str">
        <f aca="false" t="array" ref="E238:E238">IF(D238="","",IFERROR(INDEX('CLM &amp; IM Mapping'!$B$2:$B$270,MATCH(TRIM(D238),'CLM &amp; IM Mapping'!$A$2:$A$270,0)),"Not Mapped"))</f>
        <v>Ravishankar gowda</v>
      </c>
      <c r="F238" s="11" t="str">
        <f aca="false" t="array" ref="F238:F238">IF(D238="","",IFERROR(INDEX('CLM &amp; IM Mapping'!$C$2:$C$270,MATCH(TRIM(D238),'CLM &amp; IM Mapping'!$A$2:$A$270,0)),"Not Mapped"))</f>
        <v>Kishor K</v>
      </c>
      <c r="G238" s="11" t="s">
        <v>34</v>
      </c>
      <c r="H238" s="10" t="n">
        <v>-16096</v>
      </c>
      <c r="I238" s="10" t="n">
        <v>2123</v>
      </c>
      <c r="J238" s="10" t="n">
        <v>0</v>
      </c>
      <c r="K238" s="10" t="n">
        <v>124</v>
      </c>
      <c r="L238" s="10" t="n">
        <v>27</v>
      </c>
      <c r="M238" s="10" t="n">
        <v>0</v>
      </c>
      <c r="N238" s="10" t="n">
        <v>0</v>
      </c>
      <c r="O238" s="10" t="n">
        <v>0</v>
      </c>
      <c r="P238" s="10" t="n">
        <v>-13822</v>
      </c>
      <c r="Q238" s="17"/>
      <c r="R238" s="11"/>
      <c r="S238" s="21"/>
      <c r="T238" s="15"/>
      <c r="U238" s="14" t="s">
        <v>501</v>
      </c>
      <c r="V238" s="10" t="n">
        <v>1925</v>
      </c>
      <c r="W238" s="8"/>
      <c r="X238" s="8"/>
      <c r="Y238" s="8"/>
      <c r="Z238" s="8"/>
      <c r="AA238" s="8"/>
      <c r="AB238" s="8"/>
      <c r="AC238" s="8"/>
    </row>
    <row r="239" customFormat="false" ht="15" hidden="false" customHeight="false" outlineLevel="0" collapsed="false">
      <c r="A239" s="9" t="n">
        <v>46303</v>
      </c>
      <c r="B239" s="10" t="s">
        <v>22</v>
      </c>
      <c r="C239" s="11" t="s">
        <v>23</v>
      </c>
      <c r="D239" s="10" t="s">
        <v>502</v>
      </c>
      <c r="E239" s="11" t="str">
        <f aca="false" t="array" ref="E239:E239">IF(D239="","",IFERROR(INDEX('CLM &amp; IM Mapping'!$B$2:$B$270,MATCH(TRIM(D239),'CLM &amp; IM Mapping'!$A$2:$A$270,0)),"Not Mapped"))</f>
        <v>Manjunatha V</v>
      </c>
      <c r="F239" s="11" t="str">
        <f aca="false" t="array" ref="F239:F239">IF(D239="","",IFERROR(INDEX('CLM &amp; IM Mapping'!$C$2:$C$270,MATCH(TRIM(D239),'CLM &amp; IM Mapping'!$A$2:$A$270,0)),"Not Mapped"))</f>
        <v>Un Mapped</v>
      </c>
      <c r="G239" s="11" t="s">
        <v>34</v>
      </c>
      <c r="H239" s="10" t="n">
        <v>-49282</v>
      </c>
      <c r="I239" s="10" t="n">
        <v>0</v>
      </c>
      <c r="J239" s="10" t="n">
        <v>0</v>
      </c>
      <c r="K239" s="10" t="n">
        <v>34008</v>
      </c>
      <c r="L239" s="10" t="n">
        <v>0</v>
      </c>
      <c r="M239" s="10" t="n">
        <v>0</v>
      </c>
      <c r="N239" s="10" t="n">
        <v>0</v>
      </c>
      <c r="O239" s="10" t="n">
        <v>0</v>
      </c>
      <c r="P239" s="10" t="n">
        <v>-15274</v>
      </c>
      <c r="Q239" s="17"/>
      <c r="R239" s="11"/>
      <c r="S239" s="21"/>
      <c r="T239" s="15"/>
      <c r="U239" s="14" t="s">
        <v>366</v>
      </c>
      <c r="V239" s="11" t="n">
        <v>0</v>
      </c>
      <c r="W239" s="8"/>
      <c r="X239" s="8"/>
      <c r="Y239" s="8"/>
      <c r="Z239" s="8"/>
      <c r="AA239" s="8"/>
      <c r="AB239" s="8"/>
      <c r="AC239" s="8"/>
    </row>
    <row r="240" customFormat="false" ht="15" hidden="false" customHeight="false" outlineLevel="0" collapsed="false">
      <c r="A240" s="9" t="n">
        <v>46303</v>
      </c>
      <c r="B240" s="10" t="s">
        <v>22</v>
      </c>
      <c r="C240" s="11" t="s">
        <v>276</v>
      </c>
      <c r="D240" s="10" t="s">
        <v>503</v>
      </c>
      <c r="E240" s="11" t="str">
        <f aca="false" t="array" ref="E240:E240">IF(D240="","",IFERROR(INDEX('CLM &amp; IM Mapping'!$B$2:$B$270,MATCH(TRIM(D240),'CLM &amp; IM Mapping'!$A$2:$A$270,0)),"Not Mapped"))</f>
        <v>Santhosha M</v>
      </c>
      <c r="F240" s="11" t="str">
        <f aca="false" t="array" ref="F240:F240">IF(D240="","",IFERROR(INDEX('CLM &amp; IM Mapping'!$C$2:$C$270,MATCH(TRIM(D240),'CLM &amp; IM Mapping'!$A$2:$A$270,0)),"Not Mapped"))</f>
        <v>Aravind S</v>
      </c>
      <c r="G240" s="11" t="s">
        <v>34</v>
      </c>
      <c r="H240" s="10" t="n">
        <v>-15689</v>
      </c>
      <c r="I240" s="10" t="n">
        <v>91</v>
      </c>
      <c r="J240" s="10" t="n">
        <v>0</v>
      </c>
      <c r="K240" s="10" t="n">
        <v>0</v>
      </c>
      <c r="L240" s="10" t="n">
        <v>63</v>
      </c>
      <c r="M240" s="10" t="n">
        <v>0</v>
      </c>
      <c r="N240" s="10" t="n">
        <v>0</v>
      </c>
      <c r="O240" s="10" t="n">
        <v>0</v>
      </c>
      <c r="P240" s="10" t="n">
        <v>-15536</v>
      </c>
      <c r="Q240" s="17"/>
      <c r="R240" s="11"/>
      <c r="S240" s="21"/>
      <c r="T240" s="15"/>
      <c r="U240" s="14" t="s">
        <v>504</v>
      </c>
      <c r="V240" s="10" t="n">
        <v>5421</v>
      </c>
      <c r="W240" s="8"/>
      <c r="X240" s="8"/>
      <c r="Y240" s="8"/>
      <c r="Z240" s="8"/>
      <c r="AA240" s="8"/>
      <c r="AB240" s="8"/>
      <c r="AC240" s="8"/>
    </row>
    <row r="241" customFormat="false" ht="15" hidden="false" customHeight="false" outlineLevel="0" collapsed="false">
      <c r="A241" s="9" t="n">
        <v>46303</v>
      </c>
      <c r="B241" s="10" t="s">
        <v>22</v>
      </c>
      <c r="C241" s="11" t="s">
        <v>23</v>
      </c>
      <c r="D241" s="10" t="s">
        <v>505</v>
      </c>
      <c r="E241" s="11" t="str">
        <f aca="false" t="array" ref="E241:E241">IF(D241="","",IFERROR(INDEX('CLM &amp; IM Mapping'!$B$2:$B$270,MATCH(TRIM(D241),'CLM &amp; IM Mapping'!$A$2:$A$270,0)),"Not Mapped"))</f>
        <v>Basil Scariya</v>
      </c>
      <c r="F241" s="11" t="str">
        <f aca="false" t="array" ref="F241:F241">IF(D241="","",IFERROR(INDEX('CLM &amp; IM Mapping'!$C$2:$C$270,MATCH(TRIM(D241),'CLM &amp; IM Mapping'!$A$2:$A$270,0)),"Not Mapped"))</f>
        <v>Prakash BS</v>
      </c>
      <c r="G241" s="11" t="s">
        <v>34</v>
      </c>
      <c r="H241" s="10" t="n">
        <v>-23346</v>
      </c>
      <c r="I241" s="10" t="n">
        <v>6265</v>
      </c>
      <c r="J241" s="10" t="n">
        <v>0</v>
      </c>
      <c r="K241" s="10" t="n">
        <v>143</v>
      </c>
      <c r="L241" s="10" t="n">
        <v>692</v>
      </c>
      <c r="M241" s="10" t="n">
        <v>0</v>
      </c>
      <c r="N241" s="10" t="n">
        <v>0</v>
      </c>
      <c r="O241" s="10" t="n">
        <v>0</v>
      </c>
      <c r="P241" s="10" t="n">
        <v>-16246</v>
      </c>
      <c r="Q241" s="17"/>
      <c r="R241" s="11"/>
      <c r="S241" s="21"/>
      <c r="T241" s="15"/>
      <c r="U241" s="14" t="s">
        <v>506</v>
      </c>
      <c r="V241" s="10" t="n">
        <v>5985</v>
      </c>
      <c r="W241" s="8"/>
      <c r="X241" s="8"/>
      <c r="Y241" s="8"/>
      <c r="Z241" s="8"/>
      <c r="AA241" s="8"/>
      <c r="AB241" s="8"/>
      <c r="AC241" s="8"/>
    </row>
    <row r="242" customFormat="false" ht="15" hidden="false" customHeight="false" outlineLevel="0" collapsed="false">
      <c r="A242" s="9" t="n">
        <v>46303</v>
      </c>
      <c r="B242" s="10" t="s">
        <v>22</v>
      </c>
      <c r="C242" s="11" t="s">
        <v>23</v>
      </c>
      <c r="D242" s="10" t="s">
        <v>507</v>
      </c>
      <c r="E242" s="11" t="str">
        <f aca="false" t="array" ref="E242:E242">IF(D242="","",IFERROR(INDEX('CLM &amp; IM Mapping'!$B$2:$B$270,MATCH(TRIM(D242),'CLM &amp; IM Mapping'!$A$2:$A$270,0)),"Not Mapped"))</f>
        <v>Raghavendra Vernekar</v>
      </c>
      <c r="F242" s="11" t="str">
        <f aca="false" t="array" ref="F242:F242">IF(D242="","",IFERROR(INDEX('CLM &amp; IM Mapping'!$C$2:$C$270,MATCH(TRIM(D242),'CLM &amp; IM Mapping'!$A$2:$A$270,0)),"Not Mapped"))</f>
        <v>Prakash BS</v>
      </c>
      <c r="G242" s="11" t="s">
        <v>34</v>
      </c>
      <c r="H242" s="10" t="n">
        <v>-22617</v>
      </c>
      <c r="I242" s="10" t="n">
        <v>3338</v>
      </c>
      <c r="J242" s="10" t="n">
        <v>1831</v>
      </c>
      <c r="K242" s="10" t="n">
        <v>123</v>
      </c>
      <c r="L242" s="10" t="n">
        <v>680</v>
      </c>
      <c r="M242" s="10" t="n">
        <v>0</v>
      </c>
      <c r="N242" s="10" t="n">
        <v>0</v>
      </c>
      <c r="O242" s="10" t="n">
        <v>0</v>
      </c>
      <c r="P242" s="10" t="n">
        <v>-16644</v>
      </c>
      <c r="Q242" s="17"/>
      <c r="R242" s="11"/>
      <c r="S242" s="21"/>
      <c r="T242" s="15"/>
      <c r="U242" s="14" t="s">
        <v>180</v>
      </c>
      <c r="V242" s="10" t="n">
        <v>1722</v>
      </c>
      <c r="W242" s="8"/>
      <c r="X242" s="8"/>
      <c r="Y242" s="8"/>
      <c r="Z242" s="8"/>
      <c r="AA242" s="8"/>
      <c r="AB242" s="8"/>
      <c r="AC242" s="8"/>
    </row>
    <row r="243" customFormat="false" ht="15" hidden="false" customHeight="false" outlineLevel="0" collapsed="false">
      <c r="A243" s="9" t="n">
        <v>46303</v>
      </c>
      <c r="B243" s="10" t="s">
        <v>22</v>
      </c>
      <c r="C243" s="11" t="s">
        <v>23</v>
      </c>
      <c r="D243" s="10" t="s">
        <v>508</v>
      </c>
      <c r="E243" s="11" t="str">
        <f aca="false" t="array" ref="E243:E243">IF(D243="","",IFERROR(INDEX('CLM &amp; IM Mapping'!$B$2:$B$270,MATCH(TRIM(D243),'CLM &amp; IM Mapping'!$A$2:$A$270,0)),"Not Mapped"))</f>
        <v>Ravishankar gowda</v>
      </c>
      <c r="F243" s="11" t="str">
        <f aca="false" t="array" ref="F243:F243">IF(D243="","",IFERROR(INDEX('CLM &amp; IM Mapping'!$C$2:$C$270,MATCH(TRIM(D243),'CLM &amp; IM Mapping'!$A$2:$A$270,0)),"Not Mapped"))</f>
        <v>Kishor K</v>
      </c>
      <c r="G243" s="11" t="s">
        <v>34</v>
      </c>
      <c r="H243" s="10" t="n">
        <v>-19869</v>
      </c>
      <c r="I243" s="10" t="n">
        <v>3031</v>
      </c>
      <c r="J243" s="10" t="n">
        <v>0</v>
      </c>
      <c r="K243" s="10" t="n">
        <v>18</v>
      </c>
      <c r="L243" s="10" t="n">
        <v>129</v>
      </c>
      <c r="M243" s="10" t="n">
        <v>0</v>
      </c>
      <c r="N243" s="10" t="n">
        <v>0</v>
      </c>
      <c r="O243" s="10" t="n">
        <v>0</v>
      </c>
      <c r="P243" s="10" t="n">
        <v>-16691</v>
      </c>
      <c r="Q243" s="17"/>
      <c r="R243" s="11"/>
      <c r="S243" s="21"/>
      <c r="T243" s="15"/>
      <c r="U243" s="14" t="s">
        <v>509</v>
      </c>
      <c r="V243" s="11" t="n">
        <v>981</v>
      </c>
      <c r="W243" s="8"/>
      <c r="X243" s="8"/>
      <c r="Y243" s="8"/>
      <c r="Z243" s="8"/>
      <c r="AA243" s="8"/>
      <c r="AB243" s="8"/>
      <c r="AC243" s="8"/>
    </row>
    <row r="244" customFormat="false" ht="15" hidden="false" customHeight="false" outlineLevel="0" collapsed="false">
      <c r="A244" s="9" t="n">
        <v>46303</v>
      </c>
      <c r="B244" s="10" t="s">
        <v>22</v>
      </c>
      <c r="C244" s="11" t="s">
        <v>23</v>
      </c>
      <c r="D244" s="11" t="s">
        <v>510</v>
      </c>
      <c r="E244" s="11" t="str">
        <f aca="false" t="array" ref="E244:E244">IF(D244="","",IFERROR(INDEX('CLM &amp; IM Mapping'!$B$2:$B$270,MATCH(TRIM(D244),'CLM &amp; IM Mapping'!$A$2:$A$270,0)),"Not Mapped"))</f>
        <v>Manjunatha V</v>
      </c>
      <c r="F244" s="11" t="str">
        <f aca="false" t="array" ref="F244:F244">IF(D244="","",IFERROR(INDEX('CLM &amp; IM Mapping'!$C$2:$C$270,MATCH(TRIM(D244),'CLM &amp; IM Mapping'!$A$2:$A$270,0)),"Not Mapped"))</f>
        <v>Un Mapped</v>
      </c>
      <c r="G244" s="11" t="s">
        <v>34</v>
      </c>
      <c r="H244" s="10" t="n">
        <v>-22334</v>
      </c>
      <c r="I244" s="10" t="n">
        <v>3779</v>
      </c>
      <c r="J244" s="10" t="n">
        <v>0</v>
      </c>
      <c r="K244" s="10" t="n">
        <v>0</v>
      </c>
      <c r="L244" s="10" t="n">
        <v>231</v>
      </c>
      <c r="M244" s="10" t="n">
        <v>0</v>
      </c>
      <c r="N244" s="10" t="n">
        <v>0</v>
      </c>
      <c r="O244" s="10" t="n">
        <v>0</v>
      </c>
      <c r="P244" s="10" t="n">
        <v>-18324</v>
      </c>
      <c r="Q244" s="17"/>
      <c r="R244" s="11"/>
      <c r="S244" s="21"/>
      <c r="T244" s="15"/>
      <c r="U244" s="14" t="s">
        <v>511</v>
      </c>
      <c r="V244" s="10" t="n">
        <v>6940</v>
      </c>
      <c r="W244" s="8"/>
      <c r="X244" s="8"/>
      <c r="Y244" s="8"/>
      <c r="Z244" s="8"/>
      <c r="AA244" s="8"/>
      <c r="AB244" s="8"/>
      <c r="AC244" s="8"/>
    </row>
    <row r="245" customFormat="false" ht="15" hidden="false" customHeight="false" outlineLevel="0" collapsed="false">
      <c r="A245" s="9" t="n">
        <v>46303</v>
      </c>
      <c r="B245" s="10" t="s">
        <v>22</v>
      </c>
      <c r="C245" s="11" t="s">
        <v>23</v>
      </c>
      <c r="D245" s="10" t="s">
        <v>512</v>
      </c>
      <c r="E245" s="11" t="str">
        <f aca="false" t="array" ref="E245:E245">IF(D245="","",IFERROR(INDEX('CLM &amp; IM Mapping'!$B$2:$B$270,MATCH(TRIM(D245),'CLM &amp; IM Mapping'!$A$2:$A$270,0)),"Not Mapped"))</f>
        <v>Saddam Hussain</v>
      </c>
      <c r="F245" s="11" t="str">
        <f aca="false" t="array" ref="F245:F245">IF(D245="","",IFERROR(INDEX('CLM &amp; IM Mapping'!$C$2:$C$270,MATCH(TRIM(D245),'CLM &amp; IM Mapping'!$A$2:$A$270,0)),"Not Mapped"))</f>
        <v>Un Mapped</v>
      </c>
      <c r="G245" s="11" t="s">
        <v>34</v>
      </c>
      <c r="H245" s="10" t="n">
        <v>-22532</v>
      </c>
      <c r="I245" s="10" t="n">
        <v>2440</v>
      </c>
      <c r="J245" s="10" t="n">
        <v>0</v>
      </c>
      <c r="K245" s="10" t="n">
        <v>0</v>
      </c>
      <c r="L245" s="10" t="n">
        <v>697</v>
      </c>
      <c r="M245" s="10" t="n">
        <v>0</v>
      </c>
      <c r="N245" s="10" t="n">
        <v>0</v>
      </c>
      <c r="O245" s="10" t="n">
        <v>0</v>
      </c>
      <c r="P245" s="10" t="n">
        <v>-19395</v>
      </c>
      <c r="Q245" s="17"/>
      <c r="R245" s="11"/>
      <c r="S245" s="21"/>
      <c r="T245" s="15"/>
      <c r="U245" s="14" t="s">
        <v>43</v>
      </c>
      <c r="V245" s="10" t="n">
        <v>5687</v>
      </c>
      <c r="W245" s="8"/>
      <c r="X245" s="8"/>
      <c r="Y245" s="8"/>
      <c r="Z245" s="8"/>
      <c r="AA245" s="8"/>
      <c r="AB245" s="8"/>
      <c r="AC245" s="8"/>
    </row>
    <row r="246" customFormat="false" ht="15" hidden="false" customHeight="false" outlineLevel="0" collapsed="false">
      <c r="A246" s="9" t="n">
        <v>46303</v>
      </c>
      <c r="B246" s="10" t="s">
        <v>22</v>
      </c>
      <c r="C246" s="11" t="s">
        <v>23</v>
      </c>
      <c r="D246" s="10" t="s">
        <v>513</v>
      </c>
      <c r="E246" s="11" t="str">
        <f aca="false" t="array" ref="E246:E246">IF(D246="","",IFERROR(INDEX('CLM &amp; IM Mapping'!$B$2:$B$270,MATCH(TRIM(D246),'CLM &amp; IM Mapping'!$A$2:$A$270,0)),"Not Mapped"))</f>
        <v>Manoj Kj</v>
      </c>
      <c r="F246" s="11" t="str">
        <f aca="false" t="array" ref="F246:F246">IF(D246="","",IFERROR(INDEX('CLM &amp; IM Mapping'!$C$2:$C$270,MATCH(TRIM(D246),'CLM &amp; IM Mapping'!$A$2:$A$270,0)),"Not Mapped"))</f>
        <v>Srittam Dhal</v>
      </c>
      <c r="G246" s="11" t="s">
        <v>34</v>
      </c>
      <c r="H246" s="10" t="n">
        <v>-22263</v>
      </c>
      <c r="I246" s="10" t="n">
        <v>19</v>
      </c>
      <c r="J246" s="10" t="n">
        <v>854</v>
      </c>
      <c r="K246" s="10" t="n">
        <v>0</v>
      </c>
      <c r="L246" s="10" t="n">
        <v>51</v>
      </c>
      <c r="M246" s="10" t="n">
        <v>0</v>
      </c>
      <c r="N246" s="10" t="n">
        <v>0</v>
      </c>
      <c r="O246" s="10" t="n">
        <v>0</v>
      </c>
      <c r="P246" s="10" t="n">
        <v>-21339</v>
      </c>
      <c r="Q246" s="17"/>
      <c r="R246" s="11"/>
      <c r="S246" s="21"/>
      <c r="T246" s="15"/>
      <c r="U246" s="14" t="s">
        <v>514</v>
      </c>
      <c r="V246" s="11" t="n">
        <v>709</v>
      </c>
      <c r="W246" s="8"/>
      <c r="X246" s="8"/>
      <c r="Y246" s="8"/>
      <c r="Z246" s="8"/>
      <c r="AA246" s="8"/>
      <c r="AB246" s="8"/>
      <c r="AC246" s="8"/>
    </row>
    <row r="247" customFormat="false" ht="15" hidden="false" customHeight="false" outlineLevel="0" collapsed="false">
      <c r="A247" s="9" t="n">
        <v>46303</v>
      </c>
      <c r="B247" s="10" t="s">
        <v>22</v>
      </c>
      <c r="C247" s="11" t="s">
        <v>23</v>
      </c>
      <c r="D247" s="10" t="s">
        <v>515</v>
      </c>
      <c r="E247" s="11" t="str">
        <f aca="false" t="array" ref="E247:E247">IF(D247="","",IFERROR(INDEX('CLM &amp; IM Mapping'!$B$2:$B$270,MATCH(TRIM(D247),'CLM &amp; IM Mapping'!$A$2:$A$270,0)),"Not Mapped"))</f>
        <v>Balaji G</v>
      </c>
      <c r="F247" s="11" t="str">
        <f aca="false" t="array" ref="F247:F247">IF(D247="","",IFERROR(INDEX('CLM &amp; IM Mapping'!$C$2:$C$270,MATCH(TRIM(D247),'CLM &amp; IM Mapping'!$A$2:$A$270,0)),"Not Mapped"))</f>
        <v>Mohammed Akbar</v>
      </c>
      <c r="G247" s="11" t="s">
        <v>34</v>
      </c>
      <c r="H247" s="10" t="n">
        <v>-25168</v>
      </c>
      <c r="I247" s="10" t="n">
        <v>2458</v>
      </c>
      <c r="J247" s="10" t="n">
        <v>0</v>
      </c>
      <c r="K247" s="10" t="n">
        <v>0</v>
      </c>
      <c r="L247" s="10" t="n">
        <v>113</v>
      </c>
      <c r="M247" s="10" t="n">
        <v>0</v>
      </c>
      <c r="N247" s="10" t="n">
        <v>0</v>
      </c>
      <c r="O247" s="10" t="n">
        <v>0</v>
      </c>
      <c r="P247" s="10" t="n">
        <v>-22597</v>
      </c>
      <c r="Q247" s="17"/>
      <c r="R247" s="11"/>
      <c r="S247" s="21"/>
      <c r="T247" s="15"/>
      <c r="U247" s="14" t="s">
        <v>152</v>
      </c>
      <c r="V247" s="10" t="n">
        <v>6846</v>
      </c>
      <c r="W247" s="8"/>
      <c r="X247" s="8"/>
      <c r="Y247" s="8"/>
      <c r="Z247" s="8"/>
      <c r="AA247" s="8"/>
      <c r="AB247" s="8"/>
      <c r="AC247" s="8"/>
    </row>
    <row r="248" customFormat="false" ht="15" hidden="false" customHeight="false" outlineLevel="0" collapsed="false">
      <c r="A248" s="9" t="n">
        <v>46303</v>
      </c>
      <c r="B248" s="10" t="s">
        <v>22</v>
      </c>
      <c r="C248" s="11" t="s">
        <v>23</v>
      </c>
      <c r="D248" s="10" t="s">
        <v>516</v>
      </c>
      <c r="E248" s="11" t="str">
        <f aca="false" t="array" ref="E248:E248">IF(D248="","",IFERROR(INDEX('CLM &amp; IM Mapping'!$B$2:$B$270,MATCH(TRIM(D248),'CLM &amp; IM Mapping'!$A$2:$A$270,0)),"Not Mapped"))</f>
        <v>Sundaresh S</v>
      </c>
      <c r="F248" s="11" t="str">
        <f aca="false" t="array" ref="F248:F248">IF(D248="","",IFERROR(INDEX('CLM &amp; IM Mapping'!$C$2:$C$270,MATCH(TRIM(D248),'CLM &amp; IM Mapping'!$A$2:$A$270,0)),"Not Mapped"))</f>
        <v>Un Mapped</v>
      </c>
      <c r="G248" s="11" t="s">
        <v>34</v>
      </c>
      <c r="H248" s="10" t="n">
        <v>-26123</v>
      </c>
      <c r="I248" s="10" t="n">
        <v>1504</v>
      </c>
      <c r="J248" s="10" t="n">
        <v>434</v>
      </c>
      <c r="K248" s="10" t="n">
        <v>527</v>
      </c>
      <c r="L248" s="10" t="n">
        <v>23</v>
      </c>
      <c r="M248" s="10" t="n">
        <v>0</v>
      </c>
      <c r="N248" s="10" t="n">
        <v>404</v>
      </c>
      <c r="O248" s="10" t="n">
        <v>0</v>
      </c>
      <c r="P248" s="10" t="n">
        <v>-23232</v>
      </c>
      <c r="Q248" s="17"/>
      <c r="R248" s="11"/>
      <c r="S248" s="21"/>
      <c r="T248" s="15"/>
      <c r="U248" s="14" t="s">
        <v>52</v>
      </c>
      <c r="V248" s="10" t="n">
        <v>2441</v>
      </c>
      <c r="W248" s="8"/>
      <c r="X248" s="8"/>
      <c r="Y248" s="8"/>
      <c r="Z248" s="8"/>
      <c r="AA248" s="8"/>
      <c r="AB248" s="8"/>
      <c r="AC248" s="8"/>
    </row>
    <row r="249" customFormat="false" ht="15" hidden="false" customHeight="false" outlineLevel="0" collapsed="false">
      <c r="A249" s="9" t="n">
        <v>46303</v>
      </c>
      <c r="B249" s="10" t="s">
        <v>22</v>
      </c>
      <c r="C249" s="11" t="s">
        <v>23</v>
      </c>
      <c r="D249" s="10" t="s">
        <v>517</v>
      </c>
      <c r="E249" s="11" t="str">
        <f aca="false" t="array" ref="E249:E249">IF(D249="","",IFERROR(INDEX('CLM &amp; IM Mapping'!$B$2:$B$270,MATCH(TRIM(D249),'CLM &amp; IM Mapping'!$A$2:$A$270,0)),"Not Mapped"))</f>
        <v>Manoj Kj</v>
      </c>
      <c r="F249" s="11" t="str">
        <f aca="false" t="array" ref="F249:F249">IF(D249="","",IFERROR(INDEX('CLM &amp; IM Mapping'!$C$2:$C$270,MATCH(TRIM(D249),'CLM &amp; IM Mapping'!$A$2:$A$270,0)),"Not Mapped"))</f>
        <v>Srittam Dhal</v>
      </c>
      <c r="G249" s="11" t="s">
        <v>34</v>
      </c>
      <c r="H249" s="10" t="n">
        <v>-27495</v>
      </c>
      <c r="I249" s="10" t="n">
        <v>0</v>
      </c>
      <c r="J249" s="10" t="n">
        <v>0</v>
      </c>
      <c r="K249" s="10" t="n">
        <v>0</v>
      </c>
      <c r="L249" s="10" t="n">
        <v>134</v>
      </c>
      <c r="M249" s="10" t="n">
        <v>0</v>
      </c>
      <c r="N249" s="10" t="n">
        <v>2299</v>
      </c>
      <c r="O249" s="10" t="n">
        <v>0</v>
      </c>
      <c r="P249" s="10" t="n">
        <v>-25063</v>
      </c>
      <c r="Q249" s="17"/>
      <c r="R249" s="11"/>
      <c r="S249" s="21"/>
      <c r="T249" s="15"/>
      <c r="U249" s="14" t="s">
        <v>258</v>
      </c>
      <c r="V249" s="10" t="n">
        <v>5515</v>
      </c>
      <c r="W249" s="8"/>
      <c r="X249" s="8"/>
      <c r="Y249" s="8"/>
      <c r="Z249" s="8"/>
      <c r="AA249" s="8"/>
      <c r="AB249" s="8"/>
      <c r="AC249" s="8"/>
    </row>
    <row r="250" customFormat="false" ht="15" hidden="false" customHeight="false" outlineLevel="0" collapsed="false">
      <c r="A250" s="9" t="n">
        <v>46303</v>
      </c>
      <c r="B250" s="10" t="s">
        <v>22</v>
      </c>
      <c r="C250" s="11" t="s">
        <v>23</v>
      </c>
      <c r="D250" s="10" t="s">
        <v>518</v>
      </c>
      <c r="E250" s="11" t="str">
        <f aca="false" t="array" ref="E250:E250">IF(D250="","",IFERROR(INDEX('CLM &amp; IM Mapping'!$B$2:$B$270,MATCH(TRIM(D250),'CLM &amp; IM Mapping'!$A$2:$A$270,0)),"Not Mapped"))</f>
        <v>Basil Scariya</v>
      </c>
      <c r="F250" s="11" t="str">
        <f aca="false" t="array" ref="F250:F250">IF(D250="","",IFERROR(INDEX('CLM &amp; IM Mapping'!$C$2:$C$270,MATCH(TRIM(D250),'CLM &amp; IM Mapping'!$A$2:$A$270,0)),"Not Mapped"))</f>
        <v>Prakash BS</v>
      </c>
      <c r="G250" s="11" t="s">
        <v>34</v>
      </c>
      <c r="H250" s="10" t="n">
        <v>-35339</v>
      </c>
      <c r="I250" s="10" t="n">
        <v>4958</v>
      </c>
      <c r="J250" s="10" t="n">
        <v>0</v>
      </c>
      <c r="K250" s="10" t="n">
        <v>4381</v>
      </c>
      <c r="L250" s="10" t="n">
        <v>203</v>
      </c>
      <c r="M250" s="10" t="n">
        <v>0</v>
      </c>
      <c r="N250" s="10" t="n">
        <v>0</v>
      </c>
      <c r="O250" s="10" t="n">
        <v>0</v>
      </c>
      <c r="P250" s="10" t="n">
        <v>-25796</v>
      </c>
      <c r="Q250" s="17"/>
      <c r="R250" s="11"/>
      <c r="S250" s="21"/>
      <c r="T250" s="15"/>
      <c r="U250" s="14" t="s">
        <v>519</v>
      </c>
      <c r="V250" s="10" t="n">
        <v>3663</v>
      </c>
      <c r="W250" s="8"/>
      <c r="X250" s="8"/>
      <c r="Y250" s="8"/>
      <c r="Z250" s="8"/>
      <c r="AA250" s="8"/>
      <c r="AB250" s="8"/>
      <c r="AC250" s="8"/>
    </row>
    <row r="251" customFormat="false" ht="15" hidden="false" customHeight="false" outlineLevel="0" collapsed="false">
      <c r="A251" s="9" t="n">
        <v>46303</v>
      </c>
      <c r="B251" s="10" t="s">
        <v>22</v>
      </c>
      <c r="C251" s="11" t="s">
        <v>303</v>
      </c>
      <c r="D251" s="10" t="s">
        <v>520</v>
      </c>
      <c r="E251" s="11" t="str">
        <f aca="false" t="array" ref="E251:E251">IF(D251="","",IFERROR(INDEX('CLM &amp; IM Mapping'!$B$2:$B$270,MATCH(TRIM(D251),'CLM &amp; IM Mapping'!$A$2:$A$270,0)),"Not Mapped"))</f>
        <v>John Britto</v>
      </c>
      <c r="F251" s="11" t="str">
        <f aca="false" t="array" ref="F251:F251">IF(D251="","",IFERROR(INDEX('CLM &amp; IM Mapping'!$C$2:$C$270,MATCH(TRIM(D251),'CLM &amp; IM Mapping'!$A$2:$A$270,0)),"Not Mapped"))</f>
        <v>Aravind S</v>
      </c>
      <c r="G251" s="11" t="s">
        <v>34</v>
      </c>
      <c r="H251" s="10" t="n">
        <v>-28955</v>
      </c>
      <c r="I251" s="10" t="n">
        <v>468</v>
      </c>
      <c r="J251" s="10" t="n">
        <v>0</v>
      </c>
      <c r="K251" s="10" t="n">
        <v>0</v>
      </c>
      <c r="L251" s="10" t="n">
        <v>0</v>
      </c>
      <c r="M251" s="10" t="n">
        <v>0</v>
      </c>
      <c r="N251" s="10" t="n">
        <v>0</v>
      </c>
      <c r="O251" s="10" t="n">
        <v>0</v>
      </c>
      <c r="P251" s="10" t="n">
        <v>-28487</v>
      </c>
      <c r="Q251" s="17"/>
      <c r="R251" s="11"/>
      <c r="S251" s="21"/>
      <c r="T251" s="15"/>
      <c r="U251" s="14" t="s">
        <v>485</v>
      </c>
      <c r="V251" s="10" t="n">
        <v>5587</v>
      </c>
      <c r="W251" s="8"/>
      <c r="X251" s="8"/>
      <c r="Y251" s="8"/>
      <c r="Z251" s="8"/>
      <c r="AA251" s="8"/>
      <c r="AB251" s="8"/>
      <c r="AC251" s="8"/>
    </row>
    <row r="252" customFormat="false" ht="15" hidden="false" customHeight="false" outlineLevel="0" collapsed="false">
      <c r="A252" s="9" t="n">
        <v>46303</v>
      </c>
      <c r="B252" s="10" t="s">
        <v>22</v>
      </c>
      <c r="C252" s="11" t="s">
        <v>23</v>
      </c>
      <c r="D252" s="10" t="s">
        <v>521</v>
      </c>
      <c r="E252" s="11" t="str">
        <f aca="false" t="array" ref="E252:E252">IF(D252="","",IFERROR(INDEX('CLM &amp; IM Mapping'!$B$2:$B$270,MATCH(TRIM(D252),'CLM &amp; IM Mapping'!$A$2:$A$270,0)),"Not Mapped"))</f>
        <v>Mohaideen DH</v>
      </c>
      <c r="F252" s="11" t="str">
        <f aca="false" t="array" ref="F252:F252">IF(D252="","",IFERROR(INDEX('CLM &amp; IM Mapping'!$C$2:$C$270,MATCH(TRIM(D252),'CLM &amp; IM Mapping'!$A$2:$A$270,0)),"Not Mapped"))</f>
        <v>Mohammed Akbar</v>
      </c>
      <c r="G252" s="11" t="s">
        <v>34</v>
      </c>
      <c r="H252" s="10" t="n">
        <v>-31906</v>
      </c>
      <c r="I252" s="10" t="n">
        <v>673</v>
      </c>
      <c r="J252" s="10" t="n">
        <v>0</v>
      </c>
      <c r="K252" s="10" t="n">
        <v>73</v>
      </c>
      <c r="L252" s="10" t="n">
        <v>307</v>
      </c>
      <c r="M252" s="10" t="n">
        <v>0</v>
      </c>
      <c r="N252" s="10" t="n">
        <v>0</v>
      </c>
      <c r="O252" s="10" t="n">
        <v>0</v>
      </c>
      <c r="P252" s="10" t="n">
        <v>-30854</v>
      </c>
      <c r="Q252" s="17"/>
      <c r="R252" s="11"/>
      <c r="S252" s="21"/>
      <c r="T252" s="15"/>
      <c r="U252" s="14" t="s">
        <v>522</v>
      </c>
      <c r="V252" s="10" t="n">
        <v>2645</v>
      </c>
      <c r="W252" s="8"/>
      <c r="X252" s="8"/>
      <c r="Y252" s="8"/>
      <c r="Z252" s="8"/>
      <c r="AA252" s="8"/>
      <c r="AB252" s="8"/>
      <c r="AC252" s="8"/>
    </row>
    <row r="253" customFormat="false" ht="15" hidden="false" customHeight="false" outlineLevel="0" collapsed="false">
      <c r="A253" s="9" t="n">
        <v>46303</v>
      </c>
      <c r="B253" s="10" t="s">
        <v>22</v>
      </c>
      <c r="C253" s="11" t="s">
        <v>23</v>
      </c>
      <c r="D253" s="10" t="s">
        <v>523</v>
      </c>
      <c r="E253" s="11" t="str">
        <f aca="false" t="array" ref="E253:E253">IF(D253="","",IFERROR(INDEX('CLM &amp; IM Mapping'!$B$2:$B$270,MATCH(TRIM(D253),'CLM &amp; IM Mapping'!$A$2:$A$270,0)),"Not Mapped"))</f>
        <v>Sundaresh S</v>
      </c>
      <c r="F253" s="11" t="str">
        <f aca="false" t="array" ref="F253:F253">IF(D253="","",IFERROR(INDEX('CLM &amp; IM Mapping'!$C$2:$C$270,MATCH(TRIM(D253),'CLM &amp; IM Mapping'!$A$2:$A$270,0)),"Not Mapped"))</f>
        <v>Un Mapped</v>
      </c>
      <c r="G253" s="11" t="s">
        <v>34</v>
      </c>
      <c r="H253" s="10" t="n">
        <v>-46534</v>
      </c>
      <c r="I253" s="10" t="n">
        <v>14756</v>
      </c>
      <c r="J253" s="10" t="n">
        <v>0</v>
      </c>
      <c r="K253" s="10" t="n">
        <v>0</v>
      </c>
      <c r="L253" s="10" t="n">
        <v>516</v>
      </c>
      <c r="M253" s="10" t="n">
        <v>0</v>
      </c>
      <c r="N253" s="10" t="n">
        <v>0</v>
      </c>
      <c r="O253" s="10" t="n">
        <v>0</v>
      </c>
      <c r="P253" s="10" t="n">
        <v>-31262</v>
      </c>
      <c r="Q253" s="17"/>
      <c r="R253" s="11"/>
      <c r="S253" s="21"/>
      <c r="T253" s="15"/>
      <c r="U253" s="14" t="s">
        <v>428</v>
      </c>
      <c r="V253" s="10" t="n">
        <v>10279</v>
      </c>
      <c r="W253" s="8"/>
      <c r="X253" s="8"/>
      <c r="Y253" s="8"/>
      <c r="Z253" s="8"/>
      <c r="AA253" s="8"/>
      <c r="AB253" s="8"/>
      <c r="AC253" s="8"/>
    </row>
    <row r="254" customFormat="false" ht="15" hidden="false" customHeight="false" outlineLevel="0" collapsed="false">
      <c r="A254" s="9" t="n">
        <v>46303</v>
      </c>
      <c r="B254" s="10" t="s">
        <v>22</v>
      </c>
      <c r="C254" s="11" t="s">
        <v>23</v>
      </c>
      <c r="D254" s="10" t="s">
        <v>524</v>
      </c>
      <c r="E254" s="11" t="str">
        <f aca="false" t="array" ref="E254:E254">IF(D254="","",IFERROR(INDEX('CLM &amp; IM Mapping'!$B$2:$B$270,MATCH(TRIM(D254),'CLM &amp; IM Mapping'!$A$2:$A$270,0)),"Not Mapped"))</f>
        <v>Balaji G</v>
      </c>
      <c r="F254" s="11" t="str">
        <f aca="false" t="array" ref="F254:F254">IF(D254="","",IFERROR(INDEX('CLM &amp; IM Mapping'!$C$2:$C$270,MATCH(TRIM(D254),'CLM &amp; IM Mapping'!$A$2:$A$270,0)),"Not Mapped"))</f>
        <v>Mohammed Akbar</v>
      </c>
      <c r="G254" s="11" t="s">
        <v>34</v>
      </c>
      <c r="H254" s="10" t="n">
        <v>-38209</v>
      </c>
      <c r="I254" s="10" t="n">
        <v>1162</v>
      </c>
      <c r="J254" s="10" t="n">
        <v>0</v>
      </c>
      <c r="K254" s="10" t="n">
        <v>970</v>
      </c>
      <c r="L254" s="10" t="n">
        <v>1331</v>
      </c>
      <c r="M254" s="10" t="n">
        <v>0</v>
      </c>
      <c r="N254" s="10" t="n">
        <v>0</v>
      </c>
      <c r="O254" s="10" t="n">
        <v>0</v>
      </c>
      <c r="P254" s="10" t="n">
        <v>-34746</v>
      </c>
      <c r="Q254" s="17"/>
      <c r="R254" s="11"/>
      <c r="S254" s="21"/>
      <c r="T254" s="15"/>
      <c r="U254" s="14" t="s">
        <v>197</v>
      </c>
      <c r="V254" s="10" t="n">
        <v>3678</v>
      </c>
      <c r="W254" s="8"/>
      <c r="X254" s="8"/>
      <c r="Y254" s="8"/>
      <c r="Z254" s="8"/>
      <c r="AA254" s="8"/>
      <c r="AB254" s="8"/>
      <c r="AC254" s="8"/>
    </row>
    <row r="255" customFormat="false" ht="15" hidden="false" customHeight="false" outlineLevel="0" collapsed="false">
      <c r="A255" s="9" t="n">
        <v>46303</v>
      </c>
      <c r="B255" s="10" t="s">
        <v>22</v>
      </c>
      <c r="C255" s="11" t="s">
        <v>23</v>
      </c>
      <c r="D255" s="10" t="s">
        <v>525</v>
      </c>
      <c r="E255" s="11" t="str">
        <f aca="false" t="array" ref="E255:E255">IF(D255="","",IFERROR(INDEX('CLM &amp; IM Mapping'!$B$2:$B$270,MATCH(TRIM(D255),'CLM &amp; IM Mapping'!$A$2:$A$270,0)),"Not Mapped"))</f>
        <v>Saddam Hussain</v>
      </c>
      <c r="F255" s="11" t="str">
        <f aca="false" t="array" ref="F255:F255">IF(D255="","",IFERROR(INDEX('CLM &amp; IM Mapping'!$C$2:$C$270,MATCH(TRIM(D255),'CLM &amp; IM Mapping'!$A$2:$A$270,0)),"Not Mapped"))</f>
        <v>Un Mapped</v>
      </c>
      <c r="G255" s="11" t="s">
        <v>34</v>
      </c>
      <c r="H255" s="10" t="n">
        <v>-39484</v>
      </c>
      <c r="I255" s="10" t="n">
        <v>2408</v>
      </c>
      <c r="J255" s="10" t="n">
        <v>0</v>
      </c>
      <c r="K255" s="10" t="n">
        <v>195</v>
      </c>
      <c r="L255" s="10" t="n">
        <v>152</v>
      </c>
      <c r="M255" s="10" t="n">
        <v>0</v>
      </c>
      <c r="N255" s="10" t="n">
        <v>0</v>
      </c>
      <c r="O255" s="10" t="n">
        <v>0</v>
      </c>
      <c r="P255" s="10" t="n">
        <v>-36730</v>
      </c>
      <c r="Q255" s="17"/>
      <c r="R255" s="11"/>
      <c r="S255" s="21"/>
      <c r="T255" s="15"/>
      <c r="U255" s="14" t="s">
        <v>511</v>
      </c>
      <c r="V255" s="10" t="n">
        <v>2995</v>
      </c>
      <c r="W255" s="8"/>
      <c r="X255" s="8"/>
      <c r="Y255" s="8"/>
      <c r="Z255" s="8"/>
      <c r="AA255" s="8"/>
      <c r="AB255" s="8"/>
      <c r="AC255" s="8"/>
    </row>
    <row r="256" customFormat="false" ht="15" hidden="false" customHeight="false" outlineLevel="0" collapsed="false">
      <c r="A256" s="9" t="n">
        <v>46303</v>
      </c>
      <c r="B256" s="10" t="s">
        <v>22</v>
      </c>
      <c r="C256" s="11" t="s">
        <v>23</v>
      </c>
      <c r="D256" s="10" t="s">
        <v>526</v>
      </c>
      <c r="E256" s="11" t="str">
        <f aca="false" t="array" ref="E256:E256">IF(D256="","",IFERROR(INDEX('CLM &amp; IM Mapping'!$B$2:$B$270,MATCH(TRIM(D256),'CLM &amp; IM Mapping'!$A$2:$A$270,0)),"Not Mapped"))</f>
        <v>Sundaresh S</v>
      </c>
      <c r="F256" s="11" t="str">
        <f aca="false" t="array" ref="F256:F256">IF(D256="","",IFERROR(INDEX('CLM &amp; IM Mapping'!$C$2:$C$270,MATCH(TRIM(D256),'CLM &amp; IM Mapping'!$A$2:$A$270,0)),"Not Mapped"))</f>
        <v>Un Mapped</v>
      </c>
      <c r="G256" s="11" t="s">
        <v>34</v>
      </c>
      <c r="H256" s="10" t="n">
        <v>-46491</v>
      </c>
      <c r="I256" s="10" t="n">
        <v>6605</v>
      </c>
      <c r="J256" s="10" t="n">
        <v>1245</v>
      </c>
      <c r="K256" s="10" t="n">
        <v>0</v>
      </c>
      <c r="L256" s="10" t="n">
        <v>1245</v>
      </c>
      <c r="M256" s="10" t="n">
        <v>0</v>
      </c>
      <c r="N256" s="10" t="n">
        <v>0</v>
      </c>
      <c r="O256" s="10" t="n">
        <v>0</v>
      </c>
      <c r="P256" s="10" t="n">
        <v>-37396</v>
      </c>
      <c r="Q256" s="17"/>
      <c r="R256" s="11"/>
      <c r="S256" s="21"/>
      <c r="T256" s="15"/>
      <c r="U256" s="14" t="s">
        <v>446</v>
      </c>
      <c r="V256" s="11" t="n">
        <v>479</v>
      </c>
      <c r="W256" s="8"/>
      <c r="X256" s="8"/>
      <c r="Y256" s="8"/>
      <c r="Z256" s="8"/>
      <c r="AA256" s="8"/>
      <c r="AB256" s="8"/>
      <c r="AC256" s="8"/>
    </row>
    <row r="257" customFormat="false" ht="15" hidden="false" customHeight="false" outlineLevel="0" collapsed="false">
      <c r="A257" s="9" t="n">
        <v>46303</v>
      </c>
      <c r="B257" s="10" t="s">
        <v>22</v>
      </c>
      <c r="C257" s="11" t="s">
        <v>23</v>
      </c>
      <c r="D257" s="11" t="s">
        <v>527</v>
      </c>
      <c r="E257" s="11" t="str">
        <f aca="false" t="array" ref="E257:E257">IF(D257="","",IFERROR(INDEX('CLM &amp; IM Mapping'!$B$2:$B$270,MATCH(TRIM(D257),'CLM &amp; IM Mapping'!$A$2:$A$270,0)),"Not Mapped"))</f>
        <v>Suhas N</v>
      </c>
      <c r="F257" s="11" t="str">
        <f aca="false" t="array" ref="F257:F257">IF(D257="","",IFERROR(INDEX('CLM &amp; IM Mapping'!$C$2:$C$270,MATCH(TRIM(D257),'CLM &amp; IM Mapping'!$A$2:$A$270,0)),"Not Mapped"))</f>
        <v>Aravind S</v>
      </c>
      <c r="G257" s="11" t="s">
        <v>34</v>
      </c>
      <c r="H257" s="10" t="n">
        <v>-44048</v>
      </c>
      <c r="I257" s="10" t="n">
        <v>978</v>
      </c>
      <c r="J257" s="10" t="n">
        <v>0</v>
      </c>
      <c r="K257" s="10" t="n">
        <v>184</v>
      </c>
      <c r="L257" s="10" t="n">
        <v>73</v>
      </c>
      <c r="M257" s="10" t="n">
        <v>0</v>
      </c>
      <c r="N257" s="10" t="n">
        <v>0</v>
      </c>
      <c r="O257" s="10" t="n">
        <v>0</v>
      </c>
      <c r="P257" s="10" t="n">
        <v>-42812</v>
      </c>
      <c r="Q257" s="17"/>
      <c r="R257" s="11"/>
      <c r="S257" s="21"/>
      <c r="T257" s="15"/>
      <c r="U257" s="14" t="s">
        <v>52</v>
      </c>
      <c r="V257" s="10" t="n">
        <v>11030</v>
      </c>
      <c r="W257" s="8"/>
      <c r="X257" s="8"/>
      <c r="Y257" s="8"/>
      <c r="Z257" s="8"/>
      <c r="AA257" s="8"/>
      <c r="AB257" s="8"/>
      <c r="AC257" s="8"/>
    </row>
    <row r="258" customFormat="false" ht="15" hidden="false" customHeight="false" outlineLevel="0" collapsed="false">
      <c r="A258" s="9" t="n">
        <v>46303</v>
      </c>
      <c r="B258" s="10" t="s">
        <v>22</v>
      </c>
      <c r="C258" s="11" t="s">
        <v>23</v>
      </c>
      <c r="D258" s="10" t="s">
        <v>528</v>
      </c>
      <c r="E258" s="11" t="str">
        <f aca="false" t="array" ref="E258:E258">IF(D258="","",IFERROR(INDEX('CLM &amp; IM Mapping'!$B$2:$B$270,MATCH(TRIM(D258),'CLM &amp; IM Mapping'!$A$2:$A$270,0)),"Not Mapped"))</f>
        <v>Saddam Hussain</v>
      </c>
      <c r="F258" s="11" t="str">
        <f aca="false" t="array" ref="F258:F258">IF(D258="","",IFERROR(INDEX('CLM &amp; IM Mapping'!$C$2:$C$270,MATCH(TRIM(D258),'CLM &amp; IM Mapping'!$A$2:$A$270,0)),"Not Mapped"))</f>
        <v>Un Mapped</v>
      </c>
      <c r="G258" s="11" t="s">
        <v>34</v>
      </c>
      <c r="H258" s="10" t="n">
        <v>-51686</v>
      </c>
      <c r="I258" s="10" t="n">
        <v>4063</v>
      </c>
      <c r="J258" s="10" t="n">
        <v>1111</v>
      </c>
      <c r="K258" s="10" t="n">
        <v>672</v>
      </c>
      <c r="L258" s="10" t="n">
        <v>1461</v>
      </c>
      <c r="M258" s="10" t="n">
        <v>0</v>
      </c>
      <c r="N258" s="10" t="n">
        <v>0</v>
      </c>
      <c r="O258" s="10" t="n">
        <v>0</v>
      </c>
      <c r="P258" s="10" t="n">
        <v>-44378</v>
      </c>
      <c r="Q258" s="17"/>
      <c r="R258" s="11"/>
      <c r="S258" s="21"/>
      <c r="T258" s="15"/>
      <c r="U258" s="14" t="s">
        <v>529</v>
      </c>
      <c r="V258" s="10" t="n">
        <v>3775</v>
      </c>
      <c r="W258" s="8"/>
      <c r="X258" s="8"/>
      <c r="Y258" s="8"/>
      <c r="Z258" s="8"/>
      <c r="AA258" s="8"/>
      <c r="AB258" s="8"/>
      <c r="AC258" s="8"/>
    </row>
    <row r="259" customFormat="false" ht="15" hidden="false" customHeight="false" outlineLevel="0" collapsed="false">
      <c r="A259" s="9" t="n">
        <v>46303</v>
      </c>
      <c r="B259" s="10" t="s">
        <v>22</v>
      </c>
      <c r="C259" s="11" t="s">
        <v>23</v>
      </c>
      <c r="D259" s="10" t="s">
        <v>530</v>
      </c>
      <c r="E259" s="11" t="str">
        <f aca="false" t="array" ref="E259:E259">IF(D259="","",IFERROR(INDEX('CLM &amp; IM Mapping'!$B$2:$B$270,MATCH(TRIM(D259),'CLM &amp; IM Mapping'!$A$2:$A$270,0)),"Not Mapped"))</f>
        <v>Balaji G</v>
      </c>
      <c r="F259" s="11" t="str">
        <f aca="false" t="array" ref="F259:F259">IF(D259="","",IFERROR(INDEX('CLM &amp; IM Mapping'!$C$2:$C$270,MATCH(TRIM(D259),'CLM &amp; IM Mapping'!$A$2:$A$270,0)),"Not Mapped"))</f>
        <v>Mohammed Akbar</v>
      </c>
      <c r="G259" s="11" t="s">
        <v>34</v>
      </c>
      <c r="H259" s="10" t="n">
        <v>-46809</v>
      </c>
      <c r="I259" s="10" t="n">
        <v>291</v>
      </c>
      <c r="J259" s="10" t="n">
        <v>0</v>
      </c>
      <c r="K259" s="10" t="n">
        <v>0</v>
      </c>
      <c r="L259" s="10" t="n">
        <v>179</v>
      </c>
      <c r="M259" s="10" t="n">
        <v>0</v>
      </c>
      <c r="N259" s="10" t="n">
        <v>1166</v>
      </c>
      <c r="O259" s="10" t="n">
        <v>0</v>
      </c>
      <c r="P259" s="10" t="n">
        <v>-45174</v>
      </c>
      <c r="Q259" s="17"/>
      <c r="R259" s="11"/>
      <c r="S259" s="21"/>
      <c r="T259" s="15"/>
      <c r="U259" s="14" t="s">
        <v>531</v>
      </c>
      <c r="V259" s="10" t="n">
        <v>18715</v>
      </c>
      <c r="W259" s="8"/>
      <c r="X259" s="8"/>
      <c r="Y259" s="8"/>
      <c r="Z259" s="8"/>
      <c r="AA259" s="8"/>
      <c r="AB259" s="8"/>
      <c r="AC259" s="8"/>
    </row>
    <row r="260" customFormat="false" ht="15" hidden="false" customHeight="false" outlineLevel="0" collapsed="false">
      <c r="A260" s="9" t="n">
        <v>46303</v>
      </c>
      <c r="B260" s="10" t="s">
        <v>22</v>
      </c>
      <c r="C260" s="11" t="s">
        <v>23</v>
      </c>
      <c r="D260" s="10" t="s">
        <v>532</v>
      </c>
      <c r="E260" s="11" t="str">
        <f aca="false" t="array" ref="E260:E260">IF(D260="","",IFERROR(INDEX('CLM &amp; IM Mapping'!$B$2:$B$270,MATCH(TRIM(D260),'CLM &amp; IM Mapping'!$A$2:$A$270,0)),"Not Mapped"))</f>
        <v>Arun Raj</v>
      </c>
      <c r="F260" s="11" t="str">
        <f aca="false" t="array" ref="F260:F260">IF(D260="","",IFERROR(INDEX('CLM &amp; IM Mapping'!$C$2:$C$270,MATCH(TRIM(D260),'CLM &amp; IM Mapping'!$A$2:$A$270,0)),"Not Mapped"))</f>
        <v>Simon Manoharan</v>
      </c>
      <c r="G260" s="11" t="s">
        <v>25</v>
      </c>
      <c r="H260" s="10" t="n">
        <v>-253068</v>
      </c>
      <c r="I260" s="10" t="n">
        <v>0</v>
      </c>
      <c r="J260" s="10" t="n">
        <v>0</v>
      </c>
      <c r="K260" s="10" t="n">
        <v>161584</v>
      </c>
      <c r="L260" s="10" t="n">
        <v>0</v>
      </c>
      <c r="M260" s="10" t="n">
        <v>0</v>
      </c>
      <c r="N260" s="10" t="n">
        <v>0</v>
      </c>
      <c r="O260" s="10" t="n">
        <v>0</v>
      </c>
      <c r="P260" s="10" t="n">
        <v>-91484</v>
      </c>
      <c r="Q260" s="17"/>
      <c r="R260" s="11"/>
      <c r="S260" s="21"/>
      <c r="T260" s="15"/>
      <c r="U260" s="14" t="s">
        <v>366</v>
      </c>
      <c r="V260" s="11" t="n">
        <v>0</v>
      </c>
      <c r="W260" s="8"/>
      <c r="X260" s="8"/>
      <c r="Y260" s="8"/>
      <c r="Z260" s="8"/>
      <c r="AA260" s="8"/>
      <c r="AB260" s="8"/>
      <c r="AC260" s="8"/>
    </row>
    <row r="261" customFormat="false" ht="15" hidden="false" customHeight="false" outlineLevel="0" collapsed="false">
      <c r="A261" s="9" t="n">
        <v>46304</v>
      </c>
      <c r="B261" s="11" t="s">
        <v>22</v>
      </c>
      <c r="C261" s="11" t="s">
        <v>23</v>
      </c>
      <c r="D261" s="11" t="s">
        <v>512</v>
      </c>
      <c r="E261" s="11" t="str">
        <f aca="false" t="array" ref="E261:E261">IF(D261="","",IFERROR(INDEX('CLM &amp; IM Mapping'!$B$2:$B$270,MATCH(TRIM(D261),'CLM &amp; IM Mapping'!$A$2:$A$270,0)),"Not Mapped"))</f>
        <v>Saddam Hussain</v>
      </c>
      <c r="F261" s="11" t="str">
        <f aca="false" t="array" ref="F261:F261">IF(D261="","",IFERROR(INDEX('CLM &amp; IM Mapping'!$C$2:$C$270,MATCH(TRIM(D261),'CLM &amp; IM Mapping'!$A$2:$A$270,0)),"Not Mapped"))</f>
        <v>Un Mapped</v>
      </c>
      <c r="G261" s="11" t="s">
        <v>34</v>
      </c>
      <c r="H261" s="10" t="n">
        <v>-18952</v>
      </c>
      <c r="I261" s="10" t="n">
        <v>2808</v>
      </c>
      <c r="J261" s="10" t="n">
        <v>0</v>
      </c>
      <c r="K261" s="10" t="n">
        <v>0</v>
      </c>
      <c r="L261" s="10" t="n">
        <v>721</v>
      </c>
      <c r="M261" s="10" t="n">
        <v>0</v>
      </c>
      <c r="N261" s="10" t="n">
        <v>0</v>
      </c>
      <c r="O261" s="10" t="n">
        <v>0</v>
      </c>
      <c r="P261" s="10" t="n">
        <v>-15423</v>
      </c>
      <c r="Q261" s="10"/>
      <c r="R261" s="10"/>
      <c r="S261" s="22"/>
      <c r="T261" s="11"/>
      <c r="U261" s="21"/>
      <c r="V261" s="15"/>
      <c r="W261" s="23"/>
      <c r="X261" s="23"/>
      <c r="Y261" s="8"/>
      <c r="Z261" s="8"/>
      <c r="AA261" s="8"/>
      <c r="AB261" s="8"/>
      <c r="AC261" s="8"/>
    </row>
    <row r="262" customFormat="false" ht="15" hidden="false" customHeight="false" outlineLevel="0" collapsed="false">
      <c r="A262" s="9" t="n">
        <v>46304</v>
      </c>
      <c r="B262" s="11" t="s">
        <v>22</v>
      </c>
      <c r="C262" s="11" t="s">
        <v>23</v>
      </c>
      <c r="D262" s="11" t="s">
        <v>153</v>
      </c>
      <c r="E262" s="11" t="str">
        <f aca="false" t="array" ref="E262:E262">IF(D262="","",IFERROR(INDEX('CLM &amp; IM Mapping'!$B$2:$B$270,MATCH(TRIM(D262),'CLM &amp; IM Mapping'!$A$2:$A$270,0)),"Not Mapped"))</f>
        <v>Ashwath S</v>
      </c>
      <c r="F262" s="11" t="str">
        <f aca="false" t="array" ref="F262:F262">IF(D262="","",IFERROR(INDEX('CLM &amp; IM Mapping'!$C$2:$C$270,MATCH(TRIM(D262),'CLM &amp; IM Mapping'!$A$2:$A$270,0)),"Not Mapped"))</f>
        <v>Kantha Kumar</v>
      </c>
      <c r="G262" s="11" t="s">
        <v>34</v>
      </c>
      <c r="H262" s="10" t="n">
        <v>-11797</v>
      </c>
      <c r="I262" s="10" t="n">
        <v>9931</v>
      </c>
      <c r="J262" s="10" t="n">
        <v>308</v>
      </c>
      <c r="K262" s="10" t="n">
        <v>0</v>
      </c>
      <c r="L262" s="10" t="n">
        <v>0</v>
      </c>
      <c r="M262" s="10" t="n">
        <v>0</v>
      </c>
      <c r="N262" s="10" t="n">
        <v>1396</v>
      </c>
      <c r="O262" s="10" t="n">
        <v>0</v>
      </c>
      <c r="P262" s="10" t="n">
        <v>-162</v>
      </c>
      <c r="Q262" s="10"/>
      <c r="R262" s="11"/>
      <c r="S262" s="22"/>
      <c r="T262" s="11"/>
      <c r="U262" s="21"/>
      <c r="V262" s="15"/>
      <c r="W262" s="23"/>
      <c r="X262" s="23"/>
      <c r="Y262" s="8"/>
      <c r="Z262" s="8"/>
      <c r="AA262" s="8"/>
      <c r="AB262" s="8"/>
      <c r="AC262" s="8"/>
    </row>
    <row r="263" customFormat="false" ht="15" hidden="false" customHeight="false" outlineLevel="0" collapsed="false">
      <c r="A263" s="9" t="n">
        <v>46304</v>
      </c>
      <c r="B263" s="11" t="s">
        <v>22</v>
      </c>
      <c r="C263" s="11" t="s">
        <v>23</v>
      </c>
      <c r="D263" s="11" t="s">
        <v>441</v>
      </c>
      <c r="E263" s="11" t="str">
        <f aca="false" t="array" ref="E263:E263">IF(D263="","",IFERROR(INDEX('CLM &amp; IM Mapping'!$B$2:$B$270,MATCH(TRIM(D263),'CLM &amp; IM Mapping'!$A$2:$A$270,0)),"Not Mapped"))</f>
        <v>Vijay M</v>
      </c>
      <c r="F263" s="11" t="str">
        <f aca="false" t="array" ref="F263:F263">IF(D263="","",IFERROR(INDEX('CLM &amp; IM Mapping'!$C$2:$C$270,MATCH(TRIM(D263),'CLM &amp; IM Mapping'!$A$2:$A$270,0)),"Not Mapped"))</f>
        <v>Kantha Kumar</v>
      </c>
      <c r="G263" s="11" t="s">
        <v>34</v>
      </c>
      <c r="H263" s="10" t="n">
        <v>-15916</v>
      </c>
      <c r="I263" s="10" t="n">
        <v>4646</v>
      </c>
      <c r="J263" s="10" t="n">
        <v>0</v>
      </c>
      <c r="K263" s="10" t="n">
        <v>197</v>
      </c>
      <c r="L263" s="10" t="n">
        <v>538</v>
      </c>
      <c r="M263" s="10" t="n">
        <v>0</v>
      </c>
      <c r="N263" s="10" t="n">
        <v>0</v>
      </c>
      <c r="O263" s="10" t="n">
        <v>1423</v>
      </c>
      <c r="P263" s="10" t="n">
        <v>-9111</v>
      </c>
      <c r="Q263" s="10"/>
      <c r="R263" s="10"/>
      <c r="S263" s="22"/>
      <c r="T263" s="11"/>
      <c r="U263" s="21"/>
      <c r="V263" s="15"/>
      <c r="W263" s="23"/>
      <c r="X263" s="23"/>
      <c r="Y263" s="8"/>
      <c r="Z263" s="8"/>
      <c r="AA263" s="8"/>
      <c r="AB263" s="8"/>
      <c r="AC263" s="8"/>
    </row>
    <row r="264" customFormat="false" ht="15" hidden="false" customHeight="false" outlineLevel="0" collapsed="false">
      <c r="A264" s="9" t="n">
        <v>46304</v>
      </c>
      <c r="B264" s="11" t="s">
        <v>22</v>
      </c>
      <c r="C264" s="11" t="s">
        <v>23</v>
      </c>
      <c r="D264" s="11" t="s">
        <v>229</v>
      </c>
      <c r="E264" s="11" t="str">
        <f aca="false" t="array" ref="E264:E264">IF(D264="","",IFERROR(INDEX('CLM &amp; IM Mapping'!$B$2:$B$270,MATCH(TRIM(D264),'CLM &amp; IM Mapping'!$A$2:$A$270,0)),"Not Mapped"))</f>
        <v>Arun Raj</v>
      </c>
      <c r="F264" s="11" t="str">
        <f aca="false" t="array" ref="F264:F264">IF(D264="","",IFERROR(INDEX('CLM &amp; IM Mapping'!$C$2:$C$270,MATCH(TRIM(D264),'CLM &amp; IM Mapping'!$A$2:$A$270,0)),"Not Mapped"))</f>
        <v>Simon Manoharan</v>
      </c>
      <c r="G264" s="11" t="s">
        <v>25</v>
      </c>
      <c r="H264" s="10" t="n">
        <v>4023</v>
      </c>
      <c r="I264" s="10" t="n">
        <v>111</v>
      </c>
      <c r="J264" s="10" t="n">
        <v>0</v>
      </c>
      <c r="K264" s="10" t="n">
        <v>0</v>
      </c>
      <c r="L264" s="10" t="n">
        <v>753</v>
      </c>
      <c r="M264" s="10" t="n">
        <v>0</v>
      </c>
      <c r="N264" s="10" t="n">
        <v>17562</v>
      </c>
      <c r="O264" s="10" t="n">
        <v>0</v>
      </c>
      <c r="P264" s="10" t="n">
        <v>22450</v>
      </c>
      <c r="Q264" s="10"/>
      <c r="R264" s="10"/>
      <c r="S264" s="22"/>
      <c r="T264" s="11"/>
      <c r="U264" s="21"/>
      <c r="V264" s="15"/>
      <c r="W264" s="23"/>
      <c r="X264" s="23"/>
      <c r="Y264" s="8"/>
      <c r="Z264" s="8"/>
      <c r="AA264" s="8"/>
      <c r="AB264" s="8"/>
      <c r="AC264" s="8"/>
    </row>
    <row r="265" customFormat="false" ht="15" hidden="false" customHeight="false" outlineLevel="0" collapsed="false">
      <c r="A265" s="9" t="n">
        <v>46304</v>
      </c>
      <c r="B265" s="11" t="s">
        <v>22</v>
      </c>
      <c r="C265" s="11" t="s">
        <v>23</v>
      </c>
      <c r="D265" s="11" t="s">
        <v>290</v>
      </c>
      <c r="E265" s="11" t="str">
        <f aca="false" t="array" ref="E265:E265">IF(D265="","",IFERROR(INDEX('CLM &amp; IM Mapping'!$B$2:$B$270,MATCH(TRIM(D265),'CLM &amp; IM Mapping'!$A$2:$A$270,0)),"Not Mapped"))</f>
        <v>Akshay P</v>
      </c>
      <c r="F265" s="11" t="str">
        <f aca="false" t="array" ref="F265:F265">IF(D265="","",IFERROR(INDEX('CLM &amp; IM Mapping'!$C$2:$C$270,MATCH(TRIM(D265),'CLM &amp; IM Mapping'!$A$2:$A$270,0)),"Not Mapped"))</f>
        <v>Srittam Dhal</v>
      </c>
      <c r="G265" s="11" t="s">
        <v>34</v>
      </c>
      <c r="H265" s="10" t="n">
        <v>-16168</v>
      </c>
      <c r="I265" s="10" t="n">
        <v>8883</v>
      </c>
      <c r="J265" s="10" t="n">
        <v>0</v>
      </c>
      <c r="K265" s="10" t="n">
        <v>0</v>
      </c>
      <c r="L265" s="10" t="n">
        <v>638</v>
      </c>
      <c r="M265" s="10" t="n">
        <v>0</v>
      </c>
      <c r="N265" s="10" t="n">
        <v>0</v>
      </c>
      <c r="O265" s="10" t="n">
        <v>0</v>
      </c>
      <c r="P265" s="10" t="n">
        <v>-6647</v>
      </c>
      <c r="Q265" s="10"/>
      <c r="R265" s="10"/>
      <c r="S265" s="22"/>
      <c r="T265" s="11"/>
      <c r="U265" s="21"/>
      <c r="V265" s="15"/>
      <c r="W265" s="23"/>
      <c r="X265" s="23"/>
      <c r="Y265" s="8"/>
      <c r="Z265" s="8"/>
      <c r="AA265" s="8"/>
      <c r="AB265" s="8"/>
      <c r="AC265" s="8"/>
    </row>
    <row r="266" customFormat="false" ht="15" hidden="false" customHeight="false" outlineLevel="0" collapsed="false">
      <c r="A266" s="9" t="n">
        <v>46304</v>
      </c>
      <c r="B266" s="11" t="s">
        <v>22</v>
      </c>
      <c r="C266" s="11" t="s">
        <v>23</v>
      </c>
      <c r="D266" s="11" t="s">
        <v>465</v>
      </c>
      <c r="E266" s="11" t="str">
        <f aca="false" t="array" ref="E266:E266">IF(D266="","",IFERROR(INDEX('CLM &amp; IM Mapping'!$B$2:$B$270,MATCH(TRIM(D266),'CLM &amp; IM Mapping'!$A$2:$A$270,0)),"Not Mapped"))</f>
        <v>Suhas N</v>
      </c>
      <c r="F266" s="11" t="str">
        <f aca="false" t="array" ref="F266:F266">IF(D266="","",IFERROR(INDEX('CLM &amp; IM Mapping'!$C$2:$C$270,MATCH(TRIM(D266),'CLM &amp; IM Mapping'!$A$2:$A$270,0)),"Not Mapped"))</f>
        <v>Aravind S</v>
      </c>
      <c r="G266" s="11" t="s">
        <v>34</v>
      </c>
      <c r="H266" s="10" t="n">
        <v>-13358</v>
      </c>
      <c r="I266" s="10" t="n">
        <v>4728</v>
      </c>
      <c r="J266" s="10" t="n">
        <v>0</v>
      </c>
      <c r="K266" s="10" t="n">
        <v>648</v>
      </c>
      <c r="L266" s="10" t="n">
        <v>182</v>
      </c>
      <c r="M266" s="10" t="n">
        <v>0</v>
      </c>
      <c r="N266" s="10" t="n">
        <v>0</v>
      </c>
      <c r="O266" s="10" t="n">
        <v>0</v>
      </c>
      <c r="P266" s="10" t="n">
        <v>-7800</v>
      </c>
      <c r="Q266" s="10"/>
      <c r="R266" s="10"/>
      <c r="S266" s="22"/>
      <c r="T266" s="11"/>
      <c r="U266" s="21"/>
      <c r="V266" s="15"/>
      <c r="W266" s="23"/>
      <c r="X266" s="23"/>
      <c r="Y266" s="8"/>
      <c r="Z266" s="8"/>
      <c r="AA266" s="8"/>
      <c r="AB266" s="8"/>
      <c r="AC266" s="8"/>
    </row>
    <row r="267" customFormat="false" ht="15" hidden="false" customHeight="false" outlineLevel="0" collapsed="false">
      <c r="A267" s="9" t="n">
        <v>46304</v>
      </c>
      <c r="B267" s="11" t="s">
        <v>22</v>
      </c>
      <c r="C267" s="11" t="s">
        <v>23</v>
      </c>
      <c r="D267" s="11" t="s">
        <v>29</v>
      </c>
      <c r="E267" s="11" t="str">
        <f aca="false" t="array" ref="E267:E267">IF(D267="","",IFERROR(INDEX('CLM &amp; IM Mapping'!$B$2:$B$270,MATCH(TRIM(D267),'CLM &amp; IM Mapping'!$A$2:$A$270,0)),"Not Mapped"))</f>
        <v>Arun Raj</v>
      </c>
      <c r="F267" s="11" t="str">
        <f aca="false" t="array" ref="F267:F267">IF(D267="","",IFERROR(INDEX('CLM &amp; IM Mapping'!$C$2:$C$270,MATCH(TRIM(D267),'CLM &amp; IM Mapping'!$A$2:$A$270,0)),"Not Mapped"))</f>
        <v>Simon Manoharan</v>
      </c>
      <c r="G267" s="11" t="s">
        <v>25</v>
      </c>
      <c r="H267" s="10" t="n">
        <v>22066</v>
      </c>
      <c r="I267" s="10" t="n">
        <v>125596</v>
      </c>
      <c r="J267" s="10" t="n">
        <v>-13911</v>
      </c>
      <c r="K267" s="10" t="n">
        <v>2180</v>
      </c>
      <c r="L267" s="10" t="n">
        <v>15142</v>
      </c>
      <c r="M267" s="10" t="n">
        <v>0</v>
      </c>
      <c r="N267" s="10" t="n">
        <v>0</v>
      </c>
      <c r="O267" s="10" t="n">
        <v>0</v>
      </c>
      <c r="P267" s="10" t="n">
        <v>151073</v>
      </c>
      <c r="Q267" s="10"/>
      <c r="R267" s="10"/>
      <c r="S267" s="22"/>
      <c r="T267" s="11"/>
      <c r="U267" s="21"/>
      <c r="V267" s="15"/>
      <c r="W267" s="23"/>
      <c r="X267" s="23"/>
      <c r="Y267" s="8"/>
      <c r="Z267" s="8"/>
      <c r="AA267" s="8"/>
      <c r="AB267" s="8"/>
      <c r="AC267" s="8"/>
    </row>
    <row r="268" customFormat="false" ht="15" hidden="false" customHeight="false" outlineLevel="0" collapsed="false">
      <c r="A268" s="9" t="n">
        <v>46304</v>
      </c>
      <c r="B268" s="11" t="s">
        <v>22</v>
      </c>
      <c r="C268" s="11" t="s">
        <v>23</v>
      </c>
      <c r="D268" s="11" t="s">
        <v>396</v>
      </c>
      <c r="E268" s="11" t="str">
        <f aca="false" t="array" ref="E268:E268">IF(D268="","",IFERROR(INDEX('CLM &amp; IM Mapping'!$B$2:$B$270,MATCH(TRIM(D268),'CLM &amp; IM Mapping'!$A$2:$A$270,0)),"Not Mapped"))</f>
        <v>Ravishankar gowda</v>
      </c>
      <c r="F268" s="11" t="str">
        <f aca="false" t="array" ref="F268:F268">IF(D268="","",IFERROR(INDEX('CLM &amp; IM Mapping'!$C$2:$C$270,MATCH(TRIM(D268),'CLM &amp; IM Mapping'!$A$2:$A$270,0)),"Not Mapped"))</f>
        <v>Kishor K</v>
      </c>
      <c r="G268" s="11" t="s">
        <v>34</v>
      </c>
      <c r="H268" s="10" t="n">
        <v>-20913</v>
      </c>
      <c r="I268" s="10" t="n">
        <v>12275</v>
      </c>
      <c r="J268" s="10" t="n">
        <v>0</v>
      </c>
      <c r="K268" s="10" t="n">
        <v>129</v>
      </c>
      <c r="L268" s="10" t="n">
        <v>351</v>
      </c>
      <c r="M268" s="10" t="n">
        <v>0</v>
      </c>
      <c r="N268" s="10" t="n">
        <v>165</v>
      </c>
      <c r="O268" s="10" t="n">
        <v>0</v>
      </c>
      <c r="P268" s="10" t="n">
        <v>-7992</v>
      </c>
      <c r="Q268" s="10"/>
      <c r="R268" s="10"/>
      <c r="S268" s="22"/>
      <c r="T268" s="11"/>
      <c r="U268" s="21"/>
      <c r="V268" s="15"/>
      <c r="W268" s="23"/>
      <c r="X268" s="23"/>
      <c r="Y268" s="8"/>
      <c r="Z268" s="8"/>
      <c r="AA268" s="8"/>
      <c r="AB268" s="8"/>
      <c r="AC268" s="8"/>
    </row>
    <row r="269" customFormat="false" ht="15" hidden="false" customHeight="false" outlineLevel="0" collapsed="false">
      <c r="A269" s="9" t="n">
        <v>46304</v>
      </c>
      <c r="B269" s="11" t="s">
        <v>22</v>
      </c>
      <c r="C269" s="11" t="s">
        <v>23</v>
      </c>
      <c r="D269" s="11" t="s">
        <v>455</v>
      </c>
      <c r="E269" s="11" t="str">
        <f aca="false" t="array" ref="E269:E269">IF(D269="","",IFERROR(INDEX('CLM &amp; IM Mapping'!$B$2:$B$270,MATCH(TRIM(D269),'CLM &amp; IM Mapping'!$A$2:$A$270,0)),"Not Mapped"))</f>
        <v>Rizwan Ahmed</v>
      </c>
      <c r="F269" s="11" t="str">
        <f aca="false" t="array" ref="F269:F269">IF(D269="","",IFERROR(INDEX('CLM &amp; IM Mapping'!$C$2:$C$270,MATCH(TRIM(D269),'CLM &amp; IM Mapping'!$A$2:$A$270,0)),"Not Mapped"))</f>
        <v>Un Mapped</v>
      </c>
      <c r="G269" s="11" t="s">
        <v>34</v>
      </c>
      <c r="H269" s="10" t="n">
        <v>-12493</v>
      </c>
      <c r="I269" s="10" t="n">
        <v>4517</v>
      </c>
      <c r="J269" s="10" t="n">
        <v>0</v>
      </c>
      <c r="K269" s="10" t="n">
        <v>260</v>
      </c>
      <c r="L269" s="10" t="n">
        <v>1671</v>
      </c>
      <c r="M269" s="10" t="n">
        <v>0</v>
      </c>
      <c r="N269" s="10" t="n">
        <v>0</v>
      </c>
      <c r="O269" s="10" t="n">
        <v>0</v>
      </c>
      <c r="P269" s="10" t="n">
        <v>-6046</v>
      </c>
      <c r="Q269" s="10"/>
      <c r="R269" s="10"/>
      <c r="S269" s="22"/>
      <c r="T269" s="11"/>
      <c r="U269" s="21"/>
      <c r="V269" s="15"/>
      <c r="W269" s="23"/>
      <c r="X269" s="23"/>
      <c r="Y269" s="8"/>
      <c r="Z269" s="8"/>
      <c r="AA269" s="8"/>
      <c r="AB269" s="8"/>
      <c r="AC269" s="8"/>
    </row>
    <row r="270" customFormat="false" ht="15" hidden="false" customHeight="false" outlineLevel="0" collapsed="false">
      <c r="A270" s="9" t="n">
        <v>46304</v>
      </c>
      <c r="B270" s="11" t="s">
        <v>22</v>
      </c>
      <c r="C270" s="11" t="s">
        <v>23</v>
      </c>
      <c r="D270" s="11" t="s">
        <v>339</v>
      </c>
      <c r="E270" s="11" t="str">
        <f aca="false" t="array" ref="E270:E270">IF(D270="","",IFERROR(INDEX('CLM &amp; IM Mapping'!$B$2:$B$270,MATCH(TRIM(D270),'CLM &amp; IM Mapping'!$A$2:$A$270,0)),"Not Mapped"))</f>
        <v>Ravishankar gowda</v>
      </c>
      <c r="F270" s="11" t="str">
        <f aca="false" t="array" ref="F270:F270">IF(D270="","",IFERROR(INDEX('CLM &amp; IM Mapping'!$C$2:$C$270,MATCH(TRIM(D270),'CLM &amp; IM Mapping'!$A$2:$A$270,0)),"Not Mapped"))</f>
        <v>Kishor K</v>
      </c>
      <c r="G270" s="11" t="s">
        <v>34</v>
      </c>
      <c r="H270" s="10" t="n">
        <v>-3052</v>
      </c>
      <c r="I270" s="10" t="n">
        <v>4179</v>
      </c>
      <c r="J270" s="10" t="n">
        <v>0</v>
      </c>
      <c r="K270" s="10" t="n">
        <v>0</v>
      </c>
      <c r="L270" s="10" t="n">
        <v>0</v>
      </c>
      <c r="M270" s="10" t="n">
        <v>0</v>
      </c>
      <c r="N270" s="10" t="n">
        <v>0</v>
      </c>
      <c r="O270" s="10" t="n">
        <v>0</v>
      </c>
      <c r="P270" s="10" t="n">
        <v>1127</v>
      </c>
      <c r="Q270" s="10"/>
      <c r="R270" s="10"/>
      <c r="S270" s="22" t="s">
        <v>533</v>
      </c>
      <c r="T270" s="11" t="n">
        <v>3000</v>
      </c>
      <c r="U270" s="21"/>
      <c r="V270" s="15"/>
      <c r="W270" s="23"/>
      <c r="X270" s="23"/>
      <c r="Y270" s="8"/>
      <c r="Z270" s="8"/>
      <c r="AA270" s="8"/>
      <c r="AB270" s="8"/>
      <c r="AC270" s="8"/>
    </row>
    <row r="271" customFormat="false" ht="15" hidden="false" customHeight="false" outlineLevel="0" collapsed="false">
      <c r="A271" s="9" t="n">
        <v>46304</v>
      </c>
      <c r="B271" s="11" t="s">
        <v>22</v>
      </c>
      <c r="C271" s="11" t="s">
        <v>23</v>
      </c>
      <c r="D271" s="11" t="s">
        <v>530</v>
      </c>
      <c r="E271" s="11" t="str">
        <f aca="false" t="array" ref="E271:E271">IF(D271="","",IFERROR(INDEX('CLM &amp; IM Mapping'!$B$2:$B$270,MATCH(TRIM(D271),'CLM &amp; IM Mapping'!$A$2:$A$270,0)),"Not Mapped"))</f>
        <v>Balaji G</v>
      </c>
      <c r="F271" s="11" t="str">
        <f aca="false" t="array" ref="F271:F271">IF(D271="","",IFERROR(INDEX('CLM &amp; IM Mapping'!$C$2:$C$270,MATCH(TRIM(D271),'CLM &amp; IM Mapping'!$A$2:$A$270,0)),"Not Mapped"))</f>
        <v>Mohammed Akbar</v>
      </c>
      <c r="G271" s="11" t="s">
        <v>34</v>
      </c>
      <c r="H271" s="10" t="n">
        <v>-49284</v>
      </c>
      <c r="I271" s="10" t="n">
        <v>290</v>
      </c>
      <c r="J271" s="10" t="n">
        <v>0</v>
      </c>
      <c r="K271" s="10" t="n">
        <v>0</v>
      </c>
      <c r="L271" s="10" t="n">
        <v>219</v>
      </c>
      <c r="M271" s="10" t="n">
        <v>0</v>
      </c>
      <c r="N271" s="10" t="n">
        <v>1163</v>
      </c>
      <c r="O271" s="10" t="n">
        <v>0</v>
      </c>
      <c r="P271" s="10" t="n">
        <v>-47611</v>
      </c>
      <c r="Q271" s="10"/>
      <c r="R271" s="10"/>
      <c r="S271" s="22"/>
      <c r="T271" s="11"/>
      <c r="U271" s="21"/>
      <c r="V271" s="15"/>
      <c r="W271" s="23"/>
      <c r="X271" s="23"/>
      <c r="Y271" s="8"/>
      <c r="Z271" s="8"/>
      <c r="AA271" s="8"/>
      <c r="AB271" s="8"/>
      <c r="AC271" s="8"/>
    </row>
    <row r="272" customFormat="false" ht="15" hidden="false" customHeight="false" outlineLevel="0" collapsed="false">
      <c r="A272" s="9" t="n">
        <v>46304</v>
      </c>
      <c r="B272" s="11" t="s">
        <v>22</v>
      </c>
      <c r="C272" s="11" t="s">
        <v>23</v>
      </c>
      <c r="D272" s="11" t="s">
        <v>483</v>
      </c>
      <c r="E272" s="11" t="str">
        <f aca="false" t="array" ref="E272:E272">IF(D272="","",IFERROR(INDEX('CLM &amp; IM Mapping'!$B$2:$B$270,MATCH(TRIM(D272),'CLM &amp; IM Mapping'!$A$2:$A$270,0)),"Not Mapped"))</f>
        <v>Sundaresh S</v>
      </c>
      <c r="F272" s="11" t="str">
        <f aca="false" t="array" ref="F272:F272">IF(D272="","",IFERROR(INDEX('CLM &amp; IM Mapping'!$C$2:$C$270,MATCH(TRIM(D272),'CLM &amp; IM Mapping'!$A$2:$A$270,0)),"Not Mapped"))</f>
        <v>Un Mapped</v>
      </c>
      <c r="G272" s="11" t="s">
        <v>34</v>
      </c>
      <c r="H272" s="10" t="n">
        <v>-14819</v>
      </c>
      <c r="I272" s="10" t="n">
        <v>1040</v>
      </c>
      <c r="J272" s="10" t="n">
        <v>0</v>
      </c>
      <c r="K272" s="10" t="n">
        <v>0</v>
      </c>
      <c r="L272" s="10" t="n">
        <v>246</v>
      </c>
      <c r="M272" s="10" t="n">
        <v>0</v>
      </c>
      <c r="N272" s="10" t="n">
        <v>1369</v>
      </c>
      <c r="O272" s="10" t="n">
        <v>506</v>
      </c>
      <c r="P272" s="10" t="n">
        <v>-11658</v>
      </c>
      <c r="Q272" s="10"/>
      <c r="R272" s="10"/>
      <c r="S272" s="22"/>
      <c r="T272" s="11"/>
      <c r="U272" s="21"/>
      <c r="V272" s="15"/>
      <c r="W272" s="23"/>
      <c r="X272" s="23"/>
      <c r="Y272" s="8"/>
      <c r="Z272" s="8"/>
      <c r="AA272" s="8"/>
      <c r="AB272" s="8"/>
      <c r="AC272" s="8"/>
    </row>
    <row r="273" customFormat="false" ht="15" hidden="false" customHeight="false" outlineLevel="0" collapsed="false">
      <c r="A273" s="9" t="n">
        <v>46304</v>
      </c>
      <c r="B273" s="11" t="s">
        <v>22</v>
      </c>
      <c r="C273" s="11" t="s">
        <v>23</v>
      </c>
      <c r="D273" s="11" t="s">
        <v>449</v>
      </c>
      <c r="E273" s="11" t="str">
        <f aca="false" t="array" ref="E273:E273">IF(D273="","",IFERROR(INDEX('CLM &amp; IM Mapping'!$B$2:$B$270,MATCH(TRIM(D273),'CLM &amp; IM Mapping'!$A$2:$A$270,0)),"Not Mapped"))</f>
        <v>Manjunatha V</v>
      </c>
      <c r="F273" s="11" t="str">
        <f aca="false" t="array" ref="F273:F273">IF(D273="","",IFERROR(INDEX('CLM &amp; IM Mapping'!$C$2:$C$270,MATCH(TRIM(D273),'CLM &amp; IM Mapping'!$A$2:$A$270,0)),"Not Mapped"))</f>
        <v>Un Mapped</v>
      </c>
      <c r="G273" s="11" t="s">
        <v>34</v>
      </c>
      <c r="H273" s="10" t="n">
        <v>-14404</v>
      </c>
      <c r="I273" s="10" t="n">
        <v>4108</v>
      </c>
      <c r="J273" s="10" t="n">
        <v>0</v>
      </c>
      <c r="K273" s="10" t="n">
        <v>0</v>
      </c>
      <c r="L273" s="10" t="n">
        <v>654</v>
      </c>
      <c r="M273" s="10" t="n">
        <v>0</v>
      </c>
      <c r="N273" s="10" t="n">
        <v>476</v>
      </c>
      <c r="O273" s="10" t="n">
        <v>0</v>
      </c>
      <c r="P273" s="10" t="n">
        <v>-9166</v>
      </c>
      <c r="Q273" s="10"/>
      <c r="R273" s="10"/>
      <c r="S273" s="22"/>
      <c r="T273" s="11"/>
      <c r="U273" s="21"/>
      <c r="V273" s="15"/>
      <c r="W273" s="23"/>
      <c r="X273" s="23"/>
      <c r="Y273" s="8"/>
      <c r="Z273" s="8"/>
      <c r="AA273" s="8"/>
      <c r="AB273" s="8"/>
      <c r="AC273" s="8"/>
    </row>
    <row r="274" customFormat="false" ht="15" hidden="false" customHeight="false" outlineLevel="0" collapsed="false">
      <c r="A274" s="9" t="n">
        <v>46304</v>
      </c>
      <c r="B274" s="11" t="s">
        <v>22</v>
      </c>
      <c r="C274" s="11" t="s">
        <v>23</v>
      </c>
      <c r="D274" s="11" t="s">
        <v>496</v>
      </c>
      <c r="E274" s="11" t="str">
        <f aca="false" t="array" ref="E274:E274">IF(D274="","",IFERROR(INDEX('CLM &amp; IM Mapping'!$B$2:$B$270,MATCH(TRIM(D274),'CLM &amp; IM Mapping'!$A$2:$A$270,0)),"Not Mapped"))</f>
        <v>Keshav G</v>
      </c>
      <c r="F274" s="11" t="str">
        <f aca="false" t="array" ref="F274:F274">IF(D274="","",IFERROR(INDEX('CLM &amp; IM Mapping'!$C$2:$C$270,MATCH(TRIM(D274),'CLM &amp; IM Mapping'!$A$2:$A$270,0)),"Not Mapped"))</f>
        <v>Un Mapped</v>
      </c>
      <c r="G274" s="11" t="s">
        <v>34</v>
      </c>
      <c r="H274" s="10" t="n">
        <v>-21562</v>
      </c>
      <c r="I274" s="10" t="n">
        <v>7084</v>
      </c>
      <c r="J274" s="10" t="n">
        <v>0</v>
      </c>
      <c r="K274" s="10" t="n">
        <v>0</v>
      </c>
      <c r="L274" s="10" t="n">
        <v>243</v>
      </c>
      <c r="M274" s="10" t="n">
        <v>0</v>
      </c>
      <c r="N274" s="10" t="n">
        <v>0</v>
      </c>
      <c r="O274" s="10" t="n">
        <v>1202</v>
      </c>
      <c r="P274" s="10" t="n">
        <v>-13033</v>
      </c>
      <c r="Q274" s="10"/>
      <c r="R274" s="10"/>
      <c r="S274" s="19"/>
      <c r="T274" s="11"/>
      <c r="U274" s="21"/>
      <c r="V274" s="15"/>
      <c r="W274" s="23"/>
      <c r="X274" s="23"/>
      <c r="Y274" s="8"/>
      <c r="Z274" s="8"/>
      <c r="AA274" s="8"/>
      <c r="AB274" s="8"/>
      <c r="AC274" s="8"/>
    </row>
    <row r="275" customFormat="false" ht="15" hidden="false" customHeight="false" outlineLevel="0" collapsed="false">
      <c r="A275" s="9" t="n">
        <v>46304</v>
      </c>
      <c r="B275" s="11" t="s">
        <v>22</v>
      </c>
      <c r="C275" s="11" t="s">
        <v>276</v>
      </c>
      <c r="D275" s="11" t="s">
        <v>359</v>
      </c>
      <c r="E275" s="11" t="str">
        <f aca="false" t="array" ref="E275:E275">IF(D275="","",IFERROR(INDEX('CLM &amp; IM Mapping'!$B$2:$B$270,MATCH(TRIM(D275),'CLM &amp; IM Mapping'!$A$2:$A$270,0)),"Not Mapped"))</f>
        <v>Santhosha M</v>
      </c>
      <c r="F275" s="11" t="str">
        <f aca="false" t="array" ref="F275:F275">IF(D275="","",IFERROR(INDEX('CLM &amp; IM Mapping'!$C$2:$C$270,MATCH(TRIM(D275),'CLM &amp; IM Mapping'!$A$2:$A$270,0)),"Not Mapped"))</f>
        <v>Aravind S</v>
      </c>
      <c r="G275" s="11" t="s">
        <v>34</v>
      </c>
      <c r="H275" s="10" t="n">
        <v>119</v>
      </c>
      <c r="I275" s="10" t="n">
        <v>477</v>
      </c>
      <c r="J275" s="10" t="n">
        <v>0</v>
      </c>
      <c r="K275" s="10" t="n">
        <v>0</v>
      </c>
      <c r="L275" s="10" t="n">
        <v>0</v>
      </c>
      <c r="M275" s="10" t="n">
        <v>0</v>
      </c>
      <c r="N275" s="10" t="n">
        <v>0</v>
      </c>
      <c r="O275" s="10" t="n">
        <v>0</v>
      </c>
      <c r="P275" s="10" t="n">
        <v>595</v>
      </c>
      <c r="Q275" s="11"/>
      <c r="R275" s="11"/>
      <c r="S275" s="19"/>
      <c r="T275" s="11"/>
      <c r="U275" s="21"/>
      <c r="V275" s="15"/>
      <c r="W275" s="23"/>
      <c r="X275" s="23"/>
      <c r="Y275" s="8"/>
      <c r="Z275" s="8"/>
      <c r="AA275" s="8"/>
      <c r="AB275" s="8"/>
      <c r="AC275" s="8"/>
    </row>
    <row r="276" customFormat="false" ht="15" hidden="false" customHeight="false" outlineLevel="0" collapsed="false">
      <c r="A276" s="9" t="n">
        <v>46304</v>
      </c>
      <c r="B276" s="11" t="s">
        <v>22</v>
      </c>
      <c r="C276" s="11" t="s">
        <v>417</v>
      </c>
      <c r="D276" s="11" t="s">
        <v>452</v>
      </c>
      <c r="E276" s="11" t="str">
        <f aca="false" t="array" ref="E276:E276">IF(D276="","",IFERROR(INDEX('CLM &amp; IM Mapping'!$B$2:$B$270,MATCH(TRIM(D276),'CLM &amp; IM Mapping'!$A$2:$A$270,0)),"Not Mapped"))</f>
        <v>Vishnu V</v>
      </c>
      <c r="F276" s="11" t="str">
        <f aca="false" t="array" ref="F276:F276">IF(D276="","",IFERROR(INDEX('CLM &amp; IM Mapping'!$C$2:$C$270,MATCH(TRIM(D276),'CLM &amp; IM Mapping'!$A$2:$A$270,0)),"Not Mapped"))</f>
        <v>Arivind S</v>
      </c>
      <c r="G276" s="11" t="s">
        <v>34</v>
      </c>
      <c r="H276" s="10" t="n">
        <v>-7950</v>
      </c>
      <c r="I276" s="10" t="n">
        <v>0</v>
      </c>
      <c r="J276" s="10" t="n">
        <v>0</v>
      </c>
      <c r="K276" s="10" t="n">
        <v>0</v>
      </c>
      <c r="L276" s="10" t="n">
        <v>0</v>
      </c>
      <c r="M276" s="10" t="n">
        <v>0</v>
      </c>
      <c r="N276" s="10" t="n">
        <v>0</v>
      </c>
      <c r="O276" s="10" t="n">
        <v>0</v>
      </c>
      <c r="P276" s="10" t="n">
        <v>-7950</v>
      </c>
      <c r="Q276" s="11"/>
      <c r="R276" s="10"/>
      <c r="S276" s="19"/>
      <c r="T276" s="11"/>
      <c r="U276" s="21"/>
      <c r="V276" s="15"/>
      <c r="W276" s="23"/>
      <c r="X276" s="23"/>
      <c r="Y276" s="8"/>
      <c r="Z276" s="8"/>
      <c r="AA276" s="8"/>
      <c r="AB276" s="8"/>
      <c r="AC276" s="8"/>
    </row>
    <row r="277" customFormat="false" ht="15" hidden="false" customHeight="false" outlineLevel="0" collapsed="false">
      <c r="A277" s="9" t="n">
        <v>46304</v>
      </c>
      <c r="B277" s="11" t="s">
        <v>22</v>
      </c>
      <c r="C277" s="11" t="s">
        <v>23</v>
      </c>
      <c r="D277" s="11" t="s">
        <v>132</v>
      </c>
      <c r="E277" s="11" t="str">
        <f aca="false" t="array" ref="E277:E277">IF(D277="","",IFERROR(INDEX('CLM &amp; IM Mapping'!$B$2:$B$270,MATCH(TRIM(D277),'CLM &amp; IM Mapping'!$A$2:$A$270,0)),"Not Mapped"))</f>
        <v>Saddam Hussain</v>
      </c>
      <c r="F277" s="11" t="str">
        <f aca="false" t="array" ref="F277:F277">IF(D277="","",IFERROR(INDEX('CLM &amp; IM Mapping'!$C$2:$C$270,MATCH(TRIM(D277),'CLM &amp; IM Mapping'!$A$2:$A$270,0)),"Not Mapped"))</f>
        <v>Un Mapped</v>
      </c>
      <c r="G277" s="11" t="s">
        <v>34</v>
      </c>
      <c r="H277" s="10" t="n">
        <v>15957</v>
      </c>
      <c r="I277" s="10" t="n">
        <v>12725</v>
      </c>
      <c r="J277" s="10" t="n">
        <v>0</v>
      </c>
      <c r="K277" s="10" t="n">
        <v>5366</v>
      </c>
      <c r="L277" s="10" t="n">
        <v>17</v>
      </c>
      <c r="M277" s="10" t="n">
        <v>0</v>
      </c>
      <c r="N277" s="10" t="n">
        <v>0</v>
      </c>
      <c r="O277" s="10" t="n">
        <v>0</v>
      </c>
      <c r="P277" s="10" t="n">
        <v>34066</v>
      </c>
      <c r="Q277" s="10"/>
      <c r="R277" s="10"/>
      <c r="S277" s="22"/>
      <c r="T277" s="11"/>
      <c r="U277" s="21"/>
      <c r="V277" s="15"/>
      <c r="W277" s="23"/>
      <c r="X277" s="23"/>
      <c r="Y277" s="8"/>
      <c r="Z277" s="8"/>
      <c r="AA277" s="8"/>
      <c r="AB277" s="8"/>
      <c r="AC277" s="8"/>
    </row>
    <row r="278" customFormat="false" ht="15" hidden="false" customHeight="false" outlineLevel="0" collapsed="false">
      <c r="A278" s="9" t="n">
        <v>46304</v>
      </c>
      <c r="B278" s="11" t="s">
        <v>22</v>
      </c>
      <c r="C278" s="11" t="s">
        <v>23</v>
      </c>
      <c r="D278" s="11" t="s">
        <v>284</v>
      </c>
      <c r="E278" s="11" t="str">
        <f aca="false" t="array" ref="E278:E278">IF(D278="","",IFERROR(INDEX('CLM &amp; IM Mapping'!$B$2:$B$270,MATCH(TRIM(D278),'CLM &amp; IM Mapping'!$A$2:$A$270,0)),"Not Mapped"))</f>
        <v>Balaji G</v>
      </c>
      <c r="F278" s="11" t="str">
        <f aca="false" t="array" ref="F278:F278">IF(D278="","",IFERROR(INDEX('CLM &amp; IM Mapping'!$C$2:$C$270,MATCH(TRIM(D278),'CLM &amp; IM Mapping'!$A$2:$A$270,0)),"Not Mapped"))</f>
        <v>Mohammed Akbar</v>
      </c>
      <c r="G278" s="11" t="s">
        <v>34</v>
      </c>
      <c r="H278" s="10" t="n">
        <v>-5140</v>
      </c>
      <c r="I278" s="10" t="n">
        <v>8062</v>
      </c>
      <c r="J278" s="10" t="n">
        <v>0</v>
      </c>
      <c r="K278" s="10" t="n">
        <v>0</v>
      </c>
      <c r="L278" s="10" t="n">
        <v>1092</v>
      </c>
      <c r="M278" s="10" t="n">
        <v>0</v>
      </c>
      <c r="N278" s="10" t="n">
        <v>0</v>
      </c>
      <c r="O278" s="10" t="n">
        <v>0</v>
      </c>
      <c r="P278" s="10" t="n">
        <v>4014</v>
      </c>
      <c r="Q278" s="10"/>
      <c r="R278" s="10"/>
      <c r="S278" s="22"/>
      <c r="T278" s="11"/>
      <c r="U278" s="21"/>
      <c r="V278" s="15"/>
      <c r="W278" s="23"/>
      <c r="X278" s="23"/>
      <c r="Y278" s="8"/>
      <c r="Z278" s="8"/>
      <c r="AA278" s="8"/>
      <c r="AB278" s="8"/>
      <c r="AC278" s="8"/>
    </row>
    <row r="279" customFormat="false" ht="15" hidden="false" customHeight="false" outlineLevel="0" collapsed="false">
      <c r="A279" s="9" t="n">
        <v>46304</v>
      </c>
      <c r="B279" s="11" t="s">
        <v>22</v>
      </c>
      <c r="C279" s="11" t="s">
        <v>23</v>
      </c>
      <c r="D279" s="11" t="s">
        <v>331</v>
      </c>
      <c r="E279" s="11" t="str">
        <f aca="false" t="array" ref="E279:E279">IF(D279="","",IFERROR(INDEX('CLM &amp; IM Mapping'!$B$2:$B$270,MATCH(TRIM(D279),'CLM &amp; IM Mapping'!$A$2:$A$270,0)),"Not Mapped"))</f>
        <v>Vijay M</v>
      </c>
      <c r="F279" s="11" t="str">
        <f aca="false" t="array" ref="F279:F279">IF(D279="","",IFERROR(INDEX('CLM &amp; IM Mapping'!$C$2:$C$270,MATCH(TRIM(D279),'CLM &amp; IM Mapping'!$A$2:$A$270,0)),"Not Mapped"))</f>
        <v>Kantha Kumar</v>
      </c>
      <c r="G279" s="11" t="s">
        <v>34</v>
      </c>
      <c r="H279" s="10" t="n">
        <v>-22583</v>
      </c>
      <c r="I279" s="10" t="n">
        <v>19343</v>
      </c>
      <c r="J279" s="10" t="n">
        <v>166</v>
      </c>
      <c r="K279" s="10" t="n">
        <v>2072</v>
      </c>
      <c r="L279" s="10" t="n">
        <v>409</v>
      </c>
      <c r="M279" s="10" t="n">
        <v>0</v>
      </c>
      <c r="N279" s="10" t="n">
        <v>0</v>
      </c>
      <c r="O279" s="10" t="n">
        <v>0</v>
      </c>
      <c r="P279" s="10" t="n">
        <v>-593</v>
      </c>
      <c r="Q279" s="10"/>
      <c r="R279" s="11"/>
      <c r="S279" s="22"/>
      <c r="T279" s="11"/>
      <c r="U279" s="21"/>
      <c r="V279" s="15"/>
      <c r="W279" s="23"/>
      <c r="X279" s="23"/>
      <c r="Y279" s="8"/>
      <c r="Z279" s="8"/>
      <c r="AA279" s="8"/>
      <c r="AB279" s="8"/>
      <c r="AC279" s="8"/>
    </row>
    <row r="280" customFormat="false" ht="15" hidden="false" customHeight="false" outlineLevel="0" collapsed="false">
      <c r="A280" s="9" t="n">
        <v>46304</v>
      </c>
      <c r="B280" s="11" t="s">
        <v>22</v>
      </c>
      <c r="C280" s="11" t="s">
        <v>23</v>
      </c>
      <c r="D280" s="11" t="s">
        <v>168</v>
      </c>
      <c r="E280" s="11" t="str">
        <f aca="false" t="array" ref="E280:E280">IF(D280="","",IFERROR(INDEX('CLM &amp; IM Mapping'!$B$2:$B$270,MATCH(TRIM(D280),'CLM &amp; IM Mapping'!$A$2:$A$270,0)),"Not Mapped"))</f>
        <v>Vijay M</v>
      </c>
      <c r="F280" s="11" t="str">
        <f aca="false" t="array" ref="F280:F280">IF(D280="","",IFERROR(INDEX('CLM &amp; IM Mapping'!$C$2:$C$270,MATCH(TRIM(D280),'CLM &amp; IM Mapping'!$A$2:$A$270,0)),"Not Mapped"))</f>
        <v>Kantha Kumar</v>
      </c>
      <c r="G280" s="11" t="s">
        <v>34</v>
      </c>
      <c r="H280" s="10" t="n">
        <v>16534</v>
      </c>
      <c r="I280" s="10" t="n">
        <v>6038</v>
      </c>
      <c r="J280" s="10" t="n">
        <v>227</v>
      </c>
      <c r="K280" s="10" t="n">
        <v>334</v>
      </c>
      <c r="L280" s="10" t="n">
        <v>477</v>
      </c>
      <c r="M280" s="10" t="n">
        <v>0</v>
      </c>
      <c r="N280" s="10" t="n">
        <v>194</v>
      </c>
      <c r="O280" s="10" t="n">
        <v>188</v>
      </c>
      <c r="P280" s="10" t="n">
        <v>23992</v>
      </c>
      <c r="Q280" s="10"/>
      <c r="R280" s="10"/>
      <c r="S280" s="22"/>
      <c r="T280" s="11"/>
      <c r="U280" s="21"/>
      <c r="V280" s="15"/>
      <c r="W280" s="23"/>
      <c r="X280" s="23"/>
      <c r="Y280" s="8"/>
      <c r="Z280" s="8"/>
      <c r="AA280" s="8"/>
      <c r="AB280" s="8"/>
      <c r="AC280" s="8"/>
    </row>
    <row r="281" customFormat="false" ht="15" hidden="false" customHeight="false" outlineLevel="0" collapsed="false">
      <c r="A281" s="9" t="n">
        <v>46304</v>
      </c>
      <c r="B281" s="11" t="s">
        <v>22</v>
      </c>
      <c r="C281" s="11" t="s">
        <v>23</v>
      </c>
      <c r="D281" s="11" t="s">
        <v>219</v>
      </c>
      <c r="E281" s="11" t="str">
        <f aca="false" t="array" ref="E281:E281">IF(D281="","",IFERROR(INDEX('CLM &amp; IM Mapping'!$B$2:$B$270,MATCH(TRIM(D281),'CLM &amp; IM Mapping'!$A$2:$A$270,0)),"Not Mapped"))</f>
        <v>Arun Raj</v>
      </c>
      <c r="F281" s="11" t="str">
        <f aca="false" t="array" ref="F281:F281">IF(D281="","",IFERROR(INDEX('CLM &amp; IM Mapping'!$C$2:$C$270,MATCH(TRIM(D281),'CLM &amp; IM Mapping'!$A$2:$A$270,0)),"Not Mapped"))</f>
        <v>Simon Manoharan</v>
      </c>
      <c r="G281" s="11" t="s">
        <v>25</v>
      </c>
      <c r="H281" s="10" t="n">
        <v>6600</v>
      </c>
      <c r="I281" s="10" t="n">
        <v>11753</v>
      </c>
      <c r="J281" s="10" t="n">
        <v>0</v>
      </c>
      <c r="K281" s="10" t="n">
        <v>907</v>
      </c>
      <c r="L281" s="10" t="n">
        <v>1434</v>
      </c>
      <c r="M281" s="10" t="n">
        <v>0</v>
      </c>
      <c r="N281" s="10" t="n">
        <v>0</v>
      </c>
      <c r="O281" s="10" t="n">
        <v>0</v>
      </c>
      <c r="P281" s="10" t="n">
        <v>20694</v>
      </c>
      <c r="Q281" s="10"/>
      <c r="R281" s="10"/>
      <c r="S281" s="22"/>
      <c r="T281" s="11"/>
      <c r="U281" s="21"/>
      <c r="V281" s="15"/>
      <c r="W281" s="23"/>
      <c r="X281" s="23"/>
      <c r="Y281" s="8"/>
      <c r="Z281" s="8"/>
      <c r="AA281" s="8"/>
      <c r="AB281" s="8"/>
      <c r="AC281" s="8"/>
    </row>
    <row r="282" customFormat="false" ht="15" hidden="false" customHeight="false" outlineLevel="0" collapsed="false">
      <c r="A282" s="9" t="n">
        <v>46304</v>
      </c>
      <c r="B282" s="11" t="s">
        <v>22</v>
      </c>
      <c r="C282" s="11" t="s">
        <v>23</v>
      </c>
      <c r="D282" s="11" t="s">
        <v>403</v>
      </c>
      <c r="E282" s="11" t="str">
        <f aca="false" t="array" ref="E282:E282">IF(D282="","",IFERROR(INDEX('CLM &amp; IM Mapping'!$B$2:$B$270,MATCH(TRIM(D282),'CLM &amp; IM Mapping'!$A$2:$A$270,0)),"Not Mapped"))</f>
        <v>Narasimhamurthy R</v>
      </c>
      <c r="F282" s="11" t="str">
        <f aca="false" t="array" ref="F282:F282">IF(D282="","",IFERROR(INDEX('CLM &amp; IM Mapping'!$C$2:$C$270,MATCH(TRIM(D282),'CLM &amp; IM Mapping'!$A$2:$A$270,0)),"Not Mapped"))</f>
        <v>Kishor K</v>
      </c>
      <c r="G282" s="11" t="s">
        <v>34</v>
      </c>
      <c r="H282" s="10" t="n">
        <v>-25295</v>
      </c>
      <c r="I282" s="10" t="n">
        <v>9945</v>
      </c>
      <c r="J282" s="10" t="n">
        <v>127</v>
      </c>
      <c r="K282" s="10" t="n">
        <v>8508</v>
      </c>
      <c r="L282" s="10" t="n">
        <v>555</v>
      </c>
      <c r="M282" s="10" t="n">
        <v>0</v>
      </c>
      <c r="N282" s="10" t="n">
        <v>0</v>
      </c>
      <c r="O282" s="10" t="n">
        <v>0</v>
      </c>
      <c r="P282" s="10" t="n">
        <v>-6159</v>
      </c>
      <c r="Q282" s="10"/>
      <c r="R282" s="10"/>
      <c r="S282" s="22"/>
      <c r="T282" s="11"/>
      <c r="U282" s="21"/>
      <c r="V282" s="15"/>
      <c r="W282" s="23"/>
      <c r="X282" s="23"/>
      <c r="Y282" s="8"/>
      <c r="Z282" s="8"/>
      <c r="AA282" s="8"/>
      <c r="AB282" s="8"/>
      <c r="AC282" s="8"/>
    </row>
    <row r="283" customFormat="false" ht="15" hidden="false" customHeight="false" outlineLevel="0" collapsed="false">
      <c r="A283" s="9" t="n">
        <v>46304</v>
      </c>
      <c r="B283" s="11" t="s">
        <v>22</v>
      </c>
      <c r="C283" s="11" t="s">
        <v>23</v>
      </c>
      <c r="D283" s="11" t="s">
        <v>208</v>
      </c>
      <c r="E283" s="11" t="str">
        <f aca="false" t="array" ref="E283:E283">IF(D283="","",IFERROR(INDEX('CLM &amp; IM Mapping'!$B$2:$B$270,MATCH(TRIM(D283),'CLM &amp; IM Mapping'!$A$2:$A$270,0)),"Not Mapped"))</f>
        <v>Silambarasan E</v>
      </c>
      <c r="F283" s="11" t="str">
        <f aca="false" t="array" ref="F283:F283">IF(D283="","",IFERROR(INDEX('CLM &amp; IM Mapping'!$C$2:$C$270,MATCH(TRIM(D283),'CLM &amp; IM Mapping'!$A$2:$A$270,0)),"Not Mapped"))</f>
        <v>Arivind S</v>
      </c>
      <c r="G283" s="11" t="s">
        <v>34</v>
      </c>
      <c r="H283" s="10" t="n">
        <v>-6966</v>
      </c>
      <c r="I283" s="10" t="n">
        <v>15192</v>
      </c>
      <c r="J283" s="10" t="n">
        <v>599</v>
      </c>
      <c r="K283" s="10" t="n">
        <v>3456</v>
      </c>
      <c r="L283" s="10" t="n">
        <v>2730</v>
      </c>
      <c r="M283" s="10" t="n">
        <v>0</v>
      </c>
      <c r="N283" s="10" t="n">
        <v>179</v>
      </c>
      <c r="O283" s="10" t="n">
        <v>773</v>
      </c>
      <c r="P283" s="10" t="n">
        <v>15964</v>
      </c>
      <c r="Q283" s="10"/>
      <c r="R283" s="10"/>
      <c r="S283" s="22"/>
      <c r="T283" s="11"/>
      <c r="U283" s="21"/>
      <c r="V283" s="15"/>
      <c r="W283" s="23"/>
      <c r="X283" s="23"/>
      <c r="Y283" s="8"/>
      <c r="Z283" s="8"/>
      <c r="AA283" s="8"/>
      <c r="AB283" s="8"/>
      <c r="AC283" s="8"/>
    </row>
    <row r="284" customFormat="false" ht="15" hidden="false" customHeight="false" outlineLevel="0" collapsed="false">
      <c r="A284" s="9" t="n">
        <v>46304</v>
      </c>
      <c r="B284" s="11" t="s">
        <v>22</v>
      </c>
      <c r="C284" s="11" t="s">
        <v>23</v>
      </c>
      <c r="D284" s="11" t="s">
        <v>423</v>
      </c>
      <c r="E284" s="11" t="str">
        <f aca="false" t="array" ref="E284:E284">IF(D284="","",IFERROR(INDEX('CLM &amp; IM Mapping'!$B$2:$B$270,MATCH(TRIM(D284),'CLM &amp; IM Mapping'!$A$2:$A$270,0)),"Not Mapped"))</f>
        <v>Ashwath S</v>
      </c>
      <c r="F284" s="11" t="str">
        <f aca="false" t="array" ref="F284:F284">IF(D284="","",IFERROR(INDEX('CLM &amp; IM Mapping'!$C$2:$C$270,MATCH(TRIM(D284),'CLM &amp; IM Mapping'!$A$2:$A$270,0)),"Not Mapped"))</f>
        <v>Kantha Kumar</v>
      </c>
      <c r="G284" s="11" t="s">
        <v>34</v>
      </c>
      <c r="H284" s="10" t="n">
        <v>-6331</v>
      </c>
      <c r="I284" s="10" t="n">
        <v>0</v>
      </c>
      <c r="J284" s="10" t="n">
        <v>0</v>
      </c>
      <c r="K284" s="10" t="n">
        <v>0</v>
      </c>
      <c r="L284" s="10" t="n">
        <v>43</v>
      </c>
      <c r="M284" s="10" t="n">
        <v>0</v>
      </c>
      <c r="N284" s="10" t="n">
        <v>0</v>
      </c>
      <c r="O284" s="10" t="n">
        <v>194</v>
      </c>
      <c r="P284" s="10" t="n">
        <v>-6094</v>
      </c>
      <c r="Q284" s="10"/>
      <c r="R284" s="10"/>
      <c r="S284" s="22"/>
      <c r="T284" s="11"/>
      <c r="U284" s="21"/>
      <c r="V284" s="15"/>
      <c r="W284" s="23"/>
      <c r="X284" s="23"/>
      <c r="Y284" s="8"/>
      <c r="Z284" s="8"/>
      <c r="AA284" s="8"/>
      <c r="AB284" s="8"/>
      <c r="AC284" s="8"/>
    </row>
    <row r="285" customFormat="false" ht="15" hidden="false" customHeight="false" outlineLevel="0" collapsed="false">
      <c r="A285" s="9" t="n">
        <v>46304</v>
      </c>
      <c r="B285" s="11" t="s">
        <v>22</v>
      </c>
      <c r="C285" s="11" t="s">
        <v>303</v>
      </c>
      <c r="D285" s="11" t="s">
        <v>319</v>
      </c>
      <c r="E285" s="11" t="str">
        <f aca="false" t="array" ref="E285:E285">IF(D285="","",IFERROR(INDEX('CLM &amp; IM Mapping'!$B$2:$B$270,MATCH(TRIM(D285),'CLM &amp; IM Mapping'!$A$2:$A$270,0)),"Not Mapped"))</f>
        <v>John Britto</v>
      </c>
      <c r="F285" s="11" t="str">
        <f aca="false" t="array" ref="F285:F285">IF(D285="","",IFERROR(INDEX('CLM &amp; IM Mapping'!$C$2:$C$270,MATCH(TRIM(D285),'CLM &amp; IM Mapping'!$A$2:$A$270,0)),"Not Mapped"))</f>
        <v>Aravind S</v>
      </c>
      <c r="G285" s="11" t="s">
        <v>34</v>
      </c>
      <c r="H285" s="10" t="n">
        <v>-955</v>
      </c>
      <c r="I285" s="10" t="n">
        <v>1074</v>
      </c>
      <c r="J285" s="10" t="n">
        <v>0</v>
      </c>
      <c r="K285" s="10" t="n">
        <v>0</v>
      </c>
      <c r="L285" s="10" t="n">
        <v>295</v>
      </c>
      <c r="M285" s="10" t="n">
        <v>0</v>
      </c>
      <c r="N285" s="10" t="n">
        <v>0</v>
      </c>
      <c r="O285" s="10" t="n">
        <v>0</v>
      </c>
      <c r="P285" s="10" t="n">
        <v>413</v>
      </c>
      <c r="Q285" s="10"/>
      <c r="R285" s="11"/>
      <c r="S285" s="22"/>
      <c r="T285" s="11"/>
      <c r="U285" s="21"/>
      <c r="V285" s="15"/>
      <c r="W285" s="23"/>
      <c r="X285" s="23"/>
      <c r="Y285" s="8"/>
      <c r="Z285" s="8"/>
      <c r="AA285" s="8"/>
      <c r="AB285" s="8"/>
      <c r="AC285" s="8"/>
    </row>
    <row r="286" customFormat="false" ht="15" hidden="false" customHeight="false" outlineLevel="0" collapsed="false">
      <c r="A286" s="9" t="n">
        <v>46304</v>
      </c>
      <c r="B286" s="11" t="s">
        <v>22</v>
      </c>
      <c r="C286" s="11" t="s">
        <v>221</v>
      </c>
      <c r="D286" s="11" t="s">
        <v>224</v>
      </c>
      <c r="E286" s="11" t="str">
        <f aca="false" t="array" ref="E286:E286">IF(D286="","",IFERROR(INDEX('CLM &amp; IM Mapping'!$B$2:$B$270,MATCH(TRIM(D286),'CLM &amp; IM Mapping'!$A$2:$A$270,0)),"Not Mapped"))</f>
        <v>Vishnu V</v>
      </c>
      <c r="F286" s="11" t="str">
        <f aca="false" t="array" ref="F286:F286">IF(D286="","",IFERROR(INDEX('CLM &amp; IM Mapping'!$C$2:$C$270,MATCH(TRIM(D286),'CLM &amp; IM Mapping'!$A$2:$A$270,0)),"Not Mapped"))</f>
        <v>Arivind S</v>
      </c>
      <c r="G286" s="11" t="s">
        <v>25</v>
      </c>
      <c r="H286" s="10" t="n">
        <v>3154</v>
      </c>
      <c r="I286" s="10" t="n">
        <v>18888</v>
      </c>
      <c r="J286" s="10" t="n">
        <v>0</v>
      </c>
      <c r="K286" s="10" t="n">
        <v>0</v>
      </c>
      <c r="L286" s="10" t="n">
        <v>0</v>
      </c>
      <c r="M286" s="10" t="n">
        <v>0</v>
      </c>
      <c r="N286" s="10" t="n">
        <v>0</v>
      </c>
      <c r="O286" s="10" t="n">
        <v>0</v>
      </c>
      <c r="P286" s="10" t="n">
        <v>22042</v>
      </c>
      <c r="Q286" s="10"/>
      <c r="R286" s="10"/>
      <c r="S286" s="22"/>
      <c r="T286" s="11"/>
      <c r="U286" s="21"/>
      <c r="V286" s="15"/>
      <c r="W286" s="23"/>
      <c r="X286" s="23"/>
      <c r="Y286" s="8"/>
      <c r="Z286" s="8"/>
      <c r="AA286" s="8"/>
      <c r="AB286" s="8"/>
      <c r="AC286" s="8"/>
    </row>
    <row r="287" customFormat="false" ht="15" hidden="false" customHeight="false" outlineLevel="0" collapsed="false">
      <c r="A287" s="9" t="n">
        <v>46304</v>
      </c>
      <c r="B287" s="11" t="s">
        <v>22</v>
      </c>
      <c r="C287" s="11" t="s">
        <v>23</v>
      </c>
      <c r="D287" s="11" t="s">
        <v>367</v>
      </c>
      <c r="E287" s="11" t="str">
        <f aca="false" t="array" ref="E287:E287">IF(D287="","",IFERROR(INDEX('CLM &amp; IM Mapping'!$B$2:$B$270,MATCH(TRIM(D287),'CLM &amp; IM Mapping'!$A$2:$A$270,0)),"Not Mapped"))</f>
        <v>Akshay P</v>
      </c>
      <c r="F287" s="11" t="str">
        <f aca="false" t="array" ref="F287:F287">IF(D287="","",IFERROR(INDEX('CLM &amp; IM Mapping'!$C$2:$C$270,MATCH(TRIM(D287),'CLM &amp; IM Mapping'!$A$2:$A$270,0)),"Not Mapped"))</f>
        <v>Srittam Dhal</v>
      </c>
      <c r="G287" s="11" t="s">
        <v>34</v>
      </c>
      <c r="H287" s="10" t="n">
        <v>0</v>
      </c>
      <c r="I287" s="10" t="n">
        <v>0</v>
      </c>
      <c r="J287" s="10" t="n">
        <v>0</v>
      </c>
      <c r="K287" s="10" t="n">
        <v>0</v>
      </c>
      <c r="L287" s="10" t="n">
        <v>0</v>
      </c>
      <c r="M287" s="10" t="n">
        <v>0</v>
      </c>
      <c r="N287" s="10" t="n">
        <v>0</v>
      </c>
      <c r="O287" s="10" t="n">
        <v>0</v>
      </c>
      <c r="P287" s="10" t="n">
        <v>0</v>
      </c>
      <c r="Q287" s="11"/>
      <c r="R287" s="11"/>
      <c r="S287" s="19"/>
      <c r="T287" s="11"/>
      <c r="U287" s="21"/>
      <c r="V287" s="15"/>
      <c r="W287" s="23"/>
      <c r="X287" s="23"/>
      <c r="Y287" s="8"/>
      <c r="Z287" s="8"/>
      <c r="AA287" s="8"/>
      <c r="AB287" s="8"/>
      <c r="AC287" s="8"/>
    </row>
    <row r="288" customFormat="false" ht="15" hidden="false" customHeight="false" outlineLevel="0" collapsed="false">
      <c r="A288" s="9" t="n">
        <v>46304</v>
      </c>
      <c r="B288" s="11" t="s">
        <v>22</v>
      </c>
      <c r="C288" s="11" t="s">
        <v>221</v>
      </c>
      <c r="D288" s="11" t="s">
        <v>316</v>
      </c>
      <c r="E288" s="11" t="str">
        <f aca="false" t="array" ref="E288:E288">IF(D288="","",IFERROR(INDEX('CLM &amp; IM Mapping'!$B$2:$B$270,MATCH(TRIM(D288),'CLM &amp; IM Mapping'!$A$2:$A$270,0)),"Not Mapped"))</f>
        <v>Vishnu V</v>
      </c>
      <c r="F288" s="11" t="str">
        <f aca="false" t="array" ref="F288:F288">IF(D288="","",IFERROR(INDEX('CLM &amp; IM Mapping'!$C$2:$C$270,MATCH(TRIM(D288),'CLM &amp; IM Mapping'!$A$2:$A$270,0)),"Not Mapped"))</f>
        <v>Arivind S</v>
      </c>
      <c r="G288" s="11" t="s">
        <v>34</v>
      </c>
      <c r="H288" s="10" t="n">
        <v>-3349</v>
      </c>
      <c r="I288" s="10" t="n">
        <v>9598</v>
      </c>
      <c r="J288" s="10" t="n">
        <v>0</v>
      </c>
      <c r="K288" s="10" t="n">
        <v>0</v>
      </c>
      <c r="L288" s="10" t="n">
        <v>30</v>
      </c>
      <c r="M288" s="10" t="n">
        <v>0</v>
      </c>
      <c r="N288" s="10" t="n">
        <v>0</v>
      </c>
      <c r="O288" s="10" t="n">
        <v>0</v>
      </c>
      <c r="P288" s="10" t="n">
        <v>6279</v>
      </c>
      <c r="Q288" s="10"/>
      <c r="R288" s="10"/>
      <c r="S288" s="22"/>
      <c r="T288" s="11"/>
      <c r="U288" s="21"/>
      <c r="V288" s="15"/>
      <c r="W288" s="23"/>
      <c r="X288" s="23"/>
      <c r="Y288" s="8"/>
      <c r="Z288" s="8"/>
      <c r="AA288" s="8"/>
      <c r="AB288" s="8"/>
      <c r="AC288" s="8"/>
    </row>
    <row r="289" customFormat="false" ht="15" hidden="false" customHeight="false" outlineLevel="0" collapsed="false">
      <c r="A289" s="9" t="n">
        <v>46304</v>
      </c>
      <c r="B289" s="11" t="s">
        <v>22</v>
      </c>
      <c r="C289" s="11" t="s">
        <v>23</v>
      </c>
      <c r="D289" s="11" t="s">
        <v>481</v>
      </c>
      <c r="E289" s="11" t="str">
        <f aca="false" t="array" ref="E289:E289">IF(D289="","",IFERROR(INDEX('CLM &amp; IM Mapping'!$B$2:$B$270,MATCH(TRIM(D289),'CLM &amp; IM Mapping'!$A$2:$A$270,0)),"Not Mapped"))</f>
        <v>Akshay P</v>
      </c>
      <c r="F289" s="11" t="str">
        <f aca="false" t="array" ref="F289:F289">IF(D289="","",IFERROR(INDEX('CLM &amp; IM Mapping'!$C$2:$C$270,MATCH(TRIM(D289),'CLM &amp; IM Mapping'!$A$2:$A$270,0)),"Not Mapped"))</f>
        <v>Srittam Dhal</v>
      </c>
      <c r="G289" s="11" t="s">
        <v>34</v>
      </c>
      <c r="H289" s="10" t="n">
        <v>-12989</v>
      </c>
      <c r="I289" s="10" t="n">
        <v>0</v>
      </c>
      <c r="J289" s="10" t="n">
        <v>0</v>
      </c>
      <c r="K289" s="10" t="n">
        <v>0</v>
      </c>
      <c r="L289" s="10" t="n">
        <v>937</v>
      </c>
      <c r="M289" s="10" t="n">
        <v>0</v>
      </c>
      <c r="N289" s="10" t="n">
        <v>0</v>
      </c>
      <c r="O289" s="10" t="n">
        <v>0</v>
      </c>
      <c r="P289" s="10" t="n">
        <v>-12053</v>
      </c>
      <c r="Q289" s="10"/>
      <c r="R289" s="10"/>
      <c r="S289" s="22"/>
      <c r="T289" s="11"/>
      <c r="U289" s="21"/>
      <c r="V289" s="15"/>
      <c r="W289" s="23"/>
      <c r="X289" s="23"/>
      <c r="Y289" s="8"/>
      <c r="Z289" s="8"/>
      <c r="AA289" s="8"/>
      <c r="AB289" s="8"/>
      <c r="AC289" s="8"/>
    </row>
    <row r="290" customFormat="false" ht="15" hidden="false" customHeight="false" outlineLevel="0" collapsed="false">
      <c r="A290" s="9" t="n">
        <v>46304</v>
      </c>
      <c r="B290" s="11" t="s">
        <v>22</v>
      </c>
      <c r="C290" s="11" t="s">
        <v>23</v>
      </c>
      <c r="D290" s="11" t="s">
        <v>272</v>
      </c>
      <c r="E290" s="11" t="str">
        <f aca="false" t="array" ref="E290:E290">IF(D290="","",IFERROR(INDEX('CLM &amp; IM Mapping'!$B$2:$B$270,MATCH(TRIM(D290),'CLM &amp; IM Mapping'!$A$2:$A$270,0)),"Not Mapped"))</f>
        <v>Arun Raj</v>
      </c>
      <c r="F290" s="11" t="str">
        <f aca="false" t="array" ref="F290:F290">IF(D290="","",IFERROR(INDEX('CLM &amp; IM Mapping'!$C$2:$C$270,MATCH(TRIM(D290),'CLM &amp; IM Mapping'!$A$2:$A$270,0)),"Not Mapped"))</f>
        <v>Simon Manoharan</v>
      </c>
      <c r="G290" s="11" t="s">
        <v>25</v>
      </c>
      <c r="H290" s="10" t="n">
        <v>-3261</v>
      </c>
      <c r="I290" s="10" t="n">
        <v>7685</v>
      </c>
      <c r="J290" s="10" t="n">
        <v>0</v>
      </c>
      <c r="K290" s="10" t="n">
        <v>272</v>
      </c>
      <c r="L290" s="10" t="n">
        <v>4587</v>
      </c>
      <c r="M290" s="10" t="n">
        <v>0</v>
      </c>
      <c r="N290" s="10" t="n">
        <v>0</v>
      </c>
      <c r="O290" s="10" t="n">
        <v>0</v>
      </c>
      <c r="P290" s="10" t="n">
        <v>9283</v>
      </c>
      <c r="Q290" s="10"/>
      <c r="R290" s="10"/>
      <c r="S290" s="22"/>
      <c r="T290" s="11"/>
      <c r="U290" s="21"/>
      <c r="V290" s="15"/>
      <c r="W290" s="23"/>
      <c r="X290" s="23"/>
      <c r="Y290" s="8"/>
      <c r="Z290" s="8"/>
      <c r="AA290" s="8"/>
      <c r="AB290" s="8"/>
      <c r="AC290" s="8"/>
    </row>
    <row r="291" customFormat="false" ht="15" hidden="false" customHeight="false" outlineLevel="0" collapsed="false">
      <c r="A291" s="9" t="n">
        <v>46304</v>
      </c>
      <c r="B291" s="11" t="s">
        <v>22</v>
      </c>
      <c r="C291" s="11" t="s">
        <v>23</v>
      </c>
      <c r="D291" s="11" t="s">
        <v>171</v>
      </c>
      <c r="E291" s="11" t="str">
        <f aca="false" t="array" ref="E291:E291">IF(D291="","",IFERROR(INDEX('CLM &amp; IM Mapping'!$B$2:$B$270,MATCH(TRIM(D291),'CLM &amp; IM Mapping'!$A$2:$A$270,0)),"Not Mapped"))</f>
        <v>Ashwath S</v>
      </c>
      <c r="F291" s="11" t="str">
        <f aca="false" t="array" ref="F291:F291">IF(D291="","",IFERROR(INDEX('CLM &amp; IM Mapping'!$C$2:$C$270,MATCH(TRIM(D291),'CLM &amp; IM Mapping'!$A$2:$A$270,0)),"Not Mapped"))</f>
        <v>Kantha Kumar</v>
      </c>
      <c r="G291" s="11" t="s">
        <v>34</v>
      </c>
      <c r="H291" s="10" t="n">
        <v>14622</v>
      </c>
      <c r="I291" s="10" t="n">
        <v>12481</v>
      </c>
      <c r="J291" s="10" t="n">
        <v>497</v>
      </c>
      <c r="K291" s="10" t="n">
        <v>2098</v>
      </c>
      <c r="L291" s="10" t="n">
        <v>609</v>
      </c>
      <c r="M291" s="10" t="n">
        <v>0</v>
      </c>
      <c r="N291" s="10" t="n">
        <v>0</v>
      </c>
      <c r="O291" s="10" t="n">
        <v>0</v>
      </c>
      <c r="P291" s="10" t="n">
        <v>30307</v>
      </c>
      <c r="Q291" s="10"/>
      <c r="R291" s="10"/>
      <c r="S291" s="22"/>
      <c r="T291" s="11"/>
      <c r="U291" s="21"/>
      <c r="V291" s="15"/>
      <c r="W291" s="23"/>
      <c r="X291" s="23"/>
      <c r="Y291" s="8"/>
      <c r="Z291" s="8"/>
      <c r="AA291" s="8"/>
      <c r="AB291" s="8"/>
      <c r="AC291" s="8"/>
    </row>
    <row r="292" customFormat="false" ht="15" hidden="false" customHeight="false" outlineLevel="0" collapsed="false">
      <c r="A292" s="9" t="n">
        <v>46304</v>
      </c>
      <c r="B292" s="11" t="s">
        <v>22</v>
      </c>
      <c r="C292" s="11" t="s">
        <v>23</v>
      </c>
      <c r="D292" s="11" t="s">
        <v>312</v>
      </c>
      <c r="E292" s="11" t="str">
        <f aca="false" t="array" ref="E292:E292">IF(D292="","",IFERROR(INDEX('CLM &amp; IM Mapping'!$B$2:$B$270,MATCH(TRIM(D292),'CLM &amp; IM Mapping'!$A$2:$A$270,0)),"Not Mapped"))</f>
        <v>Manoj Kj</v>
      </c>
      <c r="F292" s="11" t="str">
        <f aca="false" t="array" ref="F292:F292">IF(D292="","",IFERROR(INDEX('CLM &amp; IM Mapping'!$C$2:$C$270,MATCH(TRIM(D292),'CLM &amp; IM Mapping'!$A$2:$A$270,0)),"Not Mapped"))</f>
        <v>Srittam Dhal</v>
      </c>
      <c r="G292" s="11" t="s">
        <v>34</v>
      </c>
      <c r="H292" s="10" t="n">
        <v>-6051</v>
      </c>
      <c r="I292" s="10" t="n">
        <v>11489</v>
      </c>
      <c r="J292" s="10" t="n">
        <v>0</v>
      </c>
      <c r="K292" s="10" t="n">
        <v>0</v>
      </c>
      <c r="L292" s="10" t="n">
        <v>0</v>
      </c>
      <c r="M292" s="10" t="n">
        <v>0</v>
      </c>
      <c r="N292" s="10" t="n">
        <v>260</v>
      </c>
      <c r="O292" s="10" t="n">
        <v>0</v>
      </c>
      <c r="P292" s="10" t="n">
        <v>5698</v>
      </c>
      <c r="Q292" s="10"/>
      <c r="R292" s="10"/>
      <c r="S292" s="22"/>
      <c r="T292" s="11"/>
      <c r="U292" s="21"/>
      <c r="V292" s="15"/>
      <c r="W292" s="23"/>
      <c r="X292" s="23"/>
      <c r="Y292" s="8"/>
      <c r="Z292" s="8"/>
      <c r="AA292" s="8"/>
      <c r="AB292" s="8"/>
      <c r="AC292" s="8"/>
    </row>
    <row r="293" customFormat="false" ht="15" hidden="false" customHeight="false" outlineLevel="0" collapsed="false">
      <c r="A293" s="9" t="n">
        <v>46304</v>
      </c>
      <c r="B293" s="11" t="s">
        <v>22</v>
      </c>
      <c r="C293" s="11" t="s">
        <v>23</v>
      </c>
      <c r="D293" s="11" t="s">
        <v>293</v>
      </c>
      <c r="E293" s="11" t="str">
        <f aca="false" t="array" ref="E293:E293">IF(D293="","",IFERROR(INDEX('CLM &amp; IM Mapping'!$B$2:$B$270,MATCH(TRIM(D293),'CLM &amp; IM Mapping'!$A$2:$A$270,0)),"Not Mapped"))</f>
        <v>Suhas N</v>
      </c>
      <c r="F293" s="11" t="str">
        <f aca="false" t="array" ref="F293:F293">IF(D293="","",IFERROR(INDEX('CLM &amp; IM Mapping'!$C$2:$C$270,MATCH(TRIM(D293),'CLM &amp; IM Mapping'!$A$2:$A$270,0)),"Not Mapped"))</f>
        <v>Aravind S</v>
      </c>
      <c r="G293" s="11" t="s">
        <v>34</v>
      </c>
      <c r="H293" s="10" t="n">
        <v>-5165</v>
      </c>
      <c r="I293" s="10" t="n">
        <v>5643</v>
      </c>
      <c r="J293" s="10" t="n">
        <v>0</v>
      </c>
      <c r="K293" s="10" t="n">
        <v>9806</v>
      </c>
      <c r="L293" s="10" t="n">
        <v>143</v>
      </c>
      <c r="M293" s="10" t="n">
        <v>0</v>
      </c>
      <c r="N293" s="10" t="n">
        <v>0</v>
      </c>
      <c r="O293" s="10" t="n">
        <v>0</v>
      </c>
      <c r="P293" s="10" t="n">
        <v>10426</v>
      </c>
      <c r="Q293" s="10"/>
      <c r="R293" s="10"/>
      <c r="S293" s="22"/>
      <c r="T293" s="11"/>
      <c r="U293" s="21"/>
      <c r="V293" s="15"/>
      <c r="W293" s="23"/>
      <c r="X293" s="23"/>
      <c r="Y293" s="8"/>
      <c r="Z293" s="8"/>
      <c r="AA293" s="8"/>
      <c r="AB293" s="8"/>
      <c r="AC293" s="8"/>
    </row>
    <row r="294" customFormat="false" ht="15" hidden="false" customHeight="false" outlineLevel="0" collapsed="false">
      <c r="A294" s="9" t="n">
        <v>46304</v>
      </c>
      <c r="B294" s="11" t="s">
        <v>22</v>
      </c>
      <c r="C294" s="11" t="s">
        <v>23</v>
      </c>
      <c r="D294" s="11" t="s">
        <v>435</v>
      </c>
      <c r="E294" s="11" t="str">
        <f aca="false" t="array" ref="E294:E294">IF(D294="","",IFERROR(INDEX('CLM &amp; IM Mapping'!$B$2:$B$270,MATCH(TRIM(D294),'CLM &amp; IM Mapping'!$A$2:$A$270,0)),"Not Mapped"))</f>
        <v>Balaji G</v>
      </c>
      <c r="F294" s="11" t="str">
        <f aca="false" t="array" ref="F294:F294">IF(D294="","",IFERROR(INDEX('CLM &amp; IM Mapping'!$C$2:$C$270,MATCH(TRIM(D294),'CLM &amp; IM Mapping'!$A$2:$A$270,0)),"Not Mapped"))</f>
        <v>Mohammed Akbar</v>
      </c>
      <c r="G294" s="11" t="s">
        <v>34</v>
      </c>
      <c r="H294" s="10" t="n">
        <v>-13160</v>
      </c>
      <c r="I294" s="10" t="n">
        <v>5082</v>
      </c>
      <c r="J294" s="10" t="n">
        <v>0</v>
      </c>
      <c r="K294" s="10" t="n">
        <v>916</v>
      </c>
      <c r="L294" s="10" t="n">
        <v>119</v>
      </c>
      <c r="M294" s="10" t="n">
        <v>0</v>
      </c>
      <c r="N294" s="10" t="n">
        <v>0</v>
      </c>
      <c r="O294" s="10" t="n">
        <v>0</v>
      </c>
      <c r="P294" s="10" t="n">
        <v>-7044</v>
      </c>
      <c r="Q294" s="10"/>
      <c r="R294" s="10"/>
      <c r="S294" s="22"/>
      <c r="T294" s="11"/>
      <c r="U294" s="21"/>
      <c r="V294" s="15"/>
      <c r="W294" s="23"/>
      <c r="X294" s="23"/>
      <c r="Y294" s="8"/>
      <c r="Z294" s="8"/>
      <c r="AA294" s="8"/>
      <c r="AB294" s="8"/>
      <c r="AC294" s="8"/>
    </row>
    <row r="295" customFormat="false" ht="29.85" hidden="false" customHeight="false" outlineLevel="0" collapsed="false">
      <c r="A295" s="9" t="n">
        <v>46304</v>
      </c>
      <c r="B295" s="11" t="s">
        <v>22</v>
      </c>
      <c r="C295" s="11" t="s">
        <v>23</v>
      </c>
      <c r="D295" s="11" t="s">
        <v>105</v>
      </c>
      <c r="E295" s="11" t="str">
        <f aca="false" t="array" ref="E295:E295">IF(D295="","",IFERROR(INDEX('CLM &amp; IM Mapping'!$B$2:$B$270,MATCH(TRIM(D295),'CLM &amp; IM Mapping'!$A$2:$A$270,0)),"Not Mapped"))</f>
        <v>Suhas N</v>
      </c>
      <c r="F295" s="11" t="str">
        <f aca="false" t="array" ref="F295:F295">IF(D295="","",IFERROR(INDEX('CLM &amp; IM Mapping'!$C$2:$C$270,MATCH(TRIM(D295),'CLM &amp; IM Mapping'!$A$2:$A$270,0)),"Not Mapped"))</f>
        <v>Aravind S</v>
      </c>
      <c r="G295" s="11" t="s">
        <v>34</v>
      </c>
      <c r="H295" s="10" t="n">
        <v>-3631</v>
      </c>
      <c r="I295" s="10" t="n">
        <v>10918</v>
      </c>
      <c r="J295" s="10" t="n">
        <v>0</v>
      </c>
      <c r="K295" s="10" t="n">
        <v>779</v>
      </c>
      <c r="L295" s="10" t="n">
        <v>3095</v>
      </c>
      <c r="M295" s="10" t="n">
        <v>0</v>
      </c>
      <c r="N295" s="10" t="n">
        <v>0</v>
      </c>
      <c r="O295" s="10" t="n">
        <v>105</v>
      </c>
      <c r="P295" s="10" t="n">
        <v>11266</v>
      </c>
      <c r="Q295" s="12" t="s">
        <v>106</v>
      </c>
      <c r="R295" s="11" t="s">
        <v>107</v>
      </c>
      <c r="S295" s="12" t="s">
        <v>108</v>
      </c>
      <c r="T295" s="15" t="s">
        <v>109</v>
      </c>
      <c r="U295" s="21"/>
      <c r="V295" s="15"/>
      <c r="W295" s="23"/>
      <c r="X295" s="23"/>
      <c r="Y295" s="8"/>
      <c r="Z295" s="8"/>
      <c r="AA295" s="8"/>
      <c r="AB295" s="8"/>
      <c r="AC295" s="8"/>
    </row>
    <row r="296" customFormat="false" ht="15" hidden="false" customHeight="false" outlineLevel="0" collapsed="false">
      <c r="A296" s="9" t="n">
        <v>46304</v>
      </c>
      <c r="B296" s="11" t="s">
        <v>22</v>
      </c>
      <c r="C296" s="11" t="s">
        <v>221</v>
      </c>
      <c r="D296" s="11" t="s">
        <v>411</v>
      </c>
      <c r="E296" s="11" t="str">
        <f aca="false" t="array" ref="E296:E296">IF(D296="","",IFERROR(INDEX('CLM &amp; IM Mapping'!$B$2:$B$270,MATCH(TRIM(D296),'CLM &amp; IM Mapping'!$A$2:$A$270,0)),"Not Mapped"))</f>
        <v>Vishnu V</v>
      </c>
      <c r="F296" s="11" t="str">
        <f aca="false" t="array" ref="F296:F296">IF(D296="","",IFERROR(INDEX('CLM &amp; IM Mapping'!$C$2:$C$270,MATCH(TRIM(D296),'CLM &amp; IM Mapping'!$A$2:$A$270,0)),"Not Mapped"))</f>
        <v>Arivind S</v>
      </c>
      <c r="G296" s="11" t="s">
        <v>34</v>
      </c>
      <c r="H296" s="10" t="n">
        <v>-2788</v>
      </c>
      <c r="I296" s="10" t="n">
        <v>216</v>
      </c>
      <c r="J296" s="10" t="n">
        <v>0</v>
      </c>
      <c r="K296" s="10" t="n">
        <v>0</v>
      </c>
      <c r="L296" s="10" t="n">
        <v>86</v>
      </c>
      <c r="M296" s="10" t="n">
        <v>0</v>
      </c>
      <c r="N296" s="10" t="n">
        <v>0</v>
      </c>
      <c r="O296" s="10" t="n">
        <v>0</v>
      </c>
      <c r="P296" s="10" t="n">
        <v>-2486</v>
      </c>
      <c r="Q296" s="10"/>
      <c r="R296" s="10"/>
      <c r="S296" s="22"/>
      <c r="T296" s="11"/>
      <c r="U296" s="21"/>
      <c r="V296" s="15"/>
      <c r="W296" s="23"/>
      <c r="X296" s="23"/>
      <c r="Y296" s="8"/>
      <c r="Z296" s="8"/>
      <c r="AA296" s="8"/>
      <c r="AB296" s="8"/>
      <c r="AC296" s="8"/>
    </row>
    <row r="297" customFormat="false" ht="15" hidden="false" customHeight="false" outlineLevel="0" collapsed="false">
      <c r="A297" s="9" t="n">
        <v>46304</v>
      </c>
      <c r="B297" s="11" t="s">
        <v>22</v>
      </c>
      <c r="C297" s="11" t="s">
        <v>23</v>
      </c>
      <c r="D297" s="11" t="s">
        <v>156</v>
      </c>
      <c r="E297" s="11" t="str">
        <f aca="false" t="array" ref="E297:E297">IF(D297="","",IFERROR(INDEX('CLM &amp; IM Mapping'!$B$2:$B$270,MATCH(TRIM(D297),'CLM &amp; IM Mapping'!$A$2:$A$270,0)),"Not Mapped"))</f>
        <v>Manoj Kj</v>
      </c>
      <c r="F297" s="11" t="str">
        <f aca="false" t="array" ref="F297:F297">IF(D297="","",IFERROR(INDEX('CLM &amp; IM Mapping'!$C$2:$C$270,MATCH(TRIM(D297),'CLM &amp; IM Mapping'!$A$2:$A$270,0)),"Not Mapped"))</f>
        <v>Srittam Dhal</v>
      </c>
      <c r="G297" s="11" t="s">
        <v>34</v>
      </c>
      <c r="H297" s="10" t="n">
        <v>13686</v>
      </c>
      <c r="I297" s="10" t="n">
        <v>7090</v>
      </c>
      <c r="J297" s="10" t="n">
        <v>0</v>
      </c>
      <c r="K297" s="10" t="n">
        <v>0</v>
      </c>
      <c r="L297" s="10" t="n">
        <v>463</v>
      </c>
      <c r="M297" s="10" t="n">
        <v>0</v>
      </c>
      <c r="N297" s="10" t="n">
        <v>0</v>
      </c>
      <c r="O297" s="10" t="n">
        <v>0</v>
      </c>
      <c r="P297" s="10" t="n">
        <v>21239</v>
      </c>
      <c r="Q297" s="10"/>
      <c r="R297" s="10"/>
      <c r="S297" s="22"/>
      <c r="T297" s="11"/>
      <c r="U297" s="21"/>
      <c r="V297" s="15"/>
      <c r="W297" s="23"/>
      <c r="X297" s="23"/>
      <c r="Y297" s="8"/>
      <c r="Z297" s="8"/>
      <c r="AA297" s="8"/>
      <c r="AB297" s="8"/>
      <c r="AC297" s="8"/>
    </row>
    <row r="298" customFormat="false" ht="15" hidden="false" customHeight="false" outlineLevel="0" collapsed="false">
      <c r="A298" s="9" t="n">
        <v>46304</v>
      </c>
      <c r="B298" s="11" t="s">
        <v>22</v>
      </c>
      <c r="C298" s="11" t="s">
        <v>23</v>
      </c>
      <c r="D298" s="11" t="s">
        <v>254</v>
      </c>
      <c r="E298" s="11" t="str">
        <f aca="false" t="array" ref="E298:E298">IF(D298="","",IFERROR(INDEX('CLM &amp; IM Mapping'!$B$2:$B$270,MATCH(TRIM(D298),'CLM &amp; IM Mapping'!$A$2:$A$270,0)),"Not Mapped"))</f>
        <v>Basil Scariya</v>
      </c>
      <c r="F298" s="11" t="str">
        <f aca="false" t="array" ref="F298:F298">IF(D298="","",IFERROR(INDEX('CLM &amp; IM Mapping'!$C$2:$C$270,MATCH(TRIM(D298),'CLM &amp; IM Mapping'!$A$2:$A$270,0)),"Not Mapped"))</f>
        <v>Prakash BS</v>
      </c>
      <c r="G298" s="11" t="s">
        <v>34</v>
      </c>
      <c r="H298" s="10" t="n">
        <v>-22859</v>
      </c>
      <c r="I298" s="10" t="n">
        <v>20124</v>
      </c>
      <c r="J298" s="10" t="n">
        <v>0</v>
      </c>
      <c r="K298" s="10" t="n">
        <v>874</v>
      </c>
      <c r="L298" s="10" t="n">
        <v>3563</v>
      </c>
      <c r="M298" s="10" t="n">
        <v>0</v>
      </c>
      <c r="N298" s="10" t="n">
        <v>2507</v>
      </c>
      <c r="O298" s="10" t="n">
        <v>0</v>
      </c>
      <c r="P298" s="10" t="n">
        <v>4208</v>
      </c>
      <c r="Q298" s="10"/>
      <c r="R298" s="10"/>
      <c r="S298" s="12" t="s">
        <v>255</v>
      </c>
      <c r="T298" s="11" t="n">
        <v>4000</v>
      </c>
      <c r="U298" s="21"/>
      <c r="V298" s="15"/>
      <c r="W298" s="23"/>
      <c r="X298" s="23"/>
      <c r="Y298" s="8"/>
      <c r="Z298" s="8"/>
      <c r="AA298" s="8"/>
      <c r="AB298" s="8"/>
      <c r="AC298" s="8"/>
    </row>
    <row r="299" customFormat="false" ht="15" hidden="false" customHeight="false" outlineLevel="0" collapsed="false">
      <c r="A299" s="9" t="n">
        <v>46304</v>
      </c>
      <c r="B299" s="11" t="s">
        <v>22</v>
      </c>
      <c r="C299" s="11" t="s">
        <v>23</v>
      </c>
      <c r="D299" s="11" t="s">
        <v>518</v>
      </c>
      <c r="E299" s="11" t="str">
        <f aca="false" t="array" ref="E299:E299">IF(D299="","",IFERROR(INDEX('CLM &amp; IM Mapping'!$B$2:$B$270,MATCH(TRIM(D299),'CLM &amp; IM Mapping'!$A$2:$A$270,0)),"Not Mapped"))</f>
        <v>Basil Scariya</v>
      </c>
      <c r="F299" s="11" t="str">
        <f aca="false" t="array" ref="F299:F299">IF(D299="","",IFERROR(INDEX('CLM &amp; IM Mapping'!$C$2:$C$270,MATCH(TRIM(D299),'CLM &amp; IM Mapping'!$A$2:$A$270,0)),"Not Mapped"))</f>
        <v>Prakash BS</v>
      </c>
      <c r="G299" s="11" t="s">
        <v>34</v>
      </c>
      <c r="H299" s="10" t="n">
        <v>-38992</v>
      </c>
      <c r="I299" s="10" t="n">
        <v>5448</v>
      </c>
      <c r="J299" s="10" t="n">
        <v>0</v>
      </c>
      <c r="K299" s="10" t="n">
        <v>4381</v>
      </c>
      <c r="L299" s="10" t="n">
        <v>263</v>
      </c>
      <c r="M299" s="10" t="n">
        <v>0</v>
      </c>
      <c r="N299" s="10" t="n">
        <v>0</v>
      </c>
      <c r="O299" s="10" t="n">
        <v>0</v>
      </c>
      <c r="P299" s="10" t="n">
        <v>-28900</v>
      </c>
      <c r="Q299" s="10"/>
      <c r="R299" s="10"/>
      <c r="S299" s="22" t="s">
        <v>534</v>
      </c>
      <c r="T299" s="11"/>
      <c r="U299" s="21"/>
      <c r="V299" s="15"/>
      <c r="W299" s="23"/>
      <c r="X299" s="23"/>
      <c r="Y299" s="8"/>
      <c r="Z299" s="8"/>
      <c r="AA299" s="8"/>
      <c r="AB299" s="8"/>
      <c r="AC299" s="8"/>
    </row>
    <row r="300" customFormat="false" ht="15" hidden="false" customHeight="false" outlineLevel="0" collapsed="false">
      <c r="A300" s="9" t="n">
        <v>46304</v>
      </c>
      <c r="B300" s="11" t="s">
        <v>22</v>
      </c>
      <c r="C300" s="11" t="s">
        <v>23</v>
      </c>
      <c r="D300" s="11" t="s">
        <v>320</v>
      </c>
      <c r="E300" s="11" t="str">
        <f aca="false" t="array" ref="E300:E300">IF(D300="","",IFERROR(INDEX('CLM &amp; IM Mapping'!$B$2:$B$270,MATCH(TRIM(D300),'CLM &amp; IM Mapping'!$A$2:$A$270,0)),"Not Mapped"))</f>
        <v>Ashwath S</v>
      </c>
      <c r="F300" s="11" t="str">
        <f aca="false" t="array" ref="F300:F300">IF(D300="","",IFERROR(INDEX('CLM &amp; IM Mapping'!$C$2:$C$270,MATCH(TRIM(D300),'CLM &amp; IM Mapping'!$A$2:$A$270,0)),"Not Mapped"))</f>
        <v>Kantha Kumar</v>
      </c>
      <c r="G300" s="11" t="s">
        <v>34</v>
      </c>
      <c r="H300" s="10" t="n">
        <v>-6245</v>
      </c>
      <c r="I300" s="10" t="n">
        <v>8136</v>
      </c>
      <c r="J300" s="10" t="n">
        <v>1302</v>
      </c>
      <c r="K300" s="10" t="n">
        <v>2188</v>
      </c>
      <c r="L300" s="10" t="n">
        <v>0</v>
      </c>
      <c r="M300" s="10" t="n">
        <v>0</v>
      </c>
      <c r="N300" s="10" t="n">
        <v>0</v>
      </c>
      <c r="O300" s="10" t="n">
        <v>0</v>
      </c>
      <c r="P300" s="10" t="n">
        <v>5381</v>
      </c>
      <c r="Q300" s="10"/>
      <c r="R300" s="10"/>
      <c r="S300" s="22"/>
      <c r="T300" s="11"/>
      <c r="U300" s="21"/>
      <c r="V300" s="15"/>
      <c r="W300" s="23"/>
      <c r="X300" s="23"/>
      <c r="Y300" s="8"/>
      <c r="Z300" s="8"/>
      <c r="AA300" s="8"/>
      <c r="AB300" s="8"/>
      <c r="AC300" s="8"/>
    </row>
    <row r="301" customFormat="false" ht="15" hidden="false" customHeight="false" outlineLevel="0" collapsed="false">
      <c r="A301" s="9" t="n">
        <v>46304</v>
      </c>
      <c r="B301" s="11" t="s">
        <v>22</v>
      </c>
      <c r="C301" s="11" t="s">
        <v>23</v>
      </c>
      <c r="D301" s="11" t="s">
        <v>516</v>
      </c>
      <c r="E301" s="11" t="str">
        <f aca="false" t="array" ref="E301:E301">IF(D301="","",IFERROR(INDEX('CLM &amp; IM Mapping'!$B$2:$B$270,MATCH(TRIM(D301),'CLM &amp; IM Mapping'!$A$2:$A$270,0)),"Not Mapped"))</f>
        <v>Sundaresh S</v>
      </c>
      <c r="F301" s="11" t="str">
        <f aca="false" t="array" ref="F301:F301">IF(D301="","",IFERROR(INDEX('CLM &amp; IM Mapping'!$C$2:$C$270,MATCH(TRIM(D301),'CLM &amp; IM Mapping'!$A$2:$A$270,0)),"Not Mapped"))</f>
        <v>Un Mapped</v>
      </c>
      <c r="G301" s="11" t="s">
        <v>34</v>
      </c>
      <c r="H301" s="10" t="n">
        <v>-25795</v>
      </c>
      <c r="I301" s="10" t="n">
        <v>1507</v>
      </c>
      <c r="J301" s="10" t="n">
        <v>434</v>
      </c>
      <c r="K301" s="10" t="n">
        <v>527</v>
      </c>
      <c r="L301" s="10" t="n">
        <v>23</v>
      </c>
      <c r="M301" s="10" t="n">
        <v>0</v>
      </c>
      <c r="N301" s="10" t="n">
        <v>404</v>
      </c>
      <c r="O301" s="10" t="n">
        <v>0</v>
      </c>
      <c r="P301" s="10" t="n">
        <v>-22900</v>
      </c>
      <c r="Q301" s="10"/>
      <c r="R301" s="10"/>
      <c r="S301" s="22"/>
      <c r="T301" s="11"/>
      <c r="U301" s="21"/>
      <c r="V301" s="15"/>
      <c r="W301" s="23"/>
      <c r="X301" s="23"/>
      <c r="Y301" s="8"/>
      <c r="Z301" s="8"/>
      <c r="AA301" s="8"/>
      <c r="AB301" s="8"/>
      <c r="AC301" s="8"/>
    </row>
    <row r="302" customFormat="false" ht="15" hidden="false" customHeight="false" outlineLevel="0" collapsed="false">
      <c r="A302" s="9" t="n">
        <v>46304</v>
      </c>
      <c r="B302" s="11" t="s">
        <v>22</v>
      </c>
      <c r="C302" s="11" t="s">
        <v>23</v>
      </c>
      <c r="D302" s="11" t="s">
        <v>298</v>
      </c>
      <c r="E302" s="11" t="str">
        <f aca="false" t="array" ref="E302:E302">IF(D302="","",IFERROR(INDEX('CLM &amp; IM Mapping'!$B$2:$B$270,MATCH(TRIM(D302),'CLM &amp; IM Mapping'!$A$2:$A$270,0)),"Not Mapped"))</f>
        <v>Ravishankar gowda</v>
      </c>
      <c r="F302" s="11" t="str">
        <f aca="false" t="array" ref="F302:F302">IF(D302="","",IFERROR(INDEX('CLM &amp; IM Mapping'!$C$2:$C$270,MATCH(TRIM(D302),'CLM &amp; IM Mapping'!$A$2:$A$270,0)),"Not Mapped"))</f>
        <v>Kishor K</v>
      </c>
      <c r="G302" s="11" t="s">
        <v>34</v>
      </c>
      <c r="H302" s="10" t="n">
        <v>-8963</v>
      </c>
      <c r="I302" s="10" t="n">
        <v>8665</v>
      </c>
      <c r="J302" s="10" t="n">
        <v>0</v>
      </c>
      <c r="K302" s="10" t="n">
        <v>882</v>
      </c>
      <c r="L302" s="10" t="n">
        <v>209</v>
      </c>
      <c r="M302" s="10" t="n">
        <v>0</v>
      </c>
      <c r="N302" s="10" t="n">
        <v>0</v>
      </c>
      <c r="O302" s="10" t="n">
        <v>0</v>
      </c>
      <c r="P302" s="10" t="n">
        <v>793</v>
      </c>
      <c r="Q302" s="10"/>
      <c r="R302" s="11"/>
      <c r="S302" s="22" t="s">
        <v>533</v>
      </c>
      <c r="T302" s="11" t="n">
        <v>2000</v>
      </c>
      <c r="U302" s="21"/>
      <c r="V302" s="15"/>
      <c r="W302" s="23"/>
      <c r="X302" s="23"/>
      <c r="Y302" s="8"/>
      <c r="Z302" s="8"/>
      <c r="AA302" s="8"/>
      <c r="AB302" s="8"/>
      <c r="AC302" s="8"/>
    </row>
    <row r="303" customFormat="false" ht="15" hidden="false" customHeight="false" outlineLevel="0" collapsed="false">
      <c r="A303" s="9" t="n">
        <v>46304</v>
      </c>
      <c r="B303" s="11" t="s">
        <v>22</v>
      </c>
      <c r="C303" s="11" t="s">
        <v>23</v>
      </c>
      <c r="D303" s="11" t="s">
        <v>235</v>
      </c>
      <c r="E303" s="11" t="str">
        <f aca="false" t="array" ref="E303:E303">IF(D303="","",IFERROR(INDEX('CLM &amp; IM Mapping'!$B$2:$B$270,MATCH(TRIM(D303),'CLM &amp; IM Mapping'!$A$2:$A$270,0)),"Not Mapped"))</f>
        <v>Akshay P</v>
      </c>
      <c r="F303" s="11" t="str">
        <f aca="false" t="array" ref="F303:F303">IF(D303="","",IFERROR(INDEX('CLM &amp; IM Mapping'!$C$2:$C$270,MATCH(TRIM(D303),'CLM &amp; IM Mapping'!$A$2:$A$270,0)),"Not Mapped"))</f>
        <v>Srittam Dhal</v>
      </c>
      <c r="G303" s="11" t="s">
        <v>34</v>
      </c>
      <c r="H303" s="10" t="n">
        <v>11466</v>
      </c>
      <c r="I303" s="10" t="n">
        <v>1815</v>
      </c>
      <c r="J303" s="10" t="n">
        <v>51</v>
      </c>
      <c r="K303" s="10" t="n">
        <v>111</v>
      </c>
      <c r="L303" s="10" t="n">
        <v>1054</v>
      </c>
      <c r="M303" s="10" t="n">
        <v>0</v>
      </c>
      <c r="N303" s="10" t="n">
        <v>0</v>
      </c>
      <c r="O303" s="10" t="n">
        <v>0</v>
      </c>
      <c r="P303" s="10" t="n">
        <v>14496</v>
      </c>
      <c r="Q303" s="10"/>
      <c r="R303" s="10"/>
      <c r="S303" s="22"/>
      <c r="T303" s="11"/>
      <c r="U303" s="21"/>
      <c r="V303" s="15"/>
      <c r="W303" s="23"/>
      <c r="X303" s="23"/>
      <c r="Y303" s="8"/>
      <c r="Z303" s="8"/>
      <c r="AA303" s="8"/>
      <c r="AB303" s="8"/>
      <c r="AC303" s="8"/>
    </row>
    <row r="304" customFormat="false" ht="15" hidden="false" customHeight="false" outlineLevel="0" collapsed="false">
      <c r="A304" s="9" t="n">
        <v>46304</v>
      </c>
      <c r="B304" s="11" t="s">
        <v>22</v>
      </c>
      <c r="C304" s="11" t="s">
        <v>23</v>
      </c>
      <c r="D304" s="11" t="s">
        <v>407</v>
      </c>
      <c r="E304" s="11" t="str">
        <f aca="false" t="array" ref="E304:E304">IF(D304="","",IFERROR(INDEX('CLM &amp; IM Mapping'!$B$2:$B$270,MATCH(TRIM(D304),'CLM &amp; IM Mapping'!$A$2:$A$270,0)),"Not Mapped"))</f>
        <v>Rizwan Ahmed</v>
      </c>
      <c r="F304" s="11" t="str">
        <f aca="false" t="array" ref="F304:F304">IF(D304="","",IFERROR(INDEX('CLM &amp; IM Mapping'!$C$2:$C$270,MATCH(TRIM(D304),'CLM &amp; IM Mapping'!$A$2:$A$270,0)),"Not Mapped"))</f>
        <v>Un Mapped</v>
      </c>
      <c r="G304" s="11" t="s">
        <v>34</v>
      </c>
      <c r="H304" s="10" t="n">
        <v>-7722</v>
      </c>
      <c r="I304" s="10" t="n">
        <v>2556</v>
      </c>
      <c r="J304" s="10" t="n">
        <v>0</v>
      </c>
      <c r="K304" s="10" t="n">
        <v>0</v>
      </c>
      <c r="L304" s="10" t="n">
        <v>45</v>
      </c>
      <c r="M304" s="10" t="n">
        <v>0</v>
      </c>
      <c r="N304" s="10" t="n">
        <v>0</v>
      </c>
      <c r="O304" s="10" t="n">
        <v>0</v>
      </c>
      <c r="P304" s="10" t="n">
        <v>-5121</v>
      </c>
      <c r="Q304" s="10"/>
      <c r="R304" s="10"/>
      <c r="S304" s="22"/>
      <c r="T304" s="11"/>
      <c r="U304" s="21"/>
      <c r="V304" s="15"/>
      <c r="W304" s="23"/>
      <c r="X304" s="23"/>
      <c r="Y304" s="8"/>
      <c r="Z304" s="8"/>
      <c r="AA304" s="8"/>
      <c r="AB304" s="8"/>
      <c r="AC304" s="8"/>
    </row>
    <row r="305" customFormat="false" ht="44" hidden="false" customHeight="false" outlineLevel="0" collapsed="false">
      <c r="A305" s="9" t="n">
        <v>46304</v>
      </c>
      <c r="B305" s="11" t="s">
        <v>22</v>
      </c>
      <c r="C305" s="11" t="s">
        <v>23</v>
      </c>
      <c r="D305" s="11" t="s">
        <v>73</v>
      </c>
      <c r="E305" s="11" t="str">
        <f aca="false" t="array" ref="E305:E305">IF(D305="","",IFERROR(INDEX('CLM &amp; IM Mapping'!$B$2:$B$270,MATCH(TRIM(D305),'CLM &amp; IM Mapping'!$A$2:$A$270,0)),"Not Mapped"))</f>
        <v>Narasimhamurthy R</v>
      </c>
      <c r="F305" s="11" t="str">
        <f aca="false" t="array" ref="F305:F305">IF(D305="","",IFERROR(INDEX('CLM &amp; IM Mapping'!$C$2:$C$270,MATCH(TRIM(D305),'CLM &amp; IM Mapping'!$A$2:$A$270,0)),"Not Mapped"))</f>
        <v>Kishor K</v>
      </c>
      <c r="G305" s="11" t="s">
        <v>34</v>
      </c>
      <c r="H305" s="10" t="n">
        <v>28034</v>
      </c>
      <c r="I305" s="10" t="n">
        <v>23089</v>
      </c>
      <c r="J305" s="10" t="n">
        <v>0</v>
      </c>
      <c r="K305" s="10" t="n">
        <v>1790</v>
      </c>
      <c r="L305" s="10" t="n">
        <v>593</v>
      </c>
      <c r="M305" s="10" t="n">
        <v>0</v>
      </c>
      <c r="N305" s="10" t="n">
        <v>0</v>
      </c>
      <c r="O305" s="10" t="n">
        <v>0</v>
      </c>
      <c r="P305" s="10" t="n">
        <v>53506</v>
      </c>
      <c r="Q305" s="10"/>
      <c r="R305" s="10"/>
      <c r="S305" s="22" t="s">
        <v>535</v>
      </c>
      <c r="T305" s="15" t="n">
        <v>40000</v>
      </c>
      <c r="U305" s="21"/>
      <c r="V305" s="15"/>
      <c r="W305" s="23"/>
      <c r="X305" s="23"/>
      <c r="Y305" s="8"/>
      <c r="Z305" s="8"/>
      <c r="AA305" s="8"/>
      <c r="AB305" s="8"/>
      <c r="AC305" s="8"/>
    </row>
    <row r="306" customFormat="false" ht="15" hidden="false" customHeight="false" outlineLevel="0" collapsed="false">
      <c r="A306" s="9" t="n">
        <v>46304</v>
      </c>
      <c r="B306" s="11" t="s">
        <v>22</v>
      </c>
      <c r="C306" s="11" t="s">
        <v>23</v>
      </c>
      <c r="D306" s="11" t="s">
        <v>89</v>
      </c>
      <c r="E306" s="11" t="str">
        <f aca="false" t="array" ref="E306:E306">IF(D306="","",IFERROR(INDEX('CLM &amp; IM Mapping'!$B$2:$B$270,MATCH(TRIM(D306),'CLM &amp; IM Mapping'!$A$2:$A$270,0)),"Not Mapped"))</f>
        <v>Raghavendra Vernekar</v>
      </c>
      <c r="F306" s="11" t="str">
        <f aca="false" t="array" ref="F306:F306">IF(D306="","",IFERROR(INDEX('CLM &amp; IM Mapping'!$C$2:$C$270,MATCH(TRIM(D306),'CLM &amp; IM Mapping'!$A$2:$A$270,0)),"Not Mapped"))</f>
        <v>Prakash BS</v>
      </c>
      <c r="G306" s="11" t="s">
        <v>34</v>
      </c>
      <c r="H306" s="10" t="n">
        <v>-38302</v>
      </c>
      <c r="I306" s="10" t="n">
        <v>2149</v>
      </c>
      <c r="J306" s="10" t="n">
        <v>0</v>
      </c>
      <c r="K306" s="10" t="n">
        <v>0</v>
      </c>
      <c r="L306" s="10" t="n">
        <v>170</v>
      </c>
      <c r="M306" s="10" t="n">
        <v>0</v>
      </c>
      <c r="N306" s="10" t="n">
        <v>41414</v>
      </c>
      <c r="O306" s="10" t="n">
        <v>0</v>
      </c>
      <c r="P306" s="10" t="n">
        <v>5430</v>
      </c>
      <c r="Q306" s="10"/>
      <c r="R306" s="10"/>
      <c r="S306" s="22" t="s">
        <v>536</v>
      </c>
      <c r="T306" s="11"/>
      <c r="U306" s="21"/>
      <c r="V306" s="15"/>
      <c r="W306" s="23"/>
      <c r="X306" s="23"/>
      <c r="Y306" s="8"/>
      <c r="Z306" s="8"/>
      <c r="AA306" s="8"/>
      <c r="AB306" s="8"/>
      <c r="AC306" s="8"/>
    </row>
    <row r="307" customFormat="false" ht="15" hidden="false" customHeight="false" outlineLevel="0" collapsed="false">
      <c r="A307" s="9" t="n">
        <v>46304</v>
      </c>
      <c r="B307" s="11" t="s">
        <v>22</v>
      </c>
      <c r="C307" s="11" t="s">
        <v>23</v>
      </c>
      <c r="D307" s="11" t="s">
        <v>186</v>
      </c>
      <c r="E307" s="11" t="str">
        <f aca="false" t="array" ref="E307:E307">IF(D307="","",IFERROR(INDEX('CLM &amp; IM Mapping'!$B$2:$B$270,MATCH(TRIM(D307),'CLM &amp; IM Mapping'!$A$2:$A$270,0)),"Not Mapped"))</f>
        <v>Silambarasan E</v>
      </c>
      <c r="F307" s="11" t="str">
        <f aca="false" t="array" ref="F307:F307">IF(D307="","",IFERROR(INDEX('CLM &amp; IM Mapping'!$C$2:$C$270,MATCH(TRIM(D307),'CLM &amp; IM Mapping'!$A$2:$A$270,0)),"Not Mapped"))</f>
        <v>Arivind S</v>
      </c>
      <c r="G307" s="11" t="s">
        <v>34</v>
      </c>
      <c r="H307" s="10" t="n">
        <v>1338</v>
      </c>
      <c r="I307" s="10" t="n">
        <v>1465</v>
      </c>
      <c r="J307" s="10" t="n">
        <v>38</v>
      </c>
      <c r="K307" s="10" t="n">
        <v>0</v>
      </c>
      <c r="L307" s="10" t="n">
        <v>1221</v>
      </c>
      <c r="M307" s="10" t="n">
        <v>0</v>
      </c>
      <c r="N307" s="10" t="n">
        <v>0</v>
      </c>
      <c r="O307" s="10" t="n">
        <v>1341</v>
      </c>
      <c r="P307" s="10" t="n">
        <v>5403</v>
      </c>
      <c r="Q307" s="10"/>
      <c r="R307" s="10"/>
      <c r="S307" s="22"/>
      <c r="T307" s="11"/>
      <c r="U307" s="21"/>
      <c r="V307" s="15"/>
      <c r="W307" s="23"/>
      <c r="X307" s="23"/>
      <c r="Y307" s="8"/>
      <c r="Z307" s="8"/>
      <c r="AA307" s="8"/>
      <c r="AB307" s="8"/>
      <c r="AC307" s="8"/>
    </row>
    <row r="308" customFormat="false" ht="15" hidden="false" customHeight="false" outlineLevel="0" collapsed="false">
      <c r="A308" s="9" t="n">
        <v>46304</v>
      </c>
      <c r="B308" s="11" t="s">
        <v>22</v>
      </c>
      <c r="C308" s="11" t="s">
        <v>23</v>
      </c>
      <c r="D308" s="11" t="s">
        <v>317</v>
      </c>
      <c r="E308" s="11" t="str">
        <f aca="false" t="array" ref="E308:E308">IF(D308="","",IFERROR(INDEX('CLM &amp; IM Mapping'!$B$2:$B$270,MATCH(TRIM(D308),'CLM &amp; IM Mapping'!$A$2:$A$270,0)),"Not Mapped"))</f>
        <v>Akshay P</v>
      </c>
      <c r="F308" s="11" t="str">
        <f aca="false" t="array" ref="F308:F308">IF(D308="","",IFERROR(INDEX('CLM &amp; IM Mapping'!$C$2:$C$270,MATCH(TRIM(D308),'CLM &amp; IM Mapping'!$A$2:$A$270,0)),"Not Mapped"))</f>
        <v>Srittam Dhal</v>
      </c>
      <c r="G308" s="11" t="s">
        <v>34</v>
      </c>
      <c r="H308" s="10" t="n">
        <v>-679</v>
      </c>
      <c r="I308" s="10" t="n">
        <v>10452</v>
      </c>
      <c r="J308" s="10" t="n">
        <v>0</v>
      </c>
      <c r="K308" s="10" t="n">
        <v>0</v>
      </c>
      <c r="L308" s="10" t="n">
        <v>2313</v>
      </c>
      <c r="M308" s="10" t="n">
        <v>0</v>
      </c>
      <c r="N308" s="10" t="n">
        <v>0</v>
      </c>
      <c r="O308" s="10" t="n">
        <v>0</v>
      </c>
      <c r="P308" s="10" t="n">
        <v>12086</v>
      </c>
      <c r="Q308" s="10"/>
      <c r="R308" s="10"/>
      <c r="S308" s="22"/>
      <c r="T308" s="11"/>
      <c r="U308" s="21"/>
      <c r="V308" s="15"/>
      <c r="W308" s="23"/>
      <c r="X308" s="23"/>
      <c r="Y308" s="8"/>
      <c r="Z308" s="8"/>
      <c r="AA308" s="8"/>
      <c r="AB308" s="8"/>
      <c r="AC308" s="8"/>
    </row>
    <row r="309" customFormat="false" ht="15" hidden="false" customHeight="false" outlineLevel="0" collapsed="false">
      <c r="A309" s="9" t="n">
        <v>46304</v>
      </c>
      <c r="B309" s="11" t="s">
        <v>22</v>
      </c>
      <c r="C309" s="11" t="s">
        <v>23</v>
      </c>
      <c r="D309" s="11" t="s">
        <v>33</v>
      </c>
      <c r="E309" s="11" t="str">
        <f aca="false" t="array" ref="E309:E309">IF(D309="","",IFERROR(INDEX('CLM &amp; IM Mapping'!$B$2:$B$270,MATCH(TRIM(D309),'CLM &amp; IM Mapping'!$A$2:$A$270,0)),"Not Mapped"))</f>
        <v>Manoj Kj</v>
      </c>
      <c r="F309" s="11" t="str">
        <f aca="false" t="array" ref="F309:F309">IF(D309="","",IFERROR(INDEX('CLM &amp; IM Mapping'!$C$2:$C$270,MATCH(TRIM(D309),'CLM &amp; IM Mapping'!$A$2:$A$270,0)),"Not Mapped"))</f>
        <v>Srittam Dhal</v>
      </c>
      <c r="G309" s="11" t="s">
        <v>34</v>
      </c>
      <c r="H309" s="10" t="n">
        <v>-111161</v>
      </c>
      <c r="I309" s="10" t="n">
        <v>0</v>
      </c>
      <c r="J309" s="10" t="n">
        <v>0</v>
      </c>
      <c r="K309" s="10" t="n">
        <v>193525</v>
      </c>
      <c r="L309" s="10" t="n">
        <v>0</v>
      </c>
      <c r="M309" s="10" t="n">
        <v>0</v>
      </c>
      <c r="N309" s="10" t="n">
        <v>0</v>
      </c>
      <c r="O309" s="10" t="n">
        <v>1470</v>
      </c>
      <c r="P309" s="10" t="n">
        <v>83834</v>
      </c>
      <c r="Q309" s="10"/>
      <c r="R309" s="10"/>
      <c r="S309" s="22"/>
      <c r="T309" s="11"/>
      <c r="U309" s="21"/>
      <c r="V309" s="15"/>
      <c r="W309" s="23"/>
      <c r="X309" s="23"/>
      <c r="Y309" s="8"/>
      <c r="Z309" s="8"/>
      <c r="AA309" s="8"/>
      <c r="AB309" s="8"/>
      <c r="AC309" s="8"/>
    </row>
    <row r="310" customFormat="false" ht="15" hidden="false" customHeight="false" outlineLevel="0" collapsed="false">
      <c r="A310" s="9" t="n">
        <v>46304</v>
      </c>
      <c r="B310" s="11" t="s">
        <v>22</v>
      </c>
      <c r="C310" s="11" t="s">
        <v>23</v>
      </c>
      <c r="D310" s="11" t="s">
        <v>357</v>
      </c>
      <c r="E310" s="11" t="str">
        <f aca="false" t="array" ref="E310:E310">IF(D310="","",IFERROR(INDEX('CLM &amp; IM Mapping'!$B$2:$B$270,MATCH(TRIM(D310),'CLM &amp; IM Mapping'!$A$2:$A$270,0)),"Not Mapped"))</f>
        <v>Arun Raj</v>
      </c>
      <c r="F310" s="11" t="str">
        <f aca="false" t="array" ref="F310:F310">IF(D310="","",IFERROR(INDEX('CLM &amp; IM Mapping'!$C$2:$C$270,MATCH(TRIM(D310),'CLM &amp; IM Mapping'!$A$2:$A$270,0)),"Not Mapped"))</f>
        <v>Simon Manoharan</v>
      </c>
      <c r="G310" s="11" t="s">
        <v>25</v>
      </c>
      <c r="H310" s="10" t="n">
        <v>-3447</v>
      </c>
      <c r="I310" s="10" t="n">
        <v>4754</v>
      </c>
      <c r="J310" s="10" t="n">
        <v>0</v>
      </c>
      <c r="K310" s="10" t="n">
        <v>0</v>
      </c>
      <c r="L310" s="10" t="n">
        <v>2014</v>
      </c>
      <c r="M310" s="10" t="n">
        <v>0</v>
      </c>
      <c r="N310" s="10" t="n">
        <v>0</v>
      </c>
      <c r="O310" s="10" t="n">
        <v>0</v>
      </c>
      <c r="P310" s="10" t="n">
        <v>3322</v>
      </c>
      <c r="Q310" s="10"/>
      <c r="R310" s="10"/>
      <c r="S310" s="22"/>
      <c r="T310" s="11"/>
      <c r="U310" s="21"/>
      <c r="V310" s="15"/>
      <c r="W310" s="23"/>
      <c r="X310" s="23"/>
      <c r="Y310" s="8"/>
      <c r="Z310" s="8"/>
      <c r="AA310" s="8"/>
      <c r="AB310" s="8"/>
      <c r="AC310" s="8"/>
    </row>
    <row r="311" customFormat="false" ht="15" hidden="false" customHeight="false" outlineLevel="0" collapsed="false">
      <c r="A311" s="9" t="n">
        <v>46304</v>
      </c>
      <c r="B311" s="11" t="s">
        <v>22</v>
      </c>
      <c r="C311" s="11" t="s">
        <v>23</v>
      </c>
      <c r="D311" s="11" t="s">
        <v>279</v>
      </c>
      <c r="E311" s="11" t="str">
        <f aca="false" t="array" ref="E311:E311">IF(D311="","",IFERROR(INDEX('CLM &amp; IM Mapping'!$B$2:$B$270,MATCH(TRIM(D311),'CLM &amp; IM Mapping'!$A$2:$A$270,0)),"Not Mapped"))</f>
        <v>Rizwan Ahmed</v>
      </c>
      <c r="F311" s="11" t="str">
        <f aca="false" t="array" ref="F311:F311">IF(D311="","",IFERROR(INDEX('CLM &amp; IM Mapping'!$C$2:$C$270,MATCH(TRIM(D311),'CLM &amp; IM Mapping'!$A$2:$A$270,0)),"Not Mapped"))</f>
        <v>Un Mapped</v>
      </c>
      <c r="G311" s="11" t="s">
        <v>34</v>
      </c>
      <c r="H311" s="10" t="n">
        <v>7814</v>
      </c>
      <c r="I311" s="10" t="n">
        <v>4747</v>
      </c>
      <c r="J311" s="10" t="n">
        <v>0</v>
      </c>
      <c r="K311" s="10" t="n">
        <v>0</v>
      </c>
      <c r="L311" s="10" t="n">
        <v>0</v>
      </c>
      <c r="M311" s="10" t="n">
        <v>0</v>
      </c>
      <c r="N311" s="10" t="n">
        <v>0</v>
      </c>
      <c r="O311" s="10" t="n">
        <v>0</v>
      </c>
      <c r="P311" s="10" t="n">
        <v>12561</v>
      </c>
      <c r="Q311" s="10"/>
      <c r="R311" s="10"/>
      <c r="S311" s="22"/>
      <c r="T311" s="11"/>
      <c r="U311" s="21"/>
      <c r="V311" s="15"/>
      <c r="W311" s="23"/>
      <c r="X311" s="23"/>
      <c r="Y311" s="8"/>
      <c r="Z311" s="8"/>
      <c r="AA311" s="8"/>
      <c r="AB311" s="8"/>
      <c r="AC311" s="8"/>
    </row>
    <row r="312" customFormat="false" ht="15" hidden="false" customHeight="false" outlineLevel="0" collapsed="false">
      <c r="A312" s="9" t="n">
        <v>46304</v>
      </c>
      <c r="B312" s="11" t="s">
        <v>22</v>
      </c>
      <c r="C312" s="11" t="s">
        <v>23</v>
      </c>
      <c r="D312" s="11" t="s">
        <v>486</v>
      </c>
      <c r="E312" s="11" t="str">
        <f aca="false" t="array" ref="E312:E312">IF(D312="","",IFERROR(INDEX('CLM &amp; IM Mapping'!$B$2:$B$270,MATCH(TRIM(D312),'CLM &amp; IM Mapping'!$A$2:$A$270,0)),"Not Mapped"))</f>
        <v>Balaji G</v>
      </c>
      <c r="F312" s="11" t="str">
        <f aca="false" t="array" ref="F312:F312">IF(D312="","",IFERROR(INDEX('CLM &amp; IM Mapping'!$C$2:$C$270,MATCH(TRIM(D312),'CLM &amp; IM Mapping'!$A$2:$A$270,0)),"Not Mapped"))</f>
        <v>Mohammed Akbar</v>
      </c>
      <c r="G312" s="11" t="s">
        <v>34</v>
      </c>
      <c r="H312" s="10" t="n">
        <v>-29714</v>
      </c>
      <c r="I312" s="10" t="n">
        <v>16702</v>
      </c>
      <c r="J312" s="10" t="n">
        <v>0</v>
      </c>
      <c r="K312" s="10" t="n">
        <v>0</v>
      </c>
      <c r="L312" s="10" t="n">
        <v>493</v>
      </c>
      <c r="M312" s="10" t="n">
        <v>0</v>
      </c>
      <c r="N312" s="10" t="n">
        <v>0</v>
      </c>
      <c r="O312" s="10" t="n">
        <v>0</v>
      </c>
      <c r="P312" s="10" t="n">
        <v>-12519</v>
      </c>
      <c r="Q312" s="10"/>
      <c r="R312" s="10"/>
      <c r="S312" s="22"/>
      <c r="T312" s="11"/>
      <c r="U312" s="21"/>
      <c r="V312" s="15"/>
      <c r="W312" s="23"/>
      <c r="X312" s="23"/>
      <c r="Y312" s="8"/>
      <c r="Z312" s="8"/>
      <c r="AA312" s="8"/>
      <c r="AB312" s="8"/>
      <c r="AC312" s="8"/>
    </row>
    <row r="313" customFormat="false" ht="15" hidden="false" customHeight="false" outlineLevel="0" collapsed="false">
      <c r="A313" s="9" t="n">
        <v>46304</v>
      </c>
      <c r="B313" s="11" t="s">
        <v>22</v>
      </c>
      <c r="C313" s="11" t="s">
        <v>23</v>
      </c>
      <c r="D313" s="11" t="s">
        <v>250</v>
      </c>
      <c r="E313" s="11" t="str">
        <f aca="false" t="array" ref="E313:E313">IF(D313="","",IFERROR(INDEX('CLM &amp; IM Mapping'!$B$2:$B$270,MATCH(TRIM(D313),'CLM &amp; IM Mapping'!$A$2:$A$270,0)),"Not Mapped"))</f>
        <v>Akshay P</v>
      </c>
      <c r="F313" s="11" t="str">
        <f aca="false" t="array" ref="F313:F313">IF(D313="","",IFERROR(INDEX('CLM &amp; IM Mapping'!$C$2:$C$270,MATCH(TRIM(D313),'CLM &amp; IM Mapping'!$A$2:$A$270,0)),"Not Mapped"))</f>
        <v>Srittam Dhal</v>
      </c>
      <c r="G313" s="11" t="s">
        <v>34</v>
      </c>
      <c r="H313" s="10" t="n">
        <v>-3868</v>
      </c>
      <c r="I313" s="10" t="n">
        <v>14209</v>
      </c>
      <c r="J313" s="10" t="n">
        <v>0</v>
      </c>
      <c r="K313" s="10" t="n">
        <v>0</v>
      </c>
      <c r="L313" s="10" t="n">
        <v>313</v>
      </c>
      <c r="M313" s="10" t="n">
        <v>0</v>
      </c>
      <c r="N313" s="10" t="n">
        <v>0</v>
      </c>
      <c r="O313" s="10" t="n">
        <v>0</v>
      </c>
      <c r="P313" s="10" t="n">
        <v>10654</v>
      </c>
      <c r="Q313" s="10"/>
      <c r="R313" s="10"/>
      <c r="S313" s="22"/>
      <c r="T313" s="11"/>
      <c r="U313" s="21"/>
      <c r="V313" s="15"/>
      <c r="W313" s="23"/>
      <c r="X313" s="23"/>
      <c r="Y313" s="8"/>
      <c r="Z313" s="8"/>
      <c r="AA313" s="8"/>
      <c r="AB313" s="8"/>
      <c r="AC313" s="8"/>
    </row>
    <row r="314" customFormat="false" ht="15" hidden="false" customHeight="false" outlineLevel="0" collapsed="false">
      <c r="A314" s="9" t="n">
        <v>46304</v>
      </c>
      <c r="B314" s="11" t="s">
        <v>22</v>
      </c>
      <c r="C314" s="11" t="s">
        <v>23</v>
      </c>
      <c r="D314" s="11" t="s">
        <v>314</v>
      </c>
      <c r="E314" s="11" t="str">
        <f aca="false" t="array" ref="E314:E314">IF(D314="","",IFERROR(INDEX('CLM &amp; IM Mapping'!$B$2:$B$270,MATCH(TRIM(D314),'CLM &amp; IM Mapping'!$A$2:$A$270,0)),"Not Mapped"))</f>
        <v>Basil Scariya</v>
      </c>
      <c r="F314" s="11" t="str">
        <f aca="false" t="array" ref="F314:F314">IF(D314="","",IFERROR(INDEX('CLM &amp; IM Mapping'!$C$2:$C$270,MATCH(TRIM(D314),'CLM &amp; IM Mapping'!$A$2:$A$270,0)),"Not Mapped"))</f>
        <v>Prakash BS</v>
      </c>
      <c r="G314" s="11" t="s">
        <v>34</v>
      </c>
      <c r="H314" s="10" t="n">
        <v>-12358</v>
      </c>
      <c r="I314" s="10" t="n">
        <v>8668</v>
      </c>
      <c r="J314" s="10" t="n">
        <v>0</v>
      </c>
      <c r="K314" s="10" t="n">
        <v>107</v>
      </c>
      <c r="L314" s="10" t="n">
        <v>124</v>
      </c>
      <c r="M314" s="10" t="n">
        <v>0</v>
      </c>
      <c r="N314" s="10" t="n">
        <v>0</v>
      </c>
      <c r="O314" s="10" t="n">
        <v>0</v>
      </c>
      <c r="P314" s="10" t="n">
        <v>-3459</v>
      </c>
      <c r="Q314" s="10"/>
      <c r="R314" s="10"/>
      <c r="S314" s="22" t="s">
        <v>534</v>
      </c>
      <c r="T314" s="11"/>
      <c r="U314" s="21"/>
      <c r="V314" s="15"/>
      <c r="W314" s="23"/>
      <c r="X314" s="23"/>
      <c r="Y314" s="8"/>
      <c r="Z314" s="8"/>
      <c r="AA314" s="8"/>
      <c r="AB314" s="8"/>
      <c r="AC314" s="8"/>
    </row>
    <row r="315" customFormat="false" ht="15" hidden="false" customHeight="false" outlineLevel="0" collapsed="false">
      <c r="A315" s="9" t="n">
        <v>46304</v>
      </c>
      <c r="B315" s="11" t="s">
        <v>22</v>
      </c>
      <c r="C315" s="11" t="s">
        <v>23</v>
      </c>
      <c r="D315" s="11" t="s">
        <v>76</v>
      </c>
      <c r="E315" s="11" t="str">
        <f aca="false" t="array" ref="E315:E315">IF(D315="","",IFERROR(INDEX('CLM &amp; IM Mapping'!$B$2:$B$270,MATCH(TRIM(D315),'CLM &amp; IM Mapping'!$A$2:$A$270,0)),"Not Mapped"))</f>
        <v>Silambarasan E</v>
      </c>
      <c r="F315" s="11" t="str">
        <f aca="false" t="array" ref="F315:F315">IF(D315="","",IFERROR(INDEX('CLM &amp; IM Mapping'!$C$2:$C$270,MATCH(TRIM(D315),'CLM &amp; IM Mapping'!$A$2:$A$270,0)),"Not Mapped"))</f>
        <v>Arivind S</v>
      </c>
      <c r="G315" s="11" t="s">
        <v>34</v>
      </c>
      <c r="H315" s="10" t="n">
        <v>39686</v>
      </c>
      <c r="I315" s="10" t="n">
        <v>5466</v>
      </c>
      <c r="J315" s="10" t="n">
        <v>0</v>
      </c>
      <c r="K315" s="10" t="n">
        <v>0</v>
      </c>
      <c r="L315" s="10" t="n">
        <v>190</v>
      </c>
      <c r="M315" s="10" t="n">
        <v>0</v>
      </c>
      <c r="N315" s="10" t="n">
        <v>0</v>
      </c>
      <c r="O315" s="10" t="n">
        <v>0</v>
      </c>
      <c r="P315" s="10" t="n">
        <v>45341</v>
      </c>
      <c r="Q315" s="10"/>
      <c r="R315" s="10"/>
      <c r="S315" s="22"/>
      <c r="T315" s="11"/>
      <c r="U315" s="21"/>
      <c r="V315" s="15"/>
      <c r="W315" s="23"/>
      <c r="X315" s="23"/>
      <c r="Y315" s="8"/>
      <c r="Z315" s="8"/>
      <c r="AA315" s="8"/>
      <c r="AB315" s="8"/>
      <c r="AC315" s="8"/>
    </row>
    <row r="316" customFormat="false" ht="15" hidden="false" customHeight="false" outlineLevel="0" collapsed="false">
      <c r="A316" s="9" t="n">
        <v>46304</v>
      </c>
      <c r="B316" s="11" t="s">
        <v>22</v>
      </c>
      <c r="C316" s="11" t="s">
        <v>23</v>
      </c>
      <c r="D316" s="11" t="s">
        <v>365</v>
      </c>
      <c r="E316" s="11" t="str">
        <f aca="false" t="array" ref="E316:E316">IF(D316="","",IFERROR(INDEX('CLM &amp; IM Mapping'!$B$2:$B$270,MATCH(TRIM(D316),'CLM &amp; IM Mapping'!$A$2:$A$270,0)),"Not Mapped"))</f>
        <v>Raghavendra Vernekar</v>
      </c>
      <c r="F316" s="11" t="str">
        <f aca="false" t="array" ref="F316:F316">IF(D316="","",IFERROR(INDEX('CLM &amp; IM Mapping'!$C$2:$C$270,MATCH(TRIM(D316),'CLM &amp; IM Mapping'!$A$2:$A$270,0)),"Not Mapped"))</f>
        <v>Prakash BS</v>
      </c>
      <c r="G316" s="11" t="s">
        <v>34</v>
      </c>
      <c r="H316" s="10" t="n">
        <v>0</v>
      </c>
      <c r="I316" s="10" t="n">
        <v>0</v>
      </c>
      <c r="J316" s="10" t="n">
        <v>0</v>
      </c>
      <c r="K316" s="10" t="n">
        <v>0</v>
      </c>
      <c r="L316" s="10" t="n">
        <v>0</v>
      </c>
      <c r="M316" s="10" t="n">
        <v>0</v>
      </c>
      <c r="N316" s="10" t="n">
        <v>0</v>
      </c>
      <c r="O316" s="10" t="n">
        <v>0</v>
      </c>
      <c r="P316" s="10" t="n">
        <v>0</v>
      </c>
      <c r="Q316" s="11"/>
      <c r="R316" s="11"/>
      <c r="S316" s="19"/>
      <c r="T316" s="11"/>
      <c r="U316" s="21"/>
      <c r="V316" s="15"/>
      <c r="W316" s="23"/>
      <c r="X316" s="23"/>
      <c r="Y316" s="8"/>
      <c r="Z316" s="8"/>
      <c r="AA316" s="8"/>
      <c r="AB316" s="8"/>
      <c r="AC316" s="8"/>
    </row>
    <row r="317" customFormat="false" ht="15" hidden="false" customHeight="false" outlineLevel="0" collapsed="false">
      <c r="A317" s="9" t="n">
        <v>46304</v>
      </c>
      <c r="B317" s="11" t="s">
        <v>22</v>
      </c>
      <c r="C317" s="11" t="s">
        <v>23</v>
      </c>
      <c r="D317" s="11" t="s">
        <v>502</v>
      </c>
      <c r="E317" s="11" t="str">
        <f aca="false" t="array" ref="E317:E317">IF(D317="","",IFERROR(INDEX('CLM &amp; IM Mapping'!$B$2:$B$270,MATCH(TRIM(D317),'CLM &amp; IM Mapping'!$A$2:$A$270,0)),"Not Mapped"))</f>
        <v>Manjunatha V</v>
      </c>
      <c r="F317" s="11" t="str">
        <f aca="false" t="array" ref="F317:F317">IF(D317="","",IFERROR(INDEX('CLM &amp; IM Mapping'!$C$2:$C$270,MATCH(TRIM(D317),'CLM &amp; IM Mapping'!$A$2:$A$270,0)),"Not Mapped"))</f>
        <v>Un Mapped</v>
      </c>
      <c r="G317" s="11" t="s">
        <v>34</v>
      </c>
      <c r="H317" s="10" t="n">
        <v>-49293</v>
      </c>
      <c r="I317" s="10" t="n">
        <v>0</v>
      </c>
      <c r="J317" s="10" t="n">
        <v>0</v>
      </c>
      <c r="K317" s="10" t="n">
        <v>34033</v>
      </c>
      <c r="L317" s="10" t="n">
        <v>0</v>
      </c>
      <c r="M317" s="10" t="n">
        <v>0</v>
      </c>
      <c r="N317" s="10" t="n">
        <v>0</v>
      </c>
      <c r="O317" s="10" t="n">
        <v>0</v>
      </c>
      <c r="P317" s="10" t="n">
        <v>-15260</v>
      </c>
      <c r="Q317" s="11"/>
      <c r="R317" s="10"/>
      <c r="S317" s="19"/>
      <c r="T317" s="11"/>
      <c r="U317" s="21"/>
      <c r="V317" s="15"/>
      <c r="W317" s="23"/>
      <c r="X317" s="23"/>
      <c r="Y317" s="8"/>
      <c r="Z317" s="8"/>
      <c r="AA317" s="8"/>
      <c r="AB317" s="8"/>
      <c r="AC317" s="8"/>
    </row>
    <row r="318" customFormat="false" ht="15" hidden="false" customHeight="false" outlineLevel="0" collapsed="false">
      <c r="A318" s="9" t="n">
        <v>46304</v>
      </c>
      <c r="B318" s="11" t="s">
        <v>22</v>
      </c>
      <c r="C318" s="11" t="s">
        <v>23</v>
      </c>
      <c r="D318" s="11" t="s">
        <v>436</v>
      </c>
      <c r="E318" s="11" t="str">
        <f aca="false" t="array" ref="E318:E318">IF(D318="","",IFERROR(INDEX('CLM &amp; IM Mapping'!$B$2:$B$270,MATCH(TRIM(D318),'CLM &amp; IM Mapping'!$A$2:$A$270,0)),"Not Mapped"))</f>
        <v>Narasimhamurthy R</v>
      </c>
      <c r="F318" s="11" t="str">
        <f aca="false" t="array" ref="F318:F318">IF(D318="","",IFERROR(INDEX('CLM &amp; IM Mapping'!$C$2:$C$270,MATCH(TRIM(D318),'CLM &amp; IM Mapping'!$A$2:$A$270,0)),"Not Mapped"))</f>
        <v>Kishor K</v>
      </c>
      <c r="G318" s="11" t="s">
        <v>34</v>
      </c>
      <c r="H318" s="10" t="n">
        <v>-8172</v>
      </c>
      <c r="I318" s="10" t="n">
        <v>2414</v>
      </c>
      <c r="J318" s="10" t="n">
        <v>105</v>
      </c>
      <c r="K318" s="10" t="n">
        <v>0</v>
      </c>
      <c r="L318" s="10" t="n">
        <v>403</v>
      </c>
      <c r="M318" s="10" t="n">
        <v>0</v>
      </c>
      <c r="N318" s="10" t="n">
        <v>0</v>
      </c>
      <c r="O318" s="10" t="n">
        <v>0</v>
      </c>
      <c r="P318" s="10" t="n">
        <v>-5250</v>
      </c>
      <c r="Q318" s="10"/>
      <c r="R318" s="10"/>
      <c r="S318" s="22"/>
      <c r="T318" s="11"/>
      <c r="U318" s="21"/>
      <c r="V318" s="15"/>
      <c r="W318" s="23"/>
      <c r="X318" s="23"/>
      <c r="Y318" s="8"/>
      <c r="Z318" s="8"/>
      <c r="AA318" s="8"/>
      <c r="AB318" s="8"/>
      <c r="AC318" s="8"/>
    </row>
    <row r="319" customFormat="false" ht="15" hidden="false" customHeight="false" outlineLevel="0" collapsed="false">
      <c r="A319" s="9" t="n">
        <v>46304</v>
      </c>
      <c r="B319" s="11" t="s">
        <v>22</v>
      </c>
      <c r="C319" s="11" t="s">
        <v>221</v>
      </c>
      <c r="D319" s="11" t="s">
        <v>466</v>
      </c>
      <c r="E319" s="11" t="str">
        <f aca="false" t="array" ref="E319:E319">IF(D319="","",IFERROR(INDEX('CLM &amp; IM Mapping'!$B$2:$B$270,MATCH(TRIM(D319),'CLM &amp; IM Mapping'!$A$2:$A$270,0)),"Not Mapped"))</f>
        <v>Vishnu V</v>
      </c>
      <c r="F319" s="11" t="str">
        <f aca="false" t="array" ref="F319:F319">IF(D319="","",IFERROR(INDEX('CLM &amp; IM Mapping'!$C$2:$C$270,MATCH(TRIM(D319),'CLM &amp; IM Mapping'!$A$2:$A$270,0)),"Not Mapped"))</f>
        <v>Arivind S</v>
      </c>
      <c r="G319" s="11" t="s">
        <v>34</v>
      </c>
      <c r="H319" s="10" t="n">
        <v>-20734</v>
      </c>
      <c r="I319" s="10" t="n">
        <v>7165</v>
      </c>
      <c r="J319" s="10" t="n">
        <v>1326</v>
      </c>
      <c r="K319" s="10" t="n">
        <v>0</v>
      </c>
      <c r="L319" s="10" t="n">
        <v>0</v>
      </c>
      <c r="M319" s="10" t="n">
        <v>0</v>
      </c>
      <c r="N319" s="10" t="n">
        <v>3787</v>
      </c>
      <c r="O319" s="10" t="n">
        <v>0</v>
      </c>
      <c r="P319" s="10" t="n">
        <v>-8456</v>
      </c>
      <c r="Q319" s="10"/>
      <c r="R319" s="10"/>
      <c r="S319" s="22"/>
      <c r="T319" s="11"/>
      <c r="U319" s="21"/>
      <c r="V319" s="15"/>
      <c r="W319" s="23"/>
      <c r="X319" s="23"/>
      <c r="Y319" s="8"/>
      <c r="Z319" s="8"/>
      <c r="AA319" s="8"/>
      <c r="AB319" s="8"/>
      <c r="AC319" s="8"/>
    </row>
    <row r="320" customFormat="false" ht="15" hidden="false" customHeight="false" outlineLevel="0" collapsed="false">
      <c r="A320" s="9" t="n">
        <v>46304</v>
      </c>
      <c r="B320" s="11" t="s">
        <v>22</v>
      </c>
      <c r="C320" s="11" t="s">
        <v>23</v>
      </c>
      <c r="D320" s="11" t="s">
        <v>390</v>
      </c>
      <c r="E320" s="11" t="str">
        <f aca="false" t="array" ref="E320:E320">IF(D320="","",IFERROR(INDEX('CLM &amp; IM Mapping'!$B$2:$B$270,MATCH(TRIM(D320),'CLM &amp; IM Mapping'!$A$2:$A$270,0)),"Not Mapped"))</f>
        <v>Sundaresh S</v>
      </c>
      <c r="F320" s="11" t="str">
        <f aca="false" t="array" ref="F320:F320">IF(D320="","",IFERROR(INDEX('CLM &amp; IM Mapping'!$C$2:$C$270,MATCH(TRIM(D320),'CLM &amp; IM Mapping'!$A$2:$A$270,0)),"Not Mapped"))</f>
        <v>Un Mapped</v>
      </c>
      <c r="G320" s="11" t="s">
        <v>34</v>
      </c>
      <c r="H320" s="10" t="n">
        <v>-12547</v>
      </c>
      <c r="I320" s="10" t="n">
        <v>961</v>
      </c>
      <c r="J320" s="10" t="n">
        <v>214</v>
      </c>
      <c r="K320" s="10" t="n">
        <v>4030</v>
      </c>
      <c r="L320" s="10" t="n">
        <v>284</v>
      </c>
      <c r="M320" s="10" t="n">
        <v>0</v>
      </c>
      <c r="N320" s="10" t="n">
        <v>5323</v>
      </c>
      <c r="O320" s="10" t="n">
        <v>0</v>
      </c>
      <c r="P320" s="10" t="n">
        <v>-1735</v>
      </c>
      <c r="Q320" s="10"/>
      <c r="R320" s="10"/>
      <c r="S320" s="22"/>
      <c r="T320" s="11"/>
      <c r="U320" s="21"/>
      <c r="V320" s="15"/>
      <c r="W320" s="23"/>
      <c r="X320" s="23"/>
      <c r="Y320" s="8"/>
      <c r="Z320" s="8"/>
      <c r="AA320" s="8"/>
      <c r="AB320" s="8"/>
      <c r="AC320" s="8"/>
    </row>
    <row r="321" customFormat="false" ht="15" hidden="false" customHeight="false" outlineLevel="0" collapsed="false">
      <c r="A321" s="9" t="n">
        <v>46304</v>
      </c>
      <c r="B321" s="11" t="s">
        <v>22</v>
      </c>
      <c r="C321" s="11" t="s">
        <v>23</v>
      </c>
      <c r="D321" s="11" t="s">
        <v>497</v>
      </c>
      <c r="E321" s="11" t="str">
        <f aca="false" t="array" ref="E321:E321">IF(D321="","",IFERROR(INDEX('CLM &amp; IM Mapping'!$B$2:$B$270,MATCH(TRIM(D321),'CLM &amp; IM Mapping'!$A$2:$A$270,0)),"Not Mapped"))</f>
        <v>Narasimhamurthy R</v>
      </c>
      <c r="F321" s="11" t="str">
        <f aca="false" t="array" ref="F321:F321">IF(D321="","",IFERROR(INDEX('CLM &amp; IM Mapping'!$C$2:$C$270,MATCH(TRIM(D321),'CLM &amp; IM Mapping'!$A$2:$A$270,0)),"Not Mapped"))</f>
        <v>Kishor K</v>
      </c>
      <c r="G321" s="11" t="s">
        <v>34</v>
      </c>
      <c r="H321" s="10" t="n">
        <v>-15274</v>
      </c>
      <c r="I321" s="10" t="n">
        <v>0</v>
      </c>
      <c r="J321" s="10" t="n">
        <v>0</v>
      </c>
      <c r="K321" s="10" t="n">
        <v>63</v>
      </c>
      <c r="L321" s="10" t="n">
        <v>23</v>
      </c>
      <c r="M321" s="10" t="n">
        <v>0</v>
      </c>
      <c r="N321" s="10" t="n">
        <v>0</v>
      </c>
      <c r="O321" s="10" t="n">
        <v>0</v>
      </c>
      <c r="P321" s="10" t="n">
        <v>-15188</v>
      </c>
      <c r="Q321" s="10"/>
      <c r="R321" s="10"/>
      <c r="S321" s="22"/>
      <c r="T321" s="11"/>
      <c r="U321" s="21"/>
      <c r="V321" s="15"/>
      <c r="W321" s="23"/>
      <c r="X321" s="23"/>
      <c r="Y321" s="8"/>
      <c r="Z321" s="8"/>
      <c r="AA321" s="8"/>
      <c r="AB321" s="8"/>
      <c r="AC321" s="8"/>
    </row>
    <row r="322" customFormat="false" ht="15" hidden="false" customHeight="false" outlineLevel="0" collapsed="false">
      <c r="A322" s="9" t="n">
        <v>46304</v>
      </c>
      <c r="B322" s="11" t="s">
        <v>22</v>
      </c>
      <c r="C322" s="11" t="s">
        <v>23</v>
      </c>
      <c r="D322" s="11" t="s">
        <v>65</v>
      </c>
      <c r="E322" s="11" t="str">
        <f aca="false" t="array" ref="E322:E322">IF(D322="","",IFERROR(INDEX('CLM &amp; IM Mapping'!$B$2:$B$270,MATCH(TRIM(D322),'CLM &amp; IM Mapping'!$A$2:$A$270,0)),"Not Mapped"))</f>
        <v>Adhavan Subramani</v>
      </c>
      <c r="F322" s="11" t="str">
        <f aca="false" t="array" ref="F322:F322">IF(D322="","",IFERROR(INDEX('CLM &amp; IM Mapping'!$C$2:$C$270,MATCH(TRIM(D322),'CLM &amp; IM Mapping'!$A$2:$A$270,0)),"Not Mapped"))</f>
        <v>Mohammed Akbar</v>
      </c>
      <c r="G322" s="11" t="s">
        <v>34</v>
      </c>
      <c r="H322" s="10" t="n">
        <v>-5547</v>
      </c>
      <c r="I322" s="10" t="n">
        <v>30520</v>
      </c>
      <c r="J322" s="10" t="n">
        <v>0</v>
      </c>
      <c r="K322" s="10" t="n">
        <v>12101</v>
      </c>
      <c r="L322" s="10" t="n">
        <v>1629</v>
      </c>
      <c r="M322" s="10" t="n">
        <v>0</v>
      </c>
      <c r="N322" s="10" t="n">
        <v>0</v>
      </c>
      <c r="O322" s="10" t="n">
        <v>0</v>
      </c>
      <c r="P322" s="10" t="n">
        <v>38702</v>
      </c>
      <c r="Q322" s="10"/>
      <c r="R322" s="10"/>
      <c r="S322" s="22"/>
      <c r="T322" s="11"/>
      <c r="U322" s="21"/>
      <c r="V322" s="15"/>
      <c r="W322" s="23"/>
      <c r="X322" s="23"/>
      <c r="Y322" s="8"/>
      <c r="Z322" s="8"/>
      <c r="AA322" s="8"/>
      <c r="AB322" s="8"/>
      <c r="AC322" s="8"/>
    </row>
    <row r="323" customFormat="false" ht="15" hidden="false" customHeight="false" outlineLevel="0" collapsed="false">
      <c r="A323" s="9" t="n">
        <v>46304</v>
      </c>
      <c r="B323" s="11" t="s">
        <v>22</v>
      </c>
      <c r="C323" s="11" t="s">
        <v>221</v>
      </c>
      <c r="D323" s="11" t="s">
        <v>274</v>
      </c>
      <c r="E323" s="11" t="str">
        <f aca="false" t="array" ref="E323:E323">IF(D323="","",IFERROR(INDEX('CLM &amp; IM Mapping'!$B$2:$B$270,MATCH(TRIM(D323),'CLM &amp; IM Mapping'!$A$2:$A$270,0)),"Not Mapped"))</f>
        <v>Vishnu V</v>
      </c>
      <c r="F323" s="11" t="str">
        <f aca="false" t="array" ref="F323:F323">IF(D323="","",IFERROR(INDEX('CLM &amp; IM Mapping'!$C$2:$C$270,MATCH(TRIM(D323),'CLM &amp; IM Mapping'!$A$2:$A$270,0)),"Not Mapped"))</f>
        <v>Arivind S</v>
      </c>
      <c r="G323" s="11" t="s">
        <v>34</v>
      </c>
      <c r="H323" s="10" t="n">
        <v>-3014</v>
      </c>
      <c r="I323" s="10" t="n">
        <v>11220</v>
      </c>
      <c r="J323" s="10" t="n">
        <v>748</v>
      </c>
      <c r="K323" s="10" t="n">
        <v>0</v>
      </c>
      <c r="L323" s="10" t="n">
        <v>535</v>
      </c>
      <c r="M323" s="10" t="n">
        <v>0</v>
      </c>
      <c r="N323" s="10" t="n">
        <v>0</v>
      </c>
      <c r="O323" s="10" t="n">
        <v>0</v>
      </c>
      <c r="P323" s="10" t="n">
        <v>9489</v>
      </c>
      <c r="Q323" s="10"/>
      <c r="R323" s="10"/>
      <c r="S323" s="22"/>
      <c r="T323" s="11"/>
      <c r="U323" s="21"/>
      <c r="V323" s="15"/>
      <c r="W323" s="23"/>
      <c r="X323" s="23"/>
      <c r="Y323" s="8"/>
      <c r="Z323" s="8"/>
      <c r="AA323" s="8"/>
      <c r="AB323" s="8"/>
      <c r="AC323" s="8"/>
    </row>
    <row r="324" customFormat="false" ht="15" hidden="false" customHeight="false" outlineLevel="0" collapsed="false">
      <c r="A324" s="9" t="n">
        <v>46304</v>
      </c>
      <c r="B324" s="11" t="s">
        <v>22</v>
      </c>
      <c r="C324" s="11" t="s">
        <v>23</v>
      </c>
      <c r="D324" s="11" t="s">
        <v>521</v>
      </c>
      <c r="E324" s="11" t="str">
        <f aca="false" t="array" ref="E324:E324">IF(D324="","",IFERROR(INDEX('CLM &amp; IM Mapping'!$B$2:$B$270,MATCH(TRIM(D324),'CLM &amp; IM Mapping'!$A$2:$A$270,0)),"Not Mapped"))</f>
        <v>Mohaideen DH</v>
      </c>
      <c r="F324" s="11" t="str">
        <f aca="false" t="array" ref="F324:F324">IF(D324="","",IFERROR(INDEX('CLM &amp; IM Mapping'!$C$2:$C$270,MATCH(TRIM(D324),'CLM &amp; IM Mapping'!$A$2:$A$270,0)),"Not Mapped"))</f>
        <v>Mohammed Akbar</v>
      </c>
      <c r="G324" s="11" t="s">
        <v>34</v>
      </c>
      <c r="H324" s="10" t="n">
        <v>-38201</v>
      </c>
      <c r="I324" s="10" t="n">
        <v>673</v>
      </c>
      <c r="J324" s="10" t="n">
        <v>0</v>
      </c>
      <c r="K324" s="10" t="n">
        <v>73</v>
      </c>
      <c r="L324" s="10" t="n">
        <v>307</v>
      </c>
      <c r="M324" s="10" t="n">
        <v>0</v>
      </c>
      <c r="N324" s="10" t="n">
        <v>0</v>
      </c>
      <c r="O324" s="10" t="n">
        <v>0</v>
      </c>
      <c r="P324" s="10" t="n">
        <v>-37149</v>
      </c>
      <c r="Q324" s="10"/>
      <c r="R324" s="10"/>
      <c r="S324" s="22"/>
      <c r="T324" s="11"/>
      <c r="U324" s="21"/>
      <c r="V324" s="15"/>
      <c r="W324" s="23"/>
      <c r="X324" s="23"/>
      <c r="Y324" s="8"/>
      <c r="Z324" s="8"/>
      <c r="AA324" s="8"/>
      <c r="AB324" s="8"/>
      <c r="AC324" s="8"/>
    </row>
    <row r="325" customFormat="false" ht="15" hidden="false" customHeight="false" outlineLevel="0" collapsed="false">
      <c r="A325" s="9" t="n">
        <v>46304</v>
      </c>
      <c r="B325" s="11" t="s">
        <v>22</v>
      </c>
      <c r="C325" s="11" t="s">
        <v>23</v>
      </c>
      <c r="D325" s="11" t="s">
        <v>188</v>
      </c>
      <c r="E325" s="11" t="str">
        <f aca="false" t="array" ref="E325:E325">IF(D325="","",IFERROR(INDEX('CLM &amp; IM Mapping'!$B$2:$B$270,MATCH(TRIM(D325),'CLM &amp; IM Mapping'!$A$2:$A$270,0)),"Not Mapped"))</f>
        <v>Richard Harris</v>
      </c>
      <c r="F325" s="11" t="str">
        <f aca="false" t="array" ref="F325:F325">IF(D325="","",IFERROR(INDEX('CLM &amp; IM Mapping'!$C$2:$C$270,MATCH(TRIM(D325),'CLM &amp; IM Mapping'!$A$2:$A$270,0)),"Not Mapped"))</f>
        <v>Kantha Kumar</v>
      </c>
      <c r="G325" s="11" t="s">
        <v>34</v>
      </c>
      <c r="H325" s="10" t="n">
        <v>11387</v>
      </c>
      <c r="I325" s="10" t="n">
        <v>12551</v>
      </c>
      <c r="J325" s="10" t="n">
        <v>0</v>
      </c>
      <c r="K325" s="10" t="n">
        <v>1448</v>
      </c>
      <c r="L325" s="10" t="n">
        <v>255</v>
      </c>
      <c r="M325" s="10" t="n">
        <v>0</v>
      </c>
      <c r="N325" s="10" t="n">
        <v>0</v>
      </c>
      <c r="O325" s="10" t="n">
        <v>7417</v>
      </c>
      <c r="P325" s="10" t="n">
        <v>33058</v>
      </c>
      <c r="Q325" s="10"/>
      <c r="R325" s="10"/>
      <c r="S325" s="22"/>
      <c r="T325" s="11"/>
      <c r="U325" s="21"/>
      <c r="V325" s="15"/>
      <c r="W325" s="23"/>
      <c r="X325" s="23"/>
      <c r="Y325" s="8"/>
      <c r="Z325" s="8"/>
      <c r="AA325" s="8"/>
      <c r="AB325" s="8"/>
      <c r="AC325" s="8"/>
    </row>
    <row r="326" customFormat="false" ht="15" hidden="false" customHeight="false" outlineLevel="0" collapsed="false">
      <c r="A326" s="9" t="n">
        <v>46304</v>
      </c>
      <c r="B326" s="11" t="s">
        <v>22</v>
      </c>
      <c r="C326" s="11" t="s">
        <v>303</v>
      </c>
      <c r="D326" s="11" t="s">
        <v>458</v>
      </c>
      <c r="E326" s="11" t="str">
        <f aca="false" t="array" ref="E326:E326">IF(D326="","",IFERROR(INDEX('CLM &amp; IM Mapping'!$B$2:$B$270,MATCH(TRIM(D326),'CLM &amp; IM Mapping'!$A$2:$A$270,0)),"Not Mapped"))</f>
        <v>John Britto</v>
      </c>
      <c r="F326" s="11" t="str">
        <f aca="false" t="array" ref="F326:F326">IF(D326="","",IFERROR(INDEX('CLM &amp; IM Mapping'!$C$2:$C$270,MATCH(TRIM(D326),'CLM &amp; IM Mapping'!$A$2:$A$270,0)),"Not Mapped"))</f>
        <v>Aravind S</v>
      </c>
      <c r="G326" s="11" t="s">
        <v>34</v>
      </c>
      <c r="H326" s="10" t="n">
        <v>-6474</v>
      </c>
      <c r="I326" s="10" t="n">
        <v>645</v>
      </c>
      <c r="J326" s="10" t="n">
        <v>0</v>
      </c>
      <c r="K326" s="10" t="n">
        <v>0</v>
      </c>
      <c r="L326" s="10" t="n">
        <v>0</v>
      </c>
      <c r="M326" s="10" t="n">
        <v>0</v>
      </c>
      <c r="N326" s="10" t="n">
        <v>0</v>
      </c>
      <c r="O326" s="10" t="n">
        <v>0</v>
      </c>
      <c r="P326" s="10" t="n">
        <v>-5829</v>
      </c>
      <c r="Q326" s="10"/>
      <c r="R326" s="10"/>
      <c r="S326" s="22"/>
      <c r="T326" s="11"/>
      <c r="U326" s="21"/>
      <c r="V326" s="15"/>
      <c r="W326" s="23"/>
      <c r="X326" s="23"/>
      <c r="Y326" s="8"/>
      <c r="Z326" s="8"/>
      <c r="AA326" s="8"/>
      <c r="AB326" s="8"/>
      <c r="AC326" s="8"/>
    </row>
    <row r="327" customFormat="false" ht="15" hidden="false" customHeight="false" outlineLevel="0" collapsed="false">
      <c r="A327" s="9" t="n">
        <v>46304</v>
      </c>
      <c r="B327" s="11" t="s">
        <v>22</v>
      </c>
      <c r="C327" s="11" t="s">
        <v>212</v>
      </c>
      <c r="D327" s="11" t="s">
        <v>213</v>
      </c>
      <c r="E327" s="11" t="str">
        <f aca="false" t="array" ref="E327:E327">IF(D327="","",IFERROR(INDEX('CLM &amp; IM Mapping'!$B$2:$B$270,MATCH(TRIM(D327),'CLM &amp; IM Mapping'!$A$2:$A$270,0)),"Not Mapped"))</f>
        <v>Bangareppa CS</v>
      </c>
      <c r="F327" s="11" t="str">
        <f aca="false" t="array" ref="F327:F327">IF(D327="","",IFERROR(INDEX('CLM &amp; IM Mapping'!$C$2:$C$270,MATCH(TRIM(D327),'CLM &amp; IM Mapping'!$A$2:$A$270,0)),"Not Mapped"))</f>
        <v>Kishor K</v>
      </c>
      <c r="G327" s="11" t="s">
        <v>34</v>
      </c>
      <c r="H327" s="10" t="n">
        <v>-1286</v>
      </c>
      <c r="I327" s="10" t="n">
        <v>2570</v>
      </c>
      <c r="J327" s="10" t="n">
        <v>0</v>
      </c>
      <c r="K327" s="10" t="n">
        <v>0</v>
      </c>
      <c r="L327" s="10" t="n">
        <v>735</v>
      </c>
      <c r="M327" s="10" t="n">
        <v>0</v>
      </c>
      <c r="N327" s="10" t="n">
        <v>0</v>
      </c>
      <c r="O327" s="10" t="n">
        <v>0</v>
      </c>
      <c r="P327" s="10" t="n">
        <v>2019</v>
      </c>
      <c r="Q327" s="10"/>
      <c r="R327" s="10"/>
      <c r="S327" s="22" t="s">
        <v>533</v>
      </c>
      <c r="T327" s="11" t="n">
        <v>3000</v>
      </c>
      <c r="U327" s="21"/>
      <c r="V327" s="15"/>
      <c r="W327" s="23"/>
      <c r="X327" s="23"/>
      <c r="Y327" s="8"/>
      <c r="Z327" s="8"/>
      <c r="AA327" s="8"/>
      <c r="AB327" s="8"/>
      <c r="AC327" s="8"/>
    </row>
    <row r="328" customFormat="false" ht="15" hidden="false" customHeight="false" outlineLevel="0" collapsed="false">
      <c r="A328" s="9" t="n">
        <v>46304</v>
      </c>
      <c r="B328" s="11" t="s">
        <v>22</v>
      </c>
      <c r="C328" s="11" t="s">
        <v>221</v>
      </c>
      <c r="D328" s="11" t="s">
        <v>350</v>
      </c>
      <c r="E328" s="11" t="str">
        <f aca="false" t="array" ref="E328:E328">IF(D328="","",IFERROR(INDEX('CLM &amp; IM Mapping'!$B$2:$B$270,MATCH(TRIM(D328),'CLM &amp; IM Mapping'!$A$2:$A$270,0)),"Not Mapped"))</f>
        <v>Vishnu V</v>
      </c>
      <c r="F328" s="11" t="str">
        <f aca="false" t="array" ref="F328:F328">IF(D328="","",IFERROR(INDEX('CLM &amp; IM Mapping'!$C$2:$C$270,MATCH(TRIM(D328),'CLM &amp; IM Mapping'!$A$2:$A$270,0)),"Not Mapped"))</f>
        <v>Arivind S</v>
      </c>
      <c r="G328" s="11" t="s">
        <v>34</v>
      </c>
      <c r="H328" s="10" t="n">
        <v>83</v>
      </c>
      <c r="I328" s="10" t="n">
        <v>1530</v>
      </c>
      <c r="J328" s="10" t="n">
        <v>0</v>
      </c>
      <c r="K328" s="10" t="n">
        <v>183</v>
      </c>
      <c r="L328" s="10" t="n">
        <v>0</v>
      </c>
      <c r="M328" s="10" t="n">
        <v>0</v>
      </c>
      <c r="N328" s="10" t="n">
        <v>0</v>
      </c>
      <c r="O328" s="10" t="n">
        <v>0</v>
      </c>
      <c r="P328" s="10" t="n">
        <v>1795</v>
      </c>
      <c r="Q328" s="10"/>
      <c r="R328" s="10"/>
      <c r="S328" s="22"/>
      <c r="T328" s="11"/>
      <c r="U328" s="21"/>
      <c r="V328" s="15"/>
      <c r="W328" s="23"/>
      <c r="X328" s="23"/>
      <c r="Y328" s="8"/>
      <c r="Z328" s="8"/>
      <c r="AA328" s="8"/>
      <c r="AB328" s="8"/>
      <c r="AC328" s="8"/>
    </row>
    <row r="329" customFormat="false" ht="15" hidden="false" customHeight="false" outlineLevel="0" collapsed="false">
      <c r="A329" s="9" t="n">
        <v>46304</v>
      </c>
      <c r="B329" s="11" t="s">
        <v>22</v>
      </c>
      <c r="C329" s="11" t="s">
        <v>23</v>
      </c>
      <c r="D329" s="11" t="s">
        <v>322</v>
      </c>
      <c r="E329" s="11" t="str">
        <f aca="false" t="array" ref="E329:E329">IF(D329="","",IFERROR(INDEX('CLM &amp; IM Mapping'!$B$2:$B$270,MATCH(TRIM(D329),'CLM &amp; IM Mapping'!$A$2:$A$270,0)),"Not Mapped"))</f>
        <v>Ashwath S</v>
      </c>
      <c r="F329" s="11" t="str">
        <f aca="false" t="array" ref="F329:F329">IF(D329="","",IFERROR(INDEX('CLM &amp; IM Mapping'!$C$2:$C$270,MATCH(TRIM(D329),'CLM &amp; IM Mapping'!$A$2:$A$270,0)),"Not Mapped"))</f>
        <v>Kantha Kumar</v>
      </c>
      <c r="G329" s="11" t="s">
        <v>34</v>
      </c>
      <c r="H329" s="10" t="n">
        <v>7010</v>
      </c>
      <c r="I329" s="10" t="n">
        <v>3494</v>
      </c>
      <c r="J329" s="10" t="n">
        <v>0</v>
      </c>
      <c r="K329" s="10" t="n">
        <v>1771</v>
      </c>
      <c r="L329" s="10" t="n">
        <v>99</v>
      </c>
      <c r="M329" s="10" t="n">
        <v>0</v>
      </c>
      <c r="N329" s="10" t="n">
        <v>0</v>
      </c>
      <c r="O329" s="10" t="n">
        <v>0</v>
      </c>
      <c r="P329" s="10" t="n">
        <v>12374</v>
      </c>
      <c r="Q329" s="10"/>
      <c r="R329" s="10"/>
      <c r="S329" s="22"/>
      <c r="T329" s="11"/>
      <c r="U329" s="21"/>
      <c r="V329" s="15"/>
      <c r="W329" s="23"/>
      <c r="X329" s="23"/>
      <c r="Y329" s="8"/>
      <c r="Z329" s="8"/>
      <c r="AA329" s="8"/>
      <c r="AB329" s="8"/>
      <c r="AC329" s="8"/>
    </row>
    <row r="330" customFormat="false" ht="15" hidden="false" customHeight="false" outlineLevel="0" collapsed="false">
      <c r="A330" s="9" t="n">
        <v>46304</v>
      </c>
      <c r="B330" s="11" t="s">
        <v>22</v>
      </c>
      <c r="C330" s="11" t="s">
        <v>23</v>
      </c>
      <c r="D330" s="11" t="s">
        <v>193</v>
      </c>
      <c r="E330" s="11" t="str">
        <f aca="false" t="array" ref="E330:E330">IF(D330="","",IFERROR(INDEX('CLM &amp; IM Mapping'!$B$2:$B$270,MATCH(TRIM(D330),'CLM &amp; IM Mapping'!$A$2:$A$270,0)),"Not Mapped"))</f>
        <v>Girish N</v>
      </c>
      <c r="F330" s="11" t="str">
        <f aca="false" t="array" ref="F330:F330">IF(D330="","",IFERROR(INDEX('CLM &amp; IM Mapping'!$C$2:$C$270,MATCH(TRIM(D330),'CLM &amp; IM Mapping'!$A$2:$A$270,0)),"Not Mapped"))</f>
        <v>Un Mapped</v>
      </c>
      <c r="G330" s="11" t="s">
        <v>34</v>
      </c>
      <c r="H330" s="10" t="n">
        <v>-9474</v>
      </c>
      <c r="I330" s="10" t="n">
        <v>24145</v>
      </c>
      <c r="J330" s="10" t="n">
        <v>0</v>
      </c>
      <c r="K330" s="10" t="n">
        <v>617</v>
      </c>
      <c r="L330" s="10" t="n">
        <v>5082</v>
      </c>
      <c r="M330" s="10" t="n">
        <v>0</v>
      </c>
      <c r="N330" s="10" t="n">
        <v>0</v>
      </c>
      <c r="O330" s="10" t="n">
        <v>0</v>
      </c>
      <c r="P330" s="10" t="n">
        <v>20370</v>
      </c>
      <c r="Q330" s="10"/>
      <c r="R330" s="10"/>
      <c r="S330" s="22"/>
      <c r="T330" s="11"/>
      <c r="U330" s="21"/>
      <c r="V330" s="15"/>
      <c r="W330" s="23"/>
      <c r="X330" s="23"/>
      <c r="Y330" s="8"/>
      <c r="Z330" s="8"/>
      <c r="AA330" s="8"/>
      <c r="AB330" s="8"/>
      <c r="AC330" s="8"/>
    </row>
    <row r="331" customFormat="false" ht="15" hidden="false" customHeight="false" outlineLevel="0" collapsed="false">
      <c r="A331" s="9" t="n">
        <v>46304</v>
      </c>
      <c r="B331" s="11" t="s">
        <v>22</v>
      </c>
      <c r="C331" s="11" t="s">
        <v>23</v>
      </c>
      <c r="D331" s="11" t="s">
        <v>50</v>
      </c>
      <c r="E331" s="11" t="str">
        <f aca="false" t="array" ref="E331:E331">IF(D331="","",IFERROR(INDEX('CLM &amp; IM Mapping'!$B$2:$B$270,MATCH(TRIM(D331),'CLM &amp; IM Mapping'!$A$2:$A$270,0)),"Not Mapped"))</f>
        <v>Arun Raj</v>
      </c>
      <c r="F331" s="11" t="str">
        <f aca="false" t="array" ref="F331:F331">IF(D331="","",IFERROR(INDEX('CLM &amp; IM Mapping'!$C$2:$C$270,MATCH(TRIM(D331),'CLM &amp; IM Mapping'!$A$2:$A$270,0)),"Not Mapped"))</f>
        <v>Simon Manoharan</v>
      </c>
      <c r="G331" s="11" t="s">
        <v>25</v>
      </c>
      <c r="H331" s="10" t="n">
        <v>17262</v>
      </c>
      <c r="I331" s="10" t="n">
        <v>44126</v>
      </c>
      <c r="J331" s="10" t="n">
        <v>0</v>
      </c>
      <c r="K331" s="10" t="n">
        <v>0</v>
      </c>
      <c r="L331" s="10" t="n">
        <v>605</v>
      </c>
      <c r="M331" s="10" t="n">
        <v>0</v>
      </c>
      <c r="N331" s="10" t="n">
        <v>37</v>
      </c>
      <c r="O331" s="10" t="n">
        <v>0</v>
      </c>
      <c r="P331" s="10" t="n">
        <v>62029</v>
      </c>
      <c r="Q331" s="10"/>
      <c r="R331" s="10"/>
      <c r="S331" s="22"/>
      <c r="T331" s="11"/>
      <c r="U331" s="21"/>
      <c r="V331" s="15"/>
      <c r="W331" s="23"/>
      <c r="X331" s="23"/>
      <c r="Y331" s="8"/>
      <c r="Z331" s="8"/>
      <c r="AA331" s="8"/>
      <c r="AB331" s="8"/>
      <c r="AC331" s="8"/>
    </row>
    <row r="332" customFormat="false" ht="15" hidden="false" customHeight="false" outlineLevel="0" collapsed="false">
      <c r="A332" s="9" t="n">
        <v>46304</v>
      </c>
      <c r="B332" s="11" t="s">
        <v>22</v>
      </c>
      <c r="C332" s="11" t="s">
        <v>23</v>
      </c>
      <c r="D332" s="11" t="s">
        <v>257</v>
      </c>
      <c r="E332" s="11" t="str">
        <f aca="false" t="array" ref="E332:E332">IF(D332="","",IFERROR(INDEX('CLM &amp; IM Mapping'!$B$2:$B$270,MATCH(TRIM(D332),'CLM &amp; IM Mapping'!$A$2:$A$270,0)),"Not Mapped"))</f>
        <v>Raghavendra Vernekar</v>
      </c>
      <c r="F332" s="11" t="str">
        <f aca="false" t="array" ref="F332:F332">IF(D332="","",IFERROR(INDEX('CLM &amp; IM Mapping'!$C$2:$C$270,MATCH(TRIM(D332),'CLM &amp; IM Mapping'!$A$2:$A$270,0)),"Not Mapped"))</f>
        <v>Prakash BS</v>
      </c>
      <c r="G332" s="11" t="s">
        <v>34</v>
      </c>
      <c r="H332" s="10" t="n">
        <v>-49207</v>
      </c>
      <c r="I332" s="10" t="n">
        <v>44263</v>
      </c>
      <c r="J332" s="10" t="n">
        <v>157</v>
      </c>
      <c r="K332" s="10" t="n">
        <v>119</v>
      </c>
      <c r="L332" s="10" t="n">
        <v>1093</v>
      </c>
      <c r="M332" s="10" t="n">
        <v>0</v>
      </c>
      <c r="N332" s="10" t="n">
        <v>0</v>
      </c>
      <c r="O332" s="10" t="n">
        <v>0</v>
      </c>
      <c r="P332" s="10" t="n">
        <v>-3576</v>
      </c>
      <c r="Q332" s="10"/>
      <c r="R332" s="10"/>
      <c r="S332" s="22" t="s">
        <v>534</v>
      </c>
      <c r="T332" s="11"/>
      <c r="U332" s="21"/>
      <c r="V332" s="15"/>
      <c r="W332" s="23"/>
      <c r="X332" s="23"/>
      <c r="Y332" s="8"/>
      <c r="Z332" s="8"/>
      <c r="AA332" s="8"/>
      <c r="AB332" s="8"/>
      <c r="AC332" s="8"/>
    </row>
    <row r="333" customFormat="false" ht="15" hidden="false" customHeight="false" outlineLevel="0" collapsed="false">
      <c r="A333" s="9" t="n">
        <v>46304</v>
      </c>
      <c r="B333" s="11" t="s">
        <v>22</v>
      </c>
      <c r="C333" s="11" t="s">
        <v>23</v>
      </c>
      <c r="D333" s="11" t="s">
        <v>413</v>
      </c>
      <c r="E333" s="11" t="str">
        <f aca="false" t="array" ref="E333:E333">IF(D333="","",IFERROR(INDEX('CLM &amp; IM Mapping'!$B$2:$B$270,MATCH(TRIM(D333),'CLM &amp; IM Mapping'!$A$2:$A$270,0)),"Not Mapped"))</f>
        <v>Arun Raj</v>
      </c>
      <c r="F333" s="11" t="str">
        <f aca="false" t="array" ref="F333:F333">IF(D333="","",IFERROR(INDEX('CLM &amp; IM Mapping'!$C$2:$C$270,MATCH(TRIM(D333),'CLM &amp; IM Mapping'!$A$2:$A$270,0)),"Not Mapped"))</f>
        <v>Simon Manoharan</v>
      </c>
      <c r="G333" s="11" t="s">
        <v>25</v>
      </c>
      <c r="H333" s="10" t="n">
        <v>-11722</v>
      </c>
      <c r="I333" s="10" t="n">
        <v>1913</v>
      </c>
      <c r="J333" s="10" t="n">
        <v>0</v>
      </c>
      <c r="K333" s="10" t="n">
        <v>0</v>
      </c>
      <c r="L333" s="10" t="n">
        <v>1251</v>
      </c>
      <c r="M333" s="10" t="n">
        <v>0</v>
      </c>
      <c r="N333" s="10" t="n">
        <v>0</v>
      </c>
      <c r="O333" s="10" t="n">
        <v>3862</v>
      </c>
      <c r="P333" s="10" t="n">
        <v>-4695</v>
      </c>
      <c r="Q333" s="10"/>
      <c r="R333" s="10"/>
      <c r="S333" s="22"/>
      <c r="T333" s="11"/>
      <c r="U333" s="21"/>
      <c r="V333" s="15"/>
      <c r="W333" s="23"/>
      <c r="X333" s="23"/>
      <c r="Y333" s="8"/>
      <c r="Z333" s="8"/>
      <c r="AA333" s="8"/>
      <c r="AB333" s="8"/>
      <c r="AC333" s="8"/>
    </row>
    <row r="334" customFormat="false" ht="15" hidden="false" customHeight="false" outlineLevel="0" collapsed="false">
      <c r="A334" s="9" t="n">
        <v>46304</v>
      </c>
      <c r="B334" s="11" t="s">
        <v>22</v>
      </c>
      <c r="C334" s="11" t="s">
        <v>23</v>
      </c>
      <c r="D334" s="11" t="s">
        <v>44</v>
      </c>
      <c r="E334" s="11" t="str">
        <f aca="false" t="array" ref="E334:E334">IF(D334="","",IFERROR(INDEX('CLM &amp; IM Mapping'!$B$2:$B$270,MATCH(TRIM(D334),'CLM &amp; IM Mapping'!$A$2:$A$270,0)),"Not Mapped"))</f>
        <v>Rizwan Ahmed</v>
      </c>
      <c r="F334" s="11" t="str">
        <f aca="false" t="array" ref="F334:F334">IF(D334="","",IFERROR(INDEX('CLM &amp; IM Mapping'!$C$2:$C$270,MATCH(TRIM(D334),'CLM &amp; IM Mapping'!$A$2:$A$270,0)),"Not Mapped"))</f>
        <v>Un Mapped</v>
      </c>
      <c r="G334" s="11" t="s">
        <v>34</v>
      </c>
      <c r="H334" s="10" t="n">
        <v>85358</v>
      </c>
      <c r="I334" s="10" t="n">
        <v>10502</v>
      </c>
      <c r="J334" s="10" t="n">
        <v>0</v>
      </c>
      <c r="K334" s="10" t="n">
        <v>360</v>
      </c>
      <c r="L334" s="10" t="n">
        <v>281</v>
      </c>
      <c r="M334" s="10" t="n">
        <v>0</v>
      </c>
      <c r="N334" s="10" t="n">
        <v>1946</v>
      </c>
      <c r="O334" s="10" t="n">
        <v>0</v>
      </c>
      <c r="P334" s="10" t="n">
        <v>98447</v>
      </c>
      <c r="Q334" s="10"/>
      <c r="R334" s="10"/>
      <c r="S334" s="22"/>
      <c r="T334" s="11"/>
      <c r="U334" s="21"/>
      <c r="V334" s="15"/>
      <c r="W334" s="23"/>
      <c r="X334" s="23"/>
      <c r="Y334" s="8"/>
      <c r="Z334" s="8"/>
      <c r="AA334" s="8"/>
      <c r="AB334" s="8"/>
      <c r="AC334" s="8"/>
    </row>
    <row r="335" customFormat="false" ht="15" hidden="false" customHeight="false" outlineLevel="0" collapsed="false">
      <c r="A335" s="9" t="n">
        <v>46304</v>
      </c>
      <c r="B335" s="11" t="s">
        <v>22</v>
      </c>
      <c r="C335" s="11" t="s">
        <v>23</v>
      </c>
      <c r="D335" s="11" t="s">
        <v>195</v>
      </c>
      <c r="E335" s="11" t="str">
        <f aca="false" t="array" ref="E335:E335">IF(D335="","",IFERROR(INDEX('CLM &amp; IM Mapping'!$B$2:$B$270,MATCH(TRIM(D335),'CLM &amp; IM Mapping'!$A$2:$A$270,0)),"Not Mapped"))</f>
        <v>Adhavan Subramani</v>
      </c>
      <c r="F335" s="11" t="str">
        <f aca="false" t="array" ref="F335:F335">IF(D335="","",IFERROR(INDEX('CLM &amp; IM Mapping'!$C$2:$C$270,MATCH(TRIM(D335),'CLM &amp; IM Mapping'!$A$2:$A$270,0)),"Not Mapped"))</f>
        <v>Mohammed Akbar</v>
      </c>
      <c r="G335" s="11" t="s">
        <v>34</v>
      </c>
      <c r="H335" s="10" t="n">
        <v>14867</v>
      </c>
      <c r="I335" s="10" t="n">
        <v>5892</v>
      </c>
      <c r="J335" s="10" t="n">
        <v>983</v>
      </c>
      <c r="K335" s="10" t="n">
        <v>44</v>
      </c>
      <c r="L335" s="10" t="n">
        <v>23</v>
      </c>
      <c r="M335" s="10" t="n">
        <v>0</v>
      </c>
      <c r="N335" s="10" t="n">
        <v>1308</v>
      </c>
      <c r="O335" s="10" t="n">
        <v>0</v>
      </c>
      <c r="P335" s="10" t="n">
        <v>23116</v>
      </c>
      <c r="Q335" s="10"/>
      <c r="R335" s="10"/>
      <c r="S335" s="22"/>
      <c r="T335" s="11"/>
      <c r="U335" s="21"/>
      <c r="V335" s="15"/>
      <c r="W335" s="23"/>
      <c r="X335" s="23"/>
      <c r="Y335" s="8"/>
      <c r="Z335" s="8"/>
      <c r="AA335" s="8"/>
      <c r="AB335" s="8"/>
      <c r="AC335" s="8"/>
    </row>
    <row r="336" customFormat="false" ht="15" hidden="false" customHeight="false" outlineLevel="0" collapsed="false">
      <c r="A336" s="9" t="n">
        <v>46304</v>
      </c>
      <c r="B336" s="11" t="s">
        <v>22</v>
      </c>
      <c r="C336" s="11" t="s">
        <v>23</v>
      </c>
      <c r="D336" s="11" t="s">
        <v>231</v>
      </c>
      <c r="E336" s="11" t="str">
        <f aca="false" t="array" ref="E336:E336">IF(D336="","",IFERROR(INDEX('CLM &amp; IM Mapping'!$B$2:$B$270,MATCH(TRIM(D336),'CLM &amp; IM Mapping'!$A$2:$A$270,0)),"Not Mapped"))</f>
        <v>Arun Raj</v>
      </c>
      <c r="F336" s="11" t="str">
        <f aca="false" t="array" ref="F336:F336">IF(D336="","",IFERROR(INDEX('CLM &amp; IM Mapping'!$C$2:$C$270,MATCH(TRIM(D336),'CLM &amp; IM Mapping'!$A$2:$A$270,0)),"Not Mapped"))</f>
        <v>Simon Manoharan</v>
      </c>
      <c r="G336" s="11" t="s">
        <v>25</v>
      </c>
      <c r="H336" s="10" t="n">
        <v>-3414</v>
      </c>
      <c r="I336" s="10" t="n">
        <v>14417</v>
      </c>
      <c r="J336" s="10" t="n">
        <v>0</v>
      </c>
      <c r="K336" s="10" t="n">
        <v>0</v>
      </c>
      <c r="L336" s="10" t="n">
        <v>2332</v>
      </c>
      <c r="M336" s="10" t="n">
        <v>0</v>
      </c>
      <c r="N336" s="10" t="n">
        <v>0</v>
      </c>
      <c r="O336" s="10" t="n">
        <v>0</v>
      </c>
      <c r="P336" s="10" t="n">
        <v>13335</v>
      </c>
      <c r="Q336" s="10"/>
      <c r="R336" s="10"/>
      <c r="S336" s="22"/>
      <c r="T336" s="11"/>
      <c r="U336" s="21"/>
      <c r="V336" s="15"/>
      <c r="W336" s="23"/>
      <c r="X336" s="23"/>
      <c r="Y336" s="8"/>
      <c r="Z336" s="8"/>
      <c r="AA336" s="8"/>
      <c r="AB336" s="8"/>
      <c r="AC336" s="8"/>
    </row>
    <row r="337" customFormat="false" ht="15" hidden="false" customHeight="false" outlineLevel="0" collapsed="false">
      <c r="A337" s="9" t="n">
        <v>46304</v>
      </c>
      <c r="B337" s="11" t="s">
        <v>22</v>
      </c>
      <c r="C337" s="11" t="s">
        <v>23</v>
      </c>
      <c r="D337" s="11" t="s">
        <v>384</v>
      </c>
      <c r="E337" s="11" t="str">
        <f aca="false" t="array" ref="E337:E337">IF(D337="","",IFERROR(INDEX('CLM &amp; IM Mapping'!$B$2:$B$270,MATCH(TRIM(D337),'CLM &amp; IM Mapping'!$A$2:$A$270,0)),"Not Mapped"))</f>
        <v>Saddam Hussain</v>
      </c>
      <c r="F337" s="11" t="str">
        <f aca="false" t="array" ref="F337:F337">IF(D337="","",IFERROR(INDEX('CLM &amp; IM Mapping'!$C$2:$C$270,MATCH(TRIM(D337),'CLM &amp; IM Mapping'!$A$2:$A$270,0)),"Not Mapped"))</f>
        <v>Un Mapped</v>
      </c>
      <c r="G337" s="11" t="s">
        <v>34</v>
      </c>
      <c r="H337" s="10" t="n">
        <v>-10046</v>
      </c>
      <c r="I337" s="10" t="n">
        <v>9523</v>
      </c>
      <c r="J337" s="10" t="n">
        <v>0</v>
      </c>
      <c r="K337" s="10" t="n">
        <v>0</v>
      </c>
      <c r="L337" s="10" t="n">
        <v>840</v>
      </c>
      <c r="M337" s="10" t="n">
        <v>0</v>
      </c>
      <c r="N337" s="10" t="n">
        <v>0</v>
      </c>
      <c r="O337" s="10" t="n">
        <v>0</v>
      </c>
      <c r="P337" s="10" t="n">
        <v>317</v>
      </c>
      <c r="Q337" s="10"/>
      <c r="R337" s="11"/>
      <c r="S337" s="22"/>
      <c r="T337" s="11"/>
      <c r="U337" s="21"/>
      <c r="V337" s="15"/>
      <c r="W337" s="23"/>
      <c r="X337" s="23"/>
      <c r="Y337" s="8"/>
      <c r="Z337" s="8"/>
      <c r="AA337" s="8"/>
      <c r="AB337" s="8"/>
      <c r="AC337" s="8"/>
    </row>
    <row r="338" customFormat="false" ht="15" hidden="false" customHeight="false" outlineLevel="0" collapsed="false">
      <c r="A338" s="9" t="n">
        <v>46304</v>
      </c>
      <c r="B338" s="11" t="s">
        <v>22</v>
      </c>
      <c r="C338" s="11" t="s">
        <v>23</v>
      </c>
      <c r="D338" s="11" t="s">
        <v>216</v>
      </c>
      <c r="E338" s="11" t="str">
        <f aca="false" t="array" ref="E338:E338">IF(D338="","",IFERROR(INDEX('CLM &amp; IM Mapping'!$B$2:$B$270,MATCH(TRIM(D338),'CLM &amp; IM Mapping'!$A$2:$A$270,0)),"Not Mapped"))</f>
        <v>Silambarasan E</v>
      </c>
      <c r="F338" s="11" t="str">
        <f aca="false" t="array" ref="F338:F338">IF(D338="","",IFERROR(INDEX('CLM &amp; IM Mapping'!$C$2:$C$270,MATCH(TRIM(D338),'CLM &amp; IM Mapping'!$A$2:$A$270,0)),"Not Mapped"))</f>
        <v>Arivind S</v>
      </c>
      <c r="G338" s="11" t="s">
        <v>34</v>
      </c>
      <c r="H338" s="10" t="n">
        <v>8867</v>
      </c>
      <c r="I338" s="10" t="n">
        <v>10829</v>
      </c>
      <c r="J338" s="10" t="n">
        <v>1547</v>
      </c>
      <c r="K338" s="10" t="n">
        <v>0</v>
      </c>
      <c r="L338" s="10" t="n">
        <v>589</v>
      </c>
      <c r="M338" s="10" t="n">
        <v>0</v>
      </c>
      <c r="N338" s="10" t="n">
        <v>0</v>
      </c>
      <c r="O338" s="10" t="n">
        <v>0</v>
      </c>
      <c r="P338" s="10" t="n">
        <v>21833</v>
      </c>
      <c r="Q338" s="10"/>
      <c r="R338" s="10"/>
      <c r="S338" s="22"/>
      <c r="T338" s="11"/>
      <c r="U338" s="21"/>
      <c r="V338" s="15"/>
      <c r="W338" s="23"/>
      <c r="X338" s="23"/>
      <c r="Y338" s="8"/>
      <c r="Z338" s="8"/>
      <c r="AA338" s="8"/>
      <c r="AB338" s="8"/>
      <c r="AC338" s="8"/>
    </row>
    <row r="339" customFormat="false" ht="15" hidden="false" customHeight="false" outlineLevel="0" collapsed="false">
      <c r="A339" s="9" t="n">
        <v>46304</v>
      </c>
      <c r="B339" s="11" t="s">
        <v>22</v>
      </c>
      <c r="C339" s="11" t="s">
        <v>23</v>
      </c>
      <c r="D339" s="11" t="s">
        <v>460</v>
      </c>
      <c r="E339" s="11" t="str">
        <f aca="false" t="array" ref="E339:E339">IF(D339="","",IFERROR(INDEX('CLM &amp; IM Mapping'!$B$2:$B$270,MATCH(TRIM(D339),'CLM &amp; IM Mapping'!$A$2:$A$270,0)),"Not Mapped"))</f>
        <v>Vijay M</v>
      </c>
      <c r="F339" s="11" t="str">
        <f aca="false" t="array" ref="F339:F339">IF(D339="","",IFERROR(INDEX('CLM &amp; IM Mapping'!$C$2:$C$270,MATCH(TRIM(D339),'CLM &amp; IM Mapping'!$A$2:$A$270,0)),"Not Mapped"))</f>
        <v>Kantha Kumar</v>
      </c>
      <c r="G339" s="11" t="s">
        <v>34</v>
      </c>
      <c r="H339" s="10" t="n">
        <v>-26031</v>
      </c>
      <c r="I339" s="10" t="n">
        <v>17356</v>
      </c>
      <c r="J339" s="10" t="n">
        <v>0</v>
      </c>
      <c r="K339" s="10" t="n">
        <v>321</v>
      </c>
      <c r="L339" s="10" t="n">
        <v>899</v>
      </c>
      <c r="M339" s="10" t="n">
        <v>0</v>
      </c>
      <c r="N339" s="10" t="n">
        <v>0</v>
      </c>
      <c r="O339" s="10" t="n">
        <v>330</v>
      </c>
      <c r="P339" s="10" t="n">
        <v>-7125</v>
      </c>
      <c r="Q339" s="10"/>
      <c r="R339" s="10"/>
      <c r="S339" s="22"/>
      <c r="T339" s="11"/>
      <c r="U339" s="21"/>
      <c r="V339" s="15"/>
      <c r="W339" s="23"/>
      <c r="X339" s="23"/>
      <c r="Y339" s="8"/>
      <c r="Z339" s="8"/>
      <c r="AA339" s="8"/>
      <c r="AB339" s="8"/>
      <c r="AC339" s="8"/>
    </row>
    <row r="340" customFormat="false" ht="15" hidden="false" customHeight="false" outlineLevel="0" collapsed="false">
      <c r="A340" s="9" t="n">
        <v>46304</v>
      </c>
      <c r="B340" s="11" t="s">
        <v>22</v>
      </c>
      <c r="C340" s="11" t="s">
        <v>23</v>
      </c>
      <c r="D340" s="11" t="s">
        <v>38</v>
      </c>
      <c r="E340" s="11" t="str">
        <f aca="false" t="array" ref="E340:E340">IF(D340="","",IFERROR(INDEX('CLM &amp; IM Mapping'!$B$2:$B$270,MATCH(TRIM(D340),'CLM &amp; IM Mapping'!$A$2:$A$270,0)),"Not Mapped"))</f>
        <v>Vijay M</v>
      </c>
      <c r="F340" s="11" t="str">
        <f aca="false" t="array" ref="F340:F340">IF(D340="","",IFERROR(INDEX('CLM &amp; IM Mapping'!$C$2:$C$270,MATCH(TRIM(D340),'CLM &amp; IM Mapping'!$A$2:$A$270,0)),"Not Mapped"))</f>
        <v>Kantha Kumar</v>
      </c>
      <c r="G340" s="11" t="s">
        <v>34</v>
      </c>
      <c r="H340" s="10" t="n">
        <v>34520</v>
      </c>
      <c r="I340" s="10" t="n">
        <v>64317</v>
      </c>
      <c r="J340" s="10" t="n">
        <v>222</v>
      </c>
      <c r="K340" s="10" t="n">
        <v>451</v>
      </c>
      <c r="L340" s="10" t="n">
        <v>1729</v>
      </c>
      <c r="M340" s="10" t="n">
        <v>0</v>
      </c>
      <c r="N340" s="10" t="n">
        <v>1715</v>
      </c>
      <c r="O340" s="10" t="n">
        <v>0</v>
      </c>
      <c r="P340" s="10" t="n">
        <v>102954</v>
      </c>
      <c r="Q340" s="10"/>
      <c r="R340" s="10"/>
      <c r="S340" s="22"/>
      <c r="T340" s="11"/>
      <c r="U340" s="21"/>
      <c r="V340" s="15"/>
      <c r="W340" s="23"/>
      <c r="X340" s="23"/>
      <c r="Y340" s="8"/>
      <c r="Z340" s="8"/>
      <c r="AA340" s="8"/>
      <c r="AB340" s="8"/>
      <c r="AC340" s="8"/>
    </row>
    <row r="341" customFormat="false" ht="15" hidden="false" customHeight="false" outlineLevel="0" collapsed="false">
      <c r="A341" s="9" t="n">
        <v>46304</v>
      </c>
      <c r="B341" s="11" t="s">
        <v>22</v>
      </c>
      <c r="C341" s="11" t="s">
        <v>212</v>
      </c>
      <c r="D341" s="11" t="s">
        <v>440</v>
      </c>
      <c r="E341" s="11" t="str">
        <f aca="false" t="array" ref="E341:E341">IF(D341="","",IFERROR(INDEX('CLM &amp; IM Mapping'!$B$2:$B$270,MATCH(TRIM(D341),'CLM &amp; IM Mapping'!$A$2:$A$270,0)),"Not Mapped"))</f>
        <v>Bangareppa CS</v>
      </c>
      <c r="F341" s="11" t="str">
        <f aca="false" t="array" ref="F341:F341">IF(D341="","",IFERROR(INDEX('CLM &amp; IM Mapping'!$C$2:$C$270,MATCH(TRIM(D341),'CLM &amp; IM Mapping'!$A$2:$A$270,0)),"Not Mapped"))</f>
        <v>Kishor K</v>
      </c>
      <c r="G341" s="11" t="s">
        <v>34</v>
      </c>
      <c r="H341" s="10" t="n">
        <v>-8348</v>
      </c>
      <c r="I341" s="10" t="n">
        <v>0</v>
      </c>
      <c r="J341" s="10" t="n">
        <v>0</v>
      </c>
      <c r="K341" s="10" t="n">
        <v>0</v>
      </c>
      <c r="L341" s="10" t="n">
        <v>8</v>
      </c>
      <c r="M341" s="10" t="n">
        <v>0</v>
      </c>
      <c r="N341" s="10" t="n">
        <v>0</v>
      </c>
      <c r="O341" s="10" t="n">
        <v>0</v>
      </c>
      <c r="P341" s="10" t="n">
        <v>-8341</v>
      </c>
      <c r="Q341" s="10"/>
      <c r="R341" s="10"/>
      <c r="S341" s="22"/>
      <c r="T341" s="11"/>
      <c r="U341" s="21"/>
      <c r="V341" s="15"/>
      <c r="W341" s="23"/>
      <c r="X341" s="23"/>
      <c r="Y341" s="8"/>
      <c r="Z341" s="8"/>
      <c r="AA341" s="8"/>
      <c r="AB341" s="8"/>
      <c r="AC341" s="8"/>
    </row>
    <row r="342" customFormat="false" ht="15" hidden="false" customHeight="false" outlineLevel="0" collapsed="false">
      <c r="A342" s="9" t="n">
        <v>46304</v>
      </c>
      <c r="B342" s="11" t="s">
        <v>22</v>
      </c>
      <c r="C342" s="11" t="s">
        <v>23</v>
      </c>
      <c r="D342" s="11" t="s">
        <v>242</v>
      </c>
      <c r="E342" s="11" t="str">
        <f aca="false" t="array" ref="E342:E342">IF(D342="","",IFERROR(INDEX('CLM &amp; IM Mapping'!$B$2:$B$270,MATCH(TRIM(D342),'CLM &amp; IM Mapping'!$A$2:$A$270,0)),"Not Mapped"))</f>
        <v>Suhas N</v>
      </c>
      <c r="F342" s="11" t="str">
        <f aca="false" t="array" ref="F342:F342">IF(D342="","",IFERROR(INDEX('CLM &amp; IM Mapping'!$C$2:$C$270,MATCH(TRIM(D342),'CLM &amp; IM Mapping'!$A$2:$A$270,0)),"Not Mapped"))</f>
        <v>Aravind S</v>
      </c>
      <c r="G342" s="11" t="s">
        <v>34</v>
      </c>
      <c r="H342" s="10" t="n">
        <v>-1365</v>
      </c>
      <c r="I342" s="10" t="n">
        <v>8877</v>
      </c>
      <c r="J342" s="10" t="n">
        <v>0</v>
      </c>
      <c r="K342" s="10" t="n">
        <v>1705</v>
      </c>
      <c r="L342" s="10" t="n">
        <v>165</v>
      </c>
      <c r="M342" s="10" t="n">
        <v>0</v>
      </c>
      <c r="N342" s="10" t="n">
        <v>1514</v>
      </c>
      <c r="O342" s="10" t="n">
        <v>0</v>
      </c>
      <c r="P342" s="10" t="n">
        <v>10896</v>
      </c>
      <c r="Q342" s="10"/>
      <c r="R342" s="10"/>
      <c r="S342" s="12" t="s">
        <v>243</v>
      </c>
      <c r="T342" s="15" t="n">
        <v>6000</v>
      </c>
      <c r="U342" s="21"/>
      <c r="V342" s="15"/>
      <c r="W342" s="23"/>
      <c r="X342" s="23"/>
      <c r="Y342" s="8"/>
      <c r="Z342" s="8"/>
      <c r="AA342" s="8"/>
      <c r="AB342" s="8"/>
      <c r="AC342" s="8"/>
    </row>
    <row r="343" customFormat="false" ht="15" hidden="false" customHeight="false" outlineLevel="0" collapsed="false">
      <c r="A343" s="9" t="n">
        <v>46304</v>
      </c>
      <c r="B343" s="11" t="s">
        <v>22</v>
      </c>
      <c r="C343" s="11" t="s">
        <v>23</v>
      </c>
      <c r="D343" s="11" t="s">
        <v>405</v>
      </c>
      <c r="E343" s="11" t="str">
        <f aca="false" t="array" ref="E343:E343">IF(D343="","",IFERROR(INDEX('CLM &amp; IM Mapping'!$B$2:$B$270,MATCH(TRIM(D343),'CLM &amp; IM Mapping'!$A$2:$A$270,0)),"Not Mapped"))</f>
        <v>Adhavan Subramani</v>
      </c>
      <c r="F343" s="11" t="str">
        <f aca="false" t="array" ref="F343:F343">IF(D343="","",IFERROR(INDEX('CLM &amp; IM Mapping'!$C$2:$C$270,MATCH(TRIM(D343),'CLM &amp; IM Mapping'!$A$2:$A$270,0)),"Not Mapped"))</f>
        <v>Mohammed Akbar</v>
      </c>
      <c r="G343" s="11" t="s">
        <v>34</v>
      </c>
      <c r="H343" s="10" t="n">
        <v>-10181</v>
      </c>
      <c r="I343" s="10" t="n">
        <v>52</v>
      </c>
      <c r="J343" s="10" t="n">
        <v>0</v>
      </c>
      <c r="K343" s="10" t="n">
        <v>0</v>
      </c>
      <c r="L343" s="10" t="n">
        <v>138</v>
      </c>
      <c r="M343" s="10" t="n">
        <v>0</v>
      </c>
      <c r="N343" s="10" t="n">
        <v>0</v>
      </c>
      <c r="O343" s="10" t="n">
        <v>0</v>
      </c>
      <c r="P343" s="10" t="n">
        <v>-9992</v>
      </c>
      <c r="Q343" s="10"/>
      <c r="R343" s="10"/>
      <c r="S343" s="22"/>
      <c r="T343" s="11"/>
      <c r="U343" s="21"/>
      <c r="V343" s="15"/>
      <c r="W343" s="23"/>
      <c r="X343" s="23"/>
      <c r="Y343" s="8"/>
      <c r="Z343" s="8"/>
      <c r="AA343" s="8"/>
      <c r="AB343" s="8"/>
      <c r="AC343" s="8"/>
    </row>
    <row r="344" customFormat="false" ht="15" hidden="false" customHeight="false" outlineLevel="0" collapsed="false">
      <c r="A344" s="9" t="n">
        <v>46304</v>
      </c>
      <c r="B344" s="11" t="s">
        <v>22</v>
      </c>
      <c r="C344" s="11" t="s">
        <v>23</v>
      </c>
      <c r="D344" s="11" t="s">
        <v>205</v>
      </c>
      <c r="E344" s="11" t="str">
        <f aca="false" t="array" ref="E344:E344">IF(D344="","",IFERROR(INDEX('CLM &amp; IM Mapping'!$B$2:$B$270,MATCH(TRIM(D344),'CLM &amp; IM Mapping'!$A$2:$A$270,0)),"Not Mapped"))</f>
        <v>Akshay P</v>
      </c>
      <c r="F344" s="11" t="str">
        <f aca="false" t="array" ref="F344:F344">IF(D344="","",IFERROR(INDEX('CLM &amp; IM Mapping'!$C$2:$C$270,MATCH(TRIM(D344),'CLM &amp; IM Mapping'!$A$2:$A$270,0)),"Not Mapped"))</f>
        <v>Srittam Dhal</v>
      </c>
      <c r="G344" s="11" t="s">
        <v>34</v>
      </c>
      <c r="H344" s="10" t="n">
        <v>16890</v>
      </c>
      <c r="I344" s="10" t="n">
        <v>11174</v>
      </c>
      <c r="J344" s="10" t="n">
        <v>0</v>
      </c>
      <c r="K344" s="10" t="n">
        <v>0</v>
      </c>
      <c r="L344" s="10" t="n">
        <v>646</v>
      </c>
      <c r="M344" s="10" t="n">
        <v>0</v>
      </c>
      <c r="N344" s="10" t="n">
        <v>0</v>
      </c>
      <c r="O344" s="10" t="n">
        <v>452</v>
      </c>
      <c r="P344" s="10" t="n">
        <v>29162</v>
      </c>
      <c r="Q344" s="10"/>
      <c r="R344" s="10"/>
      <c r="S344" s="22"/>
      <c r="T344" s="11"/>
      <c r="U344" s="21"/>
      <c r="V344" s="15"/>
      <c r="W344" s="23"/>
      <c r="X344" s="23"/>
      <c r="Y344" s="8"/>
      <c r="Z344" s="8"/>
      <c r="AA344" s="8"/>
      <c r="AB344" s="8"/>
      <c r="AC344" s="8"/>
    </row>
    <row r="345" customFormat="false" ht="15" hidden="false" customHeight="false" outlineLevel="0" collapsed="false">
      <c r="A345" s="9" t="n">
        <v>46304</v>
      </c>
      <c r="B345" s="11" t="s">
        <v>22</v>
      </c>
      <c r="C345" s="11" t="s">
        <v>212</v>
      </c>
      <c r="D345" s="11" t="s">
        <v>472</v>
      </c>
      <c r="E345" s="11" t="str">
        <f aca="false" t="array" ref="E345:E345">IF(D345="","",IFERROR(INDEX('CLM &amp; IM Mapping'!$B$2:$B$270,MATCH(TRIM(D345),'CLM &amp; IM Mapping'!$A$2:$A$270,0)),"Not Mapped"))</f>
        <v>Bangareppa CS</v>
      </c>
      <c r="F345" s="11" t="str">
        <f aca="false" t="array" ref="F345:F345">IF(D345="","",IFERROR(INDEX('CLM &amp; IM Mapping'!$C$2:$C$270,MATCH(TRIM(D345),'CLM &amp; IM Mapping'!$A$2:$A$270,0)),"Not Mapped"))</f>
        <v>Kishor K</v>
      </c>
      <c r="G345" s="11" t="s">
        <v>34</v>
      </c>
      <c r="H345" s="10" t="n">
        <v>-19733</v>
      </c>
      <c r="I345" s="10" t="n">
        <v>6075</v>
      </c>
      <c r="J345" s="10" t="n">
        <v>641</v>
      </c>
      <c r="K345" s="10" t="n">
        <v>0</v>
      </c>
      <c r="L345" s="10" t="n">
        <v>555</v>
      </c>
      <c r="M345" s="10" t="n">
        <v>0</v>
      </c>
      <c r="N345" s="10" t="n">
        <v>0</v>
      </c>
      <c r="O345" s="10" t="n">
        <v>0</v>
      </c>
      <c r="P345" s="10" t="n">
        <v>-12462</v>
      </c>
      <c r="Q345" s="10"/>
      <c r="R345" s="10"/>
      <c r="S345" s="22"/>
      <c r="T345" s="11"/>
      <c r="U345" s="21"/>
      <c r="V345" s="15"/>
      <c r="W345" s="23"/>
      <c r="X345" s="23"/>
      <c r="Y345" s="8"/>
      <c r="Z345" s="8"/>
      <c r="AA345" s="8"/>
      <c r="AB345" s="8"/>
      <c r="AC345" s="8"/>
    </row>
    <row r="346" customFormat="false" ht="15" hidden="false" customHeight="false" outlineLevel="0" collapsed="false">
      <c r="A346" s="9" t="n">
        <v>46304</v>
      </c>
      <c r="B346" s="11" t="s">
        <v>22</v>
      </c>
      <c r="C346" s="11" t="s">
        <v>336</v>
      </c>
      <c r="D346" s="11" t="s">
        <v>337</v>
      </c>
      <c r="E346" s="11" t="str">
        <f aca="false" t="array" ref="E346:E346">IF(D346="","",IFERROR(INDEX('CLM &amp; IM Mapping'!$B$2:$B$270,MATCH(TRIM(D346),'CLM &amp; IM Mapping'!$A$2:$A$270,0)),"Not Mapped"))</f>
        <v>Akshay P</v>
      </c>
      <c r="F346" s="11" t="str">
        <f aca="false" t="array" ref="F346:F346">IF(D346="","",IFERROR(INDEX('CLM &amp; IM Mapping'!$C$2:$C$270,MATCH(TRIM(D346),'CLM &amp; IM Mapping'!$A$2:$A$270,0)),"Not Mapped"))</f>
        <v>Srittam Dhal</v>
      </c>
      <c r="G346" s="11" t="s">
        <v>34</v>
      </c>
      <c r="H346" s="10" t="n">
        <v>722</v>
      </c>
      <c r="I346" s="10" t="n">
        <v>511</v>
      </c>
      <c r="J346" s="10" t="n">
        <v>0</v>
      </c>
      <c r="K346" s="10" t="n">
        <v>0</v>
      </c>
      <c r="L346" s="10" t="n">
        <v>0</v>
      </c>
      <c r="M346" s="10" t="n">
        <v>0</v>
      </c>
      <c r="N346" s="10" t="n">
        <v>0</v>
      </c>
      <c r="O346" s="10" t="n">
        <v>0</v>
      </c>
      <c r="P346" s="10" t="n">
        <v>1233</v>
      </c>
      <c r="Q346" s="11"/>
      <c r="R346" s="10"/>
      <c r="S346" s="19"/>
      <c r="T346" s="11"/>
      <c r="U346" s="21"/>
      <c r="V346" s="15"/>
      <c r="W346" s="23"/>
      <c r="X346" s="23"/>
      <c r="Y346" s="8"/>
      <c r="Z346" s="8"/>
      <c r="AA346" s="8"/>
      <c r="AB346" s="8"/>
      <c r="AC346" s="8"/>
    </row>
    <row r="347" customFormat="false" ht="44" hidden="false" customHeight="false" outlineLevel="0" collapsed="false">
      <c r="A347" s="9" t="n">
        <v>46304</v>
      </c>
      <c r="B347" s="11" t="s">
        <v>22</v>
      </c>
      <c r="C347" s="11" t="s">
        <v>23</v>
      </c>
      <c r="D347" s="11" t="s">
        <v>233</v>
      </c>
      <c r="E347" s="11" t="str">
        <f aca="false" t="array" ref="E347:E347">IF(D347="","",IFERROR(INDEX('CLM &amp; IM Mapping'!$B$2:$B$270,MATCH(TRIM(D347),'CLM &amp; IM Mapping'!$A$2:$A$270,0)),"Not Mapped"))</f>
        <v>Suhas N</v>
      </c>
      <c r="F347" s="11" t="str">
        <f aca="false" t="array" ref="F347:F347">IF(D347="","",IFERROR(INDEX('CLM &amp; IM Mapping'!$C$2:$C$270,MATCH(TRIM(D347),'CLM &amp; IM Mapping'!$A$2:$A$270,0)),"Not Mapped"))</f>
        <v>Aravind S</v>
      </c>
      <c r="G347" s="11" t="s">
        <v>34</v>
      </c>
      <c r="H347" s="10" t="n">
        <v>4388</v>
      </c>
      <c r="I347" s="10" t="n">
        <v>5397</v>
      </c>
      <c r="J347" s="10" t="n">
        <v>0</v>
      </c>
      <c r="K347" s="10" t="n">
        <v>75</v>
      </c>
      <c r="L347" s="10" t="n">
        <v>7485</v>
      </c>
      <c r="M347" s="10" t="n">
        <v>0</v>
      </c>
      <c r="N347" s="10" t="n">
        <v>5918</v>
      </c>
      <c r="O347" s="10" t="n">
        <v>0</v>
      </c>
      <c r="P347" s="10" t="n">
        <v>23263</v>
      </c>
      <c r="Q347" s="10"/>
      <c r="R347" s="10"/>
      <c r="S347" s="12" t="s">
        <v>234</v>
      </c>
      <c r="T347" s="15" t="n">
        <v>10000</v>
      </c>
      <c r="U347" s="21"/>
      <c r="V347" s="15"/>
      <c r="W347" s="23"/>
      <c r="X347" s="23"/>
      <c r="Y347" s="8"/>
      <c r="Z347" s="8"/>
      <c r="AA347" s="8"/>
      <c r="AB347" s="8"/>
      <c r="AC347" s="8"/>
    </row>
    <row r="348" customFormat="false" ht="15" hidden="false" customHeight="false" outlineLevel="0" collapsed="false">
      <c r="A348" s="9" t="n">
        <v>46304</v>
      </c>
      <c r="B348" s="11" t="s">
        <v>22</v>
      </c>
      <c r="C348" s="11" t="s">
        <v>23</v>
      </c>
      <c r="D348" s="11" t="s">
        <v>309</v>
      </c>
      <c r="E348" s="11" t="str">
        <f aca="false" t="array" ref="E348:E348">IF(D348="","",IFERROR(INDEX('CLM &amp; IM Mapping'!$B$2:$B$270,MATCH(TRIM(D348),'CLM &amp; IM Mapping'!$A$2:$A$270,0)),"Not Mapped"))</f>
        <v>Ashwath S</v>
      </c>
      <c r="F348" s="11" t="str">
        <f aca="false" t="array" ref="F348:F348">IF(D348="","",IFERROR(INDEX('CLM &amp; IM Mapping'!$C$2:$C$270,MATCH(TRIM(D348),'CLM &amp; IM Mapping'!$A$2:$A$270,0)),"Not Mapped"))</f>
        <v>Kantha Kumar</v>
      </c>
      <c r="G348" s="11" t="s">
        <v>34</v>
      </c>
      <c r="H348" s="10" t="n">
        <v>-15511</v>
      </c>
      <c r="I348" s="10" t="n">
        <v>7006</v>
      </c>
      <c r="J348" s="10" t="n">
        <v>0</v>
      </c>
      <c r="K348" s="10" t="n">
        <v>732</v>
      </c>
      <c r="L348" s="10" t="n">
        <v>357</v>
      </c>
      <c r="M348" s="10" t="n">
        <v>0</v>
      </c>
      <c r="N348" s="10" t="n">
        <v>0</v>
      </c>
      <c r="O348" s="10" t="n">
        <v>0</v>
      </c>
      <c r="P348" s="10" t="n">
        <v>-7415</v>
      </c>
      <c r="Q348" s="10"/>
      <c r="R348" s="10"/>
      <c r="S348" s="22"/>
      <c r="T348" s="11"/>
      <c r="U348" s="21"/>
      <c r="V348" s="15"/>
      <c r="W348" s="23"/>
      <c r="X348" s="23"/>
      <c r="Y348" s="8"/>
      <c r="Z348" s="8"/>
      <c r="AA348" s="8"/>
      <c r="AB348" s="8"/>
      <c r="AC348" s="8"/>
    </row>
    <row r="349" customFormat="false" ht="15" hidden="false" customHeight="false" outlineLevel="0" collapsed="false">
      <c r="A349" s="9" t="n">
        <v>46304</v>
      </c>
      <c r="B349" s="11" t="s">
        <v>22</v>
      </c>
      <c r="C349" s="11" t="s">
        <v>23</v>
      </c>
      <c r="D349" s="11" t="s">
        <v>348</v>
      </c>
      <c r="E349" s="11" t="str">
        <f aca="false" t="array" ref="E349:E349">IF(D349="","",IFERROR(INDEX('CLM &amp; IM Mapping'!$B$2:$B$270,MATCH(TRIM(D349),'CLM &amp; IM Mapping'!$A$2:$A$270,0)),"Not Mapped"))</f>
        <v>Arun Raj</v>
      </c>
      <c r="F349" s="11" t="str">
        <f aca="false" t="array" ref="F349:F349">IF(D349="","",IFERROR(INDEX('CLM &amp; IM Mapping'!$C$2:$C$270,MATCH(TRIM(D349),'CLM &amp; IM Mapping'!$A$2:$A$270,0)),"Not Mapped"))</f>
        <v>Simon Manoharan</v>
      </c>
      <c r="G349" s="11" t="s">
        <v>25</v>
      </c>
      <c r="H349" s="10" t="n">
        <v>-7259</v>
      </c>
      <c r="I349" s="10" t="n">
        <v>13585</v>
      </c>
      <c r="J349" s="10" t="n">
        <v>0</v>
      </c>
      <c r="K349" s="10" t="n">
        <v>673</v>
      </c>
      <c r="L349" s="10" t="n">
        <v>889</v>
      </c>
      <c r="M349" s="10" t="n">
        <v>0</v>
      </c>
      <c r="N349" s="10" t="n">
        <v>0</v>
      </c>
      <c r="O349" s="10" t="n">
        <v>0</v>
      </c>
      <c r="P349" s="10" t="n">
        <v>7889</v>
      </c>
      <c r="Q349" s="10"/>
      <c r="R349" s="10"/>
      <c r="S349" s="22"/>
      <c r="T349" s="11"/>
      <c r="U349" s="21"/>
      <c r="V349" s="15"/>
      <c r="W349" s="23"/>
      <c r="X349" s="23"/>
      <c r="Y349" s="8"/>
      <c r="Z349" s="8"/>
      <c r="AA349" s="8"/>
      <c r="AB349" s="8"/>
      <c r="AC349" s="8"/>
    </row>
    <row r="350" customFormat="false" ht="15" hidden="false" customHeight="false" outlineLevel="0" collapsed="false">
      <c r="A350" s="9" t="n">
        <v>46304</v>
      </c>
      <c r="B350" s="11" t="s">
        <v>22</v>
      </c>
      <c r="C350" s="11" t="s">
        <v>23</v>
      </c>
      <c r="D350" s="11" t="s">
        <v>218</v>
      </c>
      <c r="E350" s="11" t="str">
        <f aca="false" t="array" ref="E350:E350">IF(D350="","",IFERROR(INDEX('CLM &amp; IM Mapping'!$B$2:$B$270,MATCH(TRIM(D350),'CLM &amp; IM Mapping'!$A$2:$A$270,0)),"Not Mapped"))</f>
        <v>Ashwath S</v>
      </c>
      <c r="F350" s="11" t="str">
        <f aca="false" t="array" ref="F350:F350">IF(D350="","",IFERROR(INDEX('CLM &amp; IM Mapping'!$C$2:$C$270,MATCH(TRIM(D350),'CLM &amp; IM Mapping'!$A$2:$A$270,0)),"Not Mapped"))</f>
        <v>Kantha Kumar</v>
      </c>
      <c r="G350" s="11" t="s">
        <v>34</v>
      </c>
      <c r="H350" s="10" t="n">
        <v>12923</v>
      </c>
      <c r="I350" s="10" t="n">
        <v>11320</v>
      </c>
      <c r="J350" s="10" t="n">
        <v>41</v>
      </c>
      <c r="K350" s="10" t="n">
        <v>2129</v>
      </c>
      <c r="L350" s="10" t="n">
        <v>187</v>
      </c>
      <c r="M350" s="10" t="n">
        <v>0</v>
      </c>
      <c r="N350" s="10" t="n">
        <v>384</v>
      </c>
      <c r="O350" s="10" t="n">
        <v>0</v>
      </c>
      <c r="P350" s="10" t="n">
        <v>26983</v>
      </c>
      <c r="Q350" s="10"/>
      <c r="R350" s="10"/>
      <c r="S350" s="22"/>
      <c r="T350" s="11"/>
      <c r="U350" s="21"/>
      <c r="V350" s="15"/>
      <c r="W350" s="23"/>
      <c r="X350" s="23"/>
      <c r="Y350" s="8"/>
      <c r="Z350" s="8"/>
      <c r="AA350" s="8"/>
      <c r="AB350" s="8"/>
      <c r="AC350" s="8"/>
    </row>
    <row r="351" customFormat="false" ht="15" hidden="false" customHeight="false" outlineLevel="0" collapsed="false">
      <c r="A351" s="9" t="n">
        <v>46304</v>
      </c>
      <c r="B351" s="11" t="s">
        <v>22</v>
      </c>
      <c r="C351" s="11" t="s">
        <v>23</v>
      </c>
      <c r="D351" s="11" t="s">
        <v>59</v>
      </c>
      <c r="E351" s="11" t="str">
        <f aca="false" t="array" ref="E351:E351">IF(D351="","",IFERROR(INDEX('CLM &amp; IM Mapping'!$B$2:$B$270,MATCH(TRIM(D351),'CLM &amp; IM Mapping'!$A$2:$A$270,0)),"Not Mapped"))</f>
        <v>Saddam Hussain</v>
      </c>
      <c r="F351" s="11" t="str">
        <f aca="false" t="array" ref="F351:F351">IF(D351="","",IFERROR(INDEX('CLM &amp; IM Mapping'!$C$2:$C$270,MATCH(TRIM(D351),'CLM &amp; IM Mapping'!$A$2:$A$270,0)),"Not Mapped"))</f>
        <v>Un Mapped</v>
      </c>
      <c r="G351" s="11" t="s">
        <v>34</v>
      </c>
      <c r="H351" s="10" t="n">
        <v>862</v>
      </c>
      <c r="I351" s="10" t="n">
        <v>25426</v>
      </c>
      <c r="J351" s="10" t="n">
        <v>0</v>
      </c>
      <c r="K351" s="10" t="n">
        <v>10456</v>
      </c>
      <c r="L351" s="10" t="n">
        <v>1506</v>
      </c>
      <c r="M351" s="10" t="n">
        <v>0</v>
      </c>
      <c r="N351" s="10" t="n">
        <v>1629</v>
      </c>
      <c r="O351" s="10" t="n">
        <v>0</v>
      </c>
      <c r="P351" s="10" t="n">
        <v>39878</v>
      </c>
      <c r="Q351" s="10"/>
      <c r="R351" s="10"/>
      <c r="S351" s="22"/>
      <c r="T351" s="11"/>
      <c r="U351" s="21"/>
      <c r="V351" s="15"/>
      <c r="W351" s="23"/>
      <c r="X351" s="23"/>
      <c r="Y351" s="8"/>
      <c r="Z351" s="8"/>
      <c r="AA351" s="8"/>
      <c r="AB351" s="8"/>
      <c r="AC351" s="8"/>
    </row>
    <row r="352" customFormat="false" ht="15" hidden="false" customHeight="false" outlineLevel="0" collapsed="false">
      <c r="A352" s="9" t="n">
        <v>46304</v>
      </c>
      <c r="B352" s="11" t="s">
        <v>22</v>
      </c>
      <c r="C352" s="11" t="s">
        <v>23</v>
      </c>
      <c r="D352" s="11" t="s">
        <v>479</v>
      </c>
      <c r="E352" s="11" t="str">
        <f aca="false" t="array" ref="E352:E352">IF(D352="","",IFERROR(INDEX('CLM &amp; IM Mapping'!$B$2:$B$270,MATCH(TRIM(D352),'CLM &amp; IM Mapping'!$A$2:$A$270,0)),"Not Mapped"))</f>
        <v>Arun Raj</v>
      </c>
      <c r="F352" s="11" t="str">
        <f aca="false" t="array" ref="F352:F352">IF(D352="","",IFERROR(INDEX('CLM &amp; IM Mapping'!$C$2:$C$270,MATCH(TRIM(D352),'CLM &amp; IM Mapping'!$A$2:$A$270,0)),"Not Mapped"))</f>
        <v>Simon Manoharan</v>
      </c>
      <c r="G352" s="11" t="s">
        <v>25</v>
      </c>
      <c r="H352" s="10" t="n">
        <v>-10971</v>
      </c>
      <c r="I352" s="10" t="n">
        <v>0</v>
      </c>
      <c r="J352" s="10" t="n">
        <v>0</v>
      </c>
      <c r="K352" s="10" t="n">
        <v>0</v>
      </c>
      <c r="L352" s="10" t="n">
        <v>0</v>
      </c>
      <c r="M352" s="10" t="n">
        <v>0</v>
      </c>
      <c r="N352" s="10" t="n">
        <v>0</v>
      </c>
      <c r="O352" s="10" t="n">
        <v>0</v>
      </c>
      <c r="P352" s="10" t="n">
        <v>-10971</v>
      </c>
      <c r="Q352" s="11"/>
      <c r="R352" s="10"/>
      <c r="S352" s="19"/>
      <c r="T352" s="11"/>
      <c r="U352" s="21"/>
      <c r="V352" s="15"/>
      <c r="W352" s="23"/>
      <c r="X352" s="23"/>
      <c r="Y352" s="8"/>
      <c r="Z352" s="8"/>
      <c r="AA352" s="8"/>
      <c r="AB352" s="8"/>
      <c r="AC352" s="8"/>
    </row>
    <row r="353" customFormat="false" ht="15" hidden="false" customHeight="false" outlineLevel="0" collapsed="false">
      <c r="A353" s="9" t="n">
        <v>46304</v>
      </c>
      <c r="B353" s="11" t="s">
        <v>22</v>
      </c>
      <c r="C353" s="11" t="s">
        <v>23</v>
      </c>
      <c r="D353" s="11" t="s">
        <v>515</v>
      </c>
      <c r="E353" s="11" t="str">
        <f aca="false" t="array" ref="E353:E353">IF(D353="","",IFERROR(INDEX('CLM &amp; IM Mapping'!$B$2:$B$270,MATCH(TRIM(D353),'CLM &amp; IM Mapping'!$A$2:$A$270,0)),"Not Mapped"))</f>
        <v>Balaji G</v>
      </c>
      <c r="F353" s="11" t="str">
        <f aca="false" t="array" ref="F353:F353">IF(D353="","",IFERROR(INDEX('CLM &amp; IM Mapping'!$C$2:$C$270,MATCH(TRIM(D353),'CLM &amp; IM Mapping'!$A$2:$A$270,0)),"Not Mapped"))</f>
        <v>Mohammed Akbar</v>
      </c>
      <c r="G353" s="11" t="s">
        <v>34</v>
      </c>
      <c r="H353" s="10" t="n">
        <v>-30289</v>
      </c>
      <c r="I353" s="10" t="n">
        <v>2469</v>
      </c>
      <c r="J353" s="10" t="n">
        <v>0</v>
      </c>
      <c r="K353" s="10" t="n">
        <v>0</v>
      </c>
      <c r="L353" s="10" t="n">
        <v>207</v>
      </c>
      <c r="M353" s="10" t="n">
        <v>0</v>
      </c>
      <c r="N353" s="10" t="n">
        <v>0</v>
      </c>
      <c r="O353" s="10" t="n">
        <v>0</v>
      </c>
      <c r="P353" s="10" t="n">
        <v>-27613</v>
      </c>
      <c r="Q353" s="10"/>
      <c r="R353" s="10"/>
      <c r="S353" s="22"/>
      <c r="T353" s="11"/>
      <c r="U353" s="21"/>
      <c r="V353" s="15"/>
      <c r="W353" s="23"/>
      <c r="X353" s="23"/>
      <c r="Y353" s="8"/>
      <c r="Z353" s="8"/>
      <c r="AA353" s="8"/>
      <c r="AB353" s="8"/>
      <c r="AC353" s="8"/>
    </row>
    <row r="354" customFormat="false" ht="15" hidden="false" customHeight="false" outlineLevel="0" collapsed="false">
      <c r="A354" s="9" t="n">
        <v>46304</v>
      </c>
      <c r="B354" s="11" t="s">
        <v>22</v>
      </c>
      <c r="C354" s="11" t="s">
        <v>23</v>
      </c>
      <c r="D354" s="11" t="s">
        <v>507</v>
      </c>
      <c r="E354" s="11" t="str">
        <f aca="false" t="array" ref="E354:E354">IF(D354="","",IFERROR(INDEX('CLM &amp; IM Mapping'!$B$2:$B$270,MATCH(TRIM(D354),'CLM &amp; IM Mapping'!$A$2:$A$270,0)),"Not Mapped"))</f>
        <v>Raghavendra Vernekar</v>
      </c>
      <c r="F354" s="11" t="str">
        <f aca="false" t="array" ref="F354:F354">IF(D354="","",IFERROR(INDEX('CLM &amp; IM Mapping'!$C$2:$C$270,MATCH(TRIM(D354),'CLM &amp; IM Mapping'!$A$2:$A$270,0)),"Not Mapped"))</f>
        <v>Prakash BS</v>
      </c>
      <c r="G354" s="11" t="s">
        <v>34</v>
      </c>
      <c r="H354" s="10" t="n">
        <v>-42623</v>
      </c>
      <c r="I354" s="10" t="n">
        <v>3361</v>
      </c>
      <c r="J354" s="10" t="n">
        <v>1831</v>
      </c>
      <c r="K354" s="10" t="n">
        <v>123</v>
      </c>
      <c r="L354" s="10" t="n">
        <v>734</v>
      </c>
      <c r="M354" s="10" t="n">
        <v>0</v>
      </c>
      <c r="N354" s="10" t="n">
        <v>0</v>
      </c>
      <c r="O354" s="10" t="n">
        <v>0</v>
      </c>
      <c r="P354" s="10" t="n">
        <v>-36573</v>
      </c>
      <c r="Q354" s="10"/>
      <c r="R354" s="10"/>
      <c r="S354" s="22"/>
      <c r="T354" s="11"/>
      <c r="U354" s="21"/>
      <c r="V354" s="15"/>
      <c r="W354" s="23"/>
      <c r="X354" s="23"/>
      <c r="Y354" s="8"/>
      <c r="Z354" s="8"/>
      <c r="AA354" s="8"/>
      <c r="AB354" s="8"/>
      <c r="AC354" s="8"/>
    </row>
    <row r="355" customFormat="false" ht="15" hidden="false" customHeight="false" outlineLevel="0" collapsed="false">
      <c r="A355" s="9" t="n">
        <v>46304</v>
      </c>
      <c r="B355" s="11" t="s">
        <v>22</v>
      </c>
      <c r="C355" s="11" t="s">
        <v>23</v>
      </c>
      <c r="D355" s="11" t="s">
        <v>142</v>
      </c>
      <c r="E355" s="11" t="str">
        <f aca="false" t="array" ref="E355:E355">IF(D355="","",IFERROR(INDEX('CLM &amp; IM Mapping'!$B$2:$B$270,MATCH(TRIM(D355),'CLM &amp; IM Mapping'!$A$2:$A$270,0)),"Not Mapped"))</f>
        <v>Sundaresh S</v>
      </c>
      <c r="F355" s="11" t="str">
        <f aca="false" t="array" ref="F355:F355">IF(D355="","",IFERROR(INDEX('CLM &amp; IM Mapping'!$C$2:$C$270,MATCH(TRIM(D355),'CLM &amp; IM Mapping'!$A$2:$A$270,0)),"Not Mapped"))</f>
        <v>Un Mapped</v>
      </c>
      <c r="G355" s="11" t="s">
        <v>34</v>
      </c>
      <c r="H355" s="10" t="n">
        <v>27070</v>
      </c>
      <c r="I355" s="10" t="n">
        <v>13107</v>
      </c>
      <c r="J355" s="10" t="n">
        <v>0</v>
      </c>
      <c r="K355" s="10" t="n">
        <v>1320</v>
      </c>
      <c r="L355" s="10" t="n">
        <v>1322</v>
      </c>
      <c r="M355" s="10" t="n">
        <v>0</v>
      </c>
      <c r="N355" s="10" t="n">
        <v>7074</v>
      </c>
      <c r="O355" s="10" t="n">
        <v>0</v>
      </c>
      <c r="P355" s="10" t="n">
        <v>49893</v>
      </c>
      <c r="Q355" s="10"/>
      <c r="R355" s="10"/>
      <c r="S355" s="22"/>
      <c r="T355" s="11"/>
      <c r="U355" s="21"/>
      <c r="V355" s="15"/>
      <c r="W355" s="23"/>
      <c r="X355" s="23"/>
      <c r="Y355" s="8"/>
      <c r="Z355" s="8"/>
      <c r="AA355" s="8"/>
      <c r="AB355" s="8"/>
      <c r="AC355" s="8"/>
    </row>
    <row r="356" customFormat="false" ht="15" hidden="false" customHeight="false" outlineLevel="0" collapsed="false">
      <c r="A356" s="9" t="n">
        <v>46304</v>
      </c>
      <c r="B356" s="11" t="s">
        <v>22</v>
      </c>
      <c r="C356" s="11" t="s">
        <v>23</v>
      </c>
      <c r="D356" s="11" t="s">
        <v>114</v>
      </c>
      <c r="E356" s="11" t="str">
        <f aca="false" t="array" ref="E356:E356">IF(D356="","",IFERROR(INDEX('CLM &amp; IM Mapping'!$B$2:$B$270,MATCH(TRIM(D356),'CLM &amp; IM Mapping'!$A$2:$A$270,0)),"Not Mapped"))</f>
        <v>Adhavan Subramani</v>
      </c>
      <c r="F356" s="11" t="str">
        <f aca="false" t="array" ref="F356:F356">IF(D356="","",IFERROR(INDEX('CLM &amp; IM Mapping'!$C$2:$C$270,MATCH(TRIM(D356),'CLM &amp; IM Mapping'!$A$2:$A$270,0)),"Not Mapped"))</f>
        <v>Mohammed Akbar</v>
      </c>
      <c r="G356" s="11" t="s">
        <v>34</v>
      </c>
      <c r="H356" s="10" t="n">
        <v>-5542</v>
      </c>
      <c r="I356" s="10" t="n">
        <v>7061</v>
      </c>
      <c r="J356" s="10" t="n">
        <v>0</v>
      </c>
      <c r="K356" s="10" t="n">
        <v>3921</v>
      </c>
      <c r="L356" s="10" t="n">
        <v>2302</v>
      </c>
      <c r="M356" s="10" t="n">
        <v>0</v>
      </c>
      <c r="N356" s="10" t="n">
        <v>180</v>
      </c>
      <c r="O356" s="10" t="n">
        <v>248</v>
      </c>
      <c r="P356" s="10" t="n">
        <v>8171</v>
      </c>
      <c r="Q356" s="10"/>
      <c r="R356" s="10"/>
      <c r="S356" s="22"/>
      <c r="T356" s="11"/>
      <c r="U356" s="21"/>
      <c r="V356" s="15"/>
      <c r="W356" s="23"/>
      <c r="X356" s="23"/>
      <c r="Y356" s="8"/>
      <c r="Z356" s="8"/>
      <c r="AA356" s="8"/>
      <c r="AB356" s="8"/>
      <c r="AC356" s="8"/>
    </row>
    <row r="357" customFormat="false" ht="15" hidden="false" customHeight="false" outlineLevel="0" collapsed="false">
      <c r="A357" s="9" t="n">
        <v>46304</v>
      </c>
      <c r="B357" s="11" t="s">
        <v>22</v>
      </c>
      <c r="C357" s="11" t="s">
        <v>23</v>
      </c>
      <c r="D357" s="11" t="s">
        <v>346</v>
      </c>
      <c r="E357" s="11" t="str">
        <f aca="false" t="array" ref="E357:E357">IF(D357="","",IFERROR(INDEX('CLM &amp; IM Mapping'!$B$2:$B$270,MATCH(TRIM(D357),'CLM &amp; IM Mapping'!$A$2:$A$270,0)),"Not Mapped"))</f>
        <v>Saddam Hussain</v>
      </c>
      <c r="F357" s="11" t="str">
        <f aca="false" t="array" ref="F357:F357">IF(D357="","",IFERROR(INDEX('CLM &amp; IM Mapping'!$C$2:$C$270,MATCH(TRIM(D357),'CLM &amp; IM Mapping'!$A$2:$A$270,0)),"Not Mapped"))</f>
        <v>Un Mapped</v>
      </c>
      <c r="G357" s="11" t="s">
        <v>34</v>
      </c>
      <c r="H357" s="10" t="n">
        <v>-10305</v>
      </c>
      <c r="I357" s="10" t="n">
        <v>4613</v>
      </c>
      <c r="J357" s="10" t="n">
        <v>0</v>
      </c>
      <c r="K357" s="10" t="n">
        <v>3139</v>
      </c>
      <c r="L357" s="10" t="n">
        <v>479</v>
      </c>
      <c r="M357" s="10" t="n">
        <v>0</v>
      </c>
      <c r="N357" s="10" t="n">
        <v>3750</v>
      </c>
      <c r="O357" s="10" t="n">
        <v>0</v>
      </c>
      <c r="P357" s="10" t="n">
        <v>1677</v>
      </c>
      <c r="Q357" s="10"/>
      <c r="R357" s="10"/>
      <c r="S357" s="22"/>
      <c r="T357" s="11"/>
      <c r="U357" s="21"/>
      <c r="V357" s="15"/>
      <c r="W357" s="23"/>
      <c r="X357" s="23"/>
      <c r="Y357" s="8"/>
      <c r="Z357" s="8"/>
      <c r="AA357" s="8"/>
      <c r="AB357" s="8"/>
      <c r="AC357" s="8"/>
    </row>
    <row r="358" customFormat="false" ht="15" hidden="false" customHeight="false" outlineLevel="0" collapsed="false">
      <c r="A358" s="9" t="n">
        <v>46304</v>
      </c>
      <c r="B358" s="11" t="s">
        <v>22</v>
      </c>
      <c r="C358" s="11" t="s">
        <v>23</v>
      </c>
      <c r="D358" s="11" t="s">
        <v>288</v>
      </c>
      <c r="E358" s="11" t="str">
        <f aca="false" t="array" ref="E358:E358">IF(D358="","",IFERROR(INDEX('CLM &amp; IM Mapping'!$B$2:$B$270,MATCH(TRIM(D358),'CLM &amp; IM Mapping'!$A$2:$A$270,0)),"Not Mapped"))</f>
        <v>Arun Raj</v>
      </c>
      <c r="F358" s="11" t="str">
        <f aca="false" t="array" ref="F358:F358">IF(D358="","",IFERROR(INDEX('CLM &amp; IM Mapping'!$C$2:$C$270,MATCH(TRIM(D358),'CLM &amp; IM Mapping'!$A$2:$A$270,0)),"Not Mapped"))</f>
        <v>Simon Manoharan</v>
      </c>
      <c r="G358" s="11" t="s">
        <v>25</v>
      </c>
      <c r="H358" s="10" t="n">
        <v>-14453</v>
      </c>
      <c r="I358" s="10" t="n">
        <v>17876</v>
      </c>
      <c r="J358" s="10" t="n">
        <v>0</v>
      </c>
      <c r="K358" s="10" t="n">
        <v>2059</v>
      </c>
      <c r="L358" s="10" t="n">
        <v>1822</v>
      </c>
      <c r="M358" s="10" t="n">
        <v>0</v>
      </c>
      <c r="N358" s="10" t="n">
        <v>0</v>
      </c>
      <c r="O358" s="10" t="n">
        <v>667</v>
      </c>
      <c r="P358" s="10" t="n">
        <v>7971</v>
      </c>
      <c r="Q358" s="10"/>
      <c r="R358" s="10"/>
      <c r="S358" s="22"/>
      <c r="T358" s="11"/>
      <c r="U358" s="21"/>
      <c r="V358" s="15"/>
      <c r="W358" s="23"/>
      <c r="X358" s="23"/>
      <c r="Y358" s="8"/>
      <c r="Z358" s="8"/>
      <c r="AA358" s="8"/>
      <c r="AB358" s="8"/>
      <c r="AC358" s="8"/>
    </row>
    <row r="359" customFormat="false" ht="15" hidden="false" customHeight="false" outlineLevel="0" collapsed="false">
      <c r="A359" s="9" t="n">
        <v>46304</v>
      </c>
      <c r="B359" s="11" t="s">
        <v>22</v>
      </c>
      <c r="C359" s="11" t="s">
        <v>23</v>
      </c>
      <c r="D359" s="11" t="s">
        <v>100</v>
      </c>
      <c r="E359" s="11" t="str">
        <f aca="false" t="array" ref="E359:E359">IF(D359="","",IFERROR(INDEX('CLM &amp; IM Mapping'!$B$2:$B$270,MATCH(TRIM(D359),'CLM &amp; IM Mapping'!$A$2:$A$270,0)),"Not Mapped"))</f>
        <v>Sundaresh S</v>
      </c>
      <c r="F359" s="11" t="str">
        <f aca="false" t="array" ref="F359:F359">IF(D359="","",IFERROR(INDEX('CLM &amp; IM Mapping'!$C$2:$C$270,MATCH(TRIM(D359),'CLM &amp; IM Mapping'!$A$2:$A$270,0)),"Not Mapped"))</f>
        <v>Un Mapped</v>
      </c>
      <c r="G359" s="11" t="s">
        <v>34</v>
      </c>
      <c r="H359" s="10" t="n">
        <v>32370</v>
      </c>
      <c r="I359" s="10" t="n">
        <v>13626</v>
      </c>
      <c r="J359" s="10" t="n">
        <v>41</v>
      </c>
      <c r="K359" s="10" t="n">
        <v>5738</v>
      </c>
      <c r="L359" s="10" t="n">
        <v>1593</v>
      </c>
      <c r="M359" s="10" t="n">
        <v>0</v>
      </c>
      <c r="N359" s="10" t="n">
        <v>0</v>
      </c>
      <c r="O359" s="10" t="n">
        <v>0</v>
      </c>
      <c r="P359" s="10" t="n">
        <v>53368</v>
      </c>
      <c r="Q359" s="10"/>
      <c r="R359" s="10"/>
      <c r="S359" s="22"/>
      <c r="T359" s="11"/>
      <c r="U359" s="21"/>
      <c r="V359" s="15"/>
      <c r="W359" s="23"/>
      <c r="X359" s="23"/>
      <c r="Y359" s="8"/>
      <c r="Z359" s="8"/>
      <c r="AA359" s="8"/>
      <c r="AB359" s="8"/>
      <c r="AC359" s="8"/>
    </row>
    <row r="360" customFormat="false" ht="15" hidden="false" customHeight="false" outlineLevel="0" collapsed="false">
      <c r="A360" s="9" t="n">
        <v>46304</v>
      </c>
      <c r="B360" s="11" t="s">
        <v>22</v>
      </c>
      <c r="C360" s="11" t="s">
        <v>23</v>
      </c>
      <c r="D360" s="11" t="s">
        <v>473</v>
      </c>
      <c r="E360" s="11" t="str">
        <f aca="false" t="array" ref="E360:E360">IF(D360="","",IFERROR(INDEX('CLM &amp; IM Mapping'!$B$2:$B$270,MATCH(TRIM(D360),'CLM &amp; IM Mapping'!$A$2:$A$270,0)),"Not Mapped"))</f>
        <v>Raghavendra Vernekar</v>
      </c>
      <c r="F360" s="11" t="str">
        <f aca="false" t="array" ref="F360:F360">IF(D360="","",IFERROR(INDEX('CLM &amp; IM Mapping'!$C$2:$C$270,MATCH(TRIM(D360),'CLM &amp; IM Mapping'!$A$2:$A$270,0)),"Not Mapped"))</f>
        <v>Prakash BS</v>
      </c>
      <c r="G360" s="11" t="s">
        <v>34</v>
      </c>
      <c r="H360" s="10" t="n">
        <v>-12341</v>
      </c>
      <c r="I360" s="10" t="n">
        <v>3495</v>
      </c>
      <c r="J360" s="10" t="n">
        <v>0</v>
      </c>
      <c r="K360" s="10" t="n">
        <v>0</v>
      </c>
      <c r="L360" s="10" t="n">
        <v>449</v>
      </c>
      <c r="M360" s="10" t="n">
        <v>0</v>
      </c>
      <c r="N360" s="10" t="n">
        <v>0</v>
      </c>
      <c r="O360" s="10" t="n">
        <v>0</v>
      </c>
      <c r="P360" s="10" t="n">
        <v>-8397</v>
      </c>
      <c r="Q360" s="10"/>
      <c r="R360" s="10"/>
      <c r="S360" s="22" t="s">
        <v>534</v>
      </c>
      <c r="T360" s="11"/>
      <c r="U360" s="21"/>
      <c r="V360" s="15"/>
      <c r="W360" s="23"/>
      <c r="X360" s="23"/>
      <c r="Y360" s="8"/>
      <c r="Z360" s="8"/>
      <c r="AA360" s="8"/>
      <c r="AB360" s="8"/>
      <c r="AC360" s="8"/>
    </row>
    <row r="361" customFormat="false" ht="15" hidden="false" customHeight="false" outlineLevel="0" collapsed="false">
      <c r="A361" s="9" t="n">
        <v>46304</v>
      </c>
      <c r="B361" s="11" t="s">
        <v>22</v>
      </c>
      <c r="C361" s="11" t="s">
        <v>23</v>
      </c>
      <c r="D361" s="11" t="s">
        <v>173</v>
      </c>
      <c r="E361" s="11" t="str">
        <f aca="false" t="array" ref="E361:E361">IF(D361="","",IFERROR(INDEX('CLM &amp; IM Mapping'!$B$2:$B$270,MATCH(TRIM(D361),'CLM &amp; IM Mapping'!$A$2:$A$270,0)),"Not Mapped"))</f>
        <v>Akshay P</v>
      </c>
      <c r="F361" s="11" t="str">
        <f aca="false" t="array" ref="F361:F361">IF(D361="","",IFERROR(INDEX('CLM &amp; IM Mapping'!$C$2:$C$270,MATCH(TRIM(D361),'CLM &amp; IM Mapping'!$A$2:$A$270,0)),"Not Mapped"))</f>
        <v>Srittam Dhal</v>
      </c>
      <c r="G361" s="11" t="s">
        <v>34</v>
      </c>
      <c r="H361" s="10" t="n">
        <v>-2137</v>
      </c>
      <c r="I361" s="10" t="n">
        <v>21900</v>
      </c>
      <c r="J361" s="10" t="n">
        <v>259</v>
      </c>
      <c r="K361" s="10" t="n">
        <v>0</v>
      </c>
      <c r="L361" s="10" t="n">
        <v>459</v>
      </c>
      <c r="M361" s="10" t="n">
        <v>0</v>
      </c>
      <c r="N361" s="10" t="n">
        <v>0</v>
      </c>
      <c r="O361" s="10" t="n">
        <v>0</v>
      </c>
      <c r="P361" s="10" t="n">
        <v>20481</v>
      </c>
      <c r="Q361" s="10"/>
      <c r="R361" s="10"/>
      <c r="S361" s="22"/>
      <c r="T361" s="11"/>
      <c r="U361" s="21"/>
      <c r="V361" s="15"/>
      <c r="W361" s="23"/>
      <c r="X361" s="23"/>
      <c r="Y361" s="8"/>
      <c r="Z361" s="8"/>
      <c r="AA361" s="8"/>
      <c r="AB361" s="8"/>
      <c r="AC361" s="8"/>
    </row>
    <row r="362" customFormat="false" ht="15" hidden="false" customHeight="false" outlineLevel="0" collapsed="false">
      <c r="A362" s="9" t="n">
        <v>46304</v>
      </c>
      <c r="B362" s="11" t="s">
        <v>22</v>
      </c>
      <c r="C362" s="11" t="s">
        <v>23</v>
      </c>
      <c r="D362" s="11" t="s">
        <v>433</v>
      </c>
      <c r="E362" s="11" t="str">
        <f aca="false" t="array" ref="E362:E362">IF(D362="","",IFERROR(INDEX('CLM &amp; IM Mapping'!$B$2:$B$270,MATCH(TRIM(D362),'CLM &amp; IM Mapping'!$A$2:$A$270,0)),"Not Mapped"))</f>
        <v>Silambarasan E</v>
      </c>
      <c r="F362" s="11" t="str">
        <f aca="false" t="array" ref="F362:F362">IF(D362="","",IFERROR(INDEX('CLM &amp; IM Mapping'!$C$2:$C$270,MATCH(TRIM(D362),'CLM &amp; IM Mapping'!$A$2:$A$270,0)),"Not Mapped"))</f>
        <v>Arivind S</v>
      </c>
      <c r="G362" s="11" t="s">
        <v>34</v>
      </c>
      <c r="H362" s="10" t="n">
        <v>-16695</v>
      </c>
      <c r="I362" s="10" t="n">
        <v>18473</v>
      </c>
      <c r="J362" s="10" t="n">
        <v>0</v>
      </c>
      <c r="K362" s="10" t="n">
        <v>34</v>
      </c>
      <c r="L362" s="10" t="n">
        <v>256</v>
      </c>
      <c r="M362" s="10" t="n">
        <v>0</v>
      </c>
      <c r="N362" s="10" t="n">
        <v>252</v>
      </c>
      <c r="O362" s="10" t="n">
        <v>0</v>
      </c>
      <c r="P362" s="10" t="n">
        <v>2320</v>
      </c>
      <c r="Q362" s="10"/>
      <c r="R362" s="10"/>
      <c r="S362" s="22"/>
      <c r="T362" s="11"/>
      <c r="U362" s="21"/>
      <c r="V362" s="15"/>
      <c r="W362" s="23"/>
      <c r="X362" s="23"/>
      <c r="Y362" s="8"/>
      <c r="Z362" s="8"/>
      <c r="AA362" s="8"/>
      <c r="AB362" s="8"/>
      <c r="AC362" s="8"/>
    </row>
    <row r="363" customFormat="false" ht="15" hidden="false" customHeight="false" outlineLevel="0" collapsed="false">
      <c r="A363" s="9" t="n">
        <v>46304</v>
      </c>
      <c r="B363" s="11" t="s">
        <v>22</v>
      </c>
      <c r="C363" s="11" t="s">
        <v>23</v>
      </c>
      <c r="D363" s="11" t="s">
        <v>500</v>
      </c>
      <c r="E363" s="11" t="str">
        <f aca="false" t="array" ref="E363:E363">IF(D363="","",IFERROR(INDEX('CLM &amp; IM Mapping'!$B$2:$B$270,MATCH(TRIM(D363),'CLM &amp; IM Mapping'!$A$2:$A$270,0)),"Not Mapped"))</f>
        <v>Ravishankar gowda</v>
      </c>
      <c r="F363" s="11" t="str">
        <f aca="false" t="array" ref="F363:F363">IF(D363="","",IFERROR(INDEX('CLM &amp; IM Mapping'!$C$2:$C$270,MATCH(TRIM(D363),'CLM &amp; IM Mapping'!$A$2:$A$270,0)),"Not Mapped"))</f>
        <v>Kishor K</v>
      </c>
      <c r="G363" s="11" t="s">
        <v>34</v>
      </c>
      <c r="H363" s="10" t="n">
        <v>-20803</v>
      </c>
      <c r="I363" s="10" t="n">
        <v>2269</v>
      </c>
      <c r="J363" s="10" t="n">
        <v>0</v>
      </c>
      <c r="K363" s="10" t="n">
        <v>124</v>
      </c>
      <c r="L363" s="10" t="n">
        <v>27</v>
      </c>
      <c r="M363" s="10" t="n">
        <v>0</v>
      </c>
      <c r="N363" s="10" t="n">
        <v>0</v>
      </c>
      <c r="O363" s="10" t="n">
        <v>0</v>
      </c>
      <c r="P363" s="10" t="n">
        <v>-18381</v>
      </c>
      <c r="Q363" s="10"/>
      <c r="R363" s="10"/>
      <c r="S363" s="22"/>
      <c r="T363" s="11"/>
      <c r="U363" s="21"/>
      <c r="V363" s="15"/>
      <c r="W363" s="23"/>
      <c r="X363" s="23"/>
      <c r="Y363" s="8"/>
      <c r="Z363" s="8"/>
      <c r="AA363" s="8"/>
      <c r="AB363" s="8"/>
      <c r="AC363" s="8"/>
    </row>
    <row r="364" customFormat="false" ht="15" hidden="false" customHeight="false" outlineLevel="0" collapsed="false">
      <c r="A364" s="9" t="n">
        <v>46304</v>
      </c>
      <c r="B364" s="11" t="s">
        <v>22</v>
      </c>
      <c r="C364" s="11" t="s">
        <v>23</v>
      </c>
      <c r="D364" s="11" t="s">
        <v>490</v>
      </c>
      <c r="E364" s="11" t="str">
        <f aca="false" t="array" ref="E364:E364">IF(D364="","",IFERROR(INDEX('CLM &amp; IM Mapping'!$B$2:$B$270,MATCH(TRIM(D364),'CLM &amp; IM Mapping'!$A$2:$A$270,0)),"Not Mapped"))</f>
        <v>Arun Raj</v>
      </c>
      <c r="F364" s="11" t="str">
        <f aca="false" t="array" ref="F364:F364">IF(D364="","",IFERROR(INDEX('CLM &amp; IM Mapping'!$C$2:$C$270,MATCH(TRIM(D364),'CLM &amp; IM Mapping'!$A$2:$A$270,0)),"Not Mapped"))</f>
        <v>Simon Manoharan</v>
      </c>
      <c r="G364" s="11" t="s">
        <v>25</v>
      </c>
      <c r="H364" s="10" t="n">
        <v>-14569</v>
      </c>
      <c r="I364" s="10" t="n">
        <v>1064</v>
      </c>
      <c r="J364" s="10" t="n">
        <v>0</v>
      </c>
      <c r="K364" s="10" t="n">
        <v>0</v>
      </c>
      <c r="L364" s="10" t="n">
        <v>1480</v>
      </c>
      <c r="M364" s="10" t="n">
        <v>0</v>
      </c>
      <c r="N364" s="10" t="n">
        <v>0</v>
      </c>
      <c r="O364" s="10" t="n">
        <v>0</v>
      </c>
      <c r="P364" s="10" t="n">
        <v>-12025</v>
      </c>
      <c r="Q364" s="10"/>
      <c r="R364" s="10"/>
      <c r="S364" s="22"/>
      <c r="T364" s="11"/>
      <c r="U364" s="21"/>
      <c r="V364" s="15"/>
      <c r="W364" s="23"/>
      <c r="X364" s="23"/>
      <c r="Y364" s="8"/>
      <c r="Z364" s="8"/>
      <c r="AA364" s="8"/>
      <c r="AB364" s="8"/>
      <c r="AC364" s="8"/>
    </row>
    <row r="365" customFormat="false" ht="15" hidden="false" customHeight="false" outlineLevel="0" collapsed="false">
      <c r="A365" s="9" t="n">
        <v>46304</v>
      </c>
      <c r="B365" s="11" t="s">
        <v>22</v>
      </c>
      <c r="C365" s="11" t="s">
        <v>23</v>
      </c>
      <c r="D365" s="11" t="s">
        <v>494</v>
      </c>
      <c r="E365" s="11" t="str">
        <f aca="false" t="array" ref="E365:E365">IF(D365="","",IFERROR(INDEX('CLM &amp; IM Mapping'!$B$2:$B$270,MATCH(TRIM(D365),'CLM &amp; IM Mapping'!$A$2:$A$270,0)),"Not Mapped"))</f>
        <v>Arun Raj</v>
      </c>
      <c r="F365" s="11" t="str">
        <f aca="false" t="array" ref="F365:F365">IF(D365="","",IFERROR(INDEX('CLM &amp; IM Mapping'!$C$2:$C$270,MATCH(TRIM(D365),'CLM &amp; IM Mapping'!$A$2:$A$270,0)),"Not Mapped"))</f>
        <v>Simon Manoharan</v>
      </c>
      <c r="G365" s="11" t="s">
        <v>25</v>
      </c>
      <c r="H365" s="10" t="n">
        <v>-14670</v>
      </c>
      <c r="I365" s="10" t="n">
        <v>1882</v>
      </c>
      <c r="J365" s="10" t="n">
        <v>0</v>
      </c>
      <c r="K365" s="10" t="n">
        <v>0</v>
      </c>
      <c r="L365" s="10" t="n">
        <v>594</v>
      </c>
      <c r="M365" s="10" t="n">
        <v>0</v>
      </c>
      <c r="N365" s="10" t="n">
        <v>0</v>
      </c>
      <c r="O365" s="10" t="n">
        <v>0</v>
      </c>
      <c r="P365" s="10" t="n">
        <v>-12194</v>
      </c>
      <c r="Q365" s="10"/>
      <c r="R365" s="10"/>
      <c r="S365" s="22"/>
      <c r="T365" s="11"/>
      <c r="U365" s="21"/>
      <c r="V365" s="15"/>
      <c r="W365" s="23"/>
      <c r="X365" s="23"/>
      <c r="Y365" s="8"/>
      <c r="Z365" s="8"/>
      <c r="AA365" s="8"/>
      <c r="AB365" s="8"/>
      <c r="AC365" s="8"/>
    </row>
    <row r="366" customFormat="false" ht="15" hidden="false" customHeight="false" outlineLevel="0" collapsed="false">
      <c r="A366" s="9" t="n">
        <v>46304</v>
      </c>
      <c r="B366" s="11" t="s">
        <v>22</v>
      </c>
      <c r="C366" s="11" t="s">
        <v>23</v>
      </c>
      <c r="D366" s="11" t="s">
        <v>70</v>
      </c>
      <c r="E366" s="11" t="str">
        <f aca="false" t="array" ref="E366:E366">IF(D366="","",IFERROR(INDEX('CLM &amp; IM Mapping'!$B$2:$B$270,MATCH(TRIM(D366),'CLM &amp; IM Mapping'!$A$2:$A$270,0)),"Not Mapped"))</f>
        <v>Rizwan Ahmed</v>
      </c>
      <c r="F366" s="11" t="str">
        <f aca="false" t="array" ref="F366:F366">IF(D366="","",IFERROR(INDEX('CLM &amp; IM Mapping'!$C$2:$C$270,MATCH(TRIM(D366),'CLM &amp; IM Mapping'!$A$2:$A$270,0)),"Not Mapped"))</f>
        <v>Un Mapped</v>
      </c>
      <c r="G366" s="11" t="s">
        <v>34</v>
      </c>
      <c r="H366" s="10" t="n">
        <v>2054</v>
      </c>
      <c r="I366" s="10" t="n">
        <v>17088</v>
      </c>
      <c r="J366" s="10" t="n">
        <v>235</v>
      </c>
      <c r="K366" s="10" t="n">
        <v>28</v>
      </c>
      <c r="L366" s="10" t="n">
        <v>739</v>
      </c>
      <c r="M366" s="10" t="n">
        <v>0</v>
      </c>
      <c r="N366" s="10" t="n">
        <v>0</v>
      </c>
      <c r="O366" s="10" t="n">
        <v>0</v>
      </c>
      <c r="P366" s="10" t="n">
        <v>20143</v>
      </c>
      <c r="Q366" s="10"/>
      <c r="R366" s="10"/>
      <c r="S366" s="22"/>
      <c r="T366" s="11"/>
      <c r="U366" s="21"/>
      <c r="V366" s="15"/>
      <c r="W366" s="23"/>
      <c r="X366" s="23"/>
      <c r="Y366" s="8"/>
      <c r="Z366" s="8"/>
      <c r="AA366" s="8"/>
      <c r="AB366" s="8"/>
      <c r="AC366" s="8"/>
    </row>
    <row r="367" customFormat="false" ht="15" hidden="false" customHeight="false" outlineLevel="0" collapsed="false">
      <c r="A367" s="9" t="n">
        <v>46304</v>
      </c>
      <c r="B367" s="11" t="s">
        <v>22</v>
      </c>
      <c r="C367" s="11" t="s">
        <v>23</v>
      </c>
      <c r="D367" s="11" t="s">
        <v>463</v>
      </c>
      <c r="E367" s="11" t="str">
        <f aca="false" t="array" ref="E367:E367">IF(D367="","",IFERROR(INDEX('CLM &amp; IM Mapping'!$B$2:$B$270,MATCH(TRIM(D367),'CLM &amp; IM Mapping'!$A$2:$A$270,0)),"Not Mapped"))</f>
        <v>Ashwath S</v>
      </c>
      <c r="F367" s="11" t="str">
        <f aca="false" t="array" ref="F367:F367">IF(D367="","",IFERROR(INDEX('CLM &amp; IM Mapping'!$C$2:$C$270,MATCH(TRIM(D367),'CLM &amp; IM Mapping'!$A$2:$A$270,0)),"Not Mapped"))</f>
        <v>Kantha Kumar</v>
      </c>
      <c r="G367" s="11" t="s">
        <v>34</v>
      </c>
      <c r="H367" s="10" t="n">
        <v>-23254</v>
      </c>
      <c r="I367" s="10" t="n">
        <v>1064</v>
      </c>
      <c r="J367" s="10" t="n">
        <v>336</v>
      </c>
      <c r="K367" s="10" t="n">
        <v>27</v>
      </c>
      <c r="L367" s="10" t="n">
        <v>59</v>
      </c>
      <c r="M367" s="10" t="n">
        <v>0</v>
      </c>
      <c r="N367" s="10" t="n">
        <v>0</v>
      </c>
      <c r="O367" s="10" t="n">
        <v>0</v>
      </c>
      <c r="P367" s="10" t="n">
        <v>-21769</v>
      </c>
      <c r="Q367" s="10"/>
      <c r="R367" s="10"/>
      <c r="S367" s="22"/>
      <c r="T367" s="11"/>
      <c r="U367" s="21"/>
      <c r="V367" s="15"/>
      <c r="W367" s="23"/>
      <c r="X367" s="23"/>
      <c r="Y367" s="8"/>
      <c r="Z367" s="8"/>
      <c r="AA367" s="8"/>
      <c r="AB367" s="8"/>
      <c r="AC367" s="8"/>
    </row>
    <row r="368" customFormat="false" ht="15" hidden="false" customHeight="false" outlineLevel="0" collapsed="false">
      <c r="A368" s="9" t="n">
        <v>46304</v>
      </c>
      <c r="B368" s="11" t="s">
        <v>22</v>
      </c>
      <c r="C368" s="11" t="s">
        <v>23</v>
      </c>
      <c r="D368" s="11" t="s">
        <v>56</v>
      </c>
      <c r="E368" s="11" t="str">
        <f aca="false" t="array" ref="E368:E368">IF(D368="","",IFERROR(INDEX('CLM &amp; IM Mapping'!$B$2:$B$270,MATCH(TRIM(D368),'CLM &amp; IM Mapping'!$A$2:$A$270,0)),"Not Mapped"))</f>
        <v>Keshav G</v>
      </c>
      <c r="F368" s="11" t="str">
        <f aca="false" t="array" ref="F368:F368">IF(D368="","",IFERROR(INDEX('CLM &amp; IM Mapping'!$C$2:$C$270,MATCH(TRIM(D368),'CLM &amp; IM Mapping'!$A$2:$A$270,0)),"Not Mapped"))</f>
        <v>Un Mapped</v>
      </c>
      <c r="G368" s="11" t="s">
        <v>34</v>
      </c>
      <c r="H368" s="10" t="n">
        <v>27481</v>
      </c>
      <c r="I368" s="10" t="n">
        <v>32152</v>
      </c>
      <c r="J368" s="10" t="n">
        <v>0</v>
      </c>
      <c r="K368" s="10" t="n">
        <v>1403</v>
      </c>
      <c r="L368" s="10" t="n">
        <v>3666</v>
      </c>
      <c r="M368" s="10" t="n">
        <v>0</v>
      </c>
      <c r="N368" s="10" t="n">
        <v>0</v>
      </c>
      <c r="O368" s="10" t="n">
        <v>13273</v>
      </c>
      <c r="P368" s="10" t="n">
        <v>77976</v>
      </c>
      <c r="Q368" s="10"/>
      <c r="R368" s="10"/>
      <c r="S368" s="22"/>
      <c r="T368" s="11"/>
      <c r="U368" s="21"/>
      <c r="V368" s="15"/>
      <c r="W368" s="23"/>
      <c r="X368" s="23"/>
      <c r="Y368" s="8"/>
      <c r="Z368" s="8"/>
      <c r="AA368" s="8"/>
      <c r="AB368" s="8"/>
      <c r="AC368" s="8"/>
    </row>
    <row r="369" customFormat="false" ht="15" hidden="false" customHeight="false" outlineLevel="0" collapsed="false">
      <c r="A369" s="9" t="n">
        <v>46304</v>
      </c>
      <c r="B369" s="11" t="s">
        <v>22</v>
      </c>
      <c r="C369" s="11" t="s">
        <v>303</v>
      </c>
      <c r="D369" s="11" t="s">
        <v>345</v>
      </c>
      <c r="E369" s="11" t="str">
        <f aca="false" t="array" ref="E369:E369">IF(D369="","",IFERROR(INDEX('CLM &amp; IM Mapping'!$B$2:$B$270,MATCH(TRIM(D369),'CLM &amp; IM Mapping'!$A$2:$A$270,0)),"Not Mapped"))</f>
        <v>John Britto</v>
      </c>
      <c r="F369" s="11" t="str">
        <f aca="false" t="array" ref="F369:F369">IF(D369="","",IFERROR(INDEX('CLM &amp; IM Mapping'!$C$2:$C$270,MATCH(TRIM(D369),'CLM &amp; IM Mapping'!$A$2:$A$270,0)),"Not Mapped"))</f>
        <v>Aravind S</v>
      </c>
      <c r="G369" s="11" t="s">
        <v>34</v>
      </c>
      <c r="H369" s="10" t="n">
        <v>-5662</v>
      </c>
      <c r="I369" s="10" t="n">
        <v>5193</v>
      </c>
      <c r="J369" s="10" t="n">
        <v>0</v>
      </c>
      <c r="K369" s="10" t="n">
        <v>0</v>
      </c>
      <c r="L369" s="10" t="n">
        <v>637</v>
      </c>
      <c r="M369" s="10" t="n">
        <v>0</v>
      </c>
      <c r="N369" s="10" t="n">
        <v>0</v>
      </c>
      <c r="O369" s="10" t="n">
        <v>0</v>
      </c>
      <c r="P369" s="10" t="n">
        <v>169</v>
      </c>
      <c r="Q369" s="10"/>
      <c r="R369" s="11"/>
      <c r="S369" s="22"/>
      <c r="T369" s="11"/>
      <c r="U369" s="21"/>
      <c r="V369" s="15"/>
      <c r="W369" s="23"/>
      <c r="X369" s="23"/>
      <c r="Y369" s="8"/>
      <c r="Z369" s="8"/>
      <c r="AA369" s="8"/>
      <c r="AB369" s="8"/>
      <c r="AC369" s="8"/>
    </row>
    <row r="370" customFormat="false" ht="15" hidden="false" customHeight="false" outlineLevel="0" collapsed="false">
      <c r="A370" s="9" t="n">
        <v>46304</v>
      </c>
      <c r="B370" s="11" t="s">
        <v>22</v>
      </c>
      <c r="C370" s="11" t="s">
        <v>221</v>
      </c>
      <c r="D370" s="11" t="s">
        <v>431</v>
      </c>
      <c r="E370" s="11" t="str">
        <f aca="false" t="array" ref="E370:E370">IF(D370="","",IFERROR(INDEX('CLM &amp; IM Mapping'!$B$2:$B$270,MATCH(TRIM(D370),'CLM &amp; IM Mapping'!$A$2:$A$270,0)),"Not Mapped"))</f>
        <v>Vishnu V</v>
      </c>
      <c r="F370" s="11" t="str">
        <f aca="false" t="array" ref="F370:F370">IF(D370="","",IFERROR(INDEX('CLM &amp; IM Mapping'!$C$2:$C$270,MATCH(TRIM(D370),'CLM &amp; IM Mapping'!$A$2:$A$270,0)),"Not Mapped"))</f>
        <v>Arivind S</v>
      </c>
      <c r="G370" s="11" t="s">
        <v>34</v>
      </c>
      <c r="H370" s="10" t="n">
        <v>-15134</v>
      </c>
      <c r="I370" s="10" t="n">
        <v>5906</v>
      </c>
      <c r="J370" s="10" t="n">
        <v>3039</v>
      </c>
      <c r="K370" s="10" t="n">
        <v>0</v>
      </c>
      <c r="L370" s="10" t="n">
        <v>139</v>
      </c>
      <c r="M370" s="10" t="n">
        <v>0</v>
      </c>
      <c r="N370" s="10" t="n">
        <v>0</v>
      </c>
      <c r="O370" s="10" t="n">
        <v>0</v>
      </c>
      <c r="P370" s="10" t="n">
        <v>-6050</v>
      </c>
      <c r="Q370" s="10"/>
      <c r="R370" s="10"/>
      <c r="S370" s="22"/>
      <c r="T370" s="11"/>
      <c r="U370" s="21"/>
      <c r="V370" s="15"/>
      <c r="W370" s="23"/>
      <c r="X370" s="23"/>
      <c r="Y370" s="8"/>
      <c r="Z370" s="8"/>
      <c r="AA370" s="8"/>
      <c r="AB370" s="8"/>
      <c r="AC370" s="8"/>
    </row>
    <row r="371" customFormat="false" ht="15" hidden="false" customHeight="false" outlineLevel="0" collapsed="false">
      <c r="A371" s="9" t="n">
        <v>46304</v>
      </c>
      <c r="B371" s="11" t="s">
        <v>22</v>
      </c>
      <c r="C371" s="11" t="s">
        <v>23</v>
      </c>
      <c r="D371" s="11" t="s">
        <v>364</v>
      </c>
      <c r="E371" s="11" t="str">
        <f aca="false" t="array" ref="E371:E371">IF(D371="","",IFERROR(INDEX('CLM &amp; IM Mapping'!$B$2:$B$270,MATCH(TRIM(D371),'CLM &amp; IM Mapping'!$A$2:$A$270,0)),"Not Mapped"))</f>
        <v>Raghavendra Vernekar</v>
      </c>
      <c r="F371" s="11" t="str">
        <f aca="false" t="array" ref="F371:F371">IF(D371="","",IFERROR(INDEX('CLM &amp; IM Mapping'!$C$2:$C$270,MATCH(TRIM(D371),'CLM &amp; IM Mapping'!$A$2:$A$270,0)),"Not Mapped"))</f>
        <v>Prakash BS</v>
      </c>
      <c r="G371" s="11" t="s">
        <v>34</v>
      </c>
      <c r="H371" s="10" t="n">
        <v>-41894</v>
      </c>
      <c r="I371" s="10" t="n">
        <v>17625</v>
      </c>
      <c r="J371" s="10" t="n">
        <v>0</v>
      </c>
      <c r="K371" s="10" t="n">
        <v>9255</v>
      </c>
      <c r="L371" s="10" t="n">
        <v>2408</v>
      </c>
      <c r="M371" s="10" t="n">
        <v>0</v>
      </c>
      <c r="N371" s="10" t="n">
        <v>170</v>
      </c>
      <c r="O371" s="10" t="n">
        <v>0</v>
      </c>
      <c r="P371" s="10" t="n">
        <v>-12435</v>
      </c>
      <c r="Q371" s="10"/>
      <c r="R371" s="10"/>
      <c r="S371" s="22" t="s">
        <v>534</v>
      </c>
      <c r="T371" s="11"/>
      <c r="U371" s="21"/>
      <c r="V371" s="15"/>
      <c r="W371" s="23"/>
      <c r="X371" s="23"/>
      <c r="Y371" s="8"/>
      <c r="Z371" s="8"/>
      <c r="AA371" s="8"/>
      <c r="AB371" s="8"/>
      <c r="AC371" s="8"/>
    </row>
    <row r="372" customFormat="false" ht="15" hidden="false" customHeight="false" outlineLevel="0" collapsed="false">
      <c r="A372" s="9" t="n">
        <v>46304</v>
      </c>
      <c r="B372" s="11" t="s">
        <v>22</v>
      </c>
      <c r="C372" s="11" t="s">
        <v>23</v>
      </c>
      <c r="D372" s="11" t="s">
        <v>159</v>
      </c>
      <c r="E372" s="11" t="str">
        <f aca="false" t="array" ref="E372:E372">IF(D372="","",IFERROR(INDEX('CLM &amp; IM Mapping'!$B$2:$B$270,MATCH(TRIM(D372),'CLM &amp; IM Mapping'!$A$2:$A$270,0)),"Not Mapped"))</f>
        <v>Rizwan Ahmed</v>
      </c>
      <c r="F372" s="11" t="str">
        <f aca="false" t="array" ref="F372:F372">IF(D372="","",IFERROR(INDEX('CLM &amp; IM Mapping'!$C$2:$C$270,MATCH(TRIM(D372),'CLM &amp; IM Mapping'!$A$2:$A$270,0)),"Not Mapped"))</f>
        <v>Un Mapped</v>
      </c>
      <c r="G372" s="11" t="s">
        <v>34</v>
      </c>
      <c r="H372" s="10" t="n">
        <v>13281</v>
      </c>
      <c r="I372" s="10" t="n">
        <v>10984</v>
      </c>
      <c r="J372" s="10" t="n">
        <v>118</v>
      </c>
      <c r="K372" s="10" t="n">
        <v>6588</v>
      </c>
      <c r="L372" s="10" t="n">
        <v>776</v>
      </c>
      <c r="M372" s="10" t="n">
        <v>0</v>
      </c>
      <c r="N372" s="10" t="n">
        <v>0</v>
      </c>
      <c r="O372" s="10" t="n">
        <v>0</v>
      </c>
      <c r="P372" s="10" t="n">
        <v>31747</v>
      </c>
      <c r="Q372" s="10"/>
      <c r="R372" s="10"/>
      <c r="S372" s="22"/>
      <c r="T372" s="11"/>
      <c r="U372" s="21"/>
      <c r="V372" s="15"/>
      <c r="W372" s="23"/>
      <c r="X372" s="23"/>
      <c r="Y372" s="8"/>
      <c r="Z372" s="8"/>
      <c r="AA372" s="8"/>
      <c r="AB372" s="8"/>
      <c r="AC372" s="8"/>
    </row>
    <row r="373" customFormat="false" ht="15" hidden="false" customHeight="false" outlineLevel="0" collapsed="false">
      <c r="A373" s="9" t="n">
        <v>46304</v>
      </c>
      <c r="B373" s="11" t="s">
        <v>22</v>
      </c>
      <c r="C373" s="11" t="s">
        <v>261</v>
      </c>
      <c r="D373" s="11" t="s">
        <v>373</v>
      </c>
      <c r="E373" s="11" t="str">
        <f aca="false" t="array" ref="E373:E373">IF(D373="","",IFERROR(INDEX('CLM &amp; IM Mapping'!$B$2:$B$270,MATCH(TRIM(D373),'CLM &amp; IM Mapping'!$A$2:$A$270,0)),"Not Mapped"))</f>
        <v>Majid Kakatikar</v>
      </c>
      <c r="F373" s="11" t="str">
        <f aca="false" t="array" ref="F373:F373">IF(D373="","",IFERROR(INDEX('CLM &amp; IM Mapping'!$C$2:$C$270,MATCH(TRIM(D373),'CLM &amp; IM Mapping'!$A$2:$A$270,0)),"Not Mapped"))</f>
        <v>Kishor K</v>
      </c>
      <c r="G373" s="11" t="s">
        <v>34</v>
      </c>
      <c r="H373" s="10" t="n">
        <v>-2432</v>
      </c>
      <c r="I373" s="10" t="n">
        <v>1529</v>
      </c>
      <c r="J373" s="10" t="n">
        <v>0</v>
      </c>
      <c r="K373" s="10" t="n">
        <v>0</v>
      </c>
      <c r="L373" s="10" t="n">
        <v>358</v>
      </c>
      <c r="M373" s="10" t="n">
        <v>0</v>
      </c>
      <c r="N373" s="10" t="n">
        <v>0</v>
      </c>
      <c r="O373" s="10" t="n">
        <v>0</v>
      </c>
      <c r="P373" s="10" t="n">
        <v>-546</v>
      </c>
      <c r="Q373" s="10"/>
      <c r="R373" s="11"/>
      <c r="S373" s="22"/>
      <c r="T373" s="11"/>
      <c r="U373" s="21"/>
      <c r="V373" s="15"/>
      <c r="W373" s="23"/>
      <c r="X373" s="23"/>
      <c r="Y373" s="8"/>
      <c r="Z373" s="8"/>
      <c r="AA373" s="8"/>
      <c r="AB373" s="8"/>
      <c r="AC373" s="8"/>
    </row>
    <row r="374" customFormat="false" ht="15" hidden="false" customHeight="false" outlineLevel="0" collapsed="false">
      <c r="A374" s="9" t="n">
        <v>46304</v>
      </c>
      <c r="B374" s="11" t="s">
        <v>22</v>
      </c>
      <c r="C374" s="11" t="s">
        <v>23</v>
      </c>
      <c r="D374" s="11" t="s">
        <v>139</v>
      </c>
      <c r="E374" s="11" t="str">
        <f aca="false" t="array" ref="E374:E374">IF(D374="","",IFERROR(INDEX('CLM &amp; IM Mapping'!$B$2:$B$270,MATCH(TRIM(D374),'CLM &amp; IM Mapping'!$A$2:$A$270,0)),"Not Mapped"))</f>
        <v>Mohaideen DH</v>
      </c>
      <c r="F374" s="11" t="str">
        <f aca="false" t="array" ref="F374:F374">IF(D374="","",IFERROR(INDEX('CLM &amp; IM Mapping'!$C$2:$C$270,MATCH(TRIM(D374),'CLM &amp; IM Mapping'!$A$2:$A$270,0)),"Not Mapped"))</f>
        <v>Mohammed Akbar</v>
      </c>
      <c r="G374" s="11" t="s">
        <v>34</v>
      </c>
      <c r="H374" s="10" t="n">
        <v>-6846</v>
      </c>
      <c r="I374" s="10" t="n">
        <v>31576</v>
      </c>
      <c r="J374" s="10" t="n">
        <v>171</v>
      </c>
      <c r="K374" s="10" t="n">
        <v>710</v>
      </c>
      <c r="L374" s="10" t="n">
        <v>299</v>
      </c>
      <c r="M374" s="10" t="n">
        <v>0</v>
      </c>
      <c r="N374" s="10" t="n">
        <v>0</v>
      </c>
      <c r="O374" s="10" t="n">
        <v>0</v>
      </c>
      <c r="P374" s="10" t="n">
        <v>25910</v>
      </c>
      <c r="Q374" s="10"/>
      <c r="R374" s="10"/>
      <c r="S374" s="22"/>
      <c r="T374" s="11"/>
      <c r="U374" s="21"/>
      <c r="V374" s="15"/>
      <c r="W374" s="23"/>
      <c r="X374" s="23"/>
      <c r="Y374" s="8"/>
      <c r="Z374" s="8"/>
      <c r="AA374" s="8"/>
      <c r="AB374" s="8"/>
      <c r="AC374" s="8"/>
    </row>
    <row r="375" customFormat="false" ht="15" hidden="false" customHeight="false" outlineLevel="0" collapsed="false">
      <c r="A375" s="9" t="n">
        <v>46304</v>
      </c>
      <c r="B375" s="11" t="s">
        <v>22</v>
      </c>
      <c r="C375" s="11" t="s">
        <v>23</v>
      </c>
      <c r="D375" s="11" t="s">
        <v>226</v>
      </c>
      <c r="E375" s="11" t="str">
        <f aca="false" t="array" ref="E375:E375">IF(D375="","",IFERROR(INDEX('CLM &amp; IM Mapping'!$B$2:$B$270,MATCH(TRIM(D375),'CLM &amp; IM Mapping'!$A$2:$A$270,0)),"Not Mapped"))</f>
        <v>Manoj Kj</v>
      </c>
      <c r="F375" s="11" t="str">
        <f aca="false" t="array" ref="F375:F375">IF(D375="","",IFERROR(INDEX('CLM &amp; IM Mapping'!$C$2:$C$270,MATCH(TRIM(D375),'CLM &amp; IM Mapping'!$A$2:$A$270,0)),"Not Mapped"))</f>
        <v>Srittam Dhal</v>
      </c>
      <c r="G375" s="11" t="s">
        <v>34</v>
      </c>
      <c r="H375" s="10" t="n">
        <v>84</v>
      </c>
      <c r="I375" s="10" t="n">
        <v>0</v>
      </c>
      <c r="J375" s="10" t="n">
        <v>0</v>
      </c>
      <c r="K375" s="10" t="n">
        <v>16376</v>
      </c>
      <c r="L375" s="10" t="n">
        <v>0</v>
      </c>
      <c r="M375" s="10" t="n">
        <v>0</v>
      </c>
      <c r="N375" s="10" t="n">
        <v>0</v>
      </c>
      <c r="O375" s="10" t="n">
        <v>0</v>
      </c>
      <c r="P375" s="10" t="n">
        <v>16461</v>
      </c>
      <c r="Q375" s="10"/>
      <c r="R375" s="10"/>
      <c r="S375" s="22"/>
      <c r="T375" s="11"/>
      <c r="U375" s="21"/>
      <c r="V375" s="15"/>
      <c r="W375" s="23"/>
      <c r="X375" s="23"/>
      <c r="Y375" s="8"/>
      <c r="Z375" s="8"/>
      <c r="AA375" s="8"/>
      <c r="AB375" s="8"/>
      <c r="AC375" s="8"/>
    </row>
    <row r="376" customFormat="false" ht="15" hidden="false" customHeight="false" outlineLevel="0" collapsed="false">
      <c r="A376" s="9" t="n">
        <v>46304</v>
      </c>
      <c r="B376" s="11" t="s">
        <v>22</v>
      </c>
      <c r="C376" s="11" t="s">
        <v>23</v>
      </c>
      <c r="D376" s="11" t="s">
        <v>368</v>
      </c>
      <c r="E376" s="11" t="str">
        <f aca="false" t="array" ref="E376:E376">IF(D376="","",IFERROR(INDEX('CLM &amp; IM Mapping'!$B$2:$B$270,MATCH(TRIM(D376),'CLM &amp; IM Mapping'!$A$2:$A$270,0)),"Not Mapped"))</f>
        <v>Arun Raj</v>
      </c>
      <c r="F376" s="11" t="str">
        <f aca="false" t="array" ref="F376:F376">IF(D376="","",IFERROR(INDEX('CLM &amp; IM Mapping'!$C$2:$C$270,MATCH(TRIM(D376),'CLM &amp; IM Mapping'!$A$2:$A$270,0)),"Not Mapped"))</f>
        <v>Simon Manoharan</v>
      </c>
      <c r="G376" s="11" t="s">
        <v>25</v>
      </c>
      <c r="H376" s="10" t="n">
        <v>0</v>
      </c>
      <c r="I376" s="10" t="n">
        <v>0</v>
      </c>
      <c r="J376" s="10" t="n">
        <v>0</v>
      </c>
      <c r="K376" s="10" t="n">
        <v>0</v>
      </c>
      <c r="L376" s="10" t="n">
        <v>0</v>
      </c>
      <c r="M376" s="10" t="n">
        <v>0</v>
      </c>
      <c r="N376" s="10" t="n">
        <v>0</v>
      </c>
      <c r="O376" s="10" t="n">
        <v>0</v>
      </c>
      <c r="P376" s="10" t="n">
        <v>0</v>
      </c>
      <c r="Q376" s="11"/>
      <c r="R376" s="11"/>
      <c r="S376" s="19"/>
      <c r="T376" s="11"/>
      <c r="U376" s="21"/>
      <c r="V376" s="15"/>
      <c r="W376" s="23"/>
      <c r="X376" s="23"/>
      <c r="Y376" s="8"/>
      <c r="Z376" s="8"/>
      <c r="AA376" s="8"/>
      <c r="AB376" s="8"/>
      <c r="AC376" s="8"/>
    </row>
    <row r="377" customFormat="false" ht="15" hidden="false" customHeight="false" outlineLevel="0" collapsed="false">
      <c r="A377" s="9" t="n">
        <v>46304</v>
      </c>
      <c r="B377" s="11" t="s">
        <v>22</v>
      </c>
      <c r="C377" s="11" t="s">
        <v>23</v>
      </c>
      <c r="D377" s="11" t="s">
        <v>416</v>
      </c>
      <c r="E377" s="11" t="str">
        <f aca="false" t="array" ref="E377:E377">IF(D377="","",IFERROR(INDEX('CLM &amp; IM Mapping'!$B$2:$B$270,MATCH(TRIM(D377),'CLM &amp; IM Mapping'!$A$2:$A$270,0)),"Not Mapped"))</f>
        <v>Girish N</v>
      </c>
      <c r="F377" s="11" t="str">
        <f aca="false" t="array" ref="F377:F377">IF(D377="","",IFERROR(INDEX('CLM &amp; IM Mapping'!$C$2:$C$270,MATCH(TRIM(D377),'CLM &amp; IM Mapping'!$A$2:$A$270,0)),"Not Mapped"))</f>
        <v>Un Mapped</v>
      </c>
      <c r="G377" s="11" t="s">
        <v>34</v>
      </c>
      <c r="H377" s="10" t="n">
        <v>-14618</v>
      </c>
      <c r="I377" s="10" t="n">
        <v>7013</v>
      </c>
      <c r="J377" s="10" t="n">
        <v>0</v>
      </c>
      <c r="K377" s="10" t="n">
        <v>0</v>
      </c>
      <c r="L377" s="10" t="n">
        <v>111</v>
      </c>
      <c r="M377" s="10" t="n">
        <v>0</v>
      </c>
      <c r="N377" s="10" t="n">
        <v>0</v>
      </c>
      <c r="O377" s="10" t="n">
        <v>0</v>
      </c>
      <c r="P377" s="10" t="n">
        <v>-7494</v>
      </c>
      <c r="Q377" s="10"/>
      <c r="R377" s="10"/>
      <c r="S377" s="22"/>
      <c r="T377" s="11"/>
      <c r="U377" s="21"/>
      <c r="V377" s="15"/>
      <c r="W377" s="23"/>
      <c r="X377" s="23"/>
      <c r="Y377" s="8"/>
      <c r="Z377" s="8"/>
      <c r="AA377" s="8"/>
      <c r="AB377" s="8"/>
      <c r="AC377" s="8"/>
    </row>
    <row r="378" customFormat="false" ht="15" hidden="false" customHeight="false" outlineLevel="0" collapsed="false">
      <c r="A378" s="9" t="n">
        <v>46304</v>
      </c>
      <c r="B378" s="11" t="s">
        <v>22</v>
      </c>
      <c r="C378" s="11" t="s">
        <v>23</v>
      </c>
      <c r="D378" s="11" t="s">
        <v>362</v>
      </c>
      <c r="E378" s="11" t="str">
        <f aca="false" t="array" ref="E378:E378">IF(D378="","",IFERROR(INDEX('CLM &amp; IM Mapping'!$B$2:$B$270,MATCH(TRIM(D378),'CLM &amp; IM Mapping'!$A$2:$A$270,0)),"Not Mapped"))</f>
        <v>Ashwath S</v>
      </c>
      <c r="F378" s="11" t="str">
        <f aca="false" t="array" ref="F378:F378">IF(D378="","",IFERROR(INDEX('CLM &amp; IM Mapping'!$C$2:$C$270,MATCH(TRIM(D378),'CLM &amp; IM Mapping'!$A$2:$A$270,0)),"Not Mapped"))</f>
        <v>Kantha Kumar</v>
      </c>
      <c r="G378" s="11" t="s">
        <v>34</v>
      </c>
      <c r="H378" s="10" t="n">
        <v>78</v>
      </c>
      <c r="I378" s="10" t="n">
        <v>696</v>
      </c>
      <c r="J378" s="10" t="n">
        <v>786</v>
      </c>
      <c r="K378" s="10" t="n">
        <v>0</v>
      </c>
      <c r="L378" s="10" t="n">
        <v>1011</v>
      </c>
      <c r="M378" s="10" t="n">
        <v>0</v>
      </c>
      <c r="N378" s="10" t="n">
        <v>0</v>
      </c>
      <c r="O378" s="10" t="n">
        <v>0</v>
      </c>
      <c r="P378" s="10" t="n">
        <v>2570</v>
      </c>
      <c r="Q378" s="10"/>
      <c r="R378" s="10"/>
      <c r="S378" s="22"/>
      <c r="T378" s="11"/>
      <c r="U378" s="21"/>
      <c r="V378" s="15"/>
      <c r="W378" s="23"/>
      <c r="X378" s="23"/>
      <c r="Y378" s="8"/>
      <c r="Z378" s="8"/>
      <c r="AA378" s="8"/>
      <c r="AB378" s="8"/>
      <c r="AC378" s="8"/>
    </row>
    <row r="379" customFormat="false" ht="100.7" hidden="false" customHeight="false" outlineLevel="0" collapsed="false">
      <c r="A379" s="9" t="n">
        <v>46304</v>
      </c>
      <c r="B379" s="11" t="s">
        <v>22</v>
      </c>
      <c r="C379" s="11" t="s">
        <v>23</v>
      </c>
      <c r="D379" s="11" t="s">
        <v>165</v>
      </c>
      <c r="E379" s="11" t="str">
        <f aca="false" t="array" ref="E379:E379">IF(D379="","",IFERROR(INDEX('CLM &amp; IM Mapping'!$B$2:$B$270,MATCH(TRIM(D379),'CLM &amp; IM Mapping'!$A$2:$A$270,0)),"Not Mapped"))</f>
        <v>Akshay P</v>
      </c>
      <c r="F379" s="11" t="str">
        <f aca="false" t="array" ref="F379:F379">IF(D379="","",IFERROR(INDEX('CLM &amp; IM Mapping'!$C$2:$C$270,MATCH(TRIM(D379),'CLM &amp; IM Mapping'!$A$2:$A$270,0)),"Not Mapped"))</f>
        <v>Srittam Dhal</v>
      </c>
      <c r="G379" s="11" t="s">
        <v>34</v>
      </c>
      <c r="H379" s="10" t="n">
        <v>4286</v>
      </c>
      <c r="I379" s="10" t="n">
        <v>27550</v>
      </c>
      <c r="J379" s="10" t="n">
        <v>301</v>
      </c>
      <c r="K379" s="10" t="n">
        <v>939</v>
      </c>
      <c r="L379" s="10" t="n">
        <v>941</v>
      </c>
      <c r="M379" s="10" t="n">
        <v>0</v>
      </c>
      <c r="N379" s="10" t="n">
        <v>1092</v>
      </c>
      <c r="O379" s="10" t="n">
        <v>63</v>
      </c>
      <c r="P379" s="10" t="n">
        <v>35171</v>
      </c>
      <c r="Q379" s="24" t="s">
        <v>537</v>
      </c>
      <c r="R379" s="10" t="s">
        <v>538</v>
      </c>
      <c r="S379" s="12" t="s">
        <v>539</v>
      </c>
      <c r="T379" s="11" t="n">
        <v>30000</v>
      </c>
      <c r="U379" s="21"/>
      <c r="V379" s="15"/>
      <c r="W379" s="23"/>
      <c r="X379" s="23"/>
      <c r="Y379" s="8"/>
      <c r="Z379" s="8"/>
      <c r="AA379" s="8"/>
      <c r="AB379" s="8"/>
      <c r="AC379" s="8"/>
    </row>
    <row r="380" customFormat="false" ht="15" hidden="false" customHeight="false" outlineLevel="0" collapsed="false">
      <c r="A380" s="9" t="n">
        <v>46304</v>
      </c>
      <c r="B380" s="11" t="s">
        <v>22</v>
      </c>
      <c r="C380" s="11" t="s">
        <v>23</v>
      </c>
      <c r="D380" s="11" t="s">
        <v>342</v>
      </c>
      <c r="E380" s="11" t="str">
        <f aca="false" t="array" ref="E380:E380">IF(D380="","",IFERROR(INDEX('CLM &amp; IM Mapping'!$B$2:$B$270,MATCH(TRIM(D380),'CLM &amp; IM Mapping'!$A$2:$A$270,0)),"Not Mapped"))</f>
        <v>Saddam Hussain</v>
      </c>
      <c r="F380" s="11" t="str">
        <f aca="false" t="array" ref="F380:F380">IF(D380="","",IFERROR(INDEX('CLM &amp; IM Mapping'!$C$2:$C$270,MATCH(TRIM(D380),'CLM &amp; IM Mapping'!$A$2:$A$270,0)),"Not Mapped"))</f>
        <v>Un Mapped</v>
      </c>
      <c r="G380" s="11" t="s">
        <v>34</v>
      </c>
      <c r="H380" s="10" t="n">
        <v>-7744</v>
      </c>
      <c r="I380" s="10" t="n">
        <v>8202</v>
      </c>
      <c r="J380" s="10" t="n">
        <v>0</v>
      </c>
      <c r="K380" s="10" t="n">
        <v>0</v>
      </c>
      <c r="L380" s="10" t="n">
        <v>441</v>
      </c>
      <c r="M380" s="10" t="n">
        <v>0</v>
      </c>
      <c r="N380" s="10" t="n">
        <v>0</v>
      </c>
      <c r="O380" s="10" t="n">
        <v>0</v>
      </c>
      <c r="P380" s="10" t="n">
        <v>899</v>
      </c>
      <c r="Q380" s="10"/>
      <c r="R380" s="11"/>
      <c r="S380" s="22"/>
      <c r="T380" s="11"/>
      <c r="U380" s="21"/>
      <c r="V380" s="15"/>
      <c r="W380" s="23"/>
      <c r="X380" s="23"/>
      <c r="Y380" s="8"/>
      <c r="Z380" s="8"/>
      <c r="AA380" s="8"/>
      <c r="AB380" s="8"/>
      <c r="AC380" s="8"/>
    </row>
    <row r="381" customFormat="false" ht="29.85" hidden="false" customHeight="false" outlineLevel="0" collapsed="false">
      <c r="A381" s="9" t="n">
        <v>46304</v>
      </c>
      <c r="B381" s="11" t="s">
        <v>22</v>
      </c>
      <c r="C381" s="11" t="s">
        <v>23</v>
      </c>
      <c r="D381" s="11" t="s">
        <v>62</v>
      </c>
      <c r="E381" s="11" t="str">
        <f aca="false" t="array" ref="E381:E381">IF(D381="","",IFERROR(INDEX('CLM &amp; IM Mapping'!$B$2:$B$270,MATCH(TRIM(D381),'CLM &amp; IM Mapping'!$A$2:$A$270,0)),"Not Mapped"))</f>
        <v>Basil Scariya</v>
      </c>
      <c r="F381" s="11" t="str">
        <f aca="false" t="array" ref="F381:F381">IF(D381="","",IFERROR(INDEX('CLM &amp; IM Mapping'!$C$2:$C$270,MATCH(TRIM(D381),'CLM &amp; IM Mapping'!$A$2:$A$270,0)),"Not Mapped"))</f>
        <v>Prakash BS</v>
      </c>
      <c r="G381" s="11" t="s">
        <v>34</v>
      </c>
      <c r="H381" s="10" t="n">
        <v>20182</v>
      </c>
      <c r="I381" s="10" t="n">
        <v>15148</v>
      </c>
      <c r="J381" s="10" t="n">
        <v>0</v>
      </c>
      <c r="K381" s="10" t="n">
        <v>0</v>
      </c>
      <c r="L381" s="10" t="n">
        <v>460</v>
      </c>
      <c r="M381" s="10" t="n">
        <v>0</v>
      </c>
      <c r="N381" s="10" t="n">
        <v>1350</v>
      </c>
      <c r="O381" s="10" t="n">
        <v>0</v>
      </c>
      <c r="P381" s="10" t="n">
        <v>37140</v>
      </c>
      <c r="Q381" s="10"/>
      <c r="R381" s="10"/>
      <c r="S381" s="12" t="s">
        <v>540</v>
      </c>
      <c r="T381" s="11" t="n">
        <v>37000</v>
      </c>
      <c r="U381" s="21"/>
      <c r="V381" s="15"/>
      <c r="W381" s="23"/>
      <c r="X381" s="23"/>
      <c r="Y381" s="8"/>
      <c r="Z381" s="8"/>
      <c r="AA381" s="8"/>
      <c r="AB381" s="8"/>
      <c r="AC381" s="8"/>
    </row>
    <row r="382" customFormat="false" ht="15" hidden="false" customHeight="false" outlineLevel="0" collapsed="false">
      <c r="A382" s="9" t="n">
        <v>46304</v>
      </c>
      <c r="B382" s="11" t="s">
        <v>22</v>
      </c>
      <c r="C382" s="11" t="s">
        <v>23</v>
      </c>
      <c r="D382" s="11" t="s">
        <v>355</v>
      </c>
      <c r="E382" s="11" t="str">
        <f aca="false" t="array" ref="E382:E382">IF(D382="","",IFERROR(INDEX('CLM &amp; IM Mapping'!$B$2:$B$270,MATCH(TRIM(D382),'CLM &amp; IM Mapping'!$A$2:$A$270,0)),"Not Mapped"))</f>
        <v>Arun Raj</v>
      </c>
      <c r="F382" s="11" t="str">
        <f aca="false" t="array" ref="F382:F382">IF(D382="","",IFERROR(INDEX('CLM &amp; IM Mapping'!$C$2:$C$270,MATCH(TRIM(D382),'CLM &amp; IM Mapping'!$A$2:$A$270,0)),"Not Mapped"))</f>
        <v>Simon Manoharan</v>
      </c>
      <c r="G382" s="11" t="s">
        <v>25</v>
      </c>
      <c r="H382" s="10" t="n">
        <v>-6447</v>
      </c>
      <c r="I382" s="10" t="n">
        <v>0</v>
      </c>
      <c r="J382" s="10" t="n">
        <v>0</v>
      </c>
      <c r="K382" s="10" t="n">
        <v>0</v>
      </c>
      <c r="L382" s="10" t="n">
        <v>7470</v>
      </c>
      <c r="M382" s="10" t="n">
        <v>0</v>
      </c>
      <c r="N382" s="10" t="n">
        <v>0</v>
      </c>
      <c r="O382" s="10" t="n">
        <v>0</v>
      </c>
      <c r="P382" s="10" t="n">
        <v>1024</v>
      </c>
      <c r="Q382" s="10"/>
      <c r="R382" s="10"/>
      <c r="S382" s="22"/>
      <c r="T382" s="11"/>
      <c r="U382" s="21"/>
      <c r="V382" s="15"/>
      <c r="W382" s="23"/>
      <c r="X382" s="23"/>
      <c r="Y382" s="8"/>
      <c r="Z382" s="8"/>
      <c r="AA382" s="8"/>
      <c r="AB382" s="8"/>
      <c r="AC382" s="8"/>
    </row>
    <row r="383" customFormat="false" ht="15" hidden="false" customHeight="false" outlineLevel="0" collapsed="false">
      <c r="A383" s="9" t="n">
        <v>46304</v>
      </c>
      <c r="B383" s="11" t="s">
        <v>22</v>
      </c>
      <c r="C383" s="11" t="s">
        <v>276</v>
      </c>
      <c r="D383" s="11" t="s">
        <v>325</v>
      </c>
      <c r="E383" s="11" t="str">
        <f aca="false" t="array" ref="E383:E383">IF(D383="","",IFERROR(INDEX('CLM &amp; IM Mapping'!$B$2:$B$270,MATCH(TRIM(D383),'CLM &amp; IM Mapping'!$A$2:$A$270,0)),"Not Mapped"))</f>
        <v>Santhosha M</v>
      </c>
      <c r="F383" s="11" t="str">
        <f aca="false" t="array" ref="F383:F383">IF(D383="","",IFERROR(INDEX('CLM &amp; IM Mapping'!$C$2:$C$270,MATCH(TRIM(D383),'CLM &amp; IM Mapping'!$A$2:$A$270,0)),"Not Mapped"))</f>
        <v>Aravind S</v>
      </c>
      <c r="G383" s="11" t="s">
        <v>34</v>
      </c>
      <c r="H383" s="10" t="n">
        <v>2858</v>
      </c>
      <c r="I383" s="10" t="n">
        <v>0</v>
      </c>
      <c r="J383" s="10" t="n">
        <v>0</v>
      </c>
      <c r="K383" s="10" t="n">
        <v>0</v>
      </c>
      <c r="L383" s="10" t="n">
        <v>100</v>
      </c>
      <c r="M383" s="10" t="n">
        <v>0</v>
      </c>
      <c r="N383" s="10" t="n">
        <v>0</v>
      </c>
      <c r="O383" s="10" t="n">
        <v>0</v>
      </c>
      <c r="P383" s="10" t="n">
        <v>2958</v>
      </c>
      <c r="Q383" s="10"/>
      <c r="R383" s="10"/>
      <c r="S383" s="22"/>
      <c r="T383" s="11"/>
      <c r="U383" s="21"/>
      <c r="V383" s="15"/>
      <c r="W383" s="23"/>
      <c r="X383" s="23"/>
      <c r="Y383" s="8"/>
      <c r="Z383" s="8"/>
      <c r="AA383" s="8"/>
      <c r="AB383" s="8"/>
      <c r="AC383" s="8"/>
    </row>
    <row r="384" customFormat="false" ht="15" hidden="false" customHeight="false" outlineLevel="0" collapsed="false">
      <c r="A384" s="9" t="n">
        <v>46304</v>
      </c>
      <c r="B384" s="11" t="s">
        <v>22</v>
      </c>
      <c r="C384" s="11" t="s">
        <v>23</v>
      </c>
      <c r="D384" s="11" t="s">
        <v>422</v>
      </c>
      <c r="E384" s="11" t="str">
        <f aca="false" t="array" ref="E384:E384">IF(D384="","",IFERROR(INDEX('CLM &amp; IM Mapping'!$B$2:$B$270,MATCH(TRIM(D384),'CLM &amp; IM Mapping'!$A$2:$A$270,0)),"Not Mapped"))</f>
        <v>Manjunatha V</v>
      </c>
      <c r="F384" s="11" t="str">
        <f aca="false" t="array" ref="F384:F384">IF(D384="","",IFERROR(INDEX('CLM &amp; IM Mapping'!$C$2:$C$270,MATCH(TRIM(D384),'CLM &amp; IM Mapping'!$A$2:$A$270,0)),"Not Mapped"))</f>
        <v>Un Mapped</v>
      </c>
      <c r="G384" s="11" t="s">
        <v>34</v>
      </c>
      <c r="H384" s="10" t="n">
        <v>-9019</v>
      </c>
      <c r="I384" s="10" t="n">
        <v>5534</v>
      </c>
      <c r="J384" s="10" t="n">
        <v>0</v>
      </c>
      <c r="K384" s="10" t="n">
        <v>176</v>
      </c>
      <c r="L384" s="10" t="n">
        <v>1020</v>
      </c>
      <c r="M384" s="10" t="n">
        <v>0</v>
      </c>
      <c r="N384" s="10" t="n">
        <v>0</v>
      </c>
      <c r="O384" s="10" t="n">
        <v>66</v>
      </c>
      <c r="P384" s="10" t="n">
        <v>-2223</v>
      </c>
      <c r="Q384" s="10"/>
      <c r="R384" s="10"/>
      <c r="S384" s="22"/>
      <c r="T384" s="11"/>
      <c r="U384" s="21"/>
      <c r="V384" s="15"/>
      <c r="W384" s="23"/>
      <c r="X384" s="23"/>
      <c r="Y384" s="8"/>
      <c r="Z384" s="8"/>
      <c r="AA384" s="8"/>
      <c r="AB384" s="8"/>
      <c r="AC384" s="8"/>
    </row>
    <row r="385" customFormat="false" ht="15" hidden="false" customHeight="false" outlineLevel="0" collapsed="false">
      <c r="A385" s="9" t="n">
        <v>46304</v>
      </c>
      <c r="B385" s="11" t="s">
        <v>22</v>
      </c>
      <c r="C385" s="11" t="s">
        <v>23</v>
      </c>
      <c r="D385" s="11" t="s">
        <v>513</v>
      </c>
      <c r="E385" s="11" t="str">
        <f aca="false" t="array" ref="E385:E385">IF(D385="","",IFERROR(INDEX('CLM &amp; IM Mapping'!$B$2:$B$270,MATCH(TRIM(D385),'CLM &amp; IM Mapping'!$A$2:$A$270,0)),"Not Mapped"))</f>
        <v>Manoj Kj</v>
      </c>
      <c r="F385" s="11" t="str">
        <f aca="false" t="array" ref="F385:F385">IF(D385="","",IFERROR(INDEX('CLM &amp; IM Mapping'!$C$2:$C$270,MATCH(TRIM(D385),'CLM &amp; IM Mapping'!$A$2:$A$270,0)),"Not Mapped"))</f>
        <v>Srittam Dhal</v>
      </c>
      <c r="G385" s="11" t="s">
        <v>34</v>
      </c>
      <c r="H385" s="10" t="n">
        <v>-31757</v>
      </c>
      <c r="I385" s="10" t="n">
        <v>19</v>
      </c>
      <c r="J385" s="10" t="n">
        <v>854</v>
      </c>
      <c r="K385" s="10" t="n">
        <v>0</v>
      </c>
      <c r="L385" s="10" t="n">
        <v>52</v>
      </c>
      <c r="M385" s="10" t="n">
        <v>0</v>
      </c>
      <c r="N385" s="10" t="n">
        <v>0</v>
      </c>
      <c r="O385" s="10" t="n">
        <v>0</v>
      </c>
      <c r="P385" s="10" t="n">
        <v>-30831</v>
      </c>
      <c r="Q385" s="10"/>
      <c r="R385" s="10"/>
      <c r="S385" s="22"/>
      <c r="T385" s="11"/>
      <c r="U385" s="21"/>
      <c r="V385" s="15"/>
      <c r="W385" s="23"/>
      <c r="X385" s="23"/>
      <c r="Y385" s="8"/>
      <c r="Z385" s="8"/>
      <c r="AA385" s="8"/>
      <c r="AB385" s="8"/>
      <c r="AC385" s="8"/>
    </row>
    <row r="386" customFormat="false" ht="15" hidden="false" customHeight="false" outlineLevel="0" collapsed="false">
      <c r="A386" s="9" t="n">
        <v>46304</v>
      </c>
      <c r="B386" s="11" t="s">
        <v>22</v>
      </c>
      <c r="C386" s="11" t="s">
        <v>23</v>
      </c>
      <c r="D386" s="11" t="s">
        <v>311</v>
      </c>
      <c r="E386" s="11" t="str">
        <f aca="false" t="array" ref="E386:E386">IF(D386="","",IFERROR(INDEX('CLM &amp; IM Mapping'!$B$2:$B$270,MATCH(TRIM(D386),'CLM &amp; IM Mapping'!$A$2:$A$270,0)),"Not Mapped"))</f>
        <v>Manjunatha V</v>
      </c>
      <c r="F386" s="11" t="str">
        <f aca="false" t="array" ref="F386:F386">IF(D386="","",IFERROR(INDEX('CLM &amp; IM Mapping'!$C$2:$C$270,MATCH(TRIM(D386),'CLM &amp; IM Mapping'!$A$2:$A$270,0)),"Not Mapped"))</f>
        <v>Un Mapped</v>
      </c>
      <c r="G386" s="11" t="s">
        <v>34</v>
      </c>
      <c r="H386" s="10" t="n">
        <v>-3533</v>
      </c>
      <c r="I386" s="10" t="n">
        <v>8683</v>
      </c>
      <c r="J386" s="10" t="n">
        <v>0</v>
      </c>
      <c r="K386" s="10" t="n">
        <v>0</v>
      </c>
      <c r="L386" s="10" t="n">
        <v>0</v>
      </c>
      <c r="M386" s="10" t="n">
        <v>0</v>
      </c>
      <c r="N386" s="10" t="n">
        <v>0</v>
      </c>
      <c r="O386" s="10" t="n">
        <v>0</v>
      </c>
      <c r="P386" s="10" t="n">
        <v>5150</v>
      </c>
      <c r="Q386" s="10"/>
      <c r="R386" s="10"/>
      <c r="S386" s="22"/>
      <c r="T386" s="11"/>
      <c r="U386" s="21"/>
      <c r="V386" s="15"/>
      <c r="W386" s="23"/>
      <c r="X386" s="23"/>
      <c r="Y386" s="8"/>
      <c r="Z386" s="8"/>
      <c r="AA386" s="8"/>
      <c r="AB386" s="8"/>
      <c r="AC386" s="8"/>
    </row>
    <row r="387" customFormat="false" ht="15" hidden="false" customHeight="false" outlineLevel="0" collapsed="false">
      <c r="A387" s="9" t="n">
        <v>46304</v>
      </c>
      <c r="B387" s="11" t="s">
        <v>22</v>
      </c>
      <c r="C387" s="11" t="s">
        <v>303</v>
      </c>
      <c r="D387" s="11" t="s">
        <v>427</v>
      </c>
      <c r="E387" s="11" t="str">
        <f aca="false" t="array" ref="E387:E387">IF(D387="","",IFERROR(INDEX('CLM &amp; IM Mapping'!$B$2:$B$270,MATCH(TRIM(D387),'CLM &amp; IM Mapping'!$A$2:$A$270,0)),"Not Mapped"))</f>
        <v>John Britto</v>
      </c>
      <c r="F387" s="11" t="str">
        <f aca="false" t="array" ref="F387:F387">IF(D387="","",IFERROR(INDEX('CLM &amp; IM Mapping'!$C$2:$C$270,MATCH(TRIM(D387),'CLM &amp; IM Mapping'!$A$2:$A$270,0)),"Not Mapped"))</f>
        <v>Aravind S</v>
      </c>
      <c r="G387" s="11" t="s">
        <v>34</v>
      </c>
      <c r="H387" s="10" t="n">
        <v>-13733</v>
      </c>
      <c r="I387" s="10" t="n">
        <v>8778</v>
      </c>
      <c r="J387" s="10" t="n">
        <v>0</v>
      </c>
      <c r="K387" s="10" t="n">
        <v>0</v>
      </c>
      <c r="L387" s="10" t="n">
        <v>836</v>
      </c>
      <c r="M387" s="10" t="n">
        <v>0</v>
      </c>
      <c r="N387" s="10" t="n">
        <v>0</v>
      </c>
      <c r="O387" s="10" t="n">
        <v>0</v>
      </c>
      <c r="P387" s="10" t="n">
        <v>-4119</v>
      </c>
      <c r="Q387" s="10"/>
      <c r="R387" s="10"/>
      <c r="S387" s="22"/>
      <c r="T387" s="11"/>
      <c r="U387" s="21"/>
      <c r="V387" s="15"/>
      <c r="W387" s="23"/>
      <c r="X387" s="23"/>
      <c r="Y387" s="8"/>
      <c r="Z387" s="8"/>
      <c r="AA387" s="8"/>
      <c r="AB387" s="8"/>
      <c r="AC387" s="8"/>
    </row>
    <row r="388" customFormat="false" ht="15" hidden="false" customHeight="false" outlineLevel="0" collapsed="false">
      <c r="A388" s="9" t="n">
        <v>46304</v>
      </c>
      <c r="B388" s="11" t="s">
        <v>22</v>
      </c>
      <c r="C388" s="11" t="s">
        <v>23</v>
      </c>
      <c r="D388" s="11" t="s">
        <v>294</v>
      </c>
      <c r="E388" s="11" t="str">
        <f aca="false" t="array" ref="E388:E388">IF(D388="","",IFERROR(INDEX('CLM &amp; IM Mapping'!$B$2:$B$270,MATCH(TRIM(D388),'CLM &amp; IM Mapping'!$A$2:$A$270,0)),"Not Mapped"))</f>
        <v>Manoj Kj</v>
      </c>
      <c r="F388" s="11" t="str">
        <f aca="false" t="array" ref="F388:F388">IF(D388="","",IFERROR(INDEX('CLM &amp; IM Mapping'!$C$2:$C$270,MATCH(TRIM(D388),'CLM &amp; IM Mapping'!$A$2:$A$270,0)),"Not Mapped"))</f>
        <v>Srittam Dhal</v>
      </c>
      <c r="G388" s="11" t="s">
        <v>34</v>
      </c>
      <c r="H388" s="10" t="n">
        <v>1421</v>
      </c>
      <c r="I388" s="10" t="n">
        <v>198</v>
      </c>
      <c r="J388" s="10" t="n">
        <v>0</v>
      </c>
      <c r="K388" s="10" t="n">
        <v>928</v>
      </c>
      <c r="L388" s="10" t="n">
        <v>340</v>
      </c>
      <c r="M388" s="10" t="n">
        <v>0</v>
      </c>
      <c r="N388" s="10" t="n">
        <v>0</v>
      </c>
      <c r="O388" s="10" t="n">
        <v>275</v>
      </c>
      <c r="P388" s="10" t="n">
        <v>3161</v>
      </c>
      <c r="Q388" s="10"/>
      <c r="R388" s="10"/>
      <c r="S388" s="19"/>
      <c r="T388" s="11"/>
      <c r="U388" s="21"/>
      <c r="V388" s="15"/>
      <c r="W388" s="23"/>
      <c r="X388" s="23"/>
      <c r="Y388" s="8"/>
      <c r="Z388" s="8"/>
      <c r="AA388" s="8"/>
      <c r="AB388" s="8"/>
      <c r="AC388" s="8"/>
    </row>
    <row r="389" customFormat="false" ht="15" hidden="false" customHeight="false" outlineLevel="0" collapsed="false">
      <c r="A389" s="9" t="n">
        <v>46304</v>
      </c>
      <c r="B389" s="11" t="s">
        <v>22</v>
      </c>
      <c r="C389" s="11" t="s">
        <v>23</v>
      </c>
      <c r="D389" s="11" t="s">
        <v>334</v>
      </c>
      <c r="E389" s="11" t="str">
        <f aca="false" t="array" ref="E389:E389">IF(D389="","",IFERROR(INDEX('CLM &amp; IM Mapping'!$B$2:$B$270,MATCH(TRIM(D389),'CLM &amp; IM Mapping'!$A$2:$A$270,0)),"Not Mapped"))</f>
        <v>Akshay P</v>
      </c>
      <c r="F389" s="11" t="str">
        <f aca="false" t="array" ref="F389:F389">IF(D389="","",IFERROR(INDEX('CLM &amp; IM Mapping'!$C$2:$C$270,MATCH(TRIM(D389),'CLM &amp; IM Mapping'!$A$2:$A$270,0)),"Not Mapped"))</f>
        <v>Srittam Dhal</v>
      </c>
      <c r="G389" s="11" t="s">
        <v>34</v>
      </c>
      <c r="H389" s="10" t="n">
        <v>1686</v>
      </c>
      <c r="I389" s="10" t="n">
        <v>33</v>
      </c>
      <c r="J389" s="10" t="n">
        <v>41</v>
      </c>
      <c r="K389" s="10" t="n">
        <v>94</v>
      </c>
      <c r="L389" s="10" t="n">
        <v>682</v>
      </c>
      <c r="M389" s="10" t="n">
        <v>0</v>
      </c>
      <c r="N389" s="10" t="n">
        <v>0</v>
      </c>
      <c r="O389" s="10" t="n">
        <v>0</v>
      </c>
      <c r="P389" s="10" t="n">
        <v>2535</v>
      </c>
      <c r="Q389" s="10"/>
      <c r="R389" s="10"/>
      <c r="S389" s="22"/>
      <c r="T389" s="11"/>
      <c r="U389" s="21"/>
      <c r="V389" s="15"/>
      <c r="W389" s="23"/>
      <c r="X389" s="23"/>
      <c r="Y389" s="8"/>
      <c r="Z389" s="8"/>
      <c r="AA389" s="8"/>
      <c r="AB389" s="8"/>
      <c r="AC389" s="8"/>
    </row>
    <row r="390" customFormat="false" ht="15" hidden="false" customHeight="false" outlineLevel="0" collapsed="false">
      <c r="A390" s="9" t="n">
        <v>46304</v>
      </c>
      <c r="B390" s="11" t="s">
        <v>22</v>
      </c>
      <c r="C390" s="11" t="s">
        <v>23</v>
      </c>
      <c r="D390" s="11" t="s">
        <v>262</v>
      </c>
      <c r="E390" s="11" t="str">
        <f aca="false" t="array" ref="E390:E390">IF(D390="","",IFERROR(INDEX('CLM &amp; IM Mapping'!$B$2:$B$270,MATCH(TRIM(D390),'CLM &amp; IM Mapping'!$A$2:$A$270,0)),"Not Mapped"))</f>
        <v>Majid Kakatikar</v>
      </c>
      <c r="F390" s="11" t="str">
        <f aca="false" t="array" ref="F390:F390">IF(D390="","",IFERROR(INDEX('CLM &amp; IM Mapping'!$C$2:$C$270,MATCH(TRIM(D390),'CLM &amp; IM Mapping'!$A$2:$A$270,0)),"Not Mapped"))</f>
        <v>Kishor K</v>
      </c>
      <c r="G390" s="11" t="s">
        <v>34</v>
      </c>
      <c r="H390" s="10" t="n">
        <v>-1926</v>
      </c>
      <c r="I390" s="10" t="n">
        <v>5103</v>
      </c>
      <c r="J390" s="10" t="n">
        <v>0</v>
      </c>
      <c r="K390" s="10" t="n">
        <v>430</v>
      </c>
      <c r="L390" s="10" t="n">
        <v>121</v>
      </c>
      <c r="M390" s="10" t="n">
        <v>0</v>
      </c>
      <c r="N390" s="10" t="n">
        <v>0</v>
      </c>
      <c r="O390" s="10" t="n">
        <v>0</v>
      </c>
      <c r="P390" s="10" t="n">
        <v>3727</v>
      </c>
      <c r="Q390" s="10"/>
      <c r="R390" s="10"/>
      <c r="S390" s="22" t="s">
        <v>533</v>
      </c>
      <c r="T390" s="11" t="n">
        <v>4000</v>
      </c>
      <c r="U390" s="21"/>
      <c r="V390" s="15"/>
      <c r="W390" s="23"/>
      <c r="X390" s="23"/>
      <c r="Y390" s="8"/>
      <c r="Z390" s="8"/>
      <c r="AA390" s="8"/>
      <c r="AB390" s="8"/>
      <c r="AC390" s="8"/>
    </row>
    <row r="391" customFormat="false" ht="15" hidden="false" customHeight="false" outlineLevel="0" collapsed="false">
      <c r="A391" s="9" t="n">
        <v>46304</v>
      </c>
      <c r="B391" s="11" t="s">
        <v>22</v>
      </c>
      <c r="C391" s="11" t="s">
        <v>261</v>
      </c>
      <c r="D391" s="11" t="s">
        <v>136</v>
      </c>
      <c r="E391" s="11" t="str">
        <f aca="false" t="array" ref="E391:E391">IF(D391="","",IFERROR(INDEX('CLM &amp; IM Mapping'!$B$2:$B$270,MATCH(TRIM(D391),'CLM &amp; IM Mapping'!$A$2:$A$270,0)),"Not Mapped"))</f>
        <v>Arun Raj</v>
      </c>
      <c r="F391" s="11" t="str">
        <f aca="false" t="array" ref="F391:F391">IF(D391="","",IFERROR(INDEX('CLM &amp; IM Mapping'!$C$2:$C$270,MATCH(TRIM(D391),'CLM &amp; IM Mapping'!$A$2:$A$270,0)),"Not Mapped"))</f>
        <v>Simon Manoharan</v>
      </c>
      <c r="G391" s="11" t="s">
        <v>34</v>
      </c>
      <c r="H391" s="10" t="n">
        <v>28181</v>
      </c>
      <c r="I391" s="10" t="n">
        <v>12165</v>
      </c>
      <c r="J391" s="10" t="n">
        <v>0</v>
      </c>
      <c r="K391" s="10" t="n">
        <v>0</v>
      </c>
      <c r="L391" s="10" t="n">
        <v>4942</v>
      </c>
      <c r="M391" s="10" t="n">
        <v>0</v>
      </c>
      <c r="N391" s="10" t="n">
        <v>0</v>
      </c>
      <c r="O391" s="10" t="n">
        <v>0</v>
      </c>
      <c r="P391" s="10" t="n">
        <v>45288</v>
      </c>
      <c r="Q391" s="10"/>
      <c r="R391" s="10"/>
      <c r="S391" s="22"/>
      <c r="T391" s="11"/>
      <c r="U391" s="21"/>
      <c r="V391" s="15"/>
      <c r="W391" s="23"/>
      <c r="X391" s="23"/>
      <c r="Y391" s="8"/>
      <c r="Z391" s="8"/>
      <c r="AA391" s="8"/>
      <c r="AB391" s="8"/>
      <c r="AC391" s="8"/>
    </row>
    <row r="392" customFormat="false" ht="15" hidden="false" customHeight="false" outlineLevel="0" collapsed="false">
      <c r="A392" s="9" t="n">
        <v>46304</v>
      </c>
      <c r="B392" s="11" t="s">
        <v>22</v>
      </c>
      <c r="C392" s="11" t="s">
        <v>23</v>
      </c>
      <c r="D392" s="11" t="s">
        <v>425</v>
      </c>
      <c r="E392" s="11" t="str">
        <f aca="false" t="array" ref="E392:E392">IF(D392="","",IFERROR(INDEX('CLM &amp; IM Mapping'!$B$2:$B$270,MATCH(TRIM(D392),'CLM &amp; IM Mapping'!$A$2:$A$270,0)),"Not Mapped"))</f>
        <v>Santhosha M</v>
      </c>
      <c r="F392" s="11" t="str">
        <f aca="false" t="array" ref="F392:F392">IF(D392="","",IFERROR(INDEX('CLM &amp; IM Mapping'!$C$2:$C$270,MATCH(TRIM(D392),'CLM &amp; IM Mapping'!$A$2:$A$270,0)),"Not Mapped"))</f>
        <v>Aravind S</v>
      </c>
      <c r="G392" s="11" t="s">
        <v>25</v>
      </c>
      <c r="H392" s="10" t="n">
        <v>-8587</v>
      </c>
      <c r="I392" s="10" t="n">
        <v>59</v>
      </c>
      <c r="J392" s="10" t="n">
        <v>0</v>
      </c>
      <c r="K392" s="10" t="n">
        <v>0</v>
      </c>
      <c r="L392" s="10" t="n">
        <v>0</v>
      </c>
      <c r="M392" s="10" t="n">
        <v>0</v>
      </c>
      <c r="N392" s="10" t="n">
        <v>0</v>
      </c>
      <c r="O392" s="10" t="n">
        <v>19</v>
      </c>
      <c r="P392" s="10" t="n">
        <v>-8509</v>
      </c>
      <c r="Q392" s="10"/>
      <c r="R392" s="10"/>
      <c r="S392" s="22"/>
      <c r="T392" s="11"/>
      <c r="U392" s="21"/>
      <c r="V392" s="15"/>
      <c r="W392" s="23"/>
      <c r="X392" s="23"/>
      <c r="Y392" s="8"/>
      <c r="Z392" s="8"/>
      <c r="AA392" s="8"/>
      <c r="AB392" s="8"/>
      <c r="AC392" s="8"/>
    </row>
    <row r="393" customFormat="false" ht="15" hidden="false" customHeight="false" outlineLevel="0" collapsed="false">
      <c r="A393" s="9" t="n">
        <v>46304</v>
      </c>
      <c r="B393" s="11" t="s">
        <v>22</v>
      </c>
      <c r="C393" s="11" t="s">
        <v>276</v>
      </c>
      <c r="D393" s="11" t="s">
        <v>525</v>
      </c>
      <c r="E393" s="11" t="str">
        <f aca="false" t="array" ref="E393:E393">IF(D393="","",IFERROR(INDEX('CLM &amp; IM Mapping'!$B$2:$B$270,MATCH(TRIM(D393),'CLM &amp; IM Mapping'!$A$2:$A$270,0)),"Not Mapped"))</f>
        <v>Saddam Hussain</v>
      </c>
      <c r="F393" s="11" t="str">
        <f aca="false" t="array" ref="F393:F393">IF(D393="","",IFERROR(INDEX('CLM &amp; IM Mapping'!$C$2:$C$270,MATCH(TRIM(D393),'CLM &amp; IM Mapping'!$A$2:$A$270,0)),"Not Mapped"))</f>
        <v>Un Mapped</v>
      </c>
      <c r="G393" s="11" t="s">
        <v>34</v>
      </c>
      <c r="H393" s="10" t="n">
        <v>-44180</v>
      </c>
      <c r="I393" s="10" t="n">
        <v>2789</v>
      </c>
      <c r="J393" s="10" t="n">
        <v>0</v>
      </c>
      <c r="K393" s="10" t="n">
        <v>212</v>
      </c>
      <c r="L393" s="10" t="n">
        <v>154</v>
      </c>
      <c r="M393" s="10" t="n">
        <v>0</v>
      </c>
      <c r="N393" s="10" t="n">
        <v>0</v>
      </c>
      <c r="O393" s="10" t="n">
        <v>0</v>
      </c>
      <c r="P393" s="10" t="n">
        <v>-41024</v>
      </c>
      <c r="Q393" s="10"/>
      <c r="R393" s="10"/>
      <c r="S393" s="22"/>
      <c r="T393" s="11"/>
      <c r="U393" s="21"/>
      <c r="V393" s="15"/>
      <c r="W393" s="23"/>
      <c r="X393" s="23"/>
      <c r="Y393" s="8"/>
      <c r="Z393" s="8"/>
      <c r="AA393" s="8"/>
      <c r="AB393" s="8"/>
      <c r="AC393" s="8"/>
    </row>
    <row r="394" customFormat="false" ht="15" hidden="false" customHeight="false" outlineLevel="0" collapsed="false">
      <c r="A394" s="9" t="n">
        <v>46304</v>
      </c>
      <c r="B394" s="11" t="s">
        <v>22</v>
      </c>
      <c r="C394" s="11" t="s">
        <v>23</v>
      </c>
      <c r="D394" s="11" t="s">
        <v>184</v>
      </c>
      <c r="E394" s="11" t="str">
        <f aca="false" t="array" ref="E394:E394">IF(D394="","",IFERROR(INDEX('CLM &amp; IM Mapping'!$B$2:$B$270,MATCH(TRIM(D394),'CLM &amp; IM Mapping'!$A$2:$A$270,0)),"Not Mapped"))</f>
        <v>Richard Harris</v>
      </c>
      <c r="F394" s="11" t="str">
        <f aca="false" t="array" ref="F394:F394">IF(D394="","",IFERROR(INDEX('CLM &amp; IM Mapping'!$C$2:$C$270,MATCH(TRIM(D394),'CLM &amp; IM Mapping'!$A$2:$A$270,0)),"Not Mapped"))</f>
        <v>Kantha Kumar</v>
      </c>
      <c r="G394" s="11" t="s">
        <v>34</v>
      </c>
      <c r="H394" s="10" t="n">
        <v>12549</v>
      </c>
      <c r="I394" s="10" t="n">
        <v>13377</v>
      </c>
      <c r="J394" s="10" t="n">
        <v>0</v>
      </c>
      <c r="K394" s="10" t="n">
        <v>136</v>
      </c>
      <c r="L394" s="10" t="n">
        <v>614</v>
      </c>
      <c r="M394" s="10" t="n">
        <v>0</v>
      </c>
      <c r="N394" s="10" t="n">
        <v>0</v>
      </c>
      <c r="O394" s="10" t="n">
        <v>0</v>
      </c>
      <c r="P394" s="10" t="n">
        <v>26675</v>
      </c>
      <c r="Q394" s="10"/>
      <c r="R394" s="10"/>
      <c r="S394" s="22"/>
      <c r="T394" s="11"/>
      <c r="U394" s="21"/>
      <c r="V394" s="15"/>
      <c r="W394" s="23"/>
      <c r="X394" s="23"/>
      <c r="Y394" s="8"/>
      <c r="Z394" s="8"/>
      <c r="AA394" s="8"/>
      <c r="AB394" s="8"/>
      <c r="AC394" s="8"/>
    </row>
    <row r="395" customFormat="false" ht="15" hidden="false" customHeight="false" outlineLevel="0" collapsed="false">
      <c r="A395" s="9" t="n">
        <v>46304</v>
      </c>
      <c r="B395" s="11" t="s">
        <v>22</v>
      </c>
      <c r="C395" s="11" t="s">
        <v>23</v>
      </c>
      <c r="D395" s="11" t="s">
        <v>352</v>
      </c>
      <c r="E395" s="11" t="str">
        <f aca="false" t="array" ref="E395:E395">IF(D395="","",IFERROR(INDEX('CLM &amp; IM Mapping'!$B$2:$B$270,MATCH(TRIM(D395),'CLM &amp; IM Mapping'!$A$2:$A$270,0)),"Not Mapped"))</f>
        <v>Raghavendra Vernekar</v>
      </c>
      <c r="F395" s="11" t="str">
        <f aca="false" t="array" ref="F395:F395">IF(D395="","",IFERROR(INDEX('CLM &amp; IM Mapping'!$C$2:$C$270,MATCH(TRIM(D395),'CLM &amp; IM Mapping'!$A$2:$A$270,0)),"Not Mapped"))</f>
        <v>Prakash BS</v>
      </c>
      <c r="G395" s="11" t="s">
        <v>34</v>
      </c>
      <c r="H395" s="10" t="n">
        <v>-6448</v>
      </c>
      <c r="I395" s="10" t="n">
        <v>2684</v>
      </c>
      <c r="J395" s="10" t="n">
        <v>4491</v>
      </c>
      <c r="K395" s="10" t="n">
        <v>0</v>
      </c>
      <c r="L395" s="10" t="n">
        <v>391</v>
      </c>
      <c r="M395" s="10" t="n">
        <v>0</v>
      </c>
      <c r="N395" s="10" t="n">
        <v>541</v>
      </c>
      <c r="O395" s="10" t="n">
        <v>0</v>
      </c>
      <c r="P395" s="10" t="n">
        <v>1659</v>
      </c>
      <c r="Q395" s="10"/>
      <c r="R395" s="10"/>
      <c r="S395" s="22" t="s">
        <v>536</v>
      </c>
      <c r="T395" s="11"/>
      <c r="U395" s="21"/>
      <c r="V395" s="15"/>
      <c r="W395" s="23"/>
      <c r="X395" s="23"/>
      <c r="Y395" s="8"/>
      <c r="Z395" s="8"/>
      <c r="AA395" s="8"/>
      <c r="AB395" s="8"/>
      <c r="AC395" s="8"/>
    </row>
    <row r="396" customFormat="false" ht="29.85" hidden="false" customHeight="false" outlineLevel="0" collapsed="false">
      <c r="A396" s="9" t="n">
        <v>46304</v>
      </c>
      <c r="B396" s="11" t="s">
        <v>22</v>
      </c>
      <c r="C396" s="11" t="s">
        <v>23</v>
      </c>
      <c r="D396" s="11" t="s">
        <v>203</v>
      </c>
      <c r="E396" s="11" t="str">
        <f aca="false" t="array" ref="E396:E396">IF(D396="","",IFERROR(INDEX('CLM &amp; IM Mapping'!$B$2:$B$270,MATCH(TRIM(D396),'CLM &amp; IM Mapping'!$A$2:$A$270,0)),"Not Mapped"))</f>
        <v>Suhas N</v>
      </c>
      <c r="F396" s="11" t="str">
        <f aca="false" t="array" ref="F396:F396">IF(D396="","",IFERROR(INDEX('CLM &amp; IM Mapping'!$C$2:$C$270,MATCH(TRIM(D396),'CLM &amp; IM Mapping'!$A$2:$A$270,0)),"Not Mapped"))</f>
        <v>Aravind S</v>
      </c>
      <c r="G396" s="11" t="s">
        <v>34</v>
      </c>
      <c r="H396" s="10" t="n">
        <v>8648</v>
      </c>
      <c r="I396" s="10" t="n">
        <v>15594</v>
      </c>
      <c r="J396" s="10" t="n">
        <v>0</v>
      </c>
      <c r="K396" s="10" t="n">
        <v>0</v>
      </c>
      <c r="L396" s="10" t="n">
        <v>1731</v>
      </c>
      <c r="M396" s="10" t="n">
        <v>0</v>
      </c>
      <c r="N396" s="10" t="n">
        <v>0</v>
      </c>
      <c r="O396" s="10" t="n">
        <v>0</v>
      </c>
      <c r="P396" s="10" t="n">
        <v>25973</v>
      </c>
      <c r="Q396" s="10"/>
      <c r="R396" s="10"/>
      <c r="S396" s="12" t="s">
        <v>204</v>
      </c>
      <c r="T396" s="15" t="n">
        <v>20000</v>
      </c>
      <c r="U396" s="21"/>
      <c r="V396" s="15"/>
      <c r="W396" s="23"/>
      <c r="X396" s="23"/>
      <c r="Y396" s="8"/>
      <c r="Z396" s="8"/>
      <c r="AA396" s="8"/>
      <c r="AB396" s="8"/>
      <c r="AC396" s="8"/>
    </row>
    <row r="397" customFormat="false" ht="15" hidden="false" customHeight="false" outlineLevel="0" collapsed="false">
      <c r="A397" s="9" t="n">
        <v>46304</v>
      </c>
      <c r="B397" s="11" t="s">
        <v>22</v>
      </c>
      <c r="C397" s="11" t="s">
        <v>23</v>
      </c>
      <c r="D397" s="11" t="s">
        <v>457</v>
      </c>
      <c r="E397" s="11" t="str">
        <f aca="false" t="array" ref="E397:E397">IF(D397="","",IFERROR(INDEX('CLM &amp; IM Mapping'!$B$2:$B$270,MATCH(TRIM(D397),'CLM &amp; IM Mapping'!$A$2:$A$270,0)),"Not Mapped"))</f>
        <v>Saddam Hussain</v>
      </c>
      <c r="F397" s="11" t="str">
        <f aca="false" t="array" ref="F397:F397">IF(D397="","",IFERROR(INDEX('CLM &amp; IM Mapping'!$C$2:$C$270,MATCH(TRIM(D397),'CLM &amp; IM Mapping'!$A$2:$A$270,0)),"Not Mapped"))</f>
        <v>Un Mapped</v>
      </c>
      <c r="G397" s="11" t="s">
        <v>34</v>
      </c>
      <c r="H397" s="10" t="n">
        <v>-6690</v>
      </c>
      <c r="I397" s="10" t="n">
        <v>220</v>
      </c>
      <c r="J397" s="10" t="n">
        <v>0</v>
      </c>
      <c r="K397" s="10" t="n">
        <v>0</v>
      </c>
      <c r="L397" s="10" t="n">
        <v>333</v>
      </c>
      <c r="M397" s="10" t="n">
        <v>0</v>
      </c>
      <c r="N397" s="10" t="n">
        <v>0</v>
      </c>
      <c r="O397" s="10" t="n">
        <v>0</v>
      </c>
      <c r="P397" s="10" t="n">
        <v>-6138</v>
      </c>
      <c r="Q397" s="10"/>
      <c r="R397" s="11"/>
      <c r="S397" s="19"/>
      <c r="T397" s="11"/>
      <c r="U397" s="21"/>
      <c r="V397" s="15"/>
      <c r="W397" s="23"/>
      <c r="X397" s="23"/>
      <c r="Y397" s="8"/>
      <c r="Z397" s="8"/>
      <c r="AA397" s="8"/>
      <c r="AB397" s="8"/>
      <c r="AC397" s="8"/>
    </row>
    <row r="398" customFormat="false" ht="15" hidden="false" customHeight="false" outlineLevel="0" collapsed="false">
      <c r="A398" s="9" t="n">
        <v>46304</v>
      </c>
      <c r="B398" s="11" t="s">
        <v>22</v>
      </c>
      <c r="C398" s="11" t="s">
        <v>23</v>
      </c>
      <c r="D398" s="11" t="s">
        <v>397</v>
      </c>
      <c r="E398" s="11" t="str">
        <f aca="false" t="array" ref="E398:E398">IF(D398="","",IFERROR(INDEX('CLM &amp; IM Mapping'!$B$2:$B$270,MATCH(TRIM(D398),'CLM &amp; IM Mapping'!$A$2:$A$270,0)),"Not Mapped"))</f>
        <v>Akshay P</v>
      </c>
      <c r="F398" s="11" t="str">
        <f aca="false" t="array" ref="F398:F398">IF(D398="","",IFERROR(INDEX('CLM &amp; IM Mapping'!$C$2:$C$270,MATCH(TRIM(D398),'CLM &amp; IM Mapping'!$A$2:$A$270,0)),"Not Mapped"))</f>
        <v>Srittam Dhal</v>
      </c>
      <c r="G398" s="11" t="s">
        <v>34</v>
      </c>
      <c r="H398" s="10" t="n">
        <v>-10072</v>
      </c>
      <c r="I398" s="10" t="n">
        <v>3250</v>
      </c>
      <c r="J398" s="10" t="n">
        <v>0</v>
      </c>
      <c r="K398" s="10" t="n">
        <v>1678</v>
      </c>
      <c r="L398" s="10" t="n">
        <v>0</v>
      </c>
      <c r="M398" s="10" t="n">
        <v>0</v>
      </c>
      <c r="N398" s="10" t="n">
        <v>1533</v>
      </c>
      <c r="O398" s="10" t="n">
        <v>0</v>
      </c>
      <c r="P398" s="10" t="n">
        <v>-3610</v>
      </c>
      <c r="Q398" s="10"/>
      <c r="R398" s="10"/>
      <c r="S398" s="22"/>
      <c r="T398" s="11"/>
      <c r="U398" s="21"/>
      <c r="V398" s="15"/>
      <c r="W398" s="23"/>
      <c r="X398" s="23"/>
      <c r="Y398" s="8"/>
      <c r="Z398" s="8"/>
      <c r="AA398" s="8"/>
      <c r="AB398" s="8"/>
      <c r="AC398" s="8"/>
    </row>
    <row r="399" customFormat="false" ht="15" hidden="false" customHeight="false" outlineLevel="0" collapsed="false">
      <c r="A399" s="9" t="n">
        <v>46304</v>
      </c>
      <c r="B399" s="11" t="s">
        <v>22</v>
      </c>
      <c r="C399" s="11" t="s">
        <v>23</v>
      </c>
      <c r="D399" s="11" t="s">
        <v>445</v>
      </c>
      <c r="E399" s="11" t="str">
        <f aca="false" t="array" ref="E399:E399">IF(D399="","",IFERROR(INDEX('CLM &amp; IM Mapping'!$B$2:$B$270,MATCH(TRIM(D399),'CLM &amp; IM Mapping'!$A$2:$A$270,0)),"Not Mapped"))</f>
        <v>Sundaresh S</v>
      </c>
      <c r="F399" s="11" t="str">
        <f aca="false" t="array" ref="F399:F399">IF(D399="","",IFERROR(INDEX('CLM &amp; IM Mapping'!$C$2:$C$270,MATCH(TRIM(D399),'CLM &amp; IM Mapping'!$A$2:$A$270,0)),"Not Mapped"))</f>
        <v>Un Mapped</v>
      </c>
      <c r="G399" s="11" t="s">
        <v>34</v>
      </c>
      <c r="H399" s="10" t="n">
        <v>-8215</v>
      </c>
      <c r="I399" s="10" t="n">
        <v>356</v>
      </c>
      <c r="J399" s="10" t="n">
        <v>0</v>
      </c>
      <c r="K399" s="10" t="n">
        <v>0</v>
      </c>
      <c r="L399" s="10" t="n">
        <v>64</v>
      </c>
      <c r="M399" s="10" t="n">
        <v>0</v>
      </c>
      <c r="N399" s="10" t="n">
        <v>0</v>
      </c>
      <c r="O399" s="10" t="n">
        <v>0</v>
      </c>
      <c r="P399" s="10" t="n">
        <v>-7795</v>
      </c>
      <c r="Q399" s="10"/>
      <c r="R399" s="10"/>
      <c r="S399" s="22"/>
      <c r="T399" s="11"/>
      <c r="U399" s="21"/>
      <c r="V399" s="15"/>
      <c r="W399" s="23"/>
      <c r="X399" s="23"/>
      <c r="Y399" s="8"/>
      <c r="Z399" s="8"/>
      <c r="AA399" s="8"/>
      <c r="AB399" s="8"/>
      <c r="AC399" s="8"/>
    </row>
    <row r="400" customFormat="false" ht="15" hidden="false" customHeight="false" outlineLevel="0" collapsed="false">
      <c r="A400" s="9" t="n">
        <v>46304</v>
      </c>
      <c r="B400" s="11" t="s">
        <v>22</v>
      </c>
      <c r="C400" s="11" t="s">
        <v>23</v>
      </c>
      <c r="D400" s="11" t="s">
        <v>41</v>
      </c>
      <c r="E400" s="11" t="str">
        <f aca="false" t="array" ref="E400:E400">IF(D400="","",IFERROR(INDEX('CLM &amp; IM Mapping'!$B$2:$B$270,MATCH(TRIM(D400),'CLM &amp; IM Mapping'!$A$2:$A$270,0)),"Not Mapped"))</f>
        <v>Rizwan Ahmed</v>
      </c>
      <c r="F400" s="11" t="str">
        <f aca="false" t="array" ref="F400:F400">IF(D400="","",IFERROR(INDEX('CLM &amp; IM Mapping'!$C$2:$C$270,MATCH(TRIM(D400),'CLM &amp; IM Mapping'!$A$2:$A$270,0)),"Not Mapped"))</f>
        <v>Un Mapped</v>
      </c>
      <c r="G400" s="11" t="s">
        <v>34</v>
      </c>
      <c r="H400" s="10" t="n">
        <v>7194</v>
      </c>
      <c r="I400" s="10" t="n">
        <v>72770</v>
      </c>
      <c r="J400" s="10" t="n">
        <v>0</v>
      </c>
      <c r="K400" s="10" t="n">
        <v>1165</v>
      </c>
      <c r="L400" s="10" t="n">
        <v>1200</v>
      </c>
      <c r="M400" s="10" t="n">
        <v>0</v>
      </c>
      <c r="N400" s="10" t="n">
        <v>4542</v>
      </c>
      <c r="O400" s="10" t="n">
        <v>3664</v>
      </c>
      <c r="P400" s="10" t="n">
        <v>90535</v>
      </c>
      <c r="Q400" s="10"/>
      <c r="R400" s="10"/>
      <c r="S400" s="22"/>
      <c r="T400" s="11"/>
      <c r="U400" s="21"/>
      <c r="V400" s="15"/>
      <c r="W400" s="23"/>
      <c r="X400" s="23"/>
      <c r="Y400" s="8"/>
      <c r="Z400" s="8"/>
      <c r="AA400" s="8"/>
      <c r="AB400" s="8"/>
      <c r="AC400" s="8"/>
    </row>
    <row r="401" customFormat="false" ht="15" hidden="false" customHeight="false" outlineLevel="0" collapsed="false">
      <c r="A401" s="9" t="n">
        <v>46304</v>
      </c>
      <c r="B401" s="11" t="s">
        <v>22</v>
      </c>
      <c r="C401" s="11" t="s">
        <v>23</v>
      </c>
      <c r="D401" s="11" t="s">
        <v>382</v>
      </c>
      <c r="E401" s="11" t="str">
        <f aca="false" t="array" ref="E401:E401">IF(D401="","",IFERROR(INDEX('CLM &amp; IM Mapping'!$B$2:$B$270,MATCH(TRIM(D401),'CLM &amp; IM Mapping'!$A$2:$A$270,0)),"Not Mapped"))</f>
        <v>Arun Raj</v>
      </c>
      <c r="F401" s="11" t="str">
        <f aca="false" t="array" ref="F401:F401">IF(D401="","",IFERROR(INDEX('CLM &amp; IM Mapping'!$C$2:$C$270,MATCH(TRIM(D401),'CLM &amp; IM Mapping'!$A$2:$A$270,0)),"Not Mapped"))</f>
        <v>Simon Manoharan</v>
      </c>
      <c r="G401" s="11" t="s">
        <v>34</v>
      </c>
      <c r="H401" s="10" t="n">
        <v>-13269</v>
      </c>
      <c r="I401" s="10" t="n">
        <v>17411</v>
      </c>
      <c r="J401" s="10" t="n">
        <v>0</v>
      </c>
      <c r="K401" s="10" t="n">
        <v>0</v>
      </c>
      <c r="L401" s="10" t="n">
        <v>1351</v>
      </c>
      <c r="M401" s="10" t="n">
        <v>0</v>
      </c>
      <c r="N401" s="10" t="n">
        <v>0</v>
      </c>
      <c r="O401" s="10" t="n">
        <v>0</v>
      </c>
      <c r="P401" s="10" t="n">
        <v>5492</v>
      </c>
      <c r="Q401" s="10"/>
      <c r="R401" s="10"/>
      <c r="S401" s="22"/>
      <c r="T401" s="11"/>
      <c r="U401" s="21"/>
      <c r="V401" s="15"/>
      <c r="W401" s="23"/>
      <c r="X401" s="23"/>
      <c r="Y401" s="8"/>
      <c r="Z401" s="8"/>
      <c r="AA401" s="8"/>
      <c r="AB401" s="8"/>
      <c r="AC401" s="8"/>
    </row>
    <row r="402" customFormat="false" ht="15" hidden="false" customHeight="false" outlineLevel="0" collapsed="false">
      <c r="A402" s="9" t="n">
        <v>46304</v>
      </c>
      <c r="B402" s="11" t="s">
        <v>22</v>
      </c>
      <c r="C402" s="11" t="s">
        <v>23</v>
      </c>
      <c r="D402" s="11" t="s">
        <v>402</v>
      </c>
      <c r="E402" s="11" t="str">
        <f aca="false" t="array" ref="E402:E402">IF(D402="","",IFERROR(INDEX('CLM &amp; IM Mapping'!$B$2:$B$270,MATCH(TRIM(D402),'CLM &amp; IM Mapping'!$A$2:$A$270,0)),"Not Mapped"))</f>
        <v>Narasimhamurthy R</v>
      </c>
      <c r="F402" s="11" t="str">
        <f aca="false" t="array" ref="F402:F402">IF(D402="","",IFERROR(INDEX('CLM &amp; IM Mapping'!$C$2:$C$270,MATCH(TRIM(D402),'CLM &amp; IM Mapping'!$A$2:$A$270,0)),"Not Mapped"))</f>
        <v>Kishor K</v>
      </c>
      <c r="G402" s="11" t="s">
        <v>34</v>
      </c>
      <c r="H402" s="10" t="n">
        <v>-10440</v>
      </c>
      <c r="I402" s="10" t="n">
        <v>6881</v>
      </c>
      <c r="J402" s="10" t="n">
        <v>0</v>
      </c>
      <c r="K402" s="10" t="n">
        <v>7</v>
      </c>
      <c r="L402" s="10" t="n">
        <v>23</v>
      </c>
      <c r="M402" s="10" t="n">
        <v>0</v>
      </c>
      <c r="N402" s="10" t="n">
        <v>0</v>
      </c>
      <c r="O402" s="10" t="n">
        <v>0</v>
      </c>
      <c r="P402" s="10" t="n">
        <v>-3529</v>
      </c>
      <c r="Q402" s="10"/>
      <c r="R402" s="10"/>
      <c r="S402" s="22"/>
      <c r="T402" s="11"/>
      <c r="U402" s="21"/>
      <c r="V402" s="15"/>
      <c r="W402" s="23"/>
      <c r="X402" s="23"/>
      <c r="Y402" s="8"/>
      <c r="Z402" s="8"/>
      <c r="AA402" s="8"/>
      <c r="AB402" s="8"/>
      <c r="AC402" s="8"/>
    </row>
    <row r="403" customFormat="false" ht="15" hidden="false" customHeight="false" outlineLevel="0" collapsed="false">
      <c r="A403" s="9" t="n">
        <v>46304</v>
      </c>
      <c r="B403" s="11" t="s">
        <v>22</v>
      </c>
      <c r="C403" s="11" t="s">
        <v>23</v>
      </c>
      <c r="D403" s="11" t="s">
        <v>399</v>
      </c>
      <c r="E403" s="11" t="str">
        <f aca="false" t="array" ref="E403:E403">IF(D403="","",IFERROR(INDEX('CLM &amp; IM Mapping'!$B$2:$B$270,MATCH(TRIM(D403),'CLM &amp; IM Mapping'!$A$2:$A$270,0)),"Not Mapped"))</f>
        <v>John Britto</v>
      </c>
      <c r="F403" s="11" t="str">
        <f aca="false" t="array" ref="F403:F403">IF(D403="","",IFERROR(INDEX('CLM &amp; IM Mapping'!$C$2:$C$270,MATCH(TRIM(D403),'CLM &amp; IM Mapping'!$A$2:$A$270,0)),"Not Mapped"))</f>
        <v>Aravind S</v>
      </c>
      <c r="G403" s="11" t="s">
        <v>25</v>
      </c>
      <c r="H403" s="10" t="n">
        <v>-4031</v>
      </c>
      <c r="I403" s="10" t="n">
        <v>0</v>
      </c>
      <c r="J403" s="10" t="n">
        <v>897</v>
      </c>
      <c r="K403" s="10" t="n">
        <v>0</v>
      </c>
      <c r="L403" s="10" t="n">
        <v>0</v>
      </c>
      <c r="M403" s="10" t="n">
        <v>0</v>
      </c>
      <c r="N403" s="10" t="n">
        <v>0</v>
      </c>
      <c r="O403" s="10" t="n">
        <v>0</v>
      </c>
      <c r="P403" s="10" t="n">
        <v>-3134</v>
      </c>
      <c r="Q403" s="10"/>
      <c r="R403" s="10"/>
      <c r="S403" s="22"/>
      <c r="T403" s="11"/>
      <c r="U403" s="21"/>
      <c r="V403" s="15"/>
      <c r="W403" s="23"/>
      <c r="X403" s="23"/>
      <c r="Y403" s="8"/>
      <c r="Z403" s="8"/>
      <c r="AA403" s="8"/>
      <c r="AB403" s="8"/>
      <c r="AC403" s="8"/>
    </row>
    <row r="404" customFormat="false" ht="15" hidden="false" customHeight="false" outlineLevel="0" collapsed="false">
      <c r="A404" s="9" t="n">
        <v>46304</v>
      </c>
      <c r="B404" s="11" t="s">
        <v>22</v>
      </c>
      <c r="C404" s="11" t="s">
        <v>23</v>
      </c>
      <c r="D404" s="11" t="s">
        <v>222</v>
      </c>
      <c r="E404" s="11" t="str">
        <f aca="false" t="array" ref="E404:E404">IF(D404="","",IFERROR(INDEX('CLM &amp; IM Mapping'!$B$2:$B$270,MATCH(TRIM(D404),'CLM &amp; IM Mapping'!$A$2:$A$270,0)),"Not Mapped"))</f>
        <v>Vishnu V</v>
      </c>
      <c r="F404" s="11" t="str">
        <f aca="false" t="array" ref="F404:F404">IF(D404="","",IFERROR(INDEX('CLM &amp; IM Mapping'!$C$2:$C$270,MATCH(TRIM(D404),'CLM &amp; IM Mapping'!$A$2:$A$270,0)),"Not Mapped"))</f>
        <v>Arivind S</v>
      </c>
      <c r="G404" s="11" t="s">
        <v>34</v>
      </c>
      <c r="H404" s="10" t="n">
        <v>-18826</v>
      </c>
      <c r="I404" s="10" t="n">
        <v>16661</v>
      </c>
      <c r="J404" s="10" t="n">
        <v>1900</v>
      </c>
      <c r="K404" s="10" t="n">
        <v>263</v>
      </c>
      <c r="L404" s="10" t="n">
        <v>110</v>
      </c>
      <c r="M404" s="10" t="n">
        <v>0</v>
      </c>
      <c r="N404" s="10" t="n">
        <v>15548</v>
      </c>
      <c r="O404" s="10" t="n">
        <v>0</v>
      </c>
      <c r="P404" s="10" t="n">
        <v>15656</v>
      </c>
      <c r="Q404" s="10"/>
      <c r="R404" s="10"/>
      <c r="S404" s="22"/>
      <c r="T404" s="11"/>
      <c r="U404" s="21"/>
      <c r="V404" s="15"/>
      <c r="W404" s="23"/>
      <c r="X404" s="23"/>
      <c r="Y404" s="8"/>
      <c r="Z404" s="8"/>
      <c r="AA404" s="8"/>
      <c r="AB404" s="8"/>
      <c r="AC404" s="8"/>
    </row>
    <row r="405" customFormat="false" ht="15" hidden="false" customHeight="false" outlineLevel="0" collapsed="false">
      <c r="A405" s="9" t="n">
        <v>46304</v>
      </c>
      <c r="B405" s="11" t="s">
        <v>22</v>
      </c>
      <c r="C405" s="11" t="s">
        <v>303</v>
      </c>
      <c r="D405" s="11" t="s">
        <v>361</v>
      </c>
      <c r="E405" s="11" t="str">
        <f aca="false" t="array" ref="E405:E405">IF(D405="","",IFERROR(INDEX('CLM &amp; IM Mapping'!$B$2:$B$270,MATCH(TRIM(D405),'CLM &amp; IM Mapping'!$A$2:$A$270,0)),"Not Mapped"))</f>
        <v>Santhosha M</v>
      </c>
      <c r="F405" s="11" t="str">
        <f aca="false" t="array" ref="F405:F405">IF(D405="","",IFERROR(INDEX('CLM &amp; IM Mapping'!$C$2:$C$270,MATCH(TRIM(D405),'CLM &amp; IM Mapping'!$A$2:$A$270,0)),"Not Mapped"))</f>
        <v>Aravind S</v>
      </c>
      <c r="G405" s="11" t="s">
        <v>34</v>
      </c>
      <c r="H405" s="10" t="n">
        <v>-1472</v>
      </c>
      <c r="I405" s="10" t="n">
        <v>450</v>
      </c>
      <c r="J405" s="10" t="n">
        <v>0</v>
      </c>
      <c r="K405" s="10" t="n">
        <v>0</v>
      </c>
      <c r="L405" s="10" t="n">
        <v>8</v>
      </c>
      <c r="M405" s="10" t="n">
        <v>0</v>
      </c>
      <c r="N405" s="10" t="n">
        <v>0</v>
      </c>
      <c r="O405" s="10" t="n">
        <v>4758</v>
      </c>
      <c r="P405" s="10" t="n">
        <v>3743</v>
      </c>
      <c r="Q405" s="10"/>
      <c r="R405" s="10"/>
      <c r="S405" s="22"/>
      <c r="T405" s="11"/>
      <c r="U405" s="21"/>
      <c r="V405" s="15"/>
      <c r="W405" s="23"/>
      <c r="X405" s="23"/>
      <c r="Y405" s="8"/>
      <c r="Z405" s="8"/>
      <c r="AA405" s="8"/>
      <c r="AB405" s="8"/>
      <c r="AC405" s="8"/>
    </row>
    <row r="406" customFormat="false" ht="15" hidden="false" customHeight="false" outlineLevel="0" collapsed="false">
      <c r="A406" s="9" t="n">
        <v>46304</v>
      </c>
      <c r="B406" s="11" t="s">
        <v>22</v>
      </c>
      <c r="C406" s="11" t="s">
        <v>221</v>
      </c>
      <c r="D406" s="11" t="s">
        <v>183</v>
      </c>
      <c r="E406" s="11" t="str">
        <f aca="false" t="array" ref="E406:E406">IF(D406="","",IFERROR(INDEX('CLM &amp; IM Mapping'!$B$2:$B$270,MATCH(TRIM(D406),'CLM &amp; IM Mapping'!$A$2:$A$270,0)),"Not Mapped"))</f>
        <v>Saddam Hussain</v>
      </c>
      <c r="F406" s="11" t="str">
        <f aca="false" t="array" ref="F406:F406">IF(D406="","",IFERROR(INDEX('CLM &amp; IM Mapping'!$C$2:$C$270,MATCH(TRIM(D406),'CLM &amp; IM Mapping'!$A$2:$A$270,0)),"Not Mapped"))</f>
        <v>Un Mapped</v>
      </c>
      <c r="G406" s="11" t="s">
        <v>34</v>
      </c>
      <c r="H406" s="10" t="n">
        <v>-4013</v>
      </c>
      <c r="I406" s="10" t="n">
        <v>36091</v>
      </c>
      <c r="J406" s="10" t="n">
        <v>0</v>
      </c>
      <c r="K406" s="10" t="n">
        <v>351</v>
      </c>
      <c r="L406" s="10" t="n">
        <v>180</v>
      </c>
      <c r="M406" s="10" t="n">
        <v>0</v>
      </c>
      <c r="N406" s="10" t="n">
        <v>591</v>
      </c>
      <c r="O406" s="10" t="n">
        <v>0</v>
      </c>
      <c r="P406" s="10" t="n">
        <v>33200</v>
      </c>
      <c r="Q406" s="10"/>
      <c r="R406" s="10"/>
      <c r="S406" s="22"/>
      <c r="T406" s="11"/>
      <c r="U406" s="21"/>
      <c r="V406" s="15"/>
      <c r="W406" s="23"/>
      <c r="X406" s="23"/>
      <c r="Y406" s="8"/>
      <c r="Z406" s="8"/>
      <c r="AA406" s="8"/>
      <c r="AB406" s="8"/>
      <c r="AC406" s="8"/>
    </row>
    <row r="407" customFormat="false" ht="15" hidden="false" customHeight="false" outlineLevel="0" collapsed="false">
      <c r="A407" s="9" t="n">
        <v>46304</v>
      </c>
      <c r="B407" s="11" t="s">
        <v>22</v>
      </c>
      <c r="C407" s="11" t="s">
        <v>276</v>
      </c>
      <c r="D407" s="11" t="s">
        <v>53</v>
      </c>
      <c r="E407" s="11" t="str">
        <f aca="false" t="array" ref="E407:E407">IF(D407="","",IFERROR(INDEX('CLM &amp; IM Mapping'!$B$2:$B$270,MATCH(TRIM(D407),'CLM &amp; IM Mapping'!$A$2:$A$270,0)),"Not Mapped"))</f>
        <v>Richard Harris</v>
      </c>
      <c r="F407" s="11" t="str">
        <f aca="false" t="array" ref="F407:F407">IF(D407="","",IFERROR(INDEX('CLM &amp; IM Mapping'!$C$2:$C$270,MATCH(TRIM(D407),'CLM &amp; IM Mapping'!$A$2:$A$270,0)),"Not Mapped"))</f>
        <v>Kantha Kumar</v>
      </c>
      <c r="G407" s="11" t="s">
        <v>34</v>
      </c>
      <c r="H407" s="10" t="n">
        <v>3438</v>
      </c>
      <c r="I407" s="10" t="n">
        <v>14234</v>
      </c>
      <c r="J407" s="10" t="n">
        <v>218</v>
      </c>
      <c r="K407" s="10" t="n">
        <v>2631</v>
      </c>
      <c r="L407" s="10" t="n">
        <v>1140</v>
      </c>
      <c r="M407" s="10" t="n">
        <v>0</v>
      </c>
      <c r="N407" s="10" t="n">
        <v>1284</v>
      </c>
      <c r="O407" s="10" t="n">
        <v>0</v>
      </c>
      <c r="P407" s="10" t="n">
        <v>22944</v>
      </c>
      <c r="Q407" s="10"/>
      <c r="R407" s="10"/>
      <c r="S407" s="22"/>
      <c r="T407" s="11"/>
      <c r="U407" s="21"/>
      <c r="V407" s="15"/>
      <c r="W407" s="23"/>
      <c r="X407" s="23"/>
      <c r="Y407" s="8"/>
      <c r="Z407" s="8"/>
      <c r="AA407" s="8"/>
      <c r="AB407" s="8"/>
      <c r="AC407" s="8"/>
    </row>
    <row r="408" customFormat="false" ht="15" hidden="false" customHeight="false" outlineLevel="0" collapsed="false">
      <c r="A408" s="9" t="n">
        <v>46304</v>
      </c>
      <c r="B408" s="11" t="s">
        <v>22</v>
      </c>
      <c r="C408" s="11" t="s">
        <v>23</v>
      </c>
      <c r="D408" s="11" t="s">
        <v>147</v>
      </c>
      <c r="E408" s="11" t="str">
        <f aca="false" t="array" ref="E408:E408">IF(D408="","",IFERROR(INDEX('CLM &amp; IM Mapping'!$B$2:$B$270,MATCH(TRIM(D408),'CLM &amp; IM Mapping'!$A$2:$A$270,0)),"Not Mapped"))</f>
        <v>Manjunatha V</v>
      </c>
      <c r="F408" s="11" t="str">
        <f aca="false" t="array" ref="F408:F408">IF(D408="","",IFERROR(INDEX('CLM &amp; IM Mapping'!$C$2:$C$270,MATCH(TRIM(D408),'CLM &amp; IM Mapping'!$A$2:$A$270,0)),"Not Mapped"))</f>
        <v>Un Mapped</v>
      </c>
      <c r="G408" s="11" t="s">
        <v>34</v>
      </c>
      <c r="H408" s="10" t="n">
        <v>-2479</v>
      </c>
      <c r="I408" s="10" t="n">
        <v>37899</v>
      </c>
      <c r="J408" s="10" t="n">
        <v>0</v>
      </c>
      <c r="K408" s="10" t="n">
        <v>2032</v>
      </c>
      <c r="L408" s="10" t="n">
        <v>578</v>
      </c>
      <c r="M408" s="10" t="n">
        <v>0</v>
      </c>
      <c r="N408" s="10" t="n">
        <v>0</v>
      </c>
      <c r="O408" s="10" t="n">
        <v>0</v>
      </c>
      <c r="P408" s="10" t="n">
        <v>38030</v>
      </c>
      <c r="Q408" s="10"/>
      <c r="R408" s="10"/>
      <c r="S408" s="22"/>
      <c r="T408" s="11"/>
      <c r="U408" s="21"/>
      <c r="V408" s="15"/>
      <c r="W408" s="23"/>
      <c r="X408" s="23"/>
      <c r="Y408" s="8"/>
      <c r="Z408" s="8"/>
      <c r="AA408" s="8"/>
      <c r="AB408" s="8"/>
      <c r="AC408" s="8"/>
    </row>
    <row r="409" customFormat="false" ht="15" hidden="false" customHeight="false" outlineLevel="0" collapsed="false">
      <c r="A409" s="9" t="n">
        <v>46304</v>
      </c>
      <c r="B409" s="11" t="s">
        <v>22</v>
      </c>
      <c r="C409" s="11" t="s">
        <v>23</v>
      </c>
      <c r="D409" s="11" t="s">
        <v>259</v>
      </c>
      <c r="E409" s="11" t="str">
        <f aca="false" t="array" ref="E409:E409">IF(D409="","",IFERROR(INDEX('CLM &amp; IM Mapping'!$B$2:$B$270,MATCH(TRIM(D409),'CLM &amp; IM Mapping'!$A$2:$A$270,0)),"Not Mapped"))</f>
        <v>Raghavendra Vernekar</v>
      </c>
      <c r="F409" s="11" t="str">
        <f aca="false" t="array" ref="F409:F409">IF(D409="","",IFERROR(INDEX('CLM &amp; IM Mapping'!$C$2:$C$270,MATCH(TRIM(D409),'CLM &amp; IM Mapping'!$A$2:$A$270,0)),"Not Mapped"))</f>
        <v>Prakash BS</v>
      </c>
      <c r="G409" s="11" t="s">
        <v>34</v>
      </c>
      <c r="H409" s="10" t="n">
        <v>-5230</v>
      </c>
      <c r="I409" s="10" t="n">
        <v>12564</v>
      </c>
      <c r="J409" s="10" t="n">
        <v>0</v>
      </c>
      <c r="K409" s="10" t="n">
        <v>815</v>
      </c>
      <c r="L409" s="10" t="n">
        <v>407</v>
      </c>
      <c r="M409" s="10" t="n">
        <v>0</v>
      </c>
      <c r="N409" s="10" t="n">
        <v>0</v>
      </c>
      <c r="O409" s="10" t="n">
        <v>121</v>
      </c>
      <c r="P409" s="10" t="n">
        <v>8676</v>
      </c>
      <c r="Q409" s="10"/>
      <c r="R409" s="10"/>
      <c r="S409" s="12" t="s">
        <v>255</v>
      </c>
      <c r="T409" s="11" t="n">
        <v>8000</v>
      </c>
      <c r="U409" s="21"/>
      <c r="V409" s="15"/>
      <c r="W409" s="23"/>
      <c r="X409" s="23"/>
      <c r="Y409" s="8"/>
      <c r="Z409" s="8"/>
      <c r="AA409" s="8"/>
      <c r="AB409" s="8"/>
      <c r="AC409" s="8"/>
    </row>
    <row r="410" customFormat="false" ht="15" hidden="false" customHeight="false" outlineLevel="0" collapsed="false">
      <c r="A410" s="9" t="n">
        <v>46304</v>
      </c>
      <c r="B410" s="11" t="s">
        <v>22</v>
      </c>
      <c r="C410" s="11" t="s">
        <v>23</v>
      </c>
      <c r="D410" s="11" t="s">
        <v>277</v>
      </c>
      <c r="E410" s="11" t="str">
        <f aca="false" t="array" ref="E410:E410">IF(D410="","",IFERROR(INDEX('CLM &amp; IM Mapping'!$B$2:$B$270,MATCH(TRIM(D410),'CLM &amp; IM Mapping'!$A$2:$A$270,0)),"Not Mapped"))</f>
        <v>Santhosha M</v>
      </c>
      <c r="F410" s="11" t="str">
        <f aca="false" t="array" ref="F410:F410">IF(D410="","",IFERROR(INDEX('CLM &amp; IM Mapping'!$C$2:$C$270,MATCH(TRIM(D410),'CLM &amp; IM Mapping'!$A$2:$A$270,0)),"Not Mapped"))</f>
        <v>Aravind S</v>
      </c>
      <c r="G410" s="11" t="s">
        <v>34</v>
      </c>
      <c r="H410" s="10" t="n">
        <v>9524</v>
      </c>
      <c r="I410" s="10" t="n">
        <v>424</v>
      </c>
      <c r="J410" s="10" t="n">
        <v>0</v>
      </c>
      <c r="K410" s="10" t="n">
        <v>0</v>
      </c>
      <c r="L410" s="10" t="n">
        <v>132</v>
      </c>
      <c r="M410" s="10" t="n">
        <v>0</v>
      </c>
      <c r="N410" s="10" t="n">
        <v>0</v>
      </c>
      <c r="O410" s="10" t="n">
        <v>0</v>
      </c>
      <c r="P410" s="10" t="n">
        <v>10081</v>
      </c>
      <c r="Q410" s="10"/>
      <c r="R410" s="10"/>
      <c r="S410" s="22"/>
      <c r="T410" s="11"/>
      <c r="U410" s="21"/>
      <c r="V410" s="15"/>
      <c r="W410" s="23"/>
      <c r="X410" s="23"/>
      <c r="Y410" s="8"/>
      <c r="Z410" s="8"/>
      <c r="AA410" s="8"/>
      <c r="AB410" s="8"/>
      <c r="AC410" s="8"/>
    </row>
    <row r="411" customFormat="false" ht="15" hidden="false" customHeight="false" outlineLevel="0" collapsed="false">
      <c r="A411" s="9" t="n">
        <v>46304</v>
      </c>
      <c r="B411" s="11" t="s">
        <v>22</v>
      </c>
      <c r="C411" s="11" t="s">
        <v>23</v>
      </c>
      <c r="D411" s="11" t="s">
        <v>120</v>
      </c>
      <c r="E411" s="11" t="str">
        <f aca="false" t="array" ref="E411:E411">IF(D411="","",IFERROR(INDEX('CLM &amp; IM Mapping'!$B$2:$B$270,MATCH(TRIM(D411),'CLM &amp; IM Mapping'!$A$2:$A$270,0)),"Not Mapped"))</f>
        <v>Balaji G</v>
      </c>
      <c r="F411" s="11" t="str">
        <f aca="false" t="array" ref="F411:F411">IF(D411="","",IFERROR(INDEX('CLM &amp; IM Mapping'!$C$2:$C$270,MATCH(TRIM(D411),'CLM &amp; IM Mapping'!$A$2:$A$270,0)),"Not Mapped"))</f>
        <v>Mohammed Akbar</v>
      </c>
      <c r="G411" s="11" t="s">
        <v>34</v>
      </c>
      <c r="H411" s="10" t="n">
        <v>22172</v>
      </c>
      <c r="I411" s="10" t="n">
        <v>10553</v>
      </c>
      <c r="J411" s="10" t="n">
        <v>312</v>
      </c>
      <c r="K411" s="10" t="n">
        <v>395</v>
      </c>
      <c r="L411" s="10" t="n">
        <v>770</v>
      </c>
      <c r="M411" s="10" t="n">
        <v>0</v>
      </c>
      <c r="N411" s="10" t="n">
        <v>0</v>
      </c>
      <c r="O411" s="10" t="n">
        <v>0</v>
      </c>
      <c r="P411" s="10" t="n">
        <v>34203</v>
      </c>
      <c r="Q411" s="10"/>
      <c r="R411" s="10"/>
      <c r="S411" s="22"/>
      <c r="T411" s="11"/>
      <c r="U411" s="21"/>
      <c r="V411" s="15"/>
      <c r="W411" s="23"/>
      <c r="X411" s="23"/>
      <c r="Y411" s="8"/>
      <c r="Z411" s="8"/>
      <c r="AA411" s="8"/>
      <c r="AB411" s="8"/>
      <c r="AC411" s="8"/>
    </row>
    <row r="412" customFormat="false" ht="15" hidden="false" customHeight="false" outlineLevel="0" collapsed="false">
      <c r="A412" s="9" t="n">
        <v>46304</v>
      </c>
      <c r="B412" s="11" t="s">
        <v>22</v>
      </c>
      <c r="C412" s="11" t="s">
        <v>276</v>
      </c>
      <c r="D412" s="11" t="s">
        <v>412</v>
      </c>
      <c r="E412" s="11" t="str">
        <f aca="false" t="array" ref="E412:E412">IF(D412="","",IFERROR(INDEX('CLM &amp; IM Mapping'!$B$2:$B$270,MATCH(TRIM(D412),'CLM &amp; IM Mapping'!$A$2:$A$270,0)),"Not Mapped"))</f>
        <v>Richard Harris</v>
      </c>
      <c r="F412" s="11" t="str">
        <f aca="false" t="array" ref="F412:F412">IF(D412="","",IFERROR(INDEX('CLM &amp; IM Mapping'!$C$2:$C$270,MATCH(TRIM(D412),'CLM &amp; IM Mapping'!$A$2:$A$270,0)),"Not Mapped"))</f>
        <v>Kantha Kumar</v>
      </c>
      <c r="G412" s="11" t="s">
        <v>34</v>
      </c>
      <c r="H412" s="10" t="n">
        <v>-6796</v>
      </c>
      <c r="I412" s="10" t="n">
        <v>4179</v>
      </c>
      <c r="J412" s="10" t="n">
        <v>0</v>
      </c>
      <c r="K412" s="10" t="n">
        <v>253</v>
      </c>
      <c r="L412" s="10" t="n">
        <v>352</v>
      </c>
      <c r="M412" s="10" t="n">
        <v>0</v>
      </c>
      <c r="N412" s="10" t="n">
        <v>0</v>
      </c>
      <c r="O412" s="10" t="n">
        <v>0</v>
      </c>
      <c r="P412" s="10" t="n">
        <v>-2012</v>
      </c>
      <c r="Q412" s="10"/>
      <c r="R412" s="10"/>
      <c r="S412" s="22"/>
      <c r="T412" s="11"/>
      <c r="U412" s="21"/>
      <c r="V412" s="15"/>
      <c r="W412" s="23"/>
      <c r="X412" s="23"/>
      <c r="Y412" s="8"/>
      <c r="Z412" s="8"/>
      <c r="AA412" s="8"/>
      <c r="AB412" s="8"/>
      <c r="AC412" s="8"/>
    </row>
    <row r="413" customFormat="false" ht="15" hidden="false" customHeight="false" outlineLevel="0" collapsed="false">
      <c r="A413" s="9" t="n">
        <v>46304</v>
      </c>
      <c r="B413" s="11" t="s">
        <v>22</v>
      </c>
      <c r="C413" s="11" t="s">
        <v>23</v>
      </c>
      <c r="D413" s="11" t="s">
        <v>523</v>
      </c>
      <c r="E413" s="11" t="str">
        <f aca="false" t="array" ref="E413:E413">IF(D413="","",IFERROR(INDEX('CLM &amp; IM Mapping'!$B$2:$B$270,MATCH(TRIM(D413),'CLM &amp; IM Mapping'!$A$2:$A$270,0)),"Not Mapped"))</f>
        <v>Sundaresh S</v>
      </c>
      <c r="F413" s="11" t="str">
        <f aca="false" t="array" ref="F413:F413">IF(D413="","",IFERROR(INDEX('CLM &amp; IM Mapping'!$C$2:$C$270,MATCH(TRIM(D413),'CLM &amp; IM Mapping'!$A$2:$A$270,0)),"Not Mapped"))</f>
        <v>Un Mapped</v>
      </c>
      <c r="G413" s="11" t="s">
        <v>34</v>
      </c>
      <c r="H413" s="10" t="n">
        <v>-43749</v>
      </c>
      <c r="I413" s="10" t="n">
        <v>15544</v>
      </c>
      <c r="J413" s="10" t="n">
        <v>0</v>
      </c>
      <c r="K413" s="10" t="n">
        <v>0</v>
      </c>
      <c r="L413" s="10" t="n">
        <v>349</v>
      </c>
      <c r="M413" s="10" t="n">
        <v>0</v>
      </c>
      <c r="N413" s="10" t="n">
        <v>0</v>
      </c>
      <c r="O413" s="10" t="n">
        <v>0</v>
      </c>
      <c r="P413" s="10" t="n">
        <v>-27856</v>
      </c>
      <c r="Q413" s="10"/>
      <c r="R413" s="10"/>
      <c r="S413" s="22"/>
      <c r="T413" s="11"/>
      <c r="U413" s="21"/>
      <c r="V413" s="15"/>
      <c r="W413" s="23"/>
      <c r="X413" s="23"/>
      <c r="Y413" s="8"/>
      <c r="Z413" s="8"/>
      <c r="AA413" s="8"/>
      <c r="AB413" s="8"/>
      <c r="AC413" s="8"/>
    </row>
    <row r="414" customFormat="false" ht="15" hidden="false" customHeight="false" outlineLevel="0" collapsed="false">
      <c r="A414" s="9" t="n">
        <v>46304</v>
      </c>
      <c r="B414" s="11" t="s">
        <v>22</v>
      </c>
      <c r="C414" s="11" t="s">
        <v>23</v>
      </c>
      <c r="D414" s="11" t="s">
        <v>392</v>
      </c>
      <c r="E414" s="11" t="str">
        <f aca="false" t="array" ref="E414:E414">IF(D414="","",IFERROR(INDEX('CLM &amp; IM Mapping'!$B$2:$B$270,MATCH(TRIM(D414),'CLM &amp; IM Mapping'!$A$2:$A$270,0)),"Not Mapped"))</f>
        <v>Balaji G</v>
      </c>
      <c r="F414" s="11" t="str">
        <f aca="false" t="array" ref="F414:F414">IF(D414="","",IFERROR(INDEX('CLM &amp; IM Mapping'!$C$2:$C$270,MATCH(TRIM(D414),'CLM &amp; IM Mapping'!$A$2:$A$270,0)),"Not Mapped"))</f>
        <v>Mohammed Akbar</v>
      </c>
      <c r="G414" s="11" t="s">
        <v>34</v>
      </c>
      <c r="H414" s="10" t="n">
        <v>-737</v>
      </c>
      <c r="I414" s="10" t="n">
        <v>0</v>
      </c>
      <c r="J414" s="10" t="n">
        <v>0</v>
      </c>
      <c r="K414" s="10" t="n">
        <v>31</v>
      </c>
      <c r="L414" s="10" t="n">
        <v>1871</v>
      </c>
      <c r="M414" s="10" t="n">
        <v>0</v>
      </c>
      <c r="N414" s="10" t="n">
        <v>0</v>
      </c>
      <c r="O414" s="10" t="n">
        <v>0</v>
      </c>
      <c r="P414" s="10" t="n">
        <v>1165</v>
      </c>
      <c r="Q414" s="10"/>
      <c r="R414" s="10"/>
      <c r="S414" s="22"/>
      <c r="T414" s="11"/>
      <c r="U414" s="21"/>
      <c r="V414" s="15"/>
      <c r="W414" s="23"/>
      <c r="X414" s="23"/>
      <c r="Y414" s="8"/>
      <c r="Z414" s="8"/>
      <c r="AA414" s="8"/>
      <c r="AB414" s="8"/>
      <c r="AC414" s="8"/>
    </row>
    <row r="415" customFormat="false" ht="15" hidden="false" customHeight="false" outlineLevel="0" collapsed="false">
      <c r="A415" s="9" t="n">
        <v>46304</v>
      </c>
      <c r="B415" s="11" t="s">
        <v>22</v>
      </c>
      <c r="C415" s="11" t="s">
        <v>23</v>
      </c>
      <c r="D415" s="11" t="s">
        <v>94</v>
      </c>
      <c r="E415" s="11" t="str">
        <f aca="false" t="array" ref="E415:E415">IF(D415="","",IFERROR(INDEX('CLM &amp; IM Mapping'!$B$2:$B$270,MATCH(TRIM(D415),'CLM &amp; IM Mapping'!$A$2:$A$270,0)),"Not Mapped"))</f>
        <v>Ashwath S</v>
      </c>
      <c r="F415" s="11" t="str">
        <f aca="false" t="array" ref="F415:F415">IF(D415="","",IFERROR(INDEX('CLM &amp; IM Mapping'!$C$2:$C$270,MATCH(TRIM(D415),'CLM &amp; IM Mapping'!$A$2:$A$270,0)),"Not Mapped"))</f>
        <v>Kantha Kumar</v>
      </c>
      <c r="G415" s="11" t="s">
        <v>34</v>
      </c>
      <c r="H415" s="10" t="n">
        <v>21340</v>
      </c>
      <c r="I415" s="10" t="n">
        <v>9515</v>
      </c>
      <c r="J415" s="10" t="n">
        <v>0</v>
      </c>
      <c r="K415" s="10" t="n">
        <v>515</v>
      </c>
      <c r="L415" s="10" t="n">
        <v>243</v>
      </c>
      <c r="M415" s="10" t="n">
        <v>0</v>
      </c>
      <c r="N415" s="10" t="n">
        <v>0</v>
      </c>
      <c r="O415" s="10" t="n">
        <v>0</v>
      </c>
      <c r="P415" s="10" t="n">
        <v>31612</v>
      </c>
      <c r="Q415" s="10"/>
      <c r="R415" s="10"/>
      <c r="S415" s="22"/>
      <c r="T415" s="11"/>
      <c r="U415" s="21"/>
      <c r="V415" s="15"/>
      <c r="W415" s="23"/>
      <c r="X415" s="23"/>
      <c r="Y415" s="8"/>
      <c r="Z415" s="8"/>
      <c r="AA415" s="8"/>
      <c r="AB415" s="8"/>
      <c r="AC415" s="8"/>
    </row>
    <row r="416" customFormat="false" ht="15" hidden="false" customHeight="false" outlineLevel="0" collapsed="false">
      <c r="A416" s="9" t="n">
        <v>46304</v>
      </c>
      <c r="B416" s="11" t="s">
        <v>22</v>
      </c>
      <c r="C416" s="11" t="s">
        <v>23</v>
      </c>
      <c r="D416" s="11" t="s">
        <v>24</v>
      </c>
      <c r="E416" s="11" t="str">
        <f aca="false" t="array" ref="E416:E416">IF(D416="","",IFERROR(INDEX('CLM &amp; IM Mapping'!$B$2:$B$270,MATCH(TRIM(D416),'CLM &amp; IM Mapping'!$A$2:$A$270,0)),"Not Mapped"))</f>
        <v>Arun Raj</v>
      </c>
      <c r="F416" s="11" t="str">
        <f aca="false" t="array" ref="F416:F416">IF(D416="","",IFERROR(INDEX('CLM &amp; IM Mapping'!$C$2:$C$270,MATCH(TRIM(D416),'CLM &amp; IM Mapping'!$A$2:$A$270,0)),"Not Mapped"))</f>
        <v>Simon Manoharan</v>
      </c>
      <c r="G416" s="11" t="s">
        <v>34</v>
      </c>
      <c r="H416" s="10" t="n">
        <v>48167</v>
      </c>
      <c r="I416" s="10" t="n">
        <v>90867</v>
      </c>
      <c r="J416" s="10" t="n">
        <v>0</v>
      </c>
      <c r="K416" s="10" t="n">
        <v>6493</v>
      </c>
      <c r="L416" s="10" t="n">
        <v>1189</v>
      </c>
      <c r="M416" s="10" t="n">
        <v>0</v>
      </c>
      <c r="N416" s="10" t="n">
        <v>0</v>
      </c>
      <c r="O416" s="10" t="n">
        <v>9014</v>
      </c>
      <c r="P416" s="10" t="n">
        <v>155731</v>
      </c>
      <c r="Q416" s="10"/>
      <c r="R416" s="10"/>
      <c r="S416" s="22"/>
      <c r="T416" s="11"/>
      <c r="U416" s="21"/>
      <c r="V416" s="15"/>
      <c r="W416" s="23"/>
      <c r="X416" s="23"/>
      <c r="Y416" s="8"/>
      <c r="Z416" s="8"/>
      <c r="AA416" s="8"/>
      <c r="AB416" s="8"/>
      <c r="AC416" s="8"/>
    </row>
    <row r="417" customFormat="false" ht="15" hidden="false" customHeight="false" outlineLevel="0" collapsed="false">
      <c r="A417" s="9" t="n">
        <v>46304</v>
      </c>
      <c r="B417" s="11" t="s">
        <v>22</v>
      </c>
      <c r="C417" s="11" t="s">
        <v>23</v>
      </c>
      <c r="D417" s="11" t="s">
        <v>478</v>
      </c>
      <c r="E417" s="11" t="str">
        <f aca="false" t="array" ref="E417:E417">IF(D417="","",IFERROR(INDEX('CLM &amp; IM Mapping'!$B$2:$B$270,MATCH(TRIM(D417),'CLM &amp; IM Mapping'!$A$2:$A$270,0)),"Not Mapped"))</f>
        <v>Vishnu V</v>
      </c>
      <c r="F417" s="11" t="str">
        <f aca="false" t="array" ref="F417:F417">IF(D417="","",IFERROR(INDEX('CLM &amp; IM Mapping'!$C$2:$C$270,MATCH(TRIM(D417),'CLM &amp; IM Mapping'!$A$2:$A$270,0)),"Not Mapped"))</f>
        <v>Arivind S</v>
      </c>
      <c r="G417" s="11" t="s">
        <v>34</v>
      </c>
      <c r="H417" s="10" t="n">
        <v>-25982</v>
      </c>
      <c r="I417" s="10" t="n">
        <v>7380</v>
      </c>
      <c r="J417" s="10" t="n">
        <v>758</v>
      </c>
      <c r="K417" s="10" t="n">
        <v>74</v>
      </c>
      <c r="L417" s="10" t="n">
        <v>509</v>
      </c>
      <c r="M417" s="10" t="n">
        <v>0</v>
      </c>
      <c r="N417" s="10" t="n">
        <v>0</v>
      </c>
      <c r="O417" s="10" t="n">
        <v>0</v>
      </c>
      <c r="P417" s="10" t="n">
        <v>-17260</v>
      </c>
      <c r="Q417" s="10"/>
      <c r="R417" s="10"/>
      <c r="S417" s="22"/>
      <c r="T417" s="11"/>
      <c r="U417" s="21"/>
      <c r="V417" s="15"/>
      <c r="W417" s="23"/>
      <c r="X417" s="23"/>
      <c r="Y417" s="8"/>
      <c r="Z417" s="8"/>
      <c r="AA417" s="8"/>
      <c r="AB417" s="8"/>
      <c r="AC417" s="8"/>
    </row>
    <row r="418" customFormat="false" ht="15" hidden="false" customHeight="false" outlineLevel="0" collapsed="false">
      <c r="A418" s="9" t="n">
        <v>46304</v>
      </c>
      <c r="B418" s="11" t="s">
        <v>22</v>
      </c>
      <c r="C418" s="11" t="s">
        <v>23</v>
      </c>
      <c r="D418" s="11" t="s">
        <v>524</v>
      </c>
      <c r="E418" s="11" t="str">
        <f aca="false" t="array" ref="E418:E418">IF(D418="","",IFERROR(INDEX('CLM &amp; IM Mapping'!$B$2:$B$270,MATCH(TRIM(D418),'CLM &amp; IM Mapping'!$A$2:$A$270,0)),"Not Mapped"))</f>
        <v>Balaji G</v>
      </c>
      <c r="F418" s="11" t="str">
        <f aca="false" t="array" ref="F418:F418">IF(D418="","",IFERROR(INDEX('CLM &amp; IM Mapping'!$C$2:$C$270,MATCH(TRIM(D418),'CLM &amp; IM Mapping'!$A$2:$A$270,0)),"Not Mapped"))</f>
        <v>Mohammed Akbar</v>
      </c>
      <c r="G418" s="11" t="s">
        <v>25</v>
      </c>
      <c r="H418" s="10" t="n">
        <v>-43793</v>
      </c>
      <c r="I418" s="10" t="n">
        <v>1162</v>
      </c>
      <c r="J418" s="10" t="n">
        <v>0</v>
      </c>
      <c r="K418" s="10" t="n">
        <v>969</v>
      </c>
      <c r="L418" s="10" t="n">
        <v>1333</v>
      </c>
      <c r="M418" s="10" t="n">
        <v>0</v>
      </c>
      <c r="N418" s="10" t="n">
        <v>0</v>
      </c>
      <c r="O418" s="10" t="n">
        <v>0</v>
      </c>
      <c r="P418" s="10" t="n">
        <v>-40329</v>
      </c>
      <c r="Q418" s="10"/>
      <c r="R418" s="10"/>
      <c r="S418" s="22"/>
      <c r="T418" s="11"/>
      <c r="U418" s="21"/>
      <c r="V418" s="15"/>
      <c r="W418" s="23"/>
      <c r="X418" s="23"/>
      <c r="Y418" s="8"/>
      <c r="Z418" s="8"/>
      <c r="AA418" s="8"/>
      <c r="AB418" s="8"/>
      <c r="AC418" s="8"/>
    </row>
    <row r="419" customFormat="false" ht="15" hidden="false" customHeight="false" outlineLevel="0" collapsed="false">
      <c r="A419" s="9" t="n">
        <v>46304</v>
      </c>
      <c r="B419" s="11" t="s">
        <v>22</v>
      </c>
      <c r="C419" s="11" t="s">
        <v>221</v>
      </c>
      <c r="D419" s="11" t="s">
        <v>150</v>
      </c>
      <c r="E419" s="11" t="str">
        <f aca="false" t="array" ref="E419:E419">IF(D419="","",IFERROR(INDEX('CLM &amp; IM Mapping'!$B$2:$B$270,MATCH(TRIM(D419),'CLM &amp; IM Mapping'!$A$2:$A$270,0)),"Not Mapped"))</f>
        <v>Akshay P</v>
      </c>
      <c r="F419" s="11" t="str">
        <f aca="false" t="array" ref="F419:F419">IF(D419="","",IFERROR(INDEX('CLM &amp; IM Mapping'!$C$2:$C$270,MATCH(TRIM(D419),'CLM &amp; IM Mapping'!$A$2:$A$270,0)),"Not Mapped"))</f>
        <v>Srittam Dhal</v>
      </c>
      <c r="G419" s="11" t="s">
        <v>34</v>
      </c>
      <c r="H419" s="10" t="n">
        <v>1321</v>
      </c>
      <c r="I419" s="10" t="n">
        <v>21883</v>
      </c>
      <c r="J419" s="10" t="n">
        <v>0</v>
      </c>
      <c r="K419" s="10" t="n">
        <v>301</v>
      </c>
      <c r="L419" s="10" t="n">
        <v>3997</v>
      </c>
      <c r="M419" s="10" t="n">
        <v>0</v>
      </c>
      <c r="N419" s="10" t="n">
        <v>0</v>
      </c>
      <c r="O419" s="10" t="n">
        <v>41</v>
      </c>
      <c r="P419" s="10" t="n">
        <v>27542</v>
      </c>
      <c r="Q419" s="10"/>
      <c r="R419" s="10"/>
      <c r="S419" s="22"/>
      <c r="T419" s="11"/>
      <c r="U419" s="21"/>
      <c r="V419" s="15"/>
      <c r="W419" s="23"/>
      <c r="X419" s="23"/>
      <c r="Y419" s="8"/>
      <c r="Z419" s="8"/>
      <c r="AA419" s="8"/>
      <c r="AB419" s="8"/>
      <c r="AC419" s="8"/>
    </row>
    <row r="420" customFormat="false" ht="15" hidden="false" customHeight="false" outlineLevel="0" collapsed="false">
      <c r="A420" s="9" t="n">
        <v>46304</v>
      </c>
      <c r="B420" s="11" t="s">
        <v>22</v>
      </c>
      <c r="C420" s="11" t="s">
        <v>23</v>
      </c>
      <c r="D420" s="11" t="s">
        <v>305</v>
      </c>
      <c r="E420" s="11" t="str">
        <f aca="false" t="array" ref="E420:E420">IF(D420="","",IFERROR(INDEX('CLM &amp; IM Mapping'!$B$2:$B$270,MATCH(TRIM(D420),'CLM &amp; IM Mapping'!$A$2:$A$270,0)),"Not Mapped"))</f>
        <v>Manjunatha V</v>
      </c>
      <c r="F420" s="11" t="str">
        <f aca="false" t="array" ref="F420:F420">IF(D420="","",IFERROR(INDEX('CLM &amp; IM Mapping'!$C$2:$C$270,MATCH(TRIM(D420),'CLM &amp; IM Mapping'!$A$2:$A$270,0)),"Not Mapped"))</f>
        <v>Un Mapped</v>
      </c>
      <c r="G420" s="11" t="s">
        <v>34</v>
      </c>
      <c r="H420" s="10" t="n">
        <v>-1020</v>
      </c>
      <c r="I420" s="10" t="n">
        <v>6211</v>
      </c>
      <c r="J420" s="10" t="n">
        <v>414</v>
      </c>
      <c r="K420" s="10" t="n">
        <v>227</v>
      </c>
      <c r="L420" s="10" t="n">
        <v>170</v>
      </c>
      <c r="M420" s="10" t="n">
        <v>0</v>
      </c>
      <c r="N420" s="10" t="n">
        <v>0</v>
      </c>
      <c r="O420" s="10" t="n">
        <v>311</v>
      </c>
      <c r="P420" s="10" t="n">
        <v>6314</v>
      </c>
      <c r="Q420" s="10"/>
      <c r="R420" s="10"/>
      <c r="S420" s="22"/>
      <c r="T420" s="11"/>
      <c r="U420" s="21"/>
      <c r="V420" s="15"/>
      <c r="W420" s="23"/>
      <c r="X420" s="23"/>
      <c r="Y420" s="8"/>
      <c r="Z420" s="8"/>
      <c r="AA420" s="8"/>
      <c r="AB420" s="8"/>
      <c r="AC420" s="8"/>
    </row>
    <row r="421" customFormat="false" ht="15" hidden="false" customHeight="false" outlineLevel="0" collapsed="false">
      <c r="A421" s="9" t="n">
        <v>46304</v>
      </c>
      <c r="B421" s="11" t="s">
        <v>22</v>
      </c>
      <c r="C421" s="11" t="s">
        <v>23</v>
      </c>
      <c r="D421" s="11" t="s">
        <v>329</v>
      </c>
      <c r="E421" s="11" t="str">
        <f aca="false" t="array" ref="E421:E421">IF(D421="","",IFERROR(INDEX('CLM &amp; IM Mapping'!$B$2:$B$270,MATCH(TRIM(D421),'CLM &amp; IM Mapping'!$A$2:$A$270,0)),"Not Mapped"))</f>
        <v>Ashwath S</v>
      </c>
      <c r="F421" s="11" t="str">
        <f aca="false" t="array" ref="F421:F421">IF(D421="","",IFERROR(INDEX('CLM &amp; IM Mapping'!$C$2:$C$270,MATCH(TRIM(D421),'CLM &amp; IM Mapping'!$A$2:$A$270,0)),"Not Mapped"))</f>
        <v>Kantha Kumar</v>
      </c>
      <c r="G421" s="11" t="s">
        <v>34</v>
      </c>
      <c r="H421" s="10" t="n">
        <v>2812</v>
      </c>
      <c r="I421" s="10" t="n">
        <v>792</v>
      </c>
      <c r="J421" s="10" t="n">
        <v>0</v>
      </c>
      <c r="K421" s="10" t="n">
        <v>0</v>
      </c>
      <c r="L421" s="10" t="n">
        <v>66</v>
      </c>
      <c r="M421" s="10" t="n">
        <v>0</v>
      </c>
      <c r="N421" s="10" t="n">
        <v>0</v>
      </c>
      <c r="O421" s="10" t="n">
        <v>0</v>
      </c>
      <c r="P421" s="10" t="n">
        <v>3671</v>
      </c>
      <c r="Q421" s="10"/>
      <c r="R421" s="10"/>
      <c r="S421" s="22"/>
      <c r="T421" s="11"/>
      <c r="U421" s="21"/>
      <c r="V421" s="15"/>
      <c r="W421" s="23"/>
      <c r="X421" s="23"/>
      <c r="Y421" s="8"/>
      <c r="Z421" s="8"/>
      <c r="AA421" s="8"/>
      <c r="AB421" s="8"/>
      <c r="AC421" s="8"/>
    </row>
    <row r="422" customFormat="false" ht="15" hidden="false" customHeight="false" outlineLevel="0" collapsed="false">
      <c r="A422" s="9" t="n">
        <v>46304</v>
      </c>
      <c r="B422" s="11" t="s">
        <v>22</v>
      </c>
      <c r="C422" s="11" t="s">
        <v>23</v>
      </c>
      <c r="D422" s="11" t="s">
        <v>68</v>
      </c>
      <c r="E422" s="11" t="str">
        <f aca="false" t="array" ref="E422:E422">IF(D422="","",IFERROR(INDEX('CLM &amp; IM Mapping'!$B$2:$B$270,MATCH(TRIM(D422),'CLM &amp; IM Mapping'!$A$2:$A$270,0)),"Not Mapped"))</f>
        <v>Girish N</v>
      </c>
      <c r="F422" s="11" t="str">
        <f aca="false" t="array" ref="F422:F422">IF(D422="","",IFERROR(INDEX('CLM &amp; IM Mapping'!$C$2:$C$270,MATCH(TRIM(D422),'CLM &amp; IM Mapping'!$A$2:$A$270,0)),"Not Mapped"))</f>
        <v>Un Mapped</v>
      </c>
      <c r="G422" s="11" t="s">
        <v>34</v>
      </c>
      <c r="H422" s="10" t="n">
        <v>31861</v>
      </c>
      <c r="I422" s="10" t="n">
        <v>14323</v>
      </c>
      <c r="J422" s="10" t="n">
        <v>1279</v>
      </c>
      <c r="K422" s="10" t="n">
        <v>0</v>
      </c>
      <c r="L422" s="10" t="n">
        <v>554</v>
      </c>
      <c r="M422" s="10" t="n">
        <v>0</v>
      </c>
      <c r="N422" s="10" t="n">
        <v>21</v>
      </c>
      <c r="O422" s="10" t="n">
        <v>0</v>
      </c>
      <c r="P422" s="10" t="n">
        <v>48038</v>
      </c>
      <c r="Q422" s="10"/>
      <c r="R422" s="10"/>
      <c r="S422" s="22"/>
      <c r="T422" s="11"/>
      <c r="U422" s="21"/>
      <c r="V422" s="15"/>
      <c r="W422" s="23"/>
      <c r="X422" s="23"/>
      <c r="Y422" s="8"/>
      <c r="Z422" s="8"/>
      <c r="AA422" s="8"/>
      <c r="AB422" s="8"/>
      <c r="AC422" s="8"/>
    </row>
    <row r="423" customFormat="false" ht="15" hidden="false" customHeight="false" outlineLevel="0" collapsed="false">
      <c r="A423" s="9" t="n">
        <v>46304</v>
      </c>
      <c r="B423" s="11" t="s">
        <v>22</v>
      </c>
      <c r="C423" s="11" t="s">
        <v>23</v>
      </c>
      <c r="D423" s="11" t="s">
        <v>86</v>
      </c>
      <c r="E423" s="11" t="str">
        <f aca="false" t="array" ref="E423:E423">IF(D423="","",IFERROR(INDEX('CLM &amp; IM Mapping'!$B$2:$B$270,MATCH(TRIM(D423),'CLM &amp; IM Mapping'!$A$2:$A$270,0)),"Not Mapped"))</f>
        <v>Raghavendra Vernekar</v>
      </c>
      <c r="F423" s="11" t="str">
        <f aca="false" t="array" ref="F423:F423">IF(D423="","",IFERROR(INDEX('CLM &amp; IM Mapping'!$C$2:$C$270,MATCH(TRIM(D423),'CLM &amp; IM Mapping'!$A$2:$A$270,0)),"Not Mapped"))</f>
        <v>Prakash BS</v>
      </c>
      <c r="G423" s="11" t="s">
        <v>34</v>
      </c>
      <c r="H423" s="10" t="n">
        <v>10601</v>
      </c>
      <c r="I423" s="10" t="n">
        <v>14980</v>
      </c>
      <c r="J423" s="10" t="n">
        <v>0</v>
      </c>
      <c r="K423" s="10" t="n">
        <v>4710</v>
      </c>
      <c r="L423" s="10" t="n">
        <v>885</v>
      </c>
      <c r="M423" s="10" t="n">
        <v>0</v>
      </c>
      <c r="N423" s="10" t="n">
        <v>0</v>
      </c>
      <c r="O423" s="10" t="n">
        <v>0</v>
      </c>
      <c r="P423" s="10" t="n">
        <v>31176</v>
      </c>
      <c r="Q423" s="10"/>
      <c r="R423" s="10"/>
      <c r="S423" s="12" t="s">
        <v>541</v>
      </c>
      <c r="T423" s="11" t="n">
        <v>31000</v>
      </c>
      <c r="U423" s="21"/>
      <c r="V423" s="15"/>
      <c r="W423" s="23"/>
      <c r="X423" s="23"/>
      <c r="Y423" s="8"/>
      <c r="Z423" s="8"/>
      <c r="AA423" s="8"/>
      <c r="AB423" s="8"/>
      <c r="AC423" s="8"/>
    </row>
    <row r="424" customFormat="false" ht="15" hidden="false" customHeight="false" outlineLevel="0" collapsed="false">
      <c r="A424" s="9" t="n">
        <v>46304</v>
      </c>
      <c r="B424" s="11" t="s">
        <v>22</v>
      </c>
      <c r="C424" s="11" t="s">
        <v>23</v>
      </c>
      <c r="D424" s="11" t="s">
        <v>484</v>
      </c>
      <c r="E424" s="11" t="str">
        <f aca="false" t="array" ref="E424:E424">IF(D424="","",IFERROR(INDEX('CLM &amp; IM Mapping'!$B$2:$B$270,MATCH(TRIM(D424),'CLM &amp; IM Mapping'!$A$2:$A$270,0)),"Not Mapped"))</f>
        <v>Raghavendra Vernekar</v>
      </c>
      <c r="F424" s="11" t="str">
        <f aca="false" t="array" ref="F424:F424">IF(D424="","",IFERROR(INDEX('CLM &amp; IM Mapping'!$C$2:$C$270,MATCH(TRIM(D424),'CLM &amp; IM Mapping'!$A$2:$A$270,0)),"Not Mapped"))</f>
        <v>Prakash BS</v>
      </c>
      <c r="G424" s="11" t="s">
        <v>34</v>
      </c>
      <c r="H424" s="10" t="n">
        <v>-15471</v>
      </c>
      <c r="I424" s="10" t="n">
        <v>1505</v>
      </c>
      <c r="J424" s="10" t="n">
        <v>0</v>
      </c>
      <c r="K424" s="10" t="n">
        <v>232</v>
      </c>
      <c r="L424" s="10" t="n">
        <v>146</v>
      </c>
      <c r="M424" s="10" t="n">
        <v>0</v>
      </c>
      <c r="N424" s="10" t="n">
        <v>54</v>
      </c>
      <c r="O424" s="10" t="n">
        <v>0</v>
      </c>
      <c r="P424" s="10" t="n">
        <v>-13535</v>
      </c>
      <c r="Q424" s="10"/>
      <c r="R424" s="10"/>
      <c r="S424" s="22" t="s">
        <v>534</v>
      </c>
      <c r="T424" s="11"/>
      <c r="U424" s="21"/>
      <c r="V424" s="15"/>
      <c r="W424" s="23"/>
      <c r="X424" s="23"/>
      <c r="Y424" s="8"/>
      <c r="Z424" s="8"/>
      <c r="AA424" s="8"/>
      <c r="AB424" s="8"/>
      <c r="AC424" s="8"/>
    </row>
    <row r="425" customFormat="false" ht="15" hidden="false" customHeight="false" outlineLevel="0" collapsed="false">
      <c r="A425" s="9" t="n">
        <v>46304</v>
      </c>
      <c r="B425" s="11" t="s">
        <v>22</v>
      </c>
      <c r="C425" s="11" t="s">
        <v>23</v>
      </c>
      <c r="D425" s="11" t="s">
        <v>505</v>
      </c>
      <c r="E425" s="11" t="str">
        <f aca="false" t="array" ref="E425:E425">IF(D425="","",IFERROR(INDEX('CLM &amp; IM Mapping'!$B$2:$B$270,MATCH(TRIM(D425),'CLM &amp; IM Mapping'!$A$2:$A$270,0)),"Not Mapped"))</f>
        <v>Basil Scariya</v>
      </c>
      <c r="F425" s="11" t="str">
        <f aca="false" t="array" ref="F425:F425">IF(D425="","",IFERROR(INDEX('CLM &amp; IM Mapping'!$C$2:$C$270,MATCH(TRIM(D425),'CLM &amp; IM Mapping'!$A$2:$A$270,0)),"Not Mapped"))</f>
        <v>Prakash BS</v>
      </c>
      <c r="G425" s="11" t="s">
        <v>34</v>
      </c>
      <c r="H425" s="10" t="n">
        <v>-24227</v>
      </c>
      <c r="I425" s="10" t="n">
        <v>7183</v>
      </c>
      <c r="J425" s="10" t="n">
        <v>0</v>
      </c>
      <c r="K425" s="10" t="n">
        <v>1905</v>
      </c>
      <c r="L425" s="10" t="n">
        <v>686</v>
      </c>
      <c r="M425" s="10" t="n">
        <v>0</v>
      </c>
      <c r="N425" s="10" t="n">
        <v>0</v>
      </c>
      <c r="O425" s="10" t="n">
        <v>0</v>
      </c>
      <c r="P425" s="10" t="n">
        <v>-14452</v>
      </c>
      <c r="Q425" s="10"/>
      <c r="R425" s="10"/>
      <c r="S425" s="22" t="s">
        <v>534</v>
      </c>
      <c r="T425" s="11"/>
      <c r="U425" s="21"/>
      <c r="V425" s="15"/>
      <c r="W425" s="23"/>
      <c r="X425" s="23"/>
      <c r="Y425" s="8"/>
      <c r="Z425" s="8"/>
      <c r="AA425" s="8"/>
      <c r="AB425" s="8"/>
      <c r="AC425" s="8"/>
    </row>
    <row r="426" customFormat="false" ht="15" hidden="false" customHeight="false" outlineLevel="0" collapsed="false">
      <c r="A426" s="9" t="n">
        <v>46304</v>
      </c>
      <c r="B426" s="11" t="s">
        <v>22</v>
      </c>
      <c r="C426" s="11" t="s">
        <v>23</v>
      </c>
      <c r="D426" s="11" t="s">
        <v>493</v>
      </c>
      <c r="E426" s="11" t="str">
        <f aca="false" t="array" ref="E426:E426">IF(D426="","",IFERROR(INDEX('CLM &amp; IM Mapping'!$B$2:$B$270,MATCH(TRIM(D426),'CLM &amp; IM Mapping'!$A$2:$A$270,0)),"Not Mapped"))</f>
        <v>Santhosha M</v>
      </c>
      <c r="F426" s="11" t="str">
        <f aca="false" t="array" ref="F426:F426">IF(D426="","",IFERROR(INDEX('CLM &amp; IM Mapping'!$C$2:$C$270,MATCH(TRIM(D426),'CLM &amp; IM Mapping'!$A$2:$A$270,0)),"Not Mapped"))</f>
        <v>Aravind S</v>
      </c>
      <c r="G426" s="11" t="s">
        <v>34</v>
      </c>
      <c r="H426" s="10" t="n">
        <v>-9963</v>
      </c>
      <c r="I426" s="10" t="n">
        <v>1194</v>
      </c>
      <c r="J426" s="10" t="n">
        <v>0</v>
      </c>
      <c r="K426" s="10" t="n">
        <v>0</v>
      </c>
      <c r="L426" s="10" t="n">
        <v>736</v>
      </c>
      <c r="M426" s="10" t="n">
        <v>0</v>
      </c>
      <c r="N426" s="10" t="n">
        <v>0</v>
      </c>
      <c r="O426" s="10" t="n">
        <v>19</v>
      </c>
      <c r="P426" s="10" t="n">
        <v>-8014</v>
      </c>
      <c r="Q426" s="10"/>
      <c r="R426" s="10"/>
      <c r="S426" s="22"/>
      <c r="T426" s="11"/>
      <c r="U426" s="21"/>
      <c r="V426" s="15"/>
      <c r="W426" s="23"/>
      <c r="X426" s="23"/>
      <c r="Y426" s="8"/>
      <c r="Z426" s="8"/>
      <c r="AA426" s="8"/>
      <c r="AB426" s="8"/>
      <c r="AC426" s="8"/>
    </row>
    <row r="427" customFormat="false" ht="15" hidden="false" customHeight="false" outlineLevel="0" collapsed="false">
      <c r="A427" s="9" t="n">
        <v>46304</v>
      </c>
      <c r="B427" s="11" t="s">
        <v>22</v>
      </c>
      <c r="C427" s="11" t="s">
        <v>23</v>
      </c>
      <c r="D427" s="11" t="s">
        <v>508</v>
      </c>
      <c r="E427" s="11" t="str">
        <f aca="false" t="array" ref="E427:E427">IF(D427="","",IFERROR(INDEX('CLM &amp; IM Mapping'!$B$2:$B$270,MATCH(TRIM(D427),'CLM &amp; IM Mapping'!$A$2:$A$270,0)),"Not Mapped"))</f>
        <v>Ravishankar gowda</v>
      </c>
      <c r="F427" s="11" t="str">
        <f aca="false" t="array" ref="F427:F427">IF(D427="","",IFERROR(INDEX('CLM &amp; IM Mapping'!$C$2:$C$270,MATCH(TRIM(D427),'CLM &amp; IM Mapping'!$A$2:$A$270,0)),"Not Mapped"))</f>
        <v>Kishor K</v>
      </c>
      <c r="G427" s="11" t="s">
        <v>34</v>
      </c>
      <c r="H427" s="10" t="n">
        <v>-20565</v>
      </c>
      <c r="I427" s="10" t="n">
        <v>3245</v>
      </c>
      <c r="J427" s="10" t="n">
        <v>0</v>
      </c>
      <c r="K427" s="10" t="n">
        <v>18</v>
      </c>
      <c r="L427" s="10" t="n">
        <v>626</v>
      </c>
      <c r="M427" s="10" t="n">
        <v>0</v>
      </c>
      <c r="N427" s="10" t="n">
        <v>0</v>
      </c>
      <c r="O427" s="10" t="n">
        <v>0</v>
      </c>
      <c r="P427" s="10" t="n">
        <v>-16675</v>
      </c>
      <c r="Q427" s="10"/>
      <c r="R427" s="10"/>
      <c r="S427" s="22"/>
      <c r="T427" s="11"/>
      <c r="U427" s="21"/>
      <c r="V427" s="15"/>
      <c r="W427" s="23"/>
      <c r="X427" s="23"/>
      <c r="Y427" s="8"/>
      <c r="Z427" s="8"/>
      <c r="AA427" s="8"/>
      <c r="AB427" s="8"/>
      <c r="AC427" s="8"/>
    </row>
    <row r="428" customFormat="false" ht="15" hidden="false" customHeight="false" outlineLevel="0" collapsed="false">
      <c r="A428" s="9" t="n">
        <v>46304</v>
      </c>
      <c r="B428" s="11" t="s">
        <v>22</v>
      </c>
      <c r="C428" s="11" t="s">
        <v>276</v>
      </c>
      <c r="D428" s="11" t="s">
        <v>532</v>
      </c>
      <c r="E428" s="11" t="str">
        <f aca="false" t="array" ref="E428:E428">IF(D428="","",IFERROR(INDEX('CLM &amp; IM Mapping'!$B$2:$B$270,MATCH(TRIM(D428),'CLM &amp; IM Mapping'!$A$2:$A$270,0)),"Not Mapped"))</f>
        <v>Arun Raj</v>
      </c>
      <c r="F428" s="11" t="str">
        <f aca="false" t="array" ref="F428:F428">IF(D428="","",IFERROR(INDEX('CLM &amp; IM Mapping'!$C$2:$C$270,MATCH(TRIM(D428),'CLM &amp; IM Mapping'!$A$2:$A$270,0)),"Not Mapped"))</f>
        <v>Simon Manoharan</v>
      </c>
      <c r="G428" s="11" t="s">
        <v>34</v>
      </c>
      <c r="H428" s="10" t="n">
        <v>-253120</v>
      </c>
      <c r="I428" s="10" t="n">
        <v>0</v>
      </c>
      <c r="J428" s="10" t="n">
        <v>0</v>
      </c>
      <c r="K428" s="10" t="n">
        <v>209957</v>
      </c>
      <c r="L428" s="10" t="n">
        <v>0</v>
      </c>
      <c r="M428" s="10" t="n">
        <v>0</v>
      </c>
      <c r="N428" s="10" t="n">
        <v>0</v>
      </c>
      <c r="O428" s="10" t="n">
        <v>0</v>
      </c>
      <c r="P428" s="10" t="n">
        <v>-43163</v>
      </c>
      <c r="Q428" s="10"/>
      <c r="R428" s="10"/>
      <c r="S428" s="22"/>
      <c r="T428" s="11"/>
      <c r="U428" s="21"/>
      <c r="V428" s="15"/>
      <c r="W428" s="23"/>
      <c r="X428" s="23"/>
      <c r="Y428" s="8"/>
      <c r="Z428" s="8"/>
      <c r="AA428" s="8"/>
      <c r="AB428" s="8"/>
      <c r="AC428" s="8"/>
    </row>
    <row r="429" customFormat="false" ht="15" hidden="false" customHeight="false" outlineLevel="0" collapsed="false">
      <c r="A429" s="9" t="n">
        <v>46304</v>
      </c>
      <c r="B429" s="11" t="s">
        <v>22</v>
      </c>
      <c r="C429" s="11" t="s">
        <v>23</v>
      </c>
      <c r="D429" s="11" t="s">
        <v>381</v>
      </c>
      <c r="E429" s="11" t="str">
        <f aca="false" t="array" ref="E429:E429">IF(D429="","",IFERROR(INDEX('CLM &amp; IM Mapping'!$B$2:$B$270,MATCH(TRIM(D429),'CLM &amp; IM Mapping'!$A$2:$A$270,0)),"Not Mapped"))</f>
        <v>Balaji G</v>
      </c>
      <c r="F429" s="11" t="str">
        <f aca="false" t="array" ref="F429:F429">IF(D429="","",IFERROR(INDEX('CLM &amp; IM Mapping'!$C$2:$C$270,MATCH(TRIM(D429),'CLM &amp; IM Mapping'!$A$2:$A$270,0)),"Not Mapped"))</f>
        <v>Mohammed Akbar</v>
      </c>
      <c r="G429" s="11" t="s">
        <v>34</v>
      </c>
      <c r="H429" s="10" t="n">
        <v>-14853</v>
      </c>
      <c r="I429" s="10" t="n">
        <v>13260</v>
      </c>
      <c r="J429" s="10" t="n">
        <v>429</v>
      </c>
      <c r="K429" s="10" t="n">
        <v>1132</v>
      </c>
      <c r="L429" s="10" t="n">
        <v>1808</v>
      </c>
      <c r="M429" s="10" t="n">
        <v>0</v>
      </c>
      <c r="N429" s="10" t="n">
        <v>0</v>
      </c>
      <c r="O429" s="10" t="n">
        <v>0</v>
      </c>
      <c r="P429" s="10" t="n">
        <v>1776</v>
      </c>
      <c r="Q429" s="10"/>
      <c r="R429" s="10"/>
      <c r="S429" s="22"/>
      <c r="T429" s="11"/>
      <c r="U429" s="21"/>
      <c r="V429" s="15"/>
      <c r="W429" s="23"/>
      <c r="X429" s="23"/>
      <c r="Y429" s="8"/>
      <c r="Z429" s="8"/>
      <c r="AA429" s="8"/>
      <c r="AB429" s="8"/>
      <c r="AC429" s="8"/>
    </row>
    <row r="430" customFormat="false" ht="15" hidden="false" customHeight="false" outlineLevel="0" collapsed="false">
      <c r="A430" s="9" t="n">
        <v>46304</v>
      </c>
      <c r="B430" s="11" t="s">
        <v>22</v>
      </c>
      <c r="C430" s="11" t="s">
        <v>23</v>
      </c>
      <c r="D430" s="11" t="s">
        <v>447</v>
      </c>
      <c r="E430" s="11" t="str">
        <f aca="false" t="array" ref="E430:E430">IF(D430="","",IFERROR(INDEX('CLM &amp; IM Mapping'!$B$2:$B$270,MATCH(TRIM(D430),'CLM &amp; IM Mapping'!$A$2:$A$270,0)),"Not Mapped"))</f>
        <v>John Britto</v>
      </c>
      <c r="F430" s="11" t="str">
        <f aca="false" t="array" ref="F430:F430">IF(D430="","",IFERROR(INDEX('CLM &amp; IM Mapping'!$C$2:$C$270,MATCH(TRIM(D430),'CLM &amp; IM Mapping'!$A$2:$A$270,0)),"Not Mapped"))</f>
        <v>Aravind S</v>
      </c>
      <c r="G430" s="11" t="s">
        <v>25</v>
      </c>
      <c r="H430" s="10" t="n">
        <v>-6666</v>
      </c>
      <c r="I430" s="10" t="n">
        <v>0</v>
      </c>
      <c r="J430" s="10" t="n">
        <v>0</v>
      </c>
      <c r="K430" s="10" t="n">
        <v>0</v>
      </c>
      <c r="L430" s="10" t="n">
        <v>0</v>
      </c>
      <c r="M430" s="10" t="n">
        <v>0</v>
      </c>
      <c r="N430" s="10" t="n">
        <v>0</v>
      </c>
      <c r="O430" s="10" t="n">
        <v>0</v>
      </c>
      <c r="P430" s="10" t="n">
        <v>-6666</v>
      </c>
      <c r="Q430" s="10"/>
      <c r="R430" s="10"/>
      <c r="S430" s="22"/>
      <c r="T430" s="11"/>
      <c r="U430" s="21"/>
      <c r="V430" s="15"/>
      <c r="W430" s="23"/>
      <c r="X430" s="23"/>
      <c r="Y430" s="8"/>
      <c r="Z430" s="8"/>
      <c r="AA430" s="8"/>
      <c r="AB430" s="8"/>
      <c r="AC430" s="8"/>
    </row>
    <row r="431" customFormat="false" ht="15" hidden="false" customHeight="false" outlineLevel="0" collapsed="false">
      <c r="A431" s="9" t="n">
        <v>46304</v>
      </c>
      <c r="B431" s="11" t="s">
        <v>22</v>
      </c>
      <c r="C431" s="11" t="s">
        <v>23</v>
      </c>
      <c r="D431" s="11" t="s">
        <v>189</v>
      </c>
      <c r="E431" s="11" t="str">
        <f aca="false" t="array" ref="E431:E431">IF(D431="","",IFERROR(INDEX('CLM &amp; IM Mapping'!$B$2:$B$270,MATCH(TRIM(D431),'CLM &amp; IM Mapping'!$A$2:$A$270,0)),"Not Mapped"))</f>
        <v>Girish N</v>
      </c>
      <c r="F431" s="11" t="str">
        <f aca="false" t="array" ref="F431:F431">IF(D431="","",IFERROR(INDEX('CLM &amp; IM Mapping'!$C$2:$C$270,MATCH(TRIM(D431),'CLM &amp; IM Mapping'!$A$2:$A$270,0)),"Not Mapped"))</f>
        <v>Un Mapped</v>
      </c>
      <c r="G431" s="11" t="s">
        <v>34</v>
      </c>
      <c r="H431" s="10" t="n">
        <v>7146</v>
      </c>
      <c r="I431" s="10" t="n">
        <v>19444</v>
      </c>
      <c r="J431" s="10" t="n">
        <v>2129</v>
      </c>
      <c r="K431" s="10" t="n">
        <v>106</v>
      </c>
      <c r="L431" s="10" t="n">
        <v>765</v>
      </c>
      <c r="M431" s="10" t="n">
        <v>0</v>
      </c>
      <c r="N431" s="10" t="n">
        <v>0</v>
      </c>
      <c r="O431" s="10" t="n">
        <v>0</v>
      </c>
      <c r="P431" s="10" t="n">
        <v>29590</v>
      </c>
      <c r="Q431" s="10"/>
      <c r="R431" s="10"/>
      <c r="S431" s="22"/>
      <c r="T431" s="11"/>
      <c r="U431" s="21"/>
      <c r="V431" s="15"/>
      <c r="W431" s="23"/>
      <c r="X431" s="23"/>
      <c r="Y431" s="8"/>
      <c r="Z431" s="8"/>
      <c r="AA431" s="8"/>
      <c r="AB431" s="8"/>
      <c r="AC431" s="8"/>
    </row>
    <row r="432" customFormat="false" ht="15" hidden="false" customHeight="false" outlineLevel="0" collapsed="false">
      <c r="A432" s="9" t="n">
        <v>46304</v>
      </c>
      <c r="B432" s="11" t="s">
        <v>22</v>
      </c>
      <c r="C432" s="11" t="s">
        <v>303</v>
      </c>
      <c r="D432" s="11" t="s">
        <v>429</v>
      </c>
      <c r="E432" s="11" t="str">
        <f aca="false" t="array" ref="E432:E432">IF(D432="","",IFERROR(INDEX('CLM &amp; IM Mapping'!$B$2:$B$270,MATCH(TRIM(D432),'CLM &amp; IM Mapping'!$A$2:$A$270,0)),"Not Mapped"))</f>
        <v>Manjunatha V</v>
      </c>
      <c r="F432" s="11" t="str">
        <f aca="false" t="array" ref="F432:F432">IF(D432="","",IFERROR(INDEX('CLM &amp; IM Mapping'!$C$2:$C$270,MATCH(TRIM(D432),'CLM &amp; IM Mapping'!$A$2:$A$270,0)),"Not Mapped"))</f>
        <v>Un Mapped</v>
      </c>
      <c r="G432" s="11" t="s">
        <v>34</v>
      </c>
      <c r="H432" s="10" t="n">
        <v>-19045</v>
      </c>
      <c r="I432" s="10" t="n">
        <v>8080</v>
      </c>
      <c r="J432" s="10" t="n">
        <v>0</v>
      </c>
      <c r="K432" s="10" t="n">
        <v>49</v>
      </c>
      <c r="L432" s="10" t="n">
        <v>3350</v>
      </c>
      <c r="M432" s="10" t="n">
        <v>0</v>
      </c>
      <c r="N432" s="10" t="n">
        <v>0</v>
      </c>
      <c r="O432" s="10" t="n">
        <v>0</v>
      </c>
      <c r="P432" s="10" t="n">
        <v>-7566</v>
      </c>
      <c r="Q432" s="10"/>
      <c r="R432" s="10"/>
      <c r="S432" s="22"/>
      <c r="T432" s="11"/>
      <c r="U432" s="21"/>
      <c r="V432" s="15"/>
      <c r="W432" s="23"/>
      <c r="X432" s="23"/>
      <c r="Y432" s="8"/>
      <c r="Z432" s="8"/>
      <c r="AA432" s="8"/>
      <c r="AB432" s="8"/>
      <c r="AC432" s="8"/>
    </row>
    <row r="433" customFormat="false" ht="15" hidden="false" customHeight="false" outlineLevel="0" collapsed="false">
      <c r="A433" s="9" t="n">
        <v>46304</v>
      </c>
      <c r="B433" s="11" t="s">
        <v>22</v>
      </c>
      <c r="C433" s="11" t="s">
        <v>23</v>
      </c>
      <c r="D433" s="11" t="s">
        <v>241</v>
      </c>
      <c r="E433" s="11" t="str">
        <f aca="false" t="array" ref="E433:E433">IF(D433="","",IFERROR(INDEX('CLM &amp; IM Mapping'!$B$2:$B$270,MATCH(TRIM(D433),'CLM &amp; IM Mapping'!$A$2:$A$270,0)),"Not Mapped"))</f>
        <v>Sundaresh S</v>
      </c>
      <c r="F433" s="11" t="str">
        <f aca="false" t="array" ref="F433:F433">IF(D433="","",IFERROR(INDEX('CLM &amp; IM Mapping'!$C$2:$C$270,MATCH(TRIM(D433),'CLM &amp; IM Mapping'!$A$2:$A$270,0)),"Not Mapped"))</f>
        <v>Un Mapped</v>
      </c>
      <c r="G433" s="11" t="s">
        <v>34</v>
      </c>
      <c r="H433" s="10" t="n">
        <v>11981</v>
      </c>
      <c r="I433" s="10" t="n">
        <v>1105</v>
      </c>
      <c r="J433" s="10" t="n">
        <v>0</v>
      </c>
      <c r="K433" s="10" t="n">
        <v>274</v>
      </c>
      <c r="L433" s="10" t="n">
        <v>185</v>
      </c>
      <c r="M433" s="10" t="n">
        <v>0</v>
      </c>
      <c r="N433" s="10" t="n">
        <v>2937</v>
      </c>
      <c r="O433" s="10" t="n">
        <v>0</v>
      </c>
      <c r="P433" s="10" t="n">
        <v>16482</v>
      </c>
      <c r="Q433" s="10"/>
      <c r="R433" s="10"/>
      <c r="S433" s="22"/>
      <c r="T433" s="11"/>
      <c r="U433" s="21"/>
      <c r="V433" s="15"/>
      <c r="W433" s="23"/>
      <c r="X433" s="23"/>
      <c r="Y433" s="8"/>
      <c r="Z433" s="8"/>
      <c r="AA433" s="8"/>
      <c r="AB433" s="8"/>
      <c r="AC433" s="8"/>
    </row>
    <row r="434" customFormat="false" ht="15" hidden="false" customHeight="false" outlineLevel="0" collapsed="false">
      <c r="A434" s="9" t="n">
        <v>46304</v>
      </c>
      <c r="B434" s="11" t="s">
        <v>22</v>
      </c>
      <c r="C434" s="11" t="s">
        <v>23</v>
      </c>
      <c r="D434" s="11" t="s">
        <v>418</v>
      </c>
      <c r="E434" s="11" t="str">
        <f aca="false" t="array" ref="E434:E434">IF(D434="","",IFERROR(INDEX('CLM &amp; IM Mapping'!$B$2:$B$270,MATCH(TRIM(D434),'CLM &amp; IM Mapping'!$A$2:$A$270,0)),"Not Mapped"))</f>
        <v>Vishnu V</v>
      </c>
      <c r="F434" s="11" t="str">
        <f aca="false" t="array" ref="F434:F434">IF(D434="","",IFERROR(INDEX('CLM &amp; IM Mapping'!$C$2:$C$270,MATCH(TRIM(D434),'CLM &amp; IM Mapping'!$A$2:$A$270,0)),"Not Mapped"))</f>
        <v>Arivind S</v>
      </c>
      <c r="G434" s="11" t="s">
        <v>34</v>
      </c>
      <c r="H434" s="10" t="n">
        <v>-4234</v>
      </c>
      <c r="I434" s="10" t="n">
        <v>0</v>
      </c>
      <c r="J434" s="10" t="n">
        <v>0</v>
      </c>
      <c r="K434" s="10" t="n">
        <v>0</v>
      </c>
      <c r="L434" s="10" t="n">
        <v>275</v>
      </c>
      <c r="M434" s="10" t="n">
        <v>0</v>
      </c>
      <c r="N434" s="10" t="n">
        <v>0</v>
      </c>
      <c r="O434" s="10" t="n">
        <v>0</v>
      </c>
      <c r="P434" s="10" t="n">
        <v>-3959</v>
      </c>
      <c r="Q434" s="10"/>
      <c r="R434" s="10"/>
      <c r="S434" s="22"/>
      <c r="T434" s="11"/>
      <c r="U434" s="21"/>
      <c r="V434" s="15"/>
      <c r="W434" s="23"/>
      <c r="X434" s="23"/>
      <c r="Y434" s="8"/>
      <c r="Z434" s="8"/>
      <c r="AA434" s="8"/>
      <c r="AB434" s="8"/>
      <c r="AC434" s="8"/>
    </row>
    <row r="435" customFormat="false" ht="29.85" hidden="false" customHeight="false" outlineLevel="0" collapsed="false">
      <c r="A435" s="9" t="n">
        <v>46304</v>
      </c>
      <c r="B435" s="11" t="s">
        <v>22</v>
      </c>
      <c r="C435" s="11" t="s">
        <v>23</v>
      </c>
      <c r="D435" s="11" t="s">
        <v>238</v>
      </c>
      <c r="E435" s="11" t="str">
        <f aca="false" t="array" ref="E435:E435">IF(D435="","",IFERROR(INDEX('CLM &amp; IM Mapping'!$B$2:$B$270,MATCH(TRIM(D435),'CLM &amp; IM Mapping'!$A$2:$A$270,0)),"Not Mapped"))</f>
        <v>Suhas N</v>
      </c>
      <c r="F435" s="11" t="str">
        <f aca="false" t="array" ref="F435:F435">IF(D435="","",IFERROR(INDEX('CLM &amp; IM Mapping'!$C$2:$C$270,MATCH(TRIM(D435),'CLM &amp; IM Mapping'!$A$2:$A$270,0)),"Not Mapped"))</f>
        <v>Aravind S</v>
      </c>
      <c r="G435" s="11" t="s">
        <v>34</v>
      </c>
      <c r="H435" s="10" t="n">
        <v>1482</v>
      </c>
      <c r="I435" s="10" t="n">
        <v>1361</v>
      </c>
      <c r="J435" s="10" t="n">
        <v>161</v>
      </c>
      <c r="K435" s="10" t="n">
        <v>11109</v>
      </c>
      <c r="L435" s="10" t="n">
        <v>3849</v>
      </c>
      <c r="M435" s="10" t="n">
        <v>0</v>
      </c>
      <c r="N435" s="10" t="n">
        <v>0</v>
      </c>
      <c r="O435" s="10" t="n">
        <v>0</v>
      </c>
      <c r="P435" s="10" t="n">
        <v>17963</v>
      </c>
      <c r="Q435" s="10"/>
      <c r="R435" s="10"/>
      <c r="S435" s="12" t="s">
        <v>239</v>
      </c>
      <c r="T435" s="15" t="n">
        <v>10000</v>
      </c>
      <c r="U435" s="21"/>
      <c r="V435" s="15"/>
      <c r="W435" s="23"/>
      <c r="X435" s="23"/>
      <c r="Y435" s="8"/>
      <c r="Z435" s="8"/>
      <c r="AA435" s="8"/>
      <c r="AB435" s="8"/>
      <c r="AC435" s="8"/>
    </row>
    <row r="436" customFormat="false" ht="15" hidden="false" customHeight="false" outlineLevel="0" collapsed="false">
      <c r="A436" s="9" t="n">
        <v>46304</v>
      </c>
      <c r="B436" s="11" t="s">
        <v>22</v>
      </c>
      <c r="C436" s="11" t="s">
        <v>417</v>
      </c>
      <c r="D436" s="11" t="s">
        <v>517</v>
      </c>
      <c r="E436" s="11" t="str">
        <f aca="false" t="array" ref="E436:E436">IF(D436="","",IFERROR(INDEX('CLM &amp; IM Mapping'!$B$2:$B$270,MATCH(TRIM(D436),'CLM &amp; IM Mapping'!$A$2:$A$270,0)),"Not Mapped"))</f>
        <v>Manoj Kj</v>
      </c>
      <c r="F436" s="11" t="str">
        <f aca="false" t="array" ref="F436:F436">IF(D436="","",IFERROR(INDEX('CLM &amp; IM Mapping'!$C$2:$C$270,MATCH(TRIM(D436),'CLM &amp; IM Mapping'!$A$2:$A$270,0)),"Not Mapped"))</f>
        <v>Srittam Dhal</v>
      </c>
      <c r="G436" s="11" t="s">
        <v>34</v>
      </c>
      <c r="H436" s="10" t="n">
        <v>-30912</v>
      </c>
      <c r="I436" s="10" t="n">
        <v>0</v>
      </c>
      <c r="J436" s="10" t="n">
        <v>0</v>
      </c>
      <c r="K436" s="10" t="n">
        <v>0</v>
      </c>
      <c r="L436" s="10" t="n">
        <v>134</v>
      </c>
      <c r="M436" s="10" t="n">
        <v>0</v>
      </c>
      <c r="N436" s="10" t="n">
        <v>2713</v>
      </c>
      <c r="O436" s="10" t="n">
        <v>0</v>
      </c>
      <c r="P436" s="10" t="n">
        <v>-28066</v>
      </c>
      <c r="Q436" s="10"/>
      <c r="R436" s="10"/>
      <c r="S436" s="22"/>
      <c r="T436" s="11"/>
      <c r="U436" s="21"/>
      <c r="V436" s="15"/>
      <c r="W436" s="23"/>
      <c r="X436" s="23"/>
      <c r="Y436" s="8"/>
      <c r="Z436" s="8"/>
      <c r="AA436" s="8"/>
      <c r="AB436" s="8"/>
      <c r="AC436" s="8"/>
    </row>
    <row r="437" customFormat="false" ht="15" hidden="false" customHeight="false" outlineLevel="0" collapsed="false">
      <c r="A437" s="9" t="n">
        <v>46304</v>
      </c>
      <c r="B437" s="11" t="s">
        <v>22</v>
      </c>
      <c r="C437" s="11" t="s">
        <v>23</v>
      </c>
      <c r="D437" s="11" t="s">
        <v>162</v>
      </c>
      <c r="E437" s="11" t="str">
        <f aca="false" t="array" ref="E437:E437">IF(D437="","",IFERROR(INDEX('CLM &amp; IM Mapping'!$B$2:$B$270,MATCH(TRIM(D437),'CLM &amp; IM Mapping'!$A$2:$A$270,0)),"Not Mapped"))</f>
        <v>Ashwath S</v>
      </c>
      <c r="F437" s="11" t="str">
        <f aca="false" t="array" ref="F437:F437">IF(D437="","",IFERROR(INDEX('CLM &amp; IM Mapping'!$C$2:$C$270,MATCH(TRIM(D437),'CLM &amp; IM Mapping'!$A$2:$A$270,0)),"Not Mapped"))</f>
        <v>Kantha Kumar</v>
      </c>
      <c r="G437" s="11" t="s">
        <v>34</v>
      </c>
      <c r="H437" s="10" t="n">
        <v>-7028</v>
      </c>
      <c r="I437" s="10" t="n">
        <v>12302</v>
      </c>
      <c r="J437" s="10" t="n">
        <v>185</v>
      </c>
      <c r="K437" s="10" t="n">
        <v>200</v>
      </c>
      <c r="L437" s="10" t="n">
        <v>270</v>
      </c>
      <c r="M437" s="10" t="n">
        <v>0</v>
      </c>
      <c r="N437" s="10" t="n">
        <v>120</v>
      </c>
      <c r="O437" s="10" t="n">
        <v>0</v>
      </c>
      <c r="P437" s="10" t="n">
        <v>6049</v>
      </c>
      <c r="Q437" s="10"/>
      <c r="R437" s="10"/>
      <c r="S437" s="22"/>
      <c r="T437" s="11"/>
      <c r="U437" s="21"/>
      <c r="V437" s="15"/>
      <c r="W437" s="23"/>
      <c r="X437" s="23"/>
      <c r="Y437" s="8"/>
      <c r="Z437" s="8"/>
      <c r="AA437" s="8"/>
      <c r="AB437" s="8"/>
      <c r="AC437" s="8"/>
    </row>
    <row r="438" customFormat="false" ht="15" hidden="false" customHeight="false" outlineLevel="0" collapsed="false">
      <c r="A438" s="9" t="n">
        <v>46304</v>
      </c>
      <c r="B438" s="11" t="s">
        <v>22</v>
      </c>
      <c r="C438" s="11" t="s">
        <v>23</v>
      </c>
      <c r="D438" s="11" t="s">
        <v>47</v>
      </c>
      <c r="E438" s="11" t="str">
        <f aca="false" t="array" ref="E438:E438">IF(D438="","",IFERROR(INDEX('CLM &amp; IM Mapping'!$B$2:$B$270,MATCH(TRIM(D438),'CLM &amp; IM Mapping'!$A$2:$A$270,0)),"Not Mapped"))</f>
        <v>Saddam Hussain</v>
      </c>
      <c r="F438" s="11" t="str">
        <f aca="false" t="array" ref="F438:F438">IF(D438="","",IFERROR(INDEX('CLM &amp; IM Mapping'!$C$2:$C$270,MATCH(TRIM(D438),'CLM &amp; IM Mapping'!$A$2:$A$270,0)),"Not Mapped"))</f>
        <v>Un Mapped</v>
      </c>
      <c r="G438" s="11" t="s">
        <v>34</v>
      </c>
      <c r="H438" s="10" t="n">
        <v>-24727</v>
      </c>
      <c r="I438" s="10" t="n">
        <v>47228</v>
      </c>
      <c r="J438" s="10" t="n">
        <v>1688</v>
      </c>
      <c r="K438" s="10" t="n">
        <v>2605</v>
      </c>
      <c r="L438" s="10" t="n">
        <v>3957</v>
      </c>
      <c r="M438" s="10" t="n">
        <v>0</v>
      </c>
      <c r="N438" s="10" t="n">
        <v>680</v>
      </c>
      <c r="O438" s="10" t="n">
        <v>0</v>
      </c>
      <c r="P438" s="10" t="n">
        <v>31432</v>
      </c>
      <c r="Q438" s="10"/>
      <c r="R438" s="10"/>
      <c r="S438" s="22"/>
      <c r="T438" s="11"/>
      <c r="U438" s="21"/>
      <c r="V438" s="15"/>
      <c r="W438" s="23"/>
      <c r="X438" s="23"/>
      <c r="Y438" s="8"/>
      <c r="Z438" s="8"/>
      <c r="AA438" s="8"/>
      <c r="AB438" s="8"/>
      <c r="AC438" s="8"/>
    </row>
    <row r="439" customFormat="false" ht="15" hidden="false" customHeight="false" outlineLevel="0" collapsed="false">
      <c r="A439" s="9" t="n">
        <v>46304</v>
      </c>
      <c r="B439" s="11" t="s">
        <v>22</v>
      </c>
      <c r="C439" s="11" t="s">
        <v>23</v>
      </c>
      <c r="D439" s="11" t="s">
        <v>83</v>
      </c>
      <c r="E439" s="11" t="str">
        <f aca="false" t="array" ref="E439:E439">IF(D439="","",IFERROR(INDEX('CLM &amp; IM Mapping'!$B$2:$B$270,MATCH(TRIM(D439),'CLM &amp; IM Mapping'!$A$2:$A$270,0)),"Not Mapped"))</f>
        <v>Keshav G</v>
      </c>
      <c r="F439" s="11" t="str">
        <f aca="false" t="array" ref="F439:F439">IF(D439="","",IFERROR(INDEX('CLM &amp; IM Mapping'!$C$2:$C$270,MATCH(TRIM(D439),'CLM &amp; IM Mapping'!$A$2:$A$270,0)),"Not Mapped"))</f>
        <v>Mohammed Akbar</v>
      </c>
      <c r="G439" s="11" t="s">
        <v>34</v>
      </c>
      <c r="H439" s="10" t="n">
        <v>3953</v>
      </c>
      <c r="I439" s="10" t="n">
        <v>28001</v>
      </c>
      <c r="J439" s="10" t="n">
        <v>0</v>
      </c>
      <c r="K439" s="10" t="n">
        <v>797</v>
      </c>
      <c r="L439" s="10" t="n">
        <v>6992</v>
      </c>
      <c r="M439" s="10" t="n">
        <v>0</v>
      </c>
      <c r="N439" s="10" t="n">
        <v>3487</v>
      </c>
      <c r="O439" s="10" t="n">
        <v>0</v>
      </c>
      <c r="P439" s="10" t="n">
        <v>43229</v>
      </c>
      <c r="Q439" s="10"/>
      <c r="R439" s="10"/>
      <c r="S439" s="22"/>
      <c r="T439" s="11"/>
      <c r="U439" s="21"/>
      <c r="V439" s="15"/>
      <c r="W439" s="23"/>
      <c r="X439" s="23"/>
      <c r="Y439" s="8"/>
      <c r="Z439" s="8"/>
      <c r="AA439" s="8"/>
      <c r="AB439" s="8"/>
      <c r="AC439" s="8"/>
    </row>
    <row r="440" customFormat="false" ht="15" hidden="false" customHeight="false" outlineLevel="0" collapsed="false">
      <c r="A440" s="9" t="n">
        <v>46304</v>
      </c>
      <c r="B440" s="11" t="s">
        <v>22</v>
      </c>
      <c r="C440" s="11" t="s">
        <v>23</v>
      </c>
      <c r="D440" s="11" t="s">
        <v>300</v>
      </c>
      <c r="E440" s="11" t="str">
        <f aca="false" t="array" ref="E440:E440">IF(D440="","",IFERROR(INDEX('CLM &amp; IM Mapping'!$B$2:$B$270,MATCH(TRIM(D440),'CLM &amp; IM Mapping'!$A$2:$A$270,0)),"Not Mapped"))</f>
        <v>Bangareppa CS</v>
      </c>
      <c r="F440" s="11" t="str">
        <f aca="false" t="array" ref="F440:F440">IF(D440="","",IFERROR(INDEX('CLM &amp; IM Mapping'!$C$2:$C$270,MATCH(TRIM(D440),'CLM &amp; IM Mapping'!$A$2:$A$270,0)),"Not Mapped"))</f>
        <v>Kishor K</v>
      </c>
      <c r="G440" s="11" t="s">
        <v>34</v>
      </c>
      <c r="H440" s="10" t="n">
        <v>5012</v>
      </c>
      <c r="I440" s="10" t="n">
        <v>2453</v>
      </c>
      <c r="J440" s="10" t="n">
        <v>0</v>
      </c>
      <c r="K440" s="10" t="n">
        <v>36</v>
      </c>
      <c r="L440" s="10" t="n">
        <v>0</v>
      </c>
      <c r="M440" s="10" t="n">
        <v>0</v>
      </c>
      <c r="N440" s="10" t="n">
        <v>0</v>
      </c>
      <c r="O440" s="10" t="n">
        <v>0</v>
      </c>
      <c r="P440" s="10" t="n">
        <v>7501</v>
      </c>
      <c r="Q440" s="10"/>
      <c r="R440" s="10"/>
      <c r="S440" s="22" t="s">
        <v>542</v>
      </c>
      <c r="T440" s="11" t="n">
        <v>8000</v>
      </c>
      <c r="U440" s="21"/>
      <c r="V440" s="15"/>
      <c r="W440" s="23"/>
      <c r="X440" s="23"/>
      <c r="Y440" s="8"/>
      <c r="Z440" s="8"/>
      <c r="AA440" s="8"/>
      <c r="AB440" s="8"/>
      <c r="AC440" s="8"/>
    </row>
    <row r="441" customFormat="false" ht="15" hidden="false" customHeight="false" outlineLevel="0" collapsed="false">
      <c r="A441" s="9" t="n">
        <v>46304</v>
      </c>
      <c r="B441" s="11" t="s">
        <v>22</v>
      </c>
      <c r="C441" s="11" t="s">
        <v>23</v>
      </c>
      <c r="D441" s="11" t="s">
        <v>439</v>
      </c>
      <c r="E441" s="11" t="str">
        <f aca="false" t="array" ref="E441:E441">IF(D441="","",IFERROR(INDEX('CLM &amp; IM Mapping'!$B$2:$B$270,MATCH(TRIM(D441),'CLM &amp; IM Mapping'!$A$2:$A$270,0)),"Not Mapped"))</f>
        <v>Vishnu V</v>
      </c>
      <c r="F441" s="11" t="str">
        <f aca="false" t="array" ref="F441:F441">IF(D441="","",IFERROR(INDEX('CLM &amp; IM Mapping'!$C$2:$C$270,MATCH(TRIM(D441),'CLM &amp; IM Mapping'!$A$2:$A$270,0)),"Not Mapped"))</f>
        <v>Arivind S</v>
      </c>
      <c r="G441" s="11" t="s">
        <v>34</v>
      </c>
      <c r="H441" s="10" t="n">
        <v>-6004</v>
      </c>
      <c r="I441" s="10" t="n">
        <v>0</v>
      </c>
      <c r="J441" s="10" t="n">
        <v>0</v>
      </c>
      <c r="K441" s="10" t="n">
        <v>0</v>
      </c>
      <c r="L441" s="10" t="n">
        <v>0</v>
      </c>
      <c r="M441" s="10" t="n">
        <v>0</v>
      </c>
      <c r="N441" s="10" t="n">
        <v>0</v>
      </c>
      <c r="O441" s="10" t="n">
        <v>0</v>
      </c>
      <c r="P441" s="10" t="n">
        <v>-6004</v>
      </c>
      <c r="Q441" s="10"/>
      <c r="R441" s="10"/>
      <c r="S441" s="22"/>
      <c r="T441" s="11"/>
      <c r="U441" s="21"/>
      <c r="V441" s="15"/>
      <c r="W441" s="23"/>
      <c r="X441" s="23"/>
      <c r="Y441" s="8"/>
      <c r="Z441" s="8"/>
      <c r="AA441" s="8"/>
      <c r="AB441" s="8"/>
      <c r="AC441" s="8"/>
    </row>
    <row r="442" customFormat="false" ht="15" hidden="false" customHeight="false" outlineLevel="0" collapsed="false">
      <c r="A442" s="9" t="n">
        <v>46304</v>
      </c>
      <c r="B442" s="11" t="s">
        <v>22</v>
      </c>
      <c r="C442" s="11" t="s">
        <v>212</v>
      </c>
      <c r="D442" s="11" t="s">
        <v>528</v>
      </c>
      <c r="E442" s="11" t="str">
        <f aca="false" t="array" ref="E442:E442">IF(D442="","",IFERROR(INDEX('CLM &amp; IM Mapping'!$B$2:$B$270,MATCH(TRIM(D442),'CLM &amp; IM Mapping'!$A$2:$A$270,0)),"Not Mapped"))</f>
        <v>Saddam Hussain</v>
      </c>
      <c r="F442" s="11" t="str">
        <f aca="false" t="array" ref="F442:F442">IF(D442="","",IFERROR(INDEX('CLM &amp; IM Mapping'!$C$2:$C$270,MATCH(TRIM(D442),'CLM &amp; IM Mapping'!$A$2:$A$270,0)),"Not Mapped"))</f>
        <v>Un Mapped</v>
      </c>
      <c r="G442" s="11" t="s">
        <v>34</v>
      </c>
      <c r="H442" s="10" t="n">
        <v>-55247</v>
      </c>
      <c r="I442" s="10" t="n">
        <v>4500</v>
      </c>
      <c r="J442" s="10" t="n">
        <v>1111</v>
      </c>
      <c r="K442" s="10" t="n">
        <v>672</v>
      </c>
      <c r="L442" s="10" t="n">
        <v>1266</v>
      </c>
      <c r="M442" s="10" t="n">
        <v>0</v>
      </c>
      <c r="N442" s="10" t="n">
        <v>0</v>
      </c>
      <c r="O442" s="10" t="n">
        <v>0</v>
      </c>
      <c r="P442" s="10" t="n">
        <v>-47697</v>
      </c>
      <c r="Q442" s="10"/>
      <c r="R442" s="10"/>
      <c r="S442" s="22"/>
      <c r="T442" s="11"/>
      <c r="U442" s="21"/>
      <c r="V442" s="15"/>
      <c r="W442" s="23"/>
      <c r="X442" s="23"/>
      <c r="Y442" s="8"/>
      <c r="Z442" s="8"/>
      <c r="AA442" s="8"/>
      <c r="AB442" s="8"/>
      <c r="AC442" s="8"/>
    </row>
    <row r="443" customFormat="false" ht="15" hidden="false" customHeight="false" outlineLevel="0" collapsed="false">
      <c r="A443" s="9" t="n">
        <v>46304</v>
      </c>
      <c r="B443" s="11" t="s">
        <v>22</v>
      </c>
      <c r="C443" s="11" t="s">
        <v>417</v>
      </c>
      <c r="D443" s="11" t="s">
        <v>344</v>
      </c>
      <c r="E443" s="11" t="str">
        <f aca="false" t="array" ref="E443:E443">IF(D443="","",IFERROR(INDEX('CLM &amp; IM Mapping'!$B$2:$B$270,MATCH(TRIM(D443),'CLM &amp; IM Mapping'!$A$2:$A$270,0)),"Not Mapped"))</f>
        <v>Arun Raj</v>
      </c>
      <c r="F443" s="11" t="str">
        <f aca="false" t="array" ref="F443:F443">IF(D443="","",IFERROR(INDEX('CLM &amp; IM Mapping'!$C$2:$C$270,MATCH(TRIM(D443),'CLM &amp; IM Mapping'!$A$2:$A$270,0)),"Not Mapped"))</f>
        <v>Simon Manoharan</v>
      </c>
      <c r="G443" s="11" t="s">
        <v>34</v>
      </c>
      <c r="H443" s="10" t="n">
        <v>-59570</v>
      </c>
      <c r="I443" s="10" t="n">
        <v>24592</v>
      </c>
      <c r="J443" s="10" t="n">
        <v>0</v>
      </c>
      <c r="K443" s="10" t="n">
        <v>0</v>
      </c>
      <c r="L443" s="10" t="n">
        <v>511</v>
      </c>
      <c r="M443" s="10" t="n">
        <v>0</v>
      </c>
      <c r="N443" s="10" t="n">
        <v>0</v>
      </c>
      <c r="O443" s="10" t="n">
        <v>0</v>
      </c>
      <c r="P443" s="10" t="n">
        <v>-34467</v>
      </c>
      <c r="Q443" s="10"/>
      <c r="R443" s="10"/>
      <c r="S443" s="22"/>
      <c r="T443" s="11"/>
      <c r="U443" s="21"/>
      <c r="V443" s="15"/>
      <c r="W443" s="23"/>
      <c r="X443" s="23"/>
      <c r="Y443" s="8"/>
      <c r="Z443" s="8"/>
      <c r="AA443" s="8"/>
      <c r="AB443" s="8"/>
      <c r="AC443" s="8"/>
    </row>
    <row r="444" customFormat="false" ht="15" hidden="false" customHeight="false" outlineLevel="0" collapsed="false">
      <c r="A444" s="9" t="n">
        <v>46304</v>
      </c>
      <c r="B444" s="11" t="s">
        <v>22</v>
      </c>
      <c r="C444" s="11" t="s">
        <v>23</v>
      </c>
      <c r="D444" s="11" t="s">
        <v>492</v>
      </c>
      <c r="E444" s="11" t="str">
        <f aca="false" t="array" ref="E444:E444">IF(D444="","",IFERROR(INDEX('CLM &amp; IM Mapping'!$B$2:$B$270,MATCH(TRIM(D444),'CLM &amp; IM Mapping'!$A$2:$A$270,0)),"Not Mapped"))</f>
        <v>Balaji G</v>
      </c>
      <c r="F444" s="11" t="str">
        <f aca="false" t="array" ref="F444:F444">IF(D444="","",IFERROR(INDEX('CLM &amp; IM Mapping'!$C$2:$C$270,MATCH(TRIM(D444),'CLM &amp; IM Mapping'!$A$2:$A$270,0)),"Not Mapped"))</f>
        <v>Mohammed Akbar</v>
      </c>
      <c r="G444" s="11" t="s">
        <v>34</v>
      </c>
      <c r="H444" s="10" t="n">
        <v>-13204</v>
      </c>
      <c r="I444" s="10" t="n">
        <v>665</v>
      </c>
      <c r="J444" s="10" t="n">
        <v>0</v>
      </c>
      <c r="K444" s="10" t="n">
        <v>0</v>
      </c>
      <c r="L444" s="10" t="n">
        <v>285</v>
      </c>
      <c r="M444" s="10" t="n">
        <v>0</v>
      </c>
      <c r="N444" s="10" t="n">
        <v>3620</v>
      </c>
      <c r="O444" s="10" t="n">
        <v>0</v>
      </c>
      <c r="P444" s="10" t="n">
        <v>-8633</v>
      </c>
      <c r="Q444" s="10"/>
      <c r="R444" s="10"/>
      <c r="S444" s="22"/>
      <c r="T444" s="11"/>
      <c r="U444" s="21"/>
      <c r="V444" s="15"/>
      <c r="W444" s="23"/>
      <c r="X444" s="23"/>
      <c r="Y444" s="8"/>
      <c r="Z444" s="8"/>
      <c r="AA444" s="8"/>
      <c r="AB444" s="8"/>
      <c r="AC444" s="8"/>
    </row>
    <row r="445" customFormat="false" ht="15" hidden="false" customHeight="false" outlineLevel="0" collapsed="false">
      <c r="A445" s="9" t="n">
        <v>46304</v>
      </c>
      <c r="B445" s="11" t="s">
        <v>22</v>
      </c>
      <c r="C445" s="11" t="s">
        <v>23</v>
      </c>
      <c r="D445" s="11" t="s">
        <v>103</v>
      </c>
      <c r="E445" s="11" t="str">
        <f aca="false" t="array" ref="E445:E445">IF(D445="","",IFERROR(INDEX('CLM &amp; IM Mapping'!$B$2:$B$270,MATCH(TRIM(D445),'CLM &amp; IM Mapping'!$A$2:$A$270,0)),"Not Mapped"))</f>
        <v>Girish N</v>
      </c>
      <c r="F445" s="11" t="str">
        <f aca="false" t="array" ref="F445:F445">IF(D445="","",IFERROR(INDEX('CLM &amp; IM Mapping'!$C$2:$C$270,MATCH(TRIM(D445),'CLM &amp; IM Mapping'!$A$2:$A$270,0)),"Not Mapped"))</f>
        <v>Un Mapped</v>
      </c>
      <c r="G445" s="11" t="s">
        <v>25</v>
      </c>
      <c r="H445" s="10" t="n">
        <v>65996</v>
      </c>
      <c r="I445" s="10" t="n">
        <v>11001</v>
      </c>
      <c r="J445" s="10" t="n">
        <v>0</v>
      </c>
      <c r="K445" s="10" t="n">
        <v>3498</v>
      </c>
      <c r="L445" s="10" t="n">
        <v>283</v>
      </c>
      <c r="M445" s="10" t="n">
        <v>0</v>
      </c>
      <c r="N445" s="10" t="n">
        <v>0</v>
      </c>
      <c r="O445" s="10" t="n">
        <v>0</v>
      </c>
      <c r="P445" s="10" t="n">
        <v>80777</v>
      </c>
      <c r="Q445" s="10"/>
      <c r="R445" s="10"/>
      <c r="S445" s="22"/>
      <c r="T445" s="11"/>
      <c r="U445" s="21"/>
      <c r="V445" s="15"/>
      <c r="W445" s="23"/>
      <c r="X445" s="23"/>
      <c r="Y445" s="8"/>
      <c r="Z445" s="8"/>
      <c r="AA445" s="8"/>
      <c r="AB445" s="8"/>
      <c r="AC445" s="8"/>
    </row>
    <row r="446" customFormat="false" ht="15" hidden="false" customHeight="false" outlineLevel="0" collapsed="false">
      <c r="A446" s="9" t="n">
        <v>46304</v>
      </c>
      <c r="B446" s="11" t="s">
        <v>22</v>
      </c>
      <c r="C446" s="11" t="s">
        <v>23</v>
      </c>
      <c r="D446" s="11" t="s">
        <v>375</v>
      </c>
      <c r="E446" s="11" t="str">
        <f aca="false" t="array" ref="E446:E446">IF(D446="","",IFERROR(INDEX('CLM &amp; IM Mapping'!$B$2:$B$270,MATCH(TRIM(D446),'CLM &amp; IM Mapping'!$A$2:$A$270,0)),"Not Mapped"))</f>
        <v>Saddam Hussain</v>
      </c>
      <c r="F446" s="11" t="str">
        <f aca="false" t="array" ref="F446:F446">IF(D446="","",IFERROR(INDEX('CLM &amp; IM Mapping'!$C$2:$C$270,MATCH(TRIM(D446),'CLM &amp; IM Mapping'!$A$2:$A$270,0)),"Not Mapped"))</f>
        <v>Un Mapped</v>
      </c>
      <c r="G446" s="11" t="s">
        <v>34</v>
      </c>
      <c r="H446" s="10" t="n">
        <v>-5844</v>
      </c>
      <c r="I446" s="10" t="n">
        <v>1343</v>
      </c>
      <c r="J446" s="10" t="n">
        <v>0</v>
      </c>
      <c r="K446" s="10" t="n">
        <v>43</v>
      </c>
      <c r="L446" s="10" t="n">
        <v>1118</v>
      </c>
      <c r="M446" s="10" t="n">
        <v>0</v>
      </c>
      <c r="N446" s="10" t="n">
        <v>1396</v>
      </c>
      <c r="O446" s="10" t="n">
        <v>0</v>
      </c>
      <c r="P446" s="10" t="n">
        <v>-1943</v>
      </c>
      <c r="Q446" s="10"/>
      <c r="R446" s="10"/>
      <c r="S446" s="22"/>
      <c r="T446" s="11"/>
      <c r="U446" s="21"/>
      <c r="V446" s="15"/>
      <c r="W446" s="23"/>
      <c r="X446" s="23"/>
      <c r="Y446" s="8"/>
      <c r="Z446" s="8"/>
      <c r="AA446" s="8"/>
      <c r="AB446" s="8"/>
      <c r="AC446" s="8"/>
    </row>
    <row r="447" customFormat="false" ht="15" hidden="false" customHeight="false" outlineLevel="0" collapsed="false">
      <c r="A447" s="9" t="n">
        <v>46304</v>
      </c>
      <c r="B447" s="11" t="s">
        <v>22</v>
      </c>
      <c r="C447" s="11" t="s">
        <v>23</v>
      </c>
      <c r="D447" s="11" t="s">
        <v>475</v>
      </c>
      <c r="E447" s="11" t="str">
        <f aca="false" t="array" ref="E447:E447">IF(D447="","",IFERROR(INDEX('CLM &amp; IM Mapping'!$B$2:$B$270,MATCH(TRIM(D447),'CLM &amp; IM Mapping'!$A$2:$A$270,0)),"Not Mapped"))</f>
        <v>John Britto</v>
      </c>
      <c r="F447" s="11" t="str">
        <f aca="false" t="array" ref="F447:F447">IF(D447="","",IFERROR(INDEX('CLM &amp; IM Mapping'!$C$2:$C$270,MATCH(TRIM(D447),'CLM &amp; IM Mapping'!$A$2:$A$270,0)),"Not Mapped"))</f>
        <v>Aravind S</v>
      </c>
      <c r="G447" s="11" t="s">
        <v>34</v>
      </c>
      <c r="H447" s="10" t="n">
        <v>-12046</v>
      </c>
      <c r="I447" s="10" t="n">
        <v>2411</v>
      </c>
      <c r="J447" s="10" t="n">
        <v>0</v>
      </c>
      <c r="K447" s="10" t="n">
        <v>0</v>
      </c>
      <c r="L447" s="10" t="n">
        <v>245</v>
      </c>
      <c r="M447" s="10" t="n">
        <v>0</v>
      </c>
      <c r="N447" s="10" t="n">
        <v>0</v>
      </c>
      <c r="O447" s="10" t="n">
        <v>0</v>
      </c>
      <c r="P447" s="10" t="n">
        <v>-9390</v>
      </c>
      <c r="Q447" s="10"/>
      <c r="R447" s="10"/>
      <c r="S447" s="22"/>
      <c r="T447" s="11"/>
      <c r="U447" s="21"/>
      <c r="V447" s="15"/>
      <c r="W447" s="23"/>
      <c r="X447" s="23"/>
      <c r="Y447" s="8"/>
      <c r="Z447" s="8"/>
      <c r="AA447" s="8"/>
      <c r="AB447" s="8"/>
      <c r="AC447" s="8"/>
    </row>
    <row r="448" customFormat="false" ht="15" hidden="false" customHeight="false" outlineLevel="0" collapsed="false">
      <c r="A448" s="9" t="n">
        <v>46304</v>
      </c>
      <c r="B448" s="11" t="s">
        <v>22</v>
      </c>
      <c r="C448" s="11" t="s">
        <v>23</v>
      </c>
      <c r="D448" s="11" t="s">
        <v>144</v>
      </c>
      <c r="E448" s="11" t="str">
        <f aca="false" t="array" ref="E448:E448">IF(D448="","",IFERROR(INDEX('CLM &amp; IM Mapping'!$B$2:$B$270,MATCH(TRIM(D448),'CLM &amp; IM Mapping'!$A$2:$A$270,0)),"Not Mapped"))</f>
        <v>Mohaideen DH</v>
      </c>
      <c r="F448" s="11" t="str">
        <f aca="false" t="array" ref="F448:F448">IF(D448="","",IFERROR(INDEX('CLM &amp; IM Mapping'!$C$2:$C$270,MATCH(TRIM(D448),'CLM &amp; IM Mapping'!$A$2:$A$270,0)),"Not Mapped"))</f>
        <v>Mohammed Akbar</v>
      </c>
      <c r="G448" s="11" t="s">
        <v>34</v>
      </c>
      <c r="H448" s="10" t="n">
        <v>-46062</v>
      </c>
      <c r="I448" s="10" t="n">
        <v>38309</v>
      </c>
      <c r="J448" s="10" t="n">
        <v>0</v>
      </c>
      <c r="K448" s="10" t="n">
        <v>5222</v>
      </c>
      <c r="L448" s="10" t="n">
        <v>12183</v>
      </c>
      <c r="M448" s="10" t="n">
        <v>0</v>
      </c>
      <c r="N448" s="10" t="n">
        <v>4979</v>
      </c>
      <c r="O448" s="10" t="n">
        <v>0</v>
      </c>
      <c r="P448" s="10" t="n">
        <v>14631</v>
      </c>
      <c r="Q448" s="10"/>
      <c r="R448" s="10"/>
      <c r="S448" s="22"/>
      <c r="T448" s="11"/>
      <c r="U448" s="21"/>
      <c r="V448" s="15"/>
      <c r="W448" s="23"/>
      <c r="X448" s="23"/>
      <c r="Y448" s="8"/>
      <c r="Z448" s="8"/>
      <c r="AA448" s="8"/>
      <c r="AB448" s="8"/>
      <c r="AC448" s="8"/>
    </row>
    <row r="449" customFormat="false" ht="15" hidden="false" customHeight="false" outlineLevel="0" collapsed="false">
      <c r="A449" s="9" t="n">
        <v>46304</v>
      </c>
      <c r="B449" s="11" t="s">
        <v>22</v>
      </c>
      <c r="C449" s="11" t="s">
        <v>303</v>
      </c>
      <c r="D449" s="11" t="s">
        <v>451</v>
      </c>
      <c r="E449" s="11" t="str">
        <f aca="false" t="array" ref="E449:E449">IF(D449="","",IFERROR(INDEX('CLM &amp; IM Mapping'!$B$2:$B$270,MATCH(TRIM(D449),'CLM &amp; IM Mapping'!$A$2:$A$270,0)),"Not Mapped"))</f>
        <v>Ashwath S</v>
      </c>
      <c r="F449" s="11" t="str">
        <f aca="false" t="array" ref="F449:F449">IF(D449="","",IFERROR(INDEX('CLM &amp; IM Mapping'!$C$2:$C$270,MATCH(TRIM(D449),'CLM &amp; IM Mapping'!$A$2:$A$270,0)),"Not Mapped"))</f>
        <v>Kantha Kumar</v>
      </c>
      <c r="G449" s="11" t="s">
        <v>34</v>
      </c>
      <c r="H449" s="10" t="n">
        <v>-10358</v>
      </c>
      <c r="I449" s="10" t="n">
        <v>815</v>
      </c>
      <c r="J449" s="10" t="n">
        <v>1168</v>
      </c>
      <c r="K449" s="10" t="n">
        <v>635</v>
      </c>
      <c r="L449" s="10" t="n">
        <v>492</v>
      </c>
      <c r="M449" s="10" t="n">
        <v>0</v>
      </c>
      <c r="N449" s="10" t="n">
        <v>586</v>
      </c>
      <c r="O449" s="10" t="n">
        <v>0</v>
      </c>
      <c r="P449" s="10" t="n">
        <v>-6661</v>
      </c>
      <c r="Q449" s="10"/>
      <c r="R449" s="10"/>
      <c r="S449" s="22"/>
      <c r="T449" s="11"/>
      <c r="U449" s="21"/>
      <c r="V449" s="15"/>
      <c r="W449" s="23"/>
      <c r="X449" s="23"/>
      <c r="Y449" s="8"/>
      <c r="Z449" s="8"/>
      <c r="AA449" s="8"/>
      <c r="AB449" s="8"/>
      <c r="AC449" s="8"/>
    </row>
    <row r="450" customFormat="false" ht="15" hidden="false" customHeight="false" outlineLevel="0" collapsed="false">
      <c r="A450" s="9" t="n">
        <v>46304</v>
      </c>
      <c r="B450" s="11" t="s">
        <v>22</v>
      </c>
      <c r="C450" s="11" t="s">
        <v>23</v>
      </c>
      <c r="D450" s="11" t="s">
        <v>306</v>
      </c>
      <c r="E450" s="11" t="str">
        <f aca="false" t="array" ref="E450:E450">IF(D450="","",IFERROR(INDEX('CLM &amp; IM Mapping'!$B$2:$B$270,MATCH(TRIM(D450),'CLM &amp; IM Mapping'!$A$2:$A$270,0)),"Not Mapped"))</f>
        <v>Narasimhamurthy R</v>
      </c>
      <c r="F450" s="11" t="str">
        <f aca="false" t="array" ref="F450:F450">IF(D450="","",IFERROR(INDEX('CLM &amp; IM Mapping'!$C$2:$C$270,MATCH(TRIM(D450),'CLM &amp; IM Mapping'!$A$2:$A$270,0)),"Not Mapped"))</f>
        <v>Kishor K</v>
      </c>
      <c r="G450" s="11" t="s">
        <v>34</v>
      </c>
      <c r="H450" s="10" t="n">
        <v>-2745</v>
      </c>
      <c r="I450" s="10" t="n">
        <v>5389</v>
      </c>
      <c r="J450" s="10" t="n">
        <v>0</v>
      </c>
      <c r="K450" s="10" t="n">
        <v>0</v>
      </c>
      <c r="L450" s="10" t="n">
        <v>483</v>
      </c>
      <c r="M450" s="10" t="n">
        <v>0</v>
      </c>
      <c r="N450" s="10" t="n">
        <v>0</v>
      </c>
      <c r="O450" s="10" t="n">
        <v>0</v>
      </c>
      <c r="P450" s="10" t="n">
        <v>3127</v>
      </c>
      <c r="Q450" s="10"/>
      <c r="R450" s="10"/>
      <c r="S450" s="22" t="s">
        <v>533</v>
      </c>
      <c r="T450" s="11" t="n">
        <v>4000</v>
      </c>
      <c r="U450" s="21"/>
      <c r="V450" s="15"/>
      <c r="W450" s="23"/>
      <c r="X450" s="23"/>
      <c r="Y450" s="8"/>
      <c r="Z450" s="8"/>
      <c r="AA450" s="8"/>
      <c r="AB450" s="8"/>
      <c r="AC450" s="8"/>
    </row>
    <row r="451" customFormat="false" ht="15" hidden="false" customHeight="false" outlineLevel="0" collapsed="false">
      <c r="A451" s="9" t="n">
        <v>46304</v>
      </c>
      <c r="B451" s="11" t="s">
        <v>22</v>
      </c>
      <c r="C451" s="11" t="s">
        <v>23</v>
      </c>
      <c r="D451" s="11" t="s">
        <v>371</v>
      </c>
      <c r="E451" s="11" t="str">
        <f aca="false" t="array" ref="E451:E451">IF(D451="","",IFERROR(INDEX('CLM &amp; IM Mapping'!$B$2:$B$270,MATCH(TRIM(D451),'CLM &amp; IM Mapping'!$A$2:$A$270,0)),"Not Mapped"))</f>
        <v>Akshay P</v>
      </c>
      <c r="F451" s="11" t="str">
        <f aca="false" t="array" ref="F451:F451">IF(D451="","",IFERROR(INDEX('CLM &amp; IM Mapping'!$C$2:$C$270,MATCH(TRIM(D451),'CLM &amp; IM Mapping'!$A$2:$A$270,0)),"Not Mapped"))</f>
        <v>Srittam Dhal</v>
      </c>
      <c r="G451" s="11" t="s">
        <v>34</v>
      </c>
      <c r="H451" s="10" t="n">
        <v>385</v>
      </c>
      <c r="I451" s="10" t="n">
        <v>5033</v>
      </c>
      <c r="J451" s="10" t="n">
        <v>0</v>
      </c>
      <c r="K451" s="10" t="n">
        <v>0</v>
      </c>
      <c r="L451" s="10" t="n">
        <v>42</v>
      </c>
      <c r="M451" s="10" t="n">
        <v>0</v>
      </c>
      <c r="N451" s="10" t="n">
        <v>0</v>
      </c>
      <c r="O451" s="10" t="n">
        <v>0</v>
      </c>
      <c r="P451" s="10" t="n">
        <v>5459</v>
      </c>
      <c r="Q451" s="10"/>
      <c r="R451" s="10"/>
      <c r="S451" s="25" t="s">
        <v>543</v>
      </c>
      <c r="T451" s="11" t="n">
        <v>6000</v>
      </c>
      <c r="U451" s="21"/>
      <c r="V451" s="15"/>
      <c r="W451" s="23"/>
      <c r="X451" s="23"/>
      <c r="Y451" s="8"/>
      <c r="Z451" s="8"/>
      <c r="AA451" s="8"/>
      <c r="AB451" s="8"/>
      <c r="AC451" s="8"/>
    </row>
    <row r="452" customFormat="false" ht="15" hidden="false" customHeight="false" outlineLevel="0" collapsed="false">
      <c r="A452" s="9" t="n">
        <v>46304</v>
      </c>
      <c r="B452" s="11" t="s">
        <v>22</v>
      </c>
      <c r="C452" s="11" t="s">
        <v>23</v>
      </c>
      <c r="D452" s="11" t="s">
        <v>520</v>
      </c>
      <c r="E452" s="11" t="str">
        <f aca="false" t="array" ref="E452:E452">IF(D452="","",IFERROR(INDEX('CLM &amp; IM Mapping'!$B$2:$B$270,MATCH(TRIM(D452),'CLM &amp; IM Mapping'!$A$2:$A$270,0)),"Not Mapped"))</f>
        <v>John Britto</v>
      </c>
      <c r="F452" s="11" t="str">
        <f aca="false" t="array" ref="F452:F452">IF(D452="","",IFERROR(INDEX('CLM &amp; IM Mapping'!$C$2:$C$270,MATCH(TRIM(D452),'CLM &amp; IM Mapping'!$A$2:$A$270,0)),"Not Mapped"))</f>
        <v>Aravind S</v>
      </c>
      <c r="G452" s="11" t="s">
        <v>34</v>
      </c>
      <c r="H452" s="10" t="n">
        <v>-29811</v>
      </c>
      <c r="I452" s="10" t="n">
        <v>468</v>
      </c>
      <c r="J452" s="10" t="n">
        <v>0</v>
      </c>
      <c r="K452" s="10" t="n">
        <v>0</v>
      </c>
      <c r="L452" s="10" t="n">
        <v>0</v>
      </c>
      <c r="M452" s="10" t="n">
        <v>0</v>
      </c>
      <c r="N452" s="10" t="n">
        <v>0</v>
      </c>
      <c r="O452" s="10" t="n">
        <v>0</v>
      </c>
      <c r="P452" s="10" t="n">
        <v>-29343</v>
      </c>
      <c r="Q452" s="10"/>
      <c r="R452" s="10"/>
      <c r="S452" s="22"/>
      <c r="T452" s="11"/>
      <c r="U452" s="21"/>
      <c r="V452" s="15"/>
      <c r="W452" s="23"/>
      <c r="X452" s="23"/>
      <c r="Y452" s="8"/>
      <c r="Z452" s="8"/>
      <c r="AA452" s="8"/>
      <c r="AB452" s="8"/>
      <c r="AC452" s="8"/>
    </row>
    <row r="453" customFormat="false" ht="15" hidden="false" customHeight="false" outlineLevel="0" collapsed="false">
      <c r="A453" s="9" t="n">
        <v>46304</v>
      </c>
      <c r="B453" s="11" t="s">
        <v>22</v>
      </c>
      <c r="C453" s="11" t="s">
        <v>23</v>
      </c>
      <c r="D453" s="11" t="s">
        <v>454</v>
      </c>
      <c r="E453" s="11" t="str">
        <f aca="false" t="array" ref="E453:E453">IF(D453="","",IFERROR(INDEX('CLM &amp; IM Mapping'!$B$2:$B$270,MATCH(TRIM(D453),'CLM &amp; IM Mapping'!$A$2:$A$270,0)),"Not Mapped"))</f>
        <v>Balaji G</v>
      </c>
      <c r="F453" s="11" t="str">
        <f aca="false" t="array" ref="F453:F453">IF(D453="","",IFERROR(INDEX('CLM &amp; IM Mapping'!$C$2:$C$270,MATCH(TRIM(D453),'CLM &amp; IM Mapping'!$A$2:$A$270,0)),"Not Mapped"))</f>
        <v>Mohammed Akbar</v>
      </c>
      <c r="G453" s="11" t="s">
        <v>34</v>
      </c>
      <c r="H453" s="10" t="n">
        <v>-11476</v>
      </c>
      <c r="I453" s="10" t="n">
        <v>5763</v>
      </c>
      <c r="J453" s="10" t="n">
        <v>0</v>
      </c>
      <c r="K453" s="10" t="n">
        <v>30</v>
      </c>
      <c r="L453" s="10" t="n">
        <v>0</v>
      </c>
      <c r="M453" s="10" t="n">
        <v>0</v>
      </c>
      <c r="N453" s="10" t="n">
        <v>0</v>
      </c>
      <c r="O453" s="10" t="n">
        <v>0</v>
      </c>
      <c r="P453" s="10" t="n">
        <v>-5684</v>
      </c>
      <c r="Q453" s="10"/>
      <c r="R453" s="10"/>
      <c r="S453" s="22"/>
      <c r="T453" s="11"/>
      <c r="U453" s="21"/>
      <c r="V453" s="15"/>
      <c r="W453" s="23"/>
      <c r="X453" s="23"/>
      <c r="Y453" s="8"/>
      <c r="Z453" s="8"/>
      <c r="AA453" s="8"/>
      <c r="AB453" s="8"/>
      <c r="AC453" s="8"/>
    </row>
    <row r="454" customFormat="false" ht="15" hidden="false" customHeight="false" outlineLevel="0" collapsed="false">
      <c r="A454" s="9" t="n">
        <v>46304</v>
      </c>
      <c r="B454" s="11" t="s">
        <v>22</v>
      </c>
      <c r="C454" s="11" t="s">
        <v>303</v>
      </c>
      <c r="D454" s="11" t="s">
        <v>287</v>
      </c>
      <c r="E454" s="11" t="str">
        <f aca="false" t="array" ref="E454:E454">IF(D454="","",IFERROR(INDEX('CLM &amp; IM Mapping'!$B$2:$B$270,MATCH(TRIM(D454),'CLM &amp; IM Mapping'!$A$2:$A$270,0)),"Not Mapped"))</f>
        <v>Sundaresh S</v>
      </c>
      <c r="F454" s="11" t="str">
        <f aca="false" t="array" ref="F454:F454">IF(D454="","",IFERROR(INDEX('CLM &amp; IM Mapping'!$C$2:$C$270,MATCH(TRIM(D454),'CLM &amp; IM Mapping'!$A$2:$A$270,0)),"Not Mapped"))</f>
        <v>Un Mapped</v>
      </c>
      <c r="G454" s="11" t="s">
        <v>34</v>
      </c>
      <c r="H454" s="10" t="n">
        <v>1378</v>
      </c>
      <c r="I454" s="10" t="n">
        <v>8855</v>
      </c>
      <c r="J454" s="10" t="n">
        <v>0</v>
      </c>
      <c r="K454" s="10" t="n">
        <v>916</v>
      </c>
      <c r="L454" s="10" t="n">
        <v>123</v>
      </c>
      <c r="M454" s="10" t="n">
        <v>0</v>
      </c>
      <c r="N454" s="10" t="n">
        <v>0</v>
      </c>
      <c r="O454" s="10" t="n">
        <v>0</v>
      </c>
      <c r="P454" s="10" t="n">
        <v>11271</v>
      </c>
      <c r="Q454" s="10"/>
      <c r="R454" s="10"/>
      <c r="S454" s="22"/>
      <c r="T454" s="11"/>
      <c r="U454" s="21"/>
      <c r="V454" s="15"/>
      <c r="W454" s="23"/>
      <c r="X454" s="23"/>
      <c r="Y454" s="8"/>
      <c r="Z454" s="8"/>
      <c r="AA454" s="8"/>
      <c r="AB454" s="8"/>
      <c r="AC454" s="8"/>
    </row>
    <row r="455" customFormat="false" ht="15" hidden="false" customHeight="false" outlineLevel="0" collapsed="false">
      <c r="A455" s="9" t="n">
        <v>46304</v>
      </c>
      <c r="B455" s="11" t="s">
        <v>22</v>
      </c>
      <c r="C455" s="11" t="s">
        <v>23</v>
      </c>
      <c r="D455" s="11" t="s">
        <v>376</v>
      </c>
      <c r="E455" s="11" t="str">
        <f aca="false" t="array" ref="E455:E455">IF(D455="","",IFERROR(INDEX('CLM &amp; IM Mapping'!$B$2:$B$270,MATCH(TRIM(D455),'CLM &amp; IM Mapping'!$A$2:$A$270,0)),"Not Mapped"))</f>
        <v>Sundaresh S</v>
      </c>
      <c r="F455" s="11" t="str">
        <f aca="false" t="array" ref="F455:F455">IF(D455="","",IFERROR(INDEX('CLM &amp; IM Mapping'!$C$2:$C$270,MATCH(TRIM(D455),'CLM &amp; IM Mapping'!$A$2:$A$270,0)),"Not Mapped"))</f>
        <v>Un Mapped</v>
      </c>
      <c r="G455" s="11" t="s">
        <v>34</v>
      </c>
      <c r="H455" s="10" t="n">
        <v>-13870</v>
      </c>
      <c r="I455" s="10" t="n">
        <v>4814</v>
      </c>
      <c r="J455" s="10" t="n">
        <v>1651</v>
      </c>
      <c r="K455" s="10" t="n">
        <v>5978</v>
      </c>
      <c r="L455" s="10" t="n">
        <v>736</v>
      </c>
      <c r="M455" s="10" t="n">
        <v>0</v>
      </c>
      <c r="N455" s="10" t="n">
        <v>0</v>
      </c>
      <c r="O455" s="10" t="n">
        <v>4772</v>
      </c>
      <c r="P455" s="10" t="n">
        <v>4081</v>
      </c>
      <c r="Q455" s="10"/>
      <c r="R455" s="10"/>
      <c r="S455" s="22"/>
      <c r="T455" s="11"/>
      <c r="U455" s="21"/>
      <c r="V455" s="15"/>
      <c r="W455" s="23"/>
      <c r="X455" s="23"/>
      <c r="Y455" s="8"/>
      <c r="Z455" s="8"/>
      <c r="AA455" s="8"/>
      <c r="AB455" s="8"/>
      <c r="AC455" s="8"/>
    </row>
    <row r="456" customFormat="false" ht="29.85" hidden="false" customHeight="false" outlineLevel="0" collapsed="false">
      <c r="A456" s="9" t="n">
        <v>46304</v>
      </c>
      <c r="B456" s="11" t="s">
        <v>22</v>
      </c>
      <c r="C456" s="11" t="s">
        <v>23</v>
      </c>
      <c r="D456" s="11" t="s">
        <v>134</v>
      </c>
      <c r="E456" s="11" t="str">
        <f aca="false" t="array" ref="E456:E456">IF(D456="","",IFERROR(INDEX('CLM &amp; IM Mapping'!$B$2:$B$270,MATCH(TRIM(D456),'CLM &amp; IM Mapping'!$A$2:$A$270,0)),"Not Mapped"))</f>
        <v>Raghavendra Vernekar</v>
      </c>
      <c r="F456" s="11" t="str">
        <f aca="false" t="array" ref="F456:F456">IF(D456="","",IFERROR(INDEX('CLM &amp; IM Mapping'!$C$2:$C$270,MATCH(TRIM(D456),'CLM &amp; IM Mapping'!$A$2:$A$270,0)),"Not Mapped"))</f>
        <v>Prakash BS</v>
      </c>
      <c r="G456" s="11" t="s">
        <v>34</v>
      </c>
      <c r="H456" s="10" t="n">
        <v>7534</v>
      </c>
      <c r="I456" s="10" t="n">
        <v>19665</v>
      </c>
      <c r="J456" s="10" t="n">
        <v>227</v>
      </c>
      <c r="K456" s="10" t="n">
        <v>3321</v>
      </c>
      <c r="L456" s="10" t="n">
        <v>634</v>
      </c>
      <c r="M456" s="10" t="n">
        <v>0</v>
      </c>
      <c r="N456" s="10" t="n">
        <v>756</v>
      </c>
      <c r="O456" s="10" t="n">
        <v>0</v>
      </c>
      <c r="P456" s="10" t="n">
        <v>32137</v>
      </c>
      <c r="Q456" s="10"/>
      <c r="R456" s="10"/>
      <c r="S456" s="12" t="s">
        <v>135</v>
      </c>
      <c r="T456" s="15" t="n">
        <v>30000</v>
      </c>
      <c r="U456" s="21"/>
      <c r="V456" s="15"/>
      <c r="W456" s="23"/>
      <c r="X456" s="23"/>
      <c r="Y456" s="8"/>
      <c r="Z456" s="8"/>
      <c r="AA456" s="8"/>
      <c r="AB456" s="8"/>
      <c r="AC456" s="8"/>
    </row>
    <row r="457" customFormat="false" ht="15" hidden="false" customHeight="false" outlineLevel="0" collapsed="false">
      <c r="A457" s="9" t="n">
        <v>46304</v>
      </c>
      <c r="B457" s="11" t="s">
        <v>22</v>
      </c>
      <c r="C457" s="11" t="s">
        <v>23</v>
      </c>
      <c r="D457" s="11" t="s">
        <v>327</v>
      </c>
      <c r="E457" s="11" t="str">
        <f aca="false" t="array" ref="E457:E457">IF(D457="","",IFERROR(INDEX('CLM &amp; IM Mapping'!$B$2:$B$270,MATCH(TRIM(D457),'CLM &amp; IM Mapping'!$A$2:$A$270,0)),"Not Mapped"))</f>
        <v>Suhas N</v>
      </c>
      <c r="F457" s="11" t="str">
        <f aca="false" t="array" ref="F457:F457">IF(D457="","",IFERROR(INDEX('CLM &amp; IM Mapping'!$C$2:$C$270,MATCH(TRIM(D457),'CLM &amp; IM Mapping'!$A$2:$A$270,0)),"Not Mapped"))</f>
        <v>Aravind S</v>
      </c>
      <c r="G457" s="11" t="s">
        <v>34</v>
      </c>
      <c r="H457" s="10" t="n">
        <v>3029</v>
      </c>
      <c r="I457" s="10" t="n">
        <v>0</v>
      </c>
      <c r="J457" s="10" t="n">
        <v>0</v>
      </c>
      <c r="K457" s="10" t="n">
        <v>0</v>
      </c>
      <c r="L457" s="10" t="n">
        <v>144</v>
      </c>
      <c r="M457" s="10" t="n">
        <v>0</v>
      </c>
      <c r="N457" s="10" t="n">
        <v>0</v>
      </c>
      <c r="O457" s="10" t="n">
        <v>0</v>
      </c>
      <c r="P457" s="10" t="n">
        <v>3173</v>
      </c>
      <c r="Q457" s="10"/>
      <c r="R457" s="10"/>
      <c r="S457" s="22"/>
      <c r="T457" s="11"/>
      <c r="U457" s="21"/>
      <c r="V457" s="15"/>
      <c r="W457" s="23"/>
      <c r="X457" s="23"/>
      <c r="Y457" s="8"/>
      <c r="Z457" s="8"/>
      <c r="AA457" s="8"/>
      <c r="AB457" s="8"/>
      <c r="AC457" s="8"/>
    </row>
    <row r="458" customFormat="false" ht="15" hidden="false" customHeight="false" outlineLevel="0" collapsed="false">
      <c r="A458" s="9" t="n">
        <v>46304</v>
      </c>
      <c r="B458" s="11" t="s">
        <v>22</v>
      </c>
      <c r="C458" s="11" t="s">
        <v>23</v>
      </c>
      <c r="D458" s="11" t="s">
        <v>437</v>
      </c>
      <c r="E458" s="11" t="str">
        <f aca="false" t="array" ref="E458:E458">IF(D458="","",IFERROR(INDEX('CLM &amp; IM Mapping'!$B$2:$B$270,MATCH(TRIM(D458),'CLM &amp; IM Mapping'!$A$2:$A$270,0)),"Not Mapped"))</f>
        <v>Balaji G</v>
      </c>
      <c r="F458" s="11" t="str">
        <f aca="false" t="array" ref="F458:F458">IF(D458="","",IFERROR(INDEX('CLM &amp; IM Mapping'!$C$2:$C$270,MATCH(TRIM(D458),'CLM &amp; IM Mapping'!$A$2:$A$270,0)),"Not Mapped"))</f>
        <v>Mohammed Akbar</v>
      </c>
      <c r="G458" s="11" t="s">
        <v>34</v>
      </c>
      <c r="H458" s="10" t="n">
        <v>-23794</v>
      </c>
      <c r="I458" s="10" t="n">
        <v>11408</v>
      </c>
      <c r="J458" s="10" t="n">
        <v>0</v>
      </c>
      <c r="K458" s="10" t="n">
        <v>8504</v>
      </c>
      <c r="L458" s="10" t="n">
        <v>2834</v>
      </c>
      <c r="M458" s="10" t="n">
        <v>0</v>
      </c>
      <c r="N458" s="10" t="n">
        <v>0</v>
      </c>
      <c r="O458" s="10" t="n">
        <v>0</v>
      </c>
      <c r="P458" s="10" t="n">
        <v>-1047</v>
      </c>
      <c r="Q458" s="10"/>
      <c r="R458" s="10"/>
      <c r="S458" s="22"/>
      <c r="T458" s="11"/>
      <c r="U458" s="21"/>
      <c r="V458" s="15"/>
      <c r="W458" s="23"/>
      <c r="X458" s="23"/>
      <c r="Y458" s="8"/>
      <c r="Z458" s="8"/>
      <c r="AA458" s="8"/>
      <c r="AB458" s="8"/>
      <c r="AC458" s="8"/>
    </row>
    <row r="459" customFormat="false" ht="15" hidden="false" customHeight="false" outlineLevel="0" collapsed="false">
      <c r="A459" s="9" t="n">
        <v>46304</v>
      </c>
      <c r="B459" s="11" t="s">
        <v>22</v>
      </c>
      <c r="C459" s="11" t="s">
        <v>23</v>
      </c>
      <c r="D459" s="11" t="s">
        <v>292</v>
      </c>
      <c r="E459" s="11" t="str">
        <f aca="false" t="array" ref="E459:E459">IF(D459="","",IFERROR(INDEX('CLM &amp; IM Mapping'!$B$2:$B$270,MATCH(TRIM(D459),'CLM &amp; IM Mapping'!$A$2:$A$270,0)),"Not Mapped"))</f>
        <v>Mohaideen DH</v>
      </c>
      <c r="F459" s="11" t="str">
        <f aca="false" t="array" ref="F459:F459">IF(D459="","",IFERROR(INDEX('CLM &amp; IM Mapping'!$C$2:$C$270,MATCH(TRIM(D459),'CLM &amp; IM Mapping'!$A$2:$A$270,0)),"Not Mapped"))</f>
        <v>Mohammed Akbar</v>
      </c>
      <c r="G459" s="11" t="s">
        <v>34</v>
      </c>
      <c r="H459" s="10" t="n">
        <v>3602</v>
      </c>
      <c r="I459" s="10" t="n">
        <v>3570</v>
      </c>
      <c r="J459" s="10" t="n">
        <v>0</v>
      </c>
      <c r="K459" s="10" t="n">
        <v>180</v>
      </c>
      <c r="L459" s="10" t="n">
        <v>16</v>
      </c>
      <c r="M459" s="10" t="n">
        <v>0</v>
      </c>
      <c r="N459" s="10" t="n">
        <v>2919</v>
      </c>
      <c r="O459" s="10" t="n">
        <v>0</v>
      </c>
      <c r="P459" s="10" t="n">
        <v>10287</v>
      </c>
      <c r="Q459" s="10"/>
      <c r="R459" s="10"/>
      <c r="S459" s="22"/>
      <c r="T459" s="11"/>
      <c r="U459" s="21"/>
      <c r="V459" s="15"/>
      <c r="W459" s="23"/>
      <c r="X459" s="23"/>
      <c r="Y459" s="8"/>
      <c r="Z459" s="8"/>
      <c r="AA459" s="8"/>
      <c r="AB459" s="8"/>
      <c r="AC459" s="8"/>
    </row>
    <row r="460" customFormat="false" ht="15" hidden="false" customHeight="false" outlineLevel="0" collapsed="false">
      <c r="A460" s="9" t="n">
        <v>46304</v>
      </c>
      <c r="B460" s="11" t="s">
        <v>22</v>
      </c>
      <c r="C460" s="11" t="s">
        <v>23</v>
      </c>
      <c r="D460" s="11" t="s">
        <v>395</v>
      </c>
      <c r="E460" s="11" t="str">
        <f aca="false" t="array" ref="E460:E460">IF(D460="","",IFERROR(INDEX('CLM &amp; IM Mapping'!$B$2:$B$270,MATCH(TRIM(D460),'CLM &amp; IM Mapping'!$A$2:$A$270,0)),"Not Mapped"))</f>
        <v>Bangareppa CS</v>
      </c>
      <c r="F460" s="11" t="str">
        <f aca="false" t="array" ref="F460:F460">IF(D460="","",IFERROR(INDEX('CLM &amp; IM Mapping'!$C$2:$C$270,MATCH(TRIM(D460),'CLM &amp; IM Mapping'!$A$2:$A$270,0)),"Not Mapped"))</f>
        <v>Kishor K</v>
      </c>
      <c r="G460" s="11" t="s">
        <v>34</v>
      </c>
      <c r="H460" s="10" t="n">
        <v>-19986</v>
      </c>
      <c r="I460" s="10" t="n">
        <v>9597</v>
      </c>
      <c r="J460" s="10" t="n">
        <v>0</v>
      </c>
      <c r="K460" s="10" t="n">
        <v>0</v>
      </c>
      <c r="L460" s="10" t="n">
        <v>611</v>
      </c>
      <c r="M460" s="10" t="n">
        <v>0</v>
      </c>
      <c r="N460" s="10" t="n">
        <v>7157</v>
      </c>
      <c r="O460" s="10" t="n">
        <v>0</v>
      </c>
      <c r="P460" s="10" t="n">
        <v>-2621</v>
      </c>
      <c r="Q460" s="10"/>
      <c r="R460" s="10"/>
      <c r="S460" s="22"/>
      <c r="T460" s="11"/>
      <c r="U460" s="21"/>
      <c r="V460" s="15"/>
      <c r="W460" s="23"/>
      <c r="X460" s="23"/>
      <c r="Y460" s="8"/>
      <c r="Z460" s="8"/>
      <c r="AA460" s="8"/>
      <c r="AB460" s="8"/>
      <c r="AC460" s="8"/>
    </row>
    <row r="461" customFormat="false" ht="15" hidden="false" customHeight="false" outlineLevel="0" collapsed="false">
      <c r="A461" s="9" t="n">
        <v>46304</v>
      </c>
      <c r="B461" s="11" t="s">
        <v>22</v>
      </c>
      <c r="C461" s="11" t="s">
        <v>23</v>
      </c>
      <c r="D461" s="11" t="s">
        <v>415</v>
      </c>
      <c r="E461" s="11" t="str">
        <f aca="false" t="array" ref="E461:E461">IF(D461="","",IFERROR(INDEX('CLM &amp; IM Mapping'!$B$2:$B$270,MATCH(TRIM(D461),'CLM &amp; IM Mapping'!$A$2:$A$270,0)),"Not Mapped"))</f>
        <v>Vishnu V</v>
      </c>
      <c r="F461" s="11" t="str">
        <f aca="false" t="array" ref="F461:F461">IF(D461="","",IFERROR(INDEX('CLM &amp; IM Mapping'!$C$2:$C$270,MATCH(TRIM(D461),'CLM &amp; IM Mapping'!$A$2:$A$270,0)),"Not Mapped"))</f>
        <v>Arivind S</v>
      </c>
      <c r="G461" s="11" t="s">
        <v>34</v>
      </c>
      <c r="H461" s="10" t="n">
        <v>-12855</v>
      </c>
      <c r="I461" s="10" t="n">
        <v>4424</v>
      </c>
      <c r="J461" s="10" t="n">
        <v>1571</v>
      </c>
      <c r="K461" s="10" t="n">
        <v>258</v>
      </c>
      <c r="L461" s="10" t="n">
        <v>1305</v>
      </c>
      <c r="M461" s="10" t="n">
        <v>0</v>
      </c>
      <c r="N461" s="10" t="n">
        <v>0</v>
      </c>
      <c r="O461" s="10" t="n">
        <v>0</v>
      </c>
      <c r="P461" s="10" t="n">
        <v>-5298</v>
      </c>
      <c r="Q461" s="10"/>
      <c r="R461" s="10"/>
      <c r="S461" s="22"/>
      <c r="T461" s="11"/>
      <c r="U461" s="21"/>
      <c r="V461" s="15"/>
      <c r="W461" s="23"/>
      <c r="X461" s="23"/>
      <c r="Y461" s="8"/>
      <c r="Z461" s="8"/>
      <c r="AA461" s="8"/>
      <c r="AB461" s="8"/>
      <c r="AC461" s="8"/>
    </row>
    <row r="462" customFormat="false" ht="15" hidden="false" customHeight="false" outlineLevel="0" collapsed="false">
      <c r="A462" s="9" t="n">
        <v>46304</v>
      </c>
      <c r="B462" s="11" t="s">
        <v>22</v>
      </c>
      <c r="C462" s="11" t="s">
        <v>394</v>
      </c>
      <c r="D462" s="11" t="s">
        <v>404</v>
      </c>
      <c r="E462" s="11" t="str">
        <f aca="false" t="array" ref="E462:E462">IF(D462="","",IFERROR(INDEX('CLM &amp; IM Mapping'!$B$2:$B$270,MATCH(TRIM(D462),'CLM &amp; IM Mapping'!$A$2:$A$270,0)),"Not Mapped"))</f>
        <v>Arun Raj</v>
      </c>
      <c r="F462" s="11" t="str">
        <f aca="false" t="array" ref="F462:F462">IF(D462="","",IFERROR(INDEX('CLM &amp; IM Mapping'!$C$2:$C$270,MATCH(TRIM(D462),'CLM &amp; IM Mapping'!$A$2:$A$270,0)),"Not Mapped"))</f>
        <v>Simon Manoharan</v>
      </c>
      <c r="G462" s="11" t="s">
        <v>34</v>
      </c>
      <c r="H462" s="10" t="n">
        <v>-19519</v>
      </c>
      <c r="I462" s="10" t="n">
        <v>16856</v>
      </c>
      <c r="J462" s="10" t="n">
        <v>0</v>
      </c>
      <c r="K462" s="10" t="n">
        <v>2499</v>
      </c>
      <c r="L462" s="10" t="n">
        <v>1353</v>
      </c>
      <c r="M462" s="10" t="n">
        <v>0</v>
      </c>
      <c r="N462" s="10" t="n">
        <v>0</v>
      </c>
      <c r="O462" s="10" t="n">
        <v>0</v>
      </c>
      <c r="P462" s="10" t="n">
        <v>1189</v>
      </c>
      <c r="Q462" s="10"/>
      <c r="R462" s="10"/>
      <c r="S462" s="22"/>
      <c r="T462" s="11"/>
      <c r="U462" s="21"/>
      <c r="V462" s="15"/>
      <c r="W462" s="23"/>
      <c r="X462" s="23"/>
      <c r="Y462" s="8"/>
      <c r="Z462" s="8"/>
      <c r="AA462" s="8"/>
      <c r="AB462" s="8"/>
      <c r="AC462" s="8"/>
    </row>
    <row r="463" customFormat="false" ht="15" hidden="false" customHeight="false" outlineLevel="0" collapsed="false">
      <c r="A463" s="9" t="n">
        <v>46304</v>
      </c>
      <c r="B463" s="11" t="s">
        <v>22</v>
      </c>
      <c r="C463" s="11" t="s">
        <v>221</v>
      </c>
      <c r="D463" s="11" t="s">
        <v>420</v>
      </c>
      <c r="E463" s="11" t="str">
        <f aca="false" t="array" ref="E463:E463">IF(D463="","",IFERROR(INDEX('CLM &amp; IM Mapping'!$B$2:$B$270,MATCH(TRIM(D463),'CLM &amp; IM Mapping'!$A$2:$A$270,0)),"Not Mapped"))</f>
        <v>Ravishankar gowda</v>
      </c>
      <c r="F463" s="11" t="str">
        <f aca="false" t="array" ref="F463:F463">IF(D463="","",IFERROR(INDEX('CLM &amp; IM Mapping'!$C$2:$C$270,MATCH(TRIM(D463),'CLM &amp; IM Mapping'!$A$2:$A$270,0)),"Not Mapped"))</f>
        <v>Kishor K</v>
      </c>
      <c r="G463" s="11" t="s">
        <v>34</v>
      </c>
      <c r="H463" s="10" t="n">
        <v>-14629</v>
      </c>
      <c r="I463" s="10" t="n">
        <v>1762</v>
      </c>
      <c r="J463" s="10" t="n">
        <v>0</v>
      </c>
      <c r="K463" s="10" t="n">
        <v>0</v>
      </c>
      <c r="L463" s="10" t="n">
        <v>167</v>
      </c>
      <c r="M463" s="10" t="n">
        <v>0</v>
      </c>
      <c r="N463" s="10" t="n">
        <v>0</v>
      </c>
      <c r="O463" s="10" t="n">
        <v>0</v>
      </c>
      <c r="P463" s="10" t="n">
        <v>-12700</v>
      </c>
      <c r="Q463" s="10"/>
      <c r="R463" s="10"/>
      <c r="S463" s="22"/>
      <c r="T463" s="11"/>
      <c r="U463" s="21"/>
      <c r="V463" s="15"/>
      <c r="W463" s="23"/>
      <c r="X463" s="23"/>
      <c r="Y463" s="8"/>
      <c r="Z463" s="8"/>
      <c r="AA463" s="8"/>
      <c r="AB463" s="8"/>
      <c r="AC463" s="8"/>
    </row>
    <row r="464" customFormat="false" ht="15" hidden="false" customHeight="false" outlineLevel="0" collapsed="false">
      <c r="A464" s="9" t="n">
        <v>46304</v>
      </c>
      <c r="B464" s="11" t="s">
        <v>22</v>
      </c>
      <c r="C464" s="11" t="s">
        <v>23</v>
      </c>
      <c r="D464" s="11" t="s">
        <v>444</v>
      </c>
      <c r="E464" s="11" t="str">
        <f aca="false" t="array" ref="E464:E464">IF(D464="","",IFERROR(INDEX('CLM &amp; IM Mapping'!$B$2:$B$270,MATCH(TRIM(D464),'CLM &amp; IM Mapping'!$A$2:$A$270,0)),"Not Mapped"))</f>
        <v>Narasimhamurthy R</v>
      </c>
      <c r="F464" s="11" t="str">
        <f aca="false" t="array" ref="F464:F464">IF(D464="","",IFERROR(INDEX('CLM &amp; IM Mapping'!$C$2:$C$270,MATCH(TRIM(D464),'CLM &amp; IM Mapping'!$A$2:$A$270,0)),"Not Mapped"))</f>
        <v>Kishor K</v>
      </c>
      <c r="G464" s="11" t="s">
        <v>25</v>
      </c>
      <c r="H464" s="10" t="n">
        <v>-8790</v>
      </c>
      <c r="I464" s="10" t="n">
        <v>1161</v>
      </c>
      <c r="J464" s="10" t="n">
        <v>0</v>
      </c>
      <c r="K464" s="10" t="n">
        <v>0</v>
      </c>
      <c r="L464" s="10" t="n">
        <v>0</v>
      </c>
      <c r="M464" s="10" t="n">
        <v>0</v>
      </c>
      <c r="N464" s="10" t="n">
        <v>61</v>
      </c>
      <c r="O464" s="10" t="n">
        <v>0</v>
      </c>
      <c r="P464" s="10" t="n">
        <v>-7568</v>
      </c>
      <c r="Q464" s="10"/>
      <c r="R464" s="10"/>
      <c r="S464" s="22"/>
      <c r="T464" s="11"/>
      <c r="U464" s="21"/>
      <c r="V464" s="15"/>
      <c r="W464" s="23"/>
      <c r="X464" s="23"/>
      <c r="Y464" s="8"/>
      <c r="Z464" s="8"/>
      <c r="AA464" s="8"/>
      <c r="AB464" s="8"/>
      <c r="AC464" s="8"/>
    </row>
    <row r="465" customFormat="false" ht="15" hidden="false" customHeight="false" outlineLevel="0" collapsed="false">
      <c r="A465" s="9" t="n">
        <v>46304</v>
      </c>
      <c r="B465" s="11" t="s">
        <v>22</v>
      </c>
      <c r="C465" s="11" t="s">
        <v>23</v>
      </c>
      <c r="D465" s="11" t="s">
        <v>526</v>
      </c>
      <c r="E465" s="11" t="str">
        <f aca="false" t="array" ref="E465:E465">IF(D465="","",IFERROR(INDEX('CLM &amp; IM Mapping'!$B$2:$B$270,MATCH(TRIM(D465),'CLM &amp; IM Mapping'!$A$2:$A$270,0)),"Not Mapped"))</f>
        <v>Sundaresh S</v>
      </c>
      <c r="F465" s="11" t="str">
        <f aca="false" t="array" ref="F465:F465">IF(D465="","",IFERROR(INDEX('CLM &amp; IM Mapping'!$C$2:$C$270,MATCH(TRIM(D465),'CLM &amp; IM Mapping'!$A$2:$A$270,0)),"Not Mapped"))</f>
        <v>Un Mapped</v>
      </c>
      <c r="G465" s="11" t="s">
        <v>34</v>
      </c>
      <c r="H465" s="10" t="n">
        <v>-44597</v>
      </c>
      <c r="I465" s="10" t="n">
        <v>13570</v>
      </c>
      <c r="J465" s="10" t="n">
        <v>1245</v>
      </c>
      <c r="K465" s="10" t="n">
        <v>0</v>
      </c>
      <c r="L465" s="10" t="n">
        <v>1246</v>
      </c>
      <c r="M465" s="10" t="n">
        <v>0</v>
      </c>
      <c r="N465" s="10" t="n">
        <v>0</v>
      </c>
      <c r="O465" s="10" t="n">
        <v>0</v>
      </c>
      <c r="P465" s="10" t="n">
        <v>-28536</v>
      </c>
      <c r="Q465" s="10"/>
      <c r="R465" s="10"/>
      <c r="S465" s="22"/>
      <c r="T465" s="11"/>
      <c r="U465" s="21"/>
      <c r="V465" s="15"/>
      <c r="W465" s="23"/>
      <c r="X465" s="23"/>
      <c r="Y465" s="8"/>
      <c r="Z465" s="8"/>
      <c r="AA465" s="8"/>
      <c r="AB465" s="8"/>
      <c r="AC465" s="8"/>
    </row>
    <row r="466" customFormat="false" ht="15" hidden="false" customHeight="false" outlineLevel="0" collapsed="false">
      <c r="A466" s="9" t="n">
        <v>46304</v>
      </c>
      <c r="B466" s="11" t="s">
        <v>22</v>
      </c>
      <c r="C466" s="11" t="s">
        <v>23</v>
      </c>
      <c r="D466" s="11" t="s">
        <v>175</v>
      </c>
      <c r="E466" s="11" t="str">
        <f aca="false" t="array" ref="E466:E466">IF(D466="","",IFERROR(INDEX('CLM &amp; IM Mapping'!$B$2:$B$270,MATCH(TRIM(D466),'CLM &amp; IM Mapping'!$A$2:$A$270,0)),"Not Mapped"))</f>
        <v>Arun Raj</v>
      </c>
      <c r="F466" s="11" t="str">
        <f aca="false" t="array" ref="F466:F466">IF(D466="","",IFERROR(INDEX('CLM &amp; IM Mapping'!$C$2:$C$270,MATCH(TRIM(D466),'CLM &amp; IM Mapping'!$A$2:$A$270,0)),"Not Mapped"))</f>
        <v>Simon Manoharan</v>
      </c>
      <c r="G466" s="11" t="s">
        <v>34</v>
      </c>
      <c r="H466" s="10" t="n">
        <v>4197</v>
      </c>
      <c r="I466" s="10" t="n">
        <v>25869</v>
      </c>
      <c r="J466" s="10" t="n">
        <v>0</v>
      </c>
      <c r="K466" s="10" t="n">
        <v>0</v>
      </c>
      <c r="L466" s="10" t="n">
        <v>5203</v>
      </c>
      <c r="M466" s="10" t="n">
        <v>0</v>
      </c>
      <c r="N466" s="10" t="n">
        <v>0</v>
      </c>
      <c r="O466" s="10" t="n">
        <v>0</v>
      </c>
      <c r="P466" s="10" t="n">
        <v>35269</v>
      </c>
      <c r="Q466" s="10"/>
      <c r="R466" s="10"/>
      <c r="S466" s="22"/>
      <c r="T466" s="11"/>
      <c r="U466" s="21"/>
      <c r="V466" s="15"/>
      <c r="W466" s="23"/>
      <c r="X466" s="23"/>
      <c r="Y466" s="8"/>
      <c r="Z466" s="8"/>
      <c r="AA466" s="8"/>
      <c r="AB466" s="8"/>
      <c r="AC466" s="8"/>
    </row>
    <row r="467" customFormat="false" ht="15" hidden="false" customHeight="false" outlineLevel="0" collapsed="false">
      <c r="A467" s="9" t="n">
        <v>46304</v>
      </c>
      <c r="B467" s="11" t="s">
        <v>22</v>
      </c>
      <c r="C467" s="11" t="s">
        <v>23</v>
      </c>
      <c r="D467" s="11" t="s">
        <v>181</v>
      </c>
      <c r="E467" s="11" t="str">
        <f aca="false" t="array" ref="E467:E467">IF(D467="","",IFERROR(INDEX('CLM &amp; IM Mapping'!$B$2:$B$270,MATCH(TRIM(D467),'CLM &amp; IM Mapping'!$A$2:$A$270,0)),"Not Mapped"))</f>
        <v>Silambarasan E</v>
      </c>
      <c r="F467" s="11" t="str">
        <f aca="false" t="array" ref="F467:F467">IF(D467="","",IFERROR(INDEX('CLM &amp; IM Mapping'!$C$2:$C$270,MATCH(TRIM(D467),'CLM &amp; IM Mapping'!$A$2:$A$270,0)),"Not Mapped"))</f>
        <v>Arivind S</v>
      </c>
      <c r="G467" s="11" t="s">
        <v>34</v>
      </c>
      <c r="H467" s="10" t="n">
        <v>15647</v>
      </c>
      <c r="I467" s="10" t="n">
        <v>7813</v>
      </c>
      <c r="J467" s="10" t="n">
        <v>1000</v>
      </c>
      <c r="K467" s="10" t="n">
        <v>906</v>
      </c>
      <c r="L467" s="10" t="n">
        <v>614</v>
      </c>
      <c r="M467" s="10" t="n">
        <v>0</v>
      </c>
      <c r="N467" s="10" t="n">
        <v>2078</v>
      </c>
      <c r="O467" s="10" t="n">
        <v>0</v>
      </c>
      <c r="P467" s="10" t="n">
        <v>28058</v>
      </c>
      <c r="Q467" s="10"/>
      <c r="R467" s="10"/>
      <c r="S467" s="22"/>
      <c r="T467" s="11"/>
      <c r="U467" s="21"/>
      <c r="V467" s="15"/>
      <c r="W467" s="23"/>
      <c r="X467" s="23"/>
      <c r="Y467" s="8"/>
      <c r="Z467" s="8"/>
      <c r="AA467" s="8"/>
      <c r="AB467" s="8"/>
      <c r="AC467" s="8"/>
    </row>
    <row r="468" customFormat="false" ht="15" hidden="false" customHeight="false" outlineLevel="0" collapsed="false">
      <c r="A468" s="9" t="n">
        <v>46304</v>
      </c>
      <c r="B468" s="11" t="s">
        <v>22</v>
      </c>
      <c r="C468" s="11" t="s">
        <v>23</v>
      </c>
      <c r="D468" s="11" t="s">
        <v>408</v>
      </c>
      <c r="E468" s="11" t="str">
        <f aca="false" t="array" ref="E468:E468">IF(D468="","",IFERROR(INDEX('CLM &amp; IM Mapping'!$B$2:$B$270,MATCH(TRIM(D468),'CLM &amp; IM Mapping'!$A$2:$A$270,0)),"Not Mapped"))</f>
        <v>Ravishankar gowda</v>
      </c>
      <c r="F468" s="11" t="str">
        <f aca="false" t="array" ref="F468:F468">IF(D468="","",IFERROR(INDEX('CLM &amp; IM Mapping'!$C$2:$C$270,MATCH(TRIM(D468),'CLM &amp; IM Mapping'!$A$2:$A$270,0)),"Not Mapped"))</f>
        <v>Kishor K</v>
      </c>
      <c r="G468" s="11" t="s">
        <v>25</v>
      </c>
      <c r="H468" s="10" t="n">
        <v>-7520</v>
      </c>
      <c r="I468" s="10" t="n">
        <v>6643</v>
      </c>
      <c r="J468" s="10" t="n">
        <v>0</v>
      </c>
      <c r="K468" s="10" t="n">
        <v>0</v>
      </c>
      <c r="L468" s="10" t="n">
        <v>0</v>
      </c>
      <c r="M468" s="10" t="n">
        <v>0</v>
      </c>
      <c r="N468" s="10" t="n">
        <v>0</v>
      </c>
      <c r="O468" s="10" t="n">
        <v>0</v>
      </c>
      <c r="P468" s="10" t="n">
        <v>-877</v>
      </c>
      <c r="Q468" s="10"/>
      <c r="R468" s="10"/>
      <c r="S468" s="22"/>
      <c r="T468" s="11"/>
      <c r="U468" s="21"/>
      <c r="V468" s="15"/>
      <c r="W468" s="23"/>
      <c r="X468" s="23"/>
      <c r="Y468" s="8"/>
      <c r="Z468" s="8"/>
      <c r="AA468" s="8"/>
      <c r="AB468" s="8"/>
      <c r="AC468" s="8"/>
    </row>
    <row r="469" customFormat="false" ht="15" hidden="false" customHeight="false" outlineLevel="0" collapsed="false">
      <c r="A469" s="9" t="n">
        <v>46304</v>
      </c>
      <c r="B469" s="11" t="s">
        <v>22</v>
      </c>
      <c r="C469" s="11" t="s">
        <v>23</v>
      </c>
      <c r="D469" s="11" t="s">
        <v>400</v>
      </c>
      <c r="E469" s="11" t="str">
        <f aca="false" t="array" ref="E469:E469">IF(D469="","",IFERROR(INDEX('CLM &amp; IM Mapping'!$B$2:$B$270,MATCH(TRIM(D469),'CLM &amp; IM Mapping'!$A$2:$A$270,0)),"Not Mapped"))</f>
        <v>Bangareppa CS</v>
      </c>
      <c r="F469" s="11" t="str">
        <f aca="false" t="array" ref="F469:F469">IF(D469="","",IFERROR(INDEX('CLM &amp; IM Mapping'!$C$2:$C$270,MATCH(TRIM(D469),'CLM &amp; IM Mapping'!$A$2:$A$270,0)),"Not Mapped"))</f>
        <v>Kishor K</v>
      </c>
      <c r="G469" s="11" t="s">
        <v>34</v>
      </c>
      <c r="H469" s="10" t="n">
        <v>-9575</v>
      </c>
      <c r="I469" s="10" t="n">
        <v>6143</v>
      </c>
      <c r="J469" s="10" t="n">
        <v>0</v>
      </c>
      <c r="K469" s="10" t="n">
        <v>0</v>
      </c>
      <c r="L469" s="10" t="n">
        <v>417</v>
      </c>
      <c r="M469" s="10" t="n">
        <v>0</v>
      </c>
      <c r="N469" s="10" t="n">
        <v>0</v>
      </c>
      <c r="O469" s="10" t="n">
        <v>0</v>
      </c>
      <c r="P469" s="10" t="n">
        <v>-3015</v>
      </c>
      <c r="Q469" s="10"/>
      <c r="R469" s="10"/>
      <c r="S469" s="22"/>
      <c r="T469" s="11"/>
      <c r="U469" s="21"/>
      <c r="V469" s="15"/>
      <c r="W469" s="23"/>
      <c r="X469" s="23"/>
      <c r="Y469" s="8"/>
      <c r="Z469" s="8"/>
      <c r="AA469" s="8"/>
      <c r="AB469" s="8"/>
      <c r="AC469" s="8"/>
    </row>
    <row r="470" customFormat="false" ht="15" hidden="false" customHeight="false" outlineLevel="0" collapsed="false">
      <c r="A470" s="9" t="n">
        <v>46304</v>
      </c>
      <c r="B470" s="11" t="s">
        <v>22</v>
      </c>
      <c r="C470" s="11" t="s">
        <v>23</v>
      </c>
      <c r="D470" s="11" t="s">
        <v>92</v>
      </c>
      <c r="E470" s="11" t="str">
        <f aca="false" t="array" ref="E470:E470">IF(D470="","",IFERROR(INDEX('CLM &amp; IM Mapping'!$B$2:$B$270,MATCH(TRIM(D470),'CLM &amp; IM Mapping'!$A$2:$A$270,0)),"Not Mapped"))</f>
        <v>Balaji G</v>
      </c>
      <c r="F470" s="11" t="str">
        <f aca="false" t="array" ref="F470:F470">IF(D470="","",IFERROR(INDEX('CLM &amp; IM Mapping'!$C$2:$C$270,MATCH(TRIM(D470),'CLM &amp; IM Mapping'!$A$2:$A$270,0)),"Not Mapped"))</f>
        <v>Mohammed Akbar</v>
      </c>
      <c r="G470" s="11" t="s">
        <v>34</v>
      </c>
      <c r="H470" s="10" t="n">
        <v>-8992</v>
      </c>
      <c r="I470" s="10" t="n">
        <v>36132</v>
      </c>
      <c r="J470" s="10" t="n">
        <v>2882</v>
      </c>
      <c r="K470" s="10" t="n">
        <v>3960</v>
      </c>
      <c r="L470" s="10" t="n">
        <v>2402</v>
      </c>
      <c r="M470" s="10" t="n">
        <v>0</v>
      </c>
      <c r="N470" s="10" t="n">
        <v>0</v>
      </c>
      <c r="O470" s="10" t="n">
        <v>0</v>
      </c>
      <c r="P470" s="10" t="n">
        <v>36384</v>
      </c>
      <c r="Q470" s="10"/>
      <c r="R470" s="11"/>
      <c r="S470" s="22"/>
      <c r="T470" s="11"/>
      <c r="U470" s="21"/>
      <c r="V470" s="15"/>
      <c r="W470" s="23"/>
      <c r="X470" s="23"/>
      <c r="Y470" s="8"/>
      <c r="Z470" s="8"/>
      <c r="AA470" s="8"/>
      <c r="AB470" s="8"/>
      <c r="AC470" s="8"/>
    </row>
    <row r="471" customFormat="false" ht="15" hidden="false" customHeight="false" outlineLevel="0" collapsed="false">
      <c r="A471" s="9" t="n">
        <v>46304</v>
      </c>
      <c r="B471" s="11" t="s">
        <v>22</v>
      </c>
      <c r="C471" s="11" t="s">
        <v>394</v>
      </c>
      <c r="D471" s="11" t="s">
        <v>386</v>
      </c>
      <c r="E471" s="11" t="str">
        <f aca="false" t="array" ref="E471:E471">IF(D471="","",IFERROR(INDEX('CLM &amp; IM Mapping'!$B$2:$B$270,MATCH(TRIM(D471),'CLM &amp; IM Mapping'!$A$2:$A$270,0)),"Not Mapped"))</f>
        <v>Arun Raj</v>
      </c>
      <c r="F471" s="11" t="str">
        <f aca="false" t="array" ref="F471:F471">IF(D471="","",IFERROR(INDEX('CLM &amp; IM Mapping'!$C$2:$C$270,MATCH(TRIM(D471),'CLM &amp; IM Mapping'!$A$2:$A$270,0)),"Not Mapped"))</f>
        <v>Simon Manoharan</v>
      </c>
      <c r="G471" s="11" t="s">
        <v>34</v>
      </c>
      <c r="H471" s="10" t="n">
        <v>-4416</v>
      </c>
      <c r="I471" s="10" t="n">
        <v>1641</v>
      </c>
      <c r="J471" s="10" t="n">
        <v>0</v>
      </c>
      <c r="K471" s="10" t="n">
        <v>69</v>
      </c>
      <c r="L471" s="10" t="n">
        <v>2125</v>
      </c>
      <c r="M471" s="10" t="n">
        <v>0</v>
      </c>
      <c r="N471" s="10" t="n">
        <v>0</v>
      </c>
      <c r="O471" s="10" t="n">
        <v>0</v>
      </c>
      <c r="P471" s="10" t="n">
        <v>-582</v>
      </c>
      <c r="Q471" s="10"/>
      <c r="R471" s="10"/>
      <c r="S471" s="22"/>
      <c r="T471" s="11"/>
      <c r="U471" s="21"/>
      <c r="V471" s="15"/>
      <c r="W471" s="23"/>
      <c r="X471" s="23"/>
      <c r="Y471" s="8"/>
      <c r="Z471" s="8"/>
      <c r="AA471" s="8"/>
      <c r="AB471" s="8"/>
      <c r="AC471" s="8"/>
    </row>
    <row r="472" customFormat="false" ht="15" hidden="false" customHeight="false" outlineLevel="0" collapsed="false">
      <c r="A472" s="9" t="n">
        <v>46304</v>
      </c>
      <c r="B472" s="11" t="s">
        <v>22</v>
      </c>
      <c r="C472" s="11" t="s">
        <v>23</v>
      </c>
      <c r="D472" s="11" t="s">
        <v>129</v>
      </c>
      <c r="E472" s="11" t="str">
        <f aca="false" t="array" ref="E472:E472">IF(D472="","",IFERROR(INDEX('CLM &amp; IM Mapping'!$B$2:$B$270,MATCH(TRIM(D472),'CLM &amp; IM Mapping'!$A$2:$A$270,0)),"Not Mapped"))</f>
        <v>Ashwath S</v>
      </c>
      <c r="F472" s="11" t="str">
        <f aca="false" t="array" ref="F472:F472">IF(D472="","",IFERROR(INDEX('CLM &amp; IM Mapping'!$C$2:$C$270,MATCH(TRIM(D472),'CLM &amp; IM Mapping'!$A$2:$A$270,0)),"Not Mapped"))</f>
        <v>Kantha Kumar</v>
      </c>
      <c r="G472" s="11" t="s">
        <v>34</v>
      </c>
      <c r="H472" s="10" t="n">
        <v>31169</v>
      </c>
      <c r="I472" s="10" t="n">
        <v>10880</v>
      </c>
      <c r="J472" s="10" t="n">
        <v>0</v>
      </c>
      <c r="K472" s="10" t="n">
        <v>0</v>
      </c>
      <c r="L472" s="10" t="n">
        <v>382</v>
      </c>
      <c r="M472" s="10" t="n">
        <v>0</v>
      </c>
      <c r="N472" s="10" t="n">
        <v>0</v>
      </c>
      <c r="O472" s="10" t="n">
        <v>607</v>
      </c>
      <c r="P472" s="10" t="n">
        <v>43037</v>
      </c>
      <c r="Q472" s="10"/>
      <c r="R472" s="10"/>
      <c r="S472" s="22"/>
      <c r="T472" s="11"/>
      <c r="U472" s="21"/>
      <c r="V472" s="15"/>
      <c r="W472" s="23"/>
      <c r="X472" s="23"/>
      <c r="Y472" s="8"/>
      <c r="Z472" s="8"/>
      <c r="AA472" s="8"/>
      <c r="AB472" s="8"/>
      <c r="AC472" s="8"/>
    </row>
    <row r="473" customFormat="false" ht="15" hidden="false" customHeight="false" outlineLevel="0" collapsed="false">
      <c r="A473" s="9" t="n">
        <v>46304</v>
      </c>
      <c r="B473" s="11" t="s">
        <v>22</v>
      </c>
      <c r="C473" s="11" t="s">
        <v>23</v>
      </c>
      <c r="D473" s="11" t="s">
        <v>503</v>
      </c>
      <c r="E473" s="11" t="str">
        <f aca="false" t="array" ref="E473:E473">IF(D473="","",IFERROR(INDEX('CLM &amp; IM Mapping'!$B$2:$B$270,MATCH(TRIM(D473),'CLM &amp; IM Mapping'!$A$2:$A$270,0)),"Not Mapped"))</f>
        <v>Santhosha M</v>
      </c>
      <c r="F473" s="11" t="str">
        <f aca="false" t="array" ref="F473:F473">IF(D473="","",IFERROR(INDEX('CLM &amp; IM Mapping'!$C$2:$C$270,MATCH(TRIM(D473),'CLM &amp; IM Mapping'!$A$2:$A$270,0)),"Not Mapped"))</f>
        <v>Aravind S</v>
      </c>
      <c r="G473" s="11" t="s">
        <v>25</v>
      </c>
      <c r="H473" s="10" t="n">
        <v>-15585</v>
      </c>
      <c r="I473" s="10" t="n">
        <v>91</v>
      </c>
      <c r="J473" s="10" t="n">
        <v>0</v>
      </c>
      <c r="K473" s="10" t="n">
        <v>0</v>
      </c>
      <c r="L473" s="10" t="n">
        <v>63</v>
      </c>
      <c r="M473" s="10" t="n">
        <v>0</v>
      </c>
      <c r="N473" s="10" t="n">
        <v>0</v>
      </c>
      <c r="O473" s="10" t="n">
        <v>0</v>
      </c>
      <c r="P473" s="10" t="n">
        <v>-15431</v>
      </c>
      <c r="Q473" s="10"/>
      <c r="R473" s="11"/>
      <c r="S473" s="22"/>
      <c r="T473" s="11"/>
      <c r="U473" s="21"/>
      <c r="V473" s="15"/>
      <c r="W473" s="23"/>
      <c r="X473" s="23"/>
      <c r="Y473" s="8"/>
      <c r="Z473" s="8"/>
      <c r="AA473" s="8"/>
      <c r="AB473" s="8"/>
      <c r="AC473" s="8"/>
    </row>
    <row r="474" customFormat="false" ht="15" hidden="false" customHeight="false" outlineLevel="0" collapsed="false">
      <c r="A474" s="9" t="n">
        <v>46304</v>
      </c>
      <c r="B474" s="11" t="s">
        <v>22</v>
      </c>
      <c r="C474" s="11" t="s">
        <v>23</v>
      </c>
      <c r="D474" s="11" t="s">
        <v>123</v>
      </c>
      <c r="E474" s="11" t="str">
        <f aca="false" t="array" ref="E474:E474">IF(D474="","",IFERROR(INDEX('CLM &amp; IM Mapping'!$B$2:$B$270,MATCH(TRIM(D474),'CLM &amp; IM Mapping'!$A$2:$A$270,0)),"Not Mapped"))</f>
        <v>Silambarasan E</v>
      </c>
      <c r="F474" s="11" t="str">
        <f aca="false" t="array" ref="F474:F474">IF(D474="","",IFERROR(INDEX('CLM &amp; IM Mapping'!$C$2:$C$270,MATCH(TRIM(D474),'CLM &amp; IM Mapping'!$A$2:$A$270,0)),"Not Mapped"))</f>
        <v>Arivind S</v>
      </c>
      <c r="G474" s="11" t="s">
        <v>34</v>
      </c>
      <c r="H474" s="10" t="n">
        <v>-6749</v>
      </c>
      <c r="I474" s="10" t="n">
        <v>14222</v>
      </c>
      <c r="J474" s="10" t="n">
        <v>415</v>
      </c>
      <c r="K474" s="10" t="n">
        <v>2485</v>
      </c>
      <c r="L474" s="10" t="n">
        <v>2402</v>
      </c>
      <c r="M474" s="10" t="n">
        <v>0</v>
      </c>
      <c r="N474" s="10" t="n">
        <v>2031</v>
      </c>
      <c r="O474" s="10" t="n">
        <v>9909</v>
      </c>
      <c r="P474" s="10" t="n">
        <v>24715</v>
      </c>
      <c r="Q474" s="10"/>
      <c r="R474" s="10"/>
      <c r="S474" s="22"/>
      <c r="T474" s="11"/>
      <c r="U474" s="21"/>
      <c r="V474" s="15"/>
      <c r="W474" s="23"/>
      <c r="X474" s="23"/>
      <c r="Y474" s="8"/>
      <c r="Z474" s="8"/>
      <c r="AA474" s="8"/>
      <c r="AB474" s="8"/>
      <c r="AC474" s="8"/>
    </row>
    <row r="475" customFormat="false" ht="15" hidden="false" customHeight="false" outlineLevel="0" collapsed="false">
      <c r="A475" s="9" t="n">
        <v>46304</v>
      </c>
      <c r="B475" s="11" t="s">
        <v>22</v>
      </c>
      <c r="C475" s="11" t="s">
        <v>276</v>
      </c>
      <c r="D475" s="11" t="s">
        <v>379</v>
      </c>
      <c r="E475" s="11" t="str">
        <f aca="false" t="array" ref="E475:E475">IF(D475="","",IFERROR(INDEX('CLM &amp; IM Mapping'!$B$2:$B$270,MATCH(TRIM(D475),'CLM &amp; IM Mapping'!$A$2:$A$270,0)),"Not Mapped"))</f>
        <v>Richard Harris</v>
      </c>
      <c r="F475" s="11" t="str">
        <f aca="false" t="array" ref="F475:F475">IF(D475="","",IFERROR(INDEX('CLM &amp; IM Mapping'!$C$2:$C$270,MATCH(TRIM(D475),'CLM &amp; IM Mapping'!$A$2:$A$270,0)),"Not Mapped"))</f>
        <v>Kantha Kumar</v>
      </c>
      <c r="G475" s="11" t="s">
        <v>34</v>
      </c>
      <c r="H475" s="10" t="n">
        <v>-12204</v>
      </c>
      <c r="I475" s="10" t="n">
        <v>4076</v>
      </c>
      <c r="J475" s="10" t="n">
        <v>2472</v>
      </c>
      <c r="K475" s="10" t="n">
        <v>0</v>
      </c>
      <c r="L475" s="10" t="n">
        <v>771</v>
      </c>
      <c r="M475" s="10" t="n">
        <v>0</v>
      </c>
      <c r="N475" s="10" t="n">
        <v>4320</v>
      </c>
      <c r="O475" s="10" t="n">
        <v>0</v>
      </c>
      <c r="P475" s="10" t="n">
        <v>-566</v>
      </c>
      <c r="Q475" s="10"/>
      <c r="R475" s="10"/>
      <c r="S475" s="19"/>
      <c r="T475" s="11"/>
      <c r="U475" s="21"/>
      <c r="V475" s="15"/>
      <c r="W475" s="23"/>
      <c r="X475" s="23"/>
      <c r="Y475" s="8"/>
      <c r="Z475" s="8"/>
      <c r="AA475" s="8"/>
      <c r="AB475" s="8"/>
      <c r="AC475" s="8"/>
    </row>
    <row r="476" customFormat="false" ht="15" hidden="false" customHeight="false" outlineLevel="0" collapsed="false">
      <c r="A476" s="9" t="n">
        <v>46304</v>
      </c>
      <c r="B476" s="11" t="s">
        <v>22</v>
      </c>
      <c r="C476" s="11" t="s">
        <v>23</v>
      </c>
      <c r="D476" s="11" t="s">
        <v>271</v>
      </c>
      <c r="E476" s="11" t="str">
        <f aca="false" t="array" ref="E476:E476">IF(D476="","",IFERROR(INDEX('CLM &amp; IM Mapping'!$B$2:$B$270,MATCH(TRIM(D476),'CLM &amp; IM Mapping'!$A$2:$A$270,0)),"Not Mapped"))</f>
        <v>Rizwan Ahmed</v>
      </c>
      <c r="F476" s="11" t="str">
        <f aca="false" t="array" ref="F476:F476">IF(D476="","",IFERROR(INDEX('CLM &amp; IM Mapping'!$C$2:$C$270,MATCH(TRIM(D476),'CLM &amp; IM Mapping'!$A$2:$A$270,0)),"Not Mapped"))</f>
        <v>Prakash BS</v>
      </c>
      <c r="G476" s="11" t="s">
        <v>34</v>
      </c>
      <c r="H476" s="10" t="n">
        <v>-6621</v>
      </c>
      <c r="I476" s="10" t="n">
        <v>12073</v>
      </c>
      <c r="J476" s="10" t="n">
        <v>0</v>
      </c>
      <c r="K476" s="10" t="n">
        <v>8368</v>
      </c>
      <c r="L476" s="10" t="n">
        <v>6483</v>
      </c>
      <c r="M476" s="10" t="n">
        <v>0</v>
      </c>
      <c r="N476" s="10" t="n">
        <v>0</v>
      </c>
      <c r="O476" s="10" t="n">
        <v>3555</v>
      </c>
      <c r="P476" s="10" t="n">
        <v>23858</v>
      </c>
      <c r="Q476" s="10"/>
      <c r="R476" s="10"/>
      <c r="S476" s="22" t="s">
        <v>544</v>
      </c>
      <c r="T476" s="10" t="n">
        <v>23000</v>
      </c>
      <c r="U476" s="21"/>
      <c r="V476" s="15"/>
      <c r="W476" s="23"/>
      <c r="X476" s="23"/>
      <c r="Y476" s="8"/>
      <c r="Z476" s="8"/>
      <c r="AA476" s="8"/>
      <c r="AB476" s="8"/>
      <c r="AC476" s="8"/>
    </row>
    <row r="477" customFormat="false" ht="15" hidden="false" customHeight="false" outlineLevel="0" collapsed="false">
      <c r="A477" s="9" t="n">
        <v>46304</v>
      </c>
      <c r="B477" s="11" t="s">
        <v>22</v>
      </c>
      <c r="C477" s="11" t="s">
        <v>23</v>
      </c>
      <c r="D477" s="11" t="s">
        <v>118</v>
      </c>
      <c r="E477" s="11" t="str">
        <f aca="false" t="array" ref="E477:E477">IF(D477="","",IFERROR(INDEX('CLM &amp; IM Mapping'!$B$2:$B$270,MATCH(TRIM(D477),'CLM &amp; IM Mapping'!$A$2:$A$270,0)),"Not Mapped"))</f>
        <v>Adhavan Subramani</v>
      </c>
      <c r="F477" s="11" t="str">
        <f aca="false" t="array" ref="F477:F477">IF(D477="","",IFERROR(INDEX('CLM &amp; IM Mapping'!$C$2:$C$270,MATCH(TRIM(D477),'CLM &amp; IM Mapping'!$A$2:$A$270,0)),"Not Mapped"))</f>
        <v>Mohammed Akbar</v>
      </c>
      <c r="G477" s="11" t="s">
        <v>34</v>
      </c>
      <c r="H477" s="10" t="n">
        <v>25762</v>
      </c>
      <c r="I477" s="10" t="n">
        <v>6582</v>
      </c>
      <c r="J477" s="10" t="n">
        <v>0</v>
      </c>
      <c r="K477" s="10" t="n">
        <v>3969</v>
      </c>
      <c r="L477" s="10" t="n">
        <v>1242</v>
      </c>
      <c r="M477" s="10" t="n">
        <v>0</v>
      </c>
      <c r="N477" s="10" t="n">
        <v>0</v>
      </c>
      <c r="O477" s="10" t="n">
        <v>0</v>
      </c>
      <c r="P477" s="10" t="n">
        <v>37555</v>
      </c>
      <c r="Q477" s="10"/>
      <c r="R477" s="11"/>
      <c r="S477" s="22"/>
      <c r="T477" s="11"/>
      <c r="U477" s="21"/>
      <c r="V477" s="15"/>
      <c r="W477" s="23"/>
      <c r="X477" s="23"/>
      <c r="Y477" s="8"/>
      <c r="Z477" s="8"/>
      <c r="AA477" s="8"/>
      <c r="AB477" s="8"/>
      <c r="AC477" s="8"/>
    </row>
    <row r="478" customFormat="false" ht="15" hidden="false" customHeight="false" outlineLevel="0" collapsed="false">
      <c r="A478" s="9" t="n">
        <v>46304</v>
      </c>
      <c r="B478" s="11" t="s">
        <v>22</v>
      </c>
      <c r="C478" s="11" t="s">
        <v>23</v>
      </c>
      <c r="D478" s="11" t="s">
        <v>510</v>
      </c>
      <c r="E478" s="11" t="str">
        <f aca="false" t="array" ref="E478:E478">IF(D478="","",IFERROR(INDEX('CLM &amp; IM Mapping'!$B$2:$B$270,MATCH(TRIM(D478),'CLM &amp; IM Mapping'!$A$2:$A$270,0)),"Not Mapped"))</f>
        <v>Manjunatha V</v>
      </c>
      <c r="F478" s="11" t="str">
        <f aca="false" t="array" ref="F478:F478">IF(D478="","",IFERROR(INDEX('CLM &amp; IM Mapping'!$C$2:$C$270,MATCH(TRIM(D478),'CLM &amp; IM Mapping'!$A$2:$A$270,0)),"Not Mapped"))</f>
        <v>Un Mapped</v>
      </c>
      <c r="G478" s="11" t="s">
        <v>34</v>
      </c>
      <c r="H478" s="10" t="n">
        <v>-25504</v>
      </c>
      <c r="I478" s="10" t="n">
        <v>4086</v>
      </c>
      <c r="J478" s="10" t="n">
        <v>0</v>
      </c>
      <c r="K478" s="10" t="n">
        <v>0</v>
      </c>
      <c r="L478" s="10" t="n">
        <v>4174</v>
      </c>
      <c r="M478" s="10" t="n">
        <v>0</v>
      </c>
      <c r="N478" s="10" t="n">
        <v>0</v>
      </c>
      <c r="O478" s="10" t="n">
        <v>0</v>
      </c>
      <c r="P478" s="10" t="n">
        <v>-17245</v>
      </c>
      <c r="Q478" s="10"/>
      <c r="R478" s="10"/>
      <c r="S478" s="22"/>
      <c r="T478" s="11"/>
      <c r="U478" s="21"/>
      <c r="V478" s="15"/>
      <c r="W478" s="23"/>
      <c r="X478" s="23"/>
      <c r="Y478" s="8"/>
      <c r="Z478" s="8"/>
      <c r="AA478" s="8"/>
      <c r="AB478" s="8"/>
      <c r="AC478" s="8"/>
    </row>
    <row r="479" customFormat="false" ht="15" hidden="false" customHeight="false" outlineLevel="0" collapsed="false">
      <c r="A479" s="9" t="n">
        <v>46304</v>
      </c>
      <c r="B479" s="11" t="s">
        <v>22</v>
      </c>
      <c r="C479" s="11" t="s">
        <v>23</v>
      </c>
      <c r="D479" s="11" t="s">
        <v>488</v>
      </c>
      <c r="E479" s="11" t="str">
        <f aca="false" t="array" ref="E479:E479">IF(D479="","",IFERROR(INDEX('CLM &amp; IM Mapping'!$B$2:$B$270,MATCH(TRIM(D479),'CLM &amp; IM Mapping'!$A$2:$A$270,0)),"Not Mapped"))</f>
        <v>Sundaresh S</v>
      </c>
      <c r="F479" s="11" t="str">
        <f aca="false" t="array" ref="F479:F479">IF(D479="","",IFERROR(INDEX('CLM &amp; IM Mapping'!$C$2:$C$270,MATCH(TRIM(D479),'CLM &amp; IM Mapping'!$A$2:$A$270,0)),"Not Mapped"))</f>
        <v>Un Mapped</v>
      </c>
      <c r="G479" s="11" t="s">
        <v>34</v>
      </c>
      <c r="H479" s="10" t="n">
        <v>-17897</v>
      </c>
      <c r="I479" s="10" t="n">
        <v>7242</v>
      </c>
      <c r="J479" s="10" t="n">
        <v>0</v>
      </c>
      <c r="K479" s="10" t="n">
        <v>333</v>
      </c>
      <c r="L479" s="10" t="n">
        <v>863</v>
      </c>
      <c r="M479" s="10" t="n">
        <v>0</v>
      </c>
      <c r="N479" s="10" t="n">
        <v>0</v>
      </c>
      <c r="O479" s="10" t="n">
        <v>0</v>
      </c>
      <c r="P479" s="10" t="n">
        <v>-9460</v>
      </c>
      <c r="Q479" s="10"/>
      <c r="R479" s="10"/>
      <c r="S479" s="22"/>
      <c r="T479" s="11"/>
      <c r="U479" s="21"/>
      <c r="V479" s="15"/>
      <c r="W479" s="23"/>
      <c r="X479" s="23"/>
      <c r="Y479" s="8"/>
      <c r="Z479" s="8"/>
      <c r="AA479" s="8"/>
      <c r="AB479" s="8"/>
      <c r="AC479" s="8"/>
    </row>
    <row r="480" customFormat="false" ht="15" hidden="false" customHeight="false" outlineLevel="0" collapsed="false">
      <c r="A480" s="9" t="n">
        <v>46304</v>
      </c>
      <c r="B480" s="11" t="s">
        <v>22</v>
      </c>
      <c r="C480" s="11" t="s">
        <v>23</v>
      </c>
      <c r="D480" s="11" t="s">
        <v>443</v>
      </c>
      <c r="E480" s="11" t="str">
        <f aca="false" t="array" ref="E480:E480">IF(D480="","",IFERROR(INDEX('CLM &amp; IM Mapping'!$B$2:$B$270,MATCH(TRIM(D480),'CLM &amp; IM Mapping'!$A$2:$A$270,0)),"Not Mapped"))</f>
        <v>Manoj Kj</v>
      </c>
      <c r="F480" s="11" t="str">
        <f aca="false" t="array" ref="F480:F480">IF(D480="","",IFERROR(INDEX('CLM &amp; IM Mapping'!$C$2:$C$270,MATCH(TRIM(D480),'CLM &amp; IM Mapping'!$A$2:$A$270,0)),"Not Mapped"))</f>
        <v>Srittam Dhal</v>
      </c>
      <c r="G480" s="11" t="s">
        <v>34</v>
      </c>
      <c r="H480" s="10" t="n">
        <v>-10670</v>
      </c>
      <c r="I480" s="10" t="n">
        <v>4455</v>
      </c>
      <c r="J480" s="10" t="n">
        <v>0</v>
      </c>
      <c r="K480" s="10" t="n">
        <v>0</v>
      </c>
      <c r="L480" s="10" t="n">
        <v>0</v>
      </c>
      <c r="M480" s="10" t="n">
        <v>0</v>
      </c>
      <c r="N480" s="10" t="n">
        <v>0</v>
      </c>
      <c r="O480" s="10" t="n">
        <v>0</v>
      </c>
      <c r="P480" s="10" t="n">
        <v>-6214</v>
      </c>
      <c r="Q480" s="10"/>
      <c r="R480" s="10"/>
      <c r="S480" s="22"/>
      <c r="T480" s="11"/>
      <c r="U480" s="21"/>
      <c r="V480" s="15"/>
      <c r="W480" s="23"/>
      <c r="X480" s="23"/>
      <c r="Y480" s="8"/>
      <c r="Z480" s="8"/>
      <c r="AA480" s="8"/>
      <c r="AB480" s="8"/>
      <c r="AC480" s="8"/>
    </row>
    <row r="481" customFormat="false" ht="15" hidden="false" customHeight="false" outlineLevel="0" collapsed="false">
      <c r="A481" s="9" t="n">
        <v>46304</v>
      </c>
      <c r="B481" s="11" t="s">
        <v>22</v>
      </c>
      <c r="C481" s="11" t="s">
        <v>23</v>
      </c>
      <c r="D481" s="11" t="s">
        <v>391</v>
      </c>
      <c r="E481" s="11" t="str">
        <f aca="false" t="array" ref="E481:E481">IF(D481="","",IFERROR(INDEX('CLM &amp; IM Mapping'!$B$2:$B$270,MATCH(TRIM(D481),'CLM &amp; IM Mapping'!$A$2:$A$270,0)),"Not Mapped"))</f>
        <v>John Britto</v>
      </c>
      <c r="F481" s="11" t="str">
        <f aca="false" t="array" ref="F481:F481">IF(D481="","",IFERROR(INDEX('CLM &amp; IM Mapping'!$C$2:$C$270,MATCH(TRIM(D481),'CLM &amp; IM Mapping'!$A$2:$A$270,0)),"Not Mapped"))</f>
        <v>Aravind S</v>
      </c>
      <c r="G481" s="11" t="s">
        <v>34</v>
      </c>
      <c r="H481" s="10" t="n">
        <v>-914</v>
      </c>
      <c r="I481" s="10" t="n">
        <v>1050</v>
      </c>
      <c r="J481" s="10" t="n">
        <v>0</v>
      </c>
      <c r="K481" s="10" t="n">
        <v>0</v>
      </c>
      <c r="L481" s="10" t="n">
        <v>39</v>
      </c>
      <c r="M481" s="10" t="n">
        <v>0</v>
      </c>
      <c r="N481" s="10" t="n">
        <v>0</v>
      </c>
      <c r="O481" s="10" t="n">
        <v>0</v>
      </c>
      <c r="P481" s="10" t="n">
        <v>175</v>
      </c>
      <c r="Q481" s="10"/>
      <c r="R481" s="10"/>
      <c r="S481" s="22"/>
      <c r="T481" s="11"/>
      <c r="U481" s="21"/>
      <c r="V481" s="15"/>
      <c r="W481" s="23"/>
      <c r="X481" s="23"/>
      <c r="Y481" s="8"/>
      <c r="Z481" s="8"/>
      <c r="AA481" s="8"/>
      <c r="AB481" s="8"/>
      <c r="AC481" s="8"/>
    </row>
    <row r="482" customFormat="false" ht="15" hidden="false" customHeight="false" outlineLevel="0" collapsed="false">
      <c r="A482" s="9" t="n">
        <v>46304</v>
      </c>
      <c r="B482" s="11" t="s">
        <v>22</v>
      </c>
      <c r="C482" s="11" t="s">
        <v>23</v>
      </c>
      <c r="D482" s="11" t="s">
        <v>267</v>
      </c>
      <c r="E482" s="11" t="str">
        <f aca="false" t="array" ref="E482:E482">IF(D482="","",IFERROR(INDEX('CLM &amp; IM Mapping'!$B$2:$B$270,MATCH(TRIM(D482),'CLM &amp; IM Mapping'!$A$2:$A$270,0)),"Not Mapped"))</f>
        <v>Balaji G</v>
      </c>
      <c r="F482" s="11" t="str">
        <f aca="false" t="array" ref="F482:F482">IF(D482="","",IFERROR(INDEX('CLM &amp; IM Mapping'!$C$2:$C$270,MATCH(TRIM(D482),'CLM &amp; IM Mapping'!$A$2:$A$270,0)),"Not Mapped"))</f>
        <v>Mohammed Akbar</v>
      </c>
      <c r="G482" s="11" t="s">
        <v>34</v>
      </c>
      <c r="H482" s="10" t="n">
        <v>2079</v>
      </c>
      <c r="I482" s="10" t="n">
        <v>3362</v>
      </c>
      <c r="J482" s="10" t="n">
        <v>207</v>
      </c>
      <c r="K482" s="10" t="n">
        <v>0</v>
      </c>
      <c r="L482" s="10" t="n">
        <v>1464</v>
      </c>
      <c r="M482" s="10" t="n">
        <v>0</v>
      </c>
      <c r="N482" s="10" t="n">
        <v>297</v>
      </c>
      <c r="O482" s="10" t="n">
        <v>0</v>
      </c>
      <c r="P482" s="10" t="n">
        <v>7408</v>
      </c>
      <c r="Q482" s="10"/>
      <c r="R482" s="10"/>
      <c r="S482" s="22"/>
      <c r="T482" s="11"/>
      <c r="U482" s="21"/>
      <c r="V482" s="15"/>
      <c r="W482" s="23"/>
      <c r="X482" s="23"/>
      <c r="Y482" s="8"/>
      <c r="Z482" s="8"/>
      <c r="AA482" s="8"/>
      <c r="AB482" s="8"/>
      <c r="AC482" s="8"/>
    </row>
    <row r="483" customFormat="false" ht="15" hidden="false" customHeight="false" outlineLevel="0" collapsed="false">
      <c r="A483" s="9" t="n">
        <v>46304</v>
      </c>
      <c r="B483" s="11" t="s">
        <v>22</v>
      </c>
      <c r="C483" s="11" t="s">
        <v>303</v>
      </c>
      <c r="D483" s="11" t="s">
        <v>410</v>
      </c>
      <c r="E483" s="11" t="str">
        <f aca="false" t="array" ref="E483:E483">IF(D483="","",IFERROR(INDEX('CLM &amp; IM Mapping'!$B$2:$B$270,MATCH(TRIM(D483),'CLM &amp; IM Mapping'!$A$2:$A$270,0)),"Not Mapped"))</f>
        <v>Akshay P</v>
      </c>
      <c r="F483" s="11" t="str">
        <f aca="false" t="array" ref="F483:F483">IF(D483="","",IFERROR(INDEX('CLM &amp; IM Mapping'!$C$2:$C$270,MATCH(TRIM(D483),'CLM &amp; IM Mapping'!$A$2:$A$270,0)),"Not Mapped"))</f>
        <v>Srittam Dhal</v>
      </c>
      <c r="G483" s="11" t="s">
        <v>34</v>
      </c>
      <c r="H483" s="10" t="n">
        <v>-9399</v>
      </c>
      <c r="I483" s="10" t="n">
        <v>47</v>
      </c>
      <c r="J483" s="10" t="n">
        <v>0</v>
      </c>
      <c r="K483" s="10" t="n">
        <v>0</v>
      </c>
      <c r="L483" s="10" t="n">
        <v>127</v>
      </c>
      <c r="M483" s="10" t="n">
        <v>0</v>
      </c>
      <c r="N483" s="10" t="n">
        <v>0</v>
      </c>
      <c r="O483" s="10" t="n">
        <v>0</v>
      </c>
      <c r="P483" s="10" t="n">
        <v>-9225</v>
      </c>
      <c r="Q483" s="10"/>
      <c r="R483" s="11"/>
      <c r="S483" s="22"/>
      <c r="T483" s="11"/>
      <c r="U483" s="21"/>
      <c r="V483" s="15"/>
      <c r="W483" s="23"/>
      <c r="X483" s="23"/>
      <c r="Y483" s="8"/>
      <c r="Z483" s="8"/>
      <c r="AA483" s="8"/>
      <c r="AB483" s="8"/>
      <c r="AC483" s="8"/>
    </row>
    <row r="484" customFormat="false" ht="15" hidden="false" customHeight="false" outlineLevel="0" collapsed="false">
      <c r="A484" s="9" t="n">
        <v>46304</v>
      </c>
      <c r="B484" s="11" t="s">
        <v>22</v>
      </c>
      <c r="C484" s="11" t="s">
        <v>23</v>
      </c>
      <c r="D484" s="11" t="s">
        <v>198</v>
      </c>
      <c r="E484" s="11" t="str">
        <f aca="false" t="array" ref="E484:E484">IF(D484="","",IFERROR(INDEX('CLM &amp; IM Mapping'!$B$2:$B$270,MATCH(TRIM(D484),'CLM &amp; IM Mapping'!$A$2:$A$270,0)),"Not Mapped"))</f>
        <v>Manjunatha V</v>
      </c>
      <c r="F484" s="11" t="str">
        <f aca="false" t="array" ref="F484:F484">IF(D484="","",IFERROR(INDEX('CLM &amp; IM Mapping'!$C$2:$C$270,MATCH(TRIM(D484),'CLM &amp; IM Mapping'!$A$2:$A$270,0)),"Not Mapped"))</f>
        <v>Un Mapped</v>
      </c>
      <c r="G484" s="11" t="s">
        <v>34</v>
      </c>
      <c r="H484" s="10" t="n">
        <v>-29828</v>
      </c>
      <c r="I484" s="10" t="n">
        <v>20055</v>
      </c>
      <c r="J484" s="10" t="n">
        <v>185</v>
      </c>
      <c r="K484" s="10" t="n">
        <v>31331</v>
      </c>
      <c r="L484" s="10" t="n">
        <v>1380</v>
      </c>
      <c r="M484" s="10" t="n">
        <v>0</v>
      </c>
      <c r="N484" s="10" t="n">
        <v>0</v>
      </c>
      <c r="O484" s="10" t="n">
        <v>0</v>
      </c>
      <c r="P484" s="10" t="n">
        <v>23123</v>
      </c>
      <c r="Q484" s="10"/>
      <c r="R484" s="10"/>
      <c r="S484" s="22"/>
      <c r="T484" s="11"/>
      <c r="U484" s="21"/>
      <c r="V484" s="15"/>
      <c r="W484" s="23"/>
      <c r="X484" s="23"/>
      <c r="Y484" s="8"/>
      <c r="Z484" s="8"/>
      <c r="AA484" s="8"/>
      <c r="AB484" s="8"/>
      <c r="AC484" s="8"/>
    </row>
    <row r="485" customFormat="false" ht="15" hidden="false" customHeight="false" outlineLevel="0" collapsed="false">
      <c r="A485" s="9" t="n">
        <v>46304</v>
      </c>
      <c r="B485" s="11" t="s">
        <v>22</v>
      </c>
      <c r="C485" s="11" t="s">
        <v>23</v>
      </c>
      <c r="D485" s="11" t="s">
        <v>126</v>
      </c>
      <c r="E485" s="11" t="str">
        <f aca="false" t="array" ref="E485:E485">IF(D485="","",IFERROR(INDEX('CLM &amp; IM Mapping'!$B$2:$B$270,MATCH(TRIM(D485),'CLM &amp; IM Mapping'!$A$2:$A$270,0)),"Not Mapped"))</f>
        <v>Girish N</v>
      </c>
      <c r="F485" s="11" t="str">
        <f aca="false" t="array" ref="F485:F485">IF(D485="","",IFERROR(INDEX('CLM &amp; IM Mapping'!$C$2:$C$270,MATCH(TRIM(D485),'CLM &amp; IM Mapping'!$A$2:$A$270,0)),"Not Mapped"))</f>
        <v>Un Mapped</v>
      </c>
      <c r="G485" s="11" t="s">
        <v>34</v>
      </c>
      <c r="H485" s="10" t="n">
        <v>28985</v>
      </c>
      <c r="I485" s="10" t="n">
        <v>22478</v>
      </c>
      <c r="J485" s="10" t="n">
        <v>0</v>
      </c>
      <c r="K485" s="10" t="n">
        <v>292</v>
      </c>
      <c r="L485" s="10" t="n">
        <v>1693</v>
      </c>
      <c r="M485" s="10" t="n">
        <v>0</v>
      </c>
      <c r="N485" s="10" t="n">
        <v>0</v>
      </c>
      <c r="O485" s="10" t="n">
        <v>584</v>
      </c>
      <c r="P485" s="10" t="n">
        <v>54030</v>
      </c>
      <c r="Q485" s="10"/>
      <c r="R485" s="10"/>
      <c r="S485" s="22"/>
      <c r="T485" s="11"/>
      <c r="U485" s="21"/>
      <c r="V485" s="15"/>
      <c r="W485" s="23"/>
      <c r="X485" s="23"/>
      <c r="Y485" s="8"/>
      <c r="Z485" s="8"/>
      <c r="AA485" s="8"/>
      <c r="AB485" s="8"/>
      <c r="AC485" s="8"/>
    </row>
    <row r="486" customFormat="false" ht="15" hidden="false" customHeight="false" outlineLevel="0" collapsed="false">
      <c r="A486" s="9" t="n">
        <v>46304</v>
      </c>
      <c r="B486" s="11" t="s">
        <v>22</v>
      </c>
      <c r="C486" s="11" t="s">
        <v>23</v>
      </c>
      <c r="D486" s="11" t="s">
        <v>527</v>
      </c>
      <c r="E486" s="11" t="str">
        <f aca="false" t="array" ref="E486:E486">IF(D486="","",IFERROR(INDEX('CLM &amp; IM Mapping'!$B$2:$B$270,MATCH(TRIM(D486),'CLM &amp; IM Mapping'!$A$2:$A$270,0)),"Not Mapped"))</f>
        <v>Suhas N</v>
      </c>
      <c r="F486" s="11" t="str">
        <f aca="false" t="array" ref="F486:F486">IF(D486="","",IFERROR(INDEX('CLM &amp; IM Mapping'!$C$2:$C$270,MATCH(TRIM(D486),'CLM &amp; IM Mapping'!$A$2:$A$270,0)),"Not Mapped"))</f>
        <v>Aravind S</v>
      </c>
      <c r="G486" s="11" t="s">
        <v>34</v>
      </c>
      <c r="H486" s="10" t="n">
        <v>-43356</v>
      </c>
      <c r="I486" s="10" t="n">
        <v>1393</v>
      </c>
      <c r="J486" s="10" t="n">
        <v>0</v>
      </c>
      <c r="K486" s="10" t="n">
        <v>184</v>
      </c>
      <c r="L486" s="10" t="n">
        <v>73</v>
      </c>
      <c r="M486" s="10" t="n">
        <v>0</v>
      </c>
      <c r="N486" s="10" t="n">
        <v>0</v>
      </c>
      <c r="O486" s="10" t="n">
        <v>0</v>
      </c>
      <c r="P486" s="10" t="n">
        <v>-41705</v>
      </c>
      <c r="Q486" s="10"/>
      <c r="R486" s="10"/>
      <c r="S486" s="22"/>
      <c r="T486" s="11"/>
      <c r="U486" s="21"/>
      <c r="V486" s="15"/>
      <c r="W486" s="23"/>
      <c r="X486" s="23"/>
      <c r="Y486" s="8"/>
      <c r="Z486" s="8"/>
      <c r="AA486" s="8"/>
      <c r="AB486" s="8"/>
      <c r="AC486" s="8"/>
    </row>
    <row r="487" customFormat="false" ht="15" hidden="false" customHeight="false" outlineLevel="0" collapsed="false">
      <c r="A487" s="9" t="n">
        <v>46304</v>
      </c>
      <c r="B487" s="11" t="s">
        <v>22</v>
      </c>
      <c r="C487" s="11" t="s">
        <v>23</v>
      </c>
      <c r="D487" s="11" t="s">
        <v>470</v>
      </c>
      <c r="E487" s="11" t="str">
        <f aca="false" t="array" ref="E487:E487">IF(D487="","",IFERROR(INDEX('CLM &amp; IM Mapping'!$B$2:$B$270,MATCH(TRIM(D487),'CLM &amp; IM Mapping'!$A$2:$A$270,0)),"Not Mapped"))</f>
        <v>Vishnu V</v>
      </c>
      <c r="F487" s="11" t="str">
        <f aca="false" t="array" ref="F487:F487">IF(D487="","",IFERROR(INDEX('CLM &amp; IM Mapping'!$C$2:$C$270,MATCH(TRIM(D487),'CLM &amp; IM Mapping'!$A$2:$A$270,0)),"Not Mapped"))</f>
        <v>Arivind S</v>
      </c>
      <c r="G487" s="11" t="s">
        <v>34</v>
      </c>
      <c r="H487" s="10" t="n">
        <v>-9612</v>
      </c>
      <c r="I487" s="10" t="n">
        <v>1448</v>
      </c>
      <c r="J487" s="10" t="n">
        <v>0</v>
      </c>
      <c r="K487" s="10" t="n">
        <v>0</v>
      </c>
      <c r="L487" s="10" t="n">
        <v>265</v>
      </c>
      <c r="M487" s="10" t="n">
        <v>0</v>
      </c>
      <c r="N487" s="10" t="n">
        <v>0</v>
      </c>
      <c r="O487" s="10" t="n">
        <v>0</v>
      </c>
      <c r="P487" s="10" t="n">
        <v>-7898</v>
      </c>
      <c r="Q487" s="10"/>
      <c r="R487" s="10"/>
      <c r="S487" s="22"/>
      <c r="T487" s="11"/>
      <c r="U487" s="21"/>
      <c r="V487" s="15"/>
      <c r="W487" s="23"/>
      <c r="X487" s="23"/>
      <c r="Y487" s="8"/>
      <c r="Z487" s="8"/>
      <c r="AA487" s="8"/>
      <c r="AB487" s="8"/>
      <c r="AC487" s="8"/>
    </row>
    <row r="488" customFormat="false" ht="15" hidden="false" customHeight="false" outlineLevel="0" collapsed="false">
      <c r="A488" s="9" t="n">
        <v>46304</v>
      </c>
      <c r="B488" s="11" t="s">
        <v>22</v>
      </c>
      <c r="C488" s="11" t="s">
        <v>23</v>
      </c>
      <c r="D488" s="11" t="s">
        <v>304</v>
      </c>
      <c r="E488" s="11" t="str">
        <f aca="false" t="array" ref="E488:E488">IF(D488="","",IFERROR(INDEX('CLM &amp; IM Mapping'!$B$2:$B$270,MATCH(TRIM(D488),'CLM &amp; IM Mapping'!$A$2:$A$270,0)),"Not Mapped"))</f>
        <v>John Britto</v>
      </c>
      <c r="F488" s="11" t="str">
        <f aca="false" t="array" ref="F488:F488">IF(D488="","",IFERROR(INDEX('CLM &amp; IM Mapping'!$C$2:$C$270,MATCH(TRIM(D488),'CLM &amp; IM Mapping'!$A$2:$A$270,0)),"Not Mapped"))</f>
        <v>Aravind S</v>
      </c>
      <c r="G488" s="11" t="s">
        <v>34</v>
      </c>
      <c r="H488" s="10" t="n">
        <v>1661</v>
      </c>
      <c r="I488" s="10" t="n">
        <v>487</v>
      </c>
      <c r="J488" s="10" t="n">
        <v>0</v>
      </c>
      <c r="K488" s="10" t="n">
        <v>191</v>
      </c>
      <c r="L488" s="10" t="n">
        <v>942</v>
      </c>
      <c r="M488" s="10" t="n">
        <v>0</v>
      </c>
      <c r="N488" s="10" t="n">
        <v>0</v>
      </c>
      <c r="O488" s="10" t="n">
        <v>0</v>
      </c>
      <c r="P488" s="10" t="n">
        <v>3281</v>
      </c>
      <c r="Q488" s="10"/>
      <c r="R488" s="10"/>
      <c r="S488" s="22"/>
      <c r="T488" s="11"/>
      <c r="U488" s="21"/>
      <c r="V488" s="15"/>
      <c r="W488" s="23"/>
      <c r="X488" s="23"/>
      <c r="Y488" s="8"/>
      <c r="Z488" s="8"/>
      <c r="AA488" s="8"/>
      <c r="AB488" s="8"/>
      <c r="AC488" s="8"/>
    </row>
    <row r="489" customFormat="false" ht="15" hidden="false" customHeight="false" outlineLevel="0" collapsed="false">
      <c r="A489" s="9" t="n">
        <v>46304</v>
      </c>
      <c r="B489" s="11" t="s">
        <v>22</v>
      </c>
      <c r="C489" s="11" t="s">
        <v>221</v>
      </c>
      <c r="D489" s="11" t="s">
        <v>178</v>
      </c>
      <c r="E489" s="11" t="str">
        <f aca="false" t="array" ref="E489:E489">IF(D489="","",IFERROR(INDEX('CLM &amp; IM Mapping'!$B$2:$B$270,MATCH(TRIM(D489),'CLM &amp; IM Mapping'!$A$2:$A$270,0)),"Not Mapped"))</f>
        <v>Balaji G</v>
      </c>
      <c r="F489" s="11" t="str">
        <f aca="false" t="array" ref="F489:F489">IF(D489="","",IFERROR(INDEX('CLM &amp; IM Mapping'!$C$2:$C$270,MATCH(TRIM(D489),'CLM &amp; IM Mapping'!$A$2:$A$270,0)),"Not Mapped"))</f>
        <v>Mohammed Akbar</v>
      </c>
      <c r="G489" s="11" t="s">
        <v>34</v>
      </c>
      <c r="H489" s="10" t="n">
        <v>1588</v>
      </c>
      <c r="I489" s="10" t="n">
        <v>32121</v>
      </c>
      <c r="J489" s="10" t="n">
        <v>0</v>
      </c>
      <c r="K489" s="10" t="n">
        <v>0</v>
      </c>
      <c r="L489" s="10" t="n">
        <v>338</v>
      </c>
      <c r="M489" s="10" t="n">
        <v>0</v>
      </c>
      <c r="N489" s="10" t="n">
        <v>0</v>
      </c>
      <c r="O489" s="10" t="n">
        <v>0</v>
      </c>
      <c r="P489" s="10" t="n">
        <v>34047</v>
      </c>
      <c r="Q489" s="10"/>
      <c r="R489" s="10"/>
      <c r="S489" s="22"/>
      <c r="T489" s="11"/>
      <c r="U489" s="21"/>
      <c r="V489" s="15"/>
      <c r="W489" s="23"/>
      <c r="X489" s="23"/>
      <c r="Y489" s="8"/>
      <c r="Z489" s="8"/>
      <c r="AA489" s="8"/>
      <c r="AB489" s="8"/>
      <c r="AC489" s="8"/>
    </row>
    <row r="490" customFormat="false" ht="15" hidden="false" customHeight="false" outlineLevel="0" collapsed="false">
      <c r="A490" s="9" t="n">
        <v>46304</v>
      </c>
      <c r="B490" s="11" t="s">
        <v>22</v>
      </c>
      <c r="C490" s="11" t="s">
        <v>303</v>
      </c>
      <c r="D490" s="11" t="s">
        <v>378</v>
      </c>
      <c r="E490" s="11" t="str">
        <f aca="false" t="array" ref="E490:E490">IF(D490="","",IFERROR(INDEX('CLM &amp; IM Mapping'!$B$2:$B$270,MATCH(TRIM(D490),'CLM &amp; IM Mapping'!$A$2:$A$270,0)),"Not Mapped"))</f>
        <v>Vishnu V</v>
      </c>
      <c r="F490" s="11" t="str">
        <f aca="false" t="array" ref="F490:F490">IF(D490="","",IFERROR(INDEX('CLM &amp; IM Mapping'!$C$2:$C$270,MATCH(TRIM(D490),'CLM &amp; IM Mapping'!$A$2:$A$270,0)),"Not Mapped"))</f>
        <v>Arivind S</v>
      </c>
      <c r="G490" s="11" t="s">
        <v>34</v>
      </c>
      <c r="H490" s="10" t="n">
        <v>-676</v>
      </c>
      <c r="I490" s="10" t="n">
        <v>0</v>
      </c>
      <c r="J490" s="10" t="n">
        <v>0</v>
      </c>
      <c r="K490" s="10" t="n">
        <v>0</v>
      </c>
      <c r="L490" s="10" t="n">
        <v>0</v>
      </c>
      <c r="M490" s="10" t="n">
        <v>0</v>
      </c>
      <c r="N490" s="10" t="n">
        <v>0</v>
      </c>
      <c r="O490" s="10" t="n">
        <v>0</v>
      </c>
      <c r="P490" s="10" t="n">
        <v>-676</v>
      </c>
      <c r="Q490" s="10"/>
      <c r="R490" s="10"/>
      <c r="S490" s="22"/>
      <c r="T490" s="11"/>
      <c r="U490" s="21"/>
      <c r="V490" s="15"/>
      <c r="W490" s="23"/>
      <c r="X490" s="23"/>
      <c r="Y490" s="8"/>
      <c r="Z490" s="8"/>
      <c r="AA490" s="8"/>
      <c r="AB490" s="8"/>
      <c r="AC490" s="8"/>
    </row>
    <row r="491" customFormat="false" ht="15" hidden="false" customHeight="false" outlineLevel="0" collapsed="false">
      <c r="A491" s="9" t="n">
        <v>46304</v>
      </c>
      <c r="B491" s="11" t="s">
        <v>22</v>
      </c>
      <c r="C491" s="11" t="s">
        <v>177</v>
      </c>
      <c r="D491" s="11" t="s">
        <v>398</v>
      </c>
      <c r="E491" s="11" t="str">
        <f aca="false" t="array" ref="E491:E491">IF(D491="","",IFERROR(INDEX('CLM &amp; IM Mapping'!$B$2:$B$270,MATCH(TRIM(D491),'CLM &amp; IM Mapping'!$A$2:$A$270,0)),"Not Mapped"))</f>
        <v>Raghavendra Vernekar</v>
      </c>
      <c r="F491" s="11" t="str">
        <f aca="false" t="array" ref="F491:F491">IF(D491="","",IFERROR(INDEX('CLM &amp; IM Mapping'!$C$2:$C$270,MATCH(TRIM(D491),'CLM &amp; IM Mapping'!$A$2:$A$270,0)),"Not Mapped"))</f>
        <v>Prakash BS</v>
      </c>
      <c r="G491" s="11" t="s">
        <v>34</v>
      </c>
      <c r="H491" s="10" t="n">
        <v>-14174</v>
      </c>
      <c r="I491" s="10" t="n">
        <v>10160</v>
      </c>
      <c r="J491" s="10" t="n">
        <v>0</v>
      </c>
      <c r="K491" s="10" t="n">
        <v>191</v>
      </c>
      <c r="L491" s="10" t="n">
        <v>705</v>
      </c>
      <c r="M491" s="10" t="n">
        <v>0</v>
      </c>
      <c r="N491" s="10" t="n">
        <v>0</v>
      </c>
      <c r="O491" s="10" t="n">
        <v>0</v>
      </c>
      <c r="P491" s="10" t="n">
        <v>-3119</v>
      </c>
      <c r="Q491" s="10"/>
      <c r="R491" s="10"/>
      <c r="S491" s="22"/>
      <c r="T491" s="11"/>
      <c r="U491" s="21"/>
      <c r="V491" s="15"/>
      <c r="W491" s="23"/>
      <c r="X491" s="23"/>
      <c r="Y491" s="8"/>
      <c r="Z491" s="8"/>
      <c r="AA491" s="8"/>
      <c r="AB491" s="8"/>
      <c r="AC491" s="8"/>
    </row>
    <row r="492" customFormat="false" ht="15" hidden="false" customHeight="false" outlineLevel="0" collapsed="false">
      <c r="A492" s="9" t="n">
        <v>46304</v>
      </c>
      <c r="B492" s="11" t="s">
        <v>22</v>
      </c>
      <c r="C492" s="11" t="s">
        <v>377</v>
      </c>
      <c r="D492" s="11" t="s">
        <v>281</v>
      </c>
      <c r="E492" s="11" t="str">
        <f aca="false" t="array" ref="E492:E492">IF(D492="","",IFERROR(INDEX('CLM &amp; IM Mapping'!$B$2:$B$270,MATCH(TRIM(D492),'CLM &amp; IM Mapping'!$A$2:$A$270,0)),"Not Mapped"))</f>
        <v>Balaji G</v>
      </c>
      <c r="F492" s="11" t="str">
        <f aca="false" t="array" ref="F492:F492">IF(D492="","",IFERROR(INDEX('CLM &amp; IM Mapping'!$C$2:$C$270,MATCH(TRIM(D492),'CLM &amp; IM Mapping'!$A$2:$A$270,0)),"Not Mapped"))</f>
        <v>Mohammed Akbar</v>
      </c>
      <c r="G492" s="11" t="s">
        <v>34</v>
      </c>
      <c r="H492" s="10" t="n">
        <v>7731</v>
      </c>
      <c r="I492" s="10" t="n">
        <v>4303</v>
      </c>
      <c r="J492" s="10" t="n">
        <v>0</v>
      </c>
      <c r="K492" s="10" t="n">
        <v>0</v>
      </c>
      <c r="L492" s="10" t="n">
        <v>16</v>
      </c>
      <c r="M492" s="10" t="n">
        <v>0</v>
      </c>
      <c r="N492" s="10" t="n">
        <v>0</v>
      </c>
      <c r="O492" s="10" t="n">
        <v>0</v>
      </c>
      <c r="P492" s="10" t="n">
        <v>12049</v>
      </c>
      <c r="Q492" s="10"/>
      <c r="R492" s="11"/>
      <c r="S492" s="22"/>
      <c r="T492" s="11"/>
      <c r="U492" s="21"/>
      <c r="V492" s="15"/>
      <c r="W492" s="23"/>
      <c r="X492" s="23"/>
      <c r="Y492" s="8"/>
      <c r="Z492" s="8"/>
      <c r="AA492" s="8"/>
      <c r="AB492" s="8"/>
      <c r="AC492" s="8"/>
    </row>
    <row r="493" customFormat="false" ht="15" hidden="false" customHeight="false" outlineLevel="0" collapsed="false">
      <c r="A493" s="9" t="n">
        <v>46304</v>
      </c>
      <c r="B493" s="11" t="s">
        <v>22</v>
      </c>
      <c r="C493" s="11" t="s">
        <v>23</v>
      </c>
      <c r="D493" s="11" t="s">
        <v>80</v>
      </c>
      <c r="E493" s="11" t="str">
        <f aca="false" t="array" ref="E493:E493">IF(D493="","",IFERROR(INDEX('CLM &amp; IM Mapping'!$B$2:$B$270,MATCH(TRIM(D493),'CLM &amp; IM Mapping'!$A$2:$A$270,0)),"Not Mapped"))</f>
        <v>Sundaresh S</v>
      </c>
      <c r="F493" s="11" t="str">
        <f aca="false" t="array" ref="F493:F493">IF(D493="","",IFERROR(INDEX('CLM &amp; IM Mapping'!$C$2:$C$270,MATCH(TRIM(D493),'CLM &amp; IM Mapping'!$A$2:$A$270,0)),"Not Mapped"))</f>
        <v>Un Mapped</v>
      </c>
      <c r="G493" s="11" t="s">
        <v>34</v>
      </c>
      <c r="H493" s="10" t="n">
        <v>-46365</v>
      </c>
      <c r="I493" s="10" t="n">
        <v>19371</v>
      </c>
      <c r="J493" s="10" t="n">
        <v>0</v>
      </c>
      <c r="K493" s="10" t="n">
        <v>654</v>
      </c>
      <c r="L493" s="10" t="n">
        <v>1733</v>
      </c>
      <c r="M493" s="10" t="n">
        <v>0</v>
      </c>
      <c r="N493" s="10" t="n">
        <v>17280</v>
      </c>
      <c r="O493" s="10" t="n">
        <v>537</v>
      </c>
      <c r="P493" s="10" t="n">
        <v>-6789</v>
      </c>
      <c r="Q493" s="10"/>
      <c r="R493" s="10"/>
      <c r="S493" s="22"/>
      <c r="T493" s="11"/>
      <c r="U493" s="21"/>
      <c r="V493" s="15"/>
      <c r="W493" s="23"/>
      <c r="X493" s="23"/>
      <c r="Y493" s="8"/>
      <c r="Z493" s="8"/>
      <c r="AA493" s="8"/>
      <c r="AB493" s="8"/>
      <c r="AC493" s="8"/>
    </row>
    <row r="494" customFormat="false" ht="58.2" hidden="false" customHeight="false" outlineLevel="0" collapsed="false">
      <c r="A494" s="9" t="n">
        <v>46304</v>
      </c>
      <c r="B494" s="11" t="s">
        <v>22</v>
      </c>
      <c r="C494" s="11" t="s">
        <v>23</v>
      </c>
      <c r="D494" s="11" t="s">
        <v>97</v>
      </c>
      <c r="E494" s="11" t="str">
        <f aca="false" t="array" ref="E494:E494">IF(D494="","",IFERROR(INDEX('CLM &amp; IM Mapping'!$B$2:$B$270,MATCH(TRIM(D494),'CLM &amp; IM Mapping'!$A$2:$A$270,0)),"Not Mapped"))</f>
        <v>Raghavendra Vernekar</v>
      </c>
      <c r="F494" s="11" t="str">
        <f aca="false" t="array" ref="F494:F494">IF(D494="","",IFERROR(INDEX('CLM &amp; IM Mapping'!$C$2:$C$270,MATCH(TRIM(D494),'CLM &amp; IM Mapping'!$A$2:$A$270,0)),"Not Mapped"))</f>
        <v>Prakash BS</v>
      </c>
      <c r="G494" s="11" t="s">
        <v>34</v>
      </c>
      <c r="H494" s="10" t="n">
        <v>-34510</v>
      </c>
      <c r="I494" s="10" t="n">
        <v>28280</v>
      </c>
      <c r="J494" s="10" t="n">
        <v>0</v>
      </c>
      <c r="K494" s="10" t="n">
        <v>228</v>
      </c>
      <c r="L494" s="10" t="n">
        <v>237</v>
      </c>
      <c r="M494" s="10" t="n">
        <v>0</v>
      </c>
      <c r="N494" s="10" t="n">
        <v>2149</v>
      </c>
      <c r="O494" s="10" t="n">
        <v>94907</v>
      </c>
      <c r="P494" s="10" t="n">
        <v>91291</v>
      </c>
      <c r="Q494" s="10"/>
      <c r="R494" s="10"/>
      <c r="S494" s="22" t="s">
        <v>545</v>
      </c>
      <c r="T494" s="11" t="n">
        <v>91000</v>
      </c>
      <c r="U494" s="21"/>
      <c r="V494" s="15"/>
      <c r="W494" s="23"/>
      <c r="X494" s="23"/>
      <c r="Y494" s="8"/>
      <c r="Z494" s="8"/>
      <c r="AA494" s="8"/>
      <c r="AB494" s="8"/>
      <c r="AC494" s="8"/>
    </row>
    <row r="495" customFormat="false" ht="15" hidden="false" customHeight="false" outlineLevel="0" collapsed="false">
      <c r="A495" s="9" t="n">
        <v>46304</v>
      </c>
      <c r="B495" s="11" t="s">
        <v>22</v>
      </c>
      <c r="C495" s="11" t="s">
        <v>23</v>
      </c>
      <c r="D495" s="11" t="s">
        <v>426</v>
      </c>
      <c r="E495" s="11" t="str">
        <f aca="false" t="array" ref="E495:E495">IF(D495="","",IFERROR(INDEX('CLM &amp; IM Mapping'!$B$2:$B$270,MATCH(TRIM(D495),'CLM &amp; IM Mapping'!$A$2:$A$270,0)),"Not Mapped"))</f>
        <v>Silambarasan E</v>
      </c>
      <c r="F495" s="11" t="str">
        <f aca="false" t="array" ref="F495:F495">IF(D495="","",IFERROR(INDEX('CLM &amp; IM Mapping'!$C$2:$C$270,MATCH(TRIM(D495),'CLM &amp; IM Mapping'!$A$2:$A$270,0)),"Not Mapped"))</f>
        <v>Arivind S</v>
      </c>
      <c r="G495" s="11" t="s">
        <v>34</v>
      </c>
      <c r="H495" s="10" t="n">
        <v>-10086</v>
      </c>
      <c r="I495" s="10" t="n">
        <v>8218</v>
      </c>
      <c r="J495" s="10" t="n">
        <v>328</v>
      </c>
      <c r="K495" s="10" t="n">
        <v>780</v>
      </c>
      <c r="L495" s="10" t="n">
        <v>924</v>
      </c>
      <c r="M495" s="10" t="n">
        <v>0</v>
      </c>
      <c r="N495" s="10" t="n">
        <v>0</v>
      </c>
      <c r="O495" s="10" t="n">
        <v>0</v>
      </c>
      <c r="P495" s="10" t="n">
        <v>163</v>
      </c>
      <c r="Q495" s="10"/>
      <c r="R495" s="10"/>
      <c r="S495" s="22"/>
      <c r="T495" s="11"/>
      <c r="U495" s="21"/>
      <c r="V495" s="15"/>
      <c r="W495" s="23"/>
      <c r="X495" s="23"/>
      <c r="Y495" s="8"/>
      <c r="Z495" s="8"/>
      <c r="AA495" s="8"/>
      <c r="AB495" s="8"/>
      <c r="AC495" s="8"/>
    </row>
    <row r="496" customFormat="false" ht="15" hidden="false" customHeight="false" outlineLevel="0" collapsed="false">
      <c r="A496" s="9" t="n">
        <v>46304</v>
      </c>
      <c r="B496" s="11" t="s">
        <v>22</v>
      </c>
      <c r="C496" s="11" t="s">
        <v>23</v>
      </c>
      <c r="D496" s="11" t="s">
        <v>333</v>
      </c>
      <c r="E496" s="11" t="str">
        <f aca="false" t="array" ref="E496:E496">IF(D496="","",IFERROR(INDEX('CLM &amp; IM Mapping'!$B$2:$B$270,MATCH(TRIM(D496),'CLM &amp; IM Mapping'!$A$2:$A$270,0)),"Not Mapped"))</f>
        <v>Basil Scariya</v>
      </c>
      <c r="F496" s="11" t="str">
        <f aca="false" t="array" ref="F496:F496">IF(D496="","",IFERROR(INDEX('CLM &amp; IM Mapping'!$C$2:$C$270,MATCH(TRIM(D496),'CLM &amp; IM Mapping'!$A$2:$A$270,0)),"Not Mapped"))</f>
        <v>Prakash BS</v>
      </c>
      <c r="G496" s="11" t="s">
        <v>34</v>
      </c>
      <c r="H496" s="10" t="n">
        <v>-11161</v>
      </c>
      <c r="I496" s="10" t="n">
        <v>8199</v>
      </c>
      <c r="J496" s="10" t="n">
        <v>0</v>
      </c>
      <c r="K496" s="10" t="n">
        <v>98</v>
      </c>
      <c r="L496" s="10" t="n">
        <v>222</v>
      </c>
      <c r="M496" s="10" t="n">
        <v>0</v>
      </c>
      <c r="N496" s="10" t="n">
        <v>0</v>
      </c>
      <c r="O496" s="10" t="n">
        <v>0</v>
      </c>
      <c r="P496" s="10" t="n">
        <v>-2642</v>
      </c>
      <c r="Q496" s="10"/>
      <c r="R496" s="10"/>
      <c r="S496" s="22" t="s">
        <v>534</v>
      </c>
      <c r="T496" s="11"/>
      <c r="U496" s="21"/>
      <c r="V496" s="15"/>
      <c r="W496" s="23"/>
      <c r="X496" s="23"/>
      <c r="Y496" s="8"/>
      <c r="Z496" s="8"/>
      <c r="AA496" s="8"/>
      <c r="AB496" s="8"/>
      <c r="AC496" s="8"/>
    </row>
    <row r="497" customFormat="false" ht="15" hidden="false" customHeight="false" outlineLevel="0" collapsed="false">
      <c r="A497" s="9" t="n">
        <v>46304</v>
      </c>
      <c r="B497" s="11" t="s">
        <v>22</v>
      </c>
      <c r="C497" s="11" t="s">
        <v>23</v>
      </c>
      <c r="D497" s="11" t="s">
        <v>388</v>
      </c>
      <c r="E497" s="11" t="str">
        <f aca="false" t="array" ref="E497:E497">IF(D497="","",IFERROR(INDEX('CLM &amp; IM Mapping'!$B$2:$B$270,MATCH(TRIM(D497),'CLM &amp; IM Mapping'!$A$2:$A$270,0)),"Not Mapped"))</f>
        <v>Arun Raj</v>
      </c>
      <c r="F497" s="11" t="str">
        <f aca="false" t="array" ref="F497:F497">IF(D497="","",IFERROR(INDEX('CLM &amp; IM Mapping'!$C$2:$C$270,MATCH(TRIM(D497),'CLM &amp; IM Mapping'!$A$2:$A$270,0)),"Not Mapped"))</f>
        <v>Simon Manoharan</v>
      </c>
      <c r="G497" s="11" t="s">
        <v>34</v>
      </c>
      <c r="H497" s="10" t="n">
        <v>-4851</v>
      </c>
      <c r="I497" s="10" t="n">
        <v>2664</v>
      </c>
      <c r="J497" s="10" t="n">
        <v>0</v>
      </c>
      <c r="K497" s="10" t="n">
        <v>0</v>
      </c>
      <c r="L497" s="10" t="n">
        <v>1355</v>
      </c>
      <c r="M497" s="10" t="n">
        <v>0</v>
      </c>
      <c r="N497" s="10" t="n">
        <v>0</v>
      </c>
      <c r="O497" s="10" t="n">
        <v>0</v>
      </c>
      <c r="P497" s="10" t="n">
        <v>-832</v>
      </c>
      <c r="Q497" s="10"/>
      <c r="R497" s="11"/>
      <c r="S497" s="22"/>
      <c r="T497" s="11"/>
      <c r="U497" s="21"/>
      <c r="V497" s="15"/>
      <c r="W497" s="23"/>
      <c r="X497" s="23"/>
      <c r="Y497" s="8"/>
      <c r="Z497" s="8"/>
      <c r="AA497" s="8"/>
      <c r="AB497" s="8"/>
      <c r="AC497" s="8"/>
    </row>
    <row r="498" customFormat="false" ht="15" hidden="false" customHeight="false" outlineLevel="0" collapsed="false">
      <c r="A498" s="9" t="n">
        <v>46304</v>
      </c>
      <c r="B498" s="11" t="s">
        <v>22</v>
      </c>
      <c r="C498" s="11" t="s">
        <v>23</v>
      </c>
      <c r="D498" s="11" t="s">
        <v>323</v>
      </c>
      <c r="E498" s="11" t="str">
        <f aca="false" t="array" ref="E498:E498">IF(D498="","",IFERROR(INDEX('CLM &amp; IM Mapping'!$B$2:$B$270,MATCH(TRIM(D498),'CLM &amp; IM Mapping'!$A$2:$A$270,0)),"Not Mapped"))</f>
        <v>Vishnu V</v>
      </c>
      <c r="F498" s="11" t="str">
        <f aca="false" t="array" ref="F498:F498">IF(D498="","",IFERROR(INDEX('CLM &amp; IM Mapping'!$C$2:$C$270,MATCH(TRIM(D498),'CLM &amp; IM Mapping'!$A$2:$A$270,0)),"Not Mapped"))</f>
        <v>Arivind S</v>
      </c>
      <c r="G498" s="11" t="s">
        <v>34</v>
      </c>
      <c r="H498" s="10" t="n">
        <v>4136</v>
      </c>
      <c r="I498" s="10" t="n">
        <v>2880</v>
      </c>
      <c r="J498" s="10" t="n">
        <v>0</v>
      </c>
      <c r="K498" s="10" t="n">
        <v>0</v>
      </c>
      <c r="L498" s="10" t="n">
        <v>7</v>
      </c>
      <c r="M498" s="10" t="n">
        <v>0</v>
      </c>
      <c r="N498" s="10" t="n">
        <v>0</v>
      </c>
      <c r="O498" s="10" t="n">
        <v>0</v>
      </c>
      <c r="P498" s="10" t="n">
        <v>7023</v>
      </c>
      <c r="Q498" s="10"/>
      <c r="R498" s="10"/>
      <c r="S498" s="22"/>
      <c r="T498" s="11"/>
      <c r="U498" s="21"/>
      <c r="V498" s="15"/>
      <c r="W498" s="23"/>
      <c r="X498" s="23"/>
      <c r="Y498" s="8"/>
      <c r="Z498" s="8"/>
      <c r="AA498" s="8"/>
      <c r="AB498" s="8"/>
      <c r="AC498" s="8"/>
    </row>
    <row r="499" customFormat="false" ht="15" hidden="false" customHeight="false" outlineLevel="0" collapsed="false">
      <c r="A499" s="9" t="n">
        <v>46304</v>
      </c>
      <c r="B499" s="11" t="s">
        <v>22</v>
      </c>
      <c r="C499" s="11" t="s">
        <v>23</v>
      </c>
      <c r="D499" s="11" t="s">
        <v>248</v>
      </c>
      <c r="E499" s="11" t="str">
        <f aca="false" t="array" ref="E499:E499">IF(D499="","",IFERROR(INDEX('CLM &amp; IM Mapping'!$B$2:$B$270,MATCH(TRIM(D499),'CLM &amp; IM Mapping'!$A$2:$A$270,0)),"Not Mapped"))</f>
        <v>Arun Raj</v>
      </c>
      <c r="F499" s="11" t="str">
        <f aca="false" t="array" ref="F499:F499">IF(D499="","",IFERROR(INDEX('CLM &amp; IM Mapping'!$C$2:$C$270,MATCH(TRIM(D499),'CLM &amp; IM Mapping'!$A$2:$A$270,0)),"Not Mapped"))</f>
        <v>Simon Manoharan</v>
      </c>
      <c r="G499" s="11" t="s">
        <v>25</v>
      </c>
      <c r="H499" s="10" t="n">
        <v>-502</v>
      </c>
      <c r="I499" s="10" t="n">
        <v>13226</v>
      </c>
      <c r="J499" s="10" t="n">
        <v>0</v>
      </c>
      <c r="K499" s="10" t="n">
        <v>0</v>
      </c>
      <c r="L499" s="10" t="n">
        <v>1374</v>
      </c>
      <c r="M499" s="10" t="n">
        <v>0</v>
      </c>
      <c r="N499" s="10" t="n">
        <v>0</v>
      </c>
      <c r="O499" s="10" t="n">
        <v>0</v>
      </c>
      <c r="P499" s="10" t="n">
        <v>14098</v>
      </c>
      <c r="Q499" s="10"/>
      <c r="R499" s="11"/>
      <c r="S499" s="22"/>
      <c r="T499" s="11"/>
      <c r="U499" s="21"/>
      <c r="V499" s="15"/>
      <c r="W499" s="23"/>
      <c r="X499" s="23"/>
      <c r="Y499" s="8"/>
      <c r="Z499" s="8"/>
      <c r="AA499" s="8"/>
      <c r="AB499" s="8"/>
      <c r="AC499" s="8"/>
    </row>
    <row r="500" customFormat="false" ht="15" hidden="false" customHeight="false" outlineLevel="0" collapsed="false">
      <c r="A500" s="9" t="n">
        <v>46304</v>
      </c>
      <c r="B500" s="11" t="s">
        <v>22</v>
      </c>
      <c r="C500" s="11" t="s">
        <v>221</v>
      </c>
      <c r="D500" s="11" t="s">
        <v>421</v>
      </c>
      <c r="E500" s="11" t="str">
        <f aca="false" t="array" ref="E500:E500">IF(D500="","",IFERROR(INDEX('CLM &amp; IM Mapping'!$B$2:$B$270,MATCH(TRIM(D500),'CLM &amp; IM Mapping'!$A$2:$A$270,0)),"Not Mapped"))</f>
        <v>Santhosha M</v>
      </c>
      <c r="F500" s="11" t="str">
        <f aca="false" t="array" ref="F500:F500">IF(D500="","",IFERROR(INDEX('CLM &amp; IM Mapping'!$C$2:$C$270,MATCH(TRIM(D500),'CLM &amp; IM Mapping'!$A$2:$A$270,0)),"Not Mapped"))</f>
        <v>Aravind S</v>
      </c>
      <c r="G500" s="11" t="s">
        <v>34</v>
      </c>
      <c r="H500" s="10" t="n">
        <v>-6447</v>
      </c>
      <c r="I500" s="10" t="n">
        <v>0</v>
      </c>
      <c r="J500" s="10" t="n">
        <v>0</v>
      </c>
      <c r="K500" s="10" t="n">
        <v>0</v>
      </c>
      <c r="L500" s="10" t="n">
        <v>0</v>
      </c>
      <c r="M500" s="10" t="n">
        <v>0</v>
      </c>
      <c r="N500" s="10" t="n">
        <v>0</v>
      </c>
      <c r="O500" s="10" t="n">
        <v>0</v>
      </c>
      <c r="P500" s="10" t="n">
        <v>-6447</v>
      </c>
      <c r="Q500" s="10"/>
      <c r="R500" s="10"/>
      <c r="S500" s="22"/>
      <c r="T500" s="11"/>
      <c r="U500" s="21"/>
      <c r="V500" s="15"/>
      <c r="W500" s="23"/>
      <c r="X500" s="23"/>
      <c r="Y500" s="8"/>
      <c r="Z500" s="8"/>
      <c r="AA500" s="8"/>
      <c r="AB500" s="8"/>
      <c r="AC500" s="8"/>
    </row>
    <row r="501" customFormat="false" ht="15" hidden="false" customHeight="false" outlineLevel="0" collapsed="false">
      <c r="A501" s="9" t="n">
        <v>46304</v>
      </c>
      <c r="B501" s="11" t="s">
        <v>22</v>
      </c>
      <c r="C501" s="11" t="s">
        <v>23</v>
      </c>
      <c r="D501" s="11" t="s">
        <v>468</v>
      </c>
      <c r="E501" s="11" t="str">
        <f aca="false" t="array" ref="E501:E501">IF(D501="","",IFERROR(INDEX('CLM &amp; IM Mapping'!$B$2:$B$270,MATCH(TRIM(D501),'CLM &amp; IM Mapping'!$A$2:$A$270,0)),"Not Mapped"))</f>
        <v>Suhas N</v>
      </c>
      <c r="F501" s="11" t="str">
        <f aca="false" t="array" ref="F501:F501">IF(D501="","",IFERROR(INDEX('CLM &amp; IM Mapping'!$C$2:$C$270,MATCH(TRIM(D501),'CLM &amp; IM Mapping'!$A$2:$A$270,0)),"Not Mapped"))</f>
        <v>Aravind S</v>
      </c>
      <c r="G501" s="11" t="s">
        <v>25</v>
      </c>
      <c r="H501" s="10" t="n">
        <v>-23678</v>
      </c>
      <c r="I501" s="10" t="n">
        <v>13443</v>
      </c>
      <c r="J501" s="10" t="n">
        <v>0</v>
      </c>
      <c r="K501" s="10" t="n">
        <v>842</v>
      </c>
      <c r="L501" s="10" t="n">
        <v>710</v>
      </c>
      <c r="M501" s="10" t="n">
        <v>0</v>
      </c>
      <c r="N501" s="10" t="n">
        <v>1082</v>
      </c>
      <c r="O501" s="10" t="n">
        <v>1092</v>
      </c>
      <c r="P501" s="10" t="n">
        <v>-6510</v>
      </c>
      <c r="Q501" s="10"/>
      <c r="R501" s="10"/>
      <c r="S501" s="22"/>
      <c r="T501" s="11"/>
      <c r="U501" s="21"/>
      <c r="V501" s="15"/>
      <c r="W501" s="23"/>
      <c r="X501" s="23"/>
      <c r="Y501" s="8"/>
      <c r="Z501" s="8"/>
      <c r="AA501" s="8"/>
      <c r="AB501" s="8"/>
      <c r="AC501" s="8"/>
    </row>
    <row r="502" customFormat="false" ht="15" hidden="false" customHeight="false" outlineLevel="0" collapsed="false">
      <c r="A502" s="9" t="n">
        <v>46304</v>
      </c>
      <c r="B502" s="11" t="s">
        <v>22</v>
      </c>
      <c r="C502" s="11" t="s">
        <v>276</v>
      </c>
      <c r="D502" s="11" t="s">
        <v>191</v>
      </c>
      <c r="E502" s="11" t="str">
        <f aca="false" t="array" ref="E502:E502">IF(D502="","",IFERROR(INDEX('CLM &amp; IM Mapping'!$B$2:$B$270,MATCH(TRIM(D502),'CLM &amp; IM Mapping'!$A$2:$A$270,0)),"Not Mapped"))</f>
        <v>Adhavan Subramani</v>
      </c>
      <c r="F502" s="11" t="str">
        <f aca="false" t="array" ref="F502:F502">IF(D502="","",IFERROR(INDEX('CLM &amp; IM Mapping'!$C$2:$C$270,MATCH(TRIM(D502),'CLM &amp; IM Mapping'!$A$2:$A$270,0)),"Not Mapped"))</f>
        <v>Mohammed Akbar</v>
      </c>
      <c r="G502" s="11" t="s">
        <v>34</v>
      </c>
      <c r="H502" s="10" t="n">
        <v>-9054</v>
      </c>
      <c r="I502" s="10" t="n">
        <v>0</v>
      </c>
      <c r="J502" s="10" t="n">
        <v>0</v>
      </c>
      <c r="K502" s="10" t="n">
        <v>45338</v>
      </c>
      <c r="L502" s="10" t="n">
        <v>0</v>
      </c>
      <c r="M502" s="10" t="n">
        <v>0</v>
      </c>
      <c r="N502" s="10" t="n">
        <v>0</v>
      </c>
      <c r="O502" s="10" t="n">
        <v>0</v>
      </c>
      <c r="P502" s="10" t="n">
        <v>36284</v>
      </c>
      <c r="Q502" s="10"/>
      <c r="R502" s="10"/>
      <c r="S502" s="22"/>
      <c r="T502" s="11"/>
      <c r="U502" s="21"/>
      <c r="V502" s="15"/>
      <c r="W502" s="23"/>
      <c r="X502" s="23"/>
      <c r="Y502" s="8"/>
      <c r="Z502" s="8"/>
      <c r="AA502" s="8"/>
      <c r="AB502" s="8"/>
      <c r="AC502" s="8"/>
    </row>
    <row r="503" customFormat="false" ht="15" hidden="false" customHeight="false" outlineLevel="0" collapsed="false">
      <c r="A503" s="9" t="n">
        <v>46304</v>
      </c>
      <c r="B503" s="11" t="s">
        <v>22</v>
      </c>
      <c r="C503" s="11" t="s">
        <v>23</v>
      </c>
      <c r="D503" s="11" t="s">
        <v>461</v>
      </c>
      <c r="E503" s="11" t="str">
        <f aca="false" t="array" ref="E503:E503">IF(D503="","",IFERROR(INDEX('CLM &amp; IM Mapping'!$B$2:$B$270,MATCH(TRIM(D503),'CLM &amp; IM Mapping'!$A$2:$A$270,0)),"Not Mapped"))</f>
        <v>Arun Raj</v>
      </c>
      <c r="F503" s="11" t="str">
        <f aca="false" t="array" ref="F503:F503">IF(D503="","",IFERROR(INDEX('CLM &amp; IM Mapping'!$C$2:$C$270,MATCH(TRIM(D503),'CLM &amp; IM Mapping'!$A$2:$A$270,0)),"Not Mapped"))</f>
        <v>Simon Manoharan</v>
      </c>
      <c r="G503" s="11" t="s">
        <v>34</v>
      </c>
      <c r="H503" s="10" t="n">
        <v>-13505</v>
      </c>
      <c r="I503" s="10" t="n">
        <v>3626</v>
      </c>
      <c r="J503" s="10" t="n">
        <v>0</v>
      </c>
      <c r="K503" s="10" t="n">
        <v>0</v>
      </c>
      <c r="L503" s="10" t="n">
        <v>0</v>
      </c>
      <c r="M503" s="10" t="n">
        <v>0</v>
      </c>
      <c r="N503" s="10" t="n">
        <v>0</v>
      </c>
      <c r="O503" s="10" t="n">
        <v>0</v>
      </c>
      <c r="P503" s="10" t="n">
        <v>-9880</v>
      </c>
      <c r="Q503" s="10"/>
      <c r="R503" s="10"/>
      <c r="S503" s="22"/>
      <c r="T503" s="11"/>
      <c r="U503" s="21"/>
      <c r="V503" s="15"/>
      <c r="W503" s="23"/>
      <c r="X503" s="23"/>
      <c r="Y503" s="8"/>
      <c r="Z503" s="8"/>
      <c r="AA503" s="8"/>
      <c r="AB503" s="8"/>
      <c r="AC503" s="8"/>
    </row>
    <row r="504" customFormat="false" ht="15" hidden="false" customHeight="false" outlineLevel="0" collapsed="false">
      <c r="A504" s="9" t="n">
        <v>46304</v>
      </c>
      <c r="B504" s="11" t="s">
        <v>22</v>
      </c>
      <c r="C504" s="11" t="s">
        <v>23</v>
      </c>
      <c r="D504" s="11" t="s">
        <v>227</v>
      </c>
      <c r="E504" s="11" t="str">
        <f aca="false" t="array" ref="E504:E504">IF(D504="","",IFERROR(INDEX('CLM &amp; IM Mapping'!$B$2:$B$270,MATCH(TRIM(D504),'CLM &amp; IM Mapping'!$A$2:$A$270,0)),"Not Mapped"))</f>
        <v>Vijay M</v>
      </c>
      <c r="F504" s="11" t="str">
        <f aca="false" t="array" ref="F504:F504">IF(D504="","",IFERROR(INDEX('CLM &amp; IM Mapping'!$C$2:$C$270,MATCH(TRIM(D504),'CLM &amp; IM Mapping'!$A$2:$A$270,0)),"Not Mapped"))</f>
        <v>Kantha Kumar</v>
      </c>
      <c r="G504" s="11" t="s">
        <v>34</v>
      </c>
      <c r="H504" s="10" t="n">
        <v>-2319</v>
      </c>
      <c r="I504" s="10" t="n">
        <v>16159</v>
      </c>
      <c r="J504" s="10" t="n">
        <v>0</v>
      </c>
      <c r="K504" s="10" t="n">
        <v>62</v>
      </c>
      <c r="L504" s="10" t="n">
        <v>1745</v>
      </c>
      <c r="M504" s="10" t="n">
        <v>0</v>
      </c>
      <c r="N504" s="10" t="n">
        <v>1560</v>
      </c>
      <c r="O504" s="10" t="n">
        <v>0</v>
      </c>
      <c r="P504" s="10" t="n">
        <v>17206</v>
      </c>
      <c r="Q504" s="10"/>
      <c r="R504" s="10"/>
      <c r="S504" s="22"/>
      <c r="T504" s="11"/>
      <c r="U504" s="21"/>
      <c r="V504" s="15"/>
      <c r="W504" s="23"/>
      <c r="X504" s="23"/>
      <c r="Y504" s="8"/>
      <c r="Z504" s="8"/>
      <c r="AA504" s="8"/>
      <c r="AB504" s="8"/>
      <c r="AC504" s="8"/>
    </row>
    <row r="505" customFormat="false" ht="44" hidden="false" customHeight="false" outlineLevel="0" collapsed="false">
      <c r="A505" s="9" t="n">
        <v>46304</v>
      </c>
      <c r="B505" s="11" t="s">
        <v>22</v>
      </c>
      <c r="C505" s="11" t="s">
        <v>23</v>
      </c>
      <c r="D505" s="11" t="s">
        <v>111</v>
      </c>
      <c r="E505" s="11" t="str">
        <f aca="false" t="array" ref="E505:E505">IF(D505="","",IFERROR(INDEX('CLM &amp; IM Mapping'!$B$2:$B$270,MATCH(TRIM(D505),'CLM &amp; IM Mapping'!$A$2:$A$270,0)),"Not Mapped"))</f>
        <v>Narasimhamurthy R</v>
      </c>
      <c r="F505" s="11" t="str">
        <f aca="false" t="array" ref="F505:F505">IF(D505="","",IFERROR(INDEX('CLM &amp; IM Mapping'!$C$2:$C$270,MATCH(TRIM(D505),'CLM &amp; IM Mapping'!$A$2:$A$270,0)),"Not Mapped"))</f>
        <v>Kishor K</v>
      </c>
      <c r="G505" s="11" t="s">
        <v>25</v>
      </c>
      <c r="H505" s="10" t="n">
        <v>10238</v>
      </c>
      <c r="I505" s="10" t="n">
        <v>25667</v>
      </c>
      <c r="J505" s="10" t="n">
        <v>0</v>
      </c>
      <c r="K505" s="10" t="n">
        <v>0</v>
      </c>
      <c r="L505" s="10" t="n">
        <v>843</v>
      </c>
      <c r="M505" s="10" t="n">
        <v>0</v>
      </c>
      <c r="N505" s="10" t="n">
        <v>0</v>
      </c>
      <c r="O505" s="10" t="n">
        <v>0</v>
      </c>
      <c r="P505" s="10" t="n">
        <v>36748</v>
      </c>
      <c r="Q505" s="10"/>
      <c r="R505" s="10"/>
      <c r="S505" s="22" t="s">
        <v>546</v>
      </c>
      <c r="T505" s="11" t="n">
        <v>30000</v>
      </c>
      <c r="U505" s="21"/>
      <c r="V505" s="15"/>
      <c r="W505" s="23"/>
      <c r="X505" s="23"/>
      <c r="Y505" s="8"/>
      <c r="Z505" s="8"/>
      <c r="AA505" s="8"/>
      <c r="AB505" s="8"/>
      <c r="AC505" s="8"/>
    </row>
    <row r="506" customFormat="false" ht="15" hidden="false" customHeight="false" outlineLevel="0" collapsed="false">
      <c r="A506" s="9" t="n">
        <v>46304</v>
      </c>
      <c r="B506" s="11" t="s">
        <v>22</v>
      </c>
      <c r="C506" s="11" t="s">
        <v>23</v>
      </c>
      <c r="D506" s="11" t="s">
        <v>245</v>
      </c>
      <c r="E506" s="11" t="str">
        <f aca="false" t="array" ref="E506:E506">IF(D506="","",IFERROR(INDEX('CLM &amp; IM Mapping'!$B$2:$B$270,MATCH(TRIM(D506),'CLM &amp; IM Mapping'!$A$2:$A$270,0)),"Not Mapped"))</f>
        <v>Adhavan Subramani</v>
      </c>
      <c r="F506" s="11" t="str">
        <f aca="false" t="array" ref="F506:F506">IF(D506="","",IFERROR(INDEX('CLM &amp; IM Mapping'!$C$2:$C$270,MATCH(TRIM(D506),'CLM &amp; IM Mapping'!$A$2:$A$270,0)),"Not Mapped"))</f>
        <v>Mohammed Akbar</v>
      </c>
      <c r="G506" s="11" t="s">
        <v>34</v>
      </c>
      <c r="H506" s="10" t="n">
        <v>-17909</v>
      </c>
      <c r="I506" s="10" t="n">
        <v>18209</v>
      </c>
      <c r="J506" s="10" t="n">
        <v>929</v>
      </c>
      <c r="K506" s="10" t="n">
        <v>421</v>
      </c>
      <c r="L506" s="10" t="n">
        <v>1561</v>
      </c>
      <c r="M506" s="10" t="n">
        <v>0</v>
      </c>
      <c r="N506" s="10" t="n">
        <v>59</v>
      </c>
      <c r="O506" s="10" t="n">
        <v>330</v>
      </c>
      <c r="P506" s="10" t="n">
        <v>3599</v>
      </c>
      <c r="Q506" s="10"/>
      <c r="R506" s="10"/>
      <c r="S506" s="22"/>
      <c r="T506" s="11"/>
      <c r="U506" s="21"/>
      <c r="V506" s="15"/>
      <c r="W506" s="23"/>
      <c r="X506" s="23"/>
      <c r="Y506" s="8"/>
      <c r="Z506" s="8"/>
      <c r="AA506" s="8"/>
      <c r="AB506" s="8"/>
      <c r="AC506" s="8"/>
    </row>
    <row r="507" customFormat="false" ht="15" hidden="false" customHeight="false" outlineLevel="0" collapsed="false">
      <c r="A507" s="9" t="n">
        <v>46304</v>
      </c>
      <c r="B507" s="11" t="s">
        <v>22</v>
      </c>
      <c r="C507" s="11" t="s">
        <v>23</v>
      </c>
      <c r="D507" s="11" t="s">
        <v>291</v>
      </c>
      <c r="E507" s="11" t="str">
        <f aca="false" t="array" ref="E507:E507">IF(D507="","",IFERROR(INDEX('CLM &amp; IM Mapping'!$B$2:$B$270,MATCH(TRIM(D507),'CLM &amp; IM Mapping'!$A$2:$A$270,0)),"Not Mapped"))</f>
        <v>Ashwath S</v>
      </c>
      <c r="F507" s="11" t="str">
        <f aca="false" t="array" ref="F507:F507">IF(D507="","",IFERROR(INDEX('CLM &amp; IM Mapping'!$C$2:$C$270,MATCH(TRIM(D507),'CLM &amp; IM Mapping'!$A$2:$A$270,0)),"Not Mapped"))</f>
        <v>Kantha Kumar</v>
      </c>
      <c r="G507" s="11" t="s">
        <v>34</v>
      </c>
      <c r="H507" s="10" t="n">
        <v>2076</v>
      </c>
      <c r="I507" s="10" t="n">
        <v>685</v>
      </c>
      <c r="J507" s="10" t="n">
        <v>0</v>
      </c>
      <c r="K507" s="10" t="n">
        <v>0</v>
      </c>
      <c r="L507" s="10" t="n">
        <v>735</v>
      </c>
      <c r="M507" s="10" t="n">
        <v>0</v>
      </c>
      <c r="N507" s="10" t="n">
        <v>219</v>
      </c>
      <c r="O507" s="10" t="n">
        <v>0</v>
      </c>
      <c r="P507" s="10" t="n">
        <v>3715</v>
      </c>
      <c r="Q507" s="10"/>
      <c r="R507" s="10"/>
      <c r="S507" s="22"/>
      <c r="T507" s="11"/>
      <c r="U507" s="21"/>
      <c r="V507" s="15"/>
      <c r="W507" s="23"/>
      <c r="X507" s="23"/>
      <c r="Y507" s="8"/>
      <c r="Z507" s="8"/>
      <c r="AA507" s="8"/>
      <c r="AB507" s="8"/>
      <c r="AC507" s="8"/>
    </row>
    <row r="508" customFormat="false" ht="15" hidden="false" customHeight="false" outlineLevel="0" collapsed="false">
      <c r="A508" s="9" t="n">
        <v>46304</v>
      </c>
      <c r="B508" s="11" t="s">
        <v>22</v>
      </c>
      <c r="C508" s="11" t="s">
        <v>23</v>
      </c>
      <c r="D508" s="11" t="s">
        <v>491</v>
      </c>
      <c r="E508" s="11" t="str">
        <f aca="false" t="array" ref="E508:E508">IF(D508="","",IFERROR(INDEX('CLM &amp; IM Mapping'!$B$2:$B$270,MATCH(TRIM(D508),'CLM &amp; IM Mapping'!$A$2:$A$270,0)),"Not Mapped"))</f>
        <v>Manjunatha V</v>
      </c>
      <c r="F508" s="11" t="str">
        <f aca="false" t="array" ref="F508:F508">IF(D508="","",IFERROR(INDEX('CLM &amp; IM Mapping'!$C$2:$C$270,MATCH(TRIM(D508),'CLM &amp; IM Mapping'!$A$2:$A$270,0)),"Not Mapped"))</f>
        <v>Un Mapped</v>
      </c>
      <c r="G508" s="11" t="s">
        <v>34</v>
      </c>
      <c r="H508" s="10" t="n">
        <v>-15928</v>
      </c>
      <c r="I508" s="10" t="n">
        <v>2362</v>
      </c>
      <c r="J508" s="10" t="n">
        <v>0</v>
      </c>
      <c r="K508" s="10" t="n">
        <v>971</v>
      </c>
      <c r="L508" s="10" t="n">
        <v>1083</v>
      </c>
      <c r="M508" s="10" t="n">
        <v>0</v>
      </c>
      <c r="N508" s="10" t="n">
        <v>323</v>
      </c>
      <c r="O508" s="10" t="n">
        <v>446</v>
      </c>
      <c r="P508" s="10" t="n">
        <v>-10743</v>
      </c>
      <c r="Q508" s="10"/>
      <c r="R508" s="10"/>
      <c r="S508" s="22"/>
      <c r="T508" s="11"/>
      <c r="U508" s="21"/>
      <c r="V508" s="15"/>
      <c r="W508" s="23"/>
      <c r="X508" s="23"/>
      <c r="Y508" s="8"/>
      <c r="Z508" s="8"/>
      <c r="AA508" s="8"/>
      <c r="AB508" s="8"/>
      <c r="AC508" s="8"/>
    </row>
    <row r="509" customFormat="false" ht="15" hidden="false" customHeight="false" outlineLevel="0" collapsed="false">
      <c r="A509" s="9" t="n">
        <v>46304</v>
      </c>
      <c r="B509" s="11" t="s">
        <v>22</v>
      </c>
      <c r="C509" s="11" t="s">
        <v>23</v>
      </c>
      <c r="D509" s="11" t="s">
        <v>498</v>
      </c>
      <c r="E509" s="11" t="str">
        <f aca="false" t="array" ref="E509:E509">IF(D509="","",IFERROR(INDEX('CLM &amp; IM Mapping'!$B$2:$B$270,MATCH(TRIM(D509),'CLM &amp; IM Mapping'!$A$2:$A$270,0)),"Not Mapped"))</f>
        <v>Adhavan Subramani</v>
      </c>
      <c r="F509" s="11" t="str">
        <f aca="false" t="array" ref="F509:F509">IF(D509="","",IFERROR(INDEX('CLM &amp; IM Mapping'!$C$2:$C$270,MATCH(TRIM(D509),'CLM &amp; IM Mapping'!$A$2:$A$270,0)),"Not Mapped"))</f>
        <v>Mohammed Akbar</v>
      </c>
      <c r="G509" s="11" t="s">
        <v>34</v>
      </c>
      <c r="H509" s="10" t="n">
        <v>-13971</v>
      </c>
      <c r="I509" s="10" t="n">
        <v>153</v>
      </c>
      <c r="J509" s="10" t="n">
        <v>0</v>
      </c>
      <c r="K509" s="10" t="n">
        <v>0</v>
      </c>
      <c r="L509" s="10" t="n">
        <v>51</v>
      </c>
      <c r="M509" s="10" t="n">
        <v>0</v>
      </c>
      <c r="N509" s="10" t="n">
        <v>0</v>
      </c>
      <c r="O509" s="10" t="n">
        <v>0</v>
      </c>
      <c r="P509" s="10" t="n">
        <v>-13767</v>
      </c>
      <c r="Q509" s="10"/>
      <c r="R509" s="10"/>
      <c r="S509" s="22"/>
      <c r="T509" s="11"/>
      <c r="U509" s="21"/>
      <c r="V509" s="15"/>
      <c r="W509" s="23"/>
      <c r="X509" s="23"/>
      <c r="Y509" s="8"/>
      <c r="Z509" s="8"/>
      <c r="AA509" s="8"/>
      <c r="AB509" s="8"/>
      <c r="AC509" s="8"/>
    </row>
    <row r="510" customFormat="false" ht="15" hidden="false" customHeight="false" outlineLevel="0" collapsed="false">
      <c r="A510" s="9" t="n">
        <v>46304</v>
      </c>
      <c r="B510" s="11" t="s">
        <v>22</v>
      </c>
      <c r="C510" s="11" t="s">
        <v>23</v>
      </c>
      <c r="D510" s="11" t="s">
        <v>265</v>
      </c>
      <c r="E510" s="11" t="str">
        <f aca="false" t="array" ref="E510:E510">IF(D510="","",IFERROR(INDEX('CLM &amp; IM Mapping'!$B$2:$B$270,MATCH(TRIM(D510),'CLM &amp; IM Mapping'!$A$2:$A$270,0)),"Not Mapped"))</f>
        <v>Adhavan Subramani</v>
      </c>
      <c r="F510" s="11" t="str">
        <f aca="false" t="array" ref="F510:F510">IF(D510="","",IFERROR(INDEX('CLM &amp; IM Mapping'!$C$2:$C$270,MATCH(TRIM(D510),'CLM &amp; IM Mapping'!$A$2:$A$270,0)),"Not Mapped"))</f>
        <v>Mohammed Akbar</v>
      </c>
      <c r="G510" s="11" t="s">
        <v>34</v>
      </c>
      <c r="H510" s="10" t="n">
        <v>-3293</v>
      </c>
      <c r="I510" s="10" t="n">
        <v>0</v>
      </c>
      <c r="J510" s="10" t="n">
        <v>0</v>
      </c>
      <c r="K510" s="10" t="n">
        <v>0</v>
      </c>
      <c r="L510" s="10" t="n">
        <v>2681</v>
      </c>
      <c r="M510" s="10" t="n">
        <v>0</v>
      </c>
      <c r="N510" s="10" t="n">
        <v>8854</v>
      </c>
      <c r="O510" s="10" t="n">
        <v>0</v>
      </c>
      <c r="P510" s="10" t="n">
        <v>8242</v>
      </c>
      <c r="Q510" s="10"/>
      <c r="R510" s="10"/>
      <c r="S510" s="22"/>
      <c r="T510" s="11"/>
      <c r="U510" s="21"/>
      <c r="V510" s="15"/>
      <c r="W510" s="23"/>
      <c r="X510" s="23"/>
      <c r="Y510" s="8"/>
      <c r="Z510" s="8"/>
      <c r="AA510" s="8"/>
      <c r="AB510" s="8"/>
      <c r="AC510" s="8"/>
    </row>
    <row r="511" customFormat="false" ht="15" hidden="false" customHeight="false" outlineLevel="0" collapsed="false">
      <c r="A511" s="9" t="n">
        <v>46304</v>
      </c>
      <c r="B511" s="11" t="s">
        <v>22</v>
      </c>
      <c r="C511" s="11" t="s">
        <v>23</v>
      </c>
      <c r="D511" s="11" t="s">
        <v>252</v>
      </c>
      <c r="E511" s="11" t="str">
        <f aca="false" t="array" ref="E511:E511">IF(D511="","",IFERROR(INDEX('CLM &amp; IM Mapping'!$B$2:$B$270,MATCH(TRIM(D511),'CLM &amp; IM Mapping'!$A$2:$A$270,0)),"Not Mapped"))</f>
        <v>Vishnu V</v>
      </c>
      <c r="F511" s="11" t="str">
        <f aca="false" t="array" ref="F511:F511">IF(D511="","",IFERROR(INDEX('CLM &amp; IM Mapping'!$C$2:$C$270,MATCH(TRIM(D511),'CLM &amp; IM Mapping'!$A$2:$A$270,0)),"Not Mapped"))</f>
        <v>Arivind S</v>
      </c>
      <c r="G511" s="11" t="s">
        <v>34</v>
      </c>
      <c r="H511" s="10" t="n">
        <v>-2843</v>
      </c>
      <c r="I511" s="10" t="n">
        <v>9635</v>
      </c>
      <c r="J511" s="10" t="n">
        <v>281</v>
      </c>
      <c r="K511" s="10" t="n">
        <v>1368</v>
      </c>
      <c r="L511" s="10" t="n">
        <v>735</v>
      </c>
      <c r="M511" s="10" t="n">
        <v>0</v>
      </c>
      <c r="N511" s="10" t="n">
        <v>0</v>
      </c>
      <c r="O511" s="10" t="n">
        <v>0</v>
      </c>
      <c r="P511" s="10" t="n">
        <v>9176</v>
      </c>
      <c r="Q511" s="10"/>
      <c r="R511" s="10"/>
      <c r="S511" s="22"/>
      <c r="T511" s="11"/>
      <c r="U511" s="21"/>
      <c r="V511" s="15"/>
      <c r="W511" s="23"/>
      <c r="X511" s="23"/>
      <c r="Y511" s="8"/>
      <c r="Z511" s="8"/>
      <c r="AA511" s="8"/>
      <c r="AB511" s="8"/>
      <c r="AC511" s="8"/>
    </row>
    <row r="512" customFormat="false" ht="15" hidden="false" customHeight="false" outlineLevel="0" collapsed="false">
      <c r="A512" s="9" t="n">
        <v>46304</v>
      </c>
      <c r="B512" s="11" t="s">
        <v>22</v>
      </c>
      <c r="C512" s="11" t="s">
        <v>23</v>
      </c>
      <c r="D512" s="11" t="s">
        <v>450</v>
      </c>
      <c r="E512" s="11" t="str">
        <f aca="false" t="array" ref="E512:E512">IF(D512="","",IFERROR(INDEX('CLM &amp; IM Mapping'!$B$2:$B$270,MATCH(TRIM(D512),'CLM &amp; IM Mapping'!$A$2:$A$270,0)),"Not Mapped"))</f>
        <v>Santhosha M</v>
      </c>
      <c r="F512" s="11" t="str">
        <f aca="false" t="array" ref="F512:F512">IF(D512="","",IFERROR(INDEX('CLM &amp; IM Mapping'!$C$2:$C$270,MATCH(TRIM(D512),'CLM &amp; IM Mapping'!$A$2:$A$270,0)),"Not Mapped"))</f>
        <v>Aravind S</v>
      </c>
      <c r="G512" s="11" t="s">
        <v>34</v>
      </c>
      <c r="H512" s="10" t="n">
        <v>-13222</v>
      </c>
      <c r="I512" s="10" t="n">
        <v>392</v>
      </c>
      <c r="J512" s="10" t="n">
        <v>0</v>
      </c>
      <c r="K512" s="10" t="n">
        <v>939</v>
      </c>
      <c r="L512" s="10" t="n">
        <v>380</v>
      </c>
      <c r="M512" s="10" t="n">
        <v>0</v>
      </c>
      <c r="N512" s="10" t="n">
        <v>0</v>
      </c>
      <c r="O512" s="10" t="n">
        <v>0</v>
      </c>
      <c r="P512" s="10" t="n">
        <v>-11511</v>
      </c>
      <c r="Q512" s="10"/>
      <c r="R512" s="10"/>
      <c r="S512" s="22"/>
      <c r="T512" s="11"/>
      <c r="U512" s="21"/>
      <c r="V512" s="15"/>
      <c r="W512" s="23"/>
      <c r="X512" s="23"/>
      <c r="Y512" s="8"/>
      <c r="Z512" s="8"/>
      <c r="AA512" s="8"/>
      <c r="AB512" s="8"/>
      <c r="AC512" s="8"/>
    </row>
    <row r="513" customFormat="false" ht="15" hidden="false" customHeight="false" outlineLevel="0" collapsed="false">
      <c r="A513" s="9" t="n">
        <v>46304</v>
      </c>
      <c r="B513" s="11" t="s">
        <v>22</v>
      </c>
      <c r="C513" s="11" t="s">
        <v>221</v>
      </c>
      <c r="D513" s="11" t="s">
        <v>474</v>
      </c>
      <c r="E513" s="11" t="str">
        <f aca="false" t="array" ref="E513:E513">IF(D513="","",IFERROR(INDEX('CLM &amp; IM Mapping'!$B$2:$B$270,MATCH(TRIM(D513),'CLM &amp; IM Mapping'!$A$2:$A$270,0)),"Not Mapped"))</f>
        <v>Silambarasan E</v>
      </c>
      <c r="F513" s="11" t="str">
        <f aca="false" t="array" ref="F513:F513">IF(D513="","",IFERROR(INDEX('CLM &amp; IM Mapping'!$C$2:$C$270,MATCH(TRIM(D513),'CLM &amp; IM Mapping'!$A$2:$A$270,0)),"Not Mapped"))</f>
        <v>Arivind S</v>
      </c>
      <c r="G513" s="11" t="s">
        <v>34</v>
      </c>
      <c r="H513" s="10" t="n">
        <v>-22369</v>
      </c>
      <c r="I513" s="10" t="n">
        <v>10681</v>
      </c>
      <c r="J513" s="10" t="n">
        <v>179</v>
      </c>
      <c r="K513" s="10" t="n">
        <v>43</v>
      </c>
      <c r="L513" s="10" t="n">
        <v>588</v>
      </c>
      <c r="M513" s="10" t="n">
        <v>0</v>
      </c>
      <c r="N513" s="10" t="n">
        <v>0</v>
      </c>
      <c r="O513" s="10" t="n">
        <v>0</v>
      </c>
      <c r="P513" s="10" t="n">
        <v>-10879</v>
      </c>
      <c r="Q513" s="10"/>
      <c r="R513" s="10"/>
      <c r="S513" s="22"/>
      <c r="T513" s="11"/>
      <c r="U513" s="21"/>
      <c r="V513" s="15"/>
      <c r="W513" s="23"/>
      <c r="X513" s="23"/>
      <c r="Y513" s="8"/>
      <c r="Z513" s="8"/>
      <c r="AA513" s="8"/>
      <c r="AB513" s="8"/>
      <c r="AC513" s="8"/>
    </row>
    <row r="514" customFormat="false" ht="15" hidden="false" customHeight="false" outlineLevel="0" collapsed="false">
      <c r="A514" s="9" t="n">
        <v>46304</v>
      </c>
      <c r="B514" s="11" t="s">
        <v>22</v>
      </c>
      <c r="C514" s="11" t="s">
        <v>276</v>
      </c>
      <c r="D514" s="11" t="s">
        <v>200</v>
      </c>
      <c r="E514" s="11" t="str">
        <f aca="false" t="array" ref="E514:E514">IF(D514="","",IFERROR(INDEX('CLM &amp; IM Mapping'!$B$2:$B$270,MATCH(TRIM(D514),'CLM &amp; IM Mapping'!$A$2:$A$270,0)),"Not Mapped"))</f>
        <v>Adhavan Subramani</v>
      </c>
      <c r="F514" s="11" t="str">
        <f aca="false" t="array" ref="F514:F514">IF(D514="","",IFERROR(INDEX('CLM &amp; IM Mapping'!$C$2:$C$270,MATCH(TRIM(D514),'CLM &amp; IM Mapping'!$A$2:$A$270,0)),"Not Mapped"))</f>
        <v>Mohammed Akbar</v>
      </c>
      <c r="G514" s="11" t="s">
        <v>34</v>
      </c>
      <c r="H514" s="10" t="n">
        <v>17479</v>
      </c>
      <c r="I514" s="10" t="n">
        <v>9167</v>
      </c>
      <c r="J514" s="10" t="n">
        <v>418</v>
      </c>
      <c r="K514" s="10" t="n">
        <v>320</v>
      </c>
      <c r="L514" s="10" t="n">
        <v>630</v>
      </c>
      <c r="M514" s="10" t="n">
        <v>0</v>
      </c>
      <c r="N514" s="10" t="n">
        <v>572</v>
      </c>
      <c r="O514" s="10" t="n">
        <v>84806</v>
      </c>
      <c r="P514" s="10" t="n">
        <v>113393</v>
      </c>
      <c r="Q514" s="10"/>
      <c r="R514" s="10"/>
      <c r="S514" s="22"/>
      <c r="T514" s="11"/>
      <c r="U514" s="21"/>
      <c r="V514" s="15"/>
      <c r="W514" s="23"/>
      <c r="X514" s="23"/>
      <c r="Y514" s="8"/>
      <c r="Z514" s="8"/>
      <c r="AA514" s="8"/>
      <c r="AB514" s="8"/>
      <c r="AC514" s="8"/>
    </row>
    <row r="515" customFormat="false" ht="15" hidden="false" customHeight="false" outlineLevel="0" collapsed="false">
      <c r="A515" s="9" t="n">
        <v>46304</v>
      </c>
      <c r="B515" s="11" t="s">
        <v>22</v>
      </c>
      <c r="C515" s="11" t="s">
        <v>23</v>
      </c>
      <c r="D515" s="11" t="s">
        <v>296</v>
      </c>
      <c r="E515" s="11" t="str">
        <f aca="false" t="array" ref="E515:E515">IF(D515="","",IFERROR(INDEX('CLM &amp; IM Mapping'!$B$2:$B$270,MATCH(TRIM(D515),'CLM &amp; IM Mapping'!$A$2:$A$270,0)),"Not Mapped"))</f>
        <v>Balaji G</v>
      </c>
      <c r="F515" s="11" t="str">
        <f aca="false" t="array" ref="F515:F515">IF(D515="","",IFERROR(INDEX('CLM &amp; IM Mapping'!$C$2:$C$270,MATCH(TRIM(D515),'CLM &amp; IM Mapping'!$A$2:$A$270,0)),"Not Mapped"))</f>
        <v>Mohammed Akbar</v>
      </c>
      <c r="G515" s="11" t="s">
        <v>34</v>
      </c>
      <c r="H515" s="10" t="n">
        <v>710</v>
      </c>
      <c r="I515" s="10" t="n">
        <v>4026</v>
      </c>
      <c r="J515" s="10" t="n">
        <v>0</v>
      </c>
      <c r="K515" s="10" t="n">
        <v>1307</v>
      </c>
      <c r="L515" s="10" t="n">
        <v>416</v>
      </c>
      <c r="M515" s="10" t="n">
        <v>0</v>
      </c>
      <c r="N515" s="10" t="n">
        <v>0</v>
      </c>
      <c r="O515" s="10" t="n">
        <v>0</v>
      </c>
      <c r="P515" s="10" t="n">
        <v>6458</v>
      </c>
      <c r="Q515" s="10"/>
      <c r="R515" s="10"/>
      <c r="S515" s="22"/>
      <c r="T515" s="11"/>
      <c r="U515" s="21"/>
      <c r="V515" s="15"/>
      <c r="W515" s="23"/>
      <c r="X515" s="23"/>
      <c r="Y515" s="8"/>
      <c r="Z515" s="8"/>
      <c r="AA515" s="8"/>
      <c r="AB515" s="8"/>
      <c r="AC515" s="8"/>
    </row>
    <row r="516" customFormat="false" ht="15" hidden="false" customHeight="false" outlineLevel="0" collapsed="false">
      <c r="A516" s="9" t="n">
        <v>46304</v>
      </c>
      <c r="B516" s="11" t="s">
        <v>22</v>
      </c>
      <c r="C516" s="11" t="s">
        <v>23</v>
      </c>
      <c r="D516" s="11" t="s">
        <v>200</v>
      </c>
      <c r="E516" s="11" t="str">
        <f aca="false" t="array" ref="E516:E516">IF(D516="","",IFERROR(INDEX('CLM &amp; IM Mapping'!$B$2:$B$270,MATCH(TRIM(D516),'CLM &amp; IM Mapping'!$A$2:$A$270,0)),"Not Mapped"))</f>
        <v>Adhavan Subramani</v>
      </c>
      <c r="F516" s="11" t="str">
        <f aca="false" t="array" ref="F516:F516">IF(D516="","",IFERROR(INDEX('CLM &amp; IM Mapping'!$C$2:$C$270,MATCH(TRIM(D516),'CLM &amp; IM Mapping'!$A$2:$A$270,0)),"Not Mapped"))</f>
        <v>Mohammed Akbar</v>
      </c>
      <c r="G516" s="11" t="s">
        <v>34</v>
      </c>
      <c r="H516" s="10" t="n">
        <v>17479</v>
      </c>
      <c r="I516" s="10" t="n">
        <v>9167</v>
      </c>
      <c r="J516" s="10" t="n">
        <v>418</v>
      </c>
      <c r="K516" s="10" t="n">
        <v>320</v>
      </c>
      <c r="L516" s="10" t="n">
        <v>630</v>
      </c>
      <c r="M516" s="10" t="n">
        <v>0</v>
      </c>
      <c r="N516" s="10" t="n">
        <v>572</v>
      </c>
      <c r="O516" s="10" t="n">
        <v>84806</v>
      </c>
      <c r="P516" s="10" t="s">
        <v>547</v>
      </c>
      <c r="Q516" s="10"/>
      <c r="R516" s="10"/>
      <c r="S516" s="22"/>
      <c r="T516" s="11"/>
      <c r="U516" s="21"/>
      <c r="V516" s="15"/>
      <c r="W516" s="23"/>
      <c r="X516" s="23"/>
      <c r="Y516" s="8"/>
      <c r="Z516" s="8"/>
      <c r="AA516" s="8"/>
      <c r="AB516" s="8"/>
      <c r="AC516" s="8"/>
    </row>
    <row r="517" customFormat="false" ht="15" hidden="false" customHeight="false" outlineLevel="0" collapsed="false">
      <c r="A517" s="9" t="n">
        <v>46304</v>
      </c>
      <c r="B517" s="11" t="s">
        <v>22</v>
      </c>
      <c r="C517" s="11" t="s">
        <v>23</v>
      </c>
      <c r="D517" s="11" t="s">
        <v>296</v>
      </c>
      <c r="E517" s="11" t="str">
        <f aca="false" t="array" ref="E517:E517">IF(D517="","",IFERROR(INDEX('CLM &amp; IM Mapping'!$B$2:$B$270,MATCH(TRIM(D517),'CLM &amp; IM Mapping'!$A$2:$A$270,0)),"Not Mapped"))</f>
        <v>Balaji G</v>
      </c>
      <c r="F517" s="11" t="str">
        <f aca="false" t="array" ref="F517:F517">IF(D517="","",IFERROR(INDEX('CLM &amp; IM Mapping'!$C$2:$C$270,MATCH(TRIM(D517),'CLM &amp; IM Mapping'!$A$2:$A$270,0)),"Not Mapped"))</f>
        <v>Mohammed Akbar</v>
      </c>
      <c r="G517" s="11" t="s">
        <v>34</v>
      </c>
      <c r="H517" s="10" t="n">
        <v>710</v>
      </c>
      <c r="I517" s="10" t="n">
        <v>4026</v>
      </c>
      <c r="J517" s="10" t="n">
        <v>0</v>
      </c>
      <c r="K517" s="10" t="n">
        <v>1307</v>
      </c>
      <c r="L517" s="10" t="n">
        <v>416</v>
      </c>
      <c r="M517" s="10" t="n">
        <v>0</v>
      </c>
      <c r="N517" s="10" t="n">
        <v>0</v>
      </c>
      <c r="O517" s="10" t="n">
        <v>0</v>
      </c>
      <c r="P517" s="10" t="n">
        <v>6458</v>
      </c>
      <c r="Q517" s="10"/>
      <c r="R517" s="10"/>
      <c r="S517" s="22"/>
      <c r="T517" s="11"/>
      <c r="U517" s="21"/>
      <c r="V517" s="15"/>
      <c r="W517" s="23"/>
      <c r="X517" s="23"/>
      <c r="Y517" s="8"/>
      <c r="Z517" s="8"/>
      <c r="AA517" s="8"/>
      <c r="AB517" s="8"/>
      <c r="AC517" s="8"/>
    </row>
    <row r="518" customFormat="false" ht="15" hidden="false" customHeight="false" outlineLevel="0" collapsed="false">
      <c r="A518" s="9" t="n">
        <v>46304</v>
      </c>
      <c r="B518" s="11" t="s">
        <v>22</v>
      </c>
      <c r="C518" s="11" t="s">
        <v>23</v>
      </c>
      <c r="D518" s="11" t="s">
        <v>369</v>
      </c>
      <c r="E518" s="11" t="str">
        <f aca="false" t="array" ref="E518:E518">IF(D518="","",IFERROR(INDEX('CLM &amp; IM Mapping'!$B$2:$B$270,MATCH(TRIM(D518),'CLM &amp; IM Mapping'!$A$2:$A$270,0)),"Not Mapped"))</f>
        <v>Not Mapped</v>
      </c>
      <c r="F518" s="11" t="str">
        <f aca="false" t="array" ref="F518:F518">IF(D518="","",IFERROR(INDEX('CLM &amp; IM Mapping'!$C$2:$C$270,MATCH(TRIM(D518),'CLM &amp; IM Mapping'!$A$2:$A$270,0)),"Not Mapped"))</f>
        <v>Not Mapped</v>
      </c>
      <c r="G518" s="11" t="s">
        <v>34</v>
      </c>
      <c r="H518" s="10" t="n">
        <v>0</v>
      </c>
      <c r="I518" s="10" t="n">
        <v>0</v>
      </c>
      <c r="J518" s="10" t="n">
        <v>0</v>
      </c>
      <c r="K518" s="10" t="n">
        <v>0</v>
      </c>
      <c r="L518" s="10" t="n">
        <v>0</v>
      </c>
      <c r="M518" s="10" t="n">
        <v>0</v>
      </c>
      <c r="N518" s="10" t="n">
        <v>0</v>
      </c>
      <c r="O518" s="10" t="n">
        <v>0</v>
      </c>
      <c r="P518" s="10" t="n">
        <v>0</v>
      </c>
      <c r="Q518" s="11"/>
      <c r="R518" s="11"/>
      <c r="S518" s="19"/>
      <c r="T518" s="11"/>
      <c r="U518" s="21"/>
      <c r="V518" s="15"/>
      <c r="W518" s="23"/>
      <c r="X518" s="23"/>
      <c r="Y518" s="8"/>
      <c r="Z518" s="8"/>
      <c r="AA518" s="8"/>
      <c r="AB518" s="8"/>
      <c r="AC518" s="8"/>
    </row>
    <row r="519" customFormat="false" ht="15" hidden="false" customHeight="false" outlineLevel="0" collapsed="false">
      <c r="A519" s="9" t="n">
        <v>46304</v>
      </c>
      <c r="B519" s="11" t="s">
        <v>22</v>
      </c>
      <c r="C519" s="11" t="s">
        <v>23</v>
      </c>
      <c r="D519" s="11" t="s">
        <v>370</v>
      </c>
      <c r="E519" s="11" t="str">
        <f aca="false" t="array" ref="E519:E519">IF(D519="","",IFERROR(INDEX('CLM &amp; IM Mapping'!$B$2:$B$270,MATCH(TRIM(D519),'CLM &amp; IM Mapping'!$A$2:$A$270,0)),"Not Mapped"))</f>
        <v>Not Mapped</v>
      </c>
      <c r="F519" s="11" t="str">
        <f aca="false" t="array" ref="F519:F519">IF(D519="","",IFERROR(INDEX('CLM &amp; IM Mapping'!$C$2:$C$270,MATCH(TRIM(D519),'CLM &amp; IM Mapping'!$A$2:$A$270,0)),"Not Mapped"))</f>
        <v>Not Mapped</v>
      </c>
      <c r="G519" s="11" t="s">
        <v>34</v>
      </c>
      <c r="H519" s="10" t="n">
        <v>0</v>
      </c>
      <c r="I519" s="10" t="n">
        <v>0</v>
      </c>
      <c r="J519" s="10" t="n">
        <v>0</v>
      </c>
      <c r="K519" s="10" t="n">
        <v>0</v>
      </c>
      <c r="L519" s="10" t="n">
        <v>0</v>
      </c>
      <c r="M519" s="10" t="n">
        <v>0</v>
      </c>
      <c r="N519" s="10" t="n">
        <v>0</v>
      </c>
      <c r="O519" s="10" t="n">
        <v>0</v>
      </c>
      <c r="P519" s="10" t="n">
        <v>0</v>
      </c>
      <c r="Q519" s="11"/>
      <c r="R519" s="11"/>
      <c r="S519" s="19"/>
      <c r="T519" s="11"/>
      <c r="U519" s="21"/>
      <c r="V519" s="15"/>
      <c r="W519" s="23"/>
      <c r="X519" s="23"/>
      <c r="Y519" s="8"/>
      <c r="Z519" s="8"/>
      <c r="AA519" s="8"/>
      <c r="AB519" s="8"/>
      <c r="AC519" s="8"/>
    </row>
    <row r="520" customFormat="false" ht="15.75" hidden="false" customHeight="true" outlineLevel="0" collapsed="false">
      <c r="A520" s="9" t="n">
        <v>46305</v>
      </c>
      <c r="B520" s="11" t="s">
        <v>22</v>
      </c>
      <c r="C520" s="11" t="s">
        <v>23</v>
      </c>
      <c r="D520" s="11" t="s">
        <v>153</v>
      </c>
      <c r="E520" s="11" t="str">
        <f aca="false" t="array" ref="E520:E520">IF(D520="","",IFERROR(INDEX('CLM &amp; IM Mapping'!$B$2:$B$270,MATCH(TRIM(D520),'CLM &amp; IM Mapping'!$A$2:$A$270,0)),"Not Mapped"))</f>
        <v>Ashwath S</v>
      </c>
      <c r="F520" s="11" t="str">
        <f aca="false" t="array" ref="F520:F520">IF(D520="","",IFERROR(INDEX('CLM &amp; IM Mapping'!$C$2:$C$270,MATCH(TRIM(D520),'CLM &amp; IM Mapping'!$A$2:$A$270,0)),"Not Mapped"))</f>
        <v>Kantha Kumar</v>
      </c>
      <c r="G520" s="11" t="s">
        <v>34</v>
      </c>
      <c r="H520" s="10" t="n">
        <v>-13104</v>
      </c>
      <c r="I520" s="10" t="n">
        <v>11751</v>
      </c>
      <c r="J520" s="10" t="n">
        <v>308</v>
      </c>
      <c r="K520" s="10" t="n">
        <v>0</v>
      </c>
      <c r="L520" s="10" t="n">
        <v>0</v>
      </c>
      <c r="M520" s="10" t="n">
        <v>0</v>
      </c>
      <c r="N520" s="10" t="n">
        <v>1403</v>
      </c>
      <c r="O520" s="10" t="n">
        <v>0</v>
      </c>
      <c r="P520" s="10" t="n">
        <v>358</v>
      </c>
      <c r="Q520" s="11"/>
      <c r="R520" s="11"/>
      <c r="S520" s="19"/>
      <c r="T520" s="11"/>
      <c r="U520" s="21"/>
      <c r="V520" s="15"/>
      <c r="W520" s="8"/>
      <c r="X520" s="8"/>
      <c r="Y520" s="8"/>
      <c r="Z520" s="8"/>
      <c r="AA520" s="8"/>
      <c r="AB520" s="8"/>
      <c r="AC520" s="8"/>
    </row>
    <row r="521" customFormat="false" ht="15.75" hidden="false" customHeight="true" outlineLevel="0" collapsed="false">
      <c r="A521" s="9" t="n">
        <v>46305</v>
      </c>
      <c r="B521" s="11" t="s">
        <v>22</v>
      </c>
      <c r="C521" s="11" t="s">
        <v>23</v>
      </c>
      <c r="D521" s="11" t="s">
        <v>441</v>
      </c>
      <c r="E521" s="11" t="str">
        <f aca="false" t="array" ref="E521:E521">IF(D521="","",IFERROR(INDEX('CLM &amp; IM Mapping'!$B$2:$B$270,MATCH(TRIM(D521),'CLM &amp; IM Mapping'!$A$2:$A$270,0)),"Not Mapped"))</f>
        <v>Vijay M</v>
      </c>
      <c r="F521" s="11" t="str">
        <f aca="false" t="array" ref="F521:F521">IF(D521="","",IFERROR(INDEX('CLM &amp; IM Mapping'!$C$2:$C$270,MATCH(TRIM(D521),'CLM &amp; IM Mapping'!$A$2:$A$270,0)),"Not Mapped"))</f>
        <v>Kantha Kumar</v>
      </c>
      <c r="G521" s="11" t="s">
        <v>34</v>
      </c>
      <c r="H521" s="10" t="n">
        <v>-14823</v>
      </c>
      <c r="I521" s="10" t="n">
        <v>6141</v>
      </c>
      <c r="J521" s="10" t="n">
        <v>0</v>
      </c>
      <c r="K521" s="10" t="n">
        <v>197</v>
      </c>
      <c r="L521" s="10" t="n">
        <v>538</v>
      </c>
      <c r="M521" s="10" t="n">
        <v>0</v>
      </c>
      <c r="N521" s="10" t="n">
        <v>0</v>
      </c>
      <c r="O521" s="10" t="n">
        <v>1424</v>
      </c>
      <c r="P521" s="10" t="n">
        <v>-6523</v>
      </c>
      <c r="Q521" s="11"/>
      <c r="R521" s="11"/>
      <c r="S521" s="19"/>
      <c r="T521" s="11"/>
      <c r="U521" s="21"/>
      <c r="V521" s="15"/>
      <c r="W521" s="8"/>
      <c r="X521" s="8"/>
      <c r="Y521" s="8"/>
      <c r="Z521" s="8"/>
      <c r="AA521" s="8"/>
      <c r="AB521" s="8"/>
      <c r="AC521" s="8"/>
    </row>
    <row r="522" customFormat="false" ht="15.75" hidden="false" customHeight="true" outlineLevel="0" collapsed="false">
      <c r="A522" s="9" t="n">
        <v>46305</v>
      </c>
      <c r="B522" s="11" t="s">
        <v>22</v>
      </c>
      <c r="C522" s="11" t="s">
        <v>23</v>
      </c>
      <c r="D522" s="11" t="s">
        <v>229</v>
      </c>
      <c r="E522" s="11" t="str">
        <f aca="false" t="array" ref="E522:E522">IF(D522="","",IFERROR(INDEX('CLM &amp; IM Mapping'!$B$2:$B$270,MATCH(TRIM(D522),'CLM &amp; IM Mapping'!$A$2:$A$270,0)),"Not Mapped"))</f>
        <v>Arun Raj</v>
      </c>
      <c r="F522" s="11" t="str">
        <f aca="false" t="array" ref="F522:F522">IF(D522="","",IFERROR(INDEX('CLM &amp; IM Mapping'!$C$2:$C$270,MATCH(TRIM(D522),'CLM &amp; IM Mapping'!$A$2:$A$270,0)),"Not Mapped"))</f>
        <v>Simon Manoharan</v>
      </c>
      <c r="G522" s="11" t="s">
        <v>25</v>
      </c>
      <c r="H522" s="10" t="n">
        <v>2492</v>
      </c>
      <c r="I522" s="10" t="n">
        <v>111</v>
      </c>
      <c r="J522" s="10" t="n">
        <v>0</v>
      </c>
      <c r="K522" s="10" t="n">
        <v>0</v>
      </c>
      <c r="L522" s="10" t="n">
        <v>1155</v>
      </c>
      <c r="M522" s="10" t="n">
        <v>0</v>
      </c>
      <c r="N522" s="10" t="n">
        <v>17578</v>
      </c>
      <c r="O522" s="10" t="n">
        <v>0</v>
      </c>
      <c r="P522" s="10" t="n">
        <v>21336</v>
      </c>
      <c r="Q522" s="11"/>
      <c r="R522" s="11"/>
      <c r="S522" s="19"/>
      <c r="T522" s="11"/>
      <c r="U522" s="21"/>
      <c r="V522" s="15"/>
      <c r="W522" s="8"/>
      <c r="X522" s="8"/>
      <c r="Y522" s="8"/>
      <c r="Z522" s="8"/>
      <c r="AA522" s="8"/>
      <c r="AB522" s="8"/>
      <c r="AC522" s="8"/>
    </row>
    <row r="523" customFormat="false" ht="15.75" hidden="false" customHeight="true" outlineLevel="0" collapsed="false">
      <c r="A523" s="9" t="n">
        <v>46305</v>
      </c>
      <c r="B523" s="11" t="s">
        <v>22</v>
      </c>
      <c r="C523" s="11" t="s">
        <v>23</v>
      </c>
      <c r="D523" s="11" t="s">
        <v>290</v>
      </c>
      <c r="E523" s="11" t="str">
        <f aca="false" t="array" ref="E523:E523">IF(D523="","",IFERROR(INDEX('CLM &amp; IM Mapping'!$B$2:$B$270,MATCH(TRIM(D523),'CLM &amp; IM Mapping'!$A$2:$A$270,0)),"Not Mapped"))</f>
        <v>Akshay P</v>
      </c>
      <c r="F523" s="11" t="str">
        <f aca="false" t="array" ref="F523:F523">IF(D523="","",IFERROR(INDEX('CLM &amp; IM Mapping'!$C$2:$C$270,MATCH(TRIM(D523),'CLM &amp; IM Mapping'!$A$2:$A$270,0)),"Not Mapped"))</f>
        <v>Srittam Dhal</v>
      </c>
      <c r="G523" s="11" t="s">
        <v>34</v>
      </c>
      <c r="H523" s="10" t="n">
        <v>-32393</v>
      </c>
      <c r="I523" s="10" t="n">
        <v>9883</v>
      </c>
      <c r="J523" s="10" t="n">
        <v>0</v>
      </c>
      <c r="K523" s="10" t="n">
        <v>27</v>
      </c>
      <c r="L523" s="10" t="n">
        <v>642</v>
      </c>
      <c r="M523" s="10" t="n">
        <v>0</v>
      </c>
      <c r="N523" s="10" t="n">
        <v>0</v>
      </c>
      <c r="O523" s="10" t="n">
        <v>0</v>
      </c>
      <c r="P523" s="10" t="n">
        <v>-21841</v>
      </c>
      <c r="Q523" s="11"/>
      <c r="R523" s="11"/>
      <c r="S523" s="19"/>
      <c r="T523" s="11"/>
      <c r="U523" s="21"/>
      <c r="V523" s="15"/>
      <c r="W523" s="8"/>
      <c r="X523" s="8"/>
      <c r="Y523" s="8"/>
      <c r="Z523" s="8"/>
      <c r="AA523" s="8"/>
      <c r="AB523" s="8"/>
      <c r="AC523" s="8"/>
    </row>
    <row r="524" customFormat="false" ht="15.75" hidden="false" customHeight="true" outlineLevel="0" collapsed="false">
      <c r="A524" s="9" t="n">
        <v>46305</v>
      </c>
      <c r="B524" s="11" t="s">
        <v>22</v>
      </c>
      <c r="C524" s="11" t="s">
        <v>23</v>
      </c>
      <c r="D524" s="11" t="s">
        <v>530</v>
      </c>
      <c r="E524" s="11" t="str">
        <f aca="false" t="array" ref="E524:E524">IF(D524="","",IFERROR(INDEX('CLM &amp; IM Mapping'!$B$2:$B$270,MATCH(TRIM(D524),'CLM &amp; IM Mapping'!$A$2:$A$270,0)),"Not Mapped"))</f>
        <v>Balaji G</v>
      </c>
      <c r="F524" s="11" t="str">
        <f aca="false" t="array" ref="F524:F524">IF(D524="","",IFERROR(INDEX('CLM &amp; IM Mapping'!$C$2:$C$270,MATCH(TRIM(D524),'CLM &amp; IM Mapping'!$A$2:$A$270,0)),"Not Mapped"))</f>
        <v>Mohammed Akbar</v>
      </c>
      <c r="G524" s="11" t="s">
        <v>34</v>
      </c>
      <c r="H524" s="10" t="n">
        <v>-50923</v>
      </c>
      <c r="I524" s="10" t="n">
        <v>295</v>
      </c>
      <c r="J524" s="10" t="n">
        <v>0</v>
      </c>
      <c r="K524" s="10" t="n">
        <v>0</v>
      </c>
      <c r="L524" s="10" t="n">
        <v>312</v>
      </c>
      <c r="M524" s="10" t="n">
        <v>0</v>
      </c>
      <c r="N524" s="10" t="n">
        <v>1162</v>
      </c>
      <c r="O524" s="10" t="n">
        <v>0</v>
      </c>
      <c r="P524" s="10" t="n">
        <v>-49155</v>
      </c>
      <c r="Q524" s="11"/>
      <c r="R524" s="11"/>
      <c r="S524" s="19"/>
      <c r="T524" s="11"/>
      <c r="U524" s="21"/>
      <c r="V524" s="15"/>
      <c r="W524" s="8"/>
      <c r="X524" s="8"/>
      <c r="Y524" s="8"/>
      <c r="Z524" s="8"/>
      <c r="AA524" s="8"/>
      <c r="AB524" s="8"/>
      <c r="AC524" s="8"/>
    </row>
    <row r="525" customFormat="false" ht="15.75" hidden="false" customHeight="true" outlineLevel="0" collapsed="false">
      <c r="A525" s="9" t="n">
        <v>46305</v>
      </c>
      <c r="B525" s="11" t="s">
        <v>22</v>
      </c>
      <c r="C525" s="11" t="s">
        <v>23</v>
      </c>
      <c r="D525" s="11" t="s">
        <v>29</v>
      </c>
      <c r="E525" s="11" t="str">
        <f aca="false" t="array" ref="E525:E525">IF(D525="","",IFERROR(INDEX('CLM &amp; IM Mapping'!$B$2:$B$270,MATCH(TRIM(D525),'CLM &amp; IM Mapping'!$A$2:$A$270,0)),"Not Mapped"))</f>
        <v>Arun Raj</v>
      </c>
      <c r="F525" s="11" t="str">
        <f aca="false" t="array" ref="F525:F525">IF(D525="","",IFERROR(INDEX('CLM &amp; IM Mapping'!$C$2:$C$270,MATCH(TRIM(D525),'CLM &amp; IM Mapping'!$A$2:$A$270,0)),"Not Mapped"))</f>
        <v>Simon Manoharan</v>
      </c>
      <c r="G525" s="11" t="s">
        <v>25</v>
      </c>
      <c r="H525" s="10" t="n">
        <v>67325</v>
      </c>
      <c r="I525" s="10" t="n">
        <v>135359</v>
      </c>
      <c r="J525" s="10" t="n">
        <v>-13910</v>
      </c>
      <c r="K525" s="10" t="n">
        <v>8393</v>
      </c>
      <c r="L525" s="10" t="n">
        <v>15901</v>
      </c>
      <c r="M525" s="10" t="n">
        <v>0</v>
      </c>
      <c r="N525" s="10" t="n">
        <v>0</v>
      </c>
      <c r="O525" s="10" t="n">
        <v>0</v>
      </c>
      <c r="P525" s="10" t="n">
        <v>213068</v>
      </c>
      <c r="Q525" s="11"/>
      <c r="R525" s="11"/>
      <c r="S525" s="19"/>
      <c r="T525" s="11"/>
      <c r="U525" s="21"/>
      <c r="V525" s="15"/>
      <c r="W525" s="8"/>
      <c r="X525" s="8"/>
      <c r="Y525" s="8"/>
      <c r="Z525" s="8"/>
      <c r="AA525" s="8"/>
      <c r="AB525" s="8"/>
      <c r="AC525" s="8"/>
    </row>
    <row r="526" customFormat="false" ht="15.75" hidden="false" customHeight="true" outlineLevel="0" collapsed="false">
      <c r="A526" s="9" t="n">
        <v>46305</v>
      </c>
      <c r="B526" s="11" t="s">
        <v>22</v>
      </c>
      <c r="C526" s="11" t="s">
        <v>23</v>
      </c>
      <c r="D526" s="11" t="s">
        <v>396</v>
      </c>
      <c r="E526" s="11" t="str">
        <f aca="false" t="array" ref="E526:E526">IF(D526="","",IFERROR(INDEX('CLM &amp; IM Mapping'!$B$2:$B$270,MATCH(TRIM(D526),'CLM &amp; IM Mapping'!$A$2:$A$270,0)),"Not Mapped"))</f>
        <v>Ravishankar gowda</v>
      </c>
      <c r="F526" s="11" t="str">
        <f aca="false" t="array" ref="F526:F526">IF(D526="","",IFERROR(INDEX('CLM &amp; IM Mapping'!$C$2:$C$270,MATCH(TRIM(D526),'CLM &amp; IM Mapping'!$A$2:$A$270,0)),"Not Mapped"))</f>
        <v>Kishor K</v>
      </c>
      <c r="G526" s="11" t="s">
        <v>34</v>
      </c>
      <c r="H526" s="10" t="n">
        <v>-22726</v>
      </c>
      <c r="I526" s="10" t="n">
        <v>13207</v>
      </c>
      <c r="J526" s="10" t="n">
        <v>0</v>
      </c>
      <c r="K526" s="10" t="n">
        <v>129</v>
      </c>
      <c r="L526" s="10" t="n">
        <v>351</v>
      </c>
      <c r="M526" s="10" t="n">
        <v>0</v>
      </c>
      <c r="N526" s="10" t="n">
        <v>165</v>
      </c>
      <c r="O526" s="10" t="n">
        <v>0</v>
      </c>
      <c r="P526" s="10" t="n">
        <v>-8873</v>
      </c>
      <c r="Q526" s="11"/>
      <c r="R526" s="11"/>
      <c r="S526" s="19"/>
      <c r="T526" s="11"/>
      <c r="U526" s="21"/>
      <c r="V526" s="15"/>
      <c r="W526" s="8"/>
      <c r="X526" s="8"/>
      <c r="Y526" s="8"/>
      <c r="Z526" s="8"/>
      <c r="AA526" s="8"/>
      <c r="AB526" s="8"/>
      <c r="AC526" s="8"/>
    </row>
    <row r="527" customFormat="false" ht="15.75" hidden="false" customHeight="true" outlineLevel="0" collapsed="false">
      <c r="A527" s="9" t="n">
        <v>46305</v>
      </c>
      <c r="B527" s="11" t="s">
        <v>22</v>
      </c>
      <c r="C527" s="11" t="s">
        <v>23</v>
      </c>
      <c r="D527" s="11" t="s">
        <v>455</v>
      </c>
      <c r="E527" s="11" t="str">
        <f aca="false" t="array" ref="E527:E527">IF(D527="","",IFERROR(INDEX('CLM &amp; IM Mapping'!$B$2:$B$270,MATCH(TRIM(D527),'CLM &amp; IM Mapping'!$A$2:$A$270,0)),"Not Mapped"))</f>
        <v>Rizwan Ahmed</v>
      </c>
      <c r="F527" s="11" t="str">
        <f aca="false" t="array" ref="F527:F527">IF(D527="","",IFERROR(INDEX('CLM &amp; IM Mapping'!$C$2:$C$270,MATCH(TRIM(D527),'CLM &amp; IM Mapping'!$A$2:$A$270,0)),"Not Mapped"))</f>
        <v>Un Mapped</v>
      </c>
      <c r="G527" s="11" t="s">
        <v>34</v>
      </c>
      <c r="H527" s="10" t="n">
        <v>-23334</v>
      </c>
      <c r="I527" s="10" t="n">
        <v>5008</v>
      </c>
      <c r="J527" s="10" t="n">
        <v>0</v>
      </c>
      <c r="K527" s="10" t="n">
        <v>260</v>
      </c>
      <c r="L527" s="10" t="n">
        <v>1671</v>
      </c>
      <c r="M527" s="10" t="n">
        <v>0</v>
      </c>
      <c r="N527" s="10" t="n">
        <v>0</v>
      </c>
      <c r="O527" s="10" t="n">
        <v>0</v>
      </c>
      <c r="P527" s="10" t="n">
        <v>-16395</v>
      </c>
      <c r="Q527" s="11"/>
      <c r="R527" s="11"/>
      <c r="S527" s="19"/>
      <c r="T527" s="11"/>
      <c r="U527" s="21"/>
      <c r="V527" s="15"/>
      <c r="W527" s="8"/>
      <c r="X527" s="8"/>
      <c r="Y527" s="8"/>
      <c r="Z527" s="8"/>
      <c r="AA527" s="8"/>
      <c r="AB527" s="8"/>
      <c r="AC527" s="8"/>
    </row>
    <row r="528" customFormat="false" ht="15.75" hidden="false" customHeight="true" outlineLevel="0" collapsed="false">
      <c r="A528" s="9" t="n">
        <v>46305</v>
      </c>
      <c r="B528" s="11" t="s">
        <v>22</v>
      </c>
      <c r="C528" s="11" t="s">
        <v>23</v>
      </c>
      <c r="D528" s="11" t="s">
        <v>449</v>
      </c>
      <c r="E528" s="11" t="str">
        <f aca="false" t="array" ref="E528:E528">IF(D528="","",IFERROR(INDEX('CLM &amp; IM Mapping'!$B$2:$B$270,MATCH(TRIM(D528),'CLM &amp; IM Mapping'!$A$2:$A$270,0)),"Not Mapped"))</f>
        <v>Manjunatha V</v>
      </c>
      <c r="F528" s="11" t="str">
        <f aca="false" t="array" ref="F528:F528">IF(D528="","",IFERROR(INDEX('CLM &amp; IM Mapping'!$C$2:$C$270,MATCH(TRIM(D528),'CLM &amp; IM Mapping'!$A$2:$A$270,0)),"Not Mapped"))</f>
        <v>Un Mapped</v>
      </c>
      <c r="G528" s="11" t="s">
        <v>34</v>
      </c>
      <c r="H528" s="10" t="n">
        <v>-26442</v>
      </c>
      <c r="I528" s="10" t="n">
        <v>4481</v>
      </c>
      <c r="J528" s="10" t="n">
        <v>0</v>
      </c>
      <c r="K528" s="10" t="n">
        <v>0</v>
      </c>
      <c r="L528" s="10" t="n">
        <v>725</v>
      </c>
      <c r="M528" s="10" t="n">
        <v>0</v>
      </c>
      <c r="N528" s="10" t="n">
        <v>462</v>
      </c>
      <c r="O528" s="10" t="n">
        <v>0</v>
      </c>
      <c r="P528" s="10" t="n">
        <v>-20775</v>
      </c>
      <c r="Q528" s="11"/>
      <c r="R528" s="11"/>
      <c r="S528" s="19"/>
      <c r="T528" s="11"/>
      <c r="U528" s="21"/>
      <c r="V528" s="15"/>
      <c r="W528" s="8"/>
      <c r="X528" s="8"/>
      <c r="Y528" s="8"/>
      <c r="Z528" s="8"/>
      <c r="AA528" s="8"/>
      <c r="AB528" s="8"/>
      <c r="AC528" s="8"/>
    </row>
    <row r="529" customFormat="false" ht="15.75" hidden="false" customHeight="true" outlineLevel="0" collapsed="false">
      <c r="A529" s="9" t="n">
        <v>46305</v>
      </c>
      <c r="B529" s="11" t="s">
        <v>22</v>
      </c>
      <c r="C529" s="11" t="s">
        <v>23</v>
      </c>
      <c r="D529" s="11" t="s">
        <v>496</v>
      </c>
      <c r="E529" s="11" t="str">
        <f aca="false" t="array" ref="E529:E529">IF(D529="","",IFERROR(INDEX('CLM &amp; IM Mapping'!$B$2:$B$270,MATCH(TRIM(D529),'CLM &amp; IM Mapping'!$A$2:$A$270,0)),"Not Mapped"))</f>
        <v>Keshav G</v>
      </c>
      <c r="F529" s="11" t="str">
        <f aca="false" t="array" ref="F529:F529">IF(D529="","",IFERROR(INDEX('CLM &amp; IM Mapping'!$C$2:$C$270,MATCH(TRIM(D529),'CLM &amp; IM Mapping'!$A$2:$A$270,0)),"Not Mapped"))</f>
        <v>Un Mapped</v>
      </c>
      <c r="G529" s="11" t="s">
        <v>34</v>
      </c>
      <c r="H529" s="10" t="n">
        <v>-21966</v>
      </c>
      <c r="I529" s="10" t="n">
        <v>7836</v>
      </c>
      <c r="J529" s="10" t="n">
        <v>0</v>
      </c>
      <c r="K529" s="10" t="n">
        <v>0</v>
      </c>
      <c r="L529" s="10" t="n">
        <v>243</v>
      </c>
      <c r="M529" s="10" t="n">
        <v>0</v>
      </c>
      <c r="N529" s="10" t="n">
        <v>0</v>
      </c>
      <c r="O529" s="10" t="n">
        <v>1202</v>
      </c>
      <c r="P529" s="10" t="n">
        <v>-12685</v>
      </c>
      <c r="Q529" s="11"/>
      <c r="R529" s="11"/>
      <c r="S529" s="19"/>
      <c r="T529" s="11"/>
      <c r="U529" s="21"/>
      <c r="V529" s="15"/>
      <c r="W529" s="8"/>
      <c r="X529" s="8"/>
      <c r="Y529" s="8"/>
      <c r="Z529" s="8"/>
      <c r="AA529" s="8"/>
      <c r="AB529" s="8"/>
      <c r="AC529" s="8"/>
    </row>
    <row r="530" customFormat="false" ht="15.75" hidden="false" customHeight="true" outlineLevel="0" collapsed="false">
      <c r="A530" s="9" t="n">
        <v>46305</v>
      </c>
      <c r="B530" s="11" t="s">
        <v>22</v>
      </c>
      <c r="C530" s="11" t="s">
        <v>276</v>
      </c>
      <c r="D530" s="11" t="s">
        <v>359</v>
      </c>
      <c r="E530" s="11" t="str">
        <f aca="false" t="array" ref="E530:E530">IF(D530="","",IFERROR(INDEX('CLM &amp; IM Mapping'!$B$2:$B$270,MATCH(TRIM(D530),'CLM &amp; IM Mapping'!$A$2:$A$270,0)),"Not Mapped"))</f>
        <v>Santhosha M</v>
      </c>
      <c r="F530" s="11" t="str">
        <f aca="false" t="array" ref="F530:F530">IF(D530="","",IFERROR(INDEX('CLM &amp; IM Mapping'!$C$2:$C$270,MATCH(TRIM(D530),'CLM &amp; IM Mapping'!$A$2:$A$270,0)),"Not Mapped"))</f>
        <v>Aravind S</v>
      </c>
      <c r="G530" s="11" t="s">
        <v>34</v>
      </c>
      <c r="H530" s="10" t="n">
        <v>-1758</v>
      </c>
      <c r="I530" s="10" t="n">
        <v>477</v>
      </c>
      <c r="J530" s="10" t="n">
        <v>0</v>
      </c>
      <c r="K530" s="10" t="n">
        <v>0</v>
      </c>
      <c r="L530" s="10" t="n">
        <v>0</v>
      </c>
      <c r="M530" s="10" t="n">
        <v>0</v>
      </c>
      <c r="N530" s="10" t="n">
        <v>0</v>
      </c>
      <c r="O530" s="10" t="n">
        <v>0</v>
      </c>
      <c r="P530" s="10" t="n">
        <v>-1281</v>
      </c>
      <c r="Q530" s="11"/>
      <c r="R530" s="11"/>
      <c r="S530" s="19"/>
      <c r="T530" s="11"/>
      <c r="U530" s="21"/>
      <c r="V530" s="15"/>
      <c r="W530" s="8"/>
      <c r="X530" s="8"/>
      <c r="Y530" s="8"/>
      <c r="Z530" s="8"/>
      <c r="AA530" s="8"/>
      <c r="AB530" s="8"/>
      <c r="AC530" s="8"/>
    </row>
    <row r="531" customFormat="false" ht="15.75" hidden="false" customHeight="true" outlineLevel="0" collapsed="false">
      <c r="A531" s="9" t="n">
        <v>46305</v>
      </c>
      <c r="B531" s="11" t="s">
        <v>22</v>
      </c>
      <c r="C531" s="11" t="s">
        <v>23</v>
      </c>
      <c r="D531" s="11" t="s">
        <v>132</v>
      </c>
      <c r="E531" s="11" t="str">
        <f aca="false" t="array" ref="E531:E531">IF(D531="","",IFERROR(INDEX('CLM &amp; IM Mapping'!$B$2:$B$270,MATCH(TRIM(D531),'CLM &amp; IM Mapping'!$A$2:$A$270,0)),"Not Mapped"))</f>
        <v>Saddam Hussain</v>
      </c>
      <c r="F531" s="11" t="str">
        <f aca="false" t="array" ref="F531:F531">IF(D531="","",IFERROR(INDEX('CLM &amp; IM Mapping'!$C$2:$C$270,MATCH(TRIM(D531),'CLM &amp; IM Mapping'!$A$2:$A$270,0)),"Not Mapped"))</f>
        <v>Un Mapped</v>
      </c>
      <c r="G531" s="11" t="s">
        <v>34</v>
      </c>
      <c r="H531" s="10" t="n">
        <v>15329</v>
      </c>
      <c r="I531" s="10" t="n">
        <v>13491</v>
      </c>
      <c r="J531" s="10" t="n">
        <v>0</v>
      </c>
      <c r="K531" s="10" t="n">
        <v>5366</v>
      </c>
      <c r="L531" s="10" t="n">
        <v>17</v>
      </c>
      <c r="M531" s="10" t="n">
        <v>0</v>
      </c>
      <c r="N531" s="10" t="n">
        <v>0</v>
      </c>
      <c r="O531" s="10" t="n">
        <v>0</v>
      </c>
      <c r="P531" s="10" t="n">
        <v>34203</v>
      </c>
      <c r="Q531" s="11"/>
      <c r="R531" s="11"/>
      <c r="S531" s="19"/>
      <c r="T531" s="11"/>
      <c r="U531" s="21"/>
      <c r="V531" s="15"/>
      <c r="W531" s="8"/>
      <c r="X531" s="8"/>
      <c r="Y531" s="8"/>
      <c r="Z531" s="8"/>
      <c r="AA531" s="8"/>
      <c r="AB531" s="8"/>
      <c r="AC531" s="8"/>
    </row>
    <row r="532" customFormat="false" ht="15.75" hidden="false" customHeight="true" outlineLevel="0" collapsed="false">
      <c r="A532" s="9" t="n">
        <v>46305</v>
      </c>
      <c r="B532" s="11" t="s">
        <v>22</v>
      </c>
      <c r="C532" s="11" t="s">
        <v>23</v>
      </c>
      <c r="D532" s="11" t="s">
        <v>403</v>
      </c>
      <c r="E532" s="11" t="str">
        <f aca="false" t="array" ref="E532:E532">IF(D532="","",IFERROR(INDEX('CLM &amp; IM Mapping'!$B$2:$B$270,MATCH(TRIM(D532),'CLM &amp; IM Mapping'!$A$2:$A$270,0)),"Not Mapped"))</f>
        <v>Narasimhamurthy R</v>
      </c>
      <c r="F532" s="11" t="str">
        <f aca="false" t="array" ref="F532:F532">IF(D532="","",IFERROR(INDEX('CLM &amp; IM Mapping'!$C$2:$C$270,MATCH(TRIM(D532),'CLM &amp; IM Mapping'!$A$2:$A$270,0)),"Not Mapped"))</f>
        <v>Kishor K</v>
      </c>
      <c r="G532" s="11" t="s">
        <v>34</v>
      </c>
      <c r="H532" s="10" t="n">
        <v>-23495</v>
      </c>
      <c r="I532" s="10" t="n">
        <v>11764</v>
      </c>
      <c r="J532" s="10" t="n">
        <v>127</v>
      </c>
      <c r="K532" s="10" t="n">
        <v>10961</v>
      </c>
      <c r="L532" s="10" t="n">
        <v>694</v>
      </c>
      <c r="M532" s="10" t="n">
        <v>0</v>
      </c>
      <c r="N532" s="10" t="n">
        <v>0</v>
      </c>
      <c r="O532" s="10" t="n">
        <v>0</v>
      </c>
      <c r="P532" s="10" t="n">
        <v>51</v>
      </c>
      <c r="Q532" s="11"/>
      <c r="R532" s="11"/>
      <c r="S532" s="19"/>
      <c r="T532" s="11"/>
      <c r="U532" s="21"/>
      <c r="V532" s="15"/>
      <c r="W532" s="8"/>
      <c r="X532" s="8"/>
      <c r="Y532" s="8"/>
      <c r="Z532" s="8"/>
      <c r="AA532" s="8"/>
      <c r="AB532" s="8"/>
      <c r="AC532" s="8"/>
    </row>
    <row r="533" customFormat="false" ht="15.75" hidden="false" customHeight="true" outlineLevel="0" collapsed="false">
      <c r="A533" s="9" t="n">
        <v>46305</v>
      </c>
      <c r="B533" s="11" t="s">
        <v>22</v>
      </c>
      <c r="C533" s="11" t="s">
        <v>23</v>
      </c>
      <c r="D533" s="11" t="s">
        <v>208</v>
      </c>
      <c r="E533" s="11" t="str">
        <f aca="false" t="array" ref="E533:E533">IF(D533="","",IFERROR(INDEX('CLM &amp; IM Mapping'!$B$2:$B$270,MATCH(TRIM(D533),'CLM &amp; IM Mapping'!$A$2:$A$270,0)),"Not Mapped"))</f>
        <v>Silambarasan E</v>
      </c>
      <c r="F533" s="11" t="str">
        <f aca="false" t="array" ref="F533:F533">IF(D533="","",IFERROR(INDEX('CLM &amp; IM Mapping'!$C$2:$C$270,MATCH(TRIM(D533),'CLM &amp; IM Mapping'!$A$2:$A$270,0)),"Not Mapped"))</f>
        <v>Arivind S</v>
      </c>
      <c r="G533" s="11" t="s">
        <v>34</v>
      </c>
      <c r="H533" s="10" t="n">
        <v>-507</v>
      </c>
      <c r="I533" s="10" t="n">
        <v>16517</v>
      </c>
      <c r="J533" s="10" t="n">
        <v>599</v>
      </c>
      <c r="K533" s="10" t="n">
        <v>3456</v>
      </c>
      <c r="L533" s="10" t="n">
        <v>2986</v>
      </c>
      <c r="M533" s="10" t="n">
        <v>0</v>
      </c>
      <c r="N533" s="10" t="n">
        <v>179</v>
      </c>
      <c r="O533" s="10" t="n">
        <v>773</v>
      </c>
      <c r="P533" s="10" t="n">
        <v>24004</v>
      </c>
      <c r="Q533" s="11"/>
      <c r="R533" s="11"/>
      <c r="S533" s="19"/>
      <c r="T533" s="11"/>
      <c r="U533" s="21"/>
      <c r="V533" s="15"/>
      <c r="W533" s="8"/>
      <c r="X533" s="8"/>
      <c r="Y533" s="8"/>
      <c r="Z533" s="8"/>
      <c r="AA533" s="8"/>
      <c r="AB533" s="8"/>
      <c r="AC533" s="8"/>
    </row>
    <row r="534" customFormat="false" ht="15.75" hidden="false" customHeight="true" outlineLevel="0" collapsed="false">
      <c r="A534" s="9" t="n">
        <v>46305</v>
      </c>
      <c r="B534" s="11" t="s">
        <v>22</v>
      </c>
      <c r="C534" s="11" t="s">
        <v>23</v>
      </c>
      <c r="D534" s="11" t="s">
        <v>331</v>
      </c>
      <c r="E534" s="11" t="str">
        <f aca="false" t="array" ref="E534:E534">IF(D534="","",IFERROR(INDEX('CLM &amp; IM Mapping'!$B$2:$B$270,MATCH(TRIM(D534),'CLM &amp; IM Mapping'!$A$2:$A$270,0)),"Not Mapped"))</f>
        <v>Vijay M</v>
      </c>
      <c r="F534" s="11" t="str">
        <f aca="false" t="array" ref="F534:F534">IF(D534="","",IFERROR(INDEX('CLM &amp; IM Mapping'!$C$2:$C$270,MATCH(TRIM(D534),'CLM &amp; IM Mapping'!$A$2:$A$270,0)),"Not Mapped"))</f>
        <v>Kantha Kumar</v>
      </c>
      <c r="G534" s="11" t="s">
        <v>34</v>
      </c>
      <c r="H534" s="10" t="n">
        <v>-23272</v>
      </c>
      <c r="I534" s="10" t="n">
        <v>21274</v>
      </c>
      <c r="J534" s="10" t="n">
        <v>187</v>
      </c>
      <c r="K534" s="10" t="n">
        <v>2092</v>
      </c>
      <c r="L534" s="10" t="n">
        <v>409</v>
      </c>
      <c r="M534" s="10" t="n">
        <v>0</v>
      </c>
      <c r="N534" s="10" t="n">
        <v>0</v>
      </c>
      <c r="O534" s="10" t="n">
        <v>0</v>
      </c>
      <c r="P534" s="10" t="n">
        <v>690</v>
      </c>
      <c r="Q534" s="11"/>
      <c r="R534" s="11"/>
      <c r="S534" s="19"/>
      <c r="T534" s="11"/>
      <c r="U534" s="21"/>
      <c r="V534" s="15"/>
      <c r="W534" s="8"/>
      <c r="X534" s="8"/>
      <c r="Y534" s="8"/>
      <c r="Z534" s="8"/>
      <c r="AA534" s="8"/>
      <c r="AB534" s="8"/>
      <c r="AC534" s="8"/>
    </row>
    <row r="535" customFormat="false" ht="15.75" hidden="false" customHeight="true" outlineLevel="0" collapsed="false">
      <c r="A535" s="9" t="n">
        <v>46305</v>
      </c>
      <c r="B535" s="11" t="s">
        <v>22</v>
      </c>
      <c r="C535" s="11" t="s">
        <v>23</v>
      </c>
      <c r="D535" s="11" t="s">
        <v>168</v>
      </c>
      <c r="E535" s="11" t="str">
        <f aca="false" t="array" ref="E535:E535">IF(D535="","",IFERROR(INDEX('CLM &amp; IM Mapping'!$B$2:$B$270,MATCH(TRIM(D535),'CLM &amp; IM Mapping'!$A$2:$A$270,0)),"Not Mapped"))</f>
        <v>Vijay M</v>
      </c>
      <c r="F535" s="11" t="str">
        <f aca="false" t="array" ref="F535:F535">IF(D535="","",IFERROR(INDEX('CLM &amp; IM Mapping'!$C$2:$C$270,MATCH(TRIM(D535),'CLM &amp; IM Mapping'!$A$2:$A$270,0)),"Not Mapped"))</f>
        <v>Kantha Kumar</v>
      </c>
      <c r="G535" s="11" t="s">
        <v>34</v>
      </c>
      <c r="H535" s="10" t="n">
        <v>20264</v>
      </c>
      <c r="I535" s="10" t="n">
        <v>7825</v>
      </c>
      <c r="J535" s="10" t="n">
        <v>227</v>
      </c>
      <c r="K535" s="10" t="n">
        <v>400</v>
      </c>
      <c r="L535" s="10" t="n">
        <v>476</v>
      </c>
      <c r="M535" s="10" t="n">
        <v>0</v>
      </c>
      <c r="N535" s="10" t="n">
        <v>468</v>
      </c>
      <c r="O535" s="10" t="n">
        <v>188</v>
      </c>
      <c r="P535" s="10" t="n">
        <v>29849</v>
      </c>
      <c r="Q535" s="11"/>
      <c r="R535" s="11"/>
      <c r="S535" s="19"/>
      <c r="T535" s="11"/>
      <c r="U535" s="21"/>
      <c r="V535" s="15"/>
      <c r="W535" s="8"/>
      <c r="X535" s="8"/>
      <c r="Y535" s="8"/>
      <c r="Z535" s="8"/>
      <c r="AA535" s="8"/>
      <c r="AB535" s="8"/>
      <c r="AC535" s="8"/>
    </row>
    <row r="536" customFormat="false" ht="15.75" hidden="false" customHeight="true" outlineLevel="0" collapsed="false">
      <c r="A536" s="9" t="n">
        <v>46305</v>
      </c>
      <c r="B536" s="11" t="s">
        <v>22</v>
      </c>
      <c r="C536" s="11" t="s">
        <v>23</v>
      </c>
      <c r="D536" s="11" t="s">
        <v>423</v>
      </c>
      <c r="E536" s="11" t="str">
        <f aca="false" t="array" ref="E536:E536">IF(D536="","",IFERROR(INDEX('CLM &amp; IM Mapping'!$B$2:$B$270,MATCH(TRIM(D536),'CLM &amp; IM Mapping'!$A$2:$A$270,0)),"Not Mapped"))</f>
        <v>Ashwath S</v>
      </c>
      <c r="F536" s="11" t="str">
        <f aca="false" t="array" ref="F536:F536">IF(D536="","",IFERROR(INDEX('CLM &amp; IM Mapping'!$C$2:$C$270,MATCH(TRIM(D536),'CLM &amp; IM Mapping'!$A$2:$A$270,0)),"Not Mapped"))</f>
        <v>Kantha Kumar</v>
      </c>
      <c r="G536" s="11" t="s">
        <v>34</v>
      </c>
      <c r="H536" s="10" t="n">
        <v>-6224</v>
      </c>
      <c r="I536" s="10" t="n">
        <v>0</v>
      </c>
      <c r="J536" s="10" t="n">
        <v>0</v>
      </c>
      <c r="K536" s="10" t="n">
        <v>165</v>
      </c>
      <c r="L536" s="10" t="n">
        <v>43</v>
      </c>
      <c r="M536" s="10" t="n">
        <v>0</v>
      </c>
      <c r="N536" s="10" t="n">
        <v>0</v>
      </c>
      <c r="O536" s="10" t="n">
        <v>194</v>
      </c>
      <c r="P536" s="10" t="n">
        <v>-5821</v>
      </c>
      <c r="Q536" s="11"/>
      <c r="R536" s="11"/>
      <c r="S536" s="19"/>
      <c r="T536" s="11"/>
      <c r="U536" s="21"/>
      <c r="V536" s="15"/>
      <c r="W536" s="8"/>
      <c r="X536" s="8"/>
      <c r="Y536" s="8"/>
      <c r="Z536" s="8"/>
      <c r="AA536" s="8"/>
      <c r="AB536" s="8"/>
      <c r="AC536" s="8"/>
    </row>
    <row r="537" customFormat="false" ht="15.75" hidden="false" customHeight="true" outlineLevel="0" collapsed="false">
      <c r="A537" s="9" t="n">
        <v>46305</v>
      </c>
      <c r="B537" s="11" t="s">
        <v>22</v>
      </c>
      <c r="C537" s="11" t="s">
        <v>221</v>
      </c>
      <c r="D537" s="11" t="s">
        <v>224</v>
      </c>
      <c r="E537" s="11" t="str">
        <f aca="false" t="array" ref="E537:E537">IF(D537="","",IFERROR(INDEX('CLM &amp; IM Mapping'!$B$2:$B$270,MATCH(TRIM(D537),'CLM &amp; IM Mapping'!$A$2:$A$270,0)),"Not Mapped"))</f>
        <v>Vishnu V</v>
      </c>
      <c r="F537" s="11" t="str">
        <f aca="false" t="array" ref="F537:F537">IF(D537="","",IFERROR(INDEX('CLM &amp; IM Mapping'!$C$2:$C$270,MATCH(TRIM(D537),'CLM &amp; IM Mapping'!$A$2:$A$270,0)),"Not Mapped"))</f>
        <v>Arivind S</v>
      </c>
      <c r="G537" s="11" t="s">
        <v>25</v>
      </c>
      <c r="H537" s="10" t="n">
        <v>5620</v>
      </c>
      <c r="I537" s="10" t="n">
        <v>19487</v>
      </c>
      <c r="J537" s="10" t="n">
        <v>0</v>
      </c>
      <c r="K537" s="10" t="n">
        <v>1007</v>
      </c>
      <c r="L537" s="10" t="n">
        <v>212</v>
      </c>
      <c r="M537" s="10" t="n">
        <v>0</v>
      </c>
      <c r="N537" s="10" t="n">
        <v>0</v>
      </c>
      <c r="O537" s="10" t="n">
        <v>0</v>
      </c>
      <c r="P537" s="10" t="n">
        <v>26326</v>
      </c>
      <c r="Q537" s="11"/>
      <c r="R537" s="11"/>
      <c r="S537" s="19"/>
      <c r="T537" s="11"/>
      <c r="U537" s="21"/>
      <c r="V537" s="15"/>
      <c r="W537" s="8"/>
      <c r="X537" s="8"/>
      <c r="Y537" s="8"/>
      <c r="Z537" s="8"/>
      <c r="AA537" s="8"/>
      <c r="AB537" s="8"/>
      <c r="AC537" s="8"/>
    </row>
    <row r="538" customFormat="false" ht="15.75" hidden="false" customHeight="true" outlineLevel="0" collapsed="false">
      <c r="A538" s="9" t="n">
        <v>46305</v>
      </c>
      <c r="B538" s="11" t="s">
        <v>22</v>
      </c>
      <c r="C538" s="11" t="s">
        <v>23</v>
      </c>
      <c r="D538" s="11" t="s">
        <v>272</v>
      </c>
      <c r="E538" s="11" t="str">
        <f aca="false" t="array" ref="E538:E538">IF(D538="","",IFERROR(INDEX('CLM &amp; IM Mapping'!$B$2:$B$270,MATCH(TRIM(D538),'CLM &amp; IM Mapping'!$A$2:$A$270,0)),"Not Mapped"))</f>
        <v>Arun Raj</v>
      </c>
      <c r="F538" s="11" t="str">
        <f aca="false" t="array" ref="F538:F538">IF(D538="","",IFERROR(INDEX('CLM &amp; IM Mapping'!$C$2:$C$270,MATCH(TRIM(D538),'CLM &amp; IM Mapping'!$A$2:$A$270,0)),"Not Mapped"))</f>
        <v>Simon Manoharan</v>
      </c>
      <c r="G538" s="11" t="s">
        <v>25</v>
      </c>
      <c r="H538" s="10" t="n">
        <v>-3154</v>
      </c>
      <c r="I538" s="10" t="n">
        <v>7989</v>
      </c>
      <c r="J538" s="10" t="n">
        <v>0</v>
      </c>
      <c r="K538" s="10" t="n">
        <v>638</v>
      </c>
      <c r="L538" s="10" t="n">
        <v>4836</v>
      </c>
      <c r="M538" s="10" t="n">
        <v>0</v>
      </c>
      <c r="N538" s="10" t="n">
        <v>0</v>
      </c>
      <c r="O538" s="10" t="n">
        <v>0</v>
      </c>
      <c r="P538" s="10" t="n">
        <v>10309</v>
      </c>
      <c r="Q538" s="11"/>
      <c r="R538" s="11"/>
      <c r="S538" s="19"/>
      <c r="T538" s="11"/>
      <c r="U538" s="21"/>
      <c r="V538" s="15"/>
      <c r="W538" s="8"/>
      <c r="X538" s="8"/>
      <c r="Y538" s="8"/>
      <c r="Z538" s="8"/>
      <c r="AA538" s="8"/>
      <c r="AB538" s="8"/>
      <c r="AC538" s="8"/>
    </row>
    <row r="539" customFormat="false" ht="15.75" hidden="false" customHeight="true" outlineLevel="0" collapsed="false">
      <c r="A539" s="9" t="n">
        <v>46305</v>
      </c>
      <c r="B539" s="11" t="s">
        <v>22</v>
      </c>
      <c r="C539" s="11" t="s">
        <v>23</v>
      </c>
      <c r="D539" s="11" t="s">
        <v>171</v>
      </c>
      <c r="E539" s="11" t="str">
        <f aca="false" t="array" ref="E539:E539">IF(D539="","",IFERROR(INDEX('CLM &amp; IM Mapping'!$B$2:$B$270,MATCH(TRIM(D539),'CLM &amp; IM Mapping'!$A$2:$A$270,0)),"Not Mapped"))</f>
        <v>Ashwath S</v>
      </c>
      <c r="F539" s="11" t="str">
        <f aca="false" t="array" ref="F539:F539">IF(D539="","",IFERROR(INDEX('CLM &amp; IM Mapping'!$C$2:$C$270,MATCH(TRIM(D539),'CLM &amp; IM Mapping'!$A$2:$A$270,0)),"Not Mapped"))</f>
        <v>Kantha Kumar</v>
      </c>
      <c r="G539" s="11" t="s">
        <v>34</v>
      </c>
      <c r="H539" s="10" t="n">
        <v>11605</v>
      </c>
      <c r="I539" s="10" t="n">
        <v>12573</v>
      </c>
      <c r="J539" s="10" t="n">
        <v>497</v>
      </c>
      <c r="K539" s="10" t="n">
        <v>2941</v>
      </c>
      <c r="L539" s="10" t="n">
        <v>784</v>
      </c>
      <c r="M539" s="10" t="n">
        <v>0</v>
      </c>
      <c r="N539" s="10" t="n">
        <v>0</v>
      </c>
      <c r="O539" s="10" t="n">
        <v>0</v>
      </c>
      <c r="P539" s="10" t="n">
        <v>28399</v>
      </c>
      <c r="Q539" s="11"/>
      <c r="R539" s="11"/>
      <c r="S539" s="19"/>
      <c r="T539" s="11"/>
      <c r="U539" s="21"/>
      <c r="V539" s="15"/>
      <c r="W539" s="8"/>
      <c r="X539" s="8"/>
      <c r="Y539" s="8"/>
      <c r="Z539" s="8"/>
      <c r="AA539" s="8"/>
      <c r="AB539" s="8"/>
      <c r="AC539" s="8"/>
    </row>
    <row r="540" customFormat="false" ht="15.75" hidden="false" customHeight="true" outlineLevel="0" collapsed="false">
      <c r="A540" s="9" t="n">
        <v>46305</v>
      </c>
      <c r="B540" s="11" t="s">
        <v>22</v>
      </c>
      <c r="C540" s="11" t="s">
        <v>23</v>
      </c>
      <c r="D540" s="11" t="s">
        <v>312</v>
      </c>
      <c r="E540" s="11" t="str">
        <f aca="false" t="array" ref="E540:E540">IF(D540="","",IFERROR(INDEX('CLM &amp; IM Mapping'!$B$2:$B$270,MATCH(TRIM(D540),'CLM &amp; IM Mapping'!$A$2:$A$270,0)),"Not Mapped"))</f>
        <v>Manoj Kj</v>
      </c>
      <c r="F540" s="11" t="str">
        <f aca="false" t="array" ref="F540:F540">IF(D540="","",IFERROR(INDEX('CLM &amp; IM Mapping'!$C$2:$C$270,MATCH(TRIM(D540),'CLM &amp; IM Mapping'!$A$2:$A$270,0)),"Not Mapped"))</f>
        <v>Srittam Dhal</v>
      </c>
      <c r="G540" s="11" t="s">
        <v>34</v>
      </c>
      <c r="H540" s="10" t="n">
        <v>-4214</v>
      </c>
      <c r="I540" s="10" t="n">
        <v>11514</v>
      </c>
      <c r="J540" s="10" t="n">
        <v>0</v>
      </c>
      <c r="K540" s="10" t="n">
        <v>0</v>
      </c>
      <c r="L540" s="10" t="n">
        <v>1017</v>
      </c>
      <c r="M540" s="10" t="n">
        <v>0</v>
      </c>
      <c r="N540" s="10" t="n">
        <v>260</v>
      </c>
      <c r="O540" s="10" t="n">
        <v>0</v>
      </c>
      <c r="P540" s="10" t="n">
        <v>8577</v>
      </c>
      <c r="Q540" s="11"/>
      <c r="R540" s="11"/>
      <c r="S540" s="19"/>
      <c r="T540" s="11"/>
      <c r="U540" s="21"/>
      <c r="V540" s="15"/>
      <c r="W540" s="8"/>
      <c r="X540" s="8"/>
      <c r="Y540" s="8"/>
      <c r="Z540" s="8"/>
      <c r="AA540" s="8"/>
      <c r="AB540" s="8"/>
      <c r="AC540" s="8"/>
    </row>
    <row r="541" customFormat="false" ht="15.75" hidden="false" customHeight="true" outlineLevel="0" collapsed="false">
      <c r="A541" s="9" t="n">
        <v>46305</v>
      </c>
      <c r="B541" s="11" t="s">
        <v>22</v>
      </c>
      <c r="C541" s="11" t="s">
        <v>23</v>
      </c>
      <c r="D541" s="11" t="s">
        <v>293</v>
      </c>
      <c r="E541" s="11" t="str">
        <f aca="false" t="array" ref="E541:E541">IF(D541="","",IFERROR(INDEX('CLM &amp; IM Mapping'!$B$2:$B$270,MATCH(TRIM(D541),'CLM &amp; IM Mapping'!$A$2:$A$270,0)),"Not Mapped"))</f>
        <v>Suhas N</v>
      </c>
      <c r="F541" s="11" t="str">
        <f aca="false" t="array" ref="F541:F541">IF(D541="","",IFERROR(INDEX('CLM &amp; IM Mapping'!$C$2:$C$270,MATCH(TRIM(D541),'CLM &amp; IM Mapping'!$A$2:$A$270,0)),"Not Mapped"))</f>
        <v>Aravind S</v>
      </c>
      <c r="G541" s="11" t="s">
        <v>34</v>
      </c>
      <c r="H541" s="10" t="n">
        <v>-7860</v>
      </c>
      <c r="I541" s="10" t="n">
        <v>5646</v>
      </c>
      <c r="J541" s="10" t="n">
        <v>0</v>
      </c>
      <c r="K541" s="10" t="n">
        <v>9809</v>
      </c>
      <c r="L541" s="10" t="n">
        <v>159</v>
      </c>
      <c r="M541" s="10" t="n">
        <v>0</v>
      </c>
      <c r="N541" s="10" t="n">
        <v>0</v>
      </c>
      <c r="O541" s="10" t="n">
        <v>0</v>
      </c>
      <c r="P541" s="10" t="n">
        <v>7754</v>
      </c>
      <c r="Q541" s="11"/>
      <c r="R541" s="11"/>
      <c r="S541" s="19"/>
      <c r="T541" s="11"/>
      <c r="U541" s="21"/>
      <c r="V541" s="15"/>
      <c r="W541" s="8"/>
      <c r="X541" s="8"/>
      <c r="Y541" s="8"/>
      <c r="Z541" s="8"/>
      <c r="AA541" s="8"/>
      <c r="AB541" s="8"/>
      <c r="AC541" s="8"/>
    </row>
    <row r="542" customFormat="false" ht="15.75" hidden="false" customHeight="true" outlineLevel="0" collapsed="false">
      <c r="A542" s="9" t="n">
        <v>46305</v>
      </c>
      <c r="B542" s="11" t="s">
        <v>22</v>
      </c>
      <c r="C542" s="11" t="s">
        <v>23</v>
      </c>
      <c r="D542" s="11" t="s">
        <v>435</v>
      </c>
      <c r="E542" s="11" t="str">
        <f aca="false" t="array" ref="E542:E542">IF(D542="","",IFERROR(INDEX('CLM &amp; IM Mapping'!$B$2:$B$270,MATCH(TRIM(D542),'CLM &amp; IM Mapping'!$A$2:$A$270,0)),"Not Mapped"))</f>
        <v>Balaji G</v>
      </c>
      <c r="F542" s="11" t="str">
        <f aca="false" t="array" ref="F542:F542">IF(D542="","",IFERROR(INDEX('CLM &amp; IM Mapping'!$C$2:$C$270,MATCH(TRIM(D542),'CLM &amp; IM Mapping'!$A$2:$A$270,0)),"Not Mapped"))</f>
        <v>Mohammed Akbar</v>
      </c>
      <c r="G542" s="11" t="s">
        <v>34</v>
      </c>
      <c r="H542" s="10" t="n">
        <v>-17819</v>
      </c>
      <c r="I542" s="10" t="n">
        <v>5359</v>
      </c>
      <c r="J542" s="10" t="n">
        <v>0</v>
      </c>
      <c r="K542" s="10" t="n">
        <v>916</v>
      </c>
      <c r="L542" s="10" t="n">
        <v>119</v>
      </c>
      <c r="M542" s="10" t="n">
        <v>0</v>
      </c>
      <c r="N542" s="10" t="n">
        <v>0</v>
      </c>
      <c r="O542" s="10" t="n">
        <v>0</v>
      </c>
      <c r="P542" s="10" t="n">
        <v>-11426</v>
      </c>
      <c r="Q542" s="11"/>
      <c r="R542" s="11"/>
      <c r="S542" s="19"/>
      <c r="T542" s="11"/>
      <c r="U542" s="21"/>
      <c r="V542" s="15"/>
      <c r="W542" s="8"/>
      <c r="X542" s="8"/>
      <c r="Y542" s="8"/>
      <c r="Z542" s="8"/>
      <c r="AA542" s="8"/>
      <c r="AB542" s="8"/>
      <c r="AC542" s="8"/>
    </row>
    <row r="543" customFormat="false" ht="15.75" hidden="false" customHeight="true" outlineLevel="0" collapsed="false">
      <c r="A543" s="9" t="n">
        <v>46305</v>
      </c>
      <c r="B543" s="11" t="s">
        <v>22</v>
      </c>
      <c r="C543" s="11" t="s">
        <v>23</v>
      </c>
      <c r="D543" s="11" t="s">
        <v>320</v>
      </c>
      <c r="E543" s="11" t="str">
        <f aca="false" t="array" ref="E543:E543">IF(D543="","",IFERROR(INDEX('CLM &amp; IM Mapping'!$B$2:$B$270,MATCH(TRIM(D543),'CLM &amp; IM Mapping'!$A$2:$A$270,0)),"Not Mapped"))</f>
        <v>Ashwath S</v>
      </c>
      <c r="F543" s="11" t="str">
        <f aca="false" t="array" ref="F543:F543">IF(D543="","",IFERROR(INDEX('CLM &amp; IM Mapping'!$C$2:$C$270,MATCH(TRIM(D543),'CLM &amp; IM Mapping'!$A$2:$A$270,0)),"Not Mapped"))</f>
        <v>Kantha Kumar</v>
      </c>
      <c r="G543" s="11" t="s">
        <v>34</v>
      </c>
      <c r="H543" s="10" t="n">
        <v>-6313</v>
      </c>
      <c r="I543" s="10" t="n">
        <v>8851</v>
      </c>
      <c r="J543" s="10" t="n">
        <v>1302</v>
      </c>
      <c r="K543" s="10" t="n">
        <v>2377</v>
      </c>
      <c r="L543" s="10" t="n">
        <v>0</v>
      </c>
      <c r="M543" s="10" t="n">
        <v>0</v>
      </c>
      <c r="N543" s="10" t="n">
        <v>0</v>
      </c>
      <c r="O543" s="10" t="n">
        <v>0</v>
      </c>
      <c r="P543" s="10" t="n">
        <v>6216</v>
      </c>
      <c r="Q543" s="11"/>
      <c r="R543" s="11"/>
      <c r="S543" s="19"/>
      <c r="T543" s="11"/>
      <c r="U543" s="21"/>
      <c r="V543" s="15"/>
      <c r="W543" s="8"/>
      <c r="X543" s="8"/>
      <c r="Y543" s="8"/>
      <c r="Z543" s="8"/>
      <c r="AA543" s="8"/>
      <c r="AB543" s="8"/>
      <c r="AC543" s="8"/>
    </row>
    <row r="544" customFormat="false" ht="15.75" hidden="false" customHeight="true" outlineLevel="0" collapsed="false">
      <c r="A544" s="9" t="n">
        <v>46305</v>
      </c>
      <c r="B544" s="11" t="s">
        <v>22</v>
      </c>
      <c r="C544" s="11" t="s">
        <v>23</v>
      </c>
      <c r="D544" s="11" t="s">
        <v>156</v>
      </c>
      <c r="E544" s="11" t="str">
        <f aca="false" t="array" ref="E544:E544">IF(D544="","",IFERROR(INDEX('CLM &amp; IM Mapping'!$B$2:$B$270,MATCH(TRIM(D544),'CLM &amp; IM Mapping'!$A$2:$A$270,0)),"Not Mapped"))</f>
        <v>Manoj Kj</v>
      </c>
      <c r="F544" s="11" t="str">
        <f aca="false" t="array" ref="F544:F544">IF(D544="","",IFERROR(INDEX('CLM &amp; IM Mapping'!$C$2:$C$270,MATCH(TRIM(D544),'CLM &amp; IM Mapping'!$A$2:$A$270,0)),"Not Mapped"))</f>
        <v>Srittam Dhal</v>
      </c>
      <c r="G544" s="11" t="s">
        <v>34</v>
      </c>
      <c r="H544" s="10" t="n">
        <v>13025</v>
      </c>
      <c r="I544" s="10" t="n">
        <v>13301</v>
      </c>
      <c r="J544" s="10" t="n">
        <v>0</v>
      </c>
      <c r="K544" s="10" t="n">
        <v>0</v>
      </c>
      <c r="L544" s="10" t="n">
        <v>479</v>
      </c>
      <c r="M544" s="10" t="n">
        <v>0</v>
      </c>
      <c r="N544" s="10" t="n">
        <v>0</v>
      </c>
      <c r="O544" s="10" t="n">
        <v>0</v>
      </c>
      <c r="P544" s="10" t="n">
        <v>26805</v>
      </c>
      <c r="Q544" s="11"/>
      <c r="R544" s="11"/>
      <c r="S544" s="19"/>
      <c r="T544" s="11"/>
      <c r="U544" s="21"/>
      <c r="V544" s="15"/>
      <c r="W544" s="8"/>
      <c r="X544" s="8"/>
      <c r="Y544" s="8"/>
      <c r="Z544" s="8"/>
      <c r="AA544" s="8"/>
      <c r="AB544" s="8"/>
      <c r="AC544" s="8"/>
    </row>
    <row r="545" customFormat="false" ht="15.75" hidden="false" customHeight="true" outlineLevel="0" collapsed="false">
      <c r="A545" s="9" t="n">
        <v>46305</v>
      </c>
      <c r="B545" s="11" t="s">
        <v>22</v>
      </c>
      <c r="C545" s="11" t="s">
        <v>23</v>
      </c>
      <c r="D545" s="11" t="s">
        <v>518</v>
      </c>
      <c r="E545" s="11" t="str">
        <f aca="false" t="array" ref="E545:E545">IF(D545="","",IFERROR(INDEX('CLM &amp; IM Mapping'!$B$2:$B$270,MATCH(TRIM(D545),'CLM &amp; IM Mapping'!$A$2:$A$270,0)),"Not Mapped"))</f>
        <v>Basil Scariya</v>
      </c>
      <c r="F545" s="11" t="str">
        <f aca="false" t="array" ref="F545:F545">IF(D545="","",IFERROR(INDEX('CLM &amp; IM Mapping'!$C$2:$C$270,MATCH(TRIM(D545),'CLM &amp; IM Mapping'!$A$2:$A$270,0)),"Not Mapped"))</f>
        <v>Prakash BS</v>
      </c>
      <c r="G545" s="11" t="s">
        <v>34</v>
      </c>
      <c r="H545" s="10" t="n">
        <v>-44393</v>
      </c>
      <c r="I545" s="10" t="n">
        <v>7398</v>
      </c>
      <c r="J545" s="10" t="n">
        <v>0</v>
      </c>
      <c r="K545" s="10" t="n">
        <v>4392</v>
      </c>
      <c r="L545" s="10" t="n">
        <v>730</v>
      </c>
      <c r="M545" s="10" t="n">
        <v>0</v>
      </c>
      <c r="N545" s="10" t="n">
        <v>0</v>
      </c>
      <c r="O545" s="10" t="n">
        <v>0</v>
      </c>
      <c r="P545" s="10" t="n">
        <v>-31873</v>
      </c>
      <c r="Q545" s="11"/>
      <c r="R545" s="11"/>
      <c r="S545" s="19"/>
      <c r="T545" s="11"/>
      <c r="U545" s="21"/>
      <c r="V545" s="15"/>
      <c r="W545" s="8"/>
      <c r="X545" s="8"/>
      <c r="Y545" s="8"/>
      <c r="Z545" s="8"/>
      <c r="AA545" s="8"/>
      <c r="AB545" s="8"/>
      <c r="AC545" s="8"/>
    </row>
    <row r="546" customFormat="false" ht="15.75" hidden="false" customHeight="true" outlineLevel="0" collapsed="false">
      <c r="A546" s="9" t="n">
        <v>46305</v>
      </c>
      <c r="B546" s="11" t="s">
        <v>22</v>
      </c>
      <c r="C546" s="11" t="s">
        <v>23</v>
      </c>
      <c r="D546" s="11" t="s">
        <v>516</v>
      </c>
      <c r="E546" s="11" t="str">
        <f aca="false" t="array" ref="E546:E546">IF(D546="","",IFERROR(INDEX('CLM &amp; IM Mapping'!$B$2:$B$270,MATCH(TRIM(D546),'CLM &amp; IM Mapping'!$A$2:$A$270,0)),"Not Mapped"))</f>
        <v>Sundaresh S</v>
      </c>
      <c r="F546" s="11" t="str">
        <f aca="false" t="array" ref="F546:F546">IF(D546="","",IFERROR(INDEX('CLM &amp; IM Mapping'!$C$2:$C$270,MATCH(TRIM(D546),'CLM &amp; IM Mapping'!$A$2:$A$270,0)),"Not Mapped"))</f>
        <v>Un Mapped</v>
      </c>
      <c r="G546" s="11" t="s">
        <v>34</v>
      </c>
      <c r="H546" s="10" t="n">
        <v>-26362</v>
      </c>
      <c r="I546" s="10" t="n">
        <v>1548</v>
      </c>
      <c r="J546" s="10" t="n">
        <v>434</v>
      </c>
      <c r="K546" s="10" t="n">
        <v>2857</v>
      </c>
      <c r="L546" s="10" t="n">
        <v>139</v>
      </c>
      <c r="M546" s="10" t="n">
        <v>0</v>
      </c>
      <c r="N546" s="10" t="n">
        <v>431</v>
      </c>
      <c r="O546" s="10" t="n">
        <v>0</v>
      </c>
      <c r="P546" s="10" t="n">
        <v>-20953</v>
      </c>
      <c r="Q546" s="11"/>
      <c r="R546" s="11"/>
      <c r="S546" s="19"/>
      <c r="T546" s="11"/>
      <c r="U546" s="21"/>
      <c r="V546" s="15"/>
      <c r="W546" s="8"/>
      <c r="X546" s="8"/>
      <c r="Y546" s="8"/>
      <c r="Z546" s="8"/>
      <c r="AA546" s="8"/>
      <c r="AB546" s="8"/>
      <c r="AC546" s="8"/>
    </row>
    <row r="547" customFormat="false" ht="15.75" hidden="false" customHeight="true" outlineLevel="0" collapsed="false">
      <c r="A547" s="9" t="n">
        <v>46305</v>
      </c>
      <c r="B547" s="11" t="s">
        <v>22</v>
      </c>
      <c r="C547" s="11" t="s">
        <v>23</v>
      </c>
      <c r="D547" s="11" t="s">
        <v>407</v>
      </c>
      <c r="E547" s="11" t="str">
        <f aca="false" t="array" ref="E547:E547">IF(D547="","",IFERROR(INDEX('CLM &amp; IM Mapping'!$B$2:$B$270,MATCH(TRIM(D547),'CLM &amp; IM Mapping'!$A$2:$A$270,0)),"Not Mapped"))</f>
        <v>Rizwan Ahmed</v>
      </c>
      <c r="F547" s="11" t="str">
        <f aca="false" t="array" ref="F547:F547">IF(D547="","",IFERROR(INDEX('CLM &amp; IM Mapping'!$C$2:$C$270,MATCH(TRIM(D547),'CLM &amp; IM Mapping'!$A$2:$A$270,0)),"Not Mapped"))</f>
        <v>Un Mapped</v>
      </c>
      <c r="G547" s="11" t="s">
        <v>34</v>
      </c>
      <c r="H547" s="10" t="n">
        <v>-14824</v>
      </c>
      <c r="I547" s="10" t="n">
        <v>2556</v>
      </c>
      <c r="J547" s="10" t="n">
        <v>0</v>
      </c>
      <c r="K547" s="10" t="n">
        <v>0</v>
      </c>
      <c r="L547" s="10" t="n">
        <v>45</v>
      </c>
      <c r="M547" s="10" t="n">
        <v>0</v>
      </c>
      <c r="N547" s="10" t="n">
        <v>0</v>
      </c>
      <c r="O547" s="10" t="n">
        <v>0</v>
      </c>
      <c r="P547" s="10" t="n">
        <v>-12223</v>
      </c>
      <c r="Q547" s="11"/>
      <c r="R547" s="11"/>
      <c r="S547" s="19"/>
      <c r="T547" s="11"/>
      <c r="U547" s="21"/>
      <c r="V547" s="15"/>
      <c r="W547" s="8"/>
      <c r="X547" s="8"/>
      <c r="Y547" s="8"/>
      <c r="Z547" s="8"/>
      <c r="AA547" s="8"/>
      <c r="AB547" s="8"/>
      <c r="AC547" s="8"/>
    </row>
    <row r="548" customFormat="false" ht="15.75" hidden="false" customHeight="true" outlineLevel="0" collapsed="false">
      <c r="A548" s="9" t="n">
        <v>46305</v>
      </c>
      <c r="B548" s="11" t="s">
        <v>22</v>
      </c>
      <c r="C548" s="11" t="s">
        <v>23</v>
      </c>
      <c r="D548" s="11" t="s">
        <v>33</v>
      </c>
      <c r="E548" s="11" t="str">
        <f aca="false" t="array" ref="E548:E548">IF(D548="","",IFERROR(INDEX('CLM &amp; IM Mapping'!$B$2:$B$270,MATCH(TRIM(D548),'CLM &amp; IM Mapping'!$A$2:$A$270,0)),"Not Mapped"))</f>
        <v>Manoj Kj</v>
      </c>
      <c r="F548" s="11" t="str">
        <f aca="false" t="array" ref="F548:F548">IF(D548="","",IFERROR(INDEX('CLM &amp; IM Mapping'!$C$2:$C$270,MATCH(TRIM(D548),'CLM &amp; IM Mapping'!$A$2:$A$270,0)),"Not Mapped"))</f>
        <v>Srittam Dhal</v>
      </c>
      <c r="G548" s="11" t="s">
        <v>34</v>
      </c>
      <c r="H548" s="10" t="n">
        <v>-107829</v>
      </c>
      <c r="I548" s="10" t="n">
        <v>0</v>
      </c>
      <c r="J548" s="10" t="n">
        <v>0</v>
      </c>
      <c r="K548" s="10" t="n">
        <v>238257</v>
      </c>
      <c r="L548" s="10" t="n">
        <v>0</v>
      </c>
      <c r="M548" s="10" t="n">
        <v>0</v>
      </c>
      <c r="N548" s="10" t="n">
        <v>0</v>
      </c>
      <c r="O548" s="10" t="n">
        <v>1470</v>
      </c>
      <c r="P548" s="10" t="n">
        <v>131898</v>
      </c>
      <c r="Q548" s="11"/>
      <c r="R548" s="11"/>
      <c r="S548" s="19"/>
      <c r="T548" s="11"/>
      <c r="U548" s="21"/>
      <c r="V548" s="15"/>
      <c r="W548" s="8"/>
      <c r="X548" s="8"/>
      <c r="Y548" s="8"/>
      <c r="Z548" s="8"/>
      <c r="AA548" s="8"/>
      <c r="AB548" s="8"/>
      <c r="AC548" s="8"/>
    </row>
    <row r="549" customFormat="false" ht="15.75" hidden="false" customHeight="true" outlineLevel="0" collapsed="false">
      <c r="A549" s="9" t="n">
        <v>46305</v>
      </c>
      <c r="B549" s="11" t="s">
        <v>22</v>
      </c>
      <c r="C549" s="11" t="s">
        <v>23</v>
      </c>
      <c r="D549" s="11" t="s">
        <v>314</v>
      </c>
      <c r="E549" s="11" t="str">
        <f aca="false" t="array" ref="E549:E549">IF(D549="","",IFERROR(INDEX('CLM &amp; IM Mapping'!$B$2:$B$270,MATCH(TRIM(D549),'CLM &amp; IM Mapping'!$A$2:$A$270,0)),"Not Mapped"))</f>
        <v>Basil Scariya</v>
      </c>
      <c r="F549" s="11" t="str">
        <f aca="false" t="array" ref="F549:F549">IF(D549="","",IFERROR(INDEX('CLM &amp; IM Mapping'!$C$2:$C$270,MATCH(TRIM(D549),'CLM &amp; IM Mapping'!$A$2:$A$270,0)),"Not Mapped"))</f>
        <v>Prakash BS</v>
      </c>
      <c r="G549" s="11" t="s">
        <v>34</v>
      </c>
      <c r="H549" s="10" t="n">
        <v>-5174</v>
      </c>
      <c r="I549" s="10" t="n">
        <v>10582</v>
      </c>
      <c r="J549" s="10" t="n">
        <v>0</v>
      </c>
      <c r="K549" s="10" t="n">
        <v>107</v>
      </c>
      <c r="L549" s="10" t="n">
        <v>144</v>
      </c>
      <c r="M549" s="10" t="n">
        <v>0</v>
      </c>
      <c r="N549" s="10" t="n">
        <v>0</v>
      </c>
      <c r="O549" s="10" t="n">
        <v>0</v>
      </c>
      <c r="P549" s="10" t="n">
        <v>5659</v>
      </c>
      <c r="Q549" s="11"/>
      <c r="R549" s="11"/>
      <c r="S549" s="19"/>
      <c r="T549" s="11"/>
      <c r="U549" s="21"/>
      <c r="V549" s="15"/>
      <c r="W549" s="8"/>
      <c r="X549" s="8"/>
      <c r="Y549" s="8"/>
      <c r="Z549" s="8"/>
      <c r="AA549" s="8"/>
      <c r="AB549" s="8"/>
      <c r="AC549" s="8"/>
    </row>
    <row r="550" customFormat="false" ht="15.75" hidden="false" customHeight="true" outlineLevel="0" collapsed="false">
      <c r="A550" s="9" t="n">
        <v>46305</v>
      </c>
      <c r="B550" s="11" t="s">
        <v>22</v>
      </c>
      <c r="C550" s="11" t="s">
        <v>23</v>
      </c>
      <c r="D550" s="11" t="s">
        <v>486</v>
      </c>
      <c r="E550" s="11" t="str">
        <f aca="false" t="array" ref="E550:E550">IF(D550="","",IFERROR(INDEX('CLM &amp; IM Mapping'!$B$2:$B$270,MATCH(TRIM(D550),'CLM &amp; IM Mapping'!$A$2:$A$270,0)),"Not Mapped"))</f>
        <v>Balaji G</v>
      </c>
      <c r="F550" s="11" t="str">
        <f aca="false" t="array" ref="F550:F550">IF(D550="","",IFERROR(INDEX('CLM &amp; IM Mapping'!$C$2:$C$270,MATCH(TRIM(D550),'CLM &amp; IM Mapping'!$A$2:$A$270,0)),"Not Mapped"))</f>
        <v>Mohammed Akbar</v>
      </c>
      <c r="G550" s="11" t="s">
        <v>34</v>
      </c>
      <c r="H550" s="10" t="n">
        <v>-31096</v>
      </c>
      <c r="I550" s="10" t="n">
        <v>19246</v>
      </c>
      <c r="J550" s="10" t="n">
        <v>0</v>
      </c>
      <c r="K550" s="10" t="n">
        <v>104</v>
      </c>
      <c r="L550" s="10" t="n">
        <v>493</v>
      </c>
      <c r="M550" s="10" t="n">
        <v>0</v>
      </c>
      <c r="N550" s="10" t="n">
        <v>0</v>
      </c>
      <c r="O550" s="10" t="n">
        <v>0</v>
      </c>
      <c r="P550" s="10" t="n">
        <v>-11254</v>
      </c>
      <c r="Q550" s="11"/>
      <c r="R550" s="11"/>
      <c r="S550" s="19"/>
      <c r="T550" s="11"/>
      <c r="U550" s="21"/>
      <c r="V550" s="15"/>
      <c r="W550" s="8"/>
      <c r="X550" s="8"/>
      <c r="Y550" s="8"/>
      <c r="Z550" s="8"/>
      <c r="AA550" s="8"/>
      <c r="AB550" s="8"/>
      <c r="AC550" s="8"/>
    </row>
    <row r="551" customFormat="false" ht="15.75" hidden="false" customHeight="true" outlineLevel="0" collapsed="false">
      <c r="A551" s="9" t="n">
        <v>46305</v>
      </c>
      <c r="B551" s="11" t="s">
        <v>22</v>
      </c>
      <c r="C551" s="11" t="s">
        <v>221</v>
      </c>
      <c r="D551" s="11" t="s">
        <v>466</v>
      </c>
      <c r="E551" s="11" t="str">
        <f aca="false" t="array" ref="E551:E551">IF(D551="","",IFERROR(INDEX('CLM &amp; IM Mapping'!$B$2:$B$270,MATCH(TRIM(D551),'CLM &amp; IM Mapping'!$A$2:$A$270,0)),"Not Mapped"))</f>
        <v>Vishnu V</v>
      </c>
      <c r="F551" s="11" t="str">
        <f aca="false" t="array" ref="F551:F551">IF(D551="","",IFERROR(INDEX('CLM &amp; IM Mapping'!$C$2:$C$270,MATCH(TRIM(D551),'CLM &amp; IM Mapping'!$A$2:$A$270,0)),"Not Mapped"))</f>
        <v>Arivind S</v>
      </c>
      <c r="G551" s="11" t="s">
        <v>34</v>
      </c>
      <c r="H551" s="10" t="n">
        <v>-21488</v>
      </c>
      <c r="I551" s="10" t="n">
        <v>8695</v>
      </c>
      <c r="J551" s="10" t="n">
        <v>1327</v>
      </c>
      <c r="K551" s="10" t="n">
        <v>0</v>
      </c>
      <c r="L551" s="10" t="n">
        <v>0</v>
      </c>
      <c r="M551" s="10" t="n">
        <v>0</v>
      </c>
      <c r="N551" s="10" t="n">
        <v>3787</v>
      </c>
      <c r="O551" s="10" t="n">
        <v>0</v>
      </c>
      <c r="P551" s="10" t="n">
        <v>-7680</v>
      </c>
      <c r="Q551" s="11"/>
      <c r="R551" s="11"/>
      <c r="S551" s="19"/>
      <c r="T551" s="11"/>
      <c r="U551" s="21"/>
      <c r="V551" s="15"/>
      <c r="W551" s="8"/>
      <c r="X551" s="8"/>
      <c r="Y551" s="8"/>
      <c r="Z551" s="8"/>
      <c r="AA551" s="8"/>
      <c r="AB551" s="8"/>
      <c r="AC551" s="8"/>
    </row>
    <row r="552" customFormat="false" ht="15.75" hidden="false" customHeight="true" outlineLevel="0" collapsed="false">
      <c r="A552" s="9" t="n">
        <v>46305</v>
      </c>
      <c r="B552" s="11" t="s">
        <v>22</v>
      </c>
      <c r="C552" s="11" t="s">
        <v>23</v>
      </c>
      <c r="D552" s="11" t="s">
        <v>322</v>
      </c>
      <c r="E552" s="11" t="str">
        <f aca="false" t="array" ref="E552:E552">IF(D552="","",IFERROR(INDEX('CLM &amp; IM Mapping'!$B$2:$B$270,MATCH(TRIM(D552),'CLM &amp; IM Mapping'!$A$2:$A$270,0)),"Not Mapped"))</f>
        <v>Ashwath S</v>
      </c>
      <c r="F552" s="11" t="str">
        <f aca="false" t="array" ref="F552:F552">IF(D552="","",IFERROR(INDEX('CLM &amp; IM Mapping'!$C$2:$C$270,MATCH(TRIM(D552),'CLM &amp; IM Mapping'!$A$2:$A$270,0)),"Not Mapped"))</f>
        <v>Kantha Kumar</v>
      </c>
      <c r="G552" s="11" t="s">
        <v>34</v>
      </c>
      <c r="H552" s="10" t="n">
        <v>5936</v>
      </c>
      <c r="I552" s="10" t="n">
        <v>7196</v>
      </c>
      <c r="J552" s="10" t="n">
        <v>0</v>
      </c>
      <c r="K552" s="10" t="n">
        <v>2011</v>
      </c>
      <c r="L552" s="10" t="n">
        <v>99</v>
      </c>
      <c r="M552" s="10" t="n">
        <v>0</v>
      </c>
      <c r="N552" s="10" t="n">
        <v>0</v>
      </c>
      <c r="O552" s="10" t="n">
        <v>0</v>
      </c>
      <c r="P552" s="10" t="n">
        <v>15242</v>
      </c>
      <c r="Q552" s="11"/>
      <c r="R552" s="11"/>
      <c r="S552" s="19"/>
      <c r="T552" s="11"/>
      <c r="U552" s="21"/>
      <c r="V552" s="15"/>
      <c r="W552" s="8"/>
      <c r="X552" s="8"/>
      <c r="Y552" s="8"/>
      <c r="Z552" s="8"/>
      <c r="AA552" s="8"/>
      <c r="AB552" s="8"/>
      <c r="AC552" s="8"/>
    </row>
    <row r="553" customFormat="false" ht="15.75" hidden="false" customHeight="true" outlineLevel="0" collapsed="false">
      <c r="A553" s="9" t="n">
        <v>46305</v>
      </c>
      <c r="B553" s="11" t="s">
        <v>22</v>
      </c>
      <c r="C553" s="11" t="s">
        <v>212</v>
      </c>
      <c r="D553" s="11" t="s">
        <v>213</v>
      </c>
      <c r="E553" s="11" t="str">
        <f aca="false" t="array" ref="E553:E553">IF(D553="","",IFERROR(INDEX('CLM &amp; IM Mapping'!$B$2:$B$270,MATCH(TRIM(D553),'CLM &amp; IM Mapping'!$A$2:$A$270,0)),"Not Mapped"))</f>
        <v>Bangareppa CS</v>
      </c>
      <c r="F553" s="11" t="str">
        <f aca="false" t="array" ref="F553:F553">IF(D553="","",IFERROR(INDEX('CLM &amp; IM Mapping'!$C$2:$C$270,MATCH(TRIM(D553),'CLM &amp; IM Mapping'!$A$2:$A$270,0)),"Not Mapped"))</f>
        <v>Kishor K</v>
      </c>
      <c r="G553" s="11" t="s">
        <v>34</v>
      </c>
      <c r="H553" s="10" t="n">
        <v>-7435</v>
      </c>
      <c r="I553" s="10" t="n">
        <v>3753</v>
      </c>
      <c r="J553" s="10" t="n">
        <v>0</v>
      </c>
      <c r="K553" s="10" t="n">
        <v>0</v>
      </c>
      <c r="L553" s="10" t="n">
        <v>761</v>
      </c>
      <c r="M553" s="10" t="n">
        <v>0</v>
      </c>
      <c r="N553" s="10" t="n">
        <v>0</v>
      </c>
      <c r="O553" s="10" t="n">
        <v>0</v>
      </c>
      <c r="P553" s="10" t="n">
        <v>-2921</v>
      </c>
      <c r="Q553" s="11"/>
      <c r="R553" s="11"/>
      <c r="S553" s="19"/>
      <c r="T553" s="11"/>
      <c r="U553" s="21"/>
      <c r="V553" s="15"/>
      <c r="W553" s="8"/>
      <c r="X553" s="8"/>
      <c r="Y553" s="8"/>
      <c r="Z553" s="8"/>
      <c r="AA553" s="8"/>
      <c r="AB553" s="8"/>
      <c r="AC553" s="8"/>
    </row>
    <row r="554" customFormat="false" ht="15.75" hidden="false" customHeight="true" outlineLevel="0" collapsed="false">
      <c r="A554" s="9" t="n">
        <v>46305</v>
      </c>
      <c r="B554" s="11" t="s">
        <v>22</v>
      </c>
      <c r="C554" s="11" t="s">
        <v>23</v>
      </c>
      <c r="D554" s="11" t="s">
        <v>413</v>
      </c>
      <c r="E554" s="11" t="str">
        <f aca="false" t="array" ref="E554:E554">IF(D554="","",IFERROR(INDEX('CLM &amp; IM Mapping'!$B$2:$B$270,MATCH(TRIM(D554),'CLM &amp; IM Mapping'!$A$2:$A$270,0)),"Not Mapped"))</f>
        <v>Arun Raj</v>
      </c>
      <c r="F554" s="11" t="str">
        <f aca="false" t="array" ref="F554:F554">IF(D554="","",IFERROR(INDEX('CLM &amp; IM Mapping'!$C$2:$C$270,MATCH(TRIM(D554),'CLM &amp; IM Mapping'!$A$2:$A$270,0)),"Not Mapped"))</f>
        <v>Simon Manoharan</v>
      </c>
      <c r="G554" s="11" t="s">
        <v>25</v>
      </c>
      <c r="H554" s="10" t="n">
        <v>-14370</v>
      </c>
      <c r="I554" s="10" t="n">
        <v>2717</v>
      </c>
      <c r="J554" s="10" t="n">
        <v>0</v>
      </c>
      <c r="K554" s="10" t="n">
        <v>381</v>
      </c>
      <c r="L554" s="10" t="n">
        <v>1251</v>
      </c>
      <c r="M554" s="10" t="n">
        <v>0</v>
      </c>
      <c r="N554" s="10" t="n">
        <v>0</v>
      </c>
      <c r="O554" s="10" t="n">
        <v>3862</v>
      </c>
      <c r="P554" s="10" t="n">
        <v>-6159</v>
      </c>
      <c r="Q554" s="11"/>
      <c r="R554" s="11"/>
      <c r="S554" s="19"/>
      <c r="T554" s="11"/>
      <c r="U554" s="21"/>
      <c r="V554" s="15"/>
      <c r="W554" s="8"/>
      <c r="X554" s="8"/>
      <c r="Y554" s="8"/>
      <c r="Z554" s="8"/>
      <c r="AA554" s="8"/>
      <c r="AB554" s="8"/>
      <c r="AC554" s="8"/>
    </row>
    <row r="555" customFormat="false" ht="15.75" hidden="false" customHeight="true" outlineLevel="0" collapsed="false">
      <c r="A555" s="9" t="n">
        <v>46305</v>
      </c>
      <c r="B555" s="11" t="s">
        <v>22</v>
      </c>
      <c r="C555" s="11" t="s">
        <v>23</v>
      </c>
      <c r="D555" s="11" t="s">
        <v>193</v>
      </c>
      <c r="E555" s="11" t="str">
        <f aca="false" t="array" ref="E555:E555">IF(D555="","",IFERROR(INDEX('CLM &amp; IM Mapping'!$B$2:$B$270,MATCH(TRIM(D555),'CLM &amp; IM Mapping'!$A$2:$A$270,0)),"Not Mapped"))</f>
        <v>Girish N</v>
      </c>
      <c r="F555" s="11" t="str">
        <f aca="false" t="array" ref="F555:F555">IF(D555="","",IFERROR(INDEX('CLM &amp; IM Mapping'!$C$2:$C$270,MATCH(TRIM(D555),'CLM &amp; IM Mapping'!$A$2:$A$270,0)),"Not Mapped"))</f>
        <v>Un Mapped</v>
      </c>
      <c r="G555" s="11" t="s">
        <v>34</v>
      </c>
      <c r="H555" s="10" t="n">
        <v>-12442</v>
      </c>
      <c r="I555" s="10" t="n">
        <v>24264</v>
      </c>
      <c r="J555" s="10" t="n">
        <v>0</v>
      </c>
      <c r="K555" s="10" t="n">
        <v>617</v>
      </c>
      <c r="L555" s="10" t="n">
        <v>5127</v>
      </c>
      <c r="M555" s="10" t="n">
        <v>0</v>
      </c>
      <c r="N555" s="10" t="n">
        <v>0</v>
      </c>
      <c r="O555" s="10" t="n">
        <v>0</v>
      </c>
      <c r="P555" s="10" t="n">
        <v>17566</v>
      </c>
      <c r="Q555" s="11"/>
      <c r="R555" s="11"/>
      <c r="S555" s="19"/>
      <c r="T555" s="11"/>
      <c r="U555" s="21"/>
      <c r="V555" s="15"/>
      <c r="W555" s="8"/>
      <c r="X555" s="8"/>
      <c r="Y555" s="8"/>
      <c r="Z555" s="8"/>
      <c r="AA555" s="8"/>
      <c r="AB555" s="8"/>
      <c r="AC555" s="8"/>
    </row>
    <row r="556" customFormat="false" ht="15.75" hidden="false" customHeight="true" outlineLevel="0" collapsed="false">
      <c r="A556" s="9" t="n">
        <v>46305</v>
      </c>
      <c r="B556" s="11" t="s">
        <v>22</v>
      </c>
      <c r="C556" s="11" t="s">
        <v>23</v>
      </c>
      <c r="D556" s="11" t="s">
        <v>50</v>
      </c>
      <c r="E556" s="11" t="str">
        <f aca="false" t="array" ref="E556:E556">IF(D556="","",IFERROR(INDEX('CLM &amp; IM Mapping'!$B$2:$B$270,MATCH(TRIM(D556),'CLM &amp; IM Mapping'!$A$2:$A$270,0)),"Not Mapped"))</f>
        <v>Arun Raj</v>
      </c>
      <c r="F556" s="11" t="str">
        <f aca="false" t="array" ref="F556:F556">IF(D556="","",IFERROR(INDEX('CLM &amp; IM Mapping'!$C$2:$C$270,MATCH(TRIM(D556),'CLM &amp; IM Mapping'!$A$2:$A$270,0)),"Not Mapped"))</f>
        <v>Simon Manoharan</v>
      </c>
      <c r="G556" s="11" t="s">
        <v>25</v>
      </c>
      <c r="H556" s="10" t="n">
        <v>18121</v>
      </c>
      <c r="I556" s="10" t="n">
        <v>51279</v>
      </c>
      <c r="J556" s="10" t="n">
        <v>0</v>
      </c>
      <c r="K556" s="10" t="n">
        <v>0</v>
      </c>
      <c r="L556" s="10" t="n">
        <v>1002</v>
      </c>
      <c r="M556" s="10" t="n">
        <v>0</v>
      </c>
      <c r="N556" s="10" t="n">
        <v>37</v>
      </c>
      <c r="O556" s="10" t="n">
        <v>0</v>
      </c>
      <c r="P556" s="10" t="n">
        <v>70438</v>
      </c>
      <c r="Q556" s="11"/>
      <c r="R556" s="11"/>
      <c r="S556" s="19"/>
      <c r="T556" s="11"/>
      <c r="U556" s="21"/>
      <c r="V556" s="15"/>
      <c r="W556" s="8"/>
      <c r="X556" s="8"/>
      <c r="Y556" s="8"/>
      <c r="Z556" s="8"/>
      <c r="AA556" s="8"/>
      <c r="AB556" s="8"/>
      <c r="AC556" s="8"/>
    </row>
    <row r="557" customFormat="false" ht="15.75" hidden="false" customHeight="true" outlineLevel="0" collapsed="false">
      <c r="A557" s="9" t="n">
        <v>46305</v>
      </c>
      <c r="B557" s="11" t="s">
        <v>22</v>
      </c>
      <c r="C557" s="11" t="s">
        <v>23</v>
      </c>
      <c r="D557" s="11" t="s">
        <v>195</v>
      </c>
      <c r="E557" s="11" t="str">
        <f aca="false" t="array" ref="E557:E557">IF(D557="","",IFERROR(INDEX('CLM &amp; IM Mapping'!$B$2:$B$270,MATCH(TRIM(D557),'CLM &amp; IM Mapping'!$A$2:$A$270,0)),"Not Mapped"))</f>
        <v>Adhavan Subramani</v>
      </c>
      <c r="F557" s="11" t="str">
        <f aca="false" t="array" ref="F557:F557">IF(D557="","",IFERROR(INDEX('CLM &amp; IM Mapping'!$C$2:$C$270,MATCH(TRIM(D557),'CLM &amp; IM Mapping'!$A$2:$A$270,0)),"Not Mapped"))</f>
        <v>Mohammed Akbar</v>
      </c>
      <c r="G557" s="11" t="s">
        <v>34</v>
      </c>
      <c r="H557" s="10" t="n">
        <v>12649</v>
      </c>
      <c r="I557" s="10" t="n">
        <v>6089</v>
      </c>
      <c r="J557" s="10" t="n">
        <v>983</v>
      </c>
      <c r="K557" s="10" t="n">
        <v>44</v>
      </c>
      <c r="L557" s="10" t="n">
        <v>23</v>
      </c>
      <c r="M557" s="10" t="n">
        <v>0</v>
      </c>
      <c r="N557" s="10" t="n">
        <v>1274</v>
      </c>
      <c r="O557" s="10" t="n">
        <v>0</v>
      </c>
      <c r="P557" s="10" t="n">
        <v>21062</v>
      </c>
      <c r="Q557" s="11"/>
      <c r="R557" s="11"/>
      <c r="S557" s="19"/>
      <c r="T557" s="11"/>
      <c r="U557" s="21"/>
      <c r="V557" s="15"/>
      <c r="W557" s="8"/>
      <c r="X557" s="8"/>
      <c r="Y557" s="8"/>
      <c r="Z557" s="8"/>
      <c r="AA557" s="8"/>
      <c r="AB557" s="8"/>
      <c r="AC557" s="8"/>
    </row>
    <row r="558" customFormat="false" ht="15.75" hidden="false" customHeight="true" outlineLevel="0" collapsed="false">
      <c r="A558" s="9" t="n">
        <v>46305</v>
      </c>
      <c r="B558" s="11" t="s">
        <v>22</v>
      </c>
      <c r="C558" s="11" t="s">
        <v>23</v>
      </c>
      <c r="D558" s="11" t="s">
        <v>384</v>
      </c>
      <c r="E558" s="11" t="str">
        <f aca="false" t="array" ref="E558:E558">IF(D558="","",IFERROR(INDEX('CLM &amp; IM Mapping'!$B$2:$B$270,MATCH(TRIM(D558),'CLM &amp; IM Mapping'!$A$2:$A$270,0)),"Not Mapped"))</f>
        <v>Saddam Hussain</v>
      </c>
      <c r="F558" s="11" t="str">
        <f aca="false" t="array" ref="F558:F558">IF(D558="","",IFERROR(INDEX('CLM &amp; IM Mapping'!$C$2:$C$270,MATCH(TRIM(D558),'CLM &amp; IM Mapping'!$A$2:$A$270,0)),"Not Mapped"))</f>
        <v>Un Mapped</v>
      </c>
      <c r="G558" s="11" t="s">
        <v>34</v>
      </c>
      <c r="H558" s="10" t="n">
        <v>-10644</v>
      </c>
      <c r="I558" s="10" t="n">
        <v>9697</v>
      </c>
      <c r="J558" s="10" t="n">
        <v>0</v>
      </c>
      <c r="K558" s="10" t="n">
        <v>0</v>
      </c>
      <c r="L558" s="10" t="n">
        <v>840</v>
      </c>
      <c r="M558" s="10" t="n">
        <v>0</v>
      </c>
      <c r="N558" s="10" t="n">
        <v>0</v>
      </c>
      <c r="O558" s="10" t="n">
        <v>0</v>
      </c>
      <c r="P558" s="10" t="n">
        <v>-107</v>
      </c>
      <c r="Q558" s="11"/>
      <c r="R558" s="11"/>
      <c r="S558" s="19"/>
      <c r="T558" s="11"/>
      <c r="U558" s="21"/>
      <c r="V558" s="15"/>
      <c r="W558" s="8"/>
      <c r="X558" s="8"/>
      <c r="Y558" s="8"/>
      <c r="Z558" s="8"/>
      <c r="AA558" s="8"/>
      <c r="AB558" s="8"/>
      <c r="AC558" s="8"/>
    </row>
    <row r="559" customFormat="false" ht="15.75" hidden="false" customHeight="true" outlineLevel="0" collapsed="false">
      <c r="A559" s="9" t="n">
        <v>46305</v>
      </c>
      <c r="B559" s="11" t="s">
        <v>22</v>
      </c>
      <c r="C559" s="11" t="s">
        <v>23</v>
      </c>
      <c r="D559" s="11" t="s">
        <v>218</v>
      </c>
      <c r="E559" s="11" t="str">
        <f aca="false" t="array" ref="E559:E559">IF(D559="","",IFERROR(INDEX('CLM &amp; IM Mapping'!$B$2:$B$270,MATCH(TRIM(D559),'CLM &amp; IM Mapping'!$A$2:$A$270,0)),"Not Mapped"))</f>
        <v>Ashwath S</v>
      </c>
      <c r="F559" s="11" t="str">
        <f aca="false" t="array" ref="F559:F559">IF(D559="","",IFERROR(INDEX('CLM &amp; IM Mapping'!$C$2:$C$270,MATCH(TRIM(D559),'CLM &amp; IM Mapping'!$A$2:$A$270,0)),"Not Mapped"))</f>
        <v>Kantha Kumar</v>
      </c>
      <c r="G559" s="11" t="s">
        <v>34</v>
      </c>
      <c r="H559" s="10" t="n">
        <v>19785</v>
      </c>
      <c r="I559" s="10" t="n">
        <v>12200</v>
      </c>
      <c r="J559" s="10" t="n">
        <v>105</v>
      </c>
      <c r="K559" s="10" t="n">
        <v>2129</v>
      </c>
      <c r="L559" s="10" t="n">
        <v>210</v>
      </c>
      <c r="M559" s="10" t="n">
        <v>0</v>
      </c>
      <c r="N559" s="10" t="n">
        <v>384</v>
      </c>
      <c r="O559" s="10" t="n">
        <v>0</v>
      </c>
      <c r="P559" s="10" t="n">
        <v>34813</v>
      </c>
      <c r="Q559" s="11"/>
      <c r="R559" s="11"/>
      <c r="S559" s="19"/>
      <c r="T559" s="11"/>
      <c r="U559" s="21"/>
      <c r="V559" s="15"/>
      <c r="W559" s="8"/>
      <c r="X559" s="8"/>
      <c r="Y559" s="8"/>
      <c r="Z559" s="8"/>
      <c r="AA559" s="8"/>
      <c r="AB559" s="8"/>
      <c r="AC559" s="8"/>
    </row>
    <row r="560" customFormat="false" ht="15.75" hidden="false" customHeight="true" outlineLevel="0" collapsed="false">
      <c r="A560" s="9" t="n">
        <v>46305</v>
      </c>
      <c r="B560" s="11" t="s">
        <v>22</v>
      </c>
      <c r="C560" s="11" t="s">
        <v>23</v>
      </c>
      <c r="D560" s="11" t="s">
        <v>205</v>
      </c>
      <c r="E560" s="11" t="str">
        <f aca="false" t="array" ref="E560:E560">IF(D560="","",IFERROR(INDEX('CLM &amp; IM Mapping'!$B$2:$B$270,MATCH(TRIM(D560),'CLM &amp; IM Mapping'!$A$2:$A$270,0)),"Not Mapped"))</f>
        <v>Akshay P</v>
      </c>
      <c r="F560" s="11" t="str">
        <f aca="false" t="array" ref="F560:F560">IF(D560="","",IFERROR(INDEX('CLM &amp; IM Mapping'!$C$2:$C$270,MATCH(TRIM(D560),'CLM &amp; IM Mapping'!$A$2:$A$270,0)),"Not Mapped"))</f>
        <v>Srittam Dhal</v>
      </c>
      <c r="G560" s="11" t="s">
        <v>34</v>
      </c>
      <c r="H560" s="10" t="n">
        <v>22868</v>
      </c>
      <c r="I560" s="10" t="n">
        <v>14835</v>
      </c>
      <c r="J560" s="10" t="n">
        <v>0</v>
      </c>
      <c r="K560" s="10" t="n">
        <v>0</v>
      </c>
      <c r="L560" s="10" t="n">
        <v>1593</v>
      </c>
      <c r="M560" s="10" t="n">
        <v>0</v>
      </c>
      <c r="N560" s="10" t="n">
        <v>0</v>
      </c>
      <c r="O560" s="10" t="n">
        <v>452</v>
      </c>
      <c r="P560" s="10" t="n">
        <v>39748</v>
      </c>
      <c r="Q560" s="11"/>
      <c r="R560" s="11"/>
      <c r="S560" s="19"/>
      <c r="T560" s="11"/>
      <c r="U560" s="21"/>
      <c r="V560" s="15"/>
      <c r="W560" s="8"/>
      <c r="X560" s="8"/>
      <c r="Y560" s="8"/>
      <c r="Z560" s="8"/>
      <c r="AA560" s="8"/>
      <c r="AB560" s="8"/>
      <c r="AC560" s="8"/>
    </row>
    <row r="561" customFormat="false" ht="15.75" hidden="false" customHeight="true" outlineLevel="0" collapsed="false">
      <c r="A561" s="9" t="n">
        <v>46305</v>
      </c>
      <c r="B561" s="11" t="s">
        <v>22</v>
      </c>
      <c r="C561" s="11" t="s">
        <v>23</v>
      </c>
      <c r="D561" s="11" t="s">
        <v>59</v>
      </c>
      <c r="E561" s="11" t="str">
        <f aca="false" t="array" ref="E561:E561">IF(D561="","",IFERROR(INDEX('CLM &amp; IM Mapping'!$B$2:$B$270,MATCH(TRIM(D561),'CLM &amp; IM Mapping'!$A$2:$A$270,0)),"Not Mapped"))</f>
        <v>Saddam Hussain</v>
      </c>
      <c r="F561" s="11" t="str">
        <f aca="false" t="array" ref="F561:F561">IF(D561="","",IFERROR(INDEX('CLM &amp; IM Mapping'!$C$2:$C$270,MATCH(TRIM(D561),'CLM &amp; IM Mapping'!$A$2:$A$270,0)),"Not Mapped"))</f>
        <v>Un Mapped</v>
      </c>
      <c r="G561" s="11" t="s">
        <v>34</v>
      </c>
      <c r="H561" s="10" t="n">
        <v>3277</v>
      </c>
      <c r="I561" s="10" t="n">
        <v>26502</v>
      </c>
      <c r="J561" s="10" t="n">
        <v>0</v>
      </c>
      <c r="K561" s="10" t="n">
        <v>11978</v>
      </c>
      <c r="L561" s="10" t="n">
        <v>1503</v>
      </c>
      <c r="M561" s="10" t="n">
        <v>0</v>
      </c>
      <c r="N561" s="10" t="n">
        <v>1629</v>
      </c>
      <c r="O561" s="10" t="n">
        <v>0</v>
      </c>
      <c r="P561" s="10" t="n">
        <v>44890</v>
      </c>
      <c r="Q561" s="11"/>
      <c r="R561" s="11"/>
      <c r="S561" s="19"/>
      <c r="T561" s="11"/>
      <c r="U561" s="21"/>
      <c r="V561" s="15"/>
      <c r="W561" s="8"/>
      <c r="X561" s="8"/>
      <c r="Y561" s="8"/>
      <c r="Z561" s="8"/>
      <c r="AA561" s="8"/>
      <c r="AB561" s="8"/>
      <c r="AC561" s="8"/>
    </row>
    <row r="562" customFormat="false" ht="15.75" hidden="false" customHeight="true" outlineLevel="0" collapsed="false">
      <c r="A562" s="9" t="n">
        <v>46305</v>
      </c>
      <c r="B562" s="11" t="s">
        <v>22</v>
      </c>
      <c r="C562" s="11" t="s">
        <v>23</v>
      </c>
      <c r="D562" s="11" t="s">
        <v>479</v>
      </c>
      <c r="E562" s="11" t="str">
        <f aca="false" t="array" ref="E562:E562">IF(D562="","",IFERROR(INDEX('CLM &amp; IM Mapping'!$B$2:$B$270,MATCH(TRIM(D562),'CLM &amp; IM Mapping'!$A$2:$A$270,0)),"Not Mapped"))</f>
        <v>Arun Raj</v>
      </c>
      <c r="F562" s="11" t="str">
        <f aca="false" t="array" ref="F562:F562">IF(D562="","",IFERROR(INDEX('CLM &amp; IM Mapping'!$C$2:$C$270,MATCH(TRIM(D562),'CLM &amp; IM Mapping'!$A$2:$A$270,0)),"Not Mapped"))</f>
        <v>Simon Manoharan</v>
      </c>
      <c r="G562" s="11" t="s">
        <v>25</v>
      </c>
      <c r="H562" s="10" t="n">
        <v>-10972</v>
      </c>
      <c r="I562" s="10" t="n">
        <v>0</v>
      </c>
      <c r="J562" s="10" t="n">
        <v>0</v>
      </c>
      <c r="K562" s="10" t="n">
        <v>0</v>
      </c>
      <c r="L562" s="10" t="n">
        <v>0</v>
      </c>
      <c r="M562" s="10" t="n">
        <v>0</v>
      </c>
      <c r="N562" s="10" t="n">
        <v>0</v>
      </c>
      <c r="O562" s="10" t="n">
        <v>0</v>
      </c>
      <c r="P562" s="10" t="n">
        <v>-10972</v>
      </c>
      <c r="Q562" s="11"/>
      <c r="R562" s="11"/>
      <c r="S562" s="19"/>
      <c r="T562" s="11"/>
      <c r="U562" s="21"/>
      <c r="V562" s="15"/>
      <c r="W562" s="8"/>
      <c r="X562" s="8"/>
      <c r="Y562" s="8"/>
      <c r="Z562" s="8"/>
      <c r="AA562" s="8"/>
      <c r="AB562" s="8"/>
      <c r="AC562" s="8"/>
    </row>
    <row r="563" customFormat="false" ht="15.75" hidden="false" customHeight="true" outlineLevel="0" collapsed="false">
      <c r="A563" s="9" t="n">
        <v>46305</v>
      </c>
      <c r="B563" s="11" t="s">
        <v>22</v>
      </c>
      <c r="C563" s="11" t="s">
        <v>23</v>
      </c>
      <c r="D563" s="11" t="s">
        <v>346</v>
      </c>
      <c r="E563" s="11" t="str">
        <f aca="false" t="array" ref="E563:E563">IF(D563="","",IFERROR(INDEX('CLM &amp; IM Mapping'!$B$2:$B$270,MATCH(TRIM(D563),'CLM &amp; IM Mapping'!$A$2:$A$270,0)),"Not Mapped"))</f>
        <v>Saddam Hussain</v>
      </c>
      <c r="F563" s="11" t="str">
        <f aca="false" t="array" ref="F563:F563">IF(D563="","",IFERROR(INDEX('CLM &amp; IM Mapping'!$C$2:$C$270,MATCH(TRIM(D563),'CLM &amp; IM Mapping'!$A$2:$A$270,0)),"Not Mapped"))</f>
        <v>Un Mapped</v>
      </c>
      <c r="G563" s="11" t="s">
        <v>34</v>
      </c>
      <c r="H563" s="10" t="n">
        <v>-11349</v>
      </c>
      <c r="I563" s="10" t="n">
        <v>5396</v>
      </c>
      <c r="J563" s="10" t="n">
        <v>0</v>
      </c>
      <c r="K563" s="10" t="n">
        <v>4072</v>
      </c>
      <c r="L563" s="10" t="n">
        <v>479</v>
      </c>
      <c r="M563" s="10" t="n">
        <v>0</v>
      </c>
      <c r="N563" s="10" t="n">
        <v>3750</v>
      </c>
      <c r="O563" s="10" t="n">
        <v>0</v>
      </c>
      <c r="P563" s="10" t="n">
        <v>2347</v>
      </c>
      <c r="Q563" s="11"/>
      <c r="R563" s="11"/>
      <c r="S563" s="19"/>
      <c r="T563" s="11"/>
      <c r="U563" s="21"/>
      <c r="V563" s="15"/>
      <c r="W563" s="8"/>
      <c r="X563" s="8"/>
      <c r="Y563" s="8"/>
      <c r="Z563" s="8"/>
      <c r="AA563" s="8"/>
      <c r="AB563" s="8"/>
      <c r="AC563" s="8"/>
    </row>
    <row r="564" customFormat="false" ht="15.75" hidden="false" customHeight="true" outlineLevel="0" collapsed="false">
      <c r="A564" s="9" t="n">
        <v>46305</v>
      </c>
      <c r="B564" s="11" t="s">
        <v>22</v>
      </c>
      <c r="C564" s="11" t="s">
        <v>23</v>
      </c>
      <c r="D564" s="11" t="s">
        <v>173</v>
      </c>
      <c r="E564" s="11" t="str">
        <f aca="false" t="array" ref="E564:E564">IF(D564="","",IFERROR(INDEX('CLM &amp; IM Mapping'!$B$2:$B$270,MATCH(TRIM(D564),'CLM &amp; IM Mapping'!$A$2:$A$270,0)),"Not Mapped"))</f>
        <v>Akshay P</v>
      </c>
      <c r="F564" s="11" t="str">
        <f aca="false" t="array" ref="F564:F564">IF(D564="","",IFERROR(INDEX('CLM &amp; IM Mapping'!$C$2:$C$270,MATCH(TRIM(D564),'CLM &amp; IM Mapping'!$A$2:$A$270,0)),"Not Mapped"))</f>
        <v>Srittam Dhal</v>
      </c>
      <c r="G564" s="11" t="s">
        <v>34</v>
      </c>
      <c r="H564" s="10" t="n">
        <v>-7021</v>
      </c>
      <c r="I564" s="10" t="n">
        <v>22658</v>
      </c>
      <c r="J564" s="10" t="n">
        <v>297</v>
      </c>
      <c r="K564" s="10" t="n">
        <v>0</v>
      </c>
      <c r="L564" s="10" t="n">
        <v>2132</v>
      </c>
      <c r="M564" s="10" t="n">
        <v>0</v>
      </c>
      <c r="N564" s="10" t="n">
        <v>0</v>
      </c>
      <c r="O564" s="10" t="n">
        <v>0</v>
      </c>
      <c r="P564" s="10" t="n">
        <v>18065</v>
      </c>
      <c r="Q564" s="11"/>
      <c r="R564" s="11"/>
      <c r="S564" s="19"/>
      <c r="T564" s="11"/>
      <c r="U564" s="21"/>
      <c r="V564" s="15"/>
      <c r="W564" s="8"/>
      <c r="X564" s="8"/>
      <c r="Y564" s="8"/>
      <c r="Z564" s="8"/>
      <c r="AA564" s="8"/>
      <c r="AB564" s="8"/>
      <c r="AC564" s="8"/>
    </row>
    <row r="565" customFormat="false" ht="15.75" hidden="false" customHeight="true" outlineLevel="0" collapsed="false">
      <c r="A565" s="9" t="n">
        <v>46305</v>
      </c>
      <c r="B565" s="11" t="s">
        <v>22</v>
      </c>
      <c r="C565" s="11" t="s">
        <v>23</v>
      </c>
      <c r="D565" s="11" t="s">
        <v>100</v>
      </c>
      <c r="E565" s="11" t="str">
        <f aca="false" t="array" ref="E565:E565">IF(D565="","",IFERROR(INDEX('CLM &amp; IM Mapping'!$B$2:$B$270,MATCH(TRIM(D565),'CLM &amp; IM Mapping'!$A$2:$A$270,0)),"Not Mapped"))</f>
        <v>Sundaresh S</v>
      </c>
      <c r="F565" s="11" t="str">
        <f aca="false" t="array" ref="F565:F565">IF(D565="","",IFERROR(INDEX('CLM &amp; IM Mapping'!$C$2:$C$270,MATCH(TRIM(D565),'CLM &amp; IM Mapping'!$A$2:$A$270,0)),"Not Mapped"))</f>
        <v>Un Mapped</v>
      </c>
      <c r="G565" s="11" t="s">
        <v>34</v>
      </c>
      <c r="H565" s="10" t="n">
        <v>16502</v>
      </c>
      <c r="I565" s="10" t="n">
        <v>14299</v>
      </c>
      <c r="J565" s="10" t="n">
        <v>42</v>
      </c>
      <c r="K565" s="10" t="n">
        <v>5896</v>
      </c>
      <c r="L565" s="10" t="n">
        <v>1755</v>
      </c>
      <c r="M565" s="10" t="n">
        <v>0</v>
      </c>
      <c r="N565" s="10" t="n">
        <v>0</v>
      </c>
      <c r="O565" s="10" t="n">
        <v>0</v>
      </c>
      <c r="P565" s="10" t="n">
        <v>38493</v>
      </c>
      <c r="Q565" s="11"/>
      <c r="R565" s="11"/>
      <c r="S565" s="19"/>
      <c r="T565" s="11"/>
      <c r="U565" s="21"/>
      <c r="V565" s="15"/>
      <c r="W565" s="8"/>
      <c r="X565" s="8"/>
      <c r="Y565" s="8"/>
      <c r="Z565" s="8"/>
      <c r="AA565" s="8"/>
      <c r="AB565" s="8"/>
      <c r="AC565" s="8"/>
    </row>
    <row r="566" customFormat="false" ht="15.75" hidden="false" customHeight="true" outlineLevel="0" collapsed="false">
      <c r="A566" s="9" t="n">
        <v>46305</v>
      </c>
      <c r="B566" s="11" t="s">
        <v>22</v>
      </c>
      <c r="C566" s="11" t="s">
        <v>23</v>
      </c>
      <c r="D566" s="11" t="s">
        <v>473</v>
      </c>
      <c r="E566" s="11" t="str">
        <f aca="false" t="array" ref="E566:E566">IF(D566="","",IFERROR(INDEX('CLM &amp; IM Mapping'!$B$2:$B$270,MATCH(TRIM(D566),'CLM &amp; IM Mapping'!$A$2:$A$270,0)),"Not Mapped"))</f>
        <v>Raghavendra Vernekar</v>
      </c>
      <c r="F566" s="11" t="str">
        <f aca="false" t="array" ref="F566:F566">IF(D566="","",IFERROR(INDEX('CLM &amp; IM Mapping'!$C$2:$C$270,MATCH(TRIM(D566),'CLM &amp; IM Mapping'!$A$2:$A$270,0)),"Not Mapped"))</f>
        <v>Prakash BS</v>
      </c>
      <c r="G566" s="11" t="s">
        <v>34</v>
      </c>
      <c r="H566" s="10" t="n">
        <v>-12572</v>
      </c>
      <c r="I566" s="10" t="n">
        <v>3494</v>
      </c>
      <c r="J566" s="10" t="n">
        <v>0</v>
      </c>
      <c r="K566" s="10" t="n">
        <v>0</v>
      </c>
      <c r="L566" s="10" t="n">
        <v>283</v>
      </c>
      <c r="M566" s="10" t="n">
        <v>0</v>
      </c>
      <c r="N566" s="10" t="n">
        <v>0</v>
      </c>
      <c r="O566" s="10" t="n">
        <v>0</v>
      </c>
      <c r="P566" s="10" t="n">
        <v>-8794</v>
      </c>
      <c r="Q566" s="11"/>
      <c r="R566" s="11"/>
      <c r="S566" s="19"/>
      <c r="T566" s="11"/>
      <c r="U566" s="21"/>
      <c r="V566" s="15"/>
      <c r="W566" s="8"/>
      <c r="X566" s="8"/>
      <c r="Y566" s="8"/>
      <c r="Z566" s="8"/>
      <c r="AA566" s="8"/>
      <c r="AB566" s="8"/>
      <c r="AC566" s="8"/>
    </row>
    <row r="567" customFormat="false" ht="15.75" hidden="false" customHeight="true" outlineLevel="0" collapsed="false">
      <c r="A567" s="9" t="n">
        <v>46305</v>
      </c>
      <c r="B567" s="11" t="s">
        <v>22</v>
      </c>
      <c r="C567" s="11" t="s">
        <v>23</v>
      </c>
      <c r="D567" s="11" t="s">
        <v>70</v>
      </c>
      <c r="E567" s="11" t="str">
        <f aca="false" t="array" ref="E567:E567">IF(D567="","",IFERROR(INDEX('CLM &amp; IM Mapping'!$B$2:$B$270,MATCH(TRIM(D567),'CLM &amp; IM Mapping'!$A$2:$A$270,0)),"Not Mapped"))</f>
        <v>Rizwan Ahmed</v>
      </c>
      <c r="F567" s="11" t="str">
        <f aca="false" t="array" ref="F567:F567">IF(D567="","",IFERROR(INDEX('CLM &amp; IM Mapping'!$C$2:$C$270,MATCH(TRIM(D567),'CLM &amp; IM Mapping'!$A$2:$A$270,0)),"Not Mapped"))</f>
        <v>Un Mapped</v>
      </c>
      <c r="G567" s="11" t="s">
        <v>34</v>
      </c>
      <c r="H567" s="10" t="n">
        <v>-28727</v>
      </c>
      <c r="I567" s="10" t="n">
        <v>18282</v>
      </c>
      <c r="J567" s="10" t="n">
        <v>235</v>
      </c>
      <c r="K567" s="10" t="n">
        <v>28</v>
      </c>
      <c r="L567" s="10" t="n">
        <v>739</v>
      </c>
      <c r="M567" s="10" t="n">
        <v>0</v>
      </c>
      <c r="N567" s="10" t="n">
        <v>0</v>
      </c>
      <c r="O567" s="10" t="n">
        <v>0</v>
      </c>
      <c r="P567" s="10" t="n">
        <v>-9444</v>
      </c>
      <c r="Q567" s="11"/>
      <c r="R567" s="11"/>
      <c r="S567" s="19"/>
      <c r="T567" s="11"/>
      <c r="U567" s="21"/>
      <c r="V567" s="15"/>
      <c r="W567" s="8"/>
      <c r="X567" s="8"/>
      <c r="Y567" s="8"/>
      <c r="Z567" s="8"/>
      <c r="AA567" s="8"/>
      <c r="AB567" s="8"/>
      <c r="AC567" s="8"/>
    </row>
    <row r="568" customFormat="false" ht="15.75" hidden="false" customHeight="true" outlineLevel="0" collapsed="false">
      <c r="A568" s="9" t="n">
        <v>46305</v>
      </c>
      <c r="B568" s="11" t="s">
        <v>22</v>
      </c>
      <c r="C568" s="11" t="s">
        <v>23</v>
      </c>
      <c r="D568" s="11" t="s">
        <v>433</v>
      </c>
      <c r="E568" s="11" t="str">
        <f aca="false" t="array" ref="E568:E568">IF(D568="","",IFERROR(INDEX('CLM &amp; IM Mapping'!$B$2:$B$270,MATCH(TRIM(D568),'CLM &amp; IM Mapping'!$A$2:$A$270,0)),"Not Mapped"))</f>
        <v>Silambarasan E</v>
      </c>
      <c r="F568" s="11" t="str">
        <f aca="false" t="array" ref="F568:F568">IF(D568="","",IFERROR(INDEX('CLM &amp; IM Mapping'!$C$2:$C$270,MATCH(TRIM(D568),'CLM &amp; IM Mapping'!$A$2:$A$270,0)),"Not Mapped"))</f>
        <v>Arivind S</v>
      </c>
      <c r="G568" s="11" t="s">
        <v>34</v>
      </c>
      <c r="H568" s="10" t="n">
        <v>-2872</v>
      </c>
      <c r="I568" s="10" t="n">
        <v>19190</v>
      </c>
      <c r="J568" s="10" t="n">
        <v>0</v>
      </c>
      <c r="K568" s="10" t="n">
        <v>34</v>
      </c>
      <c r="L568" s="10" t="n">
        <v>316</v>
      </c>
      <c r="M568" s="10" t="n">
        <v>0</v>
      </c>
      <c r="N568" s="10" t="n">
        <v>252</v>
      </c>
      <c r="O568" s="10" t="n">
        <v>0</v>
      </c>
      <c r="P568" s="10" t="n">
        <v>16919</v>
      </c>
      <c r="Q568" s="11"/>
      <c r="R568" s="11"/>
      <c r="S568" s="19"/>
      <c r="T568" s="11"/>
      <c r="U568" s="21"/>
      <c r="V568" s="15"/>
      <c r="W568" s="8"/>
      <c r="X568" s="8"/>
      <c r="Y568" s="8"/>
      <c r="Z568" s="8"/>
      <c r="AA568" s="8"/>
      <c r="AB568" s="8"/>
      <c r="AC568" s="8"/>
    </row>
    <row r="569" customFormat="false" ht="15.75" hidden="false" customHeight="true" outlineLevel="0" collapsed="false">
      <c r="A569" s="9" t="n">
        <v>46305</v>
      </c>
      <c r="B569" s="11" t="s">
        <v>22</v>
      </c>
      <c r="C569" s="11" t="s">
        <v>23</v>
      </c>
      <c r="D569" s="11" t="s">
        <v>494</v>
      </c>
      <c r="E569" s="11" t="str">
        <f aca="false" t="array" ref="E569:E569">IF(D569="","",IFERROR(INDEX('CLM &amp; IM Mapping'!$B$2:$B$270,MATCH(TRIM(D569),'CLM &amp; IM Mapping'!$A$2:$A$270,0)),"Not Mapped"))</f>
        <v>Arun Raj</v>
      </c>
      <c r="F569" s="11" t="str">
        <f aca="false" t="array" ref="F569:F569">IF(D569="","",IFERROR(INDEX('CLM &amp; IM Mapping'!$C$2:$C$270,MATCH(TRIM(D569),'CLM &amp; IM Mapping'!$A$2:$A$270,0)),"Not Mapped"))</f>
        <v>Simon Manoharan</v>
      </c>
      <c r="G569" s="11" t="s">
        <v>25</v>
      </c>
      <c r="H569" s="10" t="n">
        <v>-15612</v>
      </c>
      <c r="I569" s="10" t="n">
        <v>1882</v>
      </c>
      <c r="J569" s="10" t="n">
        <v>0</v>
      </c>
      <c r="K569" s="10" t="n">
        <v>0</v>
      </c>
      <c r="L569" s="10" t="n">
        <v>594</v>
      </c>
      <c r="M569" s="10" t="n">
        <v>0</v>
      </c>
      <c r="N569" s="10" t="n">
        <v>0</v>
      </c>
      <c r="O569" s="10" t="n">
        <v>0</v>
      </c>
      <c r="P569" s="10" t="n">
        <v>-13135</v>
      </c>
      <c r="Q569" s="11"/>
      <c r="R569" s="11"/>
      <c r="S569" s="19"/>
      <c r="T569" s="11"/>
      <c r="U569" s="21"/>
      <c r="V569" s="15"/>
      <c r="W569" s="8"/>
      <c r="X569" s="8"/>
      <c r="Y569" s="8"/>
      <c r="Z569" s="8"/>
      <c r="AA569" s="8"/>
      <c r="AB569" s="8"/>
      <c r="AC569" s="8"/>
    </row>
    <row r="570" customFormat="false" ht="15.75" hidden="false" customHeight="true" outlineLevel="0" collapsed="false">
      <c r="A570" s="9" t="n">
        <v>46305</v>
      </c>
      <c r="B570" s="11" t="s">
        <v>22</v>
      </c>
      <c r="C570" s="11" t="s">
        <v>23</v>
      </c>
      <c r="D570" s="11" t="s">
        <v>56</v>
      </c>
      <c r="E570" s="11" t="str">
        <f aca="false" t="array" ref="E570:E570">IF(D570="","",IFERROR(INDEX('CLM &amp; IM Mapping'!$B$2:$B$270,MATCH(TRIM(D570),'CLM &amp; IM Mapping'!$A$2:$A$270,0)),"Not Mapped"))</f>
        <v>Keshav G</v>
      </c>
      <c r="F570" s="11" t="str">
        <f aca="false" t="array" ref="F570:F570">IF(D570="","",IFERROR(INDEX('CLM &amp; IM Mapping'!$C$2:$C$270,MATCH(TRIM(D570),'CLM &amp; IM Mapping'!$A$2:$A$270,0)),"Not Mapped"))</f>
        <v>Un Mapped</v>
      </c>
      <c r="G570" s="11" t="s">
        <v>34</v>
      </c>
      <c r="H570" s="10" t="n">
        <v>19924</v>
      </c>
      <c r="I570" s="10" t="n">
        <v>38987</v>
      </c>
      <c r="J570" s="10" t="n">
        <v>0</v>
      </c>
      <c r="K570" s="10" t="n">
        <v>1403</v>
      </c>
      <c r="L570" s="10" t="n">
        <v>3671</v>
      </c>
      <c r="M570" s="10" t="n">
        <v>0</v>
      </c>
      <c r="N570" s="10" t="n">
        <v>0</v>
      </c>
      <c r="O570" s="10" t="n">
        <v>13273</v>
      </c>
      <c r="P570" s="10" t="n">
        <v>77258</v>
      </c>
      <c r="Q570" s="11"/>
      <c r="R570" s="11"/>
      <c r="S570" s="19"/>
      <c r="T570" s="11"/>
      <c r="U570" s="21"/>
      <c r="V570" s="15"/>
      <c r="W570" s="8"/>
      <c r="X570" s="8"/>
      <c r="Y570" s="8"/>
      <c r="Z570" s="8"/>
      <c r="AA570" s="8"/>
      <c r="AB570" s="8"/>
      <c r="AC570" s="8"/>
    </row>
    <row r="571" customFormat="false" ht="15.75" hidden="false" customHeight="true" outlineLevel="0" collapsed="false">
      <c r="A571" s="9" t="n">
        <v>46305</v>
      </c>
      <c r="B571" s="11" t="s">
        <v>22</v>
      </c>
      <c r="C571" s="11" t="s">
        <v>303</v>
      </c>
      <c r="D571" s="11" t="s">
        <v>345</v>
      </c>
      <c r="E571" s="11" t="str">
        <f aca="false" t="array" ref="E571:E571">IF(D571="","",IFERROR(INDEX('CLM &amp; IM Mapping'!$B$2:$B$270,MATCH(TRIM(D571),'CLM &amp; IM Mapping'!$A$2:$A$270,0)),"Not Mapped"))</f>
        <v>John Britto</v>
      </c>
      <c r="F571" s="11" t="str">
        <f aca="false" t="array" ref="F571:F571">IF(D571="","",IFERROR(INDEX('CLM &amp; IM Mapping'!$C$2:$C$270,MATCH(TRIM(D571),'CLM &amp; IM Mapping'!$A$2:$A$270,0)),"Not Mapped"))</f>
        <v>Aravind S</v>
      </c>
      <c r="G571" s="11" t="s">
        <v>34</v>
      </c>
      <c r="H571" s="10" t="n">
        <v>-9328</v>
      </c>
      <c r="I571" s="10" t="n">
        <v>5947</v>
      </c>
      <c r="J571" s="10" t="n">
        <v>0</v>
      </c>
      <c r="K571" s="10" t="n">
        <v>0</v>
      </c>
      <c r="L571" s="10" t="n">
        <v>637</v>
      </c>
      <c r="M571" s="10" t="n">
        <v>0</v>
      </c>
      <c r="N571" s="10" t="n">
        <v>0</v>
      </c>
      <c r="O571" s="10" t="n">
        <v>0</v>
      </c>
      <c r="P571" s="10" t="n">
        <v>-2743</v>
      </c>
      <c r="Q571" s="11"/>
      <c r="R571" s="11"/>
      <c r="S571" s="19"/>
      <c r="T571" s="11"/>
      <c r="U571" s="21"/>
      <c r="V571" s="15"/>
      <c r="W571" s="8"/>
      <c r="X571" s="8"/>
      <c r="Y571" s="8"/>
      <c r="Z571" s="8"/>
      <c r="AA571" s="8"/>
      <c r="AB571" s="8"/>
      <c r="AC571" s="8"/>
    </row>
    <row r="572" customFormat="false" ht="15.75" hidden="false" customHeight="true" outlineLevel="0" collapsed="false">
      <c r="A572" s="9" t="n">
        <v>46305</v>
      </c>
      <c r="B572" s="11" t="s">
        <v>22</v>
      </c>
      <c r="C572" s="11" t="s">
        <v>23</v>
      </c>
      <c r="D572" s="11" t="s">
        <v>365</v>
      </c>
      <c r="E572" s="11" t="str">
        <f aca="false" t="array" ref="E572:E572">IF(D572="","",IFERROR(INDEX('CLM &amp; IM Mapping'!$B$2:$B$270,MATCH(TRIM(D572),'CLM &amp; IM Mapping'!$A$2:$A$270,0)),"Not Mapped"))</f>
        <v>Raghavendra Vernekar</v>
      </c>
      <c r="F572" s="11" t="str">
        <f aca="false" t="array" ref="F572:F572">IF(D572="","",IFERROR(INDEX('CLM &amp; IM Mapping'!$C$2:$C$270,MATCH(TRIM(D572),'CLM &amp; IM Mapping'!$A$2:$A$270,0)),"Not Mapped"))</f>
        <v>Prakash BS</v>
      </c>
      <c r="G572" s="11" t="s">
        <v>34</v>
      </c>
      <c r="H572" s="10" t="n">
        <v>0</v>
      </c>
      <c r="I572" s="10" t="n">
        <v>0</v>
      </c>
      <c r="J572" s="10" t="n">
        <v>0</v>
      </c>
      <c r="K572" s="10" t="n">
        <v>0</v>
      </c>
      <c r="L572" s="10" t="n">
        <v>0</v>
      </c>
      <c r="M572" s="10" t="n">
        <v>0</v>
      </c>
      <c r="N572" s="10" t="n">
        <v>0</v>
      </c>
      <c r="O572" s="10" t="n">
        <v>0</v>
      </c>
      <c r="P572" s="10" t="n">
        <v>0</v>
      </c>
      <c r="Q572" s="11"/>
      <c r="R572" s="11"/>
      <c r="S572" s="19"/>
      <c r="T572" s="11"/>
      <c r="U572" s="21"/>
      <c r="V572" s="15"/>
      <c r="W572" s="8"/>
      <c r="X572" s="8"/>
      <c r="Y572" s="8"/>
      <c r="Z572" s="8"/>
      <c r="AA572" s="8"/>
      <c r="AB572" s="8"/>
      <c r="AC572" s="8"/>
    </row>
    <row r="573" customFormat="false" ht="15.75" hidden="false" customHeight="true" outlineLevel="0" collapsed="false">
      <c r="A573" s="9" t="n">
        <v>46305</v>
      </c>
      <c r="B573" s="11" t="s">
        <v>22</v>
      </c>
      <c r="C573" s="11" t="s">
        <v>212</v>
      </c>
      <c r="D573" s="11" t="s">
        <v>440</v>
      </c>
      <c r="E573" s="11" t="str">
        <f aca="false" t="array" ref="E573:E573">IF(D573="","",IFERROR(INDEX('CLM &amp; IM Mapping'!$B$2:$B$270,MATCH(TRIM(D573),'CLM &amp; IM Mapping'!$A$2:$A$270,0)),"Not Mapped"))</f>
        <v>Bangareppa CS</v>
      </c>
      <c r="F573" s="11" t="str">
        <f aca="false" t="array" ref="F573:F573">IF(D573="","",IFERROR(INDEX('CLM &amp; IM Mapping'!$C$2:$C$270,MATCH(TRIM(D573),'CLM &amp; IM Mapping'!$A$2:$A$270,0)),"Not Mapped"))</f>
        <v>Kishor K</v>
      </c>
      <c r="G573" s="11" t="s">
        <v>34</v>
      </c>
      <c r="H573" s="10" t="n">
        <v>-8960</v>
      </c>
      <c r="I573" s="10" t="n">
        <v>319</v>
      </c>
      <c r="J573" s="10" t="n">
        <v>0</v>
      </c>
      <c r="K573" s="10" t="n">
        <v>0</v>
      </c>
      <c r="L573" s="10" t="n">
        <v>8</v>
      </c>
      <c r="M573" s="10" t="n">
        <v>0</v>
      </c>
      <c r="N573" s="10" t="n">
        <v>0</v>
      </c>
      <c r="O573" s="10" t="n">
        <v>0</v>
      </c>
      <c r="P573" s="10" t="n">
        <v>-8633</v>
      </c>
      <c r="Q573" s="11"/>
      <c r="R573" s="11"/>
      <c r="S573" s="19"/>
      <c r="T573" s="11"/>
      <c r="U573" s="21"/>
      <c r="V573" s="15"/>
      <c r="W573" s="8"/>
      <c r="X573" s="8"/>
      <c r="Y573" s="8"/>
      <c r="Z573" s="8"/>
      <c r="AA573" s="8"/>
      <c r="AB573" s="8"/>
      <c r="AC573" s="8"/>
    </row>
    <row r="574" customFormat="false" ht="15.75" hidden="false" customHeight="true" outlineLevel="0" collapsed="false">
      <c r="A574" s="9" t="n">
        <v>46305</v>
      </c>
      <c r="B574" s="11" t="s">
        <v>22</v>
      </c>
      <c r="C574" s="11" t="s">
        <v>23</v>
      </c>
      <c r="D574" s="11" t="s">
        <v>364</v>
      </c>
      <c r="E574" s="11" t="str">
        <f aca="false" t="array" ref="E574:E574">IF(D574="","",IFERROR(INDEX('CLM &amp; IM Mapping'!$B$2:$B$270,MATCH(TRIM(D574),'CLM &amp; IM Mapping'!$A$2:$A$270,0)),"Not Mapped"))</f>
        <v>Raghavendra Vernekar</v>
      </c>
      <c r="F574" s="11" t="str">
        <f aca="false" t="array" ref="F574:F574">IF(D574="","",IFERROR(INDEX('CLM &amp; IM Mapping'!$C$2:$C$270,MATCH(TRIM(D574),'CLM &amp; IM Mapping'!$A$2:$A$270,0)),"Not Mapped"))</f>
        <v>Prakash BS</v>
      </c>
      <c r="G574" s="11" t="s">
        <v>34</v>
      </c>
      <c r="H574" s="10" t="n">
        <v>-45817</v>
      </c>
      <c r="I574" s="10" t="n">
        <v>18665</v>
      </c>
      <c r="J574" s="10" t="n">
        <v>0</v>
      </c>
      <c r="K574" s="10" t="n">
        <v>9870</v>
      </c>
      <c r="L574" s="10" t="n">
        <v>2617</v>
      </c>
      <c r="M574" s="10" t="n">
        <v>0</v>
      </c>
      <c r="N574" s="10" t="n">
        <v>171</v>
      </c>
      <c r="O574" s="10" t="n">
        <v>0</v>
      </c>
      <c r="P574" s="10" t="n">
        <v>-14494</v>
      </c>
      <c r="Q574" s="11"/>
      <c r="R574" s="11"/>
      <c r="S574" s="19"/>
      <c r="T574" s="11"/>
      <c r="U574" s="21"/>
      <c r="V574" s="15"/>
      <c r="W574" s="8"/>
      <c r="X574" s="8"/>
      <c r="Y574" s="8"/>
      <c r="Z574" s="8"/>
      <c r="AA574" s="8"/>
      <c r="AB574" s="8"/>
      <c r="AC574" s="8"/>
    </row>
    <row r="575" customFormat="false" ht="15.75" hidden="false" customHeight="true" outlineLevel="0" collapsed="false">
      <c r="A575" s="9" t="n">
        <v>46305</v>
      </c>
      <c r="B575" s="11" t="s">
        <v>22</v>
      </c>
      <c r="C575" s="11" t="s">
        <v>221</v>
      </c>
      <c r="D575" s="11" t="s">
        <v>431</v>
      </c>
      <c r="E575" s="11" t="str">
        <f aca="false" t="array" ref="E575:E575">IF(D575="","",IFERROR(INDEX('CLM &amp; IM Mapping'!$B$2:$B$270,MATCH(TRIM(D575),'CLM &amp; IM Mapping'!$A$2:$A$270,0)),"Not Mapped"))</f>
        <v>Vishnu V</v>
      </c>
      <c r="F575" s="11" t="str">
        <f aca="false" t="array" ref="F575:F575">IF(D575="","",IFERROR(INDEX('CLM &amp; IM Mapping'!$C$2:$C$270,MATCH(TRIM(D575),'CLM &amp; IM Mapping'!$A$2:$A$270,0)),"Not Mapped"))</f>
        <v>Arivind S</v>
      </c>
      <c r="G575" s="11" t="s">
        <v>34</v>
      </c>
      <c r="H575" s="10" t="n">
        <v>-15677</v>
      </c>
      <c r="I575" s="10" t="n">
        <v>7175</v>
      </c>
      <c r="J575" s="10" t="n">
        <v>3038</v>
      </c>
      <c r="K575" s="10" t="n">
        <v>0</v>
      </c>
      <c r="L575" s="10" t="n">
        <v>137</v>
      </c>
      <c r="M575" s="10" t="n">
        <v>0</v>
      </c>
      <c r="N575" s="10" t="n">
        <v>0</v>
      </c>
      <c r="O575" s="10" t="n">
        <v>0</v>
      </c>
      <c r="P575" s="10" t="n">
        <v>-5327</v>
      </c>
      <c r="Q575" s="11"/>
      <c r="R575" s="11"/>
      <c r="S575" s="19"/>
      <c r="T575" s="11"/>
      <c r="U575" s="21"/>
      <c r="V575" s="15"/>
      <c r="W575" s="8"/>
      <c r="X575" s="8"/>
      <c r="Y575" s="8"/>
      <c r="Z575" s="8"/>
      <c r="AA575" s="8"/>
      <c r="AB575" s="8"/>
      <c r="AC575" s="8"/>
    </row>
    <row r="576" customFormat="false" ht="15.75" hidden="false" customHeight="true" outlineLevel="0" collapsed="false">
      <c r="A576" s="9" t="n">
        <v>46305</v>
      </c>
      <c r="B576" s="11" t="s">
        <v>22</v>
      </c>
      <c r="C576" s="11" t="s">
        <v>261</v>
      </c>
      <c r="D576" s="11" t="s">
        <v>373</v>
      </c>
      <c r="E576" s="11" t="str">
        <f aca="false" t="array" ref="E576:E576">IF(D576="","",IFERROR(INDEX('CLM &amp; IM Mapping'!$B$2:$B$270,MATCH(TRIM(D576),'CLM &amp; IM Mapping'!$A$2:$A$270,0)),"Not Mapped"))</f>
        <v>Majid Kakatikar</v>
      </c>
      <c r="F576" s="11" t="str">
        <f aca="false" t="array" ref="F576:F576">IF(D576="","",IFERROR(INDEX('CLM &amp; IM Mapping'!$C$2:$C$270,MATCH(TRIM(D576),'CLM &amp; IM Mapping'!$A$2:$A$270,0)),"Not Mapped"))</f>
        <v>Kishor K</v>
      </c>
      <c r="G576" s="11" t="s">
        <v>34</v>
      </c>
      <c r="H576" s="10" t="n">
        <v>-1656</v>
      </c>
      <c r="I576" s="10" t="n">
        <v>1994</v>
      </c>
      <c r="J576" s="10" t="n">
        <v>0</v>
      </c>
      <c r="K576" s="10" t="n">
        <v>0</v>
      </c>
      <c r="L576" s="10" t="n">
        <v>129</v>
      </c>
      <c r="M576" s="10" t="n">
        <v>0</v>
      </c>
      <c r="N576" s="10" t="n">
        <v>0</v>
      </c>
      <c r="O576" s="10" t="n">
        <v>0</v>
      </c>
      <c r="P576" s="10" t="n">
        <v>467</v>
      </c>
      <c r="Q576" s="11"/>
      <c r="R576" s="11"/>
      <c r="S576" s="19"/>
      <c r="T576" s="11"/>
      <c r="U576" s="21"/>
      <c r="V576" s="15"/>
      <c r="W576" s="8"/>
      <c r="X576" s="8"/>
      <c r="Y576" s="8"/>
      <c r="Z576" s="8"/>
      <c r="AA576" s="8"/>
      <c r="AB576" s="8"/>
      <c r="AC576" s="8"/>
    </row>
    <row r="577" customFormat="false" ht="15.75" hidden="false" customHeight="true" outlineLevel="0" collapsed="false">
      <c r="A577" s="9" t="n">
        <v>46305</v>
      </c>
      <c r="B577" s="11" t="s">
        <v>22</v>
      </c>
      <c r="C577" s="11" t="s">
        <v>23</v>
      </c>
      <c r="D577" s="11" t="s">
        <v>139</v>
      </c>
      <c r="E577" s="11" t="str">
        <f aca="false" t="array" ref="E577:E577">IF(D577="","",IFERROR(INDEX('CLM &amp; IM Mapping'!$B$2:$B$270,MATCH(TRIM(D577),'CLM &amp; IM Mapping'!$A$2:$A$270,0)),"Not Mapped"))</f>
        <v>Mohaideen DH</v>
      </c>
      <c r="F577" s="11" t="str">
        <f aca="false" t="array" ref="F577:F577">IF(D577="","",IFERROR(INDEX('CLM &amp; IM Mapping'!$C$2:$C$270,MATCH(TRIM(D577),'CLM &amp; IM Mapping'!$A$2:$A$270,0)),"Not Mapped"))</f>
        <v>Mohammed Akbar</v>
      </c>
      <c r="G577" s="11" t="s">
        <v>34</v>
      </c>
      <c r="H577" s="10" t="n">
        <v>-14268</v>
      </c>
      <c r="I577" s="10" t="n">
        <v>34506</v>
      </c>
      <c r="J577" s="10" t="n">
        <v>330</v>
      </c>
      <c r="K577" s="10" t="n">
        <v>710</v>
      </c>
      <c r="L577" s="10" t="n">
        <v>375</v>
      </c>
      <c r="M577" s="10" t="n">
        <v>0</v>
      </c>
      <c r="N577" s="10" t="n">
        <v>0</v>
      </c>
      <c r="O577" s="10" t="n">
        <v>0</v>
      </c>
      <c r="P577" s="10" t="n">
        <v>21653</v>
      </c>
      <c r="Q577" s="11"/>
      <c r="R577" s="11"/>
      <c r="S577" s="19"/>
      <c r="T577" s="11"/>
      <c r="U577" s="21"/>
      <c r="V577" s="15"/>
      <c r="W577" s="8"/>
      <c r="X577" s="8"/>
      <c r="Y577" s="8"/>
      <c r="Z577" s="8"/>
      <c r="AA577" s="8"/>
      <c r="AB577" s="8"/>
      <c r="AC577" s="8"/>
    </row>
    <row r="578" customFormat="false" ht="15.75" hidden="false" customHeight="true" outlineLevel="0" collapsed="false">
      <c r="A578" s="9" t="n">
        <v>46305</v>
      </c>
      <c r="B578" s="11" t="s">
        <v>22</v>
      </c>
      <c r="C578" s="11" t="s">
        <v>23</v>
      </c>
      <c r="D578" s="11" t="s">
        <v>416</v>
      </c>
      <c r="E578" s="11" t="str">
        <f aca="false" t="array" ref="E578:E578">IF(D578="","",IFERROR(INDEX('CLM &amp; IM Mapping'!$B$2:$B$270,MATCH(TRIM(D578),'CLM &amp; IM Mapping'!$A$2:$A$270,0)),"Not Mapped"))</f>
        <v>Girish N</v>
      </c>
      <c r="F578" s="11" t="str">
        <f aca="false" t="array" ref="F578:F578">IF(D578="","",IFERROR(INDEX('CLM &amp; IM Mapping'!$C$2:$C$270,MATCH(TRIM(D578),'CLM &amp; IM Mapping'!$A$2:$A$270,0)),"Not Mapped"))</f>
        <v>Un Mapped</v>
      </c>
      <c r="G578" s="11" t="s">
        <v>34</v>
      </c>
      <c r="H578" s="10" t="n">
        <v>-14969</v>
      </c>
      <c r="I578" s="10" t="n">
        <v>7500</v>
      </c>
      <c r="J578" s="10" t="n">
        <v>0</v>
      </c>
      <c r="K578" s="10" t="n">
        <v>0</v>
      </c>
      <c r="L578" s="10" t="n">
        <v>758</v>
      </c>
      <c r="M578" s="10" t="n">
        <v>0</v>
      </c>
      <c r="N578" s="10" t="n">
        <v>0</v>
      </c>
      <c r="O578" s="10" t="n">
        <v>0</v>
      </c>
      <c r="P578" s="10" t="n">
        <v>-6712</v>
      </c>
      <c r="Q578" s="11"/>
      <c r="R578" s="11"/>
      <c r="S578" s="19"/>
      <c r="T578" s="11"/>
      <c r="U578" s="21"/>
      <c r="V578" s="15"/>
      <c r="W578" s="8"/>
      <c r="X578" s="8"/>
      <c r="Y578" s="8"/>
      <c r="Z578" s="8"/>
      <c r="AA578" s="8"/>
      <c r="AB578" s="8"/>
      <c r="AC578" s="8"/>
    </row>
    <row r="579" customFormat="false" ht="15.75" hidden="false" customHeight="true" outlineLevel="0" collapsed="false">
      <c r="A579" s="9" t="n">
        <v>46305</v>
      </c>
      <c r="B579" s="11" t="s">
        <v>22</v>
      </c>
      <c r="C579" s="11" t="s">
        <v>23</v>
      </c>
      <c r="D579" s="11" t="s">
        <v>362</v>
      </c>
      <c r="E579" s="11" t="str">
        <f aca="false" t="array" ref="E579:E579">IF(D579="","",IFERROR(INDEX('CLM &amp; IM Mapping'!$B$2:$B$270,MATCH(TRIM(D579),'CLM &amp; IM Mapping'!$A$2:$A$270,0)),"Not Mapped"))</f>
        <v>Ashwath S</v>
      </c>
      <c r="F579" s="11" t="str">
        <f aca="false" t="array" ref="F579:F579">IF(D579="","",IFERROR(INDEX('CLM &amp; IM Mapping'!$C$2:$C$270,MATCH(TRIM(D579),'CLM &amp; IM Mapping'!$A$2:$A$270,0)),"Not Mapped"))</f>
        <v>Kantha Kumar</v>
      </c>
      <c r="G579" s="11" t="s">
        <v>34</v>
      </c>
      <c r="H579" s="10" t="n">
        <v>-3507</v>
      </c>
      <c r="I579" s="10" t="n">
        <v>691</v>
      </c>
      <c r="J579" s="10" t="n">
        <v>786</v>
      </c>
      <c r="K579" s="10" t="n">
        <v>0</v>
      </c>
      <c r="L579" s="10" t="n">
        <v>1011</v>
      </c>
      <c r="M579" s="10" t="n">
        <v>0</v>
      </c>
      <c r="N579" s="10" t="n">
        <v>0</v>
      </c>
      <c r="O579" s="10" t="n">
        <v>0</v>
      </c>
      <c r="P579" s="10" t="n">
        <v>-1019</v>
      </c>
      <c r="Q579" s="11"/>
      <c r="R579" s="11"/>
      <c r="S579" s="19"/>
      <c r="T579" s="11"/>
      <c r="U579" s="21"/>
      <c r="V579" s="15"/>
      <c r="W579" s="8"/>
      <c r="X579" s="8"/>
      <c r="Y579" s="8"/>
      <c r="Z579" s="8"/>
      <c r="AA579" s="8"/>
      <c r="AB579" s="8"/>
      <c r="AC579" s="8"/>
    </row>
    <row r="580" customFormat="false" ht="15.75" hidden="false" customHeight="true" outlineLevel="0" collapsed="false">
      <c r="A580" s="9" t="n">
        <v>46305</v>
      </c>
      <c r="B580" s="11" t="s">
        <v>22</v>
      </c>
      <c r="C580" s="11" t="s">
        <v>23</v>
      </c>
      <c r="D580" s="11" t="s">
        <v>342</v>
      </c>
      <c r="E580" s="11" t="str">
        <f aca="false" t="array" ref="E580:E580">IF(D580="","",IFERROR(INDEX('CLM &amp; IM Mapping'!$B$2:$B$270,MATCH(TRIM(D580),'CLM &amp; IM Mapping'!$A$2:$A$270,0)),"Not Mapped"))</f>
        <v>Saddam Hussain</v>
      </c>
      <c r="F580" s="11" t="str">
        <f aca="false" t="array" ref="F580:F580">IF(D580="","",IFERROR(INDEX('CLM &amp; IM Mapping'!$C$2:$C$270,MATCH(TRIM(D580),'CLM &amp; IM Mapping'!$A$2:$A$270,0)),"Not Mapped"))</f>
        <v>Un Mapped</v>
      </c>
      <c r="G580" s="11" t="s">
        <v>34</v>
      </c>
      <c r="H580" s="10" t="n">
        <v>-6748</v>
      </c>
      <c r="I580" s="10" t="n">
        <v>9701</v>
      </c>
      <c r="J580" s="10" t="n">
        <v>0</v>
      </c>
      <c r="K580" s="10" t="n">
        <v>0</v>
      </c>
      <c r="L580" s="10" t="n">
        <v>441</v>
      </c>
      <c r="M580" s="10" t="n">
        <v>0</v>
      </c>
      <c r="N580" s="10" t="n">
        <v>0</v>
      </c>
      <c r="O580" s="10" t="n">
        <v>0</v>
      </c>
      <c r="P580" s="10" t="n">
        <v>3394</v>
      </c>
      <c r="Q580" s="11"/>
      <c r="R580" s="11"/>
      <c r="S580" s="19"/>
      <c r="T580" s="11"/>
      <c r="U580" s="21"/>
      <c r="V580" s="15"/>
      <c r="W580" s="8"/>
      <c r="X580" s="8"/>
      <c r="Y580" s="8"/>
      <c r="Z580" s="8"/>
      <c r="AA580" s="8"/>
      <c r="AB580" s="8"/>
      <c r="AC580" s="8"/>
    </row>
    <row r="581" customFormat="false" ht="15.75" hidden="false" customHeight="true" outlineLevel="0" collapsed="false">
      <c r="A581" s="9" t="n">
        <v>46305</v>
      </c>
      <c r="B581" s="11" t="s">
        <v>22</v>
      </c>
      <c r="C581" s="11" t="s">
        <v>303</v>
      </c>
      <c r="D581" s="11" t="s">
        <v>427</v>
      </c>
      <c r="E581" s="11" t="str">
        <f aca="false" t="array" ref="E581:E581">IF(D581="","",IFERROR(INDEX('CLM &amp; IM Mapping'!$B$2:$B$270,MATCH(TRIM(D581),'CLM &amp; IM Mapping'!$A$2:$A$270,0)),"Not Mapped"))</f>
        <v>John Britto</v>
      </c>
      <c r="F581" s="11" t="str">
        <f aca="false" t="array" ref="F581:F581">IF(D581="","",IFERROR(INDEX('CLM &amp; IM Mapping'!$C$2:$C$270,MATCH(TRIM(D581),'CLM &amp; IM Mapping'!$A$2:$A$270,0)),"Not Mapped"))</f>
        <v>Aravind S</v>
      </c>
      <c r="G581" s="11" t="s">
        <v>34</v>
      </c>
      <c r="H581" s="10" t="n">
        <v>-18564</v>
      </c>
      <c r="I581" s="10" t="n">
        <v>10204</v>
      </c>
      <c r="J581" s="10" t="n">
        <v>0</v>
      </c>
      <c r="K581" s="10" t="n">
        <v>0</v>
      </c>
      <c r="L581" s="10" t="n">
        <v>836</v>
      </c>
      <c r="M581" s="10" t="n">
        <v>0</v>
      </c>
      <c r="N581" s="10" t="n">
        <v>0</v>
      </c>
      <c r="O581" s="10" t="n">
        <v>0</v>
      </c>
      <c r="P581" s="10" t="n">
        <v>-7525</v>
      </c>
      <c r="Q581" s="11"/>
      <c r="R581" s="11"/>
      <c r="S581" s="19"/>
      <c r="T581" s="11"/>
      <c r="U581" s="21"/>
      <c r="V581" s="15"/>
      <c r="W581" s="8"/>
      <c r="X581" s="8"/>
      <c r="Y581" s="8"/>
      <c r="Z581" s="8"/>
      <c r="AA581" s="8"/>
      <c r="AB581" s="8"/>
      <c r="AC581" s="8"/>
    </row>
    <row r="582" customFormat="false" ht="15.75" hidden="false" customHeight="true" outlineLevel="0" collapsed="false">
      <c r="A582" s="9" t="n">
        <v>46305</v>
      </c>
      <c r="B582" s="11" t="s">
        <v>22</v>
      </c>
      <c r="C582" s="11" t="s">
        <v>23</v>
      </c>
      <c r="D582" s="11" t="s">
        <v>294</v>
      </c>
      <c r="E582" s="11" t="str">
        <f aca="false" t="array" ref="E582:E582">IF(D582="","",IFERROR(INDEX('CLM &amp; IM Mapping'!$B$2:$B$270,MATCH(TRIM(D582),'CLM &amp; IM Mapping'!$A$2:$A$270,0)),"Not Mapped"))</f>
        <v>Manoj Kj</v>
      </c>
      <c r="F582" s="11" t="str">
        <f aca="false" t="array" ref="F582:F582">IF(D582="","",IFERROR(INDEX('CLM &amp; IM Mapping'!$C$2:$C$270,MATCH(TRIM(D582),'CLM &amp; IM Mapping'!$A$2:$A$270,0)),"Not Mapped"))</f>
        <v>Srittam Dhal</v>
      </c>
      <c r="G582" s="11" t="s">
        <v>34</v>
      </c>
      <c r="H582" s="10" t="n">
        <v>-15526</v>
      </c>
      <c r="I582" s="10" t="n">
        <v>198</v>
      </c>
      <c r="J582" s="10" t="n">
        <v>0</v>
      </c>
      <c r="K582" s="10" t="n">
        <v>928</v>
      </c>
      <c r="L582" s="10" t="n">
        <v>356</v>
      </c>
      <c r="M582" s="10" t="n">
        <v>0</v>
      </c>
      <c r="N582" s="10" t="n">
        <v>0</v>
      </c>
      <c r="O582" s="10" t="n">
        <v>275</v>
      </c>
      <c r="P582" s="10" t="n">
        <v>-13769</v>
      </c>
      <c r="Q582" s="11"/>
      <c r="R582" s="11"/>
      <c r="S582" s="19"/>
      <c r="T582" s="11"/>
      <c r="U582" s="21"/>
      <c r="V582" s="15"/>
      <c r="W582" s="8"/>
      <c r="X582" s="8"/>
      <c r="Y582" s="8"/>
      <c r="Z582" s="8"/>
      <c r="AA582" s="8"/>
      <c r="AB582" s="8"/>
      <c r="AC582" s="8"/>
    </row>
    <row r="583" customFormat="false" ht="15.75" hidden="false" customHeight="true" outlineLevel="0" collapsed="false">
      <c r="A583" s="9" t="n">
        <v>46305</v>
      </c>
      <c r="B583" s="11" t="s">
        <v>22</v>
      </c>
      <c r="C583" s="11" t="s">
        <v>23</v>
      </c>
      <c r="D583" s="11" t="s">
        <v>136</v>
      </c>
      <c r="E583" s="11" t="str">
        <f aca="false" t="array" ref="E583:E583">IF(D583="","",IFERROR(INDEX('CLM &amp; IM Mapping'!$B$2:$B$270,MATCH(TRIM(D583),'CLM &amp; IM Mapping'!$A$2:$A$270,0)),"Not Mapped"))</f>
        <v>Arun Raj</v>
      </c>
      <c r="F583" s="11" t="str">
        <f aca="false" t="array" ref="F583:F583">IF(D583="","",IFERROR(INDEX('CLM &amp; IM Mapping'!$C$2:$C$270,MATCH(TRIM(D583),'CLM &amp; IM Mapping'!$A$2:$A$270,0)),"Not Mapped"))</f>
        <v>Simon Manoharan</v>
      </c>
      <c r="G583" s="11" t="s">
        <v>25</v>
      </c>
      <c r="H583" s="10" t="n">
        <v>33656</v>
      </c>
      <c r="I583" s="10" t="n">
        <v>12805</v>
      </c>
      <c r="J583" s="10" t="n">
        <v>0</v>
      </c>
      <c r="K583" s="10" t="n">
        <v>0</v>
      </c>
      <c r="L583" s="10" t="n">
        <v>5171</v>
      </c>
      <c r="M583" s="10" t="n">
        <v>0</v>
      </c>
      <c r="N583" s="10" t="n">
        <v>0</v>
      </c>
      <c r="O583" s="10" t="n">
        <v>0</v>
      </c>
      <c r="P583" s="10" t="n">
        <v>51632</v>
      </c>
      <c r="Q583" s="11"/>
      <c r="R583" s="11"/>
      <c r="S583" s="19"/>
      <c r="T583" s="11"/>
      <c r="U583" s="21"/>
      <c r="V583" s="15"/>
      <c r="W583" s="8"/>
      <c r="X583" s="8"/>
      <c r="Y583" s="8"/>
      <c r="Z583" s="8"/>
      <c r="AA583" s="8"/>
      <c r="AB583" s="8"/>
      <c r="AC583" s="8"/>
    </row>
    <row r="584" customFormat="false" ht="15.75" hidden="false" customHeight="true" outlineLevel="0" collapsed="false">
      <c r="A584" s="9" t="n">
        <v>46305</v>
      </c>
      <c r="B584" s="11" t="s">
        <v>22</v>
      </c>
      <c r="C584" s="11" t="s">
        <v>276</v>
      </c>
      <c r="D584" s="11" t="s">
        <v>425</v>
      </c>
      <c r="E584" s="11" t="str">
        <f aca="false" t="array" ref="E584:E584">IF(D584="","",IFERROR(INDEX('CLM &amp; IM Mapping'!$B$2:$B$270,MATCH(TRIM(D584),'CLM &amp; IM Mapping'!$A$2:$A$270,0)),"Not Mapped"))</f>
        <v>Santhosha M</v>
      </c>
      <c r="F584" s="11" t="str">
        <f aca="false" t="array" ref="F584:F584">IF(D584="","",IFERROR(INDEX('CLM &amp; IM Mapping'!$C$2:$C$270,MATCH(TRIM(D584),'CLM &amp; IM Mapping'!$A$2:$A$270,0)),"Not Mapped"))</f>
        <v>Aravind S</v>
      </c>
      <c r="G584" s="11" t="s">
        <v>34</v>
      </c>
      <c r="H584" s="10" t="n">
        <v>-9449</v>
      </c>
      <c r="I584" s="10" t="n">
        <v>59</v>
      </c>
      <c r="J584" s="10" t="n">
        <v>0</v>
      </c>
      <c r="K584" s="10" t="n">
        <v>0</v>
      </c>
      <c r="L584" s="10" t="n">
        <v>0</v>
      </c>
      <c r="M584" s="10" t="n">
        <v>0</v>
      </c>
      <c r="N584" s="10" t="n">
        <v>0</v>
      </c>
      <c r="O584" s="10" t="n">
        <v>19</v>
      </c>
      <c r="P584" s="10" t="n">
        <v>-9370</v>
      </c>
      <c r="Q584" s="11"/>
      <c r="R584" s="11"/>
      <c r="S584" s="19"/>
      <c r="T584" s="11"/>
      <c r="U584" s="21"/>
      <c r="V584" s="15"/>
      <c r="W584" s="8"/>
      <c r="X584" s="8"/>
      <c r="Y584" s="8"/>
      <c r="Z584" s="8"/>
      <c r="AA584" s="8"/>
      <c r="AB584" s="8"/>
      <c r="AC584" s="8"/>
    </row>
    <row r="585" customFormat="false" ht="15.75" hidden="false" customHeight="true" outlineLevel="0" collapsed="false">
      <c r="A585" s="9" t="n">
        <v>46305</v>
      </c>
      <c r="B585" s="11" t="s">
        <v>22</v>
      </c>
      <c r="C585" s="11" t="s">
        <v>23</v>
      </c>
      <c r="D585" s="11" t="s">
        <v>525</v>
      </c>
      <c r="E585" s="11" t="str">
        <f aca="false" t="array" ref="E585:E585">IF(D585="","",IFERROR(INDEX('CLM &amp; IM Mapping'!$B$2:$B$270,MATCH(TRIM(D585),'CLM &amp; IM Mapping'!$A$2:$A$270,0)),"Not Mapped"))</f>
        <v>Saddam Hussain</v>
      </c>
      <c r="F585" s="11" t="str">
        <f aca="false" t="array" ref="F585:F585">IF(D585="","",IFERROR(INDEX('CLM &amp; IM Mapping'!$C$2:$C$270,MATCH(TRIM(D585),'CLM &amp; IM Mapping'!$A$2:$A$270,0)),"Not Mapped"))</f>
        <v>Un Mapped</v>
      </c>
      <c r="G585" s="11" t="s">
        <v>34</v>
      </c>
      <c r="H585" s="10" t="n">
        <v>-47015</v>
      </c>
      <c r="I585" s="10" t="n">
        <v>2982</v>
      </c>
      <c r="J585" s="10" t="n">
        <v>0</v>
      </c>
      <c r="K585" s="10" t="n">
        <v>212</v>
      </c>
      <c r="L585" s="10" t="n">
        <v>154</v>
      </c>
      <c r="M585" s="10" t="n">
        <v>0</v>
      </c>
      <c r="N585" s="10" t="n">
        <v>0</v>
      </c>
      <c r="O585" s="10" t="n">
        <v>0</v>
      </c>
      <c r="P585" s="10" t="n">
        <v>-43666</v>
      </c>
      <c r="Q585" s="11"/>
      <c r="R585" s="11"/>
      <c r="S585" s="19"/>
      <c r="T585" s="11"/>
      <c r="U585" s="21"/>
      <c r="V585" s="15"/>
      <c r="W585" s="8"/>
      <c r="X585" s="8"/>
      <c r="Y585" s="8"/>
      <c r="Z585" s="8"/>
      <c r="AA585" s="8"/>
      <c r="AB585" s="8"/>
      <c r="AC585" s="8"/>
    </row>
    <row r="586" customFormat="false" ht="15.75" hidden="false" customHeight="true" outlineLevel="0" collapsed="false">
      <c r="A586" s="9" t="n">
        <v>46305</v>
      </c>
      <c r="B586" s="11" t="s">
        <v>22</v>
      </c>
      <c r="C586" s="11" t="s">
        <v>23</v>
      </c>
      <c r="D586" s="11" t="s">
        <v>184</v>
      </c>
      <c r="E586" s="11" t="str">
        <f aca="false" t="array" ref="E586:E586">IF(D586="","",IFERROR(INDEX('CLM &amp; IM Mapping'!$B$2:$B$270,MATCH(TRIM(D586),'CLM &amp; IM Mapping'!$A$2:$A$270,0)),"Not Mapped"))</f>
        <v>Richard Harris</v>
      </c>
      <c r="F586" s="11" t="str">
        <f aca="false" t="array" ref="F586:F586">IF(D586="","",IFERROR(INDEX('CLM &amp; IM Mapping'!$C$2:$C$270,MATCH(TRIM(D586),'CLM &amp; IM Mapping'!$A$2:$A$270,0)),"Not Mapped"))</f>
        <v>Kantha Kumar</v>
      </c>
      <c r="G586" s="11" t="s">
        <v>34</v>
      </c>
      <c r="H586" s="10" t="n">
        <v>12442</v>
      </c>
      <c r="I586" s="10" t="n">
        <v>14926</v>
      </c>
      <c r="J586" s="10" t="n">
        <v>0</v>
      </c>
      <c r="K586" s="10" t="n">
        <v>136</v>
      </c>
      <c r="L586" s="10" t="n">
        <v>613</v>
      </c>
      <c r="M586" s="10" t="n">
        <v>0</v>
      </c>
      <c r="N586" s="10" t="n">
        <v>0</v>
      </c>
      <c r="O586" s="10" t="n">
        <v>0</v>
      </c>
      <c r="P586" s="10" t="n">
        <v>28117</v>
      </c>
      <c r="Q586" s="11"/>
      <c r="R586" s="11"/>
      <c r="S586" s="19"/>
      <c r="T586" s="11"/>
      <c r="U586" s="21"/>
      <c r="V586" s="15"/>
      <c r="W586" s="8"/>
      <c r="X586" s="8"/>
      <c r="Y586" s="8"/>
      <c r="Z586" s="8"/>
      <c r="AA586" s="8"/>
      <c r="AB586" s="8"/>
      <c r="AC586" s="8"/>
    </row>
    <row r="587" customFormat="false" ht="15.75" hidden="false" customHeight="true" outlineLevel="0" collapsed="false">
      <c r="A587" s="9" t="n">
        <v>46305</v>
      </c>
      <c r="B587" s="11" t="s">
        <v>22</v>
      </c>
      <c r="C587" s="11" t="s">
        <v>23</v>
      </c>
      <c r="D587" s="11" t="s">
        <v>352</v>
      </c>
      <c r="E587" s="11" t="str">
        <f aca="false" t="array" ref="E587:E587">IF(D587="","",IFERROR(INDEX('CLM &amp; IM Mapping'!$B$2:$B$270,MATCH(TRIM(D587),'CLM &amp; IM Mapping'!$A$2:$A$270,0)),"Not Mapped"))</f>
        <v>Raghavendra Vernekar</v>
      </c>
      <c r="F587" s="11" t="str">
        <f aca="false" t="array" ref="F587:F587">IF(D587="","",IFERROR(INDEX('CLM &amp; IM Mapping'!$C$2:$C$270,MATCH(TRIM(D587),'CLM &amp; IM Mapping'!$A$2:$A$270,0)),"Not Mapped"))</f>
        <v>Prakash BS</v>
      </c>
      <c r="G587" s="11" t="s">
        <v>34</v>
      </c>
      <c r="H587" s="10" t="n">
        <v>-6354</v>
      </c>
      <c r="I587" s="10" t="n">
        <v>2726</v>
      </c>
      <c r="J587" s="10" t="n">
        <v>4491</v>
      </c>
      <c r="K587" s="10" t="n">
        <v>0</v>
      </c>
      <c r="L587" s="10" t="n">
        <v>498</v>
      </c>
      <c r="M587" s="10" t="n">
        <v>0</v>
      </c>
      <c r="N587" s="10" t="n">
        <v>621</v>
      </c>
      <c r="O587" s="10" t="n">
        <v>0</v>
      </c>
      <c r="P587" s="10" t="n">
        <v>1982</v>
      </c>
      <c r="Q587" s="11"/>
      <c r="R587" s="11"/>
      <c r="S587" s="19"/>
      <c r="T587" s="11"/>
      <c r="U587" s="21"/>
      <c r="V587" s="15"/>
      <c r="W587" s="8"/>
      <c r="X587" s="8"/>
      <c r="Y587" s="8"/>
      <c r="Z587" s="8"/>
      <c r="AA587" s="8"/>
      <c r="AB587" s="8"/>
      <c r="AC587" s="8"/>
    </row>
    <row r="588" customFormat="false" ht="15.75" hidden="false" customHeight="true" outlineLevel="0" collapsed="false">
      <c r="A588" s="9" t="n">
        <v>46305</v>
      </c>
      <c r="B588" s="11" t="s">
        <v>22</v>
      </c>
      <c r="C588" s="11" t="s">
        <v>23</v>
      </c>
      <c r="D588" s="11" t="s">
        <v>397</v>
      </c>
      <c r="E588" s="11" t="str">
        <f aca="false" t="array" ref="E588:E588">IF(D588="","",IFERROR(INDEX('CLM &amp; IM Mapping'!$B$2:$B$270,MATCH(TRIM(D588),'CLM &amp; IM Mapping'!$A$2:$A$270,0)),"Not Mapped"))</f>
        <v>Akshay P</v>
      </c>
      <c r="F588" s="11" t="str">
        <f aca="false" t="array" ref="F588:F588">IF(D588="","",IFERROR(INDEX('CLM &amp; IM Mapping'!$C$2:$C$270,MATCH(TRIM(D588),'CLM &amp; IM Mapping'!$A$2:$A$270,0)),"Not Mapped"))</f>
        <v>Srittam Dhal</v>
      </c>
      <c r="G588" s="11" t="s">
        <v>34</v>
      </c>
      <c r="H588" s="10" t="n">
        <v>-7818</v>
      </c>
      <c r="I588" s="10" t="n">
        <v>3451</v>
      </c>
      <c r="J588" s="10" t="n">
        <v>0</v>
      </c>
      <c r="K588" s="10" t="n">
        <v>2044</v>
      </c>
      <c r="L588" s="10" t="n">
        <v>0</v>
      </c>
      <c r="M588" s="10" t="n">
        <v>0</v>
      </c>
      <c r="N588" s="10" t="n">
        <v>1533</v>
      </c>
      <c r="O588" s="10" t="n">
        <v>0</v>
      </c>
      <c r="P588" s="10" t="n">
        <v>-790</v>
      </c>
      <c r="Q588" s="11"/>
      <c r="R588" s="11"/>
      <c r="S588" s="19"/>
      <c r="T588" s="11"/>
      <c r="U588" s="21"/>
      <c r="V588" s="15"/>
      <c r="W588" s="8"/>
      <c r="X588" s="8"/>
      <c r="Y588" s="8"/>
      <c r="Z588" s="8"/>
      <c r="AA588" s="8"/>
      <c r="AB588" s="8"/>
      <c r="AC588" s="8"/>
    </row>
    <row r="589" customFormat="false" ht="15.75" hidden="false" customHeight="true" outlineLevel="0" collapsed="false">
      <c r="A589" s="9" t="n">
        <v>46305</v>
      </c>
      <c r="B589" s="11" t="s">
        <v>22</v>
      </c>
      <c r="C589" s="11" t="s">
        <v>23</v>
      </c>
      <c r="D589" s="11" t="s">
        <v>353</v>
      </c>
      <c r="E589" s="11" t="str">
        <f aca="false" t="array" ref="E589:E589">IF(D589="","",IFERROR(INDEX('CLM &amp; IM Mapping'!$B$2:$B$270,MATCH(TRIM(D589),'CLM &amp; IM Mapping'!$A$2:$A$270,0)),"Not Mapped"))</f>
        <v>MH</v>
      </c>
      <c r="F589" s="11" t="str">
        <f aca="false" t="array" ref="F589:F589">IF(D589="","",IFERROR(INDEX('CLM &amp; IM Mapping'!$C$2:$C$270,MATCH(TRIM(D589),'CLM &amp; IM Mapping'!$A$2:$A$270,0)),"Not Mapped"))</f>
        <v>MH</v>
      </c>
      <c r="G589" s="11" t="s">
        <v>34</v>
      </c>
      <c r="H589" s="10" t="n">
        <v>437</v>
      </c>
      <c r="I589" s="10" t="n">
        <v>0</v>
      </c>
      <c r="J589" s="10" t="n">
        <v>0</v>
      </c>
      <c r="K589" s="10" t="n">
        <v>370</v>
      </c>
      <c r="L589" s="10" t="n">
        <v>0</v>
      </c>
      <c r="M589" s="10" t="n">
        <v>0</v>
      </c>
      <c r="N589" s="10" t="n">
        <v>0</v>
      </c>
      <c r="O589" s="10" t="n">
        <v>0</v>
      </c>
      <c r="P589" s="10" t="n">
        <v>807</v>
      </c>
      <c r="Q589" s="11"/>
      <c r="R589" s="11"/>
      <c r="S589" s="19"/>
      <c r="T589" s="11"/>
      <c r="U589" s="21"/>
      <c r="V589" s="15"/>
      <c r="W589" s="8"/>
      <c r="X589" s="8"/>
      <c r="Y589" s="8"/>
      <c r="Z589" s="8"/>
      <c r="AA589" s="8"/>
      <c r="AB589" s="8"/>
      <c r="AC589" s="8"/>
    </row>
    <row r="590" customFormat="false" ht="15.75" hidden="false" customHeight="true" outlineLevel="0" collapsed="false">
      <c r="A590" s="9" t="n">
        <v>46305</v>
      </c>
      <c r="B590" s="11" t="s">
        <v>22</v>
      </c>
      <c r="C590" s="11" t="s">
        <v>23</v>
      </c>
      <c r="D590" s="11" t="s">
        <v>41</v>
      </c>
      <c r="E590" s="11" t="str">
        <f aca="false" t="array" ref="E590:E590">IF(D590="","",IFERROR(INDEX('CLM &amp; IM Mapping'!$B$2:$B$270,MATCH(TRIM(D590),'CLM &amp; IM Mapping'!$A$2:$A$270,0)),"Not Mapped"))</f>
        <v>Rizwan Ahmed</v>
      </c>
      <c r="F590" s="11" t="str">
        <f aca="false" t="array" ref="F590:F590">IF(D590="","",IFERROR(INDEX('CLM &amp; IM Mapping'!$C$2:$C$270,MATCH(TRIM(D590),'CLM &amp; IM Mapping'!$A$2:$A$270,0)),"Not Mapped"))</f>
        <v>Un Mapped</v>
      </c>
      <c r="G590" s="11" t="s">
        <v>34</v>
      </c>
      <c r="H590" s="10" t="n">
        <v>6811</v>
      </c>
      <c r="I590" s="10" t="n">
        <v>79140</v>
      </c>
      <c r="J590" s="10" t="n">
        <v>0</v>
      </c>
      <c r="K590" s="10" t="n">
        <v>2573</v>
      </c>
      <c r="L590" s="10" t="n">
        <v>1200</v>
      </c>
      <c r="M590" s="10" t="n">
        <v>0</v>
      </c>
      <c r="N590" s="10" t="n">
        <v>4543</v>
      </c>
      <c r="O590" s="10" t="n">
        <v>3905</v>
      </c>
      <c r="P590" s="10" t="n">
        <v>98172</v>
      </c>
      <c r="Q590" s="11"/>
      <c r="R590" s="11"/>
      <c r="S590" s="19"/>
      <c r="T590" s="11"/>
      <c r="U590" s="21"/>
      <c r="V590" s="15"/>
      <c r="W590" s="8"/>
      <c r="X590" s="8"/>
      <c r="Y590" s="8"/>
      <c r="Z590" s="8"/>
      <c r="AA590" s="8"/>
      <c r="AB590" s="8"/>
      <c r="AC590" s="8"/>
    </row>
    <row r="591" customFormat="false" ht="15.75" hidden="false" customHeight="true" outlineLevel="0" collapsed="false">
      <c r="A591" s="9" t="n">
        <v>46305</v>
      </c>
      <c r="B591" s="11" t="s">
        <v>22</v>
      </c>
      <c r="C591" s="11" t="s">
        <v>23</v>
      </c>
      <c r="D591" s="11" t="s">
        <v>402</v>
      </c>
      <c r="E591" s="11" t="str">
        <f aca="false" t="array" ref="E591:E591">IF(D591="","",IFERROR(INDEX('CLM &amp; IM Mapping'!$B$2:$B$270,MATCH(TRIM(D591),'CLM &amp; IM Mapping'!$A$2:$A$270,0)),"Not Mapped"))</f>
        <v>Narasimhamurthy R</v>
      </c>
      <c r="F591" s="11" t="str">
        <f aca="false" t="array" ref="F591:F591">IF(D591="","",IFERROR(INDEX('CLM &amp; IM Mapping'!$C$2:$C$270,MATCH(TRIM(D591),'CLM &amp; IM Mapping'!$A$2:$A$270,0)),"Not Mapped"))</f>
        <v>Kishor K</v>
      </c>
      <c r="G591" s="11" t="s">
        <v>34</v>
      </c>
      <c r="H591" s="10" t="n">
        <v>-13677</v>
      </c>
      <c r="I591" s="10" t="n">
        <v>7289</v>
      </c>
      <c r="J591" s="10" t="n">
        <v>0</v>
      </c>
      <c r="K591" s="10" t="n">
        <v>7</v>
      </c>
      <c r="L591" s="10" t="n">
        <v>92</v>
      </c>
      <c r="M591" s="10" t="n">
        <v>0</v>
      </c>
      <c r="N591" s="10" t="n">
        <v>0</v>
      </c>
      <c r="O591" s="10" t="n">
        <v>0</v>
      </c>
      <c r="P591" s="10" t="n">
        <v>-6289</v>
      </c>
      <c r="Q591" s="11"/>
      <c r="R591" s="11"/>
      <c r="S591" s="19"/>
      <c r="T591" s="11"/>
      <c r="U591" s="21"/>
      <c r="V591" s="15"/>
      <c r="W591" s="8"/>
      <c r="X591" s="8"/>
      <c r="Y591" s="8"/>
      <c r="Z591" s="8"/>
      <c r="AA591" s="8"/>
      <c r="AB591" s="8"/>
      <c r="AC591" s="8"/>
    </row>
    <row r="592" customFormat="false" ht="15.75" hidden="false" customHeight="true" outlineLevel="0" collapsed="false">
      <c r="A592" s="9" t="n">
        <v>46305</v>
      </c>
      <c r="B592" s="11" t="s">
        <v>22</v>
      </c>
      <c r="C592" s="11" t="s">
        <v>303</v>
      </c>
      <c r="D592" s="11" t="s">
        <v>399</v>
      </c>
      <c r="E592" s="11" t="str">
        <f aca="false" t="array" ref="E592:E592">IF(D592="","",IFERROR(INDEX('CLM &amp; IM Mapping'!$B$2:$B$270,MATCH(TRIM(D592),'CLM &amp; IM Mapping'!$A$2:$A$270,0)),"Not Mapped"))</f>
        <v>John Britto</v>
      </c>
      <c r="F592" s="11" t="str">
        <f aca="false" t="array" ref="F592:F592">IF(D592="","",IFERROR(INDEX('CLM &amp; IM Mapping'!$C$2:$C$270,MATCH(TRIM(D592),'CLM &amp; IM Mapping'!$A$2:$A$270,0)),"Not Mapped"))</f>
        <v>Aravind S</v>
      </c>
      <c r="G592" s="11" t="s">
        <v>34</v>
      </c>
      <c r="H592" s="10" t="n">
        <v>-3891</v>
      </c>
      <c r="I592" s="10" t="n">
        <v>0</v>
      </c>
      <c r="J592" s="10" t="n">
        <v>0</v>
      </c>
      <c r="K592" s="10" t="n">
        <v>0</v>
      </c>
      <c r="L592" s="10" t="n">
        <v>0</v>
      </c>
      <c r="M592" s="10" t="n">
        <v>0</v>
      </c>
      <c r="N592" s="10" t="n">
        <v>0</v>
      </c>
      <c r="O592" s="10" t="n">
        <v>0</v>
      </c>
      <c r="P592" s="10" t="n">
        <v>-3891</v>
      </c>
      <c r="Q592" s="11"/>
      <c r="R592" s="11"/>
      <c r="S592" s="19"/>
      <c r="T592" s="11"/>
      <c r="U592" s="21"/>
      <c r="V592" s="15"/>
      <c r="W592" s="8"/>
      <c r="X592" s="8"/>
      <c r="Y592" s="8"/>
      <c r="Z592" s="8"/>
      <c r="AA592" s="8"/>
      <c r="AB592" s="8"/>
      <c r="AC592" s="8"/>
    </row>
    <row r="593" customFormat="false" ht="15.75" hidden="false" customHeight="true" outlineLevel="0" collapsed="false">
      <c r="A593" s="9" t="n">
        <v>46305</v>
      </c>
      <c r="B593" s="11" t="s">
        <v>22</v>
      </c>
      <c r="C593" s="11" t="s">
        <v>221</v>
      </c>
      <c r="D593" s="11" t="s">
        <v>222</v>
      </c>
      <c r="E593" s="11" t="str">
        <f aca="false" t="array" ref="E593:E593">IF(D593="","",IFERROR(INDEX('CLM &amp; IM Mapping'!$B$2:$B$270,MATCH(TRIM(D593),'CLM &amp; IM Mapping'!$A$2:$A$270,0)),"Not Mapped"))</f>
        <v>Vishnu V</v>
      </c>
      <c r="F593" s="11" t="str">
        <f aca="false" t="array" ref="F593:F593">IF(D593="","",IFERROR(INDEX('CLM &amp; IM Mapping'!$C$2:$C$270,MATCH(TRIM(D593),'CLM &amp; IM Mapping'!$A$2:$A$270,0)),"Not Mapped"))</f>
        <v>Arivind S</v>
      </c>
      <c r="G593" s="11" t="s">
        <v>34</v>
      </c>
      <c r="H593" s="10" t="n">
        <v>-25473</v>
      </c>
      <c r="I593" s="10" t="n">
        <v>17582</v>
      </c>
      <c r="J593" s="10" t="n">
        <v>1881</v>
      </c>
      <c r="K593" s="10" t="n">
        <v>263</v>
      </c>
      <c r="L593" s="10" t="n">
        <v>110</v>
      </c>
      <c r="M593" s="10" t="n">
        <v>0</v>
      </c>
      <c r="N593" s="10" t="n">
        <v>15548</v>
      </c>
      <c r="O593" s="10" t="n">
        <v>0</v>
      </c>
      <c r="P593" s="10" t="n">
        <v>9911</v>
      </c>
      <c r="Q593" s="11"/>
      <c r="R593" s="11"/>
      <c r="S593" s="19"/>
      <c r="T593" s="11"/>
      <c r="U593" s="21"/>
      <c r="V593" s="15"/>
      <c r="W593" s="8"/>
      <c r="X593" s="8"/>
      <c r="Y593" s="8"/>
      <c r="Z593" s="8"/>
      <c r="AA593" s="8"/>
      <c r="AB593" s="8"/>
      <c r="AC593" s="8"/>
    </row>
    <row r="594" customFormat="false" ht="15.75" hidden="false" customHeight="true" outlineLevel="0" collapsed="false">
      <c r="A594" s="9" t="n">
        <v>46305</v>
      </c>
      <c r="B594" s="11" t="s">
        <v>22</v>
      </c>
      <c r="C594" s="11" t="s">
        <v>276</v>
      </c>
      <c r="D594" s="11" t="s">
        <v>361</v>
      </c>
      <c r="E594" s="11" t="str">
        <f aca="false" t="array" ref="E594:E594">IF(D594="","",IFERROR(INDEX('CLM &amp; IM Mapping'!$B$2:$B$270,MATCH(TRIM(D594),'CLM &amp; IM Mapping'!$A$2:$A$270,0)),"Not Mapped"))</f>
        <v>Santhosha M</v>
      </c>
      <c r="F594" s="11" t="str">
        <f aca="false" t="array" ref="F594:F594">IF(D594="","",IFERROR(INDEX('CLM &amp; IM Mapping'!$C$2:$C$270,MATCH(TRIM(D594),'CLM &amp; IM Mapping'!$A$2:$A$270,0)),"Not Mapped"))</f>
        <v>Aravind S</v>
      </c>
      <c r="G594" s="11" t="s">
        <v>34</v>
      </c>
      <c r="H594" s="10" t="n">
        <v>-8098</v>
      </c>
      <c r="I594" s="10" t="n">
        <v>741</v>
      </c>
      <c r="J594" s="10" t="n">
        <v>0</v>
      </c>
      <c r="K594" s="10" t="n">
        <v>0</v>
      </c>
      <c r="L594" s="10" t="n">
        <v>8</v>
      </c>
      <c r="M594" s="10" t="n">
        <v>0</v>
      </c>
      <c r="N594" s="10" t="n">
        <v>0</v>
      </c>
      <c r="O594" s="10" t="n">
        <v>4758</v>
      </c>
      <c r="P594" s="10" t="n">
        <v>-2592</v>
      </c>
      <c r="Q594" s="11"/>
      <c r="R594" s="11"/>
      <c r="S594" s="19"/>
      <c r="T594" s="11"/>
      <c r="U594" s="21"/>
      <c r="V594" s="15"/>
      <c r="W594" s="8"/>
      <c r="X594" s="8"/>
      <c r="Y594" s="8"/>
      <c r="Z594" s="8"/>
      <c r="AA594" s="8"/>
      <c r="AB594" s="8"/>
      <c r="AC594" s="8"/>
    </row>
    <row r="595" customFormat="false" ht="15.75" hidden="false" customHeight="true" outlineLevel="0" collapsed="false">
      <c r="A595" s="9" t="n">
        <v>46305</v>
      </c>
      <c r="B595" s="11" t="s">
        <v>22</v>
      </c>
      <c r="C595" s="11" t="s">
        <v>23</v>
      </c>
      <c r="D595" s="11" t="s">
        <v>183</v>
      </c>
      <c r="E595" s="11" t="str">
        <f aca="false" t="array" ref="E595:E595">IF(D595="","",IFERROR(INDEX('CLM &amp; IM Mapping'!$B$2:$B$270,MATCH(TRIM(D595),'CLM &amp; IM Mapping'!$A$2:$A$270,0)),"Not Mapped"))</f>
        <v>Saddam Hussain</v>
      </c>
      <c r="F595" s="11" t="str">
        <f aca="false" t="array" ref="F595:F595">IF(D595="","",IFERROR(INDEX('CLM &amp; IM Mapping'!$C$2:$C$270,MATCH(TRIM(D595),'CLM &amp; IM Mapping'!$A$2:$A$270,0)),"Not Mapped"))</f>
        <v>Un Mapped</v>
      </c>
      <c r="G595" s="11" t="s">
        <v>34</v>
      </c>
      <c r="H595" s="10" t="n">
        <v>-13722</v>
      </c>
      <c r="I595" s="10" t="n">
        <v>39706</v>
      </c>
      <c r="J595" s="10" t="n">
        <v>0</v>
      </c>
      <c r="K595" s="10" t="n">
        <v>351</v>
      </c>
      <c r="L595" s="10" t="n">
        <v>180</v>
      </c>
      <c r="M595" s="10" t="n">
        <v>0</v>
      </c>
      <c r="N595" s="10" t="n">
        <v>592</v>
      </c>
      <c r="O595" s="10" t="n">
        <v>0</v>
      </c>
      <c r="P595" s="10" t="n">
        <v>27108</v>
      </c>
      <c r="Q595" s="11"/>
      <c r="R595" s="11"/>
      <c r="S595" s="19"/>
      <c r="T595" s="11"/>
      <c r="U595" s="21"/>
      <c r="V595" s="15"/>
      <c r="W595" s="8"/>
      <c r="X595" s="8"/>
      <c r="Y595" s="8"/>
      <c r="Z595" s="8"/>
      <c r="AA595" s="8"/>
      <c r="AB595" s="8"/>
      <c r="AC595" s="8"/>
    </row>
    <row r="596" customFormat="false" ht="15.75" hidden="false" customHeight="true" outlineLevel="0" collapsed="false">
      <c r="A596" s="9" t="n">
        <v>46305</v>
      </c>
      <c r="B596" s="11" t="s">
        <v>22</v>
      </c>
      <c r="C596" s="11" t="s">
        <v>23</v>
      </c>
      <c r="D596" s="11" t="s">
        <v>147</v>
      </c>
      <c r="E596" s="11" t="str">
        <f aca="false" t="array" ref="E596:E596">IF(D596="","",IFERROR(INDEX('CLM &amp; IM Mapping'!$B$2:$B$270,MATCH(TRIM(D596),'CLM &amp; IM Mapping'!$A$2:$A$270,0)),"Not Mapped"))</f>
        <v>Manjunatha V</v>
      </c>
      <c r="F596" s="11" t="str">
        <f aca="false" t="array" ref="F596:F596">IF(D596="","",IFERROR(INDEX('CLM &amp; IM Mapping'!$C$2:$C$270,MATCH(TRIM(D596),'CLM &amp; IM Mapping'!$A$2:$A$270,0)),"Not Mapped"))</f>
        <v>Un Mapped</v>
      </c>
      <c r="G596" s="11" t="s">
        <v>34</v>
      </c>
      <c r="H596" s="10" t="n">
        <v>-5989</v>
      </c>
      <c r="I596" s="10" t="n">
        <v>42167</v>
      </c>
      <c r="J596" s="10" t="n">
        <v>0</v>
      </c>
      <c r="K596" s="10" t="n">
        <v>2215</v>
      </c>
      <c r="L596" s="10" t="n">
        <v>594</v>
      </c>
      <c r="M596" s="10" t="n">
        <v>0</v>
      </c>
      <c r="N596" s="10" t="n">
        <v>0</v>
      </c>
      <c r="O596" s="10" t="n">
        <v>0</v>
      </c>
      <c r="P596" s="10" t="n">
        <v>38987</v>
      </c>
      <c r="Q596" s="11"/>
      <c r="R596" s="11"/>
      <c r="S596" s="19"/>
      <c r="T596" s="11"/>
      <c r="U596" s="21"/>
      <c r="V596" s="15"/>
      <c r="W596" s="8"/>
      <c r="X596" s="8"/>
      <c r="Y596" s="8"/>
      <c r="Z596" s="8"/>
      <c r="AA596" s="8"/>
      <c r="AB596" s="8"/>
      <c r="AC596" s="8"/>
    </row>
    <row r="597" customFormat="false" ht="15.75" hidden="false" customHeight="true" outlineLevel="0" collapsed="false">
      <c r="A597" s="9" t="n">
        <v>46305</v>
      </c>
      <c r="B597" s="11" t="s">
        <v>22</v>
      </c>
      <c r="C597" s="11" t="s">
        <v>23</v>
      </c>
      <c r="D597" s="11" t="s">
        <v>259</v>
      </c>
      <c r="E597" s="11" t="str">
        <f aca="false" t="array" ref="E597:E597">IF(D597="","",IFERROR(INDEX('CLM &amp; IM Mapping'!$B$2:$B$270,MATCH(TRIM(D597),'CLM &amp; IM Mapping'!$A$2:$A$270,0)),"Not Mapped"))</f>
        <v>Raghavendra Vernekar</v>
      </c>
      <c r="F597" s="11" t="str">
        <f aca="false" t="array" ref="F597:F597">IF(D597="","",IFERROR(INDEX('CLM &amp; IM Mapping'!$C$2:$C$270,MATCH(TRIM(D597),'CLM &amp; IM Mapping'!$A$2:$A$270,0)),"Not Mapped"))</f>
        <v>Prakash BS</v>
      </c>
      <c r="G597" s="11" t="s">
        <v>34</v>
      </c>
      <c r="H597" s="10" t="n">
        <v>-8062</v>
      </c>
      <c r="I597" s="10" t="n">
        <v>12909</v>
      </c>
      <c r="J597" s="10" t="n">
        <v>0</v>
      </c>
      <c r="K597" s="10" t="n">
        <v>1683</v>
      </c>
      <c r="L597" s="10" t="n">
        <v>406</v>
      </c>
      <c r="M597" s="10" t="n">
        <v>0</v>
      </c>
      <c r="N597" s="10" t="n">
        <v>0</v>
      </c>
      <c r="O597" s="10" t="n">
        <v>121</v>
      </c>
      <c r="P597" s="10" t="n">
        <v>7057</v>
      </c>
      <c r="Q597" s="11"/>
      <c r="R597" s="11"/>
      <c r="S597" s="19"/>
      <c r="T597" s="11"/>
      <c r="U597" s="21"/>
      <c r="V597" s="15"/>
      <c r="W597" s="8"/>
      <c r="X597" s="8"/>
      <c r="Y597" s="8"/>
      <c r="Z597" s="8"/>
      <c r="AA597" s="8"/>
      <c r="AB597" s="8"/>
      <c r="AC597" s="8"/>
    </row>
    <row r="598" customFormat="false" ht="15.75" hidden="false" customHeight="true" outlineLevel="0" collapsed="false">
      <c r="A598" s="9" t="n">
        <v>46305</v>
      </c>
      <c r="B598" s="11" t="s">
        <v>22</v>
      </c>
      <c r="C598" s="11" t="s">
        <v>23</v>
      </c>
      <c r="D598" s="11" t="s">
        <v>120</v>
      </c>
      <c r="E598" s="11" t="str">
        <f aca="false" t="array" ref="E598:E598">IF(D598="","",IFERROR(INDEX('CLM &amp; IM Mapping'!$B$2:$B$270,MATCH(TRIM(D598),'CLM &amp; IM Mapping'!$A$2:$A$270,0)),"Not Mapped"))</f>
        <v>Balaji G</v>
      </c>
      <c r="F598" s="11" t="str">
        <f aca="false" t="array" ref="F598:F598">IF(D598="","",IFERROR(INDEX('CLM &amp; IM Mapping'!$C$2:$C$270,MATCH(TRIM(D598),'CLM &amp; IM Mapping'!$A$2:$A$270,0)),"Not Mapped"))</f>
        <v>Mohammed Akbar</v>
      </c>
      <c r="G598" s="11" t="s">
        <v>34</v>
      </c>
      <c r="H598" s="10" t="n">
        <v>23262</v>
      </c>
      <c r="I598" s="10" t="n">
        <v>12037</v>
      </c>
      <c r="J598" s="10" t="n">
        <v>617</v>
      </c>
      <c r="K598" s="10" t="n">
        <v>395</v>
      </c>
      <c r="L598" s="10" t="n">
        <v>1152</v>
      </c>
      <c r="M598" s="10" t="n">
        <v>0</v>
      </c>
      <c r="N598" s="10" t="n">
        <v>0</v>
      </c>
      <c r="O598" s="10" t="n">
        <v>0</v>
      </c>
      <c r="P598" s="10" t="n">
        <v>37464</v>
      </c>
      <c r="Q598" s="11"/>
      <c r="R598" s="11"/>
      <c r="S598" s="19"/>
      <c r="T598" s="11"/>
      <c r="U598" s="21"/>
      <c r="V598" s="15"/>
      <c r="W598" s="8"/>
      <c r="X598" s="8"/>
      <c r="Y598" s="8"/>
      <c r="Z598" s="8"/>
      <c r="AA598" s="8"/>
      <c r="AB598" s="8"/>
      <c r="AC598" s="8"/>
    </row>
    <row r="599" customFormat="false" ht="15.75" hidden="false" customHeight="true" outlineLevel="0" collapsed="false">
      <c r="A599" s="9" t="n">
        <v>46305</v>
      </c>
      <c r="B599" s="11" t="s">
        <v>22</v>
      </c>
      <c r="C599" s="11" t="s">
        <v>23</v>
      </c>
      <c r="D599" s="11" t="s">
        <v>392</v>
      </c>
      <c r="E599" s="11" t="str">
        <f aca="false" t="array" ref="E599:E599">IF(D599="","",IFERROR(INDEX('CLM &amp; IM Mapping'!$B$2:$B$270,MATCH(TRIM(D599),'CLM &amp; IM Mapping'!$A$2:$A$270,0)),"Not Mapped"))</f>
        <v>Balaji G</v>
      </c>
      <c r="F599" s="11" t="str">
        <f aca="false" t="array" ref="F599:F599">IF(D599="","",IFERROR(INDEX('CLM &amp; IM Mapping'!$C$2:$C$270,MATCH(TRIM(D599),'CLM &amp; IM Mapping'!$A$2:$A$270,0)),"Not Mapped"))</f>
        <v>Mohammed Akbar</v>
      </c>
      <c r="G599" s="11" t="s">
        <v>34</v>
      </c>
      <c r="H599" s="10" t="n">
        <v>-4473</v>
      </c>
      <c r="I599" s="10" t="n">
        <v>0</v>
      </c>
      <c r="J599" s="10" t="n">
        <v>0</v>
      </c>
      <c r="K599" s="10" t="n">
        <v>31</v>
      </c>
      <c r="L599" s="10" t="n">
        <v>1871</v>
      </c>
      <c r="M599" s="10" t="n">
        <v>0</v>
      </c>
      <c r="N599" s="10" t="n">
        <v>0</v>
      </c>
      <c r="O599" s="10" t="n">
        <v>0</v>
      </c>
      <c r="P599" s="10" t="n">
        <v>-2571</v>
      </c>
      <c r="Q599" s="11"/>
      <c r="R599" s="11"/>
      <c r="S599" s="19"/>
      <c r="T599" s="11"/>
      <c r="U599" s="21"/>
      <c r="V599" s="15"/>
      <c r="W599" s="8"/>
      <c r="X599" s="8"/>
      <c r="Y599" s="8"/>
      <c r="Z599" s="8"/>
      <c r="AA599" s="8"/>
      <c r="AB599" s="8"/>
      <c r="AC599" s="8"/>
    </row>
    <row r="600" customFormat="false" ht="15.75" hidden="false" customHeight="true" outlineLevel="0" collapsed="false">
      <c r="A600" s="9" t="n">
        <v>46305</v>
      </c>
      <c r="B600" s="11" t="s">
        <v>22</v>
      </c>
      <c r="C600" s="11" t="s">
        <v>23</v>
      </c>
      <c r="D600" s="11" t="s">
        <v>94</v>
      </c>
      <c r="E600" s="11" t="str">
        <f aca="false" t="array" ref="E600:E600">IF(D600="","",IFERROR(INDEX('CLM &amp; IM Mapping'!$B$2:$B$270,MATCH(TRIM(D600),'CLM &amp; IM Mapping'!$A$2:$A$270,0)),"Not Mapped"))</f>
        <v>Ashwath S</v>
      </c>
      <c r="F600" s="11" t="str">
        <f aca="false" t="array" ref="F600:F600">IF(D600="","",IFERROR(INDEX('CLM &amp; IM Mapping'!$C$2:$C$270,MATCH(TRIM(D600),'CLM &amp; IM Mapping'!$A$2:$A$270,0)),"Not Mapped"))</f>
        <v>Kantha Kumar</v>
      </c>
      <c r="G600" s="11" t="s">
        <v>34</v>
      </c>
      <c r="H600" s="10" t="n">
        <v>-1944</v>
      </c>
      <c r="I600" s="10" t="n">
        <v>9926</v>
      </c>
      <c r="J600" s="10" t="n">
        <v>0</v>
      </c>
      <c r="K600" s="10" t="n">
        <v>515</v>
      </c>
      <c r="L600" s="10" t="n">
        <v>243</v>
      </c>
      <c r="M600" s="10" t="n">
        <v>0</v>
      </c>
      <c r="N600" s="10" t="n">
        <v>0</v>
      </c>
      <c r="O600" s="10" t="n">
        <v>0</v>
      </c>
      <c r="P600" s="10" t="n">
        <v>8739</v>
      </c>
      <c r="Q600" s="11"/>
      <c r="R600" s="11"/>
      <c r="S600" s="19"/>
      <c r="T600" s="11"/>
      <c r="U600" s="21"/>
      <c r="V600" s="15"/>
      <c r="W600" s="8"/>
      <c r="X600" s="8"/>
      <c r="Y600" s="8"/>
      <c r="Z600" s="8"/>
      <c r="AA600" s="8"/>
      <c r="AB600" s="8"/>
      <c r="AC600" s="8"/>
    </row>
    <row r="601" customFormat="false" ht="15.75" hidden="false" customHeight="true" outlineLevel="0" collapsed="false">
      <c r="A601" s="9" t="n">
        <v>46305</v>
      </c>
      <c r="B601" s="11" t="s">
        <v>22</v>
      </c>
      <c r="C601" s="11" t="s">
        <v>23</v>
      </c>
      <c r="D601" s="11" t="s">
        <v>24</v>
      </c>
      <c r="E601" s="11" t="str">
        <f aca="false" t="array" ref="E601:E601">IF(D601="","",IFERROR(INDEX('CLM &amp; IM Mapping'!$B$2:$B$270,MATCH(TRIM(D601),'CLM &amp; IM Mapping'!$A$2:$A$270,0)),"Not Mapped"))</f>
        <v>Arun Raj</v>
      </c>
      <c r="F601" s="11" t="str">
        <f aca="false" t="array" ref="F601:F601">IF(D601="","",IFERROR(INDEX('CLM &amp; IM Mapping'!$C$2:$C$270,MATCH(TRIM(D601),'CLM &amp; IM Mapping'!$A$2:$A$270,0)),"Not Mapped"))</f>
        <v>Simon Manoharan</v>
      </c>
      <c r="G601" s="11" t="s">
        <v>25</v>
      </c>
      <c r="H601" s="10" t="n">
        <v>19592</v>
      </c>
      <c r="I601" s="10" t="n">
        <v>104614</v>
      </c>
      <c r="J601" s="10" t="n">
        <v>-114</v>
      </c>
      <c r="K601" s="10" t="n">
        <v>8150</v>
      </c>
      <c r="L601" s="10" t="n">
        <v>2704</v>
      </c>
      <c r="M601" s="10" t="n">
        <v>0</v>
      </c>
      <c r="N601" s="10" t="n">
        <v>0</v>
      </c>
      <c r="O601" s="10" t="n">
        <v>10516</v>
      </c>
      <c r="P601" s="10" t="n">
        <v>145463</v>
      </c>
      <c r="Q601" s="11"/>
      <c r="R601" s="11"/>
      <c r="S601" s="19"/>
      <c r="T601" s="11"/>
      <c r="U601" s="21"/>
      <c r="V601" s="15"/>
      <c r="W601" s="8"/>
      <c r="X601" s="8"/>
      <c r="Y601" s="8"/>
      <c r="Z601" s="8"/>
      <c r="AA601" s="8"/>
      <c r="AB601" s="8"/>
      <c r="AC601" s="8"/>
    </row>
    <row r="602" customFormat="false" ht="15.75" hidden="false" customHeight="true" outlineLevel="0" collapsed="false">
      <c r="A602" s="9" t="n">
        <v>46305</v>
      </c>
      <c r="B602" s="11" t="s">
        <v>22</v>
      </c>
      <c r="C602" s="11" t="s">
        <v>23</v>
      </c>
      <c r="D602" s="11" t="s">
        <v>150</v>
      </c>
      <c r="E602" s="11" t="str">
        <f aca="false" t="array" ref="E602:E602">IF(D602="","",IFERROR(INDEX('CLM &amp; IM Mapping'!$B$2:$B$270,MATCH(TRIM(D602),'CLM &amp; IM Mapping'!$A$2:$A$270,0)),"Not Mapped"))</f>
        <v>Akshay P</v>
      </c>
      <c r="F602" s="11" t="str">
        <f aca="false" t="array" ref="F602:F602">IF(D602="","",IFERROR(INDEX('CLM &amp; IM Mapping'!$C$2:$C$270,MATCH(TRIM(D602),'CLM &amp; IM Mapping'!$A$2:$A$270,0)),"Not Mapped"))</f>
        <v>Srittam Dhal</v>
      </c>
      <c r="G602" s="11" t="s">
        <v>34</v>
      </c>
      <c r="H602" s="10" t="n">
        <v>12330</v>
      </c>
      <c r="I602" s="10" t="n">
        <v>22889</v>
      </c>
      <c r="J602" s="10" t="n">
        <v>0</v>
      </c>
      <c r="K602" s="10" t="n">
        <v>301</v>
      </c>
      <c r="L602" s="10" t="n">
        <v>3997</v>
      </c>
      <c r="M602" s="10" t="n">
        <v>0</v>
      </c>
      <c r="N602" s="10" t="n">
        <v>0</v>
      </c>
      <c r="O602" s="10" t="n">
        <v>41</v>
      </c>
      <c r="P602" s="10" t="n">
        <v>39557</v>
      </c>
      <c r="Q602" s="11"/>
      <c r="R602" s="11"/>
      <c r="S602" s="19"/>
      <c r="T602" s="11"/>
      <c r="U602" s="21"/>
      <c r="V602" s="15"/>
      <c r="W602" s="8"/>
      <c r="X602" s="8"/>
      <c r="Y602" s="8"/>
      <c r="Z602" s="8"/>
      <c r="AA602" s="8"/>
      <c r="AB602" s="8"/>
      <c r="AC602" s="8"/>
    </row>
    <row r="603" customFormat="false" ht="15.75" hidden="false" customHeight="true" outlineLevel="0" collapsed="false">
      <c r="A603" s="9" t="n">
        <v>46305</v>
      </c>
      <c r="B603" s="11" t="s">
        <v>22</v>
      </c>
      <c r="C603" s="11" t="s">
        <v>23</v>
      </c>
      <c r="D603" s="11" t="s">
        <v>86</v>
      </c>
      <c r="E603" s="11" t="str">
        <f aca="false" t="array" ref="E603:E603">IF(D603="","",IFERROR(INDEX('CLM &amp; IM Mapping'!$B$2:$B$270,MATCH(TRIM(D603),'CLM &amp; IM Mapping'!$A$2:$A$270,0)),"Not Mapped"))</f>
        <v>Raghavendra Vernekar</v>
      </c>
      <c r="F603" s="11" t="str">
        <f aca="false" t="array" ref="F603:F603">IF(D603="","",IFERROR(INDEX('CLM &amp; IM Mapping'!$C$2:$C$270,MATCH(TRIM(D603),'CLM &amp; IM Mapping'!$A$2:$A$270,0)),"Not Mapped"))</f>
        <v>Prakash BS</v>
      </c>
      <c r="G603" s="11" t="s">
        <v>34</v>
      </c>
      <c r="H603" s="10" t="n">
        <v>-5846</v>
      </c>
      <c r="I603" s="10" t="n">
        <v>20906</v>
      </c>
      <c r="J603" s="10" t="n">
        <v>0</v>
      </c>
      <c r="K603" s="10" t="n">
        <v>4710</v>
      </c>
      <c r="L603" s="10" t="n">
        <v>1338</v>
      </c>
      <c r="M603" s="10" t="n">
        <v>0</v>
      </c>
      <c r="N603" s="10" t="n">
        <v>0</v>
      </c>
      <c r="O603" s="10" t="n">
        <v>0</v>
      </c>
      <c r="P603" s="10" t="n">
        <v>21108</v>
      </c>
      <c r="Q603" s="11"/>
      <c r="R603" s="11"/>
      <c r="S603" s="19"/>
      <c r="T603" s="11"/>
      <c r="U603" s="21"/>
      <c r="V603" s="15"/>
      <c r="W603" s="8"/>
      <c r="X603" s="8"/>
      <c r="Y603" s="8"/>
      <c r="Z603" s="8"/>
      <c r="AA603" s="8"/>
      <c r="AB603" s="8"/>
      <c r="AC603" s="8"/>
    </row>
    <row r="604" customFormat="false" ht="15.75" hidden="false" customHeight="true" outlineLevel="0" collapsed="false">
      <c r="A604" s="9" t="n">
        <v>46305</v>
      </c>
      <c r="B604" s="11" t="s">
        <v>22</v>
      </c>
      <c r="C604" s="11" t="s">
        <v>276</v>
      </c>
      <c r="D604" s="11" t="s">
        <v>493</v>
      </c>
      <c r="E604" s="11" t="str">
        <f aca="false" t="array" ref="E604:E604">IF(D604="","",IFERROR(INDEX('CLM &amp; IM Mapping'!$B$2:$B$270,MATCH(TRIM(D604),'CLM &amp; IM Mapping'!$A$2:$A$270,0)),"Not Mapped"))</f>
        <v>Santhosha M</v>
      </c>
      <c r="F604" s="11" t="str">
        <f aca="false" t="array" ref="F604:F604">IF(D604="","",IFERROR(INDEX('CLM &amp; IM Mapping'!$C$2:$C$270,MATCH(TRIM(D604),'CLM &amp; IM Mapping'!$A$2:$A$270,0)),"Not Mapped"))</f>
        <v>Aravind S</v>
      </c>
      <c r="G604" s="11" t="s">
        <v>34</v>
      </c>
      <c r="H604" s="10" t="n">
        <v>-8350</v>
      </c>
      <c r="I604" s="10" t="n">
        <v>2715</v>
      </c>
      <c r="J604" s="10" t="n">
        <v>0</v>
      </c>
      <c r="K604" s="10" t="n">
        <v>0</v>
      </c>
      <c r="L604" s="10" t="n">
        <v>733</v>
      </c>
      <c r="M604" s="10" t="n">
        <v>0</v>
      </c>
      <c r="N604" s="10" t="n">
        <v>0</v>
      </c>
      <c r="O604" s="10" t="n">
        <v>19</v>
      </c>
      <c r="P604" s="10" t="n">
        <v>-4882</v>
      </c>
      <c r="Q604" s="11"/>
      <c r="R604" s="11"/>
      <c r="S604" s="19"/>
      <c r="T604" s="11"/>
      <c r="U604" s="21"/>
      <c r="V604" s="15"/>
      <c r="W604" s="8"/>
      <c r="X604" s="8"/>
      <c r="Y604" s="8"/>
      <c r="Z604" s="8"/>
      <c r="AA604" s="8"/>
      <c r="AB604" s="8"/>
      <c r="AC604" s="8"/>
    </row>
    <row r="605" customFormat="false" ht="15.75" hidden="false" customHeight="true" outlineLevel="0" collapsed="false">
      <c r="A605" s="9" t="n">
        <v>46305</v>
      </c>
      <c r="B605" s="11" t="s">
        <v>22</v>
      </c>
      <c r="C605" s="11" t="s">
        <v>23</v>
      </c>
      <c r="D605" s="11" t="s">
        <v>508</v>
      </c>
      <c r="E605" s="11" t="str">
        <f aca="false" t="array" ref="E605:E605">IF(D605="","",IFERROR(INDEX('CLM &amp; IM Mapping'!$B$2:$B$270,MATCH(TRIM(D605),'CLM &amp; IM Mapping'!$A$2:$A$270,0)),"Not Mapped"))</f>
        <v>Ravishankar gowda</v>
      </c>
      <c r="F605" s="11" t="str">
        <f aca="false" t="array" ref="F605:F605">IF(D605="","",IFERROR(INDEX('CLM &amp; IM Mapping'!$C$2:$C$270,MATCH(TRIM(D605),'CLM &amp; IM Mapping'!$A$2:$A$270,0)),"Not Mapped"))</f>
        <v>Kishor K</v>
      </c>
      <c r="G605" s="11" t="s">
        <v>34</v>
      </c>
      <c r="H605" s="10" t="n">
        <v>-29331</v>
      </c>
      <c r="I605" s="10" t="n">
        <v>3430</v>
      </c>
      <c r="J605" s="10" t="n">
        <v>0</v>
      </c>
      <c r="K605" s="10" t="n">
        <v>18</v>
      </c>
      <c r="L605" s="10" t="n">
        <v>796</v>
      </c>
      <c r="M605" s="10" t="n">
        <v>0</v>
      </c>
      <c r="N605" s="10" t="n">
        <v>0</v>
      </c>
      <c r="O605" s="10" t="n">
        <v>0</v>
      </c>
      <c r="P605" s="10" t="n">
        <v>-25086</v>
      </c>
      <c r="Q605" s="11"/>
      <c r="R605" s="11"/>
      <c r="S605" s="19"/>
      <c r="T605" s="11"/>
      <c r="U605" s="21"/>
      <c r="V605" s="15"/>
      <c r="W605" s="8"/>
      <c r="X605" s="8"/>
      <c r="Y605" s="8"/>
      <c r="Z605" s="8"/>
      <c r="AA605" s="8"/>
      <c r="AB605" s="8"/>
      <c r="AC605" s="8"/>
    </row>
    <row r="606" customFormat="false" ht="15.75" hidden="false" customHeight="true" outlineLevel="0" collapsed="false">
      <c r="A606" s="9" t="n">
        <v>46305</v>
      </c>
      <c r="B606" s="11" t="s">
        <v>22</v>
      </c>
      <c r="C606" s="11" t="s">
        <v>23</v>
      </c>
      <c r="D606" s="11" t="s">
        <v>532</v>
      </c>
      <c r="E606" s="11" t="str">
        <f aca="false" t="array" ref="E606:E606">IF(D606="","",IFERROR(INDEX('CLM &amp; IM Mapping'!$B$2:$B$270,MATCH(TRIM(D606),'CLM &amp; IM Mapping'!$A$2:$A$270,0)),"Not Mapped"))</f>
        <v>Arun Raj</v>
      </c>
      <c r="F606" s="11" t="str">
        <f aca="false" t="array" ref="F606:F606">IF(D606="","",IFERROR(INDEX('CLM &amp; IM Mapping'!$C$2:$C$270,MATCH(TRIM(D606),'CLM &amp; IM Mapping'!$A$2:$A$270,0)),"Not Mapped"))</f>
        <v>Simon Manoharan</v>
      </c>
      <c r="G606" s="11" t="s">
        <v>25</v>
      </c>
      <c r="H606" s="10" t="n">
        <v>-517861</v>
      </c>
      <c r="I606" s="10" t="n">
        <v>0</v>
      </c>
      <c r="J606" s="10" t="n">
        <v>0</v>
      </c>
      <c r="K606" s="10" t="n">
        <v>210708</v>
      </c>
      <c r="L606" s="10" t="n">
        <v>0</v>
      </c>
      <c r="M606" s="10" t="n">
        <v>0</v>
      </c>
      <c r="N606" s="10" t="n">
        <v>0</v>
      </c>
      <c r="O606" s="10" t="n">
        <v>0</v>
      </c>
      <c r="P606" s="10" t="n">
        <v>-307152</v>
      </c>
      <c r="Q606" s="11"/>
      <c r="R606" s="11"/>
      <c r="S606" s="19"/>
      <c r="T606" s="11"/>
      <c r="U606" s="21"/>
      <c r="V606" s="15"/>
      <c r="W606" s="8"/>
      <c r="X606" s="8"/>
      <c r="Y606" s="8"/>
      <c r="Z606" s="8"/>
      <c r="AA606" s="8"/>
      <c r="AB606" s="8"/>
      <c r="AC606" s="8"/>
    </row>
    <row r="607" customFormat="false" ht="15.75" hidden="false" customHeight="true" outlineLevel="0" collapsed="false">
      <c r="A607" s="9" t="n">
        <v>46305</v>
      </c>
      <c r="B607" s="11" t="s">
        <v>22</v>
      </c>
      <c r="C607" s="11" t="s">
        <v>23</v>
      </c>
      <c r="D607" s="11" t="s">
        <v>189</v>
      </c>
      <c r="E607" s="11" t="str">
        <f aca="false" t="array" ref="E607:E607">IF(D607="","",IFERROR(INDEX('CLM &amp; IM Mapping'!$B$2:$B$270,MATCH(TRIM(D607),'CLM &amp; IM Mapping'!$A$2:$A$270,0)),"Not Mapped"))</f>
        <v>Girish N</v>
      </c>
      <c r="F607" s="11" t="str">
        <f aca="false" t="array" ref="F607:F607">IF(D607="","",IFERROR(INDEX('CLM &amp; IM Mapping'!$C$2:$C$270,MATCH(TRIM(D607),'CLM &amp; IM Mapping'!$A$2:$A$270,0)),"Not Mapped"))</f>
        <v>Un Mapped</v>
      </c>
      <c r="G607" s="11" t="s">
        <v>34</v>
      </c>
      <c r="H607" s="10" t="n">
        <v>463</v>
      </c>
      <c r="I607" s="10" t="n">
        <v>20840</v>
      </c>
      <c r="J607" s="10" t="n">
        <v>2129</v>
      </c>
      <c r="K607" s="10" t="n">
        <v>142</v>
      </c>
      <c r="L607" s="10" t="n">
        <v>782</v>
      </c>
      <c r="M607" s="10" t="n">
        <v>0</v>
      </c>
      <c r="N607" s="10" t="n">
        <v>0</v>
      </c>
      <c r="O607" s="10" t="n">
        <v>0</v>
      </c>
      <c r="P607" s="10" t="n">
        <v>24356</v>
      </c>
      <c r="Q607" s="11"/>
      <c r="R607" s="11"/>
      <c r="S607" s="19"/>
      <c r="T607" s="11"/>
      <c r="U607" s="21"/>
      <c r="V607" s="15"/>
      <c r="W607" s="8"/>
      <c r="X607" s="8"/>
      <c r="Y607" s="8"/>
      <c r="Z607" s="8"/>
      <c r="AA607" s="8"/>
      <c r="AB607" s="8"/>
      <c r="AC607" s="8"/>
    </row>
    <row r="608" customFormat="false" ht="15.75" hidden="false" customHeight="true" outlineLevel="0" collapsed="false">
      <c r="A608" s="9" t="n">
        <v>46305</v>
      </c>
      <c r="B608" s="11" t="s">
        <v>22</v>
      </c>
      <c r="C608" s="11" t="s">
        <v>23</v>
      </c>
      <c r="D608" s="11" t="s">
        <v>241</v>
      </c>
      <c r="E608" s="11" t="str">
        <f aca="false" t="array" ref="E608:E608">IF(D608="","",IFERROR(INDEX('CLM &amp; IM Mapping'!$B$2:$B$270,MATCH(TRIM(D608),'CLM &amp; IM Mapping'!$A$2:$A$270,0)),"Not Mapped"))</f>
        <v>Sundaresh S</v>
      </c>
      <c r="F608" s="11" t="str">
        <f aca="false" t="array" ref="F608:F608">IF(D608="","",IFERROR(INDEX('CLM &amp; IM Mapping'!$C$2:$C$270,MATCH(TRIM(D608),'CLM &amp; IM Mapping'!$A$2:$A$270,0)),"Not Mapped"))</f>
        <v>Un Mapped</v>
      </c>
      <c r="G608" s="11" t="s">
        <v>34</v>
      </c>
      <c r="H608" s="10" t="n">
        <v>2353</v>
      </c>
      <c r="I608" s="10" t="n">
        <v>1105</v>
      </c>
      <c r="J608" s="10" t="n">
        <v>0</v>
      </c>
      <c r="K608" s="10" t="n">
        <v>274</v>
      </c>
      <c r="L608" s="10" t="n">
        <v>283</v>
      </c>
      <c r="M608" s="10" t="n">
        <v>0</v>
      </c>
      <c r="N608" s="10" t="n">
        <v>2899</v>
      </c>
      <c r="O608" s="10" t="n">
        <v>0</v>
      </c>
      <c r="P608" s="10" t="n">
        <v>6914</v>
      </c>
      <c r="Q608" s="11"/>
      <c r="R608" s="11"/>
      <c r="S608" s="19"/>
      <c r="T608" s="11"/>
      <c r="U608" s="21"/>
      <c r="V608" s="15"/>
      <c r="W608" s="8"/>
      <c r="X608" s="8"/>
      <c r="Y608" s="8"/>
      <c r="Z608" s="8"/>
      <c r="AA608" s="8"/>
      <c r="AB608" s="8"/>
      <c r="AC608" s="8"/>
    </row>
    <row r="609" customFormat="false" ht="15.75" hidden="false" customHeight="true" outlineLevel="0" collapsed="false">
      <c r="A609" s="9" t="n">
        <v>46305</v>
      </c>
      <c r="B609" s="11" t="s">
        <v>22</v>
      </c>
      <c r="C609" s="11" t="s">
        <v>417</v>
      </c>
      <c r="D609" s="11" t="s">
        <v>418</v>
      </c>
      <c r="E609" s="11" t="str">
        <f aca="false" t="array" ref="E609:E609">IF(D609="","",IFERROR(INDEX('CLM &amp; IM Mapping'!$B$2:$B$270,MATCH(TRIM(D609),'CLM &amp; IM Mapping'!$A$2:$A$270,0)),"Not Mapped"))</f>
        <v>Vishnu V</v>
      </c>
      <c r="F609" s="11" t="str">
        <f aca="false" t="array" ref="F609:F609">IF(D609="","",IFERROR(INDEX('CLM &amp; IM Mapping'!$C$2:$C$270,MATCH(TRIM(D609),'CLM &amp; IM Mapping'!$A$2:$A$270,0)),"Not Mapped"))</f>
        <v>Arivind S</v>
      </c>
      <c r="G609" s="11" t="s">
        <v>34</v>
      </c>
      <c r="H609" s="10" t="n">
        <v>-4317</v>
      </c>
      <c r="I609" s="10" t="n">
        <v>0</v>
      </c>
      <c r="J609" s="10" t="n">
        <v>0</v>
      </c>
      <c r="K609" s="10" t="n">
        <v>0</v>
      </c>
      <c r="L609" s="10" t="n">
        <v>275</v>
      </c>
      <c r="M609" s="10" t="n">
        <v>0</v>
      </c>
      <c r="N609" s="10" t="n">
        <v>0</v>
      </c>
      <c r="O609" s="10" t="n">
        <v>0</v>
      </c>
      <c r="P609" s="10" t="n">
        <v>-4043</v>
      </c>
      <c r="Q609" s="11"/>
      <c r="R609" s="11"/>
      <c r="S609" s="19"/>
      <c r="T609" s="11"/>
      <c r="U609" s="21"/>
      <c r="V609" s="15"/>
      <c r="W609" s="8"/>
      <c r="X609" s="8"/>
      <c r="Y609" s="8"/>
      <c r="Z609" s="8"/>
      <c r="AA609" s="8"/>
      <c r="AB609" s="8"/>
      <c r="AC609" s="8"/>
    </row>
    <row r="610" customFormat="false" ht="15.75" hidden="false" customHeight="true" outlineLevel="0" collapsed="false">
      <c r="A610" s="9" t="n">
        <v>46305</v>
      </c>
      <c r="B610" s="11" t="s">
        <v>22</v>
      </c>
      <c r="C610" s="11" t="s">
        <v>23</v>
      </c>
      <c r="D610" s="11" t="s">
        <v>238</v>
      </c>
      <c r="E610" s="11" t="str">
        <f aca="false" t="array" ref="E610:E610">IF(D610="","",IFERROR(INDEX('CLM &amp; IM Mapping'!$B$2:$B$270,MATCH(TRIM(D610),'CLM &amp; IM Mapping'!$A$2:$A$270,0)),"Not Mapped"))</f>
        <v>Suhas N</v>
      </c>
      <c r="F610" s="11" t="str">
        <f aca="false" t="array" ref="F610:F610">IF(D610="","",IFERROR(INDEX('CLM &amp; IM Mapping'!$C$2:$C$270,MATCH(TRIM(D610),'CLM &amp; IM Mapping'!$A$2:$A$270,0)),"Not Mapped"))</f>
        <v>Aravind S</v>
      </c>
      <c r="G610" s="11" t="s">
        <v>34</v>
      </c>
      <c r="H610" s="10" t="n">
        <v>-15138</v>
      </c>
      <c r="I610" s="10" t="n">
        <v>2334</v>
      </c>
      <c r="J610" s="10" t="n">
        <v>161</v>
      </c>
      <c r="K610" s="10" t="n">
        <v>11108</v>
      </c>
      <c r="L610" s="10" t="n">
        <v>3898</v>
      </c>
      <c r="M610" s="10" t="n">
        <v>0</v>
      </c>
      <c r="N610" s="10" t="n">
        <v>0</v>
      </c>
      <c r="O610" s="10" t="n">
        <v>0</v>
      </c>
      <c r="P610" s="10" t="n">
        <v>2362</v>
      </c>
      <c r="Q610" s="11"/>
      <c r="R610" s="11"/>
      <c r="S610" s="19"/>
      <c r="T610" s="11"/>
      <c r="U610" s="21"/>
      <c r="V610" s="15"/>
      <c r="W610" s="8"/>
      <c r="X610" s="8"/>
      <c r="Y610" s="8"/>
      <c r="Z610" s="8"/>
      <c r="AA610" s="8"/>
      <c r="AB610" s="8"/>
      <c r="AC610" s="8"/>
    </row>
    <row r="611" customFormat="false" ht="15.75" hidden="false" customHeight="true" outlineLevel="0" collapsed="false">
      <c r="A611" s="9" t="n">
        <v>46305</v>
      </c>
      <c r="B611" s="11" t="s">
        <v>22</v>
      </c>
      <c r="C611" s="11" t="s">
        <v>23</v>
      </c>
      <c r="D611" s="11" t="s">
        <v>517</v>
      </c>
      <c r="E611" s="11" t="str">
        <f aca="false" t="array" ref="E611:E611">IF(D611="","",IFERROR(INDEX('CLM &amp; IM Mapping'!$B$2:$B$270,MATCH(TRIM(D611),'CLM &amp; IM Mapping'!$A$2:$A$270,0)),"Not Mapped"))</f>
        <v>Manoj Kj</v>
      </c>
      <c r="F611" s="11" t="str">
        <f aca="false" t="array" ref="F611:F611">IF(D611="","",IFERROR(INDEX('CLM &amp; IM Mapping'!$C$2:$C$270,MATCH(TRIM(D611),'CLM &amp; IM Mapping'!$A$2:$A$270,0)),"Not Mapped"))</f>
        <v>Srittam Dhal</v>
      </c>
      <c r="G611" s="11" t="s">
        <v>34</v>
      </c>
      <c r="H611" s="10" t="n">
        <v>-32715</v>
      </c>
      <c r="I611" s="10" t="n">
        <v>0</v>
      </c>
      <c r="J611" s="10" t="n">
        <v>0</v>
      </c>
      <c r="K611" s="10" t="n">
        <v>0</v>
      </c>
      <c r="L611" s="10" t="n">
        <v>850</v>
      </c>
      <c r="M611" s="10" t="n">
        <v>0</v>
      </c>
      <c r="N611" s="10" t="n">
        <v>2704</v>
      </c>
      <c r="O611" s="10" t="n">
        <v>0</v>
      </c>
      <c r="P611" s="10" t="n">
        <v>-29161</v>
      </c>
      <c r="Q611" s="11"/>
      <c r="R611" s="11"/>
      <c r="S611" s="19"/>
      <c r="T611" s="11"/>
      <c r="U611" s="21"/>
      <c r="V611" s="15"/>
      <c r="W611" s="8"/>
      <c r="X611" s="8"/>
      <c r="Y611" s="8"/>
      <c r="Z611" s="8"/>
      <c r="AA611" s="8"/>
      <c r="AB611" s="8"/>
      <c r="AC611" s="8"/>
    </row>
    <row r="612" customFormat="false" ht="15.75" hidden="false" customHeight="true" outlineLevel="0" collapsed="false">
      <c r="A612" s="9" t="n">
        <v>46305</v>
      </c>
      <c r="B612" s="11" t="s">
        <v>22</v>
      </c>
      <c r="C612" s="11" t="s">
        <v>23</v>
      </c>
      <c r="D612" s="11" t="s">
        <v>528</v>
      </c>
      <c r="E612" s="11" t="str">
        <f aca="false" t="array" ref="E612:E612">IF(D612="","",IFERROR(INDEX('CLM &amp; IM Mapping'!$B$2:$B$270,MATCH(TRIM(D612),'CLM &amp; IM Mapping'!$A$2:$A$270,0)),"Not Mapped"))</f>
        <v>Saddam Hussain</v>
      </c>
      <c r="F612" s="11" t="str">
        <f aca="false" t="array" ref="F612:F612">IF(D612="","",IFERROR(INDEX('CLM &amp; IM Mapping'!$C$2:$C$270,MATCH(TRIM(D612),'CLM &amp; IM Mapping'!$A$2:$A$270,0)),"Not Mapped"))</f>
        <v>Un Mapped</v>
      </c>
      <c r="G612" s="11" t="s">
        <v>34</v>
      </c>
      <c r="H612" s="10" t="n">
        <v>-54788</v>
      </c>
      <c r="I612" s="10" t="n">
        <v>4780</v>
      </c>
      <c r="J612" s="10" t="n">
        <v>1111</v>
      </c>
      <c r="K612" s="10" t="n">
        <v>672</v>
      </c>
      <c r="L612" s="10" t="n">
        <v>1293</v>
      </c>
      <c r="M612" s="10" t="n">
        <v>0</v>
      </c>
      <c r="N612" s="10" t="n">
        <v>0</v>
      </c>
      <c r="O612" s="10" t="n">
        <v>0</v>
      </c>
      <c r="P612" s="10" t="n">
        <v>-46932</v>
      </c>
      <c r="Q612" s="11"/>
      <c r="R612" s="11"/>
      <c r="S612" s="19"/>
      <c r="T612" s="11"/>
      <c r="U612" s="21"/>
      <c r="V612" s="15"/>
      <c r="W612" s="8"/>
      <c r="X612" s="8"/>
      <c r="Y612" s="8"/>
      <c r="Z612" s="8"/>
      <c r="AA612" s="8"/>
      <c r="AB612" s="8"/>
      <c r="AC612" s="8"/>
    </row>
    <row r="613" customFormat="false" ht="15.75" hidden="false" customHeight="true" outlineLevel="0" collapsed="false">
      <c r="A613" s="9" t="n">
        <v>46305</v>
      </c>
      <c r="B613" s="11" t="s">
        <v>22</v>
      </c>
      <c r="C613" s="11" t="s">
        <v>23</v>
      </c>
      <c r="D613" s="11" t="s">
        <v>144</v>
      </c>
      <c r="E613" s="11" t="str">
        <f aca="false" t="array" ref="E613:E613">IF(D613="","",IFERROR(INDEX('CLM &amp; IM Mapping'!$B$2:$B$270,MATCH(TRIM(D613),'CLM &amp; IM Mapping'!$A$2:$A$270,0)),"Not Mapped"))</f>
        <v>Mohaideen DH</v>
      </c>
      <c r="F613" s="11" t="str">
        <f aca="false" t="array" ref="F613:F613">IF(D613="","",IFERROR(INDEX('CLM &amp; IM Mapping'!$C$2:$C$270,MATCH(TRIM(D613),'CLM &amp; IM Mapping'!$A$2:$A$270,0)),"Not Mapped"))</f>
        <v>Mohammed Akbar</v>
      </c>
      <c r="G613" s="11" t="s">
        <v>34</v>
      </c>
      <c r="H613" s="10" t="n">
        <v>-48241</v>
      </c>
      <c r="I613" s="10" t="n">
        <v>41406</v>
      </c>
      <c r="J613" s="10" t="n">
        <v>0</v>
      </c>
      <c r="K613" s="10" t="n">
        <v>5223</v>
      </c>
      <c r="L613" s="10" t="n">
        <v>13232</v>
      </c>
      <c r="M613" s="10" t="n">
        <v>0</v>
      </c>
      <c r="N613" s="10" t="n">
        <v>5648</v>
      </c>
      <c r="O613" s="10" t="n">
        <v>0</v>
      </c>
      <c r="P613" s="10" t="n">
        <v>17267</v>
      </c>
      <c r="Q613" s="11"/>
      <c r="R613" s="11"/>
      <c r="S613" s="19"/>
      <c r="T613" s="11"/>
      <c r="U613" s="21"/>
      <c r="V613" s="15"/>
      <c r="W613" s="8"/>
      <c r="X613" s="8"/>
      <c r="Y613" s="8"/>
      <c r="Z613" s="8"/>
      <c r="AA613" s="8"/>
      <c r="AB613" s="8"/>
      <c r="AC613" s="8"/>
    </row>
    <row r="614" customFormat="false" ht="15.75" hidden="false" customHeight="true" outlineLevel="0" collapsed="false">
      <c r="A614" s="9" t="n">
        <v>46305</v>
      </c>
      <c r="B614" s="11" t="s">
        <v>22</v>
      </c>
      <c r="C614" s="11" t="s">
        <v>23</v>
      </c>
      <c r="D614" s="11" t="s">
        <v>344</v>
      </c>
      <c r="E614" s="11" t="str">
        <f aca="false" t="array" ref="E614:E614">IF(D614="","",IFERROR(INDEX('CLM &amp; IM Mapping'!$B$2:$B$270,MATCH(TRIM(D614),'CLM &amp; IM Mapping'!$A$2:$A$270,0)),"Not Mapped"))</f>
        <v>Arun Raj</v>
      </c>
      <c r="F614" s="11" t="str">
        <f aca="false" t="array" ref="F614:F614">IF(D614="","",IFERROR(INDEX('CLM &amp; IM Mapping'!$C$2:$C$270,MATCH(TRIM(D614),'CLM &amp; IM Mapping'!$A$2:$A$270,0)),"Not Mapped"))</f>
        <v>Simon Manoharan</v>
      </c>
      <c r="G614" s="11" t="s">
        <v>25</v>
      </c>
      <c r="H614" s="10" t="n">
        <v>-115189</v>
      </c>
      <c r="I614" s="10" t="n">
        <v>27080</v>
      </c>
      <c r="J614" s="10" t="n">
        <v>0</v>
      </c>
      <c r="K614" s="10" t="n">
        <v>0</v>
      </c>
      <c r="L614" s="10" t="n">
        <v>1075</v>
      </c>
      <c r="M614" s="10" t="n">
        <v>0</v>
      </c>
      <c r="N614" s="10" t="n">
        <v>0</v>
      </c>
      <c r="O614" s="10" t="n">
        <v>0</v>
      </c>
      <c r="P614" s="10" t="n">
        <v>-87033</v>
      </c>
      <c r="Q614" s="11"/>
      <c r="R614" s="11"/>
      <c r="S614" s="19"/>
      <c r="T614" s="11"/>
      <c r="U614" s="21"/>
      <c r="V614" s="15"/>
      <c r="W614" s="8"/>
      <c r="X614" s="8"/>
      <c r="Y614" s="8"/>
      <c r="Z614" s="8"/>
      <c r="AA614" s="8"/>
      <c r="AB614" s="8"/>
      <c r="AC614" s="8"/>
    </row>
    <row r="615" customFormat="false" ht="15.75" hidden="false" customHeight="true" outlineLevel="0" collapsed="false">
      <c r="A615" s="9" t="n">
        <v>46305</v>
      </c>
      <c r="B615" s="11" t="s">
        <v>22</v>
      </c>
      <c r="C615" s="11" t="s">
        <v>23</v>
      </c>
      <c r="D615" s="11" t="s">
        <v>371</v>
      </c>
      <c r="E615" s="11" t="str">
        <f aca="false" t="array" ref="E615:E615">IF(D615="","",IFERROR(INDEX('CLM &amp; IM Mapping'!$B$2:$B$270,MATCH(TRIM(D615),'CLM &amp; IM Mapping'!$A$2:$A$270,0)),"Not Mapped"))</f>
        <v>Akshay P</v>
      </c>
      <c r="F615" s="11" t="str">
        <f aca="false" t="array" ref="F615:F615">IF(D615="","",IFERROR(INDEX('CLM &amp; IM Mapping'!$C$2:$C$270,MATCH(TRIM(D615),'CLM &amp; IM Mapping'!$A$2:$A$270,0)),"Not Mapped"))</f>
        <v>Srittam Dhal</v>
      </c>
      <c r="G615" s="11" t="s">
        <v>34</v>
      </c>
      <c r="H615" s="10" t="n">
        <v>-1421</v>
      </c>
      <c r="I615" s="10" t="n">
        <v>5060</v>
      </c>
      <c r="J615" s="10" t="n">
        <v>0</v>
      </c>
      <c r="K615" s="10" t="n">
        <v>0</v>
      </c>
      <c r="L615" s="10" t="n">
        <v>42</v>
      </c>
      <c r="M615" s="10" t="n">
        <v>0</v>
      </c>
      <c r="N615" s="10" t="n">
        <v>0</v>
      </c>
      <c r="O615" s="10" t="n">
        <v>0</v>
      </c>
      <c r="P615" s="10" t="n">
        <v>3681</v>
      </c>
      <c r="Q615" s="11"/>
      <c r="R615" s="11"/>
      <c r="S615" s="19"/>
      <c r="T615" s="11"/>
      <c r="U615" s="21"/>
      <c r="V615" s="15"/>
      <c r="W615" s="8"/>
      <c r="X615" s="8"/>
      <c r="Y615" s="8"/>
      <c r="Z615" s="8"/>
      <c r="AA615" s="8"/>
      <c r="AB615" s="8"/>
      <c r="AC615" s="8"/>
    </row>
    <row r="616" customFormat="false" ht="15.75" hidden="false" customHeight="true" outlineLevel="0" collapsed="false">
      <c r="A616" s="9" t="n">
        <v>46305</v>
      </c>
      <c r="B616" s="11" t="s">
        <v>22</v>
      </c>
      <c r="C616" s="11" t="s">
        <v>303</v>
      </c>
      <c r="D616" s="11" t="s">
        <v>520</v>
      </c>
      <c r="E616" s="11" t="str">
        <f aca="false" t="array" ref="E616:E616">IF(D616="","",IFERROR(INDEX('CLM &amp; IM Mapping'!$B$2:$B$270,MATCH(TRIM(D616),'CLM &amp; IM Mapping'!$A$2:$A$270,0)),"Not Mapped"))</f>
        <v>John Britto</v>
      </c>
      <c r="F616" s="11" t="str">
        <f aca="false" t="array" ref="F616:F616">IF(D616="","",IFERROR(INDEX('CLM &amp; IM Mapping'!$C$2:$C$270,MATCH(TRIM(D616),'CLM &amp; IM Mapping'!$A$2:$A$270,0)),"Not Mapped"))</f>
        <v>Aravind S</v>
      </c>
      <c r="G616" s="11" t="s">
        <v>34</v>
      </c>
      <c r="H616" s="10" t="n">
        <v>-34460</v>
      </c>
      <c r="I616" s="10" t="n">
        <v>562</v>
      </c>
      <c r="J616" s="10" t="n">
        <v>0</v>
      </c>
      <c r="K616" s="10" t="n">
        <v>0</v>
      </c>
      <c r="L616" s="10" t="n">
        <v>0</v>
      </c>
      <c r="M616" s="10" t="n">
        <v>0</v>
      </c>
      <c r="N616" s="10" t="n">
        <v>0</v>
      </c>
      <c r="O616" s="10" t="n">
        <v>0</v>
      </c>
      <c r="P616" s="10" t="n">
        <v>-33899</v>
      </c>
      <c r="Q616" s="11"/>
      <c r="R616" s="11"/>
      <c r="S616" s="19"/>
      <c r="T616" s="11"/>
      <c r="U616" s="21"/>
      <c r="V616" s="15"/>
      <c r="W616" s="8"/>
      <c r="X616" s="8"/>
      <c r="Y616" s="8"/>
      <c r="Z616" s="8"/>
      <c r="AA616" s="8"/>
      <c r="AB616" s="8"/>
      <c r="AC616" s="8"/>
    </row>
    <row r="617" customFormat="false" ht="15.75" hidden="false" customHeight="true" outlineLevel="0" collapsed="false">
      <c r="A617" s="9" t="n">
        <v>46305</v>
      </c>
      <c r="B617" s="11" t="s">
        <v>22</v>
      </c>
      <c r="C617" s="11" t="s">
        <v>23</v>
      </c>
      <c r="D617" s="11" t="s">
        <v>327</v>
      </c>
      <c r="E617" s="11" t="str">
        <f aca="false" t="array" ref="E617:E617">IF(D617="","",IFERROR(INDEX('CLM &amp; IM Mapping'!$B$2:$B$270,MATCH(TRIM(D617),'CLM &amp; IM Mapping'!$A$2:$A$270,0)),"Not Mapped"))</f>
        <v>Suhas N</v>
      </c>
      <c r="F617" s="11" t="str">
        <f aca="false" t="array" ref="F617:F617">IF(D617="","",IFERROR(INDEX('CLM &amp; IM Mapping'!$C$2:$C$270,MATCH(TRIM(D617),'CLM &amp; IM Mapping'!$A$2:$A$270,0)),"Not Mapped"))</f>
        <v>Aravind S</v>
      </c>
      <c r="G617" s="11" t="s">
        <v>34</v>
      </c>
      <c r="H617" s="10" t="n">
        <v>3285</v>
      </c>
      <c r="I617" s="10" t="n">
        <v>0</v>
      </c>
      <c r="J617" s="10" t="n">
        <v>0</v>
      </c>
      <c r="K617" s="10" t="n">
        <v>0</v>
      </c>
      <c r="L617" s="10" t="n">
        <v>281</v>
      </c>
      <c r="M617" s="10" t="n">
        <v>0</v>
      </c>
      <c r="N617" s="10" t="n">
        <v>0</v>
      </c>
      <c r="O617" s="10" t="n">
        <v>0</v>
      </c>
      <c r="P617" s="10" t="n">
        <v>3565</v>
      </c>
      <c r="Q617" s="11"/>
      <c r="R617" s="11"/>
      <c r="S617" s="19"/>
      <c r="T617" s="11"/>
      <c r="U617" s="21"/>
      <c r="V617" s="15"/>
      <c r="W617" s="8"/>
      <c r="X617" s="8"/>
      <c r="Y617" s="8"/>
      <c r="Z617" s="8"/>
      <c r="AA617" s="8"/>
      <c r="AB617" s="8"/>
      <c r="AC617" s="8"/>
    </row>
    <row r="618" customFormat="false" ht="15.75" hidden="false" customHeight="true" outlineLevel="0" collapsed="false">
      <c r="A618" s="9" t="n">
        <v>46305</v>
      </c>
      <c r="B618" s="11" t="s">
        <v>22</v>
      </c>
      <c r="C618" s="11" t="s">
        <v>23</v>
      </c>
      <c r="D618" s="11" t="s">
        <v>134</v>
      </c>
      <c r="E618" s="11" t="str">
        <f aca="false" t="array" ref="E618:E618">IF(D618="","",IFERROR(INDEX('CLM &amp; IM Mapping'!$B$2:$B$270,MATCH(TRIM(D618),'CLM &amp; IM Mapping'!$A$2:$A$270,0)),"Not Mapped"))</f>
        <v>Raghavendra Vernekar</v>
      </c>
      <c r="F618" s="11" t="str">
        <f aca="false" t="array" ref="F618:F618">IF(D618="","",IFERROR(INDEX('CLM &amp; IM Mapping'!$C$2:$C$270,MATCH(TRIM(D618),'CLM &amp; IM Mapping'!$A$2:$A$270,0)),"Not Mapped"))</f>
        <v>Prakash BS</v>
      </c>
      <c r="G618" s="11" t="s">
        <v>34</v>
      </c>
      <c r="H618" s="10" t="n">
        <v>12223</v>
      </c>
      <c r="I618" s="10" t="n">
        <v>21930</v>
      </c>
      <c r="J618" s="10" t="n">
        <v>227</v>
      </c>
      <c r="K618" s="10" t="n">
        <v>3322</v>
      </c>
      <c r="L618" s="10" t="n">
        <v>733</v>
      </c>
      <c r="M618" s="10" t="n">
        <v>0</v>
      </c>
      <c r="N618" s="10" t="n">
        <v>790</v>
      </c>
      <c r="O618" s="10" t="n">
        <v>0</v>
      </c>
      <c r="P618" s="10" t="n">
        <v>39225</v>
      </c>
      <c r="Q618" s="11"/>
      <c r="R618" s="11"/>
      <c r="S618" s="19"/>
      <c r="T618" s="11"/>
      <c r="U618" s="21"/>
      <c r="V618" s="15"/>
      <c r="W618" s="8"/>
      <c r="X618" s="8"/>
      <c r="Y618" s="8"/>
      <c r="Z618" s="8"/>
      <c r="AA618" s="8"/>
      <c r="AB618" s="8"/>
      <c r="AC618" s="8"/>
    </row>
    <row r="619" customFormat="false" ht="15.75" hidden="false" customHeight="true" outlineLevel="0" collapsed="false">
      <c r="A619" s="9" t="n">
        <v>46305</v>
      </c>
      <c r="B619" s="11" t="s">
        <v>22</v>
      </c>
      <c r="C619" s="11" t="s">
        <v>23</v>
      </c>
      <c r="D619" s="11" t="s">
        <v>404</v>
      </c>
      <c r="E619" s="11" t="str">
        <f aca="false" t="array" ref="E619:E619">IF(D619="","",IFERROR(INDEX('CLM &amp; IM Mapping'!$B$2:$B$270,MATCH(TRIM(D619),'CLM &amp; IM Mapping'!$A$2:$A$270,0)),"Not Mapped"))</f>
        <v>Arun Raj</v>
      </c>
      <c r="F619" s="11" t="str">
        <f aca="false" t="array" ref="F619:F619">IF(D619="","",IFERROR(INDEX('CLM &amp; IM Mapping'!$C$2:$C$270,MATCH(TRIM(D619),'CLM &amp; IM Mapping'!$A$2:$A$270,0)),"Not Mapped"))</f>
        <v>Simon Manoharan</v>
      </c>
      <c r="G619" s="11" t="s">
        <v>25</v>
      </c>
      <c r="H619" s="10" t="n">
        <v>-20889</v>
      </c>
      <c r="I619" s="10" t="n">
        <v>23434</v>
      </c>
      <c r="J619" s="10" t="n">
        <v>0</v>
      </c>
      <c r="K619" s="10" t="n">
        <v>7336</v>
      </c>
      <c r="L619" s="10" t="n">
        <v>1675</v>
      </c>
      <c r="M619" s="10" t="n">
        <v>0</v>
      </c>
      <c r="N619" s="10" t="n">
        <v>0</v>
      </c>
      <c r="O619" s="10" t="n">
        <v>0</v>
      </c>
      <c r="P619" s="10" t="n">
        <v>11555</v>
      </c>
      <c r="Q619" s="11"/>
      <c r="R619" s="11"/>
      <c r="S619" s="19"/>
      <c r="T619" s="11"/>
      <c r="U619" s="21"/>
      <c r="V619" s="15"/>
      <c r="W619" s="8"/>
      <c r="X619" s="8"/>
      <c r="Y619" s="8"/>
      <c r="Z619" s="8"/>
      <c r="AA619" s="8"/>
      <c r="AB619" s="8"/>
      <c r="AC619" s="8"/>
    </row>
    <row r="620" customFormat="false" ht="15.75" hidden="false" customHeight="true" outlineLevel="0" collapsed="false">
      <c r="A620" s="9" t="n">
        <v>46305</v>
      </c>
      <c r="B620" s="11" t="s">
        <v>22</v>
      </c>
      <c r="C620" s="11" t="s">
        <v>23</v>
      </c>
      <c r="D620" s="11" t="s">
        <v>292</v>
      </c>
      <c r="E620" s="11" t="str">
        <f aca="false" t="array" ref="E620:E620">IF(D620="","",IFERROR(INDEX('CLM &amp; IM Mapping'!$B$2:$B$270,MATCH(TRIM(D620),'CLM &amp; IM Mapping'!$A$2:$A$270,0)),"Not Mapped"))</f>
        <v>Mohaideen DH</v>
      </c>
      <c r="F620" s="11" t="str">
        <f aca="false" t="array" ref="F620:F620">IF(D620="","",IFERROR(INDEX('CLM &amp; IM Mapping'!$C$2:$C$270,MATCH(TRIM(D620),'CLM &amp; IM Mapping'!$A$2:$A$270,0)),"Not Mapped"))</f>
        <v>Mohammed Akbar</v>
      </c>
      <c r="G620" s="11" t="s">
        <v>34</v>
      </c>
      <c r="H620" s="10" t="n">
        <v>9188</v>
      </c>
      <c r="I620" s="10" t="n">
        <v>4036</v>
      </c>
      <c r="J620" s="10" t="n">
        <v>0</v>
      </c>
      <c r="K620" s="10" t="n">
        <v>180</v>
      </c>
      <c r="L620" s="10" t="n">
        <v>340</v>
      </c>
      <c r="M620" s="10" t="n">
        <v>0</v>
      </c>
      <c r="N620" s="10" t="n">
        <v>2917</v>
      </c>
      <c r="O620" s="10" t="n">
        <v>0</v>
      </c>
      <c r="P620" s="10" t="n">
        <v>16661</v>
      </c>
      <c r="Q620" s="11"/>
      <c r="R620" s="11"/>
      <c r="S620" s="19"/>
      <c r="T620" s="11"/>
      <c r="U620" s="21"/>
      <c r="V620" s="15"/>
      <c r="W620" s="8"/>
      <c r="X620" s="8"/>
      <c r="Y620" s="8"/>
      <c r="Z620" s="8"/>
      <c r="AA620" s="8"/>
      <c r="AB620" s="8"/>
      <c r="AC620" s="8"/>
    </row>
    <row r="621" customFormat="false" ht="15.75" hidden="false" customHeight="true" outlineLevel="0" collapsed="false">
      <c r="A621" s="9" t="n">
        <v>46305</v>
      </c>
      <c r="B621" s="11" t="s">
        <v>22</v>
      </c>
      <c r="C621" s="11" t="s">
        <v>394</v>
      </c>
      <c r="D621" s="11" t="s">
        <v>395</v>
      </c>
      <c r="E621" s="11" t="str">
        <f aca="false" t="array" ref="E621:E621">IF(D621="","",IFERROR(INDEX('CLM &amp; IM Mapping'!$B$2:$B$270,MATCH(TRIM(D621),'CLM &amp; IM Mapping'!$A$2:$A$270,0)),"Not Mapped"))</f>
        <v>Bangareppa CS</v>
      </c>
      <c r="F621" s="11" t="str">
        <f aca="false" t="array" ref="F621:F621">IF(D621="","",IFERROR(INDEX('CLM &amp; IM Mapping'!$C$2:$C$270,MATCH(TRIM(D621),'CLM &amp; IM Mapping'!$A$2:$A$270,0)),"Not Mapped"))</f>
        <v>Kishor K</v>
      </c>
      <c r="G621" s="11" t="s">
        <v>34</v>
      </c>
      <c r="H621" s="10" t="n">
        <v>-19071</v>
      </c>
      <c r="I621" s="10" t="n">
        <v>9711</v>
      </c>
      <c r="J621" s="10" t="n">
        <v>0</v>
      </c>
      <c r="K621" s="10" t="n">
        <v>0</v>
      </c>
      <c r="L621" s="10" t="n">
        <v>612</v>
      </c>
      <c r="M621" s="10" t="n">
        <v>0</v>
      </c>
      <c r="N621" s="10" t="n">
        <v>7156</v>
      </c>
      <c r="O621" s="10" t="n">
        <v>0</v>
      </c>
      <c r="P621" s="10" t="n">
        <v>-1591</v>
      </c>
      <c r="Q621" s="11"/>
      <c r="R621" s="11"/>
      <c r="S621" s="19"/>
      <c r="T621" s="11"/>
      <c r="U621" s="21"/>
      <c r="V621" s="15"/>
      <c r="W621" s="8"/>
      <c r="X621" s="8"/>
      <c r="Y621" s="8"/>
      <c r="Z621" s="8"/>
      <c r="AA621" s="8"/>
      <c r="AB621" s="8"/>
      <c r="AC621" s="8"/>
    </row>
    <row r="622" customFormat="false" ht="15.75" hidden="false" customHeight="true" outlineLevel="0" collapsed="false">
      <c r="A622" s="9" t="n">
        <v>46305</v>
      </c>
      <c r="B622" s="11" t="s">
        <v>22</v>
      </c>
      <c r="C622" s="11" t="s">
        <v>221</v>
      </c>
      <c r="D622" s="11" t="s">
        <v>415</v>
      </c>
      <c r="E622" s="11" t="str">
        <f aca="false" t="array" ref="E622:E622">IF(D622="","",IFERROR(INDEX('CLM &amp; IM Mapping'!$B$2:$B$270,MATCH(TRIM(D622),'CLM &amp; IM Mapping'!$A$2:$A$270,0)),"Not Mapped"))</f>
        <v>Vishnu V</v>
      </c>
      <c r="F622" s="11" t="str">
        <f aca="false" t="array" ref="F622:F622">IF(D622="","",IFERROR(INDEX('CLM &amp; IM Mapping'!$C$2:$C$270,MATCH(TRIM(D622),'CLM &amp; IM Mapping'!$A$2:$A$270,0)),"Not Mapped"))</f>
        <v>Arivind S</v>
      </c>
      <c r="G622" s="11" t="s">
        <v>34</v>
      </c>
      <c r="H622" s="10" t="n">
        <v>-10462</v>
      </c>
      <c r="I622" s="10" t="n">
        <v>4439</v>
      </c>
      <c r="J622" s="10" t="n">
        <v>1571</v>
      </c>
      <c r="K622" s="10" t="n">
        <v>258</v>
      </c>
      <c r="L622" s="10" t="n">
        <v>1413</v>
      </c>
      <c r="M622" s="10" t="n">
        <v>0</v>
      </c>
      <c r="N622" s="10" t="n">
        <v>0</v>
      </c>
      <c r="O622" s="10" t="n">
        <v>0</v>
      </c>
      <c r="P622" s="10" t="n">
        <v>-2782</v>
      </c>
      <c r="Q622" s="11"/>
      <c r="R622" s="11"/>
      <c r="S622" s="19"/>
      <c r="T622" s="11"/>
      <c r="U622" s="21"/>
      <c r="V622" s="15"/>
      <c r="W622" s="8"/>
      <c r="X622" s="8"/>
      <c r="Y622" s="8"/>
      <c r="Z622" s="8"/>
      <c r="AA622" s="8"/>
      <c r="AB622" s="8"/>
      <c r="AC622" s="8"/>
    </row>
    <row r="623" customFormat="false" ht="15.75" hidden="false" customHeight="true" outlineLevel="0" collapsed="false">
      <c r="A623" s="9" t="n">
        <v>46305</v>
      </c>
      <c r="B623" s="11" t="s">
        <v>22</v>
      </c>
      <c r="C623" s="11" t="s">
        <v>23</v>
      </c>
      <c r="D623" s="11" t="s">
        <v>444</v>
      </c>
      <c r="E623" s="11" t="str">
        <f aca="false" t="array" ref="E623:E623">IF(D623="","",IFERROR(INDEX('CLM &amp; IM Mapping'!$B$2:$B$270,MATCH(TRIM(D623),'CLM &amp; IM Mapping'!$A$2:$A$270,0)),"Not Mapped"))</f>
        <v>Narasimhamurthy R</v>
      </c>
      <c r="F623" s="11" t="str">
        <f aca="false" t="array" ref="F623:F623">IF(D623="","",IFERROR(INDEX('CLM &amp; IM Mapping'!$C$2:$C$270,MATCH(TRIM(D623),'CLM &amp; IM Mapping'!$A$2:$A$270,0)),"Not Mapped"))</f>
        <v>Kishor K</v>
      </c>
      <c r="G623" s="11" t="s">
        <v>34</v>
      </c>
      <c r="H623" s="10" t="n">
        <v>-12083</v>
      </c>
      <c r="I623" s="10" t="n">
        <v>1436</v>
      </c>
      <c r="J623" s="10" t="n">
        <v>0</v>
      </c>
      <c r="K623" s="10" t="n">
        <v>1671</v>
      </c>
      <c r="L623" s="10" t="n">
        <v>0</v>
      </c>
      <c r="M623" s="10" t="n">
        <v>0</v>
      </c>
      <c r="N623" s="10" t="n">
        <v>61</v>
      </c>
      <c r="O623" s="10" t="n">
        <v>0</v>
      </c>
      <c r="P623" s="10" t="n">
        <v>-8915</v>
      </c>
      <c r="Q623" s="11"/>
      <c r="R623" s="11"/>
      <c r="S623" s="19"/>
      <c r="T623" s="11"/>
      <c r="U623" s="21"/>
      <c r="V623" s="15"/>
      <c r="W623" s="8"/>
      <c r="X623" s="8"/>
      <c r="Y623" s="8"/>
      <c r="Z623" s="8"/>
      <c r="AA623" s="8"/>
      <c r="AB623" s="8"/>
      <c r="AC623" s="8"/>
    </row>
    <row r="624" customFormat="false" ht="15.75" hidden="false" customHeight="true" outlineLevel="0" collapsed="false">
      <c r="A624" s="9" t="n">
        <v>46305</v>
      </c>
      <c r="B624" s="11" t="s">
        <v>22</v>
      </c>
      <c r="C624" s="11" t="s">
        <v>23</v>
      </c>
      <c r="D624" s="11" t="s">
        <v>526</v>
      </c>
      <c r="E624" s="11" t="str">
        <f aca="false" t="array" ref="E624:E624">IF(D624="","",IFERROR(INDEX('CLM &amp; IM Mapping'!$B$2:$B$270,MATCH(TRIM(D624),'CLM &amp; IM Mapping'!$A$2:$A$270,0)),"Not Mapped"))</f>
        <v>Sundaresh S</v>
      </c>
      <c r="F624" s="11" t="str">
        <f aca="false" t="array" ref="F624:F624">IF(D624="","",IFERROR(INDEX('CLM &amp; IM Mapping'!$C$2:$C$270,MATCH(TRIM(D624),'CLM &amp; IM Mapping'!$A$2:$A$270,0)),"Not Mapped"))</f>
        <v>Un Mapped</v>
      </c>
      <c r="G624" s="11" t="s">
        <v>34</v>
      </c>
      <c r="H624" s="10" t="n">
        <v>-42991</v>
      </c>
      <c r="I624" s="10" t="n">
        <v>13812</v>
      </c>
      <c r="J624" s="10" t="n">
        <v>1245</v>
      </c>
      <c r="K624" s="10" t="n">
        <v>0</v>
      </c>
      <c r="L624" s="10" t="n">
        <v>1456</v>
      </c>
      <c r="M624" s="10" t="n">
        <v>0</v>
      </c>
      <c r="N624" s="10" t="n">
        <v>0</v>
      </c>
      <c r="O624" s="10" t="n">
        <v>0</v>
      </c>
      <c r="P624" s="10" t="n">
        <v>-26478</v>
      </c>
      <c r="Q624" s="11"/>
      <c r="R624" s="11"/>
      <c r="S624" s="19"/>
      <c r="T624" s="11"/>
      <c r="U624" s="21"/>
      <c r="V624" s="15"/>
      <c r="W624" s="8"/>
      <c r="X624" s="8"/>
      <c r="Y624" s="8"/>
      <c r="Z624" s="8"/>
      <c r="AA624" s="8"/>
      <c r="AB624" s="8"/>
      <c r="AC624" s="8"/>
    </row>
    <row r="625" customFormat="false" ht="15.75" hidden="false" customHeight="true" outlineLevel="0" collapsed="false">
      <c r="A625" s="9" t="n">
        <v>46305</v>
      </c>
      <c r="B625" s="11" t="s">
        <v>22</v>
      </c>
      <c r="C625" s="11" t="s">
        <v>23</v>
      </c>
      <c r="D625" s="11" t="s">
        <v>175</v>
      </c>
      <c r="E625" s="11" t="str">
        <f aca="false" t="array" ref="E625:E625">IF(D625="","",IFERROR(INDEX('CLM &amp; IM Mapping'!$B$2:$B$270,MATCH(TRIM(D625),'CLM &amp; IM Mapping'!$A$2:$A$270,0)),"Not Mapped"))</f>
        <v>Arun Raj</v>
      </c>
      <c r="F625" s="11" t="str">
        <f aca="false" t="array" ref="F625:F625">IF(D625="","",IFERROR(INDEX('CLM &amp; IM Mapping'!$C$2:$C$270,MATCH(TRIM(D625),'CLM &amp; IM Mapping'!$A$2:$A$270,0)),"Not Mapped"))</f>
        <v>Simon Manoharan</v>
      </c>
      <c r="G625" s="11" t="s">
        <v>25</v>
      </c>
      <c r="H625" s="10" t="n">
        <v>10197</v>
      </c>
      <c r="I625" s="10" t="n">
        <v>26913</v>
      </c>
      <c r="J625" s="10" t="n">
        <v>0</v>
      </c>
      <c r="K625" s="10" t="n">
        <v>0</v>
      </c>
      <c r="L625" s="10" t="n">
        <v>4589</v>
      </c>
      <c r="M625" s="10" t="n">
        <v>0</v>
      </c>
      <c r="N625" s="10" t="n">
        <v>0</v>
      </c>
      <c r="O625" s="10" t="n">
        <v>0</v>
      </c>
      <c r="P625" s="10" t="n">
        <v>41699</v>
      </c>
      <c r="Q625" s="11"/>
      <c r="R625" s="11"/>
      <c r="S625" s="19"/>
      <c r="T625" s="11"/>
      <c r="U625" s="21"/>
      <c r="V625" s="15"/>
      <c r="W625" s="8"/>
      <c r="X625" s="8"/>
      <c r="Y625" s="8"/>
      <c r="Z625" s="8"/>
      <c r="AA625" s="8"/>
      <c r="AB625" s="8"/>
      <c r="AC625" s="8"/>
    </row>
    <row r="626" customFormat="false" ht="15.75" hidden="false" customHeight="true" outlineLevel="0" collapsed="false">
      <c r="A626" s="9" t="n">
        <v>46305</v>
      </c>
      <c r="B626" s="11" t="s">
        <v>22</v>
      </c>
      <c r="C626" s="11" t="s">
        <v>23</v>
      </c>
      <c r="D626" s="11" t="s">
        <v>420</v>
      </c>
      <c r="E626" s="11" t="str">
        <f aca="false" t="array" ref="E626:E626">IF(D626="","",IFERROR(INDEX('CLM &amp; IM Mapping'!$B$2:$B$270,MATCH(TRIM(D626),'CLM &amp; IM Mapping'!$A$2:$A$270,0)),"Not Mapped"))</f>
        <v>Ravishankar gowda</v>
      </c>
      <c r="F626" s="11" t="str">
        <f aca="false" t="array" ref="F626:F626">IF(D626="","",IFERROR(INDEX('CLM &amp; IM Mapping'!$C$2:$C$270,MATCH(TRIM(D626),'CLM &amp; IM Mapping'!$A$2:$A$270,0)),"Not Mapped"))</f>
        <v>Kishor K</v>
      </c>
      <c r="G626" s="11" t="s">
        <v>34</v>
      </c>
      <c r="H626" s="10" t="n">
        <v>-19955</v>
      </c>
      <c r="I626" s="10" t="n">
        <v>2699</v>
      </c>
      <c r="J626" s="10" t="n">
        <v>0</v>
      </c>
      <c r="K626" s="10" t="n">
        <v>0</v>
      </c>
      <c r="L626" s="10" t="n">
        <v>161</v>
      </c>
      <c r="M626" s="10" t="n">
        <v>0</v>
      </c>
      <c r="N626" s="10" t="n">
        <v>0</v>
      </c>
      <c r="O626" s="10" t="n">
        <v>0</v>
      </c>
      <c r="P626" s="10" t="n">
        <v>-17095</v>
      </c>
      <c r="Q626" s="11"/>
      <c r="R626" s="11"/>
      <c r="S626" s="19"/>
      <c r="T626" s="11"/>
      <c r="U626" s="21"/>
      <c r="V626" s="15"/>
      <c r="W626" s="8"/>
      <c r="X626" s="8"/>
      <c r="Y626" s="8"/>
      <c r="Z626" s="8"/>
      <c r="AA626" s="8"/>
      <c r="AB626" s="8"/>
      <c r="AC626" s="8"/>
    </row>
    <row r="627" customFormat="false" ht="15.75" hidden="false" customHeight="true" outlineLevel="0" collapsed="false">
      <c r="A627" s="9" t="n">
        <v>46305</v>
      </c>
      <c r="B627" s="11" t="s">
        <v>22</v>
      </c>
      <c r="C627" s="11" t="s">
        <v>23</v>
      </c>
      <c r="D627" s="11" t="s">
        <v>408</v>
      </c>
      <c r="E627" s="11" t="str">
        <f aca="false" t="array" ref="E627:E627">IF(D627="","",IFERROR(INDEX('CLM &amp; IM Mapping'!$B$2:$B$270,MATCH(TRIM(D627),'CLM &amp; IM Mapping'!$A$2:$A$270,0)),"Not Mapped"))</f>
        <v>Ravishankar gowda</v>
      </c>
      <c r="F627" s="11" t="str">
        <f aca="false" t="array" ref="F627:F627">IF(D627="","",IFERROR(INDEX('CLM &amp; IM Mapping'!$C$2:$C$270,MATCH(TRIM(D627),'CLM &amp; IM Mapping'!$A$2:$A$270,0)),"Not Mapped"))</f>
        <v>Kishor K</v>
      </c>
      <c r="G627" s="11" t="s">
        <v>34</v>
      </c>
      <c r="H627" s="10" t="n">
        <v>-6439</v>
      </c>
      <c r="I627" s="10" t="n">
        <v>7458</v>
      </c>
      <c r="J627" s="10" t="n">
        <v>0</v>
      </c>
      <c r="K627" s="10" t="n">
        <v>0</v>
      </c>
      <c r="L627" s="10" t="n">
        <v>0</v>
      </c>
      <c r="M627" s="10" t="n">
        <v>0</v>
      </c>
      <c r="N627" s="10" t="n">
        <v>0</v>
      </c>
      <c r="O627" s="10" t="n">
        <v>0</v>
      </c>
      <c r="P627" s="10" t="n">
        <v>1018</v>
      </c>
      <c r="Q627" s="11"/>
      <c r="R627" s="11"/>
      <c r="S627" s="19"/>
      <c r="T627" s="11"/>
      <c r="U627" s="21"/>
      <c r="V627" s="15"/>
      <c r="W627" s="8"/>
      <c r="X627" s="8"/>
      <c r="Y627" s="8"/>
      <c r="Z627" s="8"/>
      <c r="AA627" s="8"/>
      <c r="AB627" s="8"/>
      <c r="AC627" s="8"/>
    </row>
    <row r="628" customFormat="false" ht="15.75" hidden="false" customHeight="true" outlineLevel="0" collapsed="false">
      <c r="A628" s="9" t="n">
        <v>46305</v>
      </c>
      <c r="B628" s="11" t="s">
        <v>22</v>
      </c>
      <c r="C628" s="11" t="s">
        <v>303</v>
      </c>
      <c r="D628" s="11" t="s">
        <v>447</v>
      </c>
      <c r="E628" s="11" t="str">
        <f aca="false" t="array" ref="E628:E628">IF(D628="","",IFERROR(INDEX('CLM &amp; IM Mapping'!$B$2:$B$270,MATCH(TRIM(D628),'CLM &amp; IM Mapping'!$A$2:$A$270,0)),"Not Mapped"))</f>
        <v>John Britto</v>
      </c>
      <c r="F628" s="11" t="str">
        <f aca="false" t="array" ref="F628:F628">IF(D628="","",IFERROR(INDEX('CLM &amp; IM Mapping'!$C$2:$C$270,MATCH(TRIM(D628),'CLM &amp; IM Mapping'!$A$2:$A$270,0)),"Not Mapped"))</f>
        <v>Aravind S</v>
      </c>
      <c r="G628" s="11" t="s">
        <v>34</v>
      </c>
      <c r="H628" s="10" t="n">
        <v>-8144</v>
      </c>
      <c r="I628" s="10" t="n">
        <v>0</v>
      </c>
      <c r="J628" s="10" t="n">
        <v>0</v>
      </c>
      <c r="K628" s="10" t="n">
        <v>0</v>
      </c>
      <c r="L628" s="10" t="n">
        <v>0</v>
      </c>
      <c r="M628" s="10" t="n">
        <v>0</v>
      </c>
      <c r="N628" s="10" t="n">
        <v>0</v>
      </c>
      <c r="O628" s="10" t="n">
        <v>0</v>
      </c>
      <c r="P628" s="10" t="n">
        <v>-8144</v>
      </c>
      <c r="Q628" s="11"/>
      <c r="R628" s="11"/>
      <c r="S628" s="19"/>
      <c r="T628" s="11"/>
      <c r="U628" s="21"/>
      <c r="V628" s="15"/>
      <c r="W628" s="8"/>
      <c r="X628" s="8"/>
      <c r="Y628" s="8"/>
      <c r="Z628" s="8"/>
      <c r="AA628" s="8"/>
      <c r="AB628" s="8"/>
      <c r="AC628" s="8"/>
    </row>
    <row r="629" customFormat="false" ht="15.75" hidden="false" customHeight="true" outlineLevel="0" collapsed="false">
      <c r="A629" s="9" t="n">
        <v>46305</v>
      </c>
      <c r="B629" s="11" t="s">
        <v>22</v>
      </c>
      <c r="C629" s="11" t="s">
        <v>276</v>
      </c>
      <c r="D629" s="11" t="s">
        <v>503</v>
      </c>
      <c r="E629" s="11" t="str">
        <f aca="false" t="array" ref="E629:E629">IF(D629="","",IFERROR(INDEX('CLM &amp; IM Mapping'!$B$2:$B$270,MATCH(TRIM(D629),'CLM &amp; IM Mapping'!$A$2:$A$270,0)),"Not Mapped"))</f>
        <v>Santhosha M</v>
      </c>
      <c r="F629" s="11" t="str">
        <f aca="false" t="array" ref="F629:F629">IF(D629="","",IFERROR(INDEX('CLM &amp; IM Mapping'!$C$2:$C$270,MATCH(TRIM(D629),'CLM &amp; IM Mapping'!$A$2:$A$270,0)),"Not Mapped"))</f>
        <v>Aravind S</v>
      </c>
      <c r="G629" s="11" t="s">
        <v>34</v>
      </c>
      <c r="H629" s="10" t="n">
        <v>-15973</v>
      </c>
      <c r="I629" s="10" t="n">
        <v>91</v>
      </c>
      <c r="J629" s="10" t="n">
        <v>0</v>
      </c>
      <c r="K629" s="10" t="n">
        <v>0</v>
      </c>
      <c r="L629" s="10" t="n">
        <v>63</v>
      </c>
      <c r="M629" s="10" t="n">
        <v>0</v>
      </c>
      <c r="N629" s="10" t="n">
        <v>0</v>
      </c>
      <c r="O629" s="10" t="n">
        <v>0</v>
      </c>
      <c r="P629" s="10" t="n">
        <v>-15820</v>
      </c>
      <c r="Q629" s="11"/>
      <c r="R629" s="11"/>
      <c r="S629" s="19"/>
      <c r="T629" s="11"/>
      <c r="U629" s="21"/>
      <c r="V629" s="15"/>
      <c r="W629" s="8"/>
      <c r="X629" s="8"/>
      <c r="Y629" s="8"/>
      <c r="Z629" s="8"/>
      <c r="AA629" s="8"/>
      <c r="AB629" s="8"/>
      <c r="AC629" s="8"/>
    </row>
    <row r="630" customFormat="false" ht="15.75" hidden="false" customHeight="true" outlineLevel="0" collapsed="false">
      <c r="A630" s="9" t="n">
        <v>46305</v>
      </c>
      <c r="B630" s="11" t="s">
        <v>22</v>
      </c>
      <c r="C630" s="11" t="s">
        <v>23</v>
      </c>
      <c r="D630" s="11" t="s">
        <v>123</v>
      </c>
      <c r="E630" s="11" t="str">
        <f aca="false" t="array" ref="E630:E630">IF(D630="","",IFERROR(INDEX('CLM &amp; IM Mapping'!$B$2:$B$270,MATCH(TRIM(D630),'CLM &amp; IM Mapping'!$A$2:$A$270,0)),"Not Mapped"))</f>
        <v>Silambarasan E</v>
      </c>
      <c r="F630" s="11" t="str">
        <f aca="false" t="array" ref="F630:F630">IF(D630="","",IFERROR(INDEX('CLM &amp; IM Mapping'!$C$2:$C$270,MATCH(TRIM(D630),'CLM &amp; IM Mapping'!$A$2:$A$270,0)),"Not Mapped"))</f>
        <v>Arivind S</v>
      </c>
      <c r="G630" s="11" t="s">
        <v>34</v>
      </c>
      <c r="H630" s="10" t="n">
        <v>-11811</v>
      </c>
      <c r="I630" s="10" t="n">
        <v>18520</v>
      </c>
      <c r="J630" s="10" t="n">
        <v>415</v>
      </c>
      <c r="K630" s="10" t="n">
        <v>2532</v>
      </c>
      <c r="L630" s="10" t="n">
        <v>2718</v>
      </c>
      <c r="M630" s="10" t="n">
        <v>0</v>
      </c>
      <c r="N630" s="10" t="n">
        <v>2031</v>
      </c>
      <c r="O630" s="10" t="n">
        <v>9909</v>
      </c>
      <c r="P630" s="10" t="n">
        <v>24314</v>
      </c>
      <c r="Q630" s="11"/>
      <c r="R630" s="11"/>
      <c r="S630" s="19"/>
      <c r="T630" s="11"/>
      <c r="U630" s="21"/>
      <c r="V630" s="15"/>
      <c r="W630" s="8"/>
      <c r="X630" s="8"/>
      <c r="Y630" s="8"/>
      <c r="Z630" s="8"/>
      <c r="AA630" s="8"/>
      <c r="AB630" s="8"/>
      <c r="AC630" s="8"/>
    </row>
    <row r="631" customFormat="false" ht="15.75" hidden="false" customHeight="true" outlineLevel="0" collapsed="false">
      <c r="A631" s="9" t="n">
        <v>46305</v>
      </c>
      <c r="B631" s="11" t="s">
        <v>22</v>
      </c>
      <c r="C631" s="11" t="s">
        <v>23</v>
      </c>
      <c r="D631" s="11" t="s">
        <v>386</v>
      </c>
      <c r="E631" s="11" t="str">
        <f aca="false" t="array" ref="E631:E631">IF(D631="","",IFERROR(INDEX('CLM &amp; IM Mapping'!$B$2:$B$270,MATCH(TRIM(D631),'CLM &amp; IM Mapping'!$A$2:$A$270,0)),"Not Mapped"))</f>
        <v>Arun Raj</v>
      </c>
      <c r="F631" s="11" t="str">
        <f aca="false" t="array" ref="F631:F631">IF(D631="","",IFERROR(INDEX('CLM &amp; IM Mapping'!$C$2:$C$270,MATCH(TRIM(D631),'CLM &amp; IM Mapping'!$A$2:$A$270,0)),"Not Mapped"))</f>
        <v>Simon Manoharan</v>
      </c>
      <c r="G631" s="11" t="s">
        <v>25</v>
      </c>
      <c r="H631" s="10" t="n">
        <v>-5445</v>
      </c>
      <c r="I631" s="10" t="n">
        <v>1641</v>
      </c>
      <c r="J631" s="10" t="n">
        <v>0</v>
      </c>
      <c r="K631" s="10" t="n">
        <v>69</v>
      </c>
      <c r="L631" s="10" t="n">
        <v>1000</v>
      </c>
      <c r="M631" s="10" t="n">
        <v>0</v>
      </c>
      <c r="N631" s="10" t="n">
        <v>0</v>
      </c>
      <c r="O631" s="10" t="n">
        <v>0</v>
      </c>
      <c r="P631" s="10" t="n">
        <v>-2736</v>
      </c>
      <c r="Q631" s="11"/>
      <c r="R631" s="11"/>
      <c r="S631" s="19"/>
      <c r="T631" s="11"/>
      <c r="U631" s="21"/>
      <c r="V631" s="15"/>
      <c r="W631" s="8"/>
      <c r="X631" s="8"/>
      <c r="Y631" s="8"/>
      <c r="Z631" s="8"/>
      <c r="AA631" s="8"/>
      <c r="AB631" s="8"/>
      <c r="AC631" s="8"/>
    </row>
    <row r="632" customFormat="false" ht="15.75" hidden="false" customHeight="true" outlineLevel="0" collapsed="false">
      <c r="A632" s="9" t="n">
        <v>46305</v>
      </c>
      <c r="B632" s="11" t="s">
        <v>22</v>
      </c>
      <c r="C632" s="11" t="s">
        <v>23</v>
      </c>
      <c r="D632" s="11" t="s">
        <v>271</v>
      </c>
      <c r="E632" s="11" t="str">
        <f aca="false" t="array" ref="E632:E632">IF(D632="","",IFERROR(INDEX('CLM &amp; IM Mapping'!$B$2:$B$270,MATCH(TRIM(D632),'CLM &amp; IM Mapping'!$A$2:$A$270,0)),"Not Mapped"))</f>
        <v>Rizwan Ahmed</v>
      </c>
      <c r="F632" s="11" t="str">
        <f aca="false" t="array" ref="F632:F632">IF(D632="","",IFERROR(INDEX('CLM &amp; IM Mapping'!$C$2:$C$270,MATCH(TRIM(D632),'CLM &amp; IM Mapping'!$A$2:$A$270,0)),"Not Mapped"))</f>
        <v>Prakash BS</v>
      </c>
      <c r="G632" s="11" t="s">
        <v>34</v>
      </c>
      <c r="H632" s="10" t="n">
        <v>-15970</v>
      </c>
      <c r="I632" s="10" t="n">
        <v>13390</v>
      </c>
      <c r="J632" s="10" t="n">
        <v>0</v>
      </c>
      <c r="K632" s="10" t="n">
        <v>9949</v>
      </c>
      <c r="L632" s="10" t="n">
        <v>6531</v>
      </c>
      <c r="M632" s="10" t="n">
        <v>0</v>
      </c>
      <c r="N632" s="10" t="n">
        <v>0</v>
      </c>
      <c r="O632" s="10" t="n">
        <v>3555</v>
      </c>
      <c r="P632" s="10" t="n">
        <v>17455</v>
      </c>
      <c r="Q632" s="11"/>
      <c r="R632" s="11"/>
      <c r="S632" s="19"/>
      <c r="T632" s="11"/>
      <c r="U632" s="21"/>
      <c r="V632" s="15"/>
      <c r="W632" s="8"/>
      <c r="X632" s="8"/>
      <c r="Y632" s="8"/>
      <c r="Z632" s="8"/>
      <c r="AA632" s="8"/>
      <c r="AB632" s="8"/>
      <c r="AC632" s="8"/>
    </row>
    <row r="633" customFormat="false" ht="15.75" hidden="false" customHeight="true" outlineLevel="0" collapsed="false">
      <c r="A633" s="9" t="n">
        <v>46305</v>
      </c>
      <c r="B633" s="11" t="s">
        <v>22</v>
      </c>
      <c r="C633" s="11" t="s">
        <v>23</v>
      </c>
      <c r="D633" s="11" t="s">
        <v>118</v>
      </c>
      <c r="E633" s="11" t="str">
        <f aca="false" t="array" ref="E633:E633">IF(D633="","",IFERROR(INDEX('CLM &amp; IM Mapping'!$B$2:$B$270,MATCH(TRIM(D633),'CLM &amp; IM Mapping'!$A$2:$A$270,0)),"Not Mapped"))</f>
        <v>Adhavan Subramani</v>
      </c>
      <c r="F633" s="11" t="str">
        <f aca="false" t="array" ref="F633:F633">IF(D633="","",IFERROR(INDEX('CLM &amp; IM Mapping'!$C$2:$C$270,MATCH(TRIM(D633),'CLM &amp; IM Mapping'!$A$2:$A$270,0)),"Not Mapped"))</f>
        <v>Mohammed Akbar</v>
      </c>
      <c r="G633" s="11" t="s">
        <v>34</v>
      </c>
      <c r="H633" s="10" t="n">
        <v>22517</v>
      </c>
      <c r="I633" s="10" t="n">
        <v>7662</v>
      </c>
      <c r="J633" s="10" t="n">
        <v>0</v>
      </c>
      <c r="K633" s="10" t="n">
        <v>3969</v>
      </c>
      <c r="L633" s="10" t="n">
        <v>1242</v>
      </c>
      <c r="M633" s="10" t="n">
        <v>0</v>
      </c>
      <c r="N633" s="10" t="n">
        <v>0</v>
      </c>
      <c r="O633" s="10" t="n">
        <v>0</v>
      </c>
      <c r="P633" s="10" t="n">
        <v>35391</v>
      </c>
      <c r="Q633" s="11"/>
      <c r="R633" s="11"/>
      <c r="S633" s="19"/>
      <c r="T633" s="11"/>
      <c r="U633" s="21"/>
      <c r="V633" s="15"/>
      <c r="W633" s="8"/>
      <c r="X633" s="8"/>
      <c r="Y633" s="8"/>
      <c r="Z633" s="8"/>
      <c r="AA633" s="8"/>
      <c r="AB633" s="8"/>
      <c r="AC633" s="8"/>
    </row>
    <row r="634" customFormat="false" ht="15.75" hidden="false" customHeight="true" outlineLevel="0" collapsed="false">
      <c r="A634" s="9" t="n">
        <v>46305</v>
      </c>
      <c r="B634" s="11" t="s">
        <v>22</v>
      </c>
      <c r="C634" s="11" t="s">
        <v>23</v>
      </c>
      <c r="D634" s="11" t="s">
        <v>443</v>
      </c>
      <c r="E634" s="11" t="str">
        <f aca="false" t="array" ref="E634:E634">IF(D634="","",IFERROR(INDEX('CLM &amp; IM Mapping'!$B$2:$B$270,MATCH(TRIM(D634),'CLM &amp; IM Mapping'!$A$2:$A$270,0)),"Not Mapped"))</f>
        <v>Manoj Kj</v>
      </c>
      <c r="F634" s="11" t="str">
        <f aca="false" t="array" ref="F634:F634">IF(D634="","",IFERROR(INDEX('CLM &amp; IM Mapping'!$C$2:$C$270,MATCH(TRIM(D634),'CLM &amp; IM Mapping'!$A$2:$A$270,0)),"Not Mapped"))</f>
        <v>Srittam Dhal</v>
      </c>
      <c r="G634" s="11" t="s">
        <v>34</v>
      </c>
      <c r="H634" s="10" t="n">
        <v>-9023</v>
      </c>
      <c r="I634" s="10" t="n">
        <v>5420</v>
      </c>
      <c r="J634" s="10" t="n">
        <v>0</v>
      </c>
      <c r="K634" s="10" t="n">
        <v>0</v>
      </c>
      <c r="L634" s="10" t="n">
        <v>0</v>
      </c>
      <c r="M634" s="10" t="n">
        <v>0</v>
      </c>
      <c r="N634" s="10" t="n">
        <v>0</v>
      </c>
      <c r="O634" s="10" t="n">
        <v>0</v>
      </c>
      <c r="P634" s="10" t="n">
        <v>-3603</v>
      </c>
      <c r="Q634" s="11"/>
      <c r="R634" s="11"/>
      <c r="S634" s="19"/>
      <c r="T634" s="11"/>
      <c r="U634" s="21"/>
      <c r="V634" s="15"/>
      <c r="W634" s="8"/>
      <c r="X634" s="8"/>
      <c r="Y634" s="8"/>
      <c r="Z634" s="8"/>
      <c r="AA634" s="8"/>
      <c r="AB634" s="8"/>
      <c r="AC634" s="8"/>
    </row>
    <row r="635" customFormat="false" ht="15.75" hidden="false" customHeight="true" outlineLevel="0" collapsed="false">
      <c r="A635" s="9" t="n">
        <v>46305</v>
      </c>
      <c r="B635" s="11" t="s">
        <v>22</v>
      </c>
      <c r="C635" s="11" t="s">
        <v>23</v>
      </c>
      <c r="D635" s="11" t="s">
        <v>198</v>
      </c>
      <c r="E635" s="11" t="str">
        <f aca="false" t="array" ref="E635:E635">IF(D635="","",IFERROR(INDEX('CLM &amp; IM Mapping'!$B$2:$B$270,MATCH(TRIM(D635),'CLM &amp; IM Mapping'!$A$2:$A$270,0)),"Not Mapped"))</f>
        <v>Manjunatha V</v>
      </c>
      <c r="F635" s="11" t="str">
        <f aca="false" t="array" ref="F635:F635">IF(D635="","",IFERROR(INDEX('CLM &amp; IM Mapping'!$C$2:$C$270,MATCH(TRIM(D635),'CLM &amp; IM Mapping'!$A$2:$A$270,0)),"Not Mapped"))</f>
        <v>Un Mapped</v>
      </c>
      <c r="G635" s="11" t="s">
        <v>34</v>
      </c>
      <c r="H635" s="10" t="n">
        <v>-37225</v>
      </c>
      <c r="I635" s="10" t="n">
        <v>21305</v>
      </c>
      <c r="J635" s="10" t="n">
        <v>183</v>
      </c>
      <c r="K635" s="10" t="n">
        <v>31435</v>
      </c>
      <c r="L635" s="10" t="n">
        <v>1454</v>
      </c>
      <c r="M635" s="10" t="n">
        <v>0</v>
      </c>
      <c r="N635" s="10" t="n">
        <v>0</v>
      </c>
      <c r="O635" s="10" t="n">
        <v>0</v>
      </c>
      <c r="P635" s="10" t="n">
        <v>17152</v>
      </c>
      <c r="Q635" s="11"/>
      <c r="R635" s="11"/>
      <c r="S635" s="19"/>
      <c r="T635" s="11"/>
      <c r="U635" s="21"/>
      <c r="V635" s="15"/>
      <c r="W635" s="8"/>
      <c r="X635" s="8"/>
      <c r="Y635" s="8"/>
      <c r="Z635" s="8"/>
      <c r="AA635" s="8"/>
      <c r="AB635" s="8"/>
      <c r="AC635" s="8"/>
    </row>
    <row r="636" customFormat="false" ht="15.75" hidden="false" customHeight="true" outlineLevel="0" collapsed="false">
      <c r="A636" s="9" t="n">
        <v>46305</v>
      </c>
      <c r="B636" s="11" t="s">
        <v>22</v>
      </c>
      <c r="C636" s="11" t="s">
        <v>23</v>
      </c>
      <c r="D636" s="11" t="s">
        <v>410</v>
      </c>
      <c r="E636" s="11" t="str">
        <f aca="false" t="array" ref="E636:E636">IF(D636="","",IFERROR(INDEX('CLM &amp; IM Mapping'!$B$2:$B$270,MATCH(TRIM(D636),'CLM &amp; IM Mapping'!$A$2:$A$270,0)),"Not Mapped"))</f>
        <v>Akshay P</v>
      </c>
      <c r="F636" s="11" t="str">
        <f aca="false" t="array" ref="F636:F636">IF(D636="","",IFERROR(INDEX('CLM &amp; IM Mapping'!$C$2:$C$270,MATCH(TRIM(D636),'CLM &amp; IM Mapping'!$A$2:$A$270,0)),"Not Mapped"))</f>
        <v>Srittam Dhal</v>
      </c>
      <c r="G636" s="11" t="s">
        <v>34</v>
      </c>
      <c r="H636" s="10" t="n">
        <v>-10060</v>
      </c>
      <c r="I636" s="10" t="n">
        <v>47</v>
      </c>
      <c r="J636" s="10" t="n">
        <v>0</v>
      </c>
      <c r="K636" s="10" t="n">
        <v>0</v>
      </c>
      <c r="L636" s="10" t="n">
        <v>127</v>
      </c>
      <c r="M636" s="10" t="n">
        <v>0</v>
      </c>
      <c r="N636" s="10" t="n">
        <v>0</v>
      </c>
      <c r="O636" s="10" t="n">
        <v>0</v>
      </c>
      <c r="P636" s="10" t="n">
        <v>-9885</v>
      </c>
      <c r="Q636" s="11"/>
      <c r="R636" s="11"/>
      <c r="S636" s="19"/>
      <c r="T636" s="11"/>
      <c r="U636" s="21"/>
      <c r="V636" s="15"/>
      <c r="W636" s="8"/>
      <c r="X636" s="8"/>
      <c r="Y636" s="8"/>
      <c r="Z636" s="8"/>
      <c r="AA636" s="8"/>
      <c r="AB636" s="8"/>
      <c r="AC636" s="8"/>
    </row>
    <row r="637" customFormat="false" ht="15.75" hidden="false" customHeight="true" outlineLevel="0" collapsed="false">
      <c r="A637" s="9" t="n">
        <v>46305</v>
      </c>
      <c r="B637" s="11" t="s">
        <v>22</v>
      </c>
      <c r="C637" s="11" t="s">
        <v>221</v>
      </c>
      <c r="D637" s="11" t="s">
        <v>470</v>
      </c>
      <c r="E637" s="11" t="str">
        <f aca="false" t="array" ref="E637:E637">IF(D637="","",IFERROR(INDEX('CLM &amp; IM Mapping'!$B$2:$B$270,MATCH(TRIM(D637),'CLM &amp; IM Mapping'!$A$2:$A$270,0)),"Not Mapped"))</f>
        <v>Vishnu V</v>
      </c>
      <c r="F637" s="11" t="str">
        <f aca="false" t="array" ref="F637:F637">IF(D637="","",IFERROR(INDEX('CLM &amp; IM Mapping'!$C$2:$C$270,MATCH(TRIM(D637),'CLM &amp; IM Mapping'!$A$2:$A$270,0)),"Not Mapped"))</f>
        <v>Arivind S</v>
      </c>
      <c r="G637" s="11" t="s">
        <v>34</v>
      </c>
      <c r="H637" s="10" t="n">
        <v>-12687</v>
      </c>
      <c r="I637" s="10" t="n">
        <v>1490</v>
      </c>
      <c r="J637" s="10" t="n">
        <v>0</v>
      </c>
      <c r="K637" s="10" t="n">
        <v>0</v>
      </c>
      <c r="L637" s="10" t="n">
        <v>265</v>
      </c>
      <c r="M637" s="10" t="n">
        <v>0</v>
      </c>
      <c r="N637" s="10" t="n">
        <v>0</v>
      </c>
      <c r="O637" s="10" t="n">
        <v>0</v>
      </c>
      <c r="P637" s="10" t="n">
        <v>-10932</v>
      </c>
      <c r="Q637" s="11"/>
      <c r="R637" s="11"/>
      <c r="S637" s="19"/>
      <c r="T637" s="11"/>
      <c r="U637" s="21"/>
      <c r="V637" s="15"/>
      <c r="W637" s="8"/>
      <c r="X637" s="8"/>
      <c r="Y637" s="8"/>
      <c r="Z637" s="8"/>
      <c r="AA637" s="8"/>
      <c r="AB637" s="8"/>
      <c r="AC637" s="8"/>
    </row>
    <row r="638" customFormat="false" ht="15.75" hidden="false" customHeight="true" outlineLevel="0" collapsed="false">
      <c r="A638" s="9" t="n">
        <v>46305</v>
      </c>
      <c r="B638" s="11" t="s">
        <v>22</v>
      </c>
      <c r="C638" s="11" t="s">
        <v>23</v>
      </c>
      <c r="D638" s="11" t="s">
        <v>527</v>
      </c>
      <c r="E638" s="11" t="str">
        <f aca="false" t="array" ref="E638:E638">IF(D638="","",IFERROR(INDEX('CLM &amp; IM Mapping'!$B$2:$B$270,MATCH(TRIM(D638),'CLM &amp; IM Mapping'!$A$2:$A$270,0)),"Not Mapped"))</f>
        <v>Suhas N</v>
      </c>
      <c r="F638" s="11" t="str">
        <f aca="false" t="array" ref="F638:F638">IF(D638="","",IFERROR(INDEX('CLM &amp; IM Mapping'!$C$2:$C$270,MATCH(TRIM(D638),'CLM &amp; IM Mapping'!$A$2:$A$270,0)),"Not Mapped"))</f>
        <v>Aravind S</v>
      </c>
      <c r="G638" s="11" t="s">
        <v>34</v>
      </c>
      <c r="H638" s="10" t="n">
        <v>-36129</v>
      </c>
      <c r="I638" s="10" t="n">
        <v>1591</v>
      </c>
      <c r="J638" s="10" t="n">
        <v>0</v>
      </c>
      <c r="K638" s="10" t="n">
        <v>245</v>
      </c>
      <c r="L638" s="10" t="n">
        <v>311</v>
      </c>
      <c r="M638" s="10" t="n">
        <v>0</v>
      </c>
      <c r="N638" s="10" t="n">
        <v>0</v>
      </c>
      <c r="O638" s="10" t="n">
        <v>0</v>
      </c>
      <c r="P638" s="10" t="n">
        <v>-33983</v>
      </c>
      <c r="Q638" s="11"/>
      <c r="R638" s="11"/>
      <c r="S638" s="19"/>
      <c r="T638" s="11"/>
      <c r="U638" s="21"/>
      <c r="V638" s="15"/>
      <c r="W638" s="8"/>
      <c r="X638" s="8"/>
      <c r="Y638" s="8"/>
      <c r="Z638" s="8"/>
      <c r="AA638" s="8"/>
      <c r="AB638" s="8"/>
      <c r="AC638" s="8"/>
    </row>
    <row r="639" customFormat="false" ht="15.75" hidden="false" customHeight="true" outlineLevel="0" collapsed="false">
      <c r="A639" s="9" t="n">
        <v>46305</v>
      </c>
      <c r="B639" s="11" t="s">
        <v>22</v>
      </c>
      <c r="C639" s="11" t="s">
        <v>303</v>
      </c>
      <c r="D639" s="11" t="s">
        <v>304</v>
      </c>
      <c r="E639" s="11" t="str">
        <f aca="false" t="array" ref="E639:E639">IF(D639="","",IFERROR(INDEX('CLM &amp; IM Mapping'!$B$2:$B$270,MATCH(TRIM(D639),'CLM &amp; IM Mapping'!$A$2:$A$270,0)),"Not Mapped"))</f>
        <v>John Britto</v>
      </c>
      <c r="F639" s="11" t="str">
        <f aca="false" t="array" ref="F639:F639">IF(D639="","",IFERROR(INDEX('CLM &amp; IM Mapping'!$C$2:$C$270,MATCH(TRIM(D639),'CLM &amp; IM Mapping'!$A$2:$A$270,0)),"Not Mapped"))</f>
        <v>Aravind S</v>
      </c>
      <c r="G639" s="11" t="s">
        <v>34</v>
      </c>
      <c r="H639" s="10" t="n">
        <v>-1934</v>
      </c>
      <c r="I639" s="10" t="n">
        <v>487</v>
      </c>
      <c r="J639" s="10" t="n">
        <v>0</v>
      </c>
      <c r="K639" s="10" t="n">
        <v>320</v>
      </c>
      <c r="L639" s="10" t="n">
        <v>1148</v>
      </c>
      <c r="M639" s="10" t="n">
        <v>0</v>
      </c>
      <c r="N639" s="10" t="n">
        <v>0</v>
      </c>
      <c r="O639" s="10" t="n">
        <v>0</v>
      </c>
      <c r="P639" s="10" t="n">
        <v>21</v>
      </c>
      <c r="Q639" s="11"/>
      <c r="R639" s="11"/>
      <c r="S639" s="19"/>
      <c r="T639" s="11"/>
      <c r="U639" s="21"/>
      <c r="V639" s="15"/>
      <c r="W639" s="8"/>
      <c r="X639" s="8"/>
      <c r="Y639" s="8"/>
      <c r="Z639" s="8"/>
      <c r="AA639" s="8"/>
      <c r="AB639" s="8"/>
      <c r="AC639" s="8"/>
    </row>
    <row r="640" customFormat="false" ht="15.75" hidden="false" customHeight="true" outlineLevel="0" collapsed="false">
      <c r="A640" s="9" t="n">
        <v>46305</v>
      </c>
      <c r="B640" s="11" t="s">
        <v>22</v>
      </c>
      <c r="C640" s="11" t="s">
        <v>177</v>
      </c>
      <c r="D640" s="11" t="s">
        <v>178</v>
      </c>
      <c r="E640" s="11" t="str">
        <f aca="false" t="array" ref="E640:E640">IF(D640="","",IFERROR(INDEX('CLM &amp; IM Mapping'!$B$2:$B$270,MATCH(TRIM(D640),'CLM &amp; IM Mapping'!$A$2:$A$270,0)),"Not Mapped"))</f>
        <v>Balaji G</v>
      </c>
      <c r="F640" s="11" t="str">
        <f aca="false" t="array" ref="F640:F640">IF(D640="","",IFERROR(INDEX('CLM &amp; IM Mapping'!$C$2:$C$270,MATCH(TRIM(D640),'CLM &amp; IM Mapping'!$A$2:$A$270,0)),"Not Mapped"))</f>
        <v>Mohammed Akbar</v>
      </c>
      <c r="G640" s="11" t="s">
        <v>34</v>
      </c>
      <c r="H640" s="10" t="n">
        <v>-1574</v>
      </c>
      <c r="I640" s="10" t="n">
        <v>35479</v>
      </c>
      <c r="J640" s="10" t="n">
        <v>0</v>
      </c>
      <c r="K640" s="10" t="n">
        <v>0</v>
      </c>
      <c r="L640" s="10" t="n">
        <v>799</v>
      </c>
      <c r="M640" s="10" t="n">
        <v>0</v>
      </c>
      <c r="N640" s="10" t="n">
        <v>0</v>
      </c>
      <c r="O640" s="10" t="n">
        <v>0</v>
      </c>
      <c r="P640" s="10" t="n">
        <v>34704</v>
      </c>
      <c r="Q640" s="11"/>
      <c r="R640" s="11"/>
      <c r="S640" s="19"/>
      <c r="T640" s="11"/>
      <c r="U640" s="21"/>
      <c r="V640" s="15"/>
      <c r="W640" s="8"/>
      <c r="X640" s="8"/>
      <c r="Y640" s="8"/>
      <c r="Z640" s="8"/>
      <c r="AA640" s="8"/>
      <c r="AB640" s="8"/>
      <c r="AC640" s="8"/>
    </row>
    <row r="641" customFormat="false" ht="15.75" hidden="false" customHeight="true" outlineLevel="0" collapsed="false">
      <c r="A641" s="9" t="n">
        <v>46305</v>
      </c>
      <c r="B641" s="11" t="s">
        <v>22</v>
      </c>
      <c r="C641" s="11" t="s">
        <v>23</v>
      </c>
      <c r="D641" s="11" t="s">
        <v>281</v>
      </c>
      <c r="E641" s="11" t="str">
        <f aca="false" t="array" ref="E641:E641">IF(D641="","",IFERROR(INDEX('CLM &amp; IM Mapping'!$B$2:$B$270,MATCH(TRIM(D641),'CLM &amp; IM Mapping'!$A$2:$A$270,0)),"Not Mapped"))</f>
        <v>Balaji G</v>
      </c>
      <c r="F641" s="11" t="str">
        <f aca="false" t="array" ref="F641:F641">IF(D641="","",IFERROR(INDEX('CLM &amp; IM Mapping'!$C$2:$C$270,MATCH(TRIM(D641),'CLM &amp; IM Mapping'!$A$2:$A$270,0)),"Not Mapped"))</f>
        <v>Mohammed Akbar</v>
      </c>
      <c r="G641" s="11" t="s">
        <v>34</v>
      </c>
      <c r="H641" s="10" t="n">
        <v>10563</v>
      </c>
      <c r="I641" s="10" t="n">
        <v>4350</v>
      </c>
      <c r="J641" s="10" t="n">
        <v>0</v>
      </c>
      <c r="K641" s="10" t="n">
        <v>0</v>
      </c>
      <c r="L641" s="10" t="n">
        <v>221</v>
      </c>
      <c r="M641" s="10" t="n">
        <v>0</v>
      </c>
      <c r="N641" s="10" t="n">
        <v>0</v>
      </c>
      <c r="O641" s="10" t="n">
        <v>0</v>
      </c>
      <c r="P641" s="10" t="n">
        <v>15134</v>
      </c>
      <c r="Q641" s="11"/>
      <c r="R641" s="11"/>
      <c r="S641" s="19"/>
      <c r="T641" s="11"/>
      <c r="U641" s="21"/>
      <c r="V641" s="15"/>
      <c r="W641" s="8"/>
      <c r="X641" s="8"/>
      <c r="Y641" s="8"/>
      <c r="Z641" s="8"/>
      <c r="AA641" s="8"/>
      <c r="AB641" s="8"/>
      <c r="AC641" s="8"/>
    </row>
    <row r="642" customFormat="false" ht="15.75" hidden="false" customHeight="true" outlineLevel="0" collapsed="false">
      <c r="A642" s="9" t="n">
        <v>46305</v>
      </c>
      <c r="B642" s="11" t="s">
        <v>22</v>
      </c>
      <c r="C642" s="11" t="s">
        <v>23</v>
      </c>
      <c r="D642" s="11" t="s">
        <v>80</v>
      </c>
      <c r="E642" s="11" t="str">
        <f aca="false" t="array" ref="E642:E642">IF(D642="","",IFERROR(INDEX('CLM &amp; IM Mapping'!$B$2:$B$270,MATCH(TRIM(D642),'CLM &amp; IM Mapping'!$A$2:$A$270,0)),"Not Mapped"))</f>
        <v>Sundaresh S</v>
      </c>
      <c r="F642" s="11" t="str">
        <f aca="false" t="array" ref="F642:F642">IF(D642="","",IFERROR(INDEX('CLM &amp; IM Mapping'!$C$2:$C$270,MATCH(TRIM(D642),'CLM &amp; IM Mapping'!$A$2:$A$270,0)),"Not Mapped"))</f>
        <v>Un Mapped</v>
      </c>
      <c r="G642" s="11" t="s">
        <v>34</v>
      </c>
      <c r="H642" s="10" t="n">
        <v>-46742</v>
      </c>
      <c r="I642" s="10" t="n">
        <v>20567</v>
      </c>
      <c r="J642" s="10" t="n">
        <v>0</v>
      </c>
      <c r="K642" s="10" t="n">
        <v>1848</v>
      </c>
      <c r="L642" s="10" t="n">
        <v>2512</v>
      </c>
      <c r="M642" s="10" t="n">
        <v>0</v>
      </c>
      <c r="N642" s="10" t="n">
        <v>17273</v>
      </c>
      <c r="O642" s="10" t="n">
        <v>538</v>
      </c>
      <c r="P642" s="10" t="n">
        <v>-4005</v>
      </c>
      <c r="Q642" s="11"/>
      <c r="R642" s="11"/>
      <c r="S642" s="19"/>
      <c r="T642" s="11"/>
      <c r="U642" s="21"/>
      <c r="V642" s="15"/>
      <c r="W642" s="8"/>
      <c r="X642" s="8"/>
      <c r="Y642" s="8"/>
      <c r="Z642" s="8"/>
      <c r="AA642" s="8"/>
      <c r="AB642" s="8"/>
      <c r="AC642" s="8"/>
    </row>
    <row r="643" customFormat="false" ht="15.75" hidden="false" customHeight="true" outlineLevel="0" collapsed="false">
      <c r="A643" s="9" t="n">
        <v>46305</v>
      </c>
      <c r="B643" s="11" t="s">
        <v>22</v>
      </c>
      <c r="C643" s="11" t="s">
        <v>23</v>
      </c>
      <c r="D643" s="11" t="s">
        <v>333</v>
      </c>
      <c r="E643" s="11" t="str">
        <f aca="false" t="array" ref="E643:E643">IF(D643="","",IFERROR(INDEX('CLM &amp; IM Mapping'!$B$2:$B$270,MATCH(TRIM(D643),'CLM &amp; IM Mapping'!$A$2:$A$270,0)),"Not Mapped"))</f>
        <v>Basil Scariya</v>
      </c>
      <c r="F643" s="11" t="str">
        <f aca="false" t="array" ref="F643:F643">IF(D643="","",IFERROR(INDEX('CLM &amp; IM Mapping'!$C$2:$C$270,MATCH(TRIM(D643),'CLM &amp; IM Mapping'!$A$2:$A$270,0)),"Not Mapped"))</f>
        <v>Prakash BS</v>
      </c>
      <c r="G643" s="11" t="s">
        <v>34</v>
      </c>
      <c r="H643" s="10" t="n">
        <v>-3663</v>
      </c>
      <c r="I643" s="10" t="n">
        <v>12754</v>
      </c>
      <c r="J643" s="10" t="n">
        <v>0</v>
      </c>
      <c r="K643" s="10" t="n">
        <v>98</v>
      </c>
      <c r="L643" s="10" t="n">
        <v>258</v>
      </c>
      <c r="M643" s="10" t="n">
        <v>0</v>
      </c>
      <c r="N643" s="10" t="n">
        <v>0</v>
      </c>
      <c r="O643" s="10" t="n">
        <v>0</v>
      </c>
      <c r="P643" s="10" t="n">
        <v>9447</v>
      </c>
      <c r="Q643" s="11"/>
      <c r="R643" s="11"/>
      <c r="S643" s="19"/>
      <c r="T643" s="11"/>
      <c r="U643" s="21"/>
      <c r="V643" s="15"/>
      <c r="W643" s="8"/>
      <c r="X643" s="8"/>
      <c r="Y643" s="8"/>
      <c r="Z643" s="8"/>
      <c r="AA643" s="8"/>
      <c r="AB643" s="8"/>
      <c r="AC643" s="8"/>
    </row>
    <row r="644" customFormat="false" ht="15.75" hidden="false" customHeight="true" outlineLevel="0" collapsed="false">
      <c r="A644" s="9" t="n">
        <v>46305</v>
      </c>
      <c r="B644" s="11" t="s">
        <v>22</v>
      </c>
      <c r="C644" s="11" t="s">
        <v>276</v>
      </c>
      <c r="D644" s="11" t="s">
        <v>421</v>
      </c>
      <c r="E644" s="11" t="str">
        <f aca="false" t="array" ref="E644:E644">IF(D644="","",IFERROR(INDEX('CLM &amp; IM Mapping'!$B$2:$B$270,MATCH(TRIM(D644),'CLM &amp; IM Mapping'!$A$2:$A$270,0)),"Not Mapped"))</f>
        <v>Santhosha M</v>
      </c>
      <c r="F644" s="11" t="str">
        <f aca="false" t="array" ref="F644:F644">IF(D644="","",IFERROR(INDEX('CLM &amp; IM Mapping'!$C$2:$C$270,MATCH(TRIM(D644),'CLM &amp; IM Mapping'!$A$2:$A$270,0)),"Not Mapped"))</f>
        <v>Aravind S</v>
      </c>
      <c r="G644" s="11" t="s">
        <v>34</v>
      </c>
      <c r="H644" s="10" t="n">
        <v>-7547</v>
      </c>
      <c r="I644" s="10" t="n">
        <v>0</v>
      </c>
      <c r="J644" s="10" t="n">
        <v>0</v>
      </c>
      <c r="K644" s="10" t="n">
        <v>0</v>
      </c>
      <c r="L644" s="10" t="n">
        <v>0</v>
      </c>
      <c r="M644" s="10" t="n">
        <v>0</v>
      </c>
      <c r="N644" s="10" t="n">
        <v>0</v>
      </c>
      <c r="O644" s="10" t="n">
        <v>0</v>
      </c>
      <c r="P644" s="10" t="n">
        <v>-7547</v>
      </c>
      <c r="Q644" s="11"/>
      <c r="R644" s="11"/>
      <c r="S644" s="19"/>
      <c r="T644" s="11"/>
      <c r="U644" s="21"/>
      <c r="V644" s="15"/>
      <c r="W644" s="8"/>
      <c r="X644" s="8"/>
      <c r="Y644" s="8"/>
      <c r="Z644" s="8"/>
      <c r="AA644" s="8"/>
      <c r="AB644" s="8"/>
      <c r="AC644" s="8"/>
    </row>
    <row r="645" customFormat="false" ht="15.75" hidden="false" customHeight="true" outlineLevel="0" collapsed="false">
      <c r="A645" s="9" t="n">
        <v>46305</v>
      </c>
      <c r="B645" s="11" t="s">
        <v>22</v>
      </c>
      <c r="C645" s="11" t="s">
        <v>23</v>
      </c>
      <c r="D645" s="11" t="s">
        <v>468</v>
      </c>
      <c r="E645" s="11" t="str">
        <f aca="false" t="array" ref="E645:E645">IF(D645="","",IFERROR(INDEX('CLM &amp; IM Mapping'!$B$2:$B$270,MATCH(TRIM(D645),'CLM &amp; IM Mapping'!$A$2:$A$270,0)),"Not Mapped"))</f>
        <v>Suhas N</v>
      </c>
      <c r="F645" s="11" t="str">
        <f aca="false" t="array" ref="F645:F645">IF(D645="","",IFERROR(INDEX('CLM &amp; IM Mapping'!$C$2:$C$270,MATCH(TRIM(D645),'CLM &amp; IM Mapping'!$A$2:$A$270,0)),"Not Mapped"))</f>
        <v>Aravind S</v>
      </c>
      <c r="G645" s="11" t="s">
        <v>34</v>
      </c>
      <c r="H645" s="10" t="n">
        <v>-24157</v>
      </c>
      <c r="I645" s="10" t="n">
        <v>14063</v>
      </c>
      <c r="J645" s="10" t="n">
        <v>0</v>
      </c>
      <c r="K645" s="10" t="n">
        <v>1148</v>
      </c>
      <c r="L645" s="10" t="n">
        <v>1243</v>
      </c>
      <c r="M645" s="10" t="n">
        <v>0</v>
      </c>
      <c r="N645" s="10" t="n">
        <v>1082</v>
      </c>
      <c r="O645" s="10" t="n">
        <v>1092</v>
      </c>
      <c r="P645" s="10" t="n">
        <v>-5528</v>
      </c>
      <c r="Q645" s="11"/>
      <c r="R645" s="11"/>
      <c r="S645" s="19"/>
      <c r="T645" s="11"/>
      <c r="U645" s="21"/>
      <c r="V645" s="15"/>
      <c r="W645" s="8"/>
      <c r="X645" s="8"/>
      <c r="Y645" s="8"/>
      <c r="Z645" s="8"/>
      <c r="AA645" s="8"/>
      <c r="AB645" s="8"/>
      <c r="AC645" s="8"/>
    </row>
    <row r="646" customFormat="false" ht="15.75" hidden="false" customHeight="true" outlineLevel="0" collapsed="false">
      <c r="A646" s="9" t="n">
        <v>46305</v>
      </c>
      <c r="B646" s="11" t="s">
        <v>22</v>
      </c>
      <c r="C646" s="11" t="s">
        <v>23</v>
      </c>
      <c r="D646" s="11" t="s">
        <v>245</v>
      </c>
      <c r="E646" s="11" t="str">
        <f aca="false" t="array" ref="E646:E646">IF(D646="","",IFERROR(INDEX('CLM &amp; IM Mapping'!$B$2:$B$270,MATCH(TRIM(D646),'CLM &amp; IM Mapping'!$A$2:$A$270,0)),"Not Mapped"))</f>
        <v>Adhavan Subramani</v>
      </c>
      <c r="F646" s="11" t="str">
        <f aca="false" t="array" ref="F646:F646">IF(D646="","",IFERROR(INDEX('CLM &amp; IM Mapping'!$C$2:$C$270,MATCH(TRIM(D646),'CLM &amp; IM Mapping'!$A$2:$A$270,0)),"Not Mapped"))</f>
        <v>Mohammed Akbar</v>
      </c>
      <c r="G646" s="11" t="s">
        <v>34</v>
      </c>
      <c r="H646" s="10" t="n">
        <v>-37134</v>
      </c>
      <c r="I646" s="10" t="n">
        <v>21206</v>
      </c>
      <c r="J646" s="10" t="n">
        <v>930</v>
      </c>
      <c r="K646" s="10" t="n">
        <v>443</v>
      </c>
      <c r="L646" s="10" t="n">
        <v>1074</v>
      </c>
      <c r="M646" s="10" t="n">
        <v>0</v>
      </c>
      <c r="N646" s="10" t="n">
        <v>368</v>
      </c>
      <c r="O646" s="10" t="n">
        <v>330</v>
      </c>
      <c r="P646" s="10" t="n">
        <v>-12782</v>
      </c>
      <c r="Q646" s="11"/>
      <c r="R646" s="11"/>
      <c r="S646" s="19"/>
      <c r="T646" s="11"/>
      <c r="U646" s="21"/>
      <c r="V646" s="15"/>
      <c r="W646" s="8"/>
      <c r="X646" s="8"/>
      <c r="Y646" s="8"/>
      <c r="Z646" s="8"/>
      <c r="AA646" s="8"/>
      <c r="AB646" s="8"/>
      <c r="AC646" s="8"/>
    </row>
    <row r="647" customFormat="false" ht="15.75" hidden="false" customHeight="true" outlineLevel="0" collapsed="false">
      <c r="A647" s="9" t="n">
        <v>46305</v>
      </c>
      <c r="B647" s="11" t="s">
        <v>22</v>
      </c>
      <c r="C647" s="11" t="s">
        <v>23</v>
      </c>
      <c r="D647" s="11" t="s">
        <v>191</v>
      </c>
      <c r="E647" s="11" t="str">
        <f aca="false" t="array" ref="E647:E647">IF(D647="","",IFERROR(INDEX('CLM &amp; IM Mapping'!$B$2:$B$270,MATCH(TRIM(D647),'CLM &amp; IM Mapping'!$A$2:$A$270,0)),"Not Mapped"))</f>
        <v>Adhavan Subramani</v>
      </c>
      <c r="F647" s="11" t="str">
        <f aca="false" t="array" ref="F647:F647">IF(D647="","",IFERROR(INDEX('CLM &amp; IM Mapping'!$C$2:$C$270,MATCH(TRIM(D647),'CLM &amp; IM Mapping'!$A$2:$A$270,0)),"Not Mapped"))</f>
        <v>Mohammed Akbar</v>
      </c>
      <c r="G647" s="11" t="s">
        <v>34</v>
      </c>
      <c r="H647" s="10" t="n">
        <v>-9053</v>
      </c>
      <c r="I647" s="10" t="n">
        <v>0</v>
      </c>
      <c r="J647" s="10" t="n">
        <v>0</v>
      </c>
      <c r="K647" s="10" t="n">
        <v>49961</v>
      </c>
      <c r="L647" s="10" t="n">
        <v>0</v>
      </c>
      <c r="M647" s="10" t="n">
        <v>0</v>
      </c>
      <c r="N647" s="10" t="n">
        <v>0</v>
      </c>
      <c r="O647" s="10" t="n">
        <v>0</v>
      </c>
      <c r="P647" s="10" t="n">
        <v>40907</v>
      </c>
      <c r="Q647" s="11"/>
      <c r="R647" s="11"/>
      <c r="S647" s="19"/>
      <c r="T647" s="11"/>
      <c r="U647" s="21"/>
      <c r="V647" s="15"/>
      <c r="W647" s="8"/>
      <c r="X647" s="8"/>
      <c r="Y647" s="8"/>
      <c r="Z647" s="8"/>
      <c r="AA647" s="8"/>
      <c r="AB647" s="8"/>
      <c r="AC647" s="8"/>
    </row>
    <row r="648" customFormat="false" ht="15.75" hidden="false" customHeight="true" outlineLevel="0" collapsed="false">
      <c r="A648" s="9" t="n">
        <v>46305</v>
      </c>
      <c r="B648" s="11" t="s">
        <v>22</v>
      </c>
      <c r="C648" s="11" t="s">
        <v>23</v>
      </c>
      <c r="D648" s="11" t="s">
        <v>227</v>
      </c>
      <c r="E648" s="11" t="str">
        <f aca="false" t="array" ref="E648:E648">IF(D648="","",IFERROR(INDEX('CLM &amp; IM Mapping'!$B$2:$B$270,MATCH(TRIM(D648),'CLM &amp; IM Mapping'!$A$2:$A$270,0)),"Not Mapped"))</f>
        <v>Vijay M</v>
      </c>
      <c r="F648" s="11" t="str">
        <f aca="false" t="array" ref="F648:F648">IF(D648="","",IFERROR(INDEX('CLM &amp; IM Mapping'!$C$2:$C$270,MATCH(TRIM(D648),'CLM &amp; IM Mapping'!$A$2:$A$270,0)),"Not Mapped"))</f>
        <v>Kantha Kumar</v>
      </c>
      <c r="G648" s="11" t="s">
        <v>34</v>
      </c>
      <c r="H648" s="10" t="n">
        <v>-34538</v>
      </c>
      <c r="I648" s="10" t="n">
        <v>16475</v>
      </c>
      <c r="J648" s="10" t="n">
        <v>0</v>
      </c>
      <c r="K648" s="10" t="n">
        <v>62</v>
      </c>
      <c r="L648" s="10" t="n">
        <v>1741</v>
      </c>
      <c r="M648" s="10" t="n">
        <v>0</v>
      </c>
      <c r="N648" s="10" t="n">
        <v>1560</v>
      </c>
      <c r="O648" s="10" t="n">
        <v>0</v>
      </c>
      <c r="P648" s="10" t="n">
        <v>-14700</v>
      </c>
      <c r="Q648" s="11"/>
      <c r="R648" s="11"/>
      <c r="S648" s="19"/>
      <c r="T648" s="11"/>
      <c r="U648" s="21"/>
      <c r="V648" s="15"/>
      <c r="W648" s="8"/>
      <c r="X648" s="8"/>
      <c r="Y648" s="8"/>
      <c r="Z648" s="8"/>
      <c r="AA648" s="8"/>
      <c r="AB648" s="8"/>
      <c r="AC648" s="8"/>
    </row>
    <row r="649" customFormat="false" ht="15.75" hidden="false" customHeight="true" outlineLevel="0" collapsed="false">
      <c r="A649" s="9" t="n">
        <v>46305</v>
      </c>
      <c r="B649" s="11" t="s">
        <v>22</v>
      </c>
      <c r="C649" s="11" t="s">
        <v>23</v>
      </c>
      <c r="D649" s="11" t="s">
        <v>111</v>
      </c>
      <c r="E649" s="11" t="str">
        <f aca="false" t="array" ref="E649:E649">IF(D649="","",IFERROR(INDEX('CLM &amp; IM Mapping'!$B$2:$B$270,MATCH(TRIM(D649),'CLM &amp; IM Mapping'!$A$2:$A$270,0)),"Not Mapped"))</f>
        <v>Narasimhamurthy R</v>
      </c>
      <c r="F649" s="11" t="str">
        <f aca="false" t="array" ref="F649:F649">IF(D649="","",IFERROR(INDEX('CLM &amp; IM Mapping'!$C$2:$C$270,MATCH(TRIM(D649),'CLM &amp; IM Mapping'!$A$2:$A$270,0)),"Not Mapped"))</f>
        <v>Kishor K</v>
      </c>
      <c r="G649" s="11" t="s">
        <v>34</v>
      </c>
      <c r="H649" s="10" t="n">
        <v>-12114</v>
      </c>
      <c r="I649" s="10" t="n">
        <v>31616</v>
      </c>
      <c r="J649" s="10" t="n">
        <v>0</v>
      </c>
      <c r="K649" s="10" t="n">
        <v>0</v>
      </c>
      <c r="L649" s="10" t="n">
        <v>843</v>
      </c>
      <c r="M649" s="10" t="n">
        <v>0</v>
      </c>
      <c r="N649" s="10" t="n">
        <v>0</v>
      </c>
      <c r="O649" s="10" t="n">
        <v>0</v>
      </c>
      <c r="P649" s="10" t="n">
        <v>20346</v>
      </c>
      <c r="Q649" s="11"/>
      <c r="R649" s="11"/>
      <c r="S649" s="19"/>
      <c r="T649" s="11"/>
      <c r="U649" s="21"/>
      <c r="V649" s="15"/>
      <c r="W649" s="8"/>
      <c r="X649" s="8"/>
      <c r="Y649" s="8"/>
      <c r="Z649" s="8"/>
      <c r="AA649" s="8"/>
      <c r="AB649" s="8"/>
      <c r="AC649" s="8"/>
    </row>
    <row r="650" customFormat="false" ht="15.75" hidden="false" customHeight="true" outlineLevel="0" collapsed="false">
      <c r="A650" s="9" t="n">
        <v>46305</v>
      </c>
      <c r="B650" s="11" t="s">
        <v>22</v>
      </c>
      <c r="C650" s="11" t="s">
        <v>221</v>
      </c>
      <c r="D650" s="11" t="s">
        <v>252</v>
      </c>
      <c r="E650" s="11" t="str">
        <f aca="false" t="array" ref="E650:E650">IF(D650="","",IFERROR(INDEX('CLM &amp; IM Mapping'!$B$2:$B$270,MATCH(TRIM(D650),'CLM &amp; IM Mapping'!$A$2:$A$270,0)),"Not Mapped"))</f>
        <v>Vishnu V</v>
      </c>
      <c r="F650" s="11" t="str">
        <f aca="false" t="array" ref="F650:F650">IF(D650="","",IFERROR(INDEX('CLM &amp; IM Mapping'!$C$2:$C$270,MATCH(TRIM(D650),'CLM &amp; IM Mapping'!$A$2:$A$270,0)),"Not Mapped"))</f>
        <v>Arivind S</v>
      </c>
      <c r="G650" s="11" t="s">
        <v>34</v>
      </c>
      <c r="H650" s="10" t="n">
        <v>-5858</v>
      </c>
      <c r="I650" s="10" t="n">
        <v>11288</v>
      </c>
      <c r="J650" s="10" t="n">
        <v>281</v>
      </c>
      <c r="K650" s="10" t="n">
        <v>1367</v>
      </c>
      <c r="L650" s="10" t="n">
        <v>733</v>
      </c>
      <c r="M650" s="10" t="n">
        <v>0</v>
      </c>
      <c r="N650" s="10" t="n">
        <v>0</v>
      </c>
      <c r="O650" s="10" t="n">
        <v>0</v>
      </c>
      <c r="P650" s="10" t="n">
        <v>7812</v>
      </c>
      <c r="Q650" s="11"/>
      <c r="R650" s="11"/>
      <c r="S650" s="19"/>
      <c r="T650" s="11"/>
      <c r="U650" s="21"/>
      <c r="V650" s="15"/>
      <c r="W650" s="8"/>
      <c r="X650" s="8"/>
      <c r="Y650" s="8"/>
      <c r="Z650" s="8"/>
      <c r="AA650" s="8"/>
      <c r="AB650" s="8"/>
      <c r="AC650" s="8"/>
    </row>
    <row r="651" customFormat="false" ht="15.75" hidden="false" customHeight="true" outlineLevel="0" collapsed="false">
      <c r="A651" s="9" t="n">
        <v>46305</v>
      </c>
      <c r="B651" s="11" t="s">
        <v>22</v>
      </c>
      <c r="C651" s="11" t="s">
        <v>23</v>
      </c>
      <c r="D651" s="11" t="s">
        <v>296</v>
      </c>
      <c r="E651" s="11" t="str">
        <f aca="false" t="array" ref="E651:E651">IF(D651="","",IFERROR(INDEX('CLM &amp; IM Mapping'!$B$2:$B$270,MATCH(TRIM(D651),'CLM &amp; IM Mapping'!$A$2:$A$270,0)),"Not Mapped"))</f>
        <v>Balaji G</v>
      </c>
      <c r="F651" s="11" t="str">
        <f aca="false" t="array" ref="F651:F651">IF(D651="","",IFERROR(INDEX('CLM &amp; IM Mapping'!$C$2:$C$270,MATCH(TRIM(D651),'CLM &amp; IM Mapping'!$A$2:$A$270,0)),"Not Mapped"))</f>
        <v>Mohammed Akbar</v>
      </c>
      <c r="G651" s="11" t="s">
        <v>34</v>
      </c>
      <c r="H651" s="10" t="n">
        <v>-2250</v>
      </c>
      <c r="I651" s="10" t="n">
        <v>4411</v>
      </c>
      <c r="J651" s="10" t="n">
        <v>0</v>
      </c>
      <c r="K651" s="10" t="n">
        <v>1307</v>
      </c>
      <c r="L651" s="10" t="n">
        <v>562</v>
      </c>
      <c r="M651" s="10" t="n">
        <v>0</v>
      </c>
      <c r="N651" s="10" t="n">
        <v>0</v>
      </c>
      <c r="O651" s="10" t="n">
        <v>0</v>
      </c>
      <c r="P651" s="10" t="n">
        <v>4031</v>
      </c>
      <c r="Q651" s="11"/>
      <c r="R651" s="11"/>
      <c r="S651" s="19"/>
      <c r="T651" s="11"/>
      <c r="U651" s="21"/>
      <c r="V651" s="15"/>
      <c r="W651" s="8"/>
      <c r="X651" s="8"/>
      <c r="Y651" s="8"/>
      <c r="Z651" s="8"/>
      <c r="AA651" s="8"/>
      <c r="AB651" s="8"/>
      <c r="AC651" s="8"/>
    </row>
    <row r="652" customFormat="false" ht="15.75" hidden="false" customHeight="true" outlineLevel="0" collapsed="false">
      <c r="A652" s="9" t="n">
        <v>46305</v>
      </c>
      <c r="B652" s="11" t="s">
        <v>22</v>
      </c>
      <c r="C652" s="11" t="s">
        <v>23</v>
      </c>
      <c r="D652" s="11" t="s">
        <v>512</v>
      </c>
      <c r="E652" s="11" t="str">
        <f aca="false" t="array" ref="E652:E652">IF(D652="","",IFERROR(INDEX('CLM &amp; IM Mapping'!$B$2:$B$270,MATCH(TRIM(D652),'CLM &amp; IM Mapping'!$A$2:$A$270,0)),"Not Mapped"))</f>
        <v>Saddam Hussain</v>
      </c>
      <c r="F652" s="11" t="str">
        <f aca="false" t="array" ref="F652:F652">IF(D652="","",IFERROR(INDEX('CLM &amp; IM Mapping'!$C$2:$C$270,MATCH(TRIM(D652),'CLM &amp; IM Mapping'!$A$2:$A$270,0)),"Not Mapped"))</f>
        <v>Un Mapped</v>
      </c>
      <c r="G652" s="11" t="s">
        <v>34</v>
      </c>
      <c r="H652" s="10" t="n">
        <v>-17521</v>
      </c>
      <c r="I652" s="10" t="n">
        <v>2871</v>
      </c>
      <c r="J652" s="10" t="n">
        <v>0</v>
      </c>
      <c r="K652" s="10" t="n">
        <v>0</v>
      </c>
      <c r="L652" s="10" t="n">
        <v>771</v>
      </c>
      <c r="M652" s="10" t="n">
        <v>0</v>
      </c>
      <c r="N652" s="10" t="n">
        <v>0</v>
      </c>
      <c r="O652" s="10" t="n">
        <v>0</v>
      </c>
      <c r="P652" s="10" t="n">
        <v>-13878</v>
      </c>
      <c r="Q652" s="11"/>
      <c r="R652" s="11"/>
      <c r="S652" s="19"/>
      <c r="T652" s="11"/>
      <c r="U652" s="21"/>
      <c r="V652" s="15"/>
      <c r="W652" s="8"/>
      <c r="X652" s="8"/>
      <c r="Y652" s="8"/>
      <c r="Z652" s="8"/>
      <c r="AA652" s="8"/>
      <c r="AB652" s="8"/>
      <c r="AC652" s="8"/>
    </row>
    <row r="653" customFormat="false" ht="15.75" hidden="false" customHeight="true" outlineLevel="0" collapsed="false">
      <c r="A653" s="9" t="n">
        <v>46305</v>
      </c>
      <c r="B653" s="11" t="s">
        <v>22</v>
      </c>
      <c r="C653" s="11" t="s">
        <v>23</v>
      </c>
      <c r="D653" s="11" t="s">
        <v>483</v>
      </c>
      <c r="E653" s="11" t="str">
        <f aca="false" t="array" ref="E653:E653">IF(D653="","",IFERROR(INDEX('CLM &amp; IM Mapping'!$B$2:$B$270,MATCH(TRIM(D653),'CLM &amp; IM Mapping'!$A$2:$A$270,0)),"Not Mapped"))</f>
        <v>Sundaresh S</v>
      </c>
      <c r="F653" s="11" t="str">
        <f aca="false" t="array" ref="F653:F653">IF(D653="","",IFERROR(INDEX('CLM &amp; IM Mapping'!$C$2:$C$270,MATCH(TRIM(D653),'CLM &amp; IM Mapping'!$A$2:$A$270,0)),"Not Mapped"))</f>
        <v>Un Mapped</v>
      </c>
      <c r="G653" s="11" t="s">
        <v>34</v>
      </c>
      <c r="H653" s="10" t="n">
        <v>-15855</v>
      </c>
      <c r="I653" s="10" t="n">
        <v>1067</v>
      </c>
      <c r="J653" s="10" t="n">
        <v>107</v>
      </c>
      <c r="K653" s="10" t="n">
        <v>0</v>
      </c>
      <c r="L653" s="10" t="n">
        <v>246</v>
      </c>
      <c r="M653" s="10" t="n">
        <v>0</v>
      </c>
      <c r="N653" s="10" t="n">
        <v>1362</v>
      </c>
      <c r="O653" s="10" t="n">
        <v>506</v>
      </c>
      <c r="P653" s="10" t="n">
        <v>-12567</v>
      </c>
      <c r="Q653" s="11"/>
      <c r="R653" s="11"/>
      <c r="S653" s="19"/>
      <c r="T653" s="11"/>
      <c r="U653" s="21"/>
      <c r="V653" s="15"/>
      <c r="W653" s="8"/>
      <c r="X653" s="8"/>
      <c r="Y653" s="8"/>
      <c r="Z653" s="8"/>
      <c r="AA653" s="8"/>
      <c r="AB653" s="8"/>
      <c r="AC653" s="8"/>
    </row>
    <row r="654" customFormat="false" ht="15.75" hidden="false" customHeight="true" outlineLevel="0" collapsed="false">
      <c r="A654" s="9" t="n">
        <v>46305</v>
      </c>
      <c r="B654" s="11" t="s">
        <v>22</v>
      </c>
      <c r="C654" s="11" t="s">
        <v>23</v>
      </c>
      <c r="D654" s="11" t="s">
        <v>465</v>
      </c>
      <c r="E654" s="11" t="str">
        <f aca="false" t="array" ref="E654:E654">IF(D654="","",IFERROR(INDEX('CLM &amp; IM Mapping'!$B$2:$B$270,MATCH(TRIM(D654),'CLM &amp; IM Mapping'!$A$2:$A$270,0)),"Not Mapped"))</f>
        <v>Suhas N</v>
      </c>
      <c r="F654" s="11" t="str">
        <f aca="false" t="array" ref="F654:F654">IF(D654="","",IFERROR(INDEX('CLM &amp; IM Mapping'!$C$2:$C$270,MATCH(TRIM(D654),'CLM &amp; IM Mapping'!$A$2:$A$270,0)),"Not Mapped"))</f>
        <v>Aravind S</v>
      </c>
      <c r="G654" s="11" t="s">
        <v>34</v>
      </c>
      <c r="H654" s="10" t="n">
        <v>-12376</v>
      </c>
      <c r="I654" s="10" t="n">
        <v>4981</v>
      </c>
      <c r="J654" s="10" t="n">
        <v>0</v>
      </c>
      <c r="K654" s="10" t="n">
        <v>648</v>
      </c>
      <c r="L654" s="10" t="n">
        <v>182</v>
      </c>
      <c r="M654" s="10" t="n">
        <v>0</v>
      </c>
      <c r="N654" s="10" t="n">
        <v>0</v>
      </c>
      <c r="O654" s="10" t="n">
        <v>0</v>
      </c>
      <c r="P654" s="10" t="n">
        <v>-6565</v>
      </c>
      <c r="Q654" s="11"/>
      <c r="R654" s="11"/>
      <c r="S654" s="19"/>
      <c r="T654" s="11"/>
      <c r="U654" s="21"/>
      <c r="V654" s="15"/>
      <c r="W654" s="8"/>
      <c r="X654" s="8"/>
      <c r="Y654" s="8"/>
      <c r="Z654" s="8"/>
      <c r="AA654" s="8"/>
      <c r="AB654" s="8"/>
      <c r="AC654" s="8"/>
    </row>
    <row r="655" customFormat="false" ht="15.75" hidden="false" customHeight="true" outlineLevel="0" collapsed="false">
      <c r="A655" s="9" t="n">
        <v>46305</v>
      </c>
      <c r="B655" s="11" t="s">
        <v>22</v>
      </c>
      <c r="C655" s="11" t="s">
        <v>23</v>
      </c>
      <c r="D655" s="11" t="s">
        <v>339</v>
      </c>
      <c r="E655" s="11" t="str">
        <f aca="false" t="array" ref="E655:E655">IF(D655="","",IFERROR(INDEX('CLM &amp; IM Mapping'!$B$2:$B$270,MATCH(TRIM(D655),'CLM &amp; IM Mapping'!$A$2:$A$270,0)),"Not Mapped"))</f>
        <v>Ravishankar gowda</v>
      </c>
      <c r="F655" s="11" t="str">
        <f aca="false" t="array" ref="F655:F655">IF(D655="","",IFERROR(INDEX('CLM &amp; IM Mapping'!$C$2:$C$270,MATCH(TRIM(D655),'CLM &amp; IM Mapping'!$A$2:$A$270,0)),"Not Mapped"))</f>
        <v>Kishor K</v>
      </c>
      <c r="G655" s="11" t="s">
        <v>34</v>
      </c>
      <c r="H655" s="10" t="n">
        <v>-4869</v>
      </c>
      <c r="I655" s="10" t="n">
        <v>4325</v>
      </c>
      <c r="J655" s="10" t="n">
        <v>0</v>
      </c>
      <c r="K655" s="10" t="n">
        <v>0</v>
      </c>
      <c r="L655" s="10" t="n">
        <v>0</v>
      </c>
      <c r="M655" s="10" t="n">
        <v>0</v>
      </c>
      <c r="N655" s="10" t="n">
        <v>0</v>
      </c>
      <c r="O655" s="10" t="n">
        <v>0</v>
      </c>
      <c r="P655" s="10" t="n">
        <v>-543</v>
      </c>
      <c r="Q655" s="11"/>
      <c r="R655" s="11"/>
      <c r="S655" s="19"/>
      <c r="T655" s="11"/>
      <c r="U655" s="21"/>
      <c r="V655" s="15"/>
      <c r="W655" s="8"/>
      <c r="X655" s="8"/>
      <c r="Y655" s="8"/>
      <c r="Z655" s="8"/>
      <c r="AA655" s="8"/>
      <c r="AB655" s="8"/>
      <c r="AC655" s="8"/>
    </row>
    <row r="656" customFormat="false" ht="15.75" hidden="false" customHeight="true" outlineLevel="0" collapsed="false">
      <c r="A656" s="9" t="n">
        <v>46305</v>
      </c>
      <c r="B656" s="11" t="s">
        <v>22</v>
      </c>
      <c r="C656" s="11" t="s">
        <v>417</v>
      </c>
      <c r="D656" s="11" t="s">
        <v>452</v>
      </c>
      <c r="E656" s="11" t="str">
        <f aca="false" t="array" ref="E656:E656">IF(D656="","",IFERROR(INDEX('CLM &amp; IM Mapping'!$B$2:$B$270,MATCH(TRIM(D656),'CLM &amp; IM Mapping'!$A$2:$A$270,0)),"Not Mapped"))</f>
        <v>Vishnu V</v>
      </c>
      <c r="F656" s="11" t="str">
        <f aca="false" t="array" ref="F656:F656">IF(D656="","",IFERROR(INDEX('CLM &amp; IM Mapping'!$C$2:$C$270,MATCH(TRIM(D656),'CLM &amp; IM Mapping'!$A$2:$A$270,0)),"Not Mapped"))</f>
        <v>Arivind S</v>
      </c>
      <c r="G656" s="11" t="s">
        <v>34</v>
      </c>
      <c r="H656" s="10" t="n">
        <v>-12709</v>
      </c>
      <c r="I656" s="10" t="n">
        <v>0</v>
      </c>
      <c r="J656" s="10" t="n">
        <v>0</v>
      </c>
      <c r="K656" s="10" t="n">
        <v>0</v>
      </c>
      <c r="L656" s="10" t="n">
        <v>0</v>
      </c>
      <c r="M656" s="10" t="n">
        <v>0</v>
      </c>
      <c r="N656" s="10" t="n">
        <v>0</v>
      </c>
      <c r="O656" s="10" t="n">
        <v>0</v>
      </c>
      <c r="P656" s="10" t="n">
        <v>-12709</v>
      </c>
      <c r="Q656" s="11"/>
      <c r="R656" s="11"/>
      <c r="S656" s="19"/>
      <c r="T656" s="11"/>
      <c r="U656" s="21"/>
      <c r="V656" s="15"/>
      <c r="W656" s="8"/>
      <c r="X656" s="8"/>
      <c r="Y656" s="8"/>
      <c r="Z656" s="8"/>
      <c r="AA656" s="8"/>
      <c r="AB656" s="8"/>
      <c r="AC656" s="8"/>
    </row>
    <row r="657" customFormat="false" ht="15.75" hidden="false" customHeight="true" outlineLevel="0" collapsed="false">
      <c r="A657" s="9" t="n">
        <v>46305</v>
      </c>
      <c r="B657" s="11" t="s">
        <v>22</v>
      </c>
      <c r="C657" s="11" t="s">
        <v>23</v>
      </c>
      <c r="D657" s="11" t="s">
        <v>284</v>
      </c>
      <c r="E657" s="11" t="str">
        <f aca="false" t="array" ref="E657:E657">IF(D657="","",IFERROR(INDEX('CLM &amp; IM Mapping'!$B$2:$B$270,MATCH(TRIM(D657),'CLM &amp; IM Mapping'!$A$2:$A$270,0)),"Not Mapped"))</f>
        <v>Balaji G</v>
      </c>
      <c r="F657" s="11" t="str">
        <f aca="false" t="array" ref="F657:F657">IF(D657="","",IFERROR(INDEX('CLM &amp; IM Mapping'!$C$2:$C$270,MATCH(TRIM(D657),'CLM &amp; IM Mapping'!$A$2:$A$270,0)),"Not Mapped"))</f>
        <v>Mohammed Akbar</v>
      </c>
      <c r="G657" s="11" t="s">
        <v>34</v>
      </c>
      <c r="H657" s="10" t="n">
        <v>-7717</v>
      </c>
      <c r="I657" s="10" t="n">
        <v>8157</v>
      </c>
      <c r="J657" s="10" t="n">
        <v>0</v>
      </c>
      <c r="K657" s="10" t="n">
        <v>0</v>
      </c>
      <c r="L657" s="10" t="n">
        <v>1113</v>
      </c>
      <c r="M657" s="10" t="n">
        <v>0</v>
      </c>
      <c r="N657" s="10" t="n">
        <v>0</v>
      </c>
      <c r="O657" s="10" t="n">
        <v>0</v>
      </c>
      <c r="P657" s="10" t="n">
        <v>1553</v>
      </c>
      <c r="Q657" s="11"/>
      <c r="R657" s="11"/>
      <c r="S657" s="19"/>
      <c r="T657" s="11"/>
      <c r="U657" s="21"/>
      <c r="V657" s="15"/>
      <c r="W657" s="8"/>
      <c r="X657" s="8"/>
      <c r="Y657" s="8"/>
      <c r="Z657" s="8"/>
      <c r="AA657" s="8"/>
      <c r="AB657" s="8"/>
      <c r="AC657" s="8"/>
    </row>
    <row r="658" customFormat="false" ht="15.75" hidden="false" customHeight="true" outlineLevel="0" collapsed="false">
      <c r="A658" s="9" t="n">
        <v>46305</v>
      </c>
      <c r="B658" s="11" t="s">
        <v>22</v>
      </c>
      <c r="C658" s="11" t="s">
        <v>23</v>
      </c>
      <c r="D658" s="11" t="s">
        <v>219</v>
      </c>
      <c r="E658" s="11" t="str">
        <f aca="false" t="array" ref="E658:E658">IF(D658="","",IFERROR(INDEX('CLM &amp; IM Mapping'!$B$2:$B$270,MATCH(TRIM(D658),'CLM &amp; IM Mapping'!$A$2:$A$270,0)),"Not Mapped"))</f>
        <v>Arun Raj</v>
      </c>
      <c r="F658" s="11" t="str">
        <f aca="false" t="array" ref="F658:F658">IF(D658="","",IFERROR(INDEX('CLM &amp; IM Mapping'!$C$2:$C$270,MATCH(TRIM(D658),'CLM &amp; IM Mapping'!$A$2:$A$270,0)),"Not Mapped"))</f>
        <v>Simon Manoharan</v>
      </c>
      <c r="G658" s="11" t="s">
        <v>25</v>
      </c>
      <c r="H658" s="10" t="n">
        <v>4940</v>
      </c>
      <c r="I658" s="10" t="n">
        <v>12355</v>
      </c>
      <c r="J658" s="10" t="n">
        <v>0</v>
      </c>
      <c r="K658" s="10" t="n">
        <v>907</v>
      </c>
      <c r="L658" s="10" t="n">
        <v>1596</v>
      </c>
      <c r="M658" s="10" t="n">
        <v>0</v>
      </c>
      <c r="N658" s="10" t="n">
        <v>0</v>
      </c>
      <c r="O658" s="10" t="n">
        <v>0</v>
      </c>
      <c r="P658" s="10" t="n">
        <v>19798</v>
      </c>
      <c r="Q658" s="11"/>
      <c r="R658" s="11"/>
      <c r="S658" s="19"/>
      <c r="T658" s="11"/>
      <c r="U658" s="21"/>
      <c r="V658" s="15"/>
      <c r="W658" s="8"/>
      <c r="X658" s="8"/>
      <c r="Y658" s="8"/>
      <c r="Z658" s="8"/>
      <c r="AA658" s="8"/>
      <c r="AB658" s="8"/>
      <c r="AC658" s="8"/>
    </row>
    <row r="659" customFormat="false" ht="15.75" hidden="false" customHeight="true" outlineLevel="0" collapsed="false">
      <c r="A659" s="9" t="n">
        <v>46305</v>
      </c>
      <c r="B659" s="11" t="s">
        <v>22</v>
      </c>
      <c r="C659" s="11" t="s">
        <v>303</v>
      </c>
      <c r="D659" s="11" t="s">
        <v>319</v>
      </c>
      <c r="E659" s="11" t="str">
        <f aca="false" t="array" ref="E659:E659">IF(D659="","",IFERROR(INDEX('CLM &amp; IM Mapping'!$B$2:$B$270,MATCH(TRIM(D659),'CLM &amp; IM Mapping'!$A$2:$A$270,0)),"Not Mapped"))</f>
        <v>John Britto</v>
      </c>
      <c r="F659" s="11" t="str">
        <f aca="false" t="array" ref="F659:F659">IF(D659="","",IFERROR(INDEX('CLM &amp; IM Mapping'!$C$2:$C$270,MATCH(TRIM(D659),'CLM &amp; IM Mapping'!$A$2:$A$270,0)),"Not Mapped"))</f>
        <v>Aravind S</v>
      </c>
      <c r="G659" s="11" t="s">
        <v>34</v>
      </c>
      <c r="H659" s="10" t="n">
        <v>-636</v>
      </c>
      <c r="I659" s="10" t="n">
        <v>1074</v>
      </c>
      <c r="J659" s="10" t="n">
        <v>0</v>
      </c>
      <c r="K659" s="10" t="n">
        <v>0</v>
      </c>
      <c r="L659" s="10" t="n">
        <v>295</v>
      </c>
      <c r="M659" s="10" t="n">
        <v>0</v>
      </c>
      <c r="N659" s="10" t="n">
        <v>0</v>
      </c>
      <c r="O659" s="10" t="n">
        <v>0</v>
      </c>
      <c r="P659" s="10" t="n">
        <v>733</v>
      </c>
      <c r="Q659" s="11"/>
      <c r="R659" s="11"/>
      <c r="S659" s="19"/>
      <c r="T659" s="11"/>
      <c r="U659" s="21"/>
      <c r="V659" s="15"/>
      <c r="W659" s="8"/>
      <c r="X659" s="8"/>
      <c r="Y659" s="8"/>
      <c r="Z659" s="8"/>
      <c r="AA659" s="8"/>
      <c r="AB659" s="8"/>
      <c r="AC659" s="8"/>
    </row>
    <row r="660" customFormat="false" ht="15.75" hidden="false" customHeight="true" outlineLevel="0" collapsed="false">
      <c r="A660" s="9" t="n">
        <v>46305</v>
      </c>
      <c r="B660" s="11" t="s">
        <v>22</v>
      </c>
      <c r="C660" s="11" t="s">
        <v>221</v>
      </c>
      <c r="D660" s="11" t="s">
        <v>316</v>
      </c>
      <c r="E660" s="11" t="str">
        <f aca="false" t="array" ref="E660:E660">IF(D660="","",IFERROR(INDEX('CLM &amp; IM Mapping'!$B$2:$B$270,MATCH(TRIM(D660),'CLM &amp; IM Mapping'!$A$2:$A$270,0)),"Not Mapped"))</f>
        <v>Vishnu V</v>
      </c>
      <c r="F660" s="11" t="str">
        <f aca="false" t="array" ref="F660:F660">IF(D660="","",IFERROR(INDEX('CLM &amp; IM Mapping'!$C$2:$C$270,MATCH(TRIM(D660),'CLM &amp; IM Mapping'!$A$2:$A$270,0)),"Not Mapped"))</f>
        <v>Arivind S</v>
      </c>
      <c r="G660" s="11" t="s">
        <v>34</v>
      </c>
      <c r="H660" s="10" t="n">
        <v>-5469</v>
      </c>
      <c r="I660" s="10" t="n">
        <v>9608</v>
      </c>
      <c r="J660" s="10" t="n">
        <v>0</v>
      </c>
      <c r="K660" s="10" t="n">
        <v>0</v>
      </c>
      <c r="L660" s="10" t="n">
        <v>30</v>
      </c>
      <c r="M660" s="10" t="n">
        <v>0</v>
      </c>
      <c r="N660" s="10" t="n">
        <v>0</v>
      </c>
      <c r="O660" s="10" t="n">
        <v>0</v>
      </c>
      <c r="P660" s="10" t="n">
        <v>4169</v>
      </c>
      <c r="Q660" s="11"/>
      <c r="R660" s="11"/>
      <c r="S660" s="19"/>
      <c r="T660" s="11"/>
      <c r="U660" s="21"/>
      <c r="V660" s="15"/>
      <c r="W660" s="8"/>
      <c r="X660" s="8"/>
      <c r="Y660" s="8"/>
      <c r="Z660" s="8"/>
      <c r="AA660" s="8"/>
      <c r="AB660" s="8"/>
      <c r="AC660" s="8"/>
    </row>
    <row r="661" customFormat="false" ht="15.75" hidden="false" customHeight="true" outlineLevel="0" collapsed="false">
      <c r="A661" s="9" t="n">
        <v>46305</v>
      </c>
      <c r="B661" s="11" t="s">
        <v>22</v>
      </c>
      <c r="C661" s="11" t="s">
        <v>23</v>
      </c>
      <c r="D661" s="11" t="s">
        <v>481</v>
      </c>
      <c r="E661" s="11" t="str">
        <f aca="false" t="array" ref="E661:E661">IF(D661="","",IFERROR(INDEX('CLM &amp; IM Mapping'!$B$2:$B$270,MATCH(TRIM(D661),'CLM &amp; IM Mapping'!$A$2:$A$270,0)),"Not Mapped"))</f>
        <v>Akshay P</v>
      </c>
      <c r="F661" s="11" t="str">
        <f aca="false" t="array" ref="F661:F661">IF(D661="","",IFERROR(INDEX('CLM &amp; IM Mapping'!$C$2:$C$270,MATCH(TRIM(D661),'CLM &amp; IM Mapping'!$A$2:$A$270,0)),"Not Mapped"))</f>
        <v>Srittam Dhal</v>
      </c>
      <c r="G661" s="11" t="s">
        <v>34</v>
      </c>
      <c r="H661" s="10" t="n">
        <v>-14014</v>
      </c>
      <c r="I661" s="10" t="n">
        <v>0</v>
      </c>
      <c r="J661" s="10" t="n">
        <v>0</v>
      </c>
      <c r="K661" s="10" t="n">
        <v>0</v>
      </c>
      <c r="L661" s="10" t="n">
        <v>936</v>
      </c>
      <c r="M661" s="10" t="n">
        <v>0</v>
      </c>
      <c r="N661" s="10" t="n">
        <v>0</v>
      </c>
      <c r="O661" s="10" t="n">
        <v>0</v>
      </c>
      <c r="P661" s="10" t="n">
        <v>-13078</v>
      </c>
      <c r="Q661" s="11"/>
      <c r="R661" s="11"/>
      <c r="S661" s="19"/>
      <c r="T661" s="11"/>
      <c r="U661" s="21"/>
      <c r="V661" s="15"/>
      <c r="W661" s="8"/>
      <c r="X661" s="8"/>
      <c r="Y661" s="8"/>
      <c r="Z661" s="8"/>
      <c r="AA661" s="8"/>
      <c r="AB661" s="8"/>
      <c r="AC661" s="8"/>
    </row>
    <row r="662" customFormat="false" ht="15.75" hidden="false" customHeight="true" outlineLevel="0" collapsed="false">
      <c r="A662" s="9" t="n">
        <v>46305</v>
      </c>
      <c r="B662" s="11" t="s">
        <v>22</v>
      </c>
      <c r="C662" s="11" t="s">
        <v>221</v>
      </c>
      <c r="D662" s="11" t="s">
        <v>411</v>
      </c>
      <c r="E662" s="11" t="str">
        <f aca="false" t="array" ref="E662:E662">IF(D662="","",IFERROR(INDEX('CLM &amp; IM Mapping'!$B$2:$B$270,MATCH(TRIM(D662),'CLM &amp; IM Mapping'!$A$2:$A$270,0)),"Not Mapped"))</f>
        <v>Vishnu V</v>
      </c>
      <c r="F662" s="11" t="str">
        <f aca="false" t="array" ref="F662:F662">IF(D662="","",IFERROR(INDEX('CLM &amp; IM Mapping'!$C$2:$C$270,MATCH(TRIM(D662),'CLM &amp; IM Mapping'!$A$2:$A$270,0)),"Not Mapped"))</f>
        <v>Arivind S</v>
      </c>
      <c r="G662" s="11" t="s">
        <v>34</v>
      </c>
      <c r="H662" s="10" t="n">
        <v>-6072</v>
      </c>
      <c r="I662" s="10" t="n">
        <v>217</v>
      </c>
      <c r="J662" s="10" t="n">
        <v>0</v>
      </c>
      <c r="K662" s="10" t="n">
        <v>0</v>
      </c>
      <c r="L662" s="10" t="n">
        <v>86</v>
      </c>
      <c r="M662" s="10" t="n">
        <v>0</v>
      </c>
      <c r="N662" s="10" t="n">
        <v>0</v>
      </c>
      <c r="O662" s="10" t="n">
        <v>0</v>
      </c>
      <c r="P662" s="10" t="n">
        <v>-5770</v>
      </c>
      <c r="Q662" s="11"/>
      <c r="R662" s="11"/>
      <c r="S662" s="19"/>
      <c r="T662" s="11"/>
      <c r="U662" s="21"/>
      <c r="V662" s="15"/>
      <c r="W662" s="8"/>
      <c r="X662" s="8"/>
      <c r="Y662" s="8"/>
      <c r="Z662" s="8"/>
      <c r="AA662" s="8"/>
      <c r="AB662" s="8"/>
      <c r="AC662" s="8"/>
    </row>
    <row r="663" customFormat="false" ht="15.75" hidden="false" customHeight="true" outlineLevel="0" collapsed="false">
      <c r="A663" s="9" t="n">
        <v>46305</v>
      </c>
      <c r="B663" s="11" t="s">
        <v>22</v>
      </c>
      <c r="C663" s="11" t="s">
        <v>23</v>
      </c>
      <c r="D663" s="11" t="s">
        <v>105</v>
      </c>
      <c r="E663" s="11" t="str">
        <f aca="false" t="array" ref="E663:E663">IF(D663="","",IFERROR(INDEX('CLM &amp; IM Mapping'!$B$2:$B$270,MATCH(TRIM(D663),'CLM &amp; IM Mapping'!$A$2:$A$270,0)),"Not Mapped"))</f>
        <v>Suhas N</v>
      </c>
      <c r="F663" s="11" t="str">
        <f aca="false" t="array" ref="F663:F663">IF(D663="","",IFERROR(INDEX('CLM &amp; IM Mapping'!$C$2:$C$270,MATCH(TRIM(D663),'CLM &amp; IM Mapping'!$A$2:$A$270,0)),"Not Mapped"))</f>
        <v>Aravind S</v>
      </c>
      <c r="G663" s="11" t="s">
        <v>34</v>
      </c>
      <c r="H663" s="10" t="n">
        <v>-5791</v>
      </c>
      <c r="I663" s="10" t="n">
        <v>12139</v>
      </c>
      <c r="J663" s="10" t="n">
        <v>0</v>
      </c>
      <c r="K663" s="10" t="n">
        <v>874</v>
      </c>
      <c r="L663" s="10" t="n">
        <v>3687</v>
      </c>
      <c r="M663" s="10" t="n">
        <v>0</v>
      </c>
      <c r="N663" s="10" t="n">
        <v>232</v>
      </c>
      <c r="O663" s="10" t="n">
        <v>105</v>
      </c>
      <c r="P663" s="10" t="n">
        <v>11246</v>
      </c>
      <c r="Q663" s="11"/>
      <c r="R663" s="11"/>
      <c r="S663" s="19"/>
      <c r="T663" s="11"/>
      <c r="U663" s="21"/>
      <c r="V663" s="15"/>
      <c r="W663" s="8"/>
      <c r="X663" s="8"/>
      <c r="Y663" s="8"/>
      <c r="Z663" s="8"/>
      <c r="AA663" s="8"/>
      <c r="AB663" s="8"/>
      <c r="AC663" s="8"/>
    </row>
    <row r="664" customFormat="false" ht="15.75" hidden="false" customHeight="true" outlineLevel="0" collapsed="false">
      <c r="A664" s="9" t="n">
        <v>46305</v>
      </c>
      <c r="B664" s="11" t="s">
        <v>22</v>
      </c>
      <c r="C664" s="11" t="s">
        <v>23</v>
      </c>
      <c r="D664" s="11" t="s">
        <v>254</v>
      </c>
      <c r="E664" s="11" t="str">
        <f aca="false" t="array" ref="E664:E664">IF(D664="","",IFERROR(INDEX('CLM &amp; IM Mapping'!$B$2:$B$270,MATCH(TRIM(D664),'CLM &amp; IM Mapping'!$A$2:$A$270,0)),"Not Mapped"))</f>
        <v>Basil Scariya</v>
      </c>
      <c r="F664" s="11" t="str">
        <f aca="false" t="array" ref="F664:F664">IF(D664="","",IFERROR(INDEX('CLM &amp; IM Mapping'!$C$2:$C$270,MATCH(TRIM(D664),'CLM &amp; IM Mapping'!$A$2:$A$270,0)),"Not Mapped"))</f>
        <v>Prakash BS</v>
      </c>
      <c r="G664" s="11" t="s">
        <v>34</v>
      </c>
      <c r="H664" s="10" t="n">
        <v>-11877</v>
      </c>
      <c r="I664" s="10" t="n">
        <v>22838</v>
      </c>
      <c r="J664" s="10" t="n">
        <v>0</v>
      </c>
      <c r="K664" s="10" t="n">
        <v>1454</v>
      </c>
      <c r="L664" s="10" t="n">
        <v>3567</v>
      </c>
      <c r="M664" s="10" t="n">
        <v>0</v>
      </c>
      <c r="N664" s="10" t="n">
        <v>2889</v>
      </c>
      <c r="O664" s="10" t="n">
        <v>0</v>
      </c>
      <c r="P664" s="10" t="n">
        <v>18872</v>
      </c>
      <c r="Q664" s="11"/>
      <c r="R664" s="11"/>
      <c r="S664" s="19"/>
      <c r="T664" s="11"/>
      <c r="U664" s="21"/>
      <c r="V664" s="15"/>
      <c r="W664" s="8"/>
      <c r="X664" s="8"/>
      <c r="Y664" s="8"/>
      <c r="Z664" s="8"/>
      <c r="AA664" s="8"/>
      <c r="AB664" s="8"/>
      <c r="AC664" s="8"/>
    </row>
    <row r="665" customFormat="false" ht="15.75" hidden="false" customHeight="true" outlineLevel="0" collapsed="false">
      <c r="A665" s="9" t="n">
        <v>46305</v>
      </c>
      <c r="B665" s="11" t="s">
        <v>22</v>
      </c>
      <c r="C665" s="11" t="s">
        <v>23</v>
      </c>
      <c r="D665" s="11" t="s">
        <v>298</v>
      </c>
      <c r="E665" s="11" t="str">
        <f aca="false" t="array" ref="E665:E665">IF(D665="","",IFERROR(INDEX('CLM &amp; IM Mapping'!$B$2:$B$270,MATCH(TRIM(D665),'CLM &amp; IM Mapping'!$A$2:$A$270,0)),"Not Mapped"))</f>
        <v>Ravishankar gowda</v>
      </c>
      <c r="F665" s="11" t="str">
        <f aca="false" t="array" ref="F665:F665">IF(D665="","",IFERROR(INDEX('CLM &amp; IM Mapping'!$C$2:$C$270,MATCH(TRIM(D665),'CLM &amp; IM Mapping'!$A$2:$A$270,0)),"Not Mapped"))</f>
        <v>Kishor K</v>
      </c>
      <c r="G665" s="11" t="s">
        <v>34</v>
      </c>
      <c r="H665" s="10" t="n">
        <v>-8159</v>
      </c>
      <c r="I665" s="10" t="n">
        <v>10303</v>
      </c>
      <c r="J665" s="10" t="n">
        <v>0</v>
      </c>
      <c r="K665" s="10" t="n">
        <v>882</v>
      </c>
      <c r="L665" s="10" t="n">
        <v>209</v>
      </c>
      <c r="M665" s="10" t="n">
        <v>0</v>
      </c>
      <c r="N665" s="10" t="n">
        <v>0</v>
      </c>
      <c r="O665" s="10" t="n">
        <v>0</v>
      </c>
      <c r="P665" s="10" t="n">
        <v>3235</v>
      </c>
      <c r="Q665" s="11"/>
      <c r="R665" s="11"/>
      <c r="S665" s="19"/>
      <c r="T665" s="11"/>
      <c r="U665" s="21"/>
      <c r="V665" s="15"/>
      <c r="W665" s="8"/>
      <c r="X665" s="8"/>
      <c r="Y665" s="8"/>
      <c r="Z665" s="8"/>
      <c r="AA665" s="8"/>
      <c r="AB665" s="8"/>
      <c r="AC665" s="8"/>
    </row>
    <row r="666" customFormat="false" ht="15.75" hidden="false" customHeight="true" outlineLevel="0" collapsed="false">
      <c r="A666" s="9" t="n">
        <v>46305</v>
      </c>
      <c r="B666" s="11" t="s">
        <v>22</v>
      </c>
      <c r="C666" s="11" t="s">
        <v>23</v>
      </c>
      <c r="D666" s="11" t="s">
        <v>235</v>
      </c>
      <c r="E666" s="11" t="str">
        <f aca="false" t="array" ref="E666:E666">IF(D666="","",IFERROR(INDEX('CLM &amp; IM Mapping'!$B$2:$B$270,MATCH(TRIM(D666),'CLM &amp; IM Mapping'!$A$2:$A$270,0)),"Not Mapped"))</f>
        <v>Akshay P</v>
      </c>
      <c r="F666" s="11" t="str">
        <f aca="false" t="array" ref="F666:F666">IF(D666="","",IFERROR(INDEX('CLM &amp; IM Mapping'!$C$2:$C$270,MATCH(TRIM(D666),'CLM &amp; IM Mapping'!$A$2:$A$270,0)),"Not Mapped"))</f>
        <v>Srittam Dhal</v>
      </c>
      <c r="G666" s="11" t="s">
        <v>34</v>
      </c>
      <c r="H666" s="10" t="n">
        <v>13300</v>
      </c>
      <c r="I666" s="10" t="n">
        <v>2247</v>
      </c>
      <c r="J666" s="10" t="n">
        <v>51</v>
      </c>
      <c r="K666" s="10" t="n">
        <v>111</v>
      </c>
      <c r="L666" s="10" t="n">
        <v>1392</v>
      </c>
      <c r="M666" s="10" t="n">
        <v>0</v>
      </c>
      <c r="N666" s="10" t="n">
        <v>0</v>
      </c>
      <c r="O666" s="10" t="n">
        <v>0</v>
      </c>
      <c r="P666" s="10" t="n">
        <v>17101</v>
      </c>
      <c r="Q666" s="11"/>
      <c r="R666" s="11"/>
      <c r="S666" s="19"/>
      <c r="T666" s="11"/>
      <c r="U666" s="21"/>
      <c r="V666" s="15"/>
      <c r="W666" s="8"/>
      <c r="X666" s="8"/>
      <c r="Y666" s="8"/>
      <c r="Z666" s="8"/>
      <c r="AA666" s="8"/>
      <c r="AB666" s="8"/>
      <c r="AC666" s="8"/>
    </row>
    <row r="667" customFormat="false" ht="15.75" hidden="false" customHeight="true" outlineLevel="0" collapsed="false">
      <c r="A667" s="9" t="n">
        <v>46305</v>
      </c>
      <c r="B667" s="11" t="s">
        <v>22</v>
      </c>
      <c r="C667" s="11" t="s">
        <v>23</v>
      </c>
      <c r="D667" s="11" t="s">
        <v>73</v>
      </c>
      <c r="E667" s="11" t="str">
        <f aca="false" t="array" ref="E667:E667">IF(D667="","",IFERROR(INDEX('CLM &amp; IM Mapping'!$B$2:$B$270,MATCH(TRIM(D667),'CLM &amp; IM Mapping'!$A$2:$A$270,0)),"Not Mapped"))</f>
        <v>Narasimhamurthy R</v>
      </c>
      <c r="F667" s="11" t="str">
        <f aca="false" t="array" ref="F667:F667">IF(D667="","",IFERROR(INDEX('CLM &amp; IM Mapping'!$C$2:$C$270,MATCH(TRIM(D667),'CLM &amp; IM Mapping'!$A$2:$A$270,0)),"Not Mapped"))</f>
        <v>Kishor K</v>
      </c>
      <c r="G667" s="11" t="s">
        <v>34</v>
      </c>
      <c r="H667" s="10" t="n">
        <v>19534</v>
      </c>
      <c r="I667" s="10" t="n">
        <v>27817</v>
      </c>
      <c r="J667" s="10" t="n">
        <v>0</v>
      </c>
      <c r="K667" s="10" t="n">
        <v>2730</v>
      </c>
      <c r="L667" s="10" t="n">
        <v>592</v>
      </c>
      <c r="M667" s="10" t="n">
        <v>0</v>
      </c>
      <c r="N667" s="10" t="n">
        <v>0</v>
      </c>
      <c r="O667" s="10" t="n">
        <v>0</v>
      </c>
      <c r="P667" s="10" t="n">
        <v>50673</v>
      </c>
      <c r="Q667" s="11"/>
      <c r="R667" s="11"/>
      <c r="S667" s="19"/>
      <c r="T667" s="11"/>
      <c r="U667" s="21"/>
      <c r="V667" s="15"/>
      <c r="W667" s="8"/>
      <c r="X667" s="8"/>
      <c r="Y667" s="8"/>
      <c r="Z667" s="8"/>
      <c r="AA667" s="8"/>
      <c r="AB667" s="8"/>
      <c r="AC667" s="8"/>
    </row>
    <row r="668" customFormat="false" ht="15.75" hidden="false" customHeight="true" outlineLevel="0" collapsed="false">
      <c r="A668" s="9" t="n">
        <v>46305</v>
      </c>
      <c r="B668" s="11" t="s">
        <v>22</v>
      </c>
      <c r="C668" s="11" t="s">
        <v>23</v>
      </c>
      <c r="D668" s="11" t="s">
        <v>89</v>
      </c>
      <c r="E668" s="11" t="str">
        <f aca="false" t="array" ref="E668:E668">IF(D668="","",IFERROR(INDEX('CLM &amp; IM Mapping'!$B$2:$B$270,MATCH(TRIM(D668),'CLM &amp; IM Mapping'!$A$2:$A$270,0)),"Not Mapped"))</f>
        <v>Raghavendra Vernekar</v>
      </c>
      <c r="F668" s="11" t="str">
        <f aca="false" t="array" ref="F668:F668">IF(D668="","",IFERROR(INDEX('CLM &amp; IM Mapping'!$C$2:$C$270,MATCH(TRIM(D668),'CLM &amp; IM Mapping'!$A$2:$A$270,0)),"Not Mapped"))</f>
        <v>Prakash BS</v>
      </c>
      <c r="G668" s="11" t="s">
        <v>34</v>
      </c>
      <c r="H668" s="10" t="n">
        <v>-50523</v>
      </c>
      <c r="I668" s="10" t="n">
        <v>2181</v>
      </c>
      <c r="J668" s="10" t="n">
        <v>0</v>
      </c>
      <c r="K668" s="10" t="n">
        <v>0</v>
      </c>
      <c r="L668" s="10" t="n">
        <v>170</v>
      </c>
      <c r="M668" s="10" t="n">
        <v>0</v>
      </c>
      <c r="N668" s="10" t="n">
        <v>41460</v>
      </c>
      <c r="O668" s="10" t="n">
        <v>0</v>
      </c>
      <c r="P668" s="10" t="n">
        <v>-6711</v>
      </c>
      <c r="Q668" s="11"/>
      <c r="R668" s="11"/>
      <c r="S668" s="19"/>
      <c r="T668" s="11"/>
      <c r="U668" s="21"/>
      <c r="V668" s="15"/>
      <c r="W668" s="8"/>
      <c r="X668" s="8"/>
      <c r="Y668" s="8"/>
      <c r="Z668" s="8"/>
      <c r="AA668" s="8"/>
      <c r="AB668" s="8"/>
      <c r="AC668" s="8"/>
    </row>
    <row r="669" customFormat="false" ht="15.75" hidden="false" customHeight="true" outlineLevel="0" collapsed="false">
      <c r="A669" s="9" t="n">
        <v>46305</v>
      </c>
      <c r="B669" s="11" t="s">
        <v>22</v>
      </c>
      <c r="C669" s="11" t="s">
        <v>23</v>
      </c>
      <c r="D669" s="11" t="s">
        <v>186</v>
      </c>
      <c r="E669" s="11" t="str">
        <f aca="false" t="array" ref="E669:E669">IF(D669="","",IFERROR(INDEX('CLM &amp; IM Mapping'!$B$2:$B$270,MATCH(TRIM(D669),'CLM &amp; IM Mapping'!$A$2:$A$270,0)),"Not Mapped"))</f>
        <v>Silambarasan E</v>
      </c>
      <c r="F669" s="11" t="str">
        <f aca="false" t="array" ref="F669:F669">IF(D669="","",IFERROR(INDEX('CLM &amp; IM Mapping'!$C$2:$C$270,MATCH(TRIM(D669),'CLM &amp; IM Mapping'!$A$2:$A$270,0)),"Not Mapped"))</f>
        <v>Arivind S</v>
      </c>
      <c r="G669" s="11" t="s">
        <v>34</v>
      </c>
      <c r="H669" s="10" t="n">
        <v>7322</v>
      </c>
      <c r="I669" s="10" t="n">
        <v>1524</v>
      </c>
      <c r="J669" s="10" t="n">
        <v>38</v>
      </c>
      <c r="K669" s="10" t="n">
        <v>0</v>
      </c>
      <c r="L669" s="10" t="n">
        <v>1713</v>
      </c>
      <c r="M669" s="10" t="n">
        <v>0</v>
      </c>
      <c r="N669" s="10" t="n">
        <v>0</v>
      </c>
      <c r="O669" s="10" t="n">
        <v>1341</v>
      </c>
      <c r="P669" s="10" t="n">
        <v>11938</v>
      </c>
      <c r="Q669" s="11"/>
      <c r="R669" s="11"/>
      <c r="S669" s="19"/>
      <c r="T669" s="11"/>
      <c r="U669" s="21"/>
      <c r="V669" s="15"/>
      <c r="W669" s="8"/>
      <c r="X669" s="8"/>
      <c r="Y669" s="8"/>
      <c r="Z669" s="8"/>
      <c r="AA669" s="8"/>
      <c r="AB669" s="8"/>
      <c r="AC669" s="8"/>
    </row>
    <row r="670" customFormat="false" ht="15.75" hidden="false" customHeight="true" outlineLevel="0" collapsed="false">
      <c r="A670" s="9" t="n">
        <v>46305</v>
      </c>
      <c r="B670" s="11" t="s">
        <v>22</v>
      </c>
      <c r="C670" s="11" t="s">
        <v>23</v>
      </c>
      <c r="D670" s="11" t="s">
        <v>317</v>
      </c>
      <c r="E670" s="11" t="str">
        <f aca="false" t="array" ref="E670:E670">IF(D670="","",IFERROR(INDEX('CLM &amp; IM Mapping'!$B$2:$B$270,MATCH(TRIM(D670),'CLM &amp; IM Mapping'!$A$2:$A$270,0)),"Not Mapped"))</f>
        <v>Akshay P</v>
      </c>
      <c r="F670" s="11" t="str">
        <f aca="false" t="array" ref="F670:F670">IF(D670="","",IFERROR(INDEX('CLM &amp; IM Mapping'!$C$2:$C$270,MATCH(TRIM(D670),'CLM &amp; IM Mapping'!$A$2:$A$270,0)),"Not Mapped"))</f>
        <v>Srittam Dhal</v>
      </c>
      <c r="G670" s="11" t="s">
        <v>34</v>
      </c>
      <c r="H670" s="10" t="n">
        <v>-16329</v>
      </c>
      <c r="I670" s="10" t="n">
        <v>10697</v>
      </c>
      <c r="J670" s="10" t="n">
        <v>0</v>
      </c>
      <c r="K670" s="10" t="n">
        <v>0</v>
      </c>
      <c r="L670" s="10" t="n">
        <v>3576</v>
      </c>
      <c r="M670" s="10" t="n">
        <v>0</v>
      </c>
      <c r="N670" s="10" t="n">
        <v>0</v>
      </c>
      <c r="O670" s="10" t="n">
        <v>0</v>
      </c>
      <c r="P670" s="10" t="n">
        <v>-2056</v>
      </c>
      <c r="Q670" s="11"/>
      <c r="R670" s="11"/>
      <c r="S670" s="19"/>
      <c r="T670" s="11"/>
      <c r="U670" s="21"/>
      <c r="V670" s="15"/>
      <c r="W670" s="8"/>
      <c r="X670" s="8"/>
      <c r="Y670" s="8"/>
      <c r="Z670" s="8"/>
      <c r="AA670" s="8"/>
      <c r="AB670" s="8"/>
      <c r="AC670" s="8"/>
    </row>
    <row r="671" customFormat="false" ht="15.75" hidden="false" customHeight="true" outlineLevel="0" collapsed="false">
      <c r="A671" s="9" t="n">
        <v>46305</v>
      </c>
      <c r="B671" s="11" t="s">
        <v>22</v>
      </c>
      <c r="C671" s="11" t="s">
        <v>23</v>
      </c>
      <c r="D671" s="11" t="s">
        <v>357</v>
      </c>
      <c r="E671" s="11" t="str">
        <f aca="false" t="array" ref="E671:E671">IF(D671="","",IFERROR(INDEX('CLM &amp; IM Mapping'!$B$2:$B$270,MATCH(TRIM(D671),'CLM &amp; IM Mapping'!$A$2:$A$270,0)),"Not Mapped"))</f>
        <v>Arun Raj</v>
      </c>
      <c r="F671" s="11" t="str">
        <f aca="false" t="array" ref="F671:F671">IF(D671="","",IFERROR(INDEX('CLM &amp; IM Mapping'!$C$2:$C$270,MATCH(TRIM(D671),'CLM &amp; IM Mapping'!$A$2:$A$270,0)),"Not Mapped"))</f>
        <v>Simon Manoharan</v>
      </c>
      <c r="G671" s="11" t="s">
        <v>25</v>
      </c>
      <c r="H671" s="10" t="n">
        <v>-12921</v>
      </c>
      <c r="I671" s="10" t="n">
        <v>5207</v>
      </c>
      <c r="J671" s="10" t="n">
        <v>0</v>
      </c>
      <c r="K671" s="10" t="n">
        <v>0</v>
      </c>
      <c r="L671" s="10" t="n">
        <v>2547</v>
      </c>
      <c r="M671" s="10" t="n">
        <v>0</v>
      </c>
      <c r="N671" s="10" t="n">
        <v>0</v>
      </c>
      <c r="O671" s="10" t="n">
        <v>0</v>
      </c>
      <c r="P671" s="10" t="n">
        <v>-5167</v>
      </c>
      <c r="Q671" s="11"/>
      <c r="R671" s="11"/>
      <c r="S671" s="19"/>
      <c r="T671" s="11"/>
      <c r="U671" s="21"/>
      <c r="V671" s="15"/>
      <c r="W671" s="8"/>
      <c r="X671" s="8"/>
      <c r="Y671" s="8"/>
      <c r="Z671" s="8"/>
      <c r="AA671" s="8"/>
      <c r="AB671" s="8"/>
      <c r="AC671" s="8"/>
    </row>
    <row r="672" customFormat="false" ht="15.75" hidden="false" customHeight="true" outlineLevel="0" collapsed="false">
      <c r="A672" s="9" t="n">
        <v>46305</v>
      </c>
      <c r="B672" s="11" t="s">
        <v>22</v>
      </c>
      <c r="C672" s="11" t="s">
        <v>23</v>
      </c>
      <c r="D672" s="11" t="s">
        <v>279</v>
      </c>
      <c r="E672" s="11" t="str">
        <f aca="false" t="array" ref="E672:E672">IF(D672="","",IFERROR(INDEX('CLM &amp; IM Mapping'!$B$2:$B$270,MATCH(TRIM(D672),'CLM &amp; IM Mapping'!$A$2:$A$270,0)),"Not Mapped"))</f>
        <v>Rizwan Ahmed</v>
      </c>
      <c r="F672" s="11" t="str">
        <f aca="false" t="array" ref="F672:F672">IF(D672="","",IFERROR(INDEX('CLM &amp; IM Mapping'!$C$2:$C$270,MATCH(TRIM(D672),'CLM &amp; IM Mapping'!$A$2:$A$270,0)),"Not Mapped"))</f>
        <v>Un Mapped</v>
      </c>
      <c r="G672" s="11" t="s">
        <v>34</v>
      </c>
      <c r="H672" s="10" t="n">
        <v>6542</v>
      </c>
      <c r="I672" s="10" t="n">
        <v>4774</v>
      </c>
      <c r="J672" s="10" t="n">
        <v>0</v>
      </c>
      <c r="K672" s="10" t="n">
        <v>0</v>
      </c>
      <c r="L672" s="10" t="n">
        <v>0</v>
      </c>
      <c r="M672" s="10" t="n">
        <v>0</v>
      </c>
      <c r="N672" s="10" t="n">
        <v>0</v>
      </c>
      <c r="O672" s="10" t="n">
        <v>0</v>
      </c>
      <c r="P672" s="10" t="n">
        <v>11315</v>
      </c>
      <c r="Q672" s="11"/>
      <c r="R672" s="11"/>
      <c r="S672" s="19"/>
      <c r="T672" s="11"/>
      <c r="U672" s="21"/>
      <c r="V672" s="15"/>
      <c r="W672" s="8"/>
      <c r="X672" s="8"/>
      <c r="Y672" s="8"/>
      <c r="Z672" s="8"/>
      <c r="AA672" s="8"/>
      <c r="AB672" s="8"/>
      <c r="AC672" s="8"/>
    </row>
    <row r="673" customFormat="false" ht="15.75" hidden="false" customHeight="true" outlineLevel="0" collapsed="false">
      <c r="A673" s="9" t="n">
        <v>46305</v>
      </c>
      <c r="B673" s="11" t="s">
        <v>22</v>
      </c>
      <c r="C673" s="11" t="s">
        <v>23</v>
      </c>
      <c r="D673" s="11" t="s">
        <v>250</v>
      </c>
      <c r="E673" s="11" t="str">
        <f aca="false" t="array" ref="E673:E673">IF(D673="","",IFERROR(INDEX('CLM &amp; IM Mapping'!$B$2:$B$270,MATCH(TRIM(D673),'CLM &amp; IM Mapping'!$A$2:$A$270,0)),"Not Mapped"))</f>
        <v>Akshay P</v>
      </c>
      <c r="F673" s="11" t="str">
        <f aca="false" t="array" ref="F673:F673">IF(D673="","",IFERROR(INDEX('CLM &amp; IM Mapping'!$C$2:$C$270,MATCH(TRIM(D673),'CLM &amp; IM Mapping'!$A$2:$A$270,0)),"Not Mapped"))</f>
        <v>Srittam Dhal</v>
      </c>
      <c r="G673" s="11" t="s">
        <v>34</v>
      </c>
      <c r="H673" s="10" t="n">
        <v>-8187</v>
      </c>
      <c r="I673" s="10" t="n">
        <v>14719</v>
      </c>
      <c r="J673" s="10" t="n">
        <v>0</v>
      </c>
      <c r="K673" s="10" t="n">
        <v>0</v>
      </c>
      <c r="L673" s="10" t="n">
        <v>313</v>
      </c>
      <c r="M673" s="10" t="n">
        <v>0</v>
      </c>
      <c r="N673" s="10" t="n">
        <v>0</v>
      </c>
      <c r="O673" s="10" t="n">
        <v>0</v>
      </c>
      <c r="P673" s="10" t="n">
        <v>6846</v>
      </c>
      <c r="Q673" s="11"/>
      <c r="R673" s="11"/>
      <c r="S673" s="19"/>
      <c r="T673" s="11"/>
      <c r="U673" s="21"/>
      <c r="V673" s="15"/>
      <c r="W673" s="8"/>
      <c r="X673" s="8"/>
      <c r="Y673" s="8"/>
      <c r="Z673" s="8"/>
      <c r="AA673" s="8"/>
      <c r="AB673" s="8"/>
      <c r="AC673" s="8"/>
    </row>
    <row r="674" customFormat="false" ht="15.75" hidden="false" customHeight="true" outlineLevel="0" collapsed="false">
      <c r="A674" s="9" t="n">
        <v>46305</v>
      </c>
      <c r="B674" s="11" t="s">
        <v>22</v>
      </c>
      <c r="C674" s="11" t="s">
        <v>23</v>
      </c>
      <c r="D674" s="11" t="s">
        <v>76</v>
      </c>
      <c r="E674" s="11" t="str">
        <f aca="false" t="array" ref="E674:E674">IF(D674="","",IFERROR(INDEX('CLM &amp; IM Mapping'!$B$2:$B$270,MATCH(TRIM(D674),'CLM &amp; IM Mapping'!$A$2:$A$270,0)),"Not Mapped"))</f>
        <v>Silambarasan E</v>
      </c>
      <c r="F674" s="11" t="str">
        <f aca="false" t="array" ref="F674:F674">IF(D674="","",IFERROR(INDEX('CLM &amp; IM Mapping'!$C$2:$C$270,MATCH(TRIM(D674),'CLM &amp; IM Mapping'!$A$2:$A$270,0)),"Not Mapped"))</f>
        <v>Arivind S</v>
      </c>
      <c r="G674" s="11" t="s">
        <v>34</v>
      </c>
      <c r="H674" s="10" t="n">
        <v>40980</v>
      </c>
      <c r="I674" s="10" t="n">
        <v>9181</v>
      </c>
      <c r="J674" s="10" t="n">
        <v>0</v>
      </c>
      <c r="K674" s="10" t="n">
        <v>0</v>
      </c>
      <c r="L674" s="10" t="n">
        <v>294</v>
      </c>
      <c r="M674" s="10" t="n">
        <v>0</v>
      </c>
      <c r="N674" s="10" t="n">
        <v>0</v>
      </c>
      <c r="O674" s="10" t="n">
        <v>0</v>
      </c>
      <c r="P674" s="10" t="n">
        <v>50456</v>
      </c>
      <c r="Q674" s="11"/>
      <c r="R674" s="11"/>
      <c r="S674" s="19"/>
      <c r="T674" s="11"/>
      <c r="U674" s="21"/>
      <c r="V674" s="15"/>
      <c r="W674" s="8"/>
      <c r="X674" s="8"/>
      <c r="Y674" s="8"/>
      <c r="Z674" s="8"/>
      <c r="AA674" s="8"/>
      <c r="AB674" s="8"/>
      <c r="AC674" s="8"/>
    </row>
    <row r="675" customFormat="false" ht="15.75" hidden="false" customHeight="true" outlineLevel="0" collapsed="false">
      <c r="A675" s="9" t="n">
        <v>46305</v>
      </c>
      <c r="B675" s="11" t="s">
        <v>22</v>
      </c>
      <c r="C675" s="11" t="s">
        <v>23</v>
      </c>
      <c r="D675" s="11" t="s">
        <v>390</v>
      </c>
      <c r="E675" s="11" t="str">
        <f aca="false" t="array" ref="E675:E675">IF(D675="","",IFERROR(INDEX('CLM &amp; IM Mapping'!$B$2:$B$270,MATCH(TRIM(D675),'CLM &amp; IM Mapping'!$A$2:$A$270,0)),"Not Mapped"))</f>
        <v>Sundaresh S</v>
      </c>
      <c r="F675" s="11" t="str">
        <f aca="false" t="array" ref="F675:F675">IF(D675="","",IFERROR(INDEX('CLM &amp; IM Mapping'!$C$2:$C$270,MATCH(TRIM(D675),'CLM &amp; IM Mapping'!$A$2:$A$270,0)),"Not Mapped"))</f>
        <v>Un Mapped</v>
      </c>
      <c r="G675" s="11" t="s">
        <v>34</v>
      </c>
      <c r="H675" s="10" t="n">
        <v>-13737</v>
      </c>
      <c r="I675" s="10" t="n">
        <v>1629</v>
      </c>
      <c r="J675" s="10" t="n">
        <v>214</v>
      </c>
      <c r="K675" s="10" t="n">
        <v>4031</v>
      </c>
      <c r="L675" s="10" t="n">
        <v>314</v>
      </c>
      <c r="M675" s="10" t="n">
        <v>0</v>
      </c>
      <c r="N675" s="10" t="n">
        <v>5567</v>
      </c>
      <c r="O675" s="10" t="n">
        <v>0</v>
      </c>
      <c r="P675" s="10" t="n">
        <v>-1982</v>
      </c>
      <c r="Q675" s="11"/>
      <c r="R675" s="11"/>
      <c r="S675" s="19"/>
      <c r="T675" s="11"/>
      <c r="U675" s="21"/>
      <c r="V675" s="15"/>
      <c r="W675" s="8"/>
      <c r="X675" s="8"/>
      <c r="Y675" s="8"/>
      <c r="Z675" s="8"/>
      <c r="AA675" s="8"/>
      <c r="AB675" s="8"/>
      <c r="AC675" s="8"/>
    </row>
    <row r="676" customFormat="false" ht="15.75" hidden="false" customHeight="true" outlineLevel="0" collapsed="false">
      <c r="A676" s="9" t="n">
        <v>46305</v>
      </c>
      <c r="B676" s="11" t="s">
        <v>22</v>
      </c>
      <c r="C676" s="11" t="s">
        <v>23</v>
      </c>
      <c r="D676" s="11" t="s">
        <v>436</v>
      </c>
      <c r="E676" s="11" t="str">
        <f aca="false" t="array" ref="E676:E676">IF(D676="","",IFERROR(INDEX('CLM &amp; IM Mapping'!$B$2:$B$270,MATCH(TRIM(D676),'CLM &amp; IM Mapping'!$A$2:$A$270,0)),"Not Mapped"))</f>
        <v>Narasimhamurthy R</v>
      </c>
      <c r="F676" s="11" t="str">
        <f aca="false" t="array" ref="F676:F676">IF(D676="","",IFERROR(INDEX('CLM &amp; IM Mapping'!$C$2:$C$270,MATCH(TRIM(D676),'CLM &amp; IM Mapping'!$A$2:$A$270,0)),"Not Mapped"))</f>
        <v>Kishor K</v>
      </c>
      <c r="G676" s="11" t="s">
        <v>34</v>
      </c>
      <c r="H676" s="10" t="n">
        <v>-5946</v>
      </c>
      <c r="I676" s="10" t="n">
        <v>2459</v>
      </c>
      <c r="J676" s="10" t="n">
        <v>99</v>
      </c>
      <c r="K676" s="10" t="n">
        <v>0</v>
      </c>
      <c r="L676" s="10" t="n">
        <v>403</v>
      </c>
      <c r="M676" s="10" t="n">
        <v>0</v>
      </c>
      <c r="N676" s="10" t="n">
        <v>0</v>
      </c>
      <c r="O676" s="10" t="n">
        <v>0</v>
      </c>
      <c r="P676" s="10" t="n">
        <v>-2986</v>
      </c>
      <c r="Q676" s="11"/>
      <c r="R676" s="11"/>
      <c r="S676" s="19"/>
      <c r="T676" s="11"/>
      <c r="U676" s="21"/>
      <c r="V676" s="15"/>
      <c r="W676" s="8"/>
      <c r="X676" s="8"/>
      <c r="Y676" s="8"/>
      <c r="Z676" s="8"/>
      <c r="AA676" s="8"/>
      <c r="AB676" s="8"/>
      <c r="AC676" s="8"/>
    </row>
    <row r="677" customFormat="false" ht="15.75" hidden="false" customHeight="true" outlineLevel="0" collapsed="false">
      <c r="A677" s="9" t="n">
        <v>46305</v>
      </c>
      <c r="B677" s="11" t="s">
        <v>22</v>
      </c>
      <c r="C677" s="11" t="s">
        <v>221</v>
      </c>
      <c r="D677" s="11" t="s">
        <v>274</v>
      </c>
      <c r="E677" s="11" t="str">
        <f aca="false" t="array" ref="E677:E677">IF(D677="","",IFERROR(INDEX('CLM &amp; IM Mapping'!$B$2:$B$270,MATCH(TRIM(D677),'CLM &amp; IM Mapping'!$A$2:$A$270,0)),"Not Mapped"))</f>
        <v>Vishnu V</v>
      </c>
      <c r="F677" s="11" t="str">
        <f aca="false" t="array" ref="F677:F677">IF(D677="","",IFERROR(INDEX('CLM &amp; IM Mapping'!$C$2:$C$270,MATCH(TRIM(D677),'CLM &amp; IM Mapping'!$A$2:$A$270,0)),"Not Mapped"))</f>
        <v>Arivind S</v>
      </c>
      <c r="G677" s="11" t="s">
        <v>34</v>
      </c>
      <c r="H677" s="10" t="n">
        <v>-1139</v>
      </c>
      <c r="I677" s="10" t="n">
        <v>11424</v>
      </c>
      <c r="J677" s="10" t="n">
        <v>1051</v>
      </c>
      <c r="K677" s="10" t="n">
        <v>0</v>
      </c>
      <c r="L677" s="10" t="n">
        <v>535</v>
      </c>
      <c r="M677" s="10" t="n">
        <v>0</v>
      </c>
      <c r="N677" s="10" t="n">
        <v>0</v>
      </c>
      <c r="O677" s="10" t="n">
        <v>0</v>
      </c>
      <c r="P677" s="10" t="n">
        <v>11872</v>
      </c>
      <c r="Q677" s="11"/>
      <c r="R677" s="11"/>
      <c r="S677" s="19"/>
      <c r="T677" s="11"/>
      <c r="U677" s="21"/>
      <c r="V677" s="15"/>
      <c r="W677" s="8"/>
      <c r="X677" s="8"/>
      <c r="Y677" s="8"/>
      <c r="Z677" s="8"/>
      <c r="AA677" s="8"/>
      <c r="AB677" s="8"/>
      <c r="AC677" s="8"/>
    </row>
    <row r="678" customFormat="false" ht="15.75" hidden="false" customHeight="true" outlineLevel="0" collapsed="false">
      <c r="A678" s="9" t="n">
        <v>46305</v>
      </c>
      <c r="B678" s="11" t="s">
        <v>22</v>
      </c>
      <c r="C678" s="11" t="s">
        <v>23</v>
      </c>
      <c r="D678" s="11" t="s">
        <v>521</v>
      </c>
      <c r="E678" s="11" t="str">
        <f aca="false" t="array" ref="E678:E678">IF(D678="","",IFERROR(INDEX('CLM &amp; IM Mapping'!$B$2:$B$270,MATCH(TRIM(D678),'CLM &amp; IM Mapping'!$A$2:$A$270,0)),"Not Mapped"))</f>
        <v>Mohaideen DH</v>
      </c>
      <c r="F678" s="11" t="str">
        <f aca="false" t="array" ref="F678:F678">IF(D678="","",IFERROR(INDEX('CLM &amp; IM Mapping'!$C$2:$C$270,MATCH(TRIM(D678),'CLM &amp; IM Mapping'!$A$2:$A$270,0)),"Not Mapped"))</f>
        <v>Mohammed Akbar</v>
      </c>
      <c r="G678" s="11" t="s">
        <v>34</v>
      </c>
      <c r="H678" s="10" t="n">
        <v>-37197</v>
      </c>
      <c r="I678" s="10" t="n">
        <v>673</v>
      </c>
      <c r="J678" s="10" t="n">
        <v>0</v>
      </c>
      <c r="K678" s="10" t="n">
        <v>73</v>
      </c>
      <c r="L678" s="10" t="n">
        <v>323</v>
      </c>
      <c r="M678" s="10" t="n">
        <v>0</v>
      </c>
      <c r="N678" s="10" t="n">
        <v>0</v>
      </c>
      <c r="O678" s="10" t="n">
        <v>0</v>
      </c>
      <c r="P678" s="10" t="n">
        <v>-36128</v>
      </c>
      <c r="Q678" s="11"/>
      <c r="R678" s="11"/>
      <c r="S678" s="19"/>
      <c r="T678" s="11"/>
      <c r="U678" s="21"/>
      <c r="V678" s="15"/>
      <c r="W678" s="8"/>
      <c r="X678" s="8"/>
      <c r="Y678" s="8"/>
      <c r="Z678" s="8"/>
      <c r="AA678" s="8"/>
      <c r="AB678" s="8"/>
      <c r="AC678" s="8"/>
    </row>
    <row r="679" customFormat="false" ht="15.75" hidden="false" customHeight="true" outlineLevel="0" collapsed="false">
      <c r="A679" s="9" t="n">
        <v>46305</v>
      </c>
      <c r="B679" s="11" t="s">
        <v>22</v>
      </c>
      <c r="C679" s="11" t="s">
        <v>23</v>
      </c>
      <c r="D679" s="11" t="s">
        <v>497</v>
      </c>
      <c r="E679" s="11" t="str">
        <f aca="false" t="array" ref="E679:E679">IF(D679="","",IFERROR(INDEX('CLM &amp; IM Mapping'!$B$2:$B$270,MATCH(TRIM(D679),'CLM &amp; IM Mapping'!$A$2:$A$270,0)),"Not Mapped"))</f>
        <v>Narasimhamurthy R</v>
      </c>
      <c r="F679" s="11" t="str">
        <f aca="false" t="array" ref="F679:F679">IF(D679="","",IFERROR(INDEX('CLM &amp; IM Mapping'!$C$2:$C$270,MATCH(TRIM(D679),'CLM &amp; IM Mapping'!$A$2:$A$270,0)),"Not Mapped"))</f>
        <v>Kishor K</v>
      </c>
      <c r="G679" s="11" t="s">
        <v>34</v>
      </c>
      <c r="H679" s="10" t="n">
        <v>-19341</v>
      </c>
      <c r="I679" s="10" t="n">
        <v>0</v>
      </c>
      <c r="J679" s="10" t="n">
        <v>0</v>
      </c>
      <c r="K679" s="10" t="n">
        <v>127</v>
      </c>
      <c r="L679" s="10" t="n">
        <v>24</v>
      </c>
      <c r="M679" s="10" t="n">
        <v>0</v>
      </c>
      <c r="N679" s="10" t="n">
        <v>0</v>
      </c>
      <c r="O679" s="10" t="n">
        <v>0</v>
      </c>
      <c r="P679" s="10" t="n">
        <v>-19191</v>
      </c>
      <c r="Q679" s="11"/>
      <c r="R679" s="11"/>
      <c r="S679" s="19"/>
      <c r="T679" s="11"/>
      <c r="U679" s="21"/>
      <c r="V679" s="15"/>
      <c r="W679" s="8"/>
      <c r="X679" s="8"/>
      <c r="Y679" s="8"/>
      <c r="Z679" s="8"/>
      <c r="AA679" s="8"/>
      <c r="AB679" s="8"/>
      <c r="AC679" s="8"/>
    </row>
    <row r="680" customFormat="false" ht="15.75" hidden="false" customHeight="true" outlineLevel="0" collapsed="false">
      <c r="A680" s="9" t="n">
        <v>46305</v>
      </c>
      <c r="B680" s="11" t="s">
        <v>22</v>
      </c>
      <c r="C680" s="11" t="s">
        <v>23</v>
      </c>
      <c r="D680" s="11" t="s">
        <v>65</v>
      </c>
      <c r="E680" s="11" t="str">
        <f aca="false" t="array" ref="E680:E680">IF(D680="","",IFERROR(INDEX('CLM &amp; IM Mapping'!$B$2:$B$270,MATCH(TRIM(D680),'CLM &amp; IM Mapping'!$A$2:$A$270,0)),"Not Mapped"))</f>
        <v>Adhavan Subramani</v>
      </c>
      <c r="F680" s="11" t="str">
        <f aca="false" t="array" ref="F680:F680">IF(D680="","",IFERROR(INDEX('CLM &amp; IM Mapping'!$C$2:$C$270,MATCH(TRIM(D680),'CLM &amp; IM Mapping'!$A$2:$A$270,0)),"Not Mapped"))</f>
        <v>Mohammed Akbar</v>
      </c>
      <c r="G680" s="11" t="s">
        <v>34</v>
      </c>
      <c r="H680" s="10" t="n">
        <v>-23983</v>
      </c>
      <c r="I680" s="10" t="n">
        <v>31201</v>
      </c>
      <c r="J680" s="10" t="n">
        <v>0</v>
      </c>
      <c r="K680" s="10" t="n">
        <v>12570</v>
      </c>
      <c r="L680" s="10" t="n">
        <v>1760</v>
      </c>
      <c r="M680" s="10" t="n">
        <v>0</v>
      </c>
      <c r="N680" s="10" t="n">
        <v>0</v>
      </c>
      <c r="O680" s="10" t="n">
        <v>0</v>
      </c>
      <c r="P680" s="10" t="n">
        <v>21548</v>
      </c>
      <c r="Q680" s="11"/>
      <c r="R680" s="11"/>
      <c r="S680" s="19"/>
      <c r="T680" s="11"/>
      <c r="U680" s="21"/>
      <c r="V680" s="15"/>
      <c r="W680" s="8"/>
      <c r="X680" s="8"/>
      <c r="Y680" s="8"/>
      <c r="Z680" s="8"/>
      <c r="AA680" s="8"/>
      <c r="AB680" s="8"/>
      <c r="AC680" s="8"/>
    </row>
    <row r="681" customFormat="false" ht="15.75" hidden="false" customHeight="true" outlineLevel="0" collapsed="false">
      <c r="A681" s="9" t="n">
        <v>46305</v>
      </c>
      <c r="B681" s="11" t="s">
        <v>22</v>
      </c>
      <c r="C681" s="11" t="s">
        <v>303</v>
      </c>
      <c r="D681" s="11" t="s">
        <v>458</v>
      </c>
      <c r="E681" s="11" t="str">
        <f aca="false" t="array" ref="E681:E681">IF(D681="","",IFERROR(INDEX('CLM &amp; IM Mapping'!$B$2:$B$270,MATCH(TRIM(D681),'CLM &amp; IM Mapping'!$A$2:$A$270,0)),"Not Mapped"))</f>
        <v>John Britto</v>
      </c>
      <c r="F681" s="11" t="str">
        <f aca="false" t="array" ref="F681:F681">IF(D681="","",IFERROR(INDEX('CLM &amp; IM Mapping'!$C$2:$C$270,MATCH(TRIM(D681),'CLM &amp; IM Mapping'!$A$2:$A$270,0)),"Not Mapped"))</f>
        <v>Aravind S</v>
      </c>
      <c r="G681" s="11" t="s">
        <v>34</v>
      </c>
      <c r="H681" s="10" t="n">
        <v>-10419</v>
      </c>
      <c r="I681" s="10" t="n">
        <v>645</v>
      </c>
      <c r="J681" s="10" t="n">
        <v>0</v>
      </c>
      <c r="K681" s="10" t="n">
        <v>0</v>
      </c>
      <c r="L681" s="10" t="n">
        <v>0</v>
      </c>
      <c r="M681" s="10" t="n">
        <v>0</v>
      </c>
      <c r="N681" s="10" t="n">
        <v>0</v>
      </c>
      <c r="O681" s="10" t="n">
        <v>0</v>
      </c>
      <c r="P681" s="10" t="n">
        <v>-9774</v>
      </c>
      <c r="Q681" s="11"/>
      <c r="R681" s="11"/>
      <c r="S681" s="19"/>
      <c r="T681" s="11"/>
      <c r="U681" s="21"/>
      <c r="V681" s="15"/>
      <c r="W681" s="8"/>
      <c r="X681" s="8"/>
      <c r="Y681" s="8"/>
      <c r="Z681" s="8"/>
      <c r="AA681" s="8"/>
      <c r="AB681" s="8"/>
      <c r="AC681" s="8"/>
    </row>
    <row r="682" customFormat="false" ht="15.75" hidden="false" customHeight="true" outlineLevel="0" collapsed="false">
      <c r="A682" s="9" t="n">
        <v>46305</v>
      </c>
      <c r="B682" s="11" t="s">
        <v>22</v>
      </c>
      <c r="C682" s="11" t="s">
        <v>23</v>
      </c>
      <c r="D682" s="11" t="s">
        <v>188</v>
      </c>
      <c r="E682" s="11" t="str">
        <f aca="false" t="array" ref="E682:E682">IF(D682="","",IFERROR(INDEX('CLM &amp; IM Mapping'!$B$2:$B$270,MATCH(TRIM(D682),'CLM &amp; IM Mapping'!$A$2:$A$270,0)),"Not Mapped"))</f>
        <v>Richard Harris</v>
      </c>
      <c r="F682" s="11" t="str">
        <f aca="false" t="array" ref="F682:F682">IF(D682="","",IFERROR(INDEX('CLM &amp; IM Mapping'!$C$2:$C$270,MATCH(TRIM(D682),'CLM &amp; IM Mapping'!$A$2:$A$270,0)),"Not Mapped"))</f>
        <v>Kantha Kumar</v>
      </c>
      <c r="G682" s="11" t="s">
        <v>34</v>
      </c>
      <c r="H682" s="10" t="n">
        <v>25752</v>
      </c>
      <c r="I682" s="10" t="n">
        <v>13391</v>
      </c>
      <c r="J682" s="10" t="n">
        <v>0</v>
      </c>
      <c r="K682" s="10" t="n">
        <v>1448</v>
      </c>
      <c r="L682" s="10" t="n">
        <v>268</v>
      </c>
      <c r="M682" s="10" t="n">
        <v>0</v>
      </c>
      <c r="N682" s="10" t="n">
        <v>0</v>
      </c>
      <c r="O682" s="10" t="n">
        <v>7417</v>
      </c>
      <c r="P682" s="10" t="n">
        <v>48274</v>
      </c>
      <c r="Q682" s="11"/>
      <c r="R682" s="11"/>
      <c r="S682" s="19"/>
      <c r="T682" s="11"/>
      <c r="U682" s="21"/>
      <c r="V682" s="15"/>
      <c r="W682" s="8"/>
      <c r="X682" s="8"/>
      <c r="Y682" s="8"/>
      <c r="Z682" s="8"/>
      <c r="AA682" s="8"/>
      <c r="AB682" s="8"/>
      <c r="AC682" s="8"/>
    </row>
    <row r="683" customFormat="false" ht="15.75" hidden="false" customHeight="true" outlineLevel="0" collapsed="false">
      <c r="A683" s="9" t="n">
        <v>46305</v>
      </c>
      <c r="B683" s="11" t="s">
        <v>22</v>
      </c>
      <c r="C683" s="11" t="s">
        <v>23</v>
      </c>
      <c r="D683" s="11" t="s">
        <v>502</v>
      </c>
      <c r="E683" s="11" t="str">
        <f aca="false" t="array" ref="E683:E683">IF(D683="","",IFERROR(INDEX('CLM &amp; IM Mapping'!$B$2:$B$270,MATCH(TRIM(D683),'CLM &amp; IM Mapping'!$A$2:$A$270,0)),"Not Mapped"))</f>
        <v>Manjunatha V</v>
      </c>
      <c r="F683" s="11" t="str">
        <f aca="false" t="array" ref="F683:F683">IF(D683="","",IFERROR(INDEX('CLM &amp; IM Mapping'!$C$2:$C$270,MATCH(TRIM(D683),'CLM &amp; IM Mapping'!$A$2:$A$270,0)),"Not Mapped"))</f>
        <v>Un Mapped</v>
      </c>
      <c r="G683" s="11" t="s">
        <v>34</v>
      </c>
      <c r="H683" s="10" t="n">
        <v>-49095</v>
      </c>
      <c r="I683" s="10" t="n">
        <v>0</v>
      </c>
      <c r="J683" s="10" t="n">
        <v>0</v>
      </c>
      <c r="K683" s="10" t="n">
        <v>36127</v>
      </c>
      <c r="L683" s="10" t="n">
        <v>0</v>
      </c>
      <c r="M683" s="10" t="n">
        <v>0</v>
      </c>
      <c r="N683" s="10" t="n">
        <v>0</v>
      </c>
      <c r="O683" s="10" t="n">
        <v>0</v>
      </c>
      <c r="P683" s="10" t="n">
        <v>-12968</v>
      </c>
      <c r="Q683" s="11"/>
      <c r="R683" s="11"/>
      <c r="S683" s="19"/>
      <c r="T683" s="11"/>
      <c r="U683" s="21"/>
      <c r="V683" s="15"/>
      <c r="W683" s="8"/>
      <c r="X683" s="8"/>
      <c r="Y683" s="8"/>
      <c r="Z683" s="8"/>
      <c r="AA683" s="8"/>
      <c r="AB683" s="8"/>
      <c r="AC683" s="8"/>
    </row>
    <row r="684" customFormat="false" ht="15.75" hidden="false" customHeight="true" outlineLevel="0" collapsed="false">
      <c r="A684" s="9" t="n">
        <v>46305</v>
      </c>
      <c r="B684" s="11" t="s">
        <v>22</v>
      </c>
      <c r="C684" s="11" t="s">
        <v>23</v>
      </c>
      <c r="D684" s="11" t="s">
        <v>367</v>
      </c>
      <c r="E684" s="11" t="str">
        <f aca="false" t="array" ref="E684:E684">IF(D684="","",IFERROR(INDEX('CLM &amp; IM Mapping'!$B$2:$B$270,MATCH(TRIM(D684),'CLM &amp; IM Mapping'!$A$2:$A$270,0)),"Not Mapped"))</f>
        <v>Akshay P</v>
      </c>
      <c r="F684" s="11" t="str">
        <f aca="false" t="array" ref="F684:F684">IF(D684="","",IFERROR(INDEX('CLM &amp; IM Mapping'!$C$2:$C$270,MATCH(TRIM(D684),'CLM &amp; IM Mapping'!$A$2:$A$270,0)),"Not Mapped"))</f>
        <v>Srittam Dhal</v>
      </c>
      <c r="G684" s="11" t="s">
        <v>34</v>
      </c>
      <c r="H684" s="10" t="n">
        <v>0</v>
      </c>
      <c r="I684" s="10" t="n">
        <v>0</v>
      </c>
      <c r="J684" s="10" t="n">
        <v>0</v>
      </c>
      <c r="K684" s="10" t="n">
        <v>0</v>
      </c>
      <c r="L684" s="10" t="n">
        <v>0</v>
      </c>
      <c r="M684" s="10" t="n">
        <v>0</v>
      </c>
      <c r="N684" s="10" t="n">
        <v>0</v>
      </c>
      <c r="O684" s="10" t="n">
        <v>0</v>
      </c>
      <c r="P684" s="10" t="n">
        <v>0</v>
      </c>
      <c r="Q684" s="11"/>
      <c r="R684" s="11"/>
      <c r="S684" s="19"/>
      <c r="T684" s="11"/>
      <c r="U684" s="21"/>
      <c r="V684" s="15"/>
      <c r="W684" s="8"/>
      <c r="X684" s="8"/>
      <c r="Y684" s="8"/>
      <c r="Z684" s="8"/>
      <c r="AA684" s="8"/>
      <c r="AB684" s="8"/>
      <c r="AC684" s="8"/>
    </row>
    <row r="685" customFormat="false" ht="15.75" hidden="false" customHeight="true" outlineLevel="0" collapsed="false">
      <c r="A685" s="9" t="n">
        <v>46305</v>
      </c>
      <c r="B685" s="11" t="s">
        <v>22</v>
      </c>
      <c r="C685" s="11" t="s">
        <v>221</v>
      </c>
      <c r="D685" s="11" t="s">
        <v>350</v>
      </c>
      <c r="E685" s="11" t="str">
        <f aca="false" t="array" ref="E685:E685">IF(D685="","",IFERROR(INDEX('CLM &amp; IM Mapping'!$B$2:$B$270,MATCH(TRIM(D685),'CLM &amp; IM Mapping'!$A$2:$A$270,0)),"Not Mapped"))</f>
        <v>Vishnu V</v>
      </c>
      <c r="F685" s="11" t="str">
        <f aca="false" t="array" ref="F685:F685">IF(D685="","",IFERROR(INDEX('CLM &amp; IM Mapping'!$C$2:$C$270,MATCH(TRIM(D685),'CLM &amp; IM Mapping'!$A$2:$A$270,0)),"Not Mapped"))</f>
        <v>Arivind S</v>
      </c>
      <c r="G685" s="11" t="s">
        <v>34</v>
      </c>
      <c r="H685" s="10" t="n">
        <v>55</v>
      </c>
      <c r="I685" s="10" t="n">
        <v>1532</v>
      </c>
      <c r="J685" s="10" t="n">
        <v>0</v>
      </c>
      <c r="K685" s="10" t="n">
        <v>183</v>
      </c>
      <c r="L685" s="10" t="n">
        <v>0</v>
      </c>
      <c r="M685" s="10" t="n">
        <v>0</v>
      </c>
      <c r="N685" s="10" t="n">
        <v>0</v>
      </c>
      <c r="O685" s="10" t="n">
        <v>0</v>
      </c>
      <c r="P685" s="10" t="n">
        <v>1769</v>
      </c>
      <c r="Q685" s="11"/>
      <c r="R685" s="11"/>
      <c r="S685" s="19"/>
      <c r="T685" s="11"/>
      <c r="U685" s="21"/>
      <c r="V685" s="15"/>
      <c r="W685" s="8"/>
      <c r="X685" s="8"/>
      <c r="Y685" s="8"/>
      <c r="Z685" s="8"/>
      <c r="AA685" s="8"/>
      <c r="AB685" s="8"/>
      <c r="AC685" s="8"/>
    </row>
    <row r="686" customFormat="false" ht="15.75" hidden="false" customHeight="true" outlineLevel="0" collapsed="false">
      <c r="A686" s="9" t="n">
        <v>46305</v>
      </c>
      <c r="B686" s="11" t="s">
        <v>22</v>
      </c>
      <c r="C686" s="11" t="s">
        <v>23</v>
      </c>
      <c r="D686" s="11" t="s">
        <v>257</v>
      </c>
      <c r="E686" s="11" t="str">
        <f aca="false" t="array" ref="E686:E686">IF(D686="","",IFERROR(INDEX('CLM &amp; IM Mapping'!$B$2:$B$270,MATCH(TRIM(D686),'CLM &amp; IM Mapping'!$A$2:$A$270,0)),"Not Mapped"))</f>
        <v>Raghavendra Vernekar</v>
      </c>
      <c r="F686" s="11" t="str">
        <f aca="false" t="array" ref="F686:F686">IF(D686="","",IFERROR(INDEX('CLM &amp; IM Mapping'!$C$2:$C$270,MATCH(TRIM(D686),'CLM &amp; IM Mapping'!$A$2:$A$270,0)),"Not Mapped"))</f>
        <v>Prakash BS</v>
      </c>
      <c r="G686" s="11" t="s">
        <v>34</v>
      </c>
      <c r="H686" s="10" t="n">
        <v>-57007</v>
      </c>
      <c r="I686" s="10" t="n">
        <v>47181</v>
      </c>
      <c r="J686" s="10" t="n">
        <v>515</v>
      </c>
      <c r="K686" s="10" t="n">
        <v>119</v>
      </c>
      <c r="L686" s="10" t="n">
        <v>1288</v>
      </c>
      <c r="M686" s="10" t="n">
        <v>0</v>
      </c>
      <c r="N686" s="10" t="n">
        <v>0</v>
      </c>
      <c r="O686" s="10" t="n">
        <v>0</v>
      </c>
      <c r="P686" s="10" t="n">
        <v>-7905</v>
      </c>
      <c r="Q686" s="11"/>
      <c r="R686" s="11"/>
      <c r="S686" s="19"/>
      <c r="T686" s="11"/>
      <c r="U686" s="21"/>
      <c r="V686" s="15"/>
      <c r="W686" s="8"/>
      <c r="X686" s="8"/>
      <c r="Y686" s="8"/>
      <c r="Z686" s="8"/>
      <c r="AA686" s="8"/>
      <c r="AB686" s="8"/>
      <c r="AC686" s="8"/>
    </row>
    <row r="687" customFormat="false" ht="15.75" hidden="false" customHeight="true" outlineLevel="0" collapsed="false">
      <c r="A687" s="9" t="n">
        <v>46305</v>
      </c>
      <c r="B687" s="11" t="s">
        <v>22</v>
      </c>
      <c r="C687" s="11" t="s">
        <v>23</v>
      </c>
      <c r="D687" s="11" t="s">
        <v>216</v>
      </c>
      <c r="E687" s="11" t="str">
        <f aca="false" t="array" ref="E687:E687">IF(D687="","",IFERROR(INDEX('CLM &amp; IM Mapping'!$B$2:$B$270,MATCH(TRIM(D687),'CLM &amp; IM Mapping'!$A$2:$A$270,0)),"Not Mapped"))</f>
        <v>Silambarasan E</v>
      </c>
      <c r="F687" s="11" t="str">
        <f aca="false" t="array" ref="F687:F687">IF(D687="","",IFERROR(INDEX('CLM &amp; IM Mapping'!$C$2:$C$270,MATCH(TRIM(D687),'CLM &amp; IM Mapping'!$A$2:$A$270,0)),"Not Mapped"))</f>
        <v>Arivind S</v>
      </c>
      <c r="G687" s="11" t="s">
        <v>34</v>
      </c>
      <c r="H687" s="10" t="n">
        <v>7197</v>
      </c>
      <c r="I687" s="10" t="n">
        <v>11503</v>
      </c>
      <c r="J687" s="10" t="n">
        <v>1545</v>
      </c>
      <c r="K687" s="10" t="n">
        <v>0</v>
      </c>
      <c r="L687" s="10" t="n">
        <v>589</v>
      </c>
      <c r="M687" s="10" t="n">
        <v>0</v>
      </c>
      <c r="N687" s="10" t="n">
        <v>0</v>
      </c>
      <c r="O687" s="10" t="n">
        <v>0</v>
      </c>
      <c r="P687" s="10" t="n">
        <v>20834</v>
      </c>
      <c r="Q687" s="11"/>
      <c r="R687" s="11"/>
      <c r="S687" s="19"/>
      <c r="T687" s="11"/>
      <c r="U687" s="21"/>
      <c r="V687" s="15"/>
      <c r="W687" s="8"/>
      <c r="X687" s="8"/>
      <c r="Y687" s="8"/>
      <c r="Z687" s="8"/>
      <c r="AA687" s="8"/>
      <c r="AB687" s="8"/>
      <c r="AC687" s="8"/>
    </row>
    <row r="688" customFormat="false" ht="15.75" hidden="false" customHeight="true" outlineLevel="0" collapsed="false">
      <c r="A688" s="9" t="n">
        <v>46305</v>
      </c>
      <c r="B688" s="11" t="s">
        <v>22</v>
      </c>
      <c r="C688" s="11" t="s">
        <v>23</v>
      </c>
      <c r="D688" s="11" t="s">
        <v>44</v>
      </c>
      <c r="E688" s="11" t="str">
        <f aca="false" t="array" ref="E688:E688">IF(D688="","",IFERROR(INDEX('CLM &amp; IM Mapping'!$B$2:$B$270,MATCH(TRIM(D688),'CLM &amp; IM Mapping'!$A$2:$A$270,0)),"Not Mapped"))</f>
        <v>Rizwan Ahmed</v>
      </c>
      <c r="F688" s="11" t="str">
        <f aca="false" t="array" ref="F688:F688">IF(D688="","",IFERROR(INDEX('CLM &amp; IM Mapping'!$C$2:$C$270,MATCH(TRIM(D688),'CLM &amp; IM Mapping'!$A$2:$A$270,0)),"Not Mapped"))</f>
        <v>Un Mapped</v>
      </c>
      <c r="G688" s="11" t="s">
        <v>34</v>
      </c>
      <c r="H688" s="10" t="n">
        <v>43405</v>
      </c>
      <c r="I688" s="10" t="n">
        <v>11371</v>
      </c>
      <c r="J688" s="10" t="n">
        <v>0</v>
      </c>
      <c r="K688" s="10" t="n">
        <v>360</v>
      </c>
      <c r="L688" s="10" t="n">
        <v>281</v>
      </c>
      <c r="M688" s="10" t="n">
        <v>0</v>
      </c>
      <c r="N688" s="10" t="n">
        <v>2365</v>
      </c>
      <c r="O688" s="10" t="n">
        <v>0</v>
      </c>
      <c r="P688" s="10" t="n">
        <v>57782</v>
      </c>
      <c r="Q688" s="11"/>
      <c r="R688" s="11"/>
      <c r="S688" s="19"/>
      <c r="T688" s="11"/>
      <c r="U688" s="21"/>
      <c r="V688" s="15"/>
      <c r="W688" s="8"/>
      <c r="X688" s="8"/>
      <c r="Y688" s="8"/>
      <c r="Z688" s="8"/>
      <c r="AA688" s="8"/>
      <c r="AB688" s="8"/>
      <c r="AC688" s="8"/>
    </row>
    <row r="689" customFormat="false" ht="15.75" hidden="false" customHeight="true" outlineLevel="0" collapsed="false">
      <c r="A689" s="9" t="n">
        <v>46305</v>
      </c>
      <c r="B689" s="11" t="s">
        <v>22</v>
      </c>
      <c r="C689" s="11" t="s">
        <v>23</v>
      </c>
      <c r="D689" s="11" t="s">
        <v>231</v>
      </c>
      <c r="E689" s="11" t="str">
        <f aca="false" t="array" ref="E689:E689">IF(D689="","",IFERROR(INDEX('CLM &amp; IM Mapping'!$B$2:$B$270,MATCH(TRIM(D689),'CLM &amp; IM Mapping'!$A$2:$A$270,0)),"Not Mapped"))</f>
        <v>Arun Raj</v>
      </c>
      <c r="F689" s="11" t="str">
        <f aca="false" t="array" ref="F689:F689">IF(D689="","",IFERROR(INDEX('CLM &amp; IM Mapping'!$C$2:$C$270,MATCH(TRIM(D689),'CLM &amp; IM Mapping'!$A$2:$A$270,0)),"Not Mapped"))</f>
        <v>Simon Manoharan</v>
      </c>
      <c r="G689" s="11" t="s">
        <v>25</v>
      </c>
      <c r="H689" s="10" t="n">
        <v>-5355</v>
      </c>
      <c r="I689" s="10" t="n">
        <v>15575</v>
      </c>
      <c r="J689" s="10" t="n">
        <v>0</v>
      </c>
      <c r="K689" s="10" t="n">
        <v>0</v>
      </c>
      <c r="L689" s="10" t="n">
        <v>2046</v>
      </c>
      <c r="M689" s="10" t="n">
        <v>0</v>
      </c>
      <c r="N689" s="10" t="n">
        <v>0</v>
      </c>
      <c r="O689" s="10" t="n">
        <v>0</v>
      </c>
      <c r="P689" s="10" t="n">
        <v>12266</v>
      </c>
      <c r="Q689" s="11"/>
      <c r="R689" s="11"/>
      <c r="S689" s="19"/>
      <c r="T689" s="11"/>
      <c r="U689" s="21"/>
      <c r="V689" s="15"/>
      <c r="W689" s="8"/>
      <c r="X689" s="8"/>
      <c r="Y689" s="8"/>
      <c r="Z689" s="8"/>
      <c r="AA689" s="8"/>
      <c r="AB689" s="8"/>
      <c r="AC689" s="8"/>
    </row>
    <row r="690" customFormat="false" ht="15.75" hidden="false" customHeight="true" outlineLevel="0" collapsed="false">
      <c r="A690" s="9" t="n">
        <v>46305</v>
      </c>
      <c r="B690" s="11" t="s">
        <v>22</v>
      </c>
      <c r="C690" s="11" t="s">
        <v>23</v>
      </c>
      <c r="D690" s="11" t="s">
        <v>242</v>
      </c>
      <c r="E690" s="11" t="str">
        <f aca="false" t="array" ref="E690:E690">IF(D690="","",IFERROR(INDEX('CLM &amp; IM Mapping'!$B$2:$B$270,MATCH(TRIM(D690),'CLM &amp; IM Mapping'!$A$2:$A$270,0)),"Not Mapped"))</f>
        <v>Suhas N</v>
      </c>
      <c r="F690" s="11" t="str">
        <f aca="false" t="array" ref="F690:F690">IF(D690="","",IFERROR(INDEX('CLM &amp; IM Mapping'!$C$2:$C$270,MATCH(TRIM(D690),'CLM &amp; IM Mapping'!$A$2:$A$270,0)),"Not Mapped"))</f>
        <v>Aravind S</v>
      </c>
      <c r="G690" s="11" t="s">
        <v>34</v>
      </c>
      <c r="H690" s="10" t="n">
        <v>-6012</v>
      </c>
      <c r="I690" s="10" t="n">
        <v>9572</v>
      </c>
      <c r="J690" s="10" t="n">
        <v>0</v>
      </c>
      <c r="K690" s="10" t="n">
        <v>1766</v>
      </c>
      <c r="L690" s="10" t="n">
        <v>177</v>
      </c>
      <c r="M690" s="10" t="n">
        <v>0</v>
      </c>
      <c r="N690" s="10" t="n">
        <v>1514</v>
      </c>
      <c r="O690" s="10" t="n">
        <v>0</v>
      </c>
      <c r="P690" s="10" t="n">
        <v>7017</v>
      </c>
      <c r="Q690" s="11"/>
      <c r="R690" s="11"/>
      <c r="S690" s="19"/>
      <c r="T690" s="11"/>
      <c r="U690" s="21"/>
      <c r="V690" s="15"/>
      <c r="W690" s="8"/>
      <c r="X690" s="8"/>
      <c r="Y690" s="8"/>
      <c r="Z690" s="8"/>
      <c r="AA690" s="8"/>
      <c r="AB690" s="8"/>
      <c r="AC690" s="8"/>
    </row>
    <row r="691" customFormat="false" ht="15.75" hidden="false" customHeight="true" outlineLevel="0" collapsed="false">
      <c r="A691" s="9" t="n">
        <v>46305</v>
      </c>
      <c r="B691" s="11" t="s">
        <v>22</v>
      </c>
      <c r="C691" s="11" t="s">
        <v>23</v>
      </c>
      <c r="D691" s="11" t="s">
        <v>460</v>
      </c>
      <c r="E691" s="11" t="str">
        <f aca="false" t="array" ref="E691:E691">IF(D691="","",IFERROR(INDEX('CLM &amp; IM Mapping'!$B$2:$B$270,MATCH(TRIM(D691),'CLM &amp; IM Mapping'!$A$2:$A$270,0)),"Not Mapped"))</f>
        <v>Vijay M</v>
      </c>
      <c r="F691" s="11" t="str">
        <f aca="false" t="array" ref="F691:F691">IF(D691="","",IFERROR(INDEX('CLM &amp; IM Mapping'!$C$2:$C$270,MATCH(TRIM(D691),'CLM &amp; IM Mapping'!$A$2:$A$270,0)),"Not Mapped"))</f>
        <v>Kantha Kumar</v>
      </c>
      <c r="G691" s="11" t="s">
        <v>34</v>
      </c>
      <c r="H691" s="10" t="n">
        <v>-31109</v>
      </c>
      <c r="I691" s="10" t="n">
        <v>20287</v>
      </c>
      <c r="J691" s="10" t="n">
        <v>0</v>
      </c>
      <c r="K691" s="10" t="n">
        <v>508</v>
      </c>
      <c r="L691" s="10" t="n">
        <v>922</v>
      </c>
      <c r="M691" s="10" t="n">
        <v>0</v>
      </c>
      <c r="N691" s="10" t="n">
        <v>0</v>
      </c>
      <c r="O691" s="10" t="n">
        <v>330</v>
      </c>
      <c r="P691" s="10" t="n">
        <v>-9062</v>
      </c>
      <c r="Q691" s="11"/>
      <c r="R691" s="11"/>
      <c r="S691" s="19"/>
      <c r="T691" s="11"/>
      <c r="U691" s="21"/>
      <c r="V691" s="15"/>
      <c r="W691" s="8"/>
      <c r="X691" s="8"/>
      <c r="Y691" s="8"/>
      <c r="Z691" s="8"/>
      <c r="AA691" s="8"/>
      <c r="AB691" s="8"/>
      <c r="AC691" s="8"/>
    </row>
    <row r="692" customFormat="false" ht="15.75" hidden="false" customHeight="true" outlineLevel="0" collapsed="false">
      <c r="A692" s="9" t="n">
        <v>46305</v>
      </c>
      <c r="B692" s="11" t="s">
        <v>22</v>
      </c>
      <c r="C692" s="11" t="s">
        <v>23</v>
      </c>
      <c r="D692" s="11" t="s">
        <v>38</v>
      </c>
      <c r="E692" s="11" t="str">
        <f aca="false" t="array" ref="E692:E692">IF(D692="","",IFERROR(INDEX('CLM &amp; IM Mapping'!$B$2:$B$270,MATCH(TRIM(D692),'CLM &amp; IM Mapping'!$A$2:$A$270,0)),"Not Mapped"))</f>
        <v>Vijay M</v>
      </c>
      <c r="F692" s="11" t="str">
        <f aca="false" t="array" ref="F692:F692">IF(D692="","",IFERROR(INDEX('CLM &amp; IM Mapping'!$C$2:$C$270,MATCH(TRIM(D692),'CLM &amp; IM Mapping'!$A$2:$A$270,0)),"Not Mapped"))</f>
        <v>Kantha Kumar</v>
      </c>
      <c r="G692" s="11" t="s">
        <v>34</v>
      </c>
      <c r="H692" s="10" t="n">
        <v>32877</v>
      </c>
      <c r="I692" s="10" t="n">
        <v>69905</v>
      </c>
      <c r="J692" s="10" t="n">
        <v>222</v>
      </c>
      <c r="K692" s="10" t="n">
        <v>451</v>
      </c>
      <c r="L692" s="10" t="n">
        <v>2940</v>
      </c>
      <c r="M692" s="10" t="n">
        <v>0</v>
      </c>
      <c r="N692" s="10" t="n">
        <v>1688</v>
      </c>
      <c r="O692" s="10" t="n">
        <v>0</v>
      </c>
      <c r="P692" s="10" t="n">
        <v>108084</v>
      </c>
      <c r="Q692" s="11"/>
      <c r="R692" s="11"/>
      <c r="S692" s="19"/>
      <c r="T692" s="11"/>
      <c r="U692" s="21"/>
      <c r="V692" s="15"/>
      <c r="W692" s="8"/>
      <c r="X692" s="8"/>
      <c r="Y692" s="8"/>
      <c r="Z692" s="8"/>
      <c r="AA692" s="8"/>
      <c r="AB692" s="8"/>
      <c r="AC692" s="8"/>
    </row>
    <row r="693" customFormat="false" ht="15.75" hidden="false" customHeight="true" outlineLevel="0" collapsed="false">
      <c r="A693" s="9" t="n">
        <v>46305</v>
      </c>
      <c r="B693" s="11" t="s">
        <v>22</v>
      </c>
      <c r="C693" s="11" t="s">
        <v>23</v>
      </c>
      <c r="D693" s="11" t="s">
        <v>233</v>
      </c>
      <c r="E693" s="11" t="str">
        <f aca="false" t="array" ref="E693:E693">IF(D693="","",IFERROR(INDEX('CLM &amp; IM Mapping'!$B$2:$B$270,MATCH(TRIM(D693),'CLM &amp; IM Mapping'!$A$2:$A$270,0)),"Not Mapped"))</f>
        <v>Suhas N</v>
      </c>
      <c r="F693" s="11" t="str">
        <f aca="false" t="array" ref="F693:F693">IF(D693="","",IFERROR(INDEX('CLM &amp; IM Mapping'!$C$2:$C$270,MATCH(TRIM(D693),'CLM &amp; IM Mapping'!$A$2:$A$270,0)),"Not Mapped"))</f>
        <v>Aravind S</v>
      </c>
      <c r="G693" s="11" t="s">
        <v>34</v>
      </c>
      <c r="H693" s="10" t="n">
        <v>2688</v>
      </c>
      <c r="I693" s="10" t="n">
        <v>7608</v>
      </c>
      <c r="J693" s="10" t="n">
        <v>0</v>
      </c>
      <c r="K693" s="10" t="n">
        <v>75</v>
      </c>
      <c r="L693" s="10" t="n">
        <v>7680</v>
      </c>
      <c r="M693" s="10" t="n">
        <v>0</v>
      </c>
      <c r="N693" s="10" t="n">
        <v>5924</v>
      </c>
      <c r="O693" s="10" t="n">
        <v>0</v>
      </c>
      <c r="P693" s="10" t="n">
        <v>23976</v>
      </c>
      <c r="Q693" s="11"/>
      <c r="R693" s="11"/>
      <c r="S693" s="19"/>
      <c r="T693" s="11"/>
      <c r="U693" s="21"/>
      <c r="V693" s="15"/>
      <c r="W693" s="8"/>
      <c r="X693" s="8"/>
      <c r="Y693" s="8"/>
      <c r="Z693" s="8"/>
      <c r="AA693" s="8"/>
      <c r="AB693" s="8"/>
      <c r="AC693" s="8"/>
    </row>
    <row r="694" customFormat="false" ht="15.75" hidden="false" customHeight="true" outlineLevel="0" collapsed="false">
      <c r="A694" s="9" t="n">
        <v>46305</v>
      </c>
      <c r="B694" s="11" t="s">
        <v>22</v>
      </c>
      <c r="C694" s="11" t="s">
        <v>23</v>
      </c>
      <c r="D694" s="11" t="s">
        <v>309</v>
      </c>
      <c r="E694" s="11" t="str">
        <f aca="false" t="array" ref="E694:E694">IF(D694="","",IFERROR(INDEX('CLM &amp; IM Mapping'!$B$2:$B$270,MATCH(TRIM(D694),'CLM &amp; IM Mapping'!$A$2:$A$270,0)),"Not Mapped"))</f>
        <v>Ashwath S</v>
      </c>
      <c r="F694" s="11" t="str">
        <f aca="false" t="array" ref="F694:F694">IF(D694="","",IFERROR(INDEX('CLM &amp; IM Mapping'!$C$2:$C$270,MATCH(TRIM(D694),'CLM &amp; IM Mapping'!$A$2:$A$270,0)),"Not Mapped"))</f>
        <v>Kantha Kumar</v>
      </c>
      <c r="G694" s="11" t="s">
        <v>34</v>
      </c>
      <c r="H694" s="10" t="n">
        <v>-13326</v>
      </c>
      <c r="I694" s="10" t="n">
        <v>7099</v>
      </c>
      <c r="J694" s="10" t="n">
        <v>55</v>
      </c>
      <c r="K694" s="10" t="n">
        <v>732</v>
      </c>
      <c r="L694" s="10" t="n">
        <v>357</v>
      </c>
      <c r="M694" s="10" t="n">
        <v>0</v>
      </c>
      <c r="N694" s="10" t="n">
        <v>0</v>
      </c>
      <c r="O694" s="10" t="n">
        <v>0</v>
      </c>
      <c r="P694" s="10" t="n">
        <v>-5082</v>
      </c>
      <c r="Q694" s="11"/>
      <c r="R694" s="11"/>
      <c r="S694" s="19"/>
      <c r="T694" s="11"/>
      <c r="U694" s="21"/>
      <c r="V694" s="15"/>
      <c r="W694" s="8"/>
      <c r="X694" s="8"/>
      <c r="Y694" s="8"/>
      <c r="Z694" s="8"/>
      <c r="AA694" s="8"/>
      <c r="AB694" s="8"/>
      <c r="AC694" s="8"/>
    </row>
    <row r="695" customFormat="false" ht="15.75" hidden="false" customHeight="true" outlineLevel="0" collapsed="false">
      <c r="A695" s="9" t="n">
        <v>46305</v>
      </c>
      <c r="B695" s="11" t="s">
        <v>22</v>
      </c>
      <c r="C695" s="11" t="s">
        <v>23</v>
      </c>
      <c r="D695" s="11" t="s">
        <v>348</v>
      </c>
      <c r="E695" s="11" t="str">
        <f aca="false" t="array" ref="E695:E695">IF(D695="","",IFERROR(INDEX('CLM &amp; IM Mapping'!$B$2:$B$270,MATCH(TRIM(D695),'CLM &amp; IM Mapping'!$A$2:$A$270,0)),"Not Mapped"))</f>
        <v>Arun Raj</v>
      </c>
      <c r="F695" s="11" t="str">
        <f aca="false" t="array" ref="F695:F695">IF(D695="","",IFERROR(INDEX('CLM &amp; IM Mapping'!$C$2:$C$270,MATCH(TRIM(D695),'CLM &amp; IM Mapping'!$A$2:$A$270,0)),"Not Mapped"))</f>
        <v>Simon Manoharan</v>
      </c>
      <c r="G695" s="11" t="s">
        <v>25</v>
      </c>
      <c r="H695" s="10" t="n">
        <v>-13760</v>
      </c>
      <c r="I695" s="10" t="n">
        <v>14450</v>
      </c>
      <c r="J695" s="10" t="n">
        <v>0</v>
      </c>
      <c r="K695" s="10" t="n">
        <v>683</v>
      </c>
      <c r="L695" s="10" t="n">
        <v>2075</v>
      </c>
      <c r="M695" s="10" t="n">
        <v>0</v>
      </c>
      <c r="N695" s="10" t="n">
        <v>0</v>
      </c>
      <c r="O695" s="10" t="n">
        <v>0</v>
      </c>
      <c r="P695" s="10" t="n">
        <v>3448</v>
      </c>
      <c r="Q695" s="11"/>
      <c r="R695" s="11"/>
      <c r="S695" s="19"/>
      <c r="T695" s="11"/>
      <c r="U695" s="21"/>
      <c r="V695" s="15"/>
      <c r="W695" s="8"/>
      <c r="X695" s="8"/>
      <c r="Y695" s="8"/>
      <c r="Z695" s="8"/>
      <c r="AA695" s="8"/>
      <c r="AB695" s="8"/>
      <c r="AC695" s="8"/>
    </row>
    <row r="696" customFormat="false" ht="15.75" hidden="false" customHeight="true" outlineLevel="0" collapsed="false">
      <c r="A696" s="9" t="n">
        <v>46305</v>
      </c>
      <c r="B696" s="11" t="s">
        <v>22</v>
      </c>
      <c r="C696" s="11" t="s">
        <v>212</v>
      </c>
      <c r="D696" s="11" t="s">
        <v>472</v>
      </c>
      <c r="E696" s="11" t="str">
        <f aca="false" t="array" ref="E696:E696">IF(D696="","",IFERROR(INDEX('CLM &amp; IM Mapping'!$B$2:$B$270,MATCH(TRIM(D696),'CLM &amp; IM Mapping'!$A$2:$A$270,0)),"Not Mapped"))</f>
        <v>Bangareppa CS</v>
      </c>
      <c r="F696" s="11" t="str">
        <f aca="false" t="array" ref="F696:F696">IF(D696="","",IFERROR(INDEX('CLM &amp; IM Mapping'!$C$2:$C$270,MATCH(TRIM(D696),'CLM &amp; IM Mapping'!$A$2:$A$270,0)),"Not Mapped"))</f>
        <v>Kishor K</v>
      </c>
      <c r="G696" s="11" t="s">
        <v>34</v>
      </c>
      <c r="H696" s="10" t="n">
        <v>-19574</v>
      </c>
      <c r="I696" s="10" t="n">
        <v>6098</v>
      </c>
      <c r="J696" s="10" t="n">
        <v>641</v>
      </c>
      <c r="K696" s="10" t="n">
        <v>0</v>
      </c>
      <c r="L696" s="10" t="n">
        <v>555</v>
      </c>
      <c r="M696" s="10" t="n">
        <v>0</v>
      </c>
      <c r="N696" s="10" t="n">
        <v>0</v>
      </c>
      <c r="O696" s="10" t="n">
        <v>0</v>
      </c>
      <c r="P696" s="10" t="n">
        <v>-12280</v>
      </c>
      <c r="Q696" s="11"/>
      <c r="R696" s="11"/>
      <c r="S696" s="19"/>
      <c r="T696" s="11"/>
      <c r="U696" s="21"/>
      <c r="V696" s="15"/>
      <c r="W696" s="8"/>
      <c r="X696" s="8"/>
      <c r="Y696" s="8"/>
      <c r="Z696" s="8"/>
      <c r="AA696" s="8"/>
      <c r="AB696" s="8"/>
      <c r="AC696" s="8"/>
    </row>
    <row r="697" customFormat="false" ht="15.75" hidden="false" customHeight="true" outlineLevel="0" collapsed="false">
      <c r="A697" s="9" t="n">
        <v>46305</v>
      </c>
      <c r="B697" s="11" t="s">
        <v>22</v>
      </c>
      <c r="C697" s="11" t="s">
        <v>336</v>
      </c>
      <c r="D697" s="11" t="s">
        <v>337</v>
      </c>
      <c r="E697" s="11" t="str">
        <f aca="false" t="array" ref="E697:E697">IF(D697="","",IFERROR(INDEX('CLM &amp; IM Mapping'!$B$2:$B$270,MATCH(TRIM(D697),'CLM &amp; IM Mapping'!$A$2:$A$270,0)),"Not Mapped"))</f>
        <v>Akshay P</v>
      </c>
      <c r="F697" s="11" t="str">
        <f aca="false" t="array" ref="F697:F697">IF(D697="","",IFERROR(INDEX('CLM &amp; IM Mapping'!$C$2:$C$270,MATCH(TRIM(D697),'CLM &amp; IM Mapping'!$A$2:$A$270,0)),"Not Mapped"))</f>
        <v>Srittam Dhal</v>
      </c>
      <c r="G697" s="11" t="s">
        <v>34</v>
      </c>
      <c r="H697" s="10" t="n">
        <v>0</v>
      </c>
      <c r="I697" s="10" t="n">
        <v>965</v>
      </c>
      <c r="J697" s="10" t="n">
        <v>0</v>
      </c>
      <c r="K697" s="10" t="n">
        <v>0</v>
      </c>
      <c r="L697" s="10" t="n">
        <v>0</v>
      </c>
      <c r="M697" s="10" t="n">
        <v>0</v>
      </c>
      <c r="N697" s="10" t="n">
        <v>0</v>
      </c>
      <c r="O697" s="10" t="n">
        <v>0</v>
      </c>
      <c r="P697" s="10" t="n">
        <v>965</v>
      </c>
      <c r="Q697" s="11"/>
      <c r="R697" s="11"/>
      <c r="S697" s="19"/>
      <c r="T697" s="11"/>
      <c r="U697" s="21"/>
      <c r="V697" s="15"/>
      <c r="W697" s="8"/>
      <c r="X697" s="8"/>
      <c r="Y697" s="8"/>
      <c r="Z697" s="8"/>
      <c r="AA697" s="8"/>
      <c r="AB697" s="8"/>
      <c r="AC697" s="8"/>
    </row>
    <row r="698" customFormat="false" ht="15.75" hidden="false" customHeight="true" outlineLevel="0" collapsed="false">
      <c r="A698" s="9" t="n">
        <v>46305</v>
      </c>
      <c r="B698" s="11" t="s">
        <v>22</v>
      </c>
      <c r="C698" s="11" t="s">
        <v>23</v>
      </c>
      <c r="D698" s="11" t="s">
        <v>507</v>
      </c>
      <c r="E698" s="11" t="str">
        <f aca="false" t="array" ref="E698:E698">IF(D698="","",IFERROR(INDEX('CLM &amp; IM Mapping'!$B$2:$B$270,MATCH(TRIM(D698),'CLM &amp; IM Mapping'!$A$2:$A$270,0)),"Not Mapped"))</f>
        <v>Raghavendra Vernekar</v>
      </c>
      <c r="F698" s="11" t="str">
        <f aca="false" t="array" ref="F698:F698">IF(D698="","",IFERROR(INDEX('CLM &amp; IM Mapping'!$C$2:$C$270,MATCH(TRIM(D698),'CLM &amp; IM Mapping'!$A$2:$A$270,0)),"Not Mapped"))</f>
        <v>Prakash BS</v>
      </c>
      <c r="G698" s="11" t="s">
        <v>34</v>
      </c>
      <c r="H698" s="10" t="n">
        <v>-46919</v>
      </c>
      <c r="I698" s="10" t="n">
        <v>3361</v>
      </c>
      <c r="J698" s="10" t="n">
        <v>1831</v>
      </c>
      <c r="K698" s="10" t="n">
        <v>320</v>
      </c>
      <c r="L698" s="10" t="n">
        <v>733</v>
      </c>
      <c r="M698" s="10" t="n">
        <v>0</v>
      </c>
      <c r="N698" s="10" t="n">
        <v>0</v>
      </c>
      <c r="O698" s="10" t="n">
        <v>0</v>
      </c>
      <c r="P698" s="10" t="n">
        <v>-40674</v>
      </c>
      <c r="Q698" s="11"/>
      <c r="R698" s="11"/>
      <c r="S698" s="19"/>
      <c r="T698" s="11"/>
      <c r="U698" s="21"/>
      <c r="V698" s="15"/>
      <c r="W698" s="8"/>
      <c r="X698" s="8"/>
      <c r="Y698" s="8"/>
      <c r="Z698" s="8"/>
      <c r="AA698" s="8"/>
      <c r="AB698" s="8"/>
      <c r="AC698" s="8"/>
    </row>
    <row r="699" customFormat="false" ht="15.75" hidden="false" customHeight="true" outlineLevel="0" collapsed="false">
      <c r="A699" s="9" t="n">
        <v>46305</v>
      </c>
      <c r="B699" s="11" t="s">
        <v>22</v>
      </c>
      <c r="C699" s="11" t="s">
        <v>23</v>
      </c>
      <c r="D699" s="11" t="s">
        <v>515</v>
      </c>
      <c r="E699" s="11" t="str">
        <f aca="false" t="array" ref="E699:E699">IF(D699="","",IFERROR(INDEX('CLM &amp; IM Mapping'!$B$2:$B$270,MATCH(TRIM(D699),'CLM &amp; IM Mapping'!$A$2:$A$270,0)),"Not Mapped"))</f>
        <v>Balaji G</v>
      </c>
      <c r="F699" s="11" t="str">
        <f aca="false" t="array" ref="F699:F699">IF(D699="","",IFERROR(INDEX('CLM &amp; IM Mapping'!$C$2:$C$270,MATCH(TRIM(D699),'CLM &amp; IM Mapping'!$A$2:$A$270,0)),"Not Mapped"))</f>
        <v>Mohammed Akbar</v>
      </c>
      <c r="G699" s="11" t="s">
        <v>34</v>
      </c>
      <c r="H699" s="10" t="n">
        <v>-33371</v>
      </c>
      <c r="I699" s="10" t="n">
        <v>2484</v>
      </c>
      <c r="J699" s="10" t="n">
        <v>0</v>
      </c>
      <c r="K699" s="10" t="n">
        <v>0</v>
      </c>
      <c r="L699" s="10" t="n">
        <v>207</v>
      </c>
      <c r="M699" s="10" t="n">
        <v>0</v>
      </c>
      <c r="N699" s="10" t="n">
        <v>0</v>
      </c>
      <c r="O699" s="10" t="n">
        <v>0</v>
      </c>
      <c r="P699" s="10" t="n">
        <v>-30680</v>
      </c>
      <c r="Q699" s="11"/>
      <c r="R699" s="11"/>
      <c r="S699" s="19"/>
      <c r="T699" s="11"/>
      <c r="U699" s="21"/>
      <c r="V699" s="15"/>
      <c r="W699" s="8"/>
      <c r="X699" s="8"/>
      <c r="Y699" s="8"/>
      <c r="Z699" s="8"/>
      <c r="AA699" s="8"/>
      <c r="AB699" s="8"/>
      <c r="AC699" s="8"/>
    </row>
    <row r="700" customFormat="false" ht="15.75" hidden="false" customHeight="true" outlineLevel="0" collapsed="false">
      <c r="A700" s="9" t="n">
        <v>46305</v>
      </c>
      <c r="B700" s="11" t="s">
        <v>22</v>
      </c>
      <c r="C700" s="11" t="s">
        <v>23</v>
      </c>
      <c r="D700" s="11" t="s">
        <v>288</v>
      </c>
      <c r="E700" s="11" t="str">
        <f aca="false" t="array" ref="E700:E700">IF(D700="","",IFERROR(INDEX('CLM &amp; IM Mapping'!$B$2:$B$270,MATCH(TRIM(D700),'CLM &amp; IM Mapping'!$A$2:$A$270,0)),"Not Mapped"))</f>
        <v>Arun Raj</v>
      </c>
      <c r="F700" s="11" t="str">
        <f aca="false" t="array" ref="F700:F700">IF(D700="","",IFERROR(INDEX('CLM &amp; IM Mapping'!$C$2:$C$270,MATCH(TRIM(D700),'CLM &amp; IM Mapping'!$A$2:$A$270,0)),"Not Mapped"))</f>
        <v>Simon Manoharan</v>
      </c>
      <c r="G700" s="11" t="s">
        <v>25</v>
      </c>
      <c r="H700" s="10" t="n">
        <v>-14601</v>
      </c>
      <c r="I700" s="10" t="n">
        <v>18384</v>
      </c>
      <c r="J700" s="10" t="n">
        <v>0</v>
      </c>
      <c r="K700" s="10" t="n">
        <v>2059</v>
      </c>
      <c r="L700" s="10" t="n">
        <v>1895</v>
      </c>
      <c r="M700" s="10" t="n">
        <v>0</v>
      </c>
      <c r="N700" s="10" t="n">
        <v>0</v>
      </c>
      <c r="O700" s="10" t="n">
        <v>667</v>
      </c>
      <c r="P700" s="10" t="n">
        <v>8402</v>
      </c>
      <c r="Q700" s="11"/>
      <c r="R700" s="11"/>
      <c r="S700" s="19"/>
      <c r="T700" s="11"/>
      <c r="U700" s="21"/>
      <c r="V700" s="15"/>
      <c r="W700" s="8"/>
      <c r="X700" s="8"/>
      <c r="Y700" s="8"/>
      <c r="Z700" s="8"/>
      <c r="AA700" s="8"/>
      <c r="AB700" s="8"/>
      <c r="AC700" s="8"/>
    </row>
    <row r="701" customFormat="false" ht="15.75" hidden="false" customHeight="true" outlineLevel="0" collapsed="false">
      <c r="A701" s="9" t="n">
        <v>46305</v>
      </c>
      <c r="B701" s="11" t="s">
        <v>22</v>
      </c>
      <c r="C701" s="11" t="s">
        <v>23</v>
      </c>
      <c r="D701" s="11" t="s">
        <v>142</v>
      </c>
      <c r="E701" s="11" t="str">
        <f aca="false" t="array" ref="E701:E701">IF(D701="","",IFERROR(INDEX('CLM &amp; IM Mapping'!$B$2:$B$270,MATCH(TRIM(D701),'CLM &amp; IM Mapping'!$A$2:$A$270,0)),"Not Mapped"))</f>
        <v>Sundaresh S</v>
      </c>
      <c r="F701" s="11" t="str">
        <f aca="false" t="array" ref="F701:F701">IF(D701="","",IFERROR(INDEX('CLM &amp; IM Mapping'!$C$2:$C$270,MATCH(TRIM(D701),'CLM &amp; IM Mapping'!$A$2:$A$270,0)),"Not Mapped"))</f>
        <v>Un Mapped</v>
      </c>
      <c r="G701" s="11" t="s">
        <v>34</v>
      </c>
      <c r="H701" s="10" t="n">
        <v>15724</v>
      </c>
      <c r="I701" s="10" t="n">
        <v>14064</v>
      </c>
      <c r="J701" s="10" t="n">
        <v>0</v>
      </c>
      <c r="K701" s="10" t="n">
        <v>1534</v>
      </c>
      <c r="L701" s="10" t="n">
        <v>1316</v>
      </c>
      <c r="M701" s="10" t="n">
        <v>0</v>
      </c>
      <c r="N701" s="10" t="n">
        <v>8465</v>
      </c>
      <c r="O701" s="10" t="n">
        <v>0</v>
      </c>
      <c r="P701" s="10" t="n">
        <v>41104</v>
      </c>
      <c r="Q701" s="11"/>
      <c r="R701" s="11"/>
      <c r="S701" s="19"/>
      <c r="T701" s="11"/>
      <c r="U701" s="21"/>
      <c r="V701" s="15"/>
      <c r="W701" s="8"/>
      <c r="X701" s="8"/>
      <c r="Y701" s="8"/>
      <c r="Z701" s="8"/>
      <c r="AA701" s="8"/>
      <c r="AB701" s="8"/>
      <c r="AC701" s="8"/>
    </row>
    <row r="702" customFormat="false" ht="15.75" hidden="false" customHeight="true" outlineLevel="0" collapsed="false">
      <c r="A702" s="9" t="n">
        <v>46305</v>
      </c>
      <c r="B702" s="11" t="s">
        <v>22</v>
      </c>
      <c r="C702" s="11" t="s">
        <v>23</v>
      </c>
      <c r="D702" s="11" t="s">
        <v>114</v>
      </c>
      <c r="E702" s="11" t="str">
        <f aca="false" t="array" ref="E702:E702">IF(D702="","",IFERROR(INDEX('CLM &amp; IM Mapping'!$B$2:$B$270,MATCH(TRIM(D702),'CLM &amp; IM Mapping'!$A$2:$A$270,0)),"Not Mapped"))</f>
        <v>Adhavan Subramani</v>
      </c>
      <c r="F702" s="11" t="str">
        <f aca="false" t="array" ref="F702:F702">IF(D702="","",IFERROR(INDEX('CLM &amp; IM Mapping'!$C$2:$C$270,MATCH(TRIM(D702),'CLM &amp; IM Mapping'!$A$2:$A$270,0)),"Not Mapped"))</f>
        <v>Mohammed Akbar</v>
      </c>
      <c r="G702" s="11" t="s">
        <v>34</v>
      </c>
      <c r="H702" s="10" t="n">
        <v>-8870</v>
      </c>
      <c r="I702" s="10" t="n">
        <v>7967</v>
      </c>
      <c r="J702" s="10" t="n">
        <v>0</v>
      </c>
      <c r="K702" s="10" t="n">
        <v>4123</v>
      </c>
      <c r="L702" s="10" t="n">
        <v>2324</v>
      </c>
      <c r="M702" s="10" t="n">
        <v>0</v>
      </c>
      <c r="N702" s="10" t="n">
        <v>180</v>
      </c>
      <c r="O702" s="10" t="n">
        <v>248</v>
      </c>
      <c r="P702" s="10" t="n">
        <v>5972</v>
      </c>
      <c r="Q702" s="11"/>
      <c r="R702" s="11"/>
      <c r="S702" s="19"/>
      <c r="T702" s="11"/>
      <c r="U702" s="21"/>
      <c r="V702" s="15"/>
      <c r="W702" s="8"/>
      <c r="X702" s="8"/>
      <c r="Y702" s="8"/>
      <c r="Z702" s="8"/>
      <c r="AA702" s="8"/>
      <c r="AB702" s="8"/>
      <c r="AC702" s="8"/>
    </row>
    <row r="703" customFormat="false" ht="15.75" hidden="false" customHeight="true" outlineLevel="0" collapsed="false">
      <c r="A703" s="9" t="n">
        <v>46305</v>
      </c>
      <c r="B703" s="11" t="s">
        <v>22</v>
      </c>
      <c r="C703" s="11" t="s">
        <v>23</v>
      </c>
      <c r="D703" s="11" t="s">
        <v>500</v>
      </c>
      <c r="E703" s="11" t="str">
        <f aca="false" t="array" ref="E703:E703">IF(D703="","",IFERROR(INDEX('CLM &amp; IM Mapping'!$B$2:$B$270,MATCH(TRIM(D703),'CLM &amp; IM Mapping'!$A$2:$A$270,0)),"Not Mapped"))</f>
        <v>Ravishankar gowda</v>
      </c>
      <c r="F703" s="11" t="str">
        <f aca="false" t="array" ref="F703:F703">IF(D703="","",IFERROR(INDEX('CLM &amp; IM Mapping'!$C$2:$C$270,MATCH(TRIM(D703),'CLM &amp; IM Mapping'!$A$2:$A$270,0)),"Not Mapped"))</f>
        <v>Kishor K</v>
      </c>
      <c r="G703" s="11" t="s">
        <v>34</v>
      </c>
      <c r="H703" s="10" t="n">
        <v>-20257</v>
      </c>
      <c r="I703" s="10" t="n">
        <v>3267</v>
      </c>
      <c r="J703" s="10" t="n">
        <v>0</v>
      </c>
      <c r="K703" s="10" t="n">
        <v>124</v>
      </c>
      <c r="L703" s="10" t="n">
        <v>27</v>
      </c>
      <c r="M703" s="10" t="n">
        <v>0</v>
      </c>
      <c r="N703" s="10" t="n">
        <v>0</v>
      </c>
      <c r="O703" s="10" t="n">
        <v>0</v>
      </c>
      <c r="P703" s="10" t="n">
        <v>-16838</v>
      </c>
      <c r="Q703" s="11"/>
      <c r="R703" s="11"/>
      <c r="S703" s="19"/>
      <c r="T703" s="11"/>
      <c r="U703" s="21"/>
      <c r="V703" s="15"/>
      <c r="W703" s="8"/>
      <c r="X703" s="8"/>
      <c r="Y703" s="8"/>
      <c r="Z703" s="8"/>
      <c r="AA703" s="8"/>
      <c r="AB703" s="8"/>
      <c r="AC703" s="8"/>
    </row>
    <row r="704" customFormat="false" ht="15.75" hidden="false" customHeight="true" outlineLevel="0" collapsed="false">
      <c r="A704" s="9" t="n">
        <v>46305</v>
      </c>
      <c r="B704" s="11" t="s">
        <v>22</v>
      </c>
      <c r="C704" s="11" t="s">
        <v>23</v>
      </c>
      <c r="D704" s="11" t="s">
        <v>490</v>
      </c>
      <c r="E704" s="11" t="str">
        <f aca="false" t="array" ref="E704:E704">IF(D704="","",IFERROR(INDEX('CLM &amp; IM Mapping'!$B$2:$B$270,MATCH(TRIM(D704),'CLM &amp; IM Mapping'!$A$2:$A$270,0)),"Not Mapped"))</f>
        <v>Arun Raj</v>
      </c>
      <c r="F704" s="11" t="str">
        <f aca="false" t="array" ref="F704:F704">IF(D704="","",IFERROR(INDEX('CLM &amp; IM Mapping'!$C$2:$C$270,MATCH(TRIM(D704),'CLM &amp; IM Mapping'!$A$2:$A$270,0)),"Not Mapped"))</f>
        <v>Simon Manoharan</v>
      </c>
      <c r="G704" s="11" t="s">
        <v>25</v>
      </c>
      <c r="H704" s="10" t="n">
        <v>-18247</v>
      </c>
      <c r="I704" s="10" t="n">
        <v>1313</v>
      </c>
      <c r="J704" s="10" t="n">
        <v>0</v>
      </c>
      <c r="K704" s="10" t="n">
        <v>0</v>
      </c>
      <c r="L704" s="10" t="n">
        <v>1452</v>
      </c>
      <c r="M704" s="10" t="n">
        <v>0</v>
      </c>
      <c r="N704" s="10" t="n">
        <v>0</v>
      </c>
      <c r="O704" s="10" t="n">
        <v>0</v>
      </c>
      <c r="P704" s="10" t="n">
        <v>-15482</v>
      </c>
      <c r="Q704" s="11"/>
      <c r="R704" s="11"/>
      <c r="S704" s="19"/>
      <c r="T704" s="11"/>
      <c r="U704" s="21"/>
      <c r="V704" s="15"/>
      <c r="W704" s="8"/>
      <c r="X704" s="8"/>
      <c r="Y704" s="8"/>
      <c r="Z704" s="8"/>
      <c r="AA704" s="8"/>
      <c r="AB704" s="8"/>
      <c r="AC704" s="8"/>
    </row>
    <row r="705" customFormat="false" ht="15.75" hidden="false" customHeight="true" outlineLevel="0" collapsed="false">
      <c r="A705" s="9" t="n">
        <v>46305</v>
      </c>
      <c r="B705" s="11" t="s">
        <v>22</v>
      </c>
      <c r="C705" s="11" t="s">
        <v>23</v>
      </c>
      <c r="D705" s="11" t="s">
        <v>463</v>
      </c>
      <c r="E705" s="11" t="str">
        <f aca="false" t="array" ref="E705:E705">IF(D705="","",IFERROR(INDEX('CLM &amp; IM Mapping'!$B$2:$B$270,MATCH(TRIM(D705),'CLM &amp; IM Mapping'!$A$2:$A$270,0)),"Not Mapped"))</f>
        <v>Ashwath S</v>
      </c>
      <c r="F705" s="11" t="str">
        <f aca="false" t="array" ref="F705:F705">IF(D705="","",IFERROR(INDEX('CLM &amp; IM Mapping'!$C$2:$C$270,MATCH(TRIM(D705),'CLM &amp; IM Mapping'!$A$2:$A$270,0)),"Not Mapped"))</f>
        <v>Kantha Kumar</v>
      </c>
      <c r="G705" s="11" t="s">
        <v>34</v>
      </c>
      <c r="H705" s="10" t="n">
        <v>-25820</v>
      </c>
      <c r="I705" s="10" t="n">
        <v>1376</v>
      </c>
      <c r="J705" s="10" t="n">
        <v>336</v>
      </c>
      <c r="K705" s="10" t="n">
        <v>65</v>
      </c>
      <c r="L705" s="10" t="n">
        <v>59</v>
      </c>
      <c r="M705" s="10" t="n">
        <v>0</v>
      </c>
      <c r="N705" s="10" t="n">
        <v>0</v>
      </c>
      <c r="O705" s="10" t="n">
        <v>0</v>
      </c>
      <c r="P705" s="10" t="n">
        <v>-23984</v>
      </c>
      <c r="Q705" s="11"/>
      <c r="R705" s="11"/>
      <c r="S705" s="19"/>
      <c r="T705" s="11"/>
      <c r="U705" s="21"/>
      <c r="V705" s="15"/>
      <c r="W705" s="8"/>
      <c r="X705" s="8"/>
      <c r="Y705" s="8"/>
      <c r="Z705" s="8"/>
      <c r="AA705" s="8"/>
      <c r="AB705" s="8"/>
      <c r="AC705" s="8"/>
    </row>
    <row r="706" customFormat="false" ht="15.75" hidden="false" customHeight="true" outlineLevel="0" collapsed="false">
      <c r="A706" s="9" t="n">
        <v>46305</v>
      </c>
      <c r="B706" s="11" t="s">
        <v>22</v>
      </c>
      <c r="C706" s="11" t="s">
        <v>23</v>
      </c>
      <c r="D706" s="11" t="s">
        <v>159</v>
      </c>
      <c r="E706" s="11" t="str">
        <f aca="false" t="array" ref="E706:E706">IF(D706="","",IFERROR(INDEX('CLM &amp; IM Mapping'!$B$2:$B$270,MATCH(TRIM(D706),'CLM &amp; IM Mapping'!$A$2:$A$270,0)),"Not Mapped"))</f>
        <v>Rizwan Ahmed</v>
      </c>
      <c r="F706" s="11" t="str">
        <f aca="false" t="array" ref="F706:F706">IF(D706="","",IFERROR(INDEX('CLM &amp; IM Mapping'!$C$2:$C$270,MATCH(TRIM(D706),'CLM &amp; IM Mapping'!$A$2:$A$270,0)),"Not Mapped"))</f>
        <v>Un Mapped</v>
      </c>
      <c r="G706" s="11" t="s">
        <v>34</v>
      </c>
      <c r="H706" s="10" t="n">
        <v>16694</v>
      </c>
      <c r="I706" s="10" t="n">
        <v>11476</v>
      </c>
      <c r="J706" s="10" t="n">
        <v>118</v>
      </c>
      <c r="K706" s="10" t="n">
        <v>6630</v>
      </c>
      <c r="L706" s="10" t="n">
        <v>860</v>
      </c>
      <c r="M706" s="10" t="n">
        <v>0</v>
      </c>
      <c r="N706" s="10" t="n">
        <v>0</v>
      </c>
      <c r="O706" s="10" t="n">
        <v>0</v>
      </c>
      <c r="P706" s="10" t="n">
        <v>35777</v>
      </c>
      <c r="Q706" s="11"/>
      <c r="R706" s="11"/>
      <c r="S706" s="19"/>
      <c r="T706" s="11"/>
      <c r="U706" s="21"/>
      <c r="V706" s="15"/>
      <c r="W706" s="8"/>
      <c r="X706" s="8"/>
      <c r="Y706" s="8"/>
      <c r="Z706" s="8"/>
      <c r="AA706" s="8"/>
      <c r="AB706" s="8"/>
      <c r="AC706" s="8"/>
    </row>
    <row r="707" customFormat="false" ht="15.75" hidden="false" customHeight="true" outlineLevel="0" collapsed="false">
      <c r="A707" s="9" t="n">
        <v>46305</v>
      </c>
      <c r="B707" s="11" t="s">
        <v>22</v>
      </c>
      <c r="C707" s="11" t="s">
        <v>23</v>
      </c>
      <c r="D707" s="11" t="s">
        <v>165</v>
      </c>
      <c r="E707" s="11" t="str">
        <f aca="false" t="array" ref="E707:E707">IF(D707="","",IFERROR(INDEX('CLM &amp; IM Mapping'!$B$2:$B$270,MATCH(TRIM(D707),'CLM &amp; IM Mapping'!$A$2:$A$270,0)),"Not Mapped"))</f>
        <v>Akshay P</v>
      </c>
      <c r="F707" s="11" t="str">
        <f aca="false" t="array" ref="F707:F707">IF(D707="","",IFERROR(INDEX('CLM &amp; IM Mapping'!$C$2:$C$270,MATCH(TRIM(D707),'CLM &amp; IM Mapping'!$A$2:$A$270,0)),"Not Mapped"))</f>
        <v>Srittam Dhal</v>
      </c>
      <c r="G707" s="11" t="s">
        <v>34</v>
      </c>
      <c r="H707" s="10" t="n">
        <v>-30422</v>
      </c>
      <c r="I707" s="10" t="n">
        <v>33000</v>
      </c>
      <c r="J707" s="10" t="n">
        <v>300</v>
      </c>
      <c r="K707" s="10" t="n">
        <v>939</v>
      </c>
      <c r="L707" s="10" t="n">
        <v>1043</v>
      </c>
      <c r="M707" s="10" t="n">
        <v>0</v>
      </c>
      <c r="N707" s="10" t="n">
        <v>1092</v>
      </c>
      <c r="O707" s="10" t="n">
        <v>63</v>
      </c>
      <c r="P707" s="10" t="n">
        <v>6015</v>
      </c>
      <c r="Q707" s="11"/>
      <c r="R707" s="11"/>
      <c r="S707" s="19"/>
      <c r="T707" s="11"/>
      <c r="U707" s="21"/>
      <c r="V707" s="15"/>
      <c r="W707" s="8"/>
      <c r="X707" s="8"/>
      <c r="Y707" s="8"/>
      <c r="Z707" s="8"/>
      <c r="AA707" s="8"/>
      <c r="AB707" s="8"/>
      <c r="AC707" s="8"/>
    </row>
    <row r="708" customFormat="false" ht="15.75" hidden="false" customHeight="true" outlineLevel="0" collapsed="false">
      <c r="A708" s="9" t="n">
        <v>46305</v>
      </c>
      <c r="B708" s="11" t="s">
        <v>22</v>
      </c>
      <c r="C708" s="11" t="s">
        <v>23</v>
      </c>
      <c r="D708" s="11" t="s">
        <v>62</v>
      </c>
      <c r="E708" s="11" t="str">
        <f aca="false" t="array" ref="E708:E708">IF(D708="","",IFERROR(INDEX('CLM &amp; IM Mapping'!$B$2:$B$270,MATCH(TRIM(D708),'CLM &amp; IM Mapping'!$A$2:$A$270,0)),"Not Mapped"))</f>
        <v>Basil Scariya</v>
      </c>
      <c r="F708" s="11" t="str">
        <f aca="false" t="array" ref="F708:F708">IF(D708="","",IFERROR(INDEX('CLM &amp; IM Mapping'!$C$2:$C$270,MATCH(TRIM(D708),'CLM &amp; IM Mapping'!$A$2:$A$270,0)),"Not Mapped"))</f>
        <v>Prakash BS</v>
      </c>
      <c r="G708" s="11" t="s">
        <v>34</v>
      </c>
      <c r="H708" s="10" t="n">
        <v>19879</v>
      </c>
      <c r="I708" s="10" t="n">
        <v>15795</v>
      </c>
      <c r="J708" s="10" t="n">
        <v>0</v>
      </c>
      <c r="K708" s="10" t="n">
        <v>0</v>
      </c>
      <c r="L708" s="10" t="n">
        <v>461</v>
      </c>
      <c r="M708" s="10" t="n">
        <v>0</v>
      </c>
      <c r="N708" s="10" t="n">
        <v>1350</v>
      </c>
      <c r="O708" s="10" t="n">
        <v>0</v>
      </c>
      <c r="P708" s="10" t="n">
        <v>37484</v>
      </c>
      <c r="Q708" s="11"/>
      <c r="R708" s="11"/>
      <c r="S708" s="19"/>
      <c r="T708" s="11"/>
      <c r="U708" s="21"/>
      <c r="V708" s="15"/>
      <c r="W708" s="8"/>
      <c r="X708" s="8"/>
      <c r="Y708" s="8"/>
      <c r="Z708" s="8"/>
      <c r="AA708" s="8"/>
      <c r="AB708" s="8"/>
      <c r="AC708" s="8"/>
    </row>
    <row r="709" customFormat="false" ht="15.75" hidden="false" customHeight="true" outlineLevel="0" collapsed="false">
      <c r="A709" s="9" t="n">
        <v>46305</v>
      </c>
      <c r="B709" s="11" t="s">
        <v>22</v>
      </c>
      <c r="C709" s="11" t="s">
        <v>23</v>
      </c>
      <c r="D709" s="11" t="s">
        <v>548</v>
      </c>
      <c r="E709" s="11" t="str">
        <f aca="false" t="array" ref="E709:E709">IF(D709="","",IFERROR(INDEX('CLM &amp; IM Mapping'!$B$2:$B$270,MATCH(TRIM(D709),'CLM &amp; IM Mapping'!$A$2:$A$270,0)),"Not Mapped"))</f>
        <v>Arun Raj</v>
      </c>
      <c r="F709" s="11" t="str">
        <f aca="false" t="array" ref="F709:F709">IF(D709="","",IFERROR(INDEX('CLM &amp; IM Mapping'!$C$2:$C$270,MATCH(TRIM(D709),'CLM &amp; IM Mapping'!$A$2:$A$270,0)),"Not Mapped"))</f>
        <v>Simon Manoharan</v>
      </c>
      <c r="G709" s="11" t="s">
        <v>25</v>
      </c>
      <c r="H709" s="10" t="n">
        <v>-2233</v>
      </c>
      <c r="I709" s="10" t="n">
        <v>0</v>
      </c>
      <c r="J709" s="10" t="n">
        <v>0</v>
      </c>
      <c r="K709" s="10" t="n">
        <v>0</v>
      </c>
      <c r="L709" s="10" t="n">
        <v>8786</v>
      </c>
      <c r="M709" s="10" t="n">
        <v>0</v>
      </c>
      <c r="N709" s="10" t="n">
        <v>0</v>
      </c>
      <c r="O709" s="10" t="n">
        <v>0</v>
      </c>
      <c r="P709" s="10" t="n">
        <v>6553</v>
      </c>
      <c r="Q709" s="11"/>
      <c r="R709" s="11"/>
      <c r="S709" s="19"/>
      <c r="T709" s="11"/>
      <c r="U709" s="21"/>
      <c r="V709" s="15"/>
      <c r="W709" s="8"/>
      <c r="X709" s="8"/>
      <c r="Y709" s="8"/>
      <c r="Z709" s="8"/>
      <c r="AA709" s="8"/>
      <c r="AB709" s="8"/>
      <c r="AC709" s="8"/>
    </row>
    <row r="710" customFormat="false" ht="15.75" hidden="false" customHeight="true" outlineLevel="0" collapsed="false">
      <c r="A710" s="9" t="n">
        <v>46305</v>
      </c>
      <c r="B710" s="11" t="s">
        <v>22</v>
      </c>
      <c r="C710" s="11" t="s">
        <v>276</v>
      </c>
      <c r="D710" s="11" t="s">
        <v>325</v>
      </c>
      <c r="E710" s="11" t="str">
        <f aca="false" t="array" ref="E710:E710">IF(D710="","",IFERROR(INDEX('CLM &amp; IM Mapping'!$B$2:$B$270,MATCH(TRIM(D710),'CLM &amp; IM Mapping'!$A$2:$A$270,0)),"Not Mapped"))</f>
        <v>Santhosha M</v>
      </c>
      <c r="F710" s="11" t="str">
        <f aca="false" t="array" ref="F710:F710">IF(D710="","",IFERROR(INDEX('CLM &amp; IM Mapping'!$C$2:$C$270,MATCH(TRIM(D710),'CLM &amp; IM Mapping'!$A$2:$A$270,0)),"Not Mapped"))</f>
        <v>Aravind S</v>
      </c>
      <c r="G710" s="11" t="s">
        <v>34</v>
      </c>
      <c r="H710" s="10" t="n">
        <v>5954</v>
      </c>
      <c r="I710" s="10" t="n">
        <v>0</v>
      </c>
      <c r="J710" s="10" t="n">
        <v>0</v>
      </c>
      <c r="K710" s="10" t="n">
        <v>0</v>
      </c>
      <c r="L710" s="10" t="n">
        <v>100</v>
      </c>
      <c r="M710" s="10" t="n">
        <v>0</v>
      </c>
      <c r="N710" s="10" t="n">
        <v>0</v>
      </c>
      <c r="O710" s="10" t="n">
        <v>0</v>
      </c>
      <c r="P710" s="10" t="n">
        <v>6055</v>
      </c>
      <c r="Q710" s="11"/>
      <c r="R710" s="11"/>
      <c r="S710" s="19"/>
      <c r="T710" s="11"/>
      <c r="U710" s="21"/>
      <c r="V710" s="15"/>
      <c r="W710" s="8"/>
      <c r="X710" s="8"/>
      <c r="Y710" s="8"/>
      <c r="Z710" s="8"/>
      <c r="AA710" s="8"/>
      <c r="AB710" s="8"/>
      <c r="AC710" s="8"/>
    </row>
    <row r="711" customFormat="false" ht="15.75" hidden="false" customHeight="true" outlineLevel="0" collapsed="false">
      <c r="A711" s="9" t="n">
        <v>46305</v>
      </c>
      <c r="B711" s="11" t="s">
        <v>22</v>
      </c>
      <c r="C711" s="11" t="s">
        <v>23</v>
      </c>
      <c r="D711" s="11" t="s">
        <v>422</v>
      </c>
      <c r="E711" s="11" t="str">
        <f aca="false" t="array" ref="E711:E711">IF(D711="","",IFERROR(INDEX('CLM &amp; IM Mapping'!$B$2:$B$270,MATCH(TRIM(D711),'CLM &amp; IM Mapping'!$A$2:$A$270,0)),"Not Mapped"))</f>
        <v>Manjunatha V</v>
      </c>
      <c r="F711" s="11" t="str">
        <f aca="false" t="array" ref="F711:F711">IF(D711="","",IFERROR(INDEX('CLM &amp; IM Mapping'!$C$2:$C$270,MATCH(TRIM(D711),'CLM &amp; IM Mapping'!$A$2:$A$270,0)),"Not Mapped"))</f>
        <v>Un Mapped</v>
      </c>
      <c r="G711" s="11" t="s">
        <v>34</v>
      </c>
      <c r="H711" s="10" t="n">
        <v>-13521</v>
      </c>
      <c r="I711" s="10" t="n">
        <v>5734</v>
      </c>
      <c r="J711" s="10" t="n">
        <v>0</v>
      </c>
      <c r="K711" s="10" t="n">
        <v>176</v>
      </c>
      <c r="L711" s="10" t="n">
        <v>1216</v>
      </c>
      <c r="M711" s="10" t="n">
        <v>0</v>
      </c>
      <c r="N711" s="10" t="n">
        <v>0</v>
      </c>
      <c r="O711" s="10" t="n">
        <v>66</v>
      </c>
      <c r="P711" s="10" t="n">
        <v>-6328</v>
      </c>
      <c r="Q711" s="11"/>
      <c r="R711" s="11"/>
      <c r="S711" s="19"/>
      <c r="T711" s="11"/>
      <c r="U711" s="21"/>
      <c r="V711" s="15"/>
      <c r="W711" s="8"/>
      <c r="X711" s="8"/>
      <c r="Y711" s="8"/>
      <c r="Z711" s="8"/>
      <c r="AA711" s="8"/>
      <c r="AB711" s="8"/>
      <c r="AC711" s="8"/>
    </row>
    <row r="712" customFormat="false" ht="15.75" hidden="false" customHeight="true" outlineLevel="0" collapsed="false">
      <c r="A712" s="9" t="n">
        <v>46305</v>
      </c>
      <c r="B712" s="11" t="s">
        <v>22</v>
      </c>
      <c r="C712" s="11" t="s">
        <v>23</v>
      </c>
      <c r="D712" s="11" t="s">
        <v>513</v>
      </c>
      <c r="E712" s="11" t="str">
        <f aca="false" t="array" ref="E712:E712">IF(D712="","",IFERROR(INDEX('CLM &amp; IM Mapping'!$B$2:$B$270,MATCH(TRIM(D712),'CLM &amp; IM Mapping'!$A$2:$A$270,0)),"Not Mapped"))</f>
        <v>Manoj Kj</v>
      </c>
      <c r="F712" s="11" t="str">
        <f aca="false" t="array" ref="F712:F712">IF(D712="","",IFERROR(INDEX('CLM &amp; IM Mapping'!$C$2:$C$270,MATCH(TRIM(D712),'CLM &amp; IM Mapping'!$A$2:$A$270,0)),"Not Mapped"))</f>
        <v>Srittam Dhal</v>
      </c>
      <c r="G712" s="11" t="s">
        <v>34</v>
      </c>
      <c r="H712" s="10" t="n">
        <v>-34184</v>
      </c>
      <c r="I712" s="10" t="n">
        <v>19</v>
      </c>
      <c r="J712" s="10" t="n">
        <v>855</v>
      </c>
      <c r="K712" s="10" t="n">
        <v>0</v>
      </c>
      <c r="L712" s="10" t="n">
        <v>159</v>
      </c>
      <c r="M712" s="10" t="n">
        <v>0</v>
      </c>
      <c r="N712" s="10" t="n">
        <v>0</v>
      </c>
      <c r="O712" s="10" t="n">
        <v>0</v>
      </c>
      <c r="P712" s="10" t="n">
        <v>-33151</v>
      </c>
      <c r="Q712" s="11"/>
      <c r="R712" s="11"/>
      <c r="S712" s="19"/>
      <c r="T712" s="11"/>
      <c r="U712" s="21"/>
      <c r="V712" s="15"/>
      <c r="W712" s="8"/>
      <c r="X712" s="8"/>
      <c r="Y712" s="8"/>
      <c r="Z712" s="8"/>
      <c r="AA712" s="8"/>
      <c r="AB712" s="8"/>
      <c r="AC712" s="8"/>
    </row>
    <row r="713" customFormat="false" ht="15.75" hidden="false" customHeight="true" outlineLevel="0" collapsed="false">
      <c r="A713" s="9" t="n">
        <v>46305</v>
      </c>
      <c r="B713" s="11" t="s">
        <v>22</v>
      </c>
      <c r="C713" s="11" t="s">
        <v>23</v>
      </c>
      <c r="D713" s="11" t="s">
        <v>311</v>
      </c>
      <c r="E713" s="11" t="str">
        <f aca="false" t="array" ref="E713:E713">IF(D713="","",IFERROR(INDEX('CLM &amp; IM Mapping'!$B$2:$B$270,MATCH(TRIM(D713),'CLM &amp; IM Mapping'!$A$2:$A$270,0)),"Not Mapped"))</f>
        <v>Manjunatha V</v>
      </c>
      <c r="F713" s="11" t="str">
        <f aca="false" t="array" ref="F713:F713">IF(D713="","",IFERROR(INDEX('CLM &amp; IM Mapping'!$C$2:$C$270,MATCH(TRIM(D713),'CLM &amp; IM Mapping'!$A$2:$A$270,0)),"Not Mapped"))</f>
        <v>Un Mapped</v>
      </c>
      <c r="G713" s="11" t="s">
        <v>34</v>
      </c>
      <c r="H713" s="10" t="n">
        <v>-7674</v>
      </c>
      <c r="I713" s="10" t="n">
        <v>9810</v>
      </c>
      <c r="J713" s="10" t="n">
        <v>0</v>
      </c>
      <c r="K713" s="10" t="n">
        <v>0</v>
      </c>
      <c r="L713" s="10" t="n">
        <v>0</v>
      </c>
      <c r="M713" s="10" t="n">
        <v>0</v>
      </c>
      <c r="N713" s="10" t="n">
        <v>0</v>
      </c>
      <c r="O713" s="10" t="n">
        <v>0</v>
      </c>
      <c r="P713" s="10" t="n">
        <v>2135</v>
      </c>
      <c r="Q713" s="11"/>
      <c r="R713" s="11"/>
      <c r="S713" s="19"/>
      <c r="T713" s="11"/>
      <c r="U713" s="21"/>
      <c r="V713" s="15"/>
      <c r="W713" s="8"/>
      <c r="X713" s="8"/>
      <c r="Y713" s="8"/>
      <c r="Z713" s="8"/>
      <c r="AA713" s="8"/>
      <c r="AB713" s="8"/>
      <c r="AC713" s="8"/>
    </row>
    <row r="714" customFormat="false" ht="15.75" hidden="false" customHeight="true" outlineLevel="0" collapsed="false">
      <c r="A714" s="9" t="n">
        <v>46305</v>
      </c>
      <c r="B714" s="11" t="s">
        <v>22</v>
      </c>
      <c r="C714" s="11" t="s">
        <v>23</v>
      </c>
      <c r="D714" s="11" t="s">
        <v>477</v>
      </c>
      <c r="E714" s="11" t="str">
        <f aca="false" t="array" ref="E714:E714">IF(D714="","",IFERROR(INDEX('CLM &amp; IM Mapping'!$B$2:$B$270,MATCH(TRIM(D714),'CLM &amp; IM Mapping'!$A$2:$A$270,0)),"Not Mapped"))</f>
        <v>MH</v>
      </c>
      <c r="F714" s="11" t="str">
        <f aca="false" t="array" ref="F714:F714">IF(D714="","",IFERROR(INDEX('CLM &amp; IM Mapping'!$C$2:$C$270,MATCH(TRIM(D714),'CLM &amp; IM Mapping'!$A$2:$A$270,0)),"Not Mapped"))</f>
        <v>MH</v>
      </c>
      <c r="G714" s="11" t="s">
        <v>34</v>
      </c>
      <c r="H714" s="10" t="n">
        <v>-68800</v>
      </c>
      <c r="I714" s="10" t="n">
        <v>0</v>
      </c>
      <c r="J714" s="10" t="n">
        <v>0</v>
      </c>
      <c r="K714" s="10" t="n">
        <v>0</v>
      </c>
      <c r="L714" s="10" t="n">
        <v>1080</v>
      </c>
      <c r="M714" s="10" t="n">
        <v>0</v>
      </c>
      <c r="N714" s="10" t="n">
        <v>0</v>
      </c>
      <c r="O714" s="10" t="n">
        <v>0</v>
      </c>
      <c r="P714" s="10" t="n">
        <v>-67720</v>
      </c>
      <c r="Q714" s="11"/>
      <c r="R714" s="11"/>
      <c r="S714" s="19"/>
      <c r="T714" s="11"/>
      <c r="U714" s="21"/>
      <c r="V714" s="15"/>
      <c r="W714" s="8"/>
      <c r="X714" s="8"/>
      <c r="Y714" s="8"/>
      <c r="Z714" s="8"/>
      <c r="AA714" s="8"/>
      <c r="AB714" s="8"/>
      <c r="AC714" s="8"/>
    </row>
    <row r="715" customFormat="false" ht="15.75" hidden="false" customHeight="true" outlineLevel="0" collapsed="false">
      <c r="A715" s="9" t="n">
        <v>46305</v>
      </c>
      <c r="B715" s="11" t="s">
        <v>22</v>
      </c>
      <c r="C715" s="11" t="s">
        <v>23</v>
      </c>
      <c r="D715" s="11" t="s">
        <v>334</v>
      </c>
      <c r="E715" s="11" t="str">
        <f aca="false" t="array" ref="E715:E715">IF(D715="","",IFERROR(INDEX('CLM &amp; IM Mapping'!$B$2:$B$270,MATCH(TRIM(D715),'CLM &amp; IM Mapping'!$A$2:$A$270,0)),"Not Mapped"))</f>
        <v>Akshay P</v>
      </c>
      <c r="F715" s="11" t="str">
        <f aca="false" t="array" ref="F715:F715">IF(D715="","",IFERROR(INDEX('CLM &amp; IM Mapping'!$C$2:$C$270,MATCH(TRIM(D715),'CLM &amp; IM Mapping'!$A$2:$A$270,0)),"Not Mapped"))</f>
        <v>Srittam Dhal</v>
      </c>
      <c r="G715" s="11" t="s">
        <v>34</v>
      </c>
      <c r="H715" s="10" t="n">
        <v>-343</v>
      </c>
      <c r="I715" s="10" t="n">
        <v>35</v>
      </c>
      <c r="J715" s="10" t="n">
        <v>42</v>
      </c>
      <c r="K715" s="10" t="n">
        <v>94</v>
      </c>
      <c r="L715" s="10" t="n">
        <v>682</v>
      </c>
      <c r="M715" s="10" t="n">
        <v>0</v>
      </c>
      <c r="N715" s="10" t="n">
        <v>0</v>
      </c>
      <c r="O715" s="10" t="n">
        <v>0</v>
      </c>
      <c r="P715" s="10" t="n">
        <v>509</v>
      </c>
      <c r="Q715" s="11"/>
      <c r="R715" s="11"/>
      <c r="S715" s="19"/>
      <c r="T715" s="11"/>
      <c r="U715" s="21"/>
      <c r="V715" s="15"/>
      <c r="W715" s="8"/>
      <c r="X715" s="8"/>
      <c r="Y715" s="8"/>
      <c r="Z715" s="8"/>
      <c r="AA715" s="8"/>
      <c r="AB715" s="8"/>
      <c r="AC715" s="8"/>
    </row>
    <row r="716" customFormat="false" ht="15.75" hidden="false" customHeight="true" outlineLevel="0" collapsed="false">
      <c r="A716" s="9" t="n">
        <v>46305</v>
      </c>
      <c r="B716" s="11" t="s">
        <v>22</v>
      </c>
      <c r="C716" s="11" t="s">
        <v>261</v>
      </c>
      <c r="D716" s="11" t="s">
        <v>262</v>
      </c>
      <c r="E716" s="11" t="str">
        <f aca="false" t="array" ref="E716:E716">IF(D716="","",IFERROR(INDEX('CLM &amp; IM Mapping'!$B$2:$B$270,MATCH(TRIM(D716),'CLM &amp; IM Mapping'!$A$2:$A$270,0)),"Not Mapped"))</f>
        <v>Majid Kakatikar</v>
      </c>
      <c r="F716" s="11" t="str">
        <f aca="false" t="array" ref="F716:F716">IF(D716="","",IFERROR(INDEX('CLM &amp; IM Mapping'!$C$2:$C$270,MATCH(TRIM(D716),'CLM &amp; IM Mapping'!$A$2:$A$270,0)),"Not Mapped"))</f>
        <v>Kishor K</v>
      </c>
      <c r="G716" s="11" t="s">
        <v>34</v>
      </c>
      <c r="H716" s="10" t="n">
        <v>-6074</v>
      </c>
      <c r="I716" s="10" t="n">
        <v>6900</v>
      </c>
      <c r="J716" s="10" t="n">
        <v>0</v>
      </c>
      <c r="K716" s="10" t="n">
        <v>430</v>
      </c>
      <c r="L716" s="10" t="n">
        <v>691</v>
      </c>
      <c r="M716" s="10" t="n">
        <v>0</v>
      </c>
      <c r="N716" s="10" t="n">
        <v>0</v>
      </c>
      <c r="O716" s="10" t="n">
        <v>0</v>
      </c>
      <c r="P716" s="10" t="n">
        <v>1947</v>
      </c>
      <c r="Q716" s="11"/>
      <c r="R716" s="11"/>
      <c r="S716" s="19"/>
      <c r="T716" s="11"/>
      <c r="U716" s="21"/>
      <c r="V716" s="15"/>
      <c r="W716" s="8"/>
      <c r="X716" s="8"/>
      <c r="Y716" s="8"/>
      <c r="Z716" s="8"/>
      <c r="AA716" s="8"/>
      <c r="AB716" s="8"/>
      <c r="AC716" s="8"/>
    </row>
    <row r="717" customFormat="false" ht="15.75" hidden="false" customHeight="true" outlineLevel="0" collapsed="false">
      <c r="A717" s="9" t="n">
        <v>46305</v>
      </c>
      <c r="B717" s="11" t="s">
        <v>22</v>
      </c>
      <c r="C717" s="11" t="s">
        <v>23</v>
      </c>
      <c r="D717" s="11" t="s">
        <v>203</v>
      </c>
      <c r="E717" s="11" t="str">
        <f aca="false" t="array" ref="E717:E717">IF(D717="","",IFERROR(INDEX('CLM &amp; IM Mapping'!$B$2:$B$270,MATCH(TRIM(D717),'CLM &amp; IM Mapping'!$A$2:$A$270,0)),"Not Mapped"))</f>
        <v>Suhas N</v>
      </c>
      <c r="F717" s="11" t="str">
        <f aca="false" t="array" ref="F717:F717">IF(D717="","",IFERROR(INDEX('CLM &amp; IM Mapping'!$C$2:$C$270,MATCH(TRIM(D717),'CLM &amp; IM Mapping'!$A$2:$A$270,0)),"Not Mapped"))</f>
        <v>Aravind S</v>
      </c>
      <c r="G717" s="11" t="s">
        <v>34</v>
      </c>
      <c r="H717" s="10" t="n">
        <v>13019</v>
      </c>
      <c r="I717" s="10" t="n">
        <v>16220</v>
      </c>
      <c r="J717" s="10" t="n">
        <v>0</v>
      </c>
      <c r="K717" s="10" t="n">
        <v>0</v>
      </c>
      <c r="L717" s="10" t="n">
        <v>1923</v>
      </c>
      <c r="M717" s="10" t="n">
        <v>0</v>
      </c>
      <c r="N717" s="10" t="n">
        <v>0</v>
      </c>
      <c r="O717" s="10" t="n">
        <v>0</v>
      </c>
      <c r="P717" s="10" t="n">
        <v>31162</v>
      </c>
      <c r="Q717" s="11"/>
      <c r="R717" s="11"/>
      <c r="S717" s="19"/>
      <c r="T717" s="11"/>
      <c r="U717" s="21"/>
      <c r="V717" s="15"/>
      <c r="W717" s="8"/>
      <c r="X717" s="8"/>
      <c r="Y717" s="8"/>
      <c r="Z717" s="8"/>
      <c r="AA717" s="8"/>
      <c r="AB717" s="8"/>
      <c r="AC717" s="8"/>
    </row>
    <row r="718" customFormat="false" ht="15.75" hidden="false" customHeight="true" outlineLevel="0" collapsed="false">
      <c r="A718" s="9" t="n">
        <v>46305</v>
      </c>
      <c r="B718" s="11" t="s">
        <v>22</v>
      </c>
      <c r="C718" s="11" t="s">
        <v>23</v>
      </c>
      <c r="D718" s="11" t="s">
        <v>457</v>
      </c>
      <c r="E718" s="11" t="str">
        <f aca="false" t="array" ref="E718:E718">IF(D718="","",IFERROR(INDEX('CLM &amp; IM Mapping'!$B$2:$B$270,MATCH(TRIM(D718),'CLM &amp; IM Mapping'!$A$2:$A$270,0)),"Not Mapped"))</f>
        <v>Saddam Hussain</v>
      </c>
      <c r="F718" s="11" t="str">
        <f aca="false" t="array" ref="F718:F718">IF(D718="","",IFERROR(INDEX('CLM &amp; IM Mapping'!$C$2:$C$270,MATCH(TRIM(D718),'CLM &amp; IM Mapping'!$A$2:$A$270,0)),"Not Mapped"))</f>
        <v>Un Mapped</v>
      </c>
      <c r="G718" s="11" t="s">
        <v>34</v>
      </c>
      <c r="H718" s="10" t="n">
        <v>-7430</v>
      </c>
      <c r="I718" s="10" t="n">
        <v>220</v>
      </c>
      <c r="J718" s="10" t="n">
        <v>0</v>
      </c>
      <c r="K718" s="10" t="n">
        <v>0</v>
      </c>
      <c r="L718" s="10" t="n">
        <v>668</v>
      </c>
      <c r="M718" s="10" t="n">
        <v>0</v>
      </c>
      <c r="N718" s="10" t="n">
        <v>0</v>
      </c>
      <c r="O718" s="10" t="n">
        <v>0</v>
      </c>
      <c r="P718" s="10" t="n">
        <v>-6542</v>
      </c>
      <c r="Q718" s="11"/>
      <c r="R718" s="11"/>
      <c r="S718" s="19"/>
      <c r="T718" s="11"/>
      <c r="U718" s="21"/>
      <c r="V718" s="15"/>
      <c r="W718" s="8"/>
      <c r="X718" s="8"/>
      <c r="Y718" s="8"/>
      <c r="Z718" s="8"/>
      <c r="AA718" s="8"/>
      <c r="AB718" s="8"/>
      <c r="AC718" s="8"/>
    </row>
    <row r="719" customFormat="false" ht="15.75" hidden="false" customHeight="true" outlineLevel="0" collapsed="false">
      <c r="A719" s="9" t="n">
        <v>46305</v>
      </c>
      <c r="B719" s="11" t="s">
        <v>22</v>
      </c>
      <c r="C719" s="11" t="s">
        <v>23</v>
      </c>
      <c r="D719" s="11" t="s">
        <v>445</v>
      </c>
      <c r="E719" s="11" t="str">
        <f aca="false" t="array" ref="E719:E719">IF(D719="","",IFERROR(INDEX('CLM &amp; IM Mapping'!$B$2:$B$270,MATCH(TRIM(D719),'CLM &amp; IM Mapping'!$A$2:$A$270,0)),"Not Mapped"))</f>
        <v>Sundaresh S</v>
      </c>
      <c r="F719" s="11" t="str">
        <f aca="false" t="array" ref="F719:F719">IF(D719="","",IFERROR(INDEX('CLM &amp; IM Mapping'!$C$2:$C$270,MATCH(TRIM(D719),'CLM &amp; IM Mapping'!$A$2:$A$270,0)),"Not Mapped"))</f>
        <v>Un Mapped</v>
      </c>
      <c r="G719" s="11" t="s">
        <v>34</v>
      </c>
      <c r="H719" s="10" t="n">
        <v>-8787</v>
      </c>
      <c r="I719" s="10" t="n">
        <v>356</v>
      </c>
      <c r="J719" s="10" t="n">
        <v>0</v>
      </c>
      <c r="K719" s="10" t="n">
        <v>0</v>
      </c>
      <c r="L719" s="10" t="n">
        <v>64</v>
      </c>
      <c r="M719" s="10" t="n">
        <v>0</v>
      </c>
      <c r="N719" s="10" t="n">
        <v>0</v>
      </c>
      <c r="O719" s="10" t="n">
        <v>0</v>
      </c>
      <c r="P719" s="10" t="n">
        <v>-8367</v>
      </c>
      <c r="Q719" s="11"/>
      <c r="R719" s="11"/>
      <c r="S719" s="19"/>
      <c r="T719" s="11"/>
      <c r="U719" s="21"/>
      <c r="V719" s="15"/>
      <c r="W719" s="8"/>
      <c r="X719" s="8"/>
      <c r="Y719" s="8"/>
      <c r="Z719" s="8"/>
      <c r="AA719" s="8"/>
      <c r="AB719" s="8"/>
      <c r="AC719" s="8"/>
    </row>
    <row r="720" customFormat="false" ht="15.75" hidden="false" customHeight="true" outlineLevel="0" collapsed="false">
      <c r="A720" s="9" t="n">
        <v>46305</v>
      </c>
      <c r="B720" s="11" t="s">
        <v>22</v>
      </c>
      <c r="C720" s="11" t="s">
        <v>23</v>
      </c>
      <c r="D720" s="11" t="s">
        <v>382</v>
      </c>
      <c r="E720" s="11" t="str">
        <f aca="false" t="array" ref="E720:E720">IF(D720="","",IFERROR(INDEX('CLM &amp; IM Mapping'!$B$2:$B$270,MATCH(TRIM(D720),'CLM &amp; IM Mapping'!$A$2:$A$270,0)),"Not Mapped"))</f>
        <v>Arun Raj</v>
      </c>
      <c r="F720" s="11" t="str">
        <f aca="false" t="array" ref="F720:F720">IF(D720="","",IFERROR(INDEX('CLM &amp; IM Mapping'!$C$2:$C$270,MATCH(TRIM(D720),'CLM &amp; IM Mapping'!$A$2:$A$270,0)),"Not Mapped"))</f>
        <v>Simon Manoharan</v>
      </c>
      <c r="G720" s="11" t="s">
        <v>25</v>
      </c>
      <c r="H720" s="10" t="n">
        <v>-19130</v>
      </c>
      <c r="I720" s="10" t="n">
        <v>20102</v>
      </c>
      <c r="J720" s="10" t="n">
        <v>0</v>
      </c>
      <c r="K720" s="10" t="n">
        <v>0</v>
      </c>
      <c r="L720" s="10" t="n">
        <v>741</v>
      </c>
      <c r="M720" s="10" t="n">
        <v>0</v>
      </c>
      <c r="N720" s="10" t="n">
        <v>0</v>
      </c>
      <c r="O720" s="10" t="n">
        <v>0</v>
      </c>
      <c r="P720" s="10" t="n">
        <v>1712</v>
      </c>
      <c r="Q720" s="11"/>
      <c r="R720" s="11"/>
      <c r="S720" s="19"/>
      <c r="T720" s="11"/>
      <c r="U720" s="21"/>
      <c r="V720" s="15"/>
    </row>
    <row r="721" customFormat="false" ht="15.75" hidden="false" customHeight="true" outlineLevel="0" collapsed="false">
      <c r="A721" s="9" t="n">
        <v>46305</v>
      </c>
      <c r="B721" s="11" t="s">
        <v>22</v>
      </c>
      <c r="C721" s="11" t="s">
        <v>23</v>
      </c>
      <c r="D721" s="11" t="s">
        <v>53</v>
      </c>
      <c r="E721" s="11" t="str">
        <f aca="false" t="array" ref="E721:E721">IF(D721="","",IFERROR(INDEX('CLM &amp; IM Mapping'!$B$2:$B$270,MATCH(TRIM(D721),'CLM &amp; IM Mapping'!$A$2:$A$270,0)),"Not Mapped"))</f>
        <v>Richard Harris</v>
      </c>
      <c r="F721" s="11" t="str">
        <f aca="false" t="array" ref="F721:F721">IF(D721="","",IFERROR(INDEX('CLM &amp; IM Mapping'!$C$2:$C$270,MATCH(TRIM(D721),'CLM &amp; IM Mapping'!$A$2:$A$270,0)),"Not Mapped"))</f>
        <v>Kantha Kumar</v>
      </c>
      <c r="G721" s="11" t="s">
        <v>34</v>
      </c>
      <c r="H721" s="10" t="n">
        <v>4849</v>
      </c>
      <c r="I721" s="10" t="n">
        <v>14627</v>
      </c>
      <c r="J721" s="10" t="n">
        <v>374</v>
      </c>
      <c r="K721" s="10" t="n">
        <v>2708</v>
      </c>
      <c r="L721" s="10" t="n">
        <v>1406</v>
      </c>
      <c r="M721" s="10" t="n">
        <v>0</v>
      </c>
      <c r="N721" s="10" t="n">
        <v>1284</v>
      </c>
      <c r="O721" s="10" t="n">
        <v>0</v>
      </c>
      <c r="P721" s="10" t="n">
        <v>25248</v>
      </c>
      <c r="Q721" s="11"/>
      <c r="R721" s="11"/>
      <c r="S721" s="19"/>
      <c r="T721" s="11"/>
      <c r="U721" s="21"/>
      <c r="V721" s="15"/>
    </row>
    <row r="722" customFormat="false" ht="15.75" hidden="false" customHeight="true" outlineLevel="0" collapsed="false">
      <c r="A722" s="9" t="n">
        <v>46305</v>
      </c>
      <c r="B722" s="11" t="s">
        <v>22</v>
      </c>
      <c r="C722" s="11" t="s">
        <v>276</v>
      </c>
      <c r="D722" s="11" t="s">
        <v>277</v>
      </c>
      <c r="E722" s="11" t="str">
        <f aca="false" t="array" ref="E722:E722">IF(D722="","",IFERROR(INDEX('CLM &amp; IM Mapping'!$B$2:$B$270,MATCH(TRIM(D722),'CLM &amp; IM Mapping'!$A$2:$A$270,0)),"Not Mapped"))</f>
        <v>Santhosha M</v>
      </c>
      <c r="F722" s="11" t="str">
        <f aca="false" t="array" ref="F722:F722">IF(D722="","",IFERROR(INDEX('CLM &amp; IM Mapping'!$C$2:$C$270,MATCH(TRIM(D722),'CLM &amp; IM Mapping'!$A$2:$A$270,0)),"Not Mapped"))</f>
        <v>Aravind S</v>
      </c>
      <c r="G722" s="11" t="s">
        <v>34</v>
      </c>
      <c r="H722" s="10" t="n">
        <v>10470</v>
      </c>
      <c r="I722" s="10" t="n">
        <v>424</v>
      </c>
      <c r="J722" s="10" t="n">
        <v>0</v>
      </c>
      <c r="K722" s="10" t="n">
        <v>0</v>
      </c>
      <c r="L722" s="10" t="n">
        <v>132</v>
      </c>
      <c r="M722" s="10" t="n">
        <v>0</v>
      </c>
      <c r="N722" s="10" t="n">
        <v>0</v>
      </c>
      <c r="O722" s="10" t="n">
        <v>0</v>
      </c>
      <c r="P722" s="10" t="n">
        <v>11026</v>
      </c>
      <c r="Q722" s="11"/>
      <c r="R722" s="11"/>
      <c r="S722" s="19"/>
      <c r="T722" s="11"/>
      <c r="U722" s="21"/>
      <c r="V722" s="15"/>
    </row>
    <row r="723" customFormat="false" ht="15.75" hidden="false" customHeight="true" outlineLevel="0" collapsed="false">
      <c r="A723" s="9" t="n">
        <v>46305</v>
      </c>
      <c r="B723" s="11" t="s">
        <v>22</v>
      </c>
      <c r="C723" s="11" t="s">
        <v>23</v>
      </c>
      <c r="D723" s="11" t="s">
        <v>412</v>
      </c>
      <c r="E723" s="11" t="str">
        <f aca="false" t="array" ref="E723:E723">IF(D723="","",IFERROR(INDEX('CLM &amp; IM Mapping'!$B$2:$B$270,MATCH(TRIM(D723),'CLM &amp; IM Mapping'!$A$2:$A$270,0)),"Not Mapped"))</f>
        <v>Richard Harris</v>
      </c>
      <c r="F723" s="11" t="str">
        <f aca="false" t="array" ref="F723:F723">IF(D723="","",IFERROR(INDEX('CLM &amp; IM Mapping'!$C$2:$C$270,MATCH(TRIM(D723),'CLM &amp; IM Mapping'!$A$2:$A$270,0)),"Not Mapped"))</f>
        <v>Kantha Kumar</v>
      </c>
      <c r="G723" s="11" t="s">
        <v>34</v>
      </c>
      <c r="H723" s="10" t="n">
        <v>-2203</v>
      </c>
      <c r="I723" s="10" t="n">
        <v>4416</v>
      </c>
      <c r="J723" s="10" t="n">
        <v>0</v>
      </c>
      <c r="K723" s="10" t="n">
        <v>282</v>
      </c>
      <c r="L723" s="10" t="n">
        <v>352</v>
      </c>
      <c r="M723" s="10" t="n">
        <v>0</v>
      </c>
      <c r="N723" s="10" t="n">
        <v>0</v>
      </c>
      <c r="O723" s="10" t="n">
        <v>0</v>
      </c>
      <c r="P723" s="10" t="n">
        <v>2847</v>
      </c>
      <c r="Q723" s="11"/>
      <c r="R723" s="11"/>
      <c r="S723" s="19"/>
      <c r="T723" s="11"/>
      <c r="U723" s="21"/>
      <c r="V723" s="15"/>
    </row>
    <row r="724" customFormat="false" ht="15.75" hidden="false" customHeight="true" outlineLevel="0" collapsed="false">
      <c r="A724" s="9" t="n">
        <v>46305</v>
      </c>
      <c r="B724" s="11" t="s">
        <v>22</v>
      </c>
      <c r="C724" s="11" t="s">
        <v>23</v>
      </c>
      <c r="D724" s="11" t="s">
        <v>523</v>
      </c>
      <c r="E724" s="11" t="str">
        <f aca="false" t="array" ref="E724:E724">IF(D724="","",IFERROR(INDEX('CLM &amp; IM Mapping'!$B$2:$B$270,MATCH(TRIM(D724),'CLM &amp; IM Mapping'!$A$2:$A$270,0)),"Not Mapped"))</f>
        <v>Sundaresh S</v>
      </c>
      <c r="F724" s="11" t="str">
        <f aca="false" t="array" ref="F724:F724">IF(D724="","",IFERROR(INDEX('CLM &amp; IM Mapping'!$C$2:$C$270,MATCH(TRIM(D724),'CLM &amp; IM Mapping'!$A$2:$A$270,0)),"Not Mapped"))</f>
        <v>Un Mapped</v>
      </c>
      <c r="G724" s="11" t="s">
        <v>34</v>
      </c>
      <c r="H724" s="10" t="n">
        <v>-43237</v>
      </c>
      <c r="I724" s="10" t="n">
        <v>16493</v>
      </c>
      <c r="J724" s="10" t="n">
        <v>0</v>
      </c>
      <c r="K724" s="10" t="n">
        <v>0</v>
      </c>
      <c r="L724" s="10" t="n">
        <v>808</v>
      </c>
      <c r="M724" s="10" t="n">
        <v>0</v>
      </c>
      <c r="N724" s="10" t="n">
        <v>39</v>
      </c>
      <c r="O724" s="10" t="n">
        <v>0</v>
      </c>
      <c r="P724" s="10" t="n">
        <v>-25896</v>
      </c>
      <c r="Q724" s="11"/>
      <c r="R724" s="11"/>
      <c r="S724" s="19"/>
      <c r="T724" s="11"/>
      <c r="U724" s="21"/>
      <c r="V724" s="15"/>
    </row>
    <row r="725" customFormat="false" ht="15.75" hidden="false" customHeight="true" outlineLevel="0" collapsed="false">
      <c r="A725" s="9" t="n">
        <v>46305</v>
      </c>
      <c r="B725" s="11" t="s">
        <v>22</v>
      </c>
      <c r="C725" s="11" t="s">
        <v>221</v>
      </c>
      <c r="D725" s="11" t="s">
        <v>478</v>
      </c>
      <c r="E725" s="11" t="str">
        <f aca="false" t="array" ref="E725:E725">IF(D725="","",IFERROR(INDEX('CLM &amp; IM Mapping'!$B$2:$B$270,MATCH(TRIM(D725),'CLM &amp; IM Mapping'!$A$2:$A$270,0)),"Not Mapped"))</f>
        <v>Vishnu V</v>
      </c>
      <c r="F725" s="11" t="str">
        <f aca="false" t="array" ref="F725:F725">IF(D725="","",IFERROR(INDEX('CLM &amp; IM Mapping'!$C$2:$C$270,MATCH(TRIM(D725),'CLM &amp; IM Mapping'!$A$2:$A$270,0)),"Not Mapped"))</f>
        <v>Arivind S</v>
      </c>
      <c r="G725" s="11" t="s">
        <v>34</v>
      </c>
      <c r="H725" s="10" t="n">
        <v>-39888</v>
      </c>
      <c r="I725" s="10" t="n">
        <v>8409</v>
      </c>
      <c r="J725" s="10" t="n">
        <v>736</v>
      </c>
      <c r="K725" s="10" t="n">
        <v>74</v>
      </c>
      <c r="L725" s="10" t="n">
        <v>509</v>
      </c>
      <c r="M725" s="10" t="n">
        <v>0</v>
      </c>
      <c r="N725" s="10" t="n">
        <v>0</v>
      </c>
      <c r="O725" s="10" t="n">
        <v>0</v>
      </c>
      <c r="P725" s="10" t="n">
        <v>-30160</v>
      </c>
      <c r="Q725" s="11"/>
      <c r="R725" s="11"/>
      <c r="S725" s="19"/>
      <c r="T725" s="11"/>
      <c r="U725" s="21"/>
      <c r="V725" s="15"/>
    </row>
    <row r="726" customFormat="false" ht="15.75" hidden="false" customHeight="true" outlineLevel="0" collapsed="false">
      <c r="A726" s="9" t="n">
        <v>46305</v>
      </c>
      <c r="B726" s="11" t="s">
        <v>22</v>
      </c>
      <c r="C726" s="11" t="s">
        <v>23</v>
      </c>
      <c r="D726" s="11" t="s">
        <v>524</v>
      </c>
      <c r="E726" s="11" t="str">
        <f aca="false" t="array" ref="E726:E726">IF(D726="","",IFERROR(INDEX('CLM &amp; IM Mapping'!$B$2:$B$270,MATCH(TRIM(D726),'CLM &amp; IM Mapping'!$A$2:$A$270,0)),"Not Mapped"))</f>
        <v>Balaji G</v>
      </c>
      <c r="F726" s="11" t="str">
        <f aca="false" t="array" ref="F726:F726">IF(D726="","",IFERROR(INDEX('CLM &amp; IM Mapping'!$C$2:$C$270,MATCH(TRIM(D726),'CLM &amp; IM Mapping'!$A$2:$A$270,0)),"Not Mapped"))</f>
        <v>Mohammed Akbar</v>
      </c>
      <c r="G726" s="11" t="s">
        <v>34</v>
      </c>
      <c r="H726" s="10" t="n">
        <v>-54664</v>
      </c>
      <c r="I726" s="10" t="n">
        <v>1212</v>
      </c>
      <c r="J726" s="10" t="n">
        <v>0</v>
      </c>
      <c r="K726" s="10" t="n">
        <v>969</v>
      </c>
      <c r="L726" s="10" t="n">
        <v>1333</v>
      </c>
      <c r="M726" s="10" t="n">
        <v>0</v>
      </c>
      <c r="N726" s="10" t="n">
        <v>0</v>
      </c>
      <c r="O726" s="10" t="n">
        <v>0</v>
      </c>
      <c r="P726" s="10" t="n">
        <v>-51150</v>
      </c>
      <c r="Q726" s="11"/>
      <c r="R726" s="11"/>
      <c r="S726" s="19"/>
      <c r="T726" s="11"/>
      <c r="U726" s="21"/>
      <c r="V726" s="15"/>
    </row>
    <row r="727" customFormat="false" ht="15.75" hidden="false" customHeight="true" outlineLevel="0" collapsed="false">
      <c r="A727" s="9" t="n">
        <v>46305</v>
      </c>
      <c r="B727" s="11" t="s">
        <v>22</v>
      </c>
      <c r="C727" s="11" t="s">
        <v>23</v>
      </c>
      <c r="D727" s="11" t="s">
        <v>305</v>
      </c>
      <c r="E727" s="11" t="str">
        <f aca="false" t="array" ref="E727:E727">IF(D727="","",IFERROR(INDEX('CLM &amp; IM Mapping'!$B$2:$B$270,MATCH(TRIM(D727),'CLM &amp; IM Mapping'!$A$2:$A$270,0)),"Not Mapped"))</f>
        <v>Manjunatha V</v>
      </c>
      <c r="F727" s="11" t="str">
        <f aca="false" t="array" ref="F727:F727">IF(D727="","",IFERROR(INDEX('CLM &amp; IM Mapping'!$C$2:$C$270,MATCH(TRIM(D727),'CLM &amp; IM Mapping'!$A$2:$A$270,0)),"Not Mapped"))</f>
        <v>Un Mapped</v>
      </c>
      <c r="G727" s="11" t="s">
        <v>34</v>
      </c>
      <c r="H727" s="10" t="n">
        <v>1402</v>
      </c>
      <c r="I727" s="10" t="n">
        <v>7200</v>
      </c>
      <c r="J727" s="10" t="n">
        <v>414</v>
      </c>
      <c r="K727" s="10" t="n">
        <v>227</v>
      </c>
      <c r="L727" s="10" t="n">
        <v>170</v>
      </c>
      <c r="M727" s="10" t="n">
        <v>0</v>
      </c>
      <c r="N727" s="10" t="n">
        <v>0</v>
      </c>
      <c r="O727" s="10" t="n">
        <v>311</v>
      </c>
      <c r="P727" s="10" t="n">
        <v>9724</v>
      </c>
      <c r="Q727" s="11"/>
      <c r="R727" s="11"/>
      <c r="S727" s="19"/>
      <c r="T727" s="11"/>
      <c r="U727" s="21"/>
      <c r="V727" s="15"/>
    </row>
    <row r="728" customFormat="false" ht="15.75" hidden="false" customHeight="true" outlineLevel="0" collapsed="false">
      <c r="A728" s="9" t="n">
        <v>46305</v>
      </c>
      <c r="B728" s="11" t="s">
        <v>22</v>
      </c>
      <c r="C728" s="11" t="s">
        <v>23</v>
      </c>
      <c r="D728" s="11" t="s">
        <v>329</v>
      </c>
      <c r="E728" s="11" t="str">
        <f aca="false" t="array" ref="E728:E728">IF(D728="","",IFERROR(INDEX('CLM &amp; IM Mapping'!$B$2:$B$270,MATCH(TRIM(D728),'CLM &amp; IM Mapping'!$A$2:$A$270,0)),"Not Mapped"))</f>
        <v>Ashwath S</v>
      </c>
      <c r="F728" s="11" t="str">
        <f aca="false" t="array" ref="F728:F728">IF(D728="","",IFERROR(INDEX('CLM &amp; IM Mapping'!$C$2:$C$270,MATCH(TRIM(D728),'CLM &amp; IM Mapping'!$A$2:$A$270,0)),"Not Mapped"))</f>
        <v>Kantha Kumar</v>
      </c>
      <c r="G728" s="11" t="s">
        <v>34</v>
      </c>
      <c r="H728" s="10" t="n">
        <v>2546</v>
      </c>
      <c r="I728" s="10" t="n">
        <v>793</v>
      </c>
      <c r="J728" s="10" t="n">
        <v>0</v>
      </c>
      <c r="K728" s="10" t="n">
        <v>0</v>
      </c>
      <c r="L728" s="10" t="n">
        <v>92</v>
      </c>
      <c r="M728" s="10" t="n">
        <v>0</v>
      </c>
      <c r="N728" s="10" t="n">
        <v>1607</v>
      </c>
      <c r="O728" s="10" t="n">
        <v>0</v>
      </c>
      <c r="P728" s="10" t="n">
        <v>5039</v>
      </c>
      <c r="Q728" s="11"/>
      <c r="R728" s="11"/>
      <c r="S728" s="19"/>
      <c r="T728" s="11"/>
      <c r="U728" s="21"/>
      <c r="V728" s="15"/>
    </row>
    <row r="729" customFormat="false" ht="15.75" hidden="false" customHeight="true" outlineLevel="0" collapsed="false">
      <c r="A729" s="9" t="n">
        <v>46305</v>
      </c>
      <c r="B729" s="11" t="s">
        <v>22</v>
      </c>
      <c r="C729" s="11" t="s">
        <v>23</v>
      </c>
      <c r="D729" s="11" t="s">
        <v>68</v>
      </c>
      <c r="E729" s="11" t="str">
        <f aca="false" t="array" ref="E729:E729">IF(D729="","",IFERROR(INDEX('CLM &amp; IM Mapping'!$B$2:$B$270,MATCH(TRIM(D729),'CLM &amp; IM Mapping'!$A$2:$A$270,0)),"Not Mapped"))</f>
        <v>Girish N</v>
      </c>
      <c r="F729" s="11" t="str">
        <f aca="false" t="array" ref="F729:F729">IF(D729="","",IFERROR(INDEX('CLM &amp; IM Mapping'!$C$2:$C$270,MATCH(TRIM(D729),'CLM &amp; IM Mapping'!$A$2:$A$270,0)),"Not Mapped"))</f>
        <v>Un Mapped</v>
      </c>
      <c r="G729" s="11" t="s">
        <v>34</v>
      </c>
      <c r="H729" s="10" t="n">
        <v>44719</v>
      </c>
      <c r="I729" s="10" t="n">
        <v>16282</v>
      </c>
      <c r="J729" s="10" t="n">
        <v>1279</v>
      </c>
      <c r="K729" s="10" t="n">
        <v>0</v>
      </c>
      <c r="L729" s="10" t="n">
        <v>608</v>
      </c>
      <c r="M729" s="10" t="n">
        <v>0</v>
      </c>
      <c r="N729" s="10" t="n">
        <v>21</v>
      </c>
      <c r="O729" s="10" t="n">
        <v>0</v>
      </c>
      <c r="P729" s="10" t="n">
        <v>62910</v>
      </c>
      <c r="Q729" s="11"/>
      <c r="R729" s="11"/>
      <c r="S729" s="19"/>
      <c r="T729" s="11"/>
      <c r="U729" s="21"/>
      <c r="V729" s="15"/>
    </row>
    <row r="730" customFormat="false" ht="15.75" hidden="false" customHeight="true" outlineLevel="0" collapsed="false">
      <c r="A730" s="9" t="n">
        <v>46305</v>
      </c>
      <c r="B730" s="11" t="s">
        <v>22</v>
      </c>
      <c r="C730" s="11" t="s">
        <v>23</v>
      </c>
      <c r="D730" s="11" t="s">
        <v>484</v>
      </c>
      <c r="E730" s="11" t="str">
        <f aca="false" t="array" ref="E730:E730">IF(D730="","",IFERROR(INDEX('CLM &amp; IM Mapping'!$B$2:$B$270,MATCH(TRIM(D730),'CLM &amp; IM Mapping'!$A$2:$A$270,0)),"Not Mapped"))</f>
        <v>Raghavendra Vernekar</v>
      </c>
      <c r="F730" s="11" t="str">
        <f aca="false" t="array" ref="F730:F730">IF(D730="","",IFERROR(INDEX('CLM &amp; IM Mapping'!$C$2:$C$270,MATCH(TRIM(D730),'CLM &amp; IM Mapping'!$A$2:$A$270,0)),"Not Mapped"))</f>
        <v>Prakash BS</v>
      </c>
      <c r="G730" s="11" t="s">
        <v>34</v>
      </c>
      <c r="H730" s="10" t="n">
        <v>-17185</v>
      </c>
      <c r="I730" s="10" t="n">
        <v>1546</v>
      </c>
      <c r="J730" s="10" t="n">
        <v>0</v>
      </c>
      <c r="K730" s="10" t="n">
        <v>297</v>
      </c>
      <c r="L730" s="10" t="n">
        <v>144</v>
      </c>
      <c r="M730" s="10" t="n">
        <v>0</v>
      </c>
      <c r="N730" s="10" t="n">
        <v>54</v>
      </c>
      <c r="O730" s="10" t="n">
        <v>0</v>
      </c>
      <c r="P730" s="10" t="n">
        <v>-15144</v>
      </c>
      <c r="Q730" s="11"/>
      <c r="R730" s="11"/>
      <c r="S730" s="19"/>
      <c r="T730" s="11"/>
      <c r="U730" s="21"/>
      <c r="V730" s="15"/>
    </row>
    <row r="731" customFormat="false" ht="15.75" hidden="false" customHeight="true" outlineLevel="0" collapsed="false">
      <c r="A731" s="9" t="n">
        <v>46305</v>
      </c>
      <c r="B731" s="11" t="s">
        <v>22</v>
      </c>
      <c r="C731" s="11" t="s">
        <v>23</v>
      </c>
      <c r="D731" s="11" t="s">
        <v>505</v>
      </c>
      <c r="E731" s="11" t="str">
        <f aca="false" t="array" ref="E731:E731">IF(D731="","",IFERROR(INDEX('CLM &amp; IM Mapping'!$B$2:$B$270,MATCH(TRIM(D731),'CLM &amp; IM Mapping'!$A$2:$A$270,0)),"Not Mapped"))</f>
        <v>Basil Scariya</v>
      </c>
      <c r="F731" s="11" t="str">
        <f aca="false" t="array" ref="F731:F731">IF(D731="","",IFERROR(INDEX('CLM &amp; IM Mapping'!$C$2:$C$270,MATCH(TRIM(D731),'CLM &amp; IM Mapping'!$A$2:$A$270,0)),"Not Mapped"))</f>
        <v>Prakash BS</v>
      </c>
      <c r="G731" s="11" t="s">
        <v>34</v>
      </c>
      <c r="H731" s="10" t="n">
        <v>-26738</v>
      </c>
      <c r="I731" s="10" t="n">
        <v>7419</v>
      </c>
      <c r="J731" s="10" t="n">
        <v>0</v>
      </c>
      <c r="K731" s="10" t="n">
        <v>1905</v>
      </c>
      <c r="L731" s="10" t="n">
        <v>1332</v>
      </c>
      <c r="M731" s="10" t="n">
        <v>0</v>
      </c>
      <c r="N731" s="10" t="n">
        <v>0</v>
      </c>
      <c r="O731" s="10" t="n">
        <v>0</v>
      </c>
      <c r="P731" s="10" t="n">
        <v>-16083</v>
      </c>
      <c r="Q731" s="11"/>
      <c r="R731" s="11"/>
      <c r="S731" s="19"/>
      <c r="T731" s="11"/>
      <c r="U731" s="21"/>
      <c r="V731" s="15"/>
    </row>
    <row r="732" customFormat="false" ht="15.75" hidden="false" customHeight="true" outlineLevel="0" collapsed="false">
      <c r="A732" s="9" t="n">
        <v>46305</v>
      </c>
      <c r="B732" s="11" t="s">
        <v>22</v>
      </c>
      <c r="C732" s="11" t="s">
        <v>23</v>
      </c>
      <c r="D732" s="11" t="s">
        <v>381</v>
      </c>
      <c r="E732" s="11" t="str">
        <f aca="false" t="array" ref="E732:E732">IF(D732="","",IFERROR(INDEX('CLM &amp; IM Mapping'!$B$2:$B$270,MATCH(TRIM(D732),'CLM &amp; IM Mapping'!$A$2:$A$270,0)),"Not Mapped"))</f>
        <v>Balaji G</v>
      </c>
      <c r="F732" s="11" t="str">
        <f aca="false" t="array" ref="F732:F732">IF(D732="","",IFERROR(INDEX('CLM &amp; IM Mapping'!$C$2:$C$270,MATCH(TRIM(D732),'CLM &amp; IM Mapping'!$A$2:$A$270,0)),"Not Mapped"))</f>
        <v>Mohammed Akbar</v>
      </c>
      <c r="G732" s="11" t="s">
        <v>34</v>
      </c>
      <c r="H732" s="10" t="n">
        <v>-15155</v>
      </c>
      <c r="I732" s="10" t="n">
        <v>13418</v>
      </c>
      <c r="J732" s="10" t="n">
        <v>429</v>
      </c>
      <c r="K732" s="10" t="n">
        <v>1132</v>
      </c>
      <c r="L732" s="10" t="n">
        <v>1809</v>
      </c>
      <c r="M732" s="10" t="n">
        <v>0</v>
      </c>
      <c r="N732" s="10" t="n">
        <v>0</v>
      </c>
      <c r="O732" s="10" t="n">
        <v>0</v>
      </c>
      <c r="P732" s="10" t="n">
        <v>1633</v>
      </c>
      <c r="Q732" s="11"/>
      <c r="R732" s="11"/>
      <c r="S732" s="19"/>
      <c r="T732" s="11"/>
      <c r="U732" s="21"/>
      <c r="V732" s="15"/>
    </row>
    <row r="733" customFormat="false" ht="15.75" hidden="false" customHeight="true" outlineLevel="0" collapsed="false">
      <c r="A733" s="9" t="n">
        <v>46305</v>
      </c>
      <c r="B733" s="11" t="s">
        <v>22</v>
      </c>
      <c r="C733" s="11" t="s">
        <v>23</v>
      </c>
      <c r="D733" s="11" t="s">
        <v>429</v>
      </c>
      <c r="E733" s="11" t="str">
        <f aca="false" t="array" ref="E733:E733">IF(D733="","",IFERROR(INDEX('CLM &amp; IM Mapping'!$B$2:$B$270,MATCH(TRIM(D733),'CLM &amp; IM Mapping'!$A$2:$A$270,0)),"Not Mapped"))</f>
        <v>Manjunatha V</v>
      </c>
      <c r="F733" s="11" t="str">
        <f aca="false" t="array" ref="F733:F733">IF(D733="","",IFERROR(INDEX('CLM &amp; IM Mapping'!$C$2:$C$270,MATCH(TRIM(D733),'CLM &amp; IM Mapping'!$A$2:$A$270,0)),"Not Mapped"))</f>
        <v>Un Mapped</v>
      </c>
      <c r="G733" s="11" t="s">
        <v>34</v>
      </c>
      <c r="H733" s="10" t="n">
        <v>-18194</v>
      </c>
      <c r="I733" s="10" t="n">
        <v>9387</v>
      </c>
      <c r="J733" s="10" t="n">
        <v>0</v>
      </c>
      <c r="K733" s="10" t="n">
        <v>49</v>
      </c>
      <c r="L733" s="10" t="n">
        <v>3094</v>
      </c>
      <c r="M733" s="10" t="n">
        <v>0</v>
      </c>
      <c r="N733" s="10" t="n">
        <v>0</v>
      </c>
      <c r="O733" s="10" t="n">
        <v>0</v>
      </c>
      <c r="P733" s="10" t="n">
        <v>-5664</v>
      </c>
      <c r="Q733" s="11"/>
      <c r="R733" s="11"/>
      <c r="S733" s="19"/>
      <c r="T733" s="11"/>
      <c r="U733" s="21"/>
      <c r="V733" s="15"/>
    </row>
    <row r="734" customFormat="false" ht="15.75" hidden="false" customHeight="true" outlineLevel="0" collapsed="false">
      <c r="A734" s="9" t="n">
        <v>46305</v>
      </c>
      <c r="B734" s="11" t="s">
        <v>22</v>
      </c>
      <c r="C734" s="11" t="s">
        <v>23</v>
      </c>
      <c r="D734" s="11" t="s">
        <v>162</v>
      </c>
      <c r="E734" s="11" t="str">
        <f aca="false" t="array" ref="E734:E734">IF(D734="","",IFERROR(INDEX('CLM &amp; IM Mapping'!$B$2:$B$270,MATCH(TRIM(D734),'CLM &amp; IM Mapping'!$A$2:$A$270,0)),"Not Mapped"))</f>
        <v>Ashwath S</v>
      </c>
      <c r="F734" s="11" t="str">
        <f aca="false" t="array" ref="F734:F734">IF(D734="","",IFERROR(INDEX('CLM &amp; IM Mapping'!$C$2:$C$270,MATCH(TRIM(D734),'CLM &amp; IM Mapping'!$A$2:$A$270,0)),"Not Mapped"))</f>
        <v>Kantha Kumar</v>
      </c>
      <c r="G734" s="11" t="s">
        <v>34</v>
      </c>
      <c r="H734" s="10" t="n">
        <v>-6448</v>
      </c>
      <c r="I734" s="10" t="n">
        <v>13175</v>
      </c>
      <c r="J734" s="10" t="n">
        <v>185</v>
      </c>
      <c r="K734" s="10" t="n">
        <v>314</v>
      </c>
      <c r="L734" s="10" t="n">
        <v>269</v>
      </c>
      <c r="M734" s="10" t="n">
        <v>0</v>
      </c>
      <c r="N734" s="10" t="n">
        <v>120</v>
      </c>
      <c r="O734" s="10" t="n">
        <v>0</v>
      </c>
      <c r="P734" s="10" t="n">
        <v>7615</v>
      </c>
      <c r="Q734" s="11"/>
      <c r="R734" s="11"/>
      <c r="S734" s="19"/>
      <c r="T734" s="11"/>
      <c r="U734" s="21"/>
      <c r="V734" s="15"/>
    </row>
    <row r="735" customFormat="false" ht="15.75" hidden="false" customHeight="true" outlineLevel="0" collapsed="false">
      <c r="A735" s="9" t="n">
        <v>46305</v>
      </c>
      <c r="B735" s="11" t="s">
        <v>22</v>
      </c>
      <c r="C735" s="11" t="s">
        <v>23</v>
      </c>
      <c r="D735" s="11" t="s">
        <v>47</v>
      </c>
      <c r="E735" s="11" t="str">
        <f aca="false" t="array" ref="E735:E735">IF(D735="","",IFERROR(INDEX('CLM &amp; IM Mapping'!$B$2:$B$270,MATCH(TRIM(D735),'CLM &amp; IM Mapping'!$A$2:$A$270,0)),"Not Mapped"))</f>
        <v>Saddam Hussain</v>
      </c>
      <c r="F735" s="11" t="str">
        <f aca="false" t="array" ref="F735:F735">IF(D735="","",IFERROR(INDEX('CLM &amp; IM Mapping'!$C$2:$C$270,MATCH(TRIM(D735),'CLM &amp; IM Mapping'!$A$2:$A$270,0)),"Not Mapped"))</f>
        <v>Un Mapped</v>
      </c>
      <c r="G735" s="11" t="s">
        <v>34</v>
      </c>
      <c r="H735" s="10" t="n">
        <v>-9017</v>
      </c>
      <c r="I735" s="10" t="n">
        <v>54113</v>
      </c>
      <c r="J735" s="10" t="n">
        <v>1689</v>
      </c>
      <c r="K735" s="10" t="n">
        <v>6442</v>
      </c>
      <c r="L735" s="10" t="n">
        <v>4293</v>
      </c>
      <c r="M735" s="10" t="n">
        <v>0</v>
      </c>
      <c r="N735" s="10" t="n">
        <v>680</v>
      </c>
      <c r="O735" s="10" t="n">
        <v>0</v>
      </c>
      <c r="P735" s="10" t="n">
        <v>58198</v>
      </c>
      <c r="Q735" s="11"/>
      <c r="R735" s="11"/>
      <c r="S735" s="19"/>
      <c r="T735" s="11"/>
      <c r="U735" s="21"/>
      <c r="V735" s="15"/>
    </row>
    <row r="736" customFormat="false" ht="15.75" hidden="false" customHeight="true" outlineLevel="0" collapsed="false">
      <c r="A736" s="9" t="n">
        <v>46305</v>
      </c>
      <c r="B736" s="11" t="s">
        <v>22</v>
      </c>
      <c r="C736" s="11" t="s">
        <v>23</v>
      </c>
      <c r="D736" s="11" t="s">
        <v>83</v>
      </c>
      <c r="E736" s="11" t="str">
        <f aca="false" t="array" ref="E736:E736">IF(D736="","",IFERROR(INDEX('CLM &amp; IM Mapping'!$B$2:$B$270,MATCH(TRIM(D736),'CLM &amp; IM Mapping'!$A$2:$A$270,0)),"Not Mapped"))</f>
        <v>Keshav G</v>
      </c>
      <c r="F736" s="11" t="str">
        <f aca="false" t="array" ref="F736:F736">IF(D736="","",IFERROR(INDEX('CLM &amp; IM Mapping'!$C$2:$C$270,MATCH(TRIM(D736),'CLM &amp; IM Mapping'!$A$2:$A$270,0)),"Not Mapped"))</f>
        <v>Mohammed Akbar</v>
      </c>
      <c r="G736" s="11" t="s">
        <v>34</v>
      </c>
      <c r="H736" s="10" t="n">
        <v>2164</v>
      </c>
      <c r="I736" s="10" t="n">
        <v>29048</v>
      </c>
      <c r="J736" s="10" t="n">
        <v>0</v>
      </c>
      <c r="K736" s="10" t="n">
        <v>797</v>
      </c>
      <c r="L736" s="10" t="n">
        <v>7609</v>
      </c>
      <c r="M736" s="10" t="n">
        <v>0</v>
      </c>
      <c r="N736" s="10" t="n">
        <v>3820</v>
      </c>
      <c r="O736" s="10" t="n">
        <v>0</v>
      </c>
      <c r="P736" s="10" t="n">
        <v>43438</v>
      </c>
      <c r="Q736" s="11"/>
      <c r="R736" s="11"/>
      <c r="S736" s="19"/>
      <c r="T736" s="11"/>
      <c r="U736" s="21"/>
      <c r="V736" s="15"/>
    </row>
    <row r="737" customFormat="false" ht="15.75" hidden="false" customHeight="true" outlineLevel="0" collapsed="false">
      <c r="A737" s="9" t="n">
        <v>46305</v>
      </c>
      <c r="B737" s="11" t="s">
        <v>22</v>
      </c>
      <c r="C737" s="11" t="s">
        <v>212</v>
      </c>
      <c r="D737" s="11" t="s">
        <v>300</v>
      </c>
      <c r="E737" s="11" t="str">
        <f aca="false" t="array" ref="E737:E737">IF(D737="","",IFERROR(INDEX('CLM &amp; IM Mapping'!$B$2:$B$270,MATCH(TRIM(D737),'CLM &amp; IM Mapping'!$A$2:$A$270,0)),"Not Mapped"))</f>
        <v>Bangareppa CS</v>
      </c>
      <c r="F737" s="11" t="str">
        <f aca="false" t="array" ref="F737:F737">IF(D737="","",IFERROR(INDEX('CLM &amp; IM Mapping'!$C$2:$C$270,MATCH(TRIM(D737),'CLM &amp; IM Mapping'!$A$2:$A$270,0)),"Not Mapped"))</f>
        <v>Kishor K</v>
      </c>
      <c r="G737" s="11" t="s">
        <v>34</v>
      </c>
      <c r="H737" s="10" t="n">
        <v>4228</v>
      </c>
      <c r="I737" s="10" t="n">
        <v>2897</v>
      </c>
      <c r="J737" s="10" t="n">
        <v>0</v>
      </c>
      <c r="K737" s="10" t="n">
        <v>36</v>
      </c>
      <c r="L737" s="10" t="n">
        <v>0</v>
      </c>
      <c r="M737" s="10" t="n">
        <v>0</v>
      </c>
      <c r="N737" s="10" t="n">
        <v>0</v>
      </c>
      <c r="O737" s="10" t="n">
        <v>0</v>
      </c>
      <c r="P737" s="10" t="n">
        <v>7161</v>
      </c>
      <c r="Q737" s="11"/>
      <c r="R737" s="11"/>
      <c r="S737" s="19"/>
      <c r="T737" s="11"/>
      <c r="U737" s="21"/>
      <c r="V737" s="15"/>
    </row>
    <row r="738" customFormat="false" ht="15.75" hidden="false" customHeight="true" outlineLevel="0" collapsed="false">
      <c r="A738" s="9" t="n">
        <v>46305</v>
      </c>
      <c r="B738" s="11" t="s">
        <v>22</v>
      </c>
      <c r="C738" s="11" t="s">
        <v>417</v>
      </c>
      <c r="D738" s="11" t="s">
        <v>439</v>
      </c>
      <c r="E738" s="11" t="str">
        <f aca="false" t="array" ref="E738:E738">IF(D738="","",IFERROR(INDEX('CLM &amp; IM Mapping'!$B$2:$B$270,MATCH(TRIM(D738),'CLM &amp; IM Mapping'!$A$2:$A$270,0)),"Not Mapped"))</f>
        <v>Vishnu V</v>
      </c>
      <c r="F738" s="11" t="str">
        <f aca="false" t="array" ref="F738:F738">IF(D738="","",IFERROR(INDEX('CLM &amp; IM Mapping'!$C$2:$C$270,MATCH(TRIM(D738),'CLM &amp; IM Mapping'!$A$2:$A$270,0)),"Not Mapped"))</f>
        <v>Arivind S</v>
      </c>
      <c r="G738" s="11" t="s">
        <v>34</v>
      </c>
      <c r="H738" s="10" t="n">
        <v>-7913</v>
      </c>
      <c r="I738" s="10" t="n">
        <v>0</v>
      </c>
      <c r="J738" s="10" t="n">
        <v>0</v>
      </c>
      <c r="K738" s="10" t="n">
        <v>0</v>
      </c>
      <c r="L738" s="10" t="n">
        <v>45</v>
      </c>
      <c r="M738" s="10" t="n">
        <v>0</v>
      </c>
      <c r="N738" s="10" t="n">
        <v>0</v>
      </c>
      <c r="O738" s="10" t="n">
        <v>0</v>
      </c>
      <c r="P738" s="10" t="n">
        <v>-7868</v>
      </c>
      <c r="Q738" s="11"/>
      <c r="R738" s="11"/>
      <c r="S738" s="19"/>
      <c r="T738" s="11"/>
      <c r="U738" s="21"/>
      <c r="V738" s="15"/>
    </row>
    <row r="739" customFormat="false" ht="15.75" hidden="false" customHeight="true" outlineLevel="0" collapsed="false">
      <c r="A739" s="9" t="n">
        <v>46305</v>
      </c>
      <c r="B739" s="11" t="s">
        <v>22</v>
      </c>
      <c r="C739" s="11" t="s">
        <v>23</v>
      </c>
      <c r="D739" s="11" t="s">
        <v>451</v>
      </c>
      <c r="E739" s="11" t="str">
        <f aca="false" t="array" ref="E739:E739">IF(D739="","",IFERROR(INDEX('CLM &amp; IM Mapping'!$B$2:$B$270,MATCH(TRIM(D739),'CLM &amp; IM Mapping'!$A$2:$A$270,0)),"Not Mapped"))</f>
        <v>Ashwath S</v>
      </c>
      <c r="F739" s="11" t="str">
        <f aca="false" t="array" ref="F739:F739">IF(D739="","",IFERROR(INDEX('CLM &amp; IM Mapping'!$C$2:$C$270,MATCH(TRIM(D739),'CLM &amp; IM Mapping'!$A$2:$A$270,0)),"Not Mapped"))</f>
        <v>Kantha Kumar</v>
      </c>
      <c r="G739" s="11" t="s">
        <v>34</v>
      </c>
      <c r="H739" s="10" t="n">
        <v>-11180</v>
      </c>
      <c r="I739" s="10" t="n">
        <v>815</v>
      </c>
      <c r="J739" s="10" t="n">
        <v>1168</v>
      </c>
      <c r="K739" s="10" t="n">
        <v>635</v>
      </c>
      <c r="L739" s="10" t="n">
        <v>539</v>
      </c>
      <c r="M739" s="10" t="n">
        <v>0</v>
      </c>
      <c r="N739" s="10" t="n">
        <v>567</v>
      </c>
      <c r="O739" s="10" t="n">
        <v>0</v>
      </c>
      <c r="P739" s="10" t="n">
        <v>-7456</v>
      </c>
      <c r="Q739" s="11"/>
      <c r="R739" s="11"/>
      <c r="S739" s="19"/>
      <c r="T739" s="11"/>
      <c r="U739" s="21"/>
      <c r="V739" s="15"/>
    </row>
    <row r="740" customFormat="false" ht="15.75" hidden="false" customHeight="true" outlineLevel="0" collapsed="false">
      <c r="A740" s="9" t="n">
        <v>46305</v>
      </c>
      <c r="B740" s="11" t="s">
        <v>22</v>
      </c>
      <c r="C740" s="11" t="s">
        <v>23</v>
      </c>
      <c r="D740" s="11" t="s">
        <v>306</v>
      </c>
      <c r="E740" s="11" t="str">
        <f aca="false" t="array" ref="E740:E740">IF(D740="","",IFERROR(INDEX('CLM &amp; IM Mapping'!$B$2:$B$270,MATCH(TRIM(D740),'CLM &amp; IM Mapping'!$A$2:$A$270,0)),"Not Mapped"))</f>
        <v>Narasimhamurthy R</v>
      </c>
      <c r="F740" s="11" t="str">
        <f aca="false" t="array" ref="F740:F740">IF(D740="","",IFERROR(INDEX('CLM &amp; IM Mapping'!$C$2:$C$270,MATCH(TRIM(D740),'CLM &amp; IM Mapping'!$A$2:$A$270,0)),"Not Mapped"))</f>
        <v>Kishor K</v>
      </c>
      <c r="G740" s="11" t="s">
        <v>34</v>
      </c>
      <c r="H740" s="10" t="n">
        <v>-10243</v>
      </c>
      <c r="I740" s="10" t="n">
        <v>6200</v>
      </c>
      <c r="J740" s="10" t="n">
        <v>0</v>
      </c>
      <c r="K740" s="10" t="n">
        <v>0</v>
      </c>
      <c r="L740" s="10" t="n">
        <v>483</v>
      </c>
      <c r="M740" s="10" t="n">
        <v>0</v>
      </c>
      <c r="N740" s="10" t="n">
        <v>0</v>
      </c>
      <c r="O740" s="10" t="n">
        <v>0</v>
      </c>
      <c r="P740" s="10" t="n">
        <v>-3560</v>
      </c>
      <c r="Q740" s="11"/>
      <c r="R740" s="11"/>
      <c r="S740" s="19"/>
      <c r="T740" s="11"/>
      <c r="U740" s="21"/>
      <c r="V740" s="15"/>
    </row>
    <row r="741" customFormat="false" ht="15.75" hidden="false" customHeight="true" outlineLevel="0" collapsed="false">
      <c r="A741" s="9" t="n">
        <v>46305</v>
      </c>
      <c r="B741" s="11" t="s">
        <v>22</v>
      </c>
      <c r="C741" s="11" t="s">
        <v>23</v>
      </c>
      <c r="D741" s="11" t="s">
        <v>492</v>
      </c>
      <c r="E741" s="11" t="str">
        <f aca="false" t="array" ref="E741:E741">IF(D741="","",IFERROR(INDEX('CLM &amp; IM Mapping'!$B$2:$B$270,MATCH(TRIM(D741),'CLM &amp; IM Mapping'!$A$2:$A$270,0)),"Not Mapped"))</f>
        <v>Balaji G</v>
      </c>
      <c r="F741" s="11" t="str">
        <f aca="false" t="array" ref="F741:F741">IF(D741="","",IFERROR(INDEX('CLM &amp; IM Mapping'!$C$2:$C$270,MATCH(TRIM(D741),'CLM &amp; IM Mapping'!$A$2:$A$270,0)),"Not Mapped"))</f>
        <v>Mohammed Akbar</v>
      </c>
      <c r="G741" s="11" t="s">
        <v>34</v>
      </c>
      <c r="H741" s="10" t="n">
        <v>-12825</v>
      </c>
      <c r="I741" s="10" t="n">
        <v>667</v>
      </c>
      <c r="J741" s="10" t="n">
        <v>0</v>
      </c>
      <c r="K741" s="10" t="n">
        <v>0</v>
      </c>
      <c r="L741" s="10" t="n">
        <v>36</v>
      </c>
      <c r="M741" s="10" t="n">
        <v>0</v>
      </c>
      <c r="N741" s="10" t="n">
        <v>3597</v>
      </c>
      <c r="O741" s="10" t="n">
        <v>0</v>
      </c>
      <c r="P741" s="10" t="n">
        <v>-8525</v>
      </c>
      <c r="Q741" s="11"/>
      <c r="R741" s="11"/>
      <c r="S741" s="19"/>
      <c r="T741" s="11"/>
      <c r="U741" s="21"/>
      <c r="V741" s="15"/>
    </row>
    <row r="742" customFormat="false" ht="15.75" hidden="false" customHeight="true" outlineLevel="0" collapsed="false">
      <c r="A742" s="9" t="n">
        <v>46305</v>
      </c>
      <c r="B742" s="11" t="s">
        <v>22</v>
      </c>
      <c r="C742" s="11" t="s">
        <v>23</v>
      </c>
      <c r="D742" s="11" t="s">
        <v>103</v>
      </c>
      <c r="E742" s="11" t="str">
        <f aca="false" t="array" ref="E742:E742">IF(D742="","",IFERROR(INDEX('CLM &amp; IM Mapping'!$B$2:$B$270,MATCH(TRIM(D742),'CLM &amp; IM Mapping'!$A$2:$A$270,0)),"Not Mapped"))</f>
        <v>Girish N</v>
      </c>
      <c r="F742" s="11" t="str">
        <f aca="false" t="array" ref="F742:F742">IF(D742="","",IFERROR(INDEX('CLM &amp; IM Mapping'!$C$2:$C$270,MATCH(TRIM(D742),'CLM &amp; IM Mapping'!$A$2:$A$270,0)),"Not Mapped"))</f>
        <v>Un Mapped</v>
      </c>
      <c r="G742" s="11" t="s">
        <v>34</v>
      </c>
      <c r="H742" s="10" t="n">
        <v>59240</v>
      </c>
      <c r="I742" s="10" t="n">
        <v>11872</v>
      </c>
      <c r="J742" s="10" t="n">
        <v>0</v>
      </c>
      <c r="K742" s="10" t="n">
        <v>3638</v>
      </c>
      <c r="L742" s="10" t="n">
        <v>537</v>
      </c>
      <c r="M742" s="10" t="n">
        <v>0</v>
      </c>
      <c r="N742" s="10" t="n">
        <v>0</v>
      </c>
      <c r="O742" s="10" t="n">
        <v>0</v>
      </c>
      <c r="P742" s="10" t="n">
        <v>75287</v>
      </c>
      <c r="Q742" s="11"/>
      <c r="R742" s="11"/>
      <c r="S742" s="19"/>
      <c r="T742" s="11"/>
      <c r="U742" s="21"/>
      <c r="V742" s="15"/>
    </row>
    <row r="743" customFormat="false" ht="15.75" hidden="false" customHeight="true" outlineLevel="0" collapsed="false">
      <c r="A743" s="9" t="n">
        <v>46305</v>
      </c>
      <c r="B743" s="11" t="s">
        <v>22</v>
      </c>
      <c r="C743" s="11" t="s">
        <v>23</v>
      </c>
      <c r="D743" s="11" t="s">
        <v>375</v>
      </c>
      <c r="E743" s="11" t="str">
        <f aca="false" t="array" ref="E743:E743">IF(D743="","",IFERROR(INDEX('CLM &amp; IM Mapping'!$B$2:$B$270,MATCH(TRIM(D743),'CLM &amp; IM Mapping'!$A$2:$A$270,0)),"Not Mapped"))</f>
        <v>Saddam Hussain</v>
      </c>
      <c r="F743" s="11" t="str">
        <f aca="false" t="array" ref="F743:F743">IF(D743="","",IFERROR(INDEX('CLM &amp; IM Mapping'!$C$2:$C$270,MATCH(TRIM(D743),'CLM &amp; IM Mapping'!$A$2:$A$270,0)),"Not Mapped"))</f>
        <v>Un Mapped</v>
      </c>
      <c r="G743" s="11" t="s">
        <v>34</v>
      </c>
      <c r="H743" s="10" t="n">
        <v>-4398</v>
      </c>
      <c r="I743" s="10" t="n">
        <v>1393</v>
      </c>
      <c r="J743" s="10" t="n">
        <v>0</v>
      </c>
      <c r="K743" s="10" t="n">
        <v>59</v>
      </c>
      <c r="L743" s="10" t="n">
        <v>1118</v>
      </c>
      <c r="M743" s="10" t="n">
        <v>0</v>
      </c>
      <c r="N743" s="10" t="n">
        <v>1393</v>
      </c>
      <c r="O743" s="10" t="n">
        <v>0</v>
      </c>
      <c r="P743" s="10" t="n">
        <v>-434</v>
      </c>
      <c r="Q743" s="11"/>
      <c r="R743" s="11"/>
      <c r="S743" s="19"/>
      <c r="T743" s="11"/>
      <c r="U743" s="21"/>
      <c r="V743" s="15"/>
    </row>
    <row r="744" customFormat="false" ht="15.75" hidden="false" customHeight="true" outlineLevel="0" collapsed="false">
      <c r="A744" s="9" t="n">
        <v>46305</v>
      </c>
      <c r="B744" s="11" t="s">
        <v>22</v>
      </c>
      <c r="C744" s="11" t="s">
        <v>303</v>
      </c>
      <c r="D744" s="11" t="s">
        <v>475</v>
      </c>
      <c r="E744" s="11" t="str">
        <f aca="false" t="array" ref="E744:E744">IF(D744="","",IFERROR(INDEX('CLM &amp; IM Mapping'!$B$2:$B$270,MATCH(TRIM(D744),'CLM &amp; IM Mapping'!$A$2:$A$270,0)),"Not Mapped"))</f>
        <v>John Britto</v>
      </c>
      <c r="F744" s="11" t="str">
        <f aca="false" t="array" ref="F744:F744">IF(D744="","",IFERROR(INDEX('CLM &amp; IM Mapping'!$C$2:$C$270,MATCH(TRIM(D744),'CLM &amp; IM Mapping'!$A$2:$A$270,0)),"Not Mapped"))</f>
        <v>Aravind S</v>
      </c>
      <c r="G744" s="11" t="s">
        <v>34</v>
      </c>
      <c r="H744" s="10" t="n">
        <v>-13998</v>
      </c>
      <c r="I744" s="10" t="n">
        <v>2411</v>
      </c>
      <c r="J744" s="10" t="n">
        <v>0</v>
      </c>
      <c r="K744" s="10" t="n">
        <v>0</v>
      </c>
      <c r="L744" s="10" t="n">
        <v>32</v>
      </c>
      <c r="M744" s="10" t="n">
        <v>0</v>
      </c>
      <c r="N744" s="10" t="n">
        <v>0</v>
      </c>
      <c r="O744" s="10" t="n">
        <v>0</v>
      </c>
      <c r="P744" s="10" t="n">
        <v>-11555</v>
      </c>
      <c r="Q744" s="11"/>
      <c r="R744" s="11"/>
      <c r="S744" s="19"/>
      <c r="T744" s="11"/>
      <c r="U744" s="21"/>
      <c r="V744" s="15"/>
    </row>
    <row r="745" customFormat="false" ht="15.75" hidden="false" customHeight="true" outlineLevel="0" collapsed="false">
      <c r="A745" s="9" t="n">
        <v>46305</v>
      </c>
      <c r="B745" s="11" t="s">
        <v>22</v>
      </c>
      <c r="C745" s="11" t="s">
        <v>23</v>
      </c>
      <c r="D745" s="11" t="s">
        <v>376</v>
      </c>
      <c r="E745" s="11" t="str">
        <f aca="false" t="array" ref="E745:E745">IF(D745="","",IFERROR(INDEX('CLM &amp; IM Mapping'!$B$2:$B$270,MATCH(TRIM(D745),'CLM &amp; IM Mapping'!$A$2:$A$270,0)),"Not Mapped"))</f>
        <v>Sundaresh S</v>
      </c>
      <c r="F745" s="11" t="str">
        <f aca="false" t="array" ref="F745:F745">IF(D745="","",IFERROR(INDEX('CLM &amp; IM Mapping'!$C$2:$C$270,MATCH(TRIM(D745),'CLM &amp; IM Mapping'!$A$2:$A$270,0)),"Not Mapped"))</f>
        <v>Un Mapped</v>
      </c>
      <c r="G745" s="11" t="s">
        <v>34</v>
      </c>
      <c r="H745" s="10" t="n">
        <v>-13262</v>
      </c>
      <c r="I745" s="10" t="n">
        <v>5607</v>
      </c>
      <c r="J745" s="10" t="n">
        <v>2114</v>
      </c>
      <c r="K745" s="10" t="n">
        <v>5975</v>
      </c>
      <c r="L745" s="10" t="n">
        <v>737</v>
      </c>
      <c r="M745" s="10" t="n">
        <v>0</v>
      </c>
      <c r="N745" s="10" t="n">
        <v>0</v>
      </c>
      <c r="O745" s="10" t="n">
        <v>4772</v>
      </c>
      <c r="P745" s="10" t="n">
        <v>5944</v>
      </c>
      <c r="Q745" s="11"/>
      <c r="R745" s="11"/>
      <c r="S745" s="19"/>
      <c r="T745" s="11"/>
      <c r="U745" s="21"/>
      <c r="V745" s="15"/>
    </row>
    <row r="746" customFormat="false" ht="15.75" hidden="false" customHeight="true" outlineLevel="0" collapsed="false">
      <c r="A746" s="9" t="n">
        <v>46305</v>
      </c>
      <c r="B746" s="11" t="s">
        <v>22</v>
      </c>
      <c r="C746" s="11" t="s">
        <v>23</v>
      </c>
      <c r="D746" s="11" t="s">
        <v>454</v>
      </c>
      <c r="E746" s="11" t="str">
        <f aca="false" t="array" ref="E746:E746">IF(D746="","",IFERROR(INDEX('CLM &amp; IM Mapping'!$B$2:$B$270,MATCH(TRIM(D746),'CLM &amp; IM Mapping'!$A$2:$A$270,0)),"Not Mapped"))</f>
        <v>Balaji G</v>
      </c>
      <c r="F746" s="11" t="str">
        <f aca="false" t="array" ref="F746:F746">IF(D746="","",IFERROR(INDEX('CLM &amp; IM Mapping'!$C$2:$C$270,MATCH(TRIM(D746),'CLM &amp; IM Mapping'!$A$2:$A$270,0)),"Not Mapped"))</f>
        <v>Mohammed Akbar</v>
      </c>
      <c r="G746" s="11" t="s">
        <v>34</v>
      </c>
      <c r="H746" s="10" t="n">
        <v>-10363</v>
      </c>
      <c r="I746" s="10" t="n">
        <v>5984</v>
      </c>
      <c r="J746" s="10" t="n">
        <v>0</v>
      </c>
      <c r="K746" s="10" t="n">
        <v>30</v>
      </c>
      <c r="L746" s="10" t="n">
        <v>0</v>
      </c>
      <c r="M746" s="10" t="n">
        <v>0</v>
      </c>
      <c r="N746" s="10" t="n">
        <v>0</v>
      </c>
      <c r="O746" s="10" t="n">
        <v>0</v>
      </c>
      <c r="P746" s="10" t="n">
        <v>-4349</v>
      </c>
      <c r="Q746" s="11"/>
      <c r="R746" s="11"/>
      <c r="S746" s="19"/>
      <c r="T746" s="11"/>
      <c r="U746" s="21"/>
      <c r="V746" s="15"/>
    </row>
    <row r="747" customFormat="false" ht="15.75" hidden="false" customHeight="true" outlineLevel="0" collapsed="false">
      <c r="A747" s="9" t="n">
        <v>46305</v>
      </c>
      <c r="B747" s="11" t="s">
        <v>22</v>
      </c>
      <c r="C747" s="11" t="s">
        <v>23</v>
      </c>
      <c r="D747" s="11" t="s">
        <v>287</v>
      </c>
      <c r="E747" s="11" t="str">
        <f aca="false" t="array" ref="E747:E747">IF(D747="","",IFERROR(INDEX('CLM &amp; IM Mapping'!$B$2:$B$270,MATCH(TRIM(D747),'CLM &amp; IM Mapping'!$A$2:$A$270,0)),"Not Mapped"))</f>
        <v>Sundaresh S</v>
      </c>
      <c r="F747" s="11" t="str">
        <f aca="false" t="array" ref="F747:F747">IF(D747="","",IFERROR(INDEX('CLM &amp; IM Mapping'!$C$2:$C$270,MATCH(TRIM(D747),'CLM &amp; IM Mapping'!$A$2:$A$270,0)),"Not Mapped"))</f>
        <v>Un Mapped</v>
      </c>
      <c r="G747" s="11" t="s">
        <v>34</v>
      </c>
      <c r="H747" s="10" t="n">
        <v>-6245</v>
      </c>
      <c r="I747" s="10" t="n">
        <v>10955</v>
      </c>
      <c r="J747" s="10" t="n">
        <v>0</v>
      </c>
      <c r="K747" s="10" t="n">
        <v>1073</v>
      </c>
      <c r="L747" s="10" t="n">
        <v>275</v>
      </c>
      <c r="M747" s="10" t="n">
        <v>0</v>
      </c>
      <c r="N747" s="10" t="n">
        <v>0</v>
      </c>
      <c r="O747" s="10" t="n">
        <v>0</v>
      </c>
      <c r="P747" s="10" t="n">
        <v>6058</v>
      </c>
      <c r="Q747" s="11"/>
      <c r="R747" s="11"/>
      <c r="S747" s="19"/>
      <c r="T747" s="11"/>
      <c r="U747" s="21"/>
      <c r="V747" s="15"/>
    </row>
    <row r="748" customFormat="false" ht="15.75" hidden="false" customHeight="true" outlineLevel="0" collapsed="false">
      <c r="A748" s="9" t="n">
        <v>46305</v>
      </c>
      <c r="B748" s="11" t="s">
        <v>22</v>
      </c>
      <c r="C748" s="11" t="s">
        <v>23</v>
      </c>
      <c r="D748" s="11" t="s">
        <v>437</v>
      </c>
      <c r="E748" s="11" t="str">
        <f aca="false" t="array" ref="E748:E748">IF(D748="","",IFERROR(INDEX('CLM &amp; IM Mapping'!$B$2:$B$270,MATCH(TRIM(D748),'CLM &amp; IM Mapping'!$A$2:$A$270,0)),"Not Mapped"))</f>
        <v>Balaji G</v>
      </c>
      <c r="F748" s="11" t="str">
        <f aca="false" t="array" ref="F748:F748">IF(D748="","",IFERROR(INDEX('CLM &amp; IM Mapping'!$C$2:$C$270,MATCH(TRIM(D748),'CLM &amp; IM Mapping'!$A$2:$A$270,0)),"Not Mapped"))</f>
        <v>Mohammed Akbar</v>
      </c>
      <c r="G748" s="11" t="s">
        <v>34</v>
      </c>
      <c r="H748" s="10" t="n">
        <v>-40009</v>
      </c>
      <c r="I748" s="10" t="n">
        <v>12522</v>
      </c>
      <c r="J748" s="10" t="n">
        <v>0</v>
      </c>
      <c r="K748" s="10" t="n">
        <v>8505</v>
      </c>
      <c r="L748" s="10" t="n">
        <v>3002</v>
      </c>
      <c r="M748" s="10" t="n">
        <v>0</v>
      </c>
      <c r="N748" s="10" t="n">
        <v>0</v>
      </c>
      <c r="O748" s="10" t="n">
        <v>0</v>
      </c>
      <c r="P748" s="10" t="n">
        <v>-15980</v>
      </c>
      <c r="Q748" s="11"/>
      <c r="R748" s="11"/>
      <c r="S748" s="19"/>
      <c r="T748" s="11"/>
      <c r="U748" s="21"/>
      <c r="V748" s="15"/>
    </row>
    <row r="749" customFormat="false" ht="15.75" hidden="false" customHeight="true" outlineLevel="0" collapsed="false">
      <c r="A749" s="9" t="n">
        <v>46305</v>
      </c>
      <c r="B749" s="11" t="s">
        <v>22</v>
      </c>
      <c r="C749" s="11" t="s">
        <v>23</v>
      </c>
      <c r="D749" s="11" t="s">
        <v>181</v>
      </c>
      <c r="E749" s="11" t="str">
        <f aca="false" t="array" ref="E749:E749">IF(D749="","",IFERROR(INDEX('CLM &amp; IM Mapping'!$B$2:$B$270,MATCH(TRIM(D749),'CLM &amp; IM Mapping'!$A$2:$A$270,0)),"Not Mapped"))</f>
        <v>Silambarasan E</v>
      </c>
      <c r="F749" s="11" t="str">
        <f aca="false" t="array" ref="F749:F749">IF(D749="","",IFERROR(INDEX('CLM &amp; IM Mapping'!$C$2:$C$270,MATCH(TRIM(D749),'CLM &amp; IM Mapping'!$A$2:$A$270,0)),"Not Mapped"))</f>
        <v>Arivind S</v>
      </c>
      <c r="G749" s="11" t="s">
        <v>34</v>
      </c>
      <c r="H749" s="10" t="n">
        <v>19454</v>
      </c>
      <c r="I749" s="10" t="n">
        <v>10727</v>
      </c>
      <c r="J749" s="10" t="n">
        <v>1000</v>
      </c>
      <c r="K749" s="10" t="n">
        <v>906</v>
      </c>
      <c r="L749" s="10" t="n">
        <v>686</v>
      </c>
      <c r="M749" s="10" t="n">
        <v>0</v>
      </c>
      <c r="N749" s="10" t="n">
        <v>2095</v>
      </c>
      <c r="O749" s="10" t="n">
        <v>0</v>
      </c>
      <c r="P749" s="10" t="n">
        <v>34868</v>
      </c>
      <c r="Q749" s="11"/>
      <c r="R749" s="11"/>
      <c r="S749" s="19"/>
      <c r="T749" s="11"/>
      <c r="U749" s="21"/>
      <c r="V749" s="15"/>
    </row>
    <row r="750" customFormat="false" ht="15.75" hidden="false" customHeight="true" outlineLevel="0" collapsed="false">
      <c r="A750" s="9" t="n">
        <v>46305</v>
      </c>
      <c r="B750" s="11" t="s">
        <v>22</v>
      </c>
      <c r="C750" s="11" t="s">
        <v>23</v>
      </c>
      <c r="D750" s="11" t="s">
        <v>92</v>
      </c>
      <c r="E750" s="11" t="str">
        <f aca="false" t="array" ref="E750:E750">IF(D750="","",IFERROR(INDEX('CLM &amp; IM Mapping'!$B$2:$B$270,MATCH(TRIM(D750),'CLM &amp; IM Mapping'!$A$2:$A$270,0)),"Not Mapped"))</f>
        <v>Balaji G</v>
      </c>
      <c r="F750" s="11" t="str">
        <f aca="false" t="array" ref="F750:F750">IF(D750="","",IFERROR(INDEX('CLM &amp; IM Mapping'!$C$2:$C$270,MATCH(TRIM(D750),'CLM &amp; IM Mapping'!$A$2:$A$270,0)),"Not Mapped"))</f>
        <v>Mohammed Akbar</v>
      </c>
      <c r="G750" s="11" t="s">
        <v>34</v>
      </c>
      <c r="H750" s="10" t="n">
        <v>-33043</v>
      </c>
      <c r="I750" s="10" t="n">
        <v>38369</v>
      </c>
      <c r="J750" s="10" t="n">
        <v>2882</v>
      </c>
      <c r="K750" s="10" t="n">
        <v>3964</v>
      </c>
      <c r="L750" s="10" t="n">
        <v>2402</v>
      </c>
      <c r="M750" s="10" t="n">
        <v>0</v>
      </c>
      <c r="N750" s="10" t="n">
        <v>0</v>
      </c>
      <c r="O750" s="10" t="n">
        <v>0</v>
      </c>
      <c r="P750" s="10" t="n">
        <v>14573</v>
      </c>
      <c r="Q750" s="11"/>
      <c r="R750" s="11"/>
      <c r="S750" s="19"/>
      <c r="T750" s="11"/>
      <c r="U750" s="21"/>
      <c r="V750" s="15"/>
    </row>
    <row r="751" customFormat="false" ht="15.75" hidden="false" customHeight="true" outlineLevel="0" collapsed="false">
      <c r="A751" s="9" t="n">
        <v>46305</v>
      </c>
      <c r="B751" s="11" t="s">
        <v>22</v>
      </c>
      <c r="C751" s="11" t="s">
        <v>394</v>
      </c>
      <c r="D751" s="11" t="s">
        <v>400</v>
      </c>
      <c r="E751" s="11" t="str">
        <f aca="false" t="array" ref="E751:E751">IF(D751="","",IFERROR(INDEX('CLM &amp; IM Mapping'!$B$2:$B$270,MATCH(TRIM(D751),'CLM &amp; IM Mapping'!$A$2:$A$270,0)),"Not Mapped"))</f>
        <v>Bangareppa CS</v>
      </c>
      <c r="F751" s="11" t="str">
        <f aca="false" t="array" ref="F751:F751">IF(D751="","",IFERROR(INDEX('CLM &amp; IM Mapping'!$C$2:$C$270,MATCH(TRIM(D751),'CLM &amp; IM Mapping'!$A$2:$A$270,0)),"Not Mapped"))</f>
        <v>Kishor K</v>
      </c>
      <c r="G751" s="11" t="s">
        <v>34</v>
      </c>
      <c r="H751" s="10" t="n">
        <v>-7326</v>
      </c>
      <c r="I751" s="10" t="n">
        <v>6589</v>
      </c>
      <c r="J751" s="10" t="n">
        <v>0</v>
      </c>
      <c r="K751" s="10" t="n">
        <v>0</v>
      </c>
      <c r="L751" s="10" t="n">
        <v>417</v>
      </c>
      <c r="M751" s="10" t="n">
        <v>0</v>
      </c>
      <c r="N751" s="10" t="n">
        <v>0</v>
      </c>
      <c r="O751" s="10" t="n">
        <v>0</v>
      </c>
      <c r="P751" s="10" t="n">
        <v>-320</v>
      </c>
      <c r="Q751" s="11"/>
      <c r="R751" s="11"/>
      <c r="S751" s="19"/>
      <c r="T751" s="11"/>
      <c r="U751" s="21"/>
      <c r="V751" s="15"/>
    </row>
    <row r="752" customFormat="false" ht="15.75" hidden="false" customHeight="true" outlineLevel="0" collapsed="false">
      <c r="A752" s="9" t="n">
        <v>46305</v>
      </c>
      <c r="B752" s="11" t="s">
        <v>22</v>
      </c>
      <c r="C752" s="11" t="s">
        <v>23</v>
      </c>
      <c r="D752" s="11" t="s">
        <v>379</v>
      </c>
      <c r="E752" s="11" t="str">
        <f aca="false" t="array" ref="E752:E752">IF(D752="","",IFERROR(INDEX('CLM &amp; IM Mapping'!$B$2:$B$270,MATCH(TRIM(D752),'CLM &amp; IM Mapping'!$A$2:$A$270,0)),"Not Mapped"))</f>
        <v>Richard Harris</v>
      </c>
      <c r="F752" s="11" t="str">
        <f aca="false" t="array" ref="F752:F752">IF(D752="","",IFERROR(INDEX('CLM &amp; IM Mapping'!$C$2:$C$270,MATCH(TRIM(D752),'CLM &amp; IM Mapping'!$A$2:$A$270,0)),"Not Mapped"))</f>
        <v>Kantha Kumar</v>
      </c>
      <c r="G752" s="11" t="s">
        <v>34</v>
      </c>
      <c r="H752" s="10" t="n">
        <v>-12056</v>
      </c>
      <c r="I752" s="10" t="n">
        <v>4075</v>
      </c>
      <c r="J752" s="10" t="n">
        <v>2265</v>
      </c>
      <c r="K752" s="10" t="n">
        <v>0</v>
      </c>
      <c r="L752" s="10" t="n">
        <v>771</v>
      </c>
      <c r="M752" s="10" t="n">
        <v>0</v>
      </c>
      <c r="N752" s="10" t="n">
        <v>4320</v>
      </c>
      <c r="O752" s="10" t="n">
        <v>0</v>
      </c>
      <c r="P752" s="10" t="n">
        <v>-626</v>
      </c>
      <c r="Q752" s="11"/>
      <c r="R752" s="11"/>
      <c r="S752" s="19"/>
      <c r="T752" s="11"/>
      <c r="U752" s="21"/>
      <c r="V752" s="15"/>
    </row>
    <row r="753" customFormat="false" ht="15.75" hidden="false" customHeight="true" outlineLevel="0" collapsed="false">
      <c r="A753" s="9" t="n">
        <v>46305</v>
      </c>
      <c r="B753" s="11" t="s">
        <v>22</v>
      </c>
      <c r="C753" s="11" t="s">
        <v>23</v>
      </c>
      <c r="D753" s="11" t="s">
        <v>129</v>
      </c>
      <c r="E753" s="11" t="str">
        <f aca="false" t="array" ref="E753:E753">IF(D753="","",IFERROR(INDEX('CLM &amp; IM Mapping'!$B$2:$B$270,MATCH(TRIM(D753),'CLM &amp; IM Mapping'!$A$2:$A$270,0)),"Not Mapped"))</f>
        <v>Ashwath S</v>
      </c>
      <c r="F753" s="11" t="str">
        <f aca="false" t="array" ref="F753:F753">IF(D753="","",IFERROR(INDEX('CLM &amp; IM Mapping'!$C$2:$C$270,MATCH(TRIM(D753),'CLM &amp; IM Mapping'!$A$2:$A$270,0)),"Not Mapped"))</f>
        <v>Kantha Kumar</v>
      </c>
      <c r="G753" s="11" t="s">
        <v>34</v>
      </c>
      <c r="H753" s="10" t="n">
        <v>34665</v>
      </c>
      <c r="I753" s="10" t="n">
        <v>11581</v>
      </c>
      <c r="J753" s="10" t="n">
        <v>0</v>
      </c>
      <c r="K753" s="10" t="n">
        <v>0</v>
      </c>
      <c r="L753" s="10" t="n">
        <v>382</v>
      </c>
      <c r="M753" s="10" t="n">
        <v>0</v>
      </c>
      <c r="N753" s="10" t="n">
        <v>0</v>
      </c>
      <c r="O753" s="10" t="n">
        <v>607</v>
      </c>
      <c r="P753" s="10" t="n">
        <v>47235</v>
      </c>
      <c r="Q753" s="11"/>
      <c r="R753" s="11"/>
      <c r="S753" s="19"/>
      <c r="T753" s="11"/>
      <c r="U753" s="21"/>
      <c r="V753" s="15"/>
    </row>
    <row r="754" customFormat="false" ht="15.75" hidden="false" customHeight="true" outlineLevel="0" collapsed="false">
      <c r="A754" s="9" t="n">
        <v>46305</v>
      </c>
      <c r="B754" s="11" t="s">
        <v>22</v>
      </c>
      <c r="C754" s="11" t="s">
        <v>23</v>
      </c>
      <c r="D754" s="11" t="s">
        <v>267</v>
      </c>
      <c r="E754" s="11" t="str">
        <f aca="false" t="array" ref="E754:E754">IF(D754="","",IFERROR(INDEX('CLM &amp; IM Mapping'!$B$2:$B$270,MATCH(TRIM(D754),'CLM &amp; IM Mapping'!$A$2:$A$270,0)),"Not Mapped"))</f>
        <v>Balaji G</v>
      </c>
      <c r="F754" s="11" t="str">
        <f aca="false" t="array" ref="F754:F754">IF(D754="","",IFERROR(INDEX('CLM &amp; IM Mapping'!$C$2:$C$270,MATCH(TRIM(D754),'CLM &amp; IM Mapping'!$A$2:$A$270,0)),"Not Mapped"))</f>
        <v>Mohammed Akbar</v>
      </c>
      <c r="G754" s="11" t="s">
        <v>34</v>
      </c>
      <c r="H754" s="10" t="n">
        <v>-6478</v>
      </c>
      <c r="I754" s="10" t="n">
        <v>3596</v>
      </c>
      <c r="J754" s="10" t="n">
        <v>207</v>
      </c>
      <c r="K754" s="10" t="n">
        <v>0</v>
      </c>
      <c r="L754" s="10" t="n">
        <v>1464</v>
      </c>
      <c r="M754" s="10" t="n">
        <v>0</v>
      </c>
      <c r="N754" s="10" t="n">
        <v>294</v>
      </c>
      <c r="O754" s="10" t="n">
        <v>0</v>
      </c>
      <c r="P754" s="10" t="n">
        <v>-917</v>
      </c>
      <c r="Q754" s="11"/>
      <c r="R754" s="11"/>
      <c r="S754" s="19"/>
      <c r="T754" s="11"/>
      <c r="U754" s="21"/>
      <c r="V754" s="15"/>
    </row>
    <row r="755" customFormat="false" ht="15.75" hidden="false" customHeight="true" outlineLevel="0" collapsed="false">
      <c r="A755" s="9" t="n">
        <v>46305</v>
      </c>
      <c r="B755" s="11" t="s">
        <v>22</v>
      </c>
      <c r="C755" s="11" t="s">
        <v>23</v>
      </c>
      <c r="D755" s="11" t="s">
        <v>510</v>
      </c>
      <c r="E755" s="11" t="str">
        <f aca="false" t="array" ref="E755:E755">IF(D755="","",IFERROR(INDEX('CLM &amp; IM Mapping'!$B$2:$B$270,MATCH(TRIM(D755),'CLM &amp; IM Mapping'!$A$2:$A$270,0)),"Not Mapped"))</f>
        <v>Manjunatha V</v>
      </c>
      <c r="F755" s="11" t="str">
        <f aca="false" t="array" ref="F755:F755">IF(D755="","",IFERROR(INDEX('CLM &amp; IM Mapping'!$C$2:$C$270,MATCH(TRIM(D755),'CLM &amp; IM Mapping'!$A$2:$A$270,0)),"Not Mapped"))</f>
        <v>Un Mapped</v>
      </c>
      <c r="G755" s="11" t="s">
        <v>34</v>
      </c>
      <c r="H755" s="10" t="n">
        <v>-20989</v>
      </c>
      <c r="I755" s="10" t="n">
        <v>4112</v>
      </c>
      <c r="J755" s="10" t="n">
        <v>0</v>
      </c>
      <c r="K755" s="10" t="n">
        <v>0</v>
      </c>
      <c r="L755" s="10" t="n">
        <v>4171</v>
      </c>
      <c r="M755" s="10" t="n">
        <v>0</v>
      </c>
      <c r="N755" s="10" t="n">
        <v>0</v>
      </c>
      <c r="O755" s="10" t="n">
        <v>0</v>
      </c>
      <c r="P755" s="10" t="n">
        <v>-12707</v>
      </c>
      <c r="Q755" s="11"/>
      <c r="R755" s="11"/>
      <c r="S755" s="19"/>
      <c r="T755" s="11"/>
      <c r="U755" s="21"/>
      <c r="V755" s="15"/>
    </row>
    <row r="756" customFormat="false" ht="15.75" hidden="false" customHeight="true" outlineLevel="0" collapsed="false">
      <c r="A756" s="9" t="n">
        <v>46305</v>
      </c>
      <c r="B756" s="11" t="s">
        <v>22</v>
      </c>
      <c r="C756" s="11" t="s">
        <v>23</v>
      </c>
      <c r="D756" s="11" t="s">
        <v>488</v>
      </c>
      <c r="E756" s="11" t="str">
        <f aca="false" t="array" ref="E756:E756">IF(D756="","",IFERROR(INDEX('CLM &amp; IM Mapping'!$B$2:$B$270,MATCH(TRIM(D756),'CLM &amp; IM Mapping'!$A$2:$A$270,0)),"Not Mapped"))</f>
        <v>Sundaresh S</v>
      </c>
      <c r="F756" s="11" t="str">
        <f aca="false" t="array" ref="F756:F756">IF(D756="","",IFERROR(INDEX('CLM &amp; IM Mapping'!$C$2:$C$270,MATCH(TRIM(D756),'CLM &amp; IM Mapping'!$A$2:$A$270,0)),"Not Mapped"))</f>
        <v>Un Mapped</v>
      </c>
      <c r="G756" s="11" t="s">
        <v>34</v>
      </c>
      <c r="H756" s="10" t="n">
        <v>-24456</v>
      </c>
      <c r="I756" s="10" t="n">
        <v>7614</v>
      </c>
      <c r="J756" s="10" t="n">
        <v>0</v>
      </c>
      <c r="K756" s="10" t="n">
        <v>333</v>
      </c>
      <c r="L756" s="10" t="n">
        <v>1705</v>
      </c>
      <c r="M756" s="10" t="n">
        <v>0</v>
      </c>
      <c r="N756" s="10" t="n">
        <v>0</v>
      </c>
      <c r="O756" s="10" t="n">
        <v>0</v>
      </c>
      <c r="P756" s="10" t="n">
        <v>-14805</v>
      </c>
      <c r="Q756" s="11"/>
      <c r="R756" s="11"/>
      <c r="S756" s="19"/>
      <c r="T756" s="11"/>
      <c r="U756" s="21"/>
      <c r="V756" s="15"/>
    </row>
    <row r="757" customFormat="false" ht="15.75" hidden="false" customHeight="true" outlineLevel="0" collapsed="false">
      <c r="A757" s="9" t="n">
        <v>46305</v>
      </c>
      <c r="B757" s="11" t="s">
        <v>22</v>
      </c>
      <c r="C757" s="11" t="s">
        <v>303</v>
      </c>
      <c r="D757" s="11" t="s">
        <v>391</v>
      </c>
      <c r="E757" s="11" t="str">
        <f aca="false" t="array" ref="E757:E757">IF(D757="","",IFERROR(INDEX('CLM &amp; IM Mapping'!$B$2:$B$270,MATCH(TRIM(D757),'CLM &amp; IM Mapping'!$A$2:$A$270,0)),"Not Mapped"))</f>
        <v>John Britto</v>
      </c>
      <c r="F757" s="11" t="str">
        <f aca="false" t="array" ref="F757:F757">IF(D757="","",IFERROR(INDEX('CLM &amp; IM Mapping'!$C$2:$C$270,MATCH(TRIM(D757),'CLM &amp; IM Mapping'!$A$2:$A$270,0)),"Not Mapped"))</f>
        <v>Aravind S</v>
      </c>
      <c r="G757" s="11" t="s">
        <v>34</v>
      </c>
      <c r="H757" s="10" t="n">
        <v>-590</v>
      </c>
      <c r="I757" s="10" t="n">
        <v>1050</v>
      </c>
      <c r="J757" s="10" t="n">
        <v>0</v>
      </c>
      <c r="K757" s="10" t="n">
        <v>0</v>
      </c>
      <c r="L757" s="10" t="n">
        <v>39</v>
      </c>
      <c r="M757" s="10" t="n">
        <v>0</v>
      </c>
      <c r="N757" s="10" t="n">
        <v>0</v>
      </c>
      <c r="O757" s="10" t="n">
        <v>0</v>
      </c>
      <c r="P757" s="10" t="n">
        <v>499</v>
      </c>
      <c r="Q757" s="11"/>
      <c r="R757" s="11"/>
      <c r="S757" s="19"/>
      <c r="T757" s="11"/>
      <c r="U757" s="21"/>
      <c r="V757" s="15"/>
    </row>
    <row r="758" customFormat="false" ht="15.75" hidden="false" customHeight="true" outlineLevel="0" collapsed="false">
      <c r="A758" s="9" t="n">
        <v>46305</v>
      </c>
      <c r="B758" s="11" t="s">
        <v>22</v>
      </c>
      <c r="C758" s="11" t="s">
        <v>23</v>
      </c>
      <c r="D758" s="11" t="s">
        <v>126</v>
      </c>
      <c r="E758" s="11" t="str">
        <f aca="false" t="array" ref="E758:E758">IF(D758="","",IFERROR(INDEX('CLM &amp; IM Mapping'!$B$2:$B$270,MATCH(TRIM(D758),'CLM &amp; IM Mapping'!$A$2:$A$270,0)),"Not Mapped"))</f>
        <v>Girish N</v>
      </c>
      <c r="F758" s="11" t="str">
        <f aca="false" t="array" ref="F758:F758">IF(D758="","",IFERROR(INDEX('CLM &amp; IM Mapping'!$C$2:$C$270,MATCH(TRIM(D758),'CLM &amp; IM Mapping'!$A$2:$A$270,0)),"Not Mapped"))</f>
        <v>Un Mapped</v>
      </c>
      <c r="G758" s="11" t="s">
        <v>34</v>
      </c>
      <c r="H758" s="10" t="n">
        <v>32176</v>
      </c>
      <c r="I758" s="10" t="n">
        <v>23411</v>
      </c>
      <c r="J758" s="10" t="n">
        <v>0</v>
      </c>
      <c r="K758" s="10" t="n">
        <v>291</v>
      </c>
      <c r="L758" s="10" t="n">
        <v>2209</v>
      </c>
      <c r="M758" s="10" t="n">
        <v>0</v>
      </c>
      <c r="N758" s="10" t="n">
        <v>0</v>
      </c>
      <c r="O758" s="10" t="n">
        <v>584</v>
      </c>
      <c r="P758" s="10" t="n">
        <v>58671</v>
      </c>
      <c r="Q758" s="11"/>
      <c r="R758" s="11"/>
      <c r="S758" s="19"/>
      <c r="T758" s="11"/>
      <c r="U758" s="21"/>
      <c r="V758" s="15"/>
    </row>
    <row r="759" customFormat="false" ht="15.75" hidden="false" customHeight="true" outlineLevel="0" collapsed="false">
      <c r="A759" s="9" t="n">
        <v>46305</v>
      </c>
      <c r="B759" s="11" t="s">
        <v>22</v>
      </c>
      <c r="C759" s="11" t="s">
        <v>23</v>
      </c>
      <c r="D759" s="11" t="s">
        <v>398</v>
      </c>
      <c r="E759" s="11" t="str">
        <f aca="false" t="array" ref="E759:E759">IF(D759="","",IFERROR(INDEX('CLM &amp; IM Mapping'!$B$2:$B$270,MATCH(TRIM(D759),'CLM &amp; IM Mapping'!$A$2:$A$270,0)),"Not Mapped"))</f>
        <v>Raghavendra Vernekar</v>
      </c>
      <c r="F759" s="11" t="str">
        <f aca="false" t="array" ref="F759:F759">IF(D759="","",IFERROR(INDEX('CLM &amp; IM Mapping'!$C$2:$C$270,MATCH(TRIM(D759),'CLM &amp; IM Mapping'!$A$2:$A$270,0)),"Not Mapped"))</f>
        <v>Prakash BS</v>
      </c>
      <c r="G759" s="11" t="s">
        <v>34</v>
      </c>
      <c r="H759" s="10" t="n">
        <v>-25362</v>
      </c>
      <c r="I759" s="10" t="n">
        <v>10745</v>
      </c>
      <c r="J759" s="10" t="n">
        <v>0</v>
      </c>
      <c r="K759" s="10" t="n">
        <v>371</v>
      </c>
      <c r="L759" s="10" t="n">
        <v>705</v>
      </c>
      <c r="M759" s="10" t="n">
        <v>0</v>
      </c>
      <c r="N759" s="10" t="n">
        <v>0</v>
      </c>
      <c r="O759" s="10" t="n">
        <v>0</v>
      </c>
      <c r="P759" s="10" t="n">
        <v>-13541</v>
      </c>
      <c r="Q759" s="11"/>
      <c r="R759" s="11"/>
      <c r="S759" s="19"/>
      <c r="T759" s="11"/>
      <c r="U759" s="21"/>
      <c r="V759" s="15"/>
    </row>
    <row r="760" customFormat="false" ht="15.75" hidden="false" customHeight="true" outlineLevel="0" collapsed="false">
      <c r="A760" s="9" t="n">
        <v>46305</v>
      </c>
      <c r="B760" s="11" t="s">
        <v>22</v>
      </c>
      <c r="C760" s="11" t="s">
        <v>23</v>
      </c>
      <c r="D760" s="11" t="s">
        <v>97</v>
      </c>
      <c r="E760" s="11" t="str">
        <f aca="false" t="array" ref="E760:E760">IF(D760="","",IFERROR(INDEX('CLM &amp; IM Mapping'!$B$2:$B$270,MATCH(TRIM(D760),'CLM &amp; IM Mapping'!$A$2:$A$270,0)),"Not Mapped"))</f>
        <v>Raghavendra Vernekar</v>
      </c>
      <c r="F760" s="11" t="str">
        <f aca="false" t="array" ref="F760:F760">IF(D760="","",IFERROR(INDEX('CLM &amp; IM Mapping'!$C$2:$C$270,MATCH(TRIM(D760),'CLM &amp; IM Mapping'!$A$2:$A$270,0)),"Not Mapped"))</f>
        <v>Prakash BS</v>
      </c>
      <c r="G760" s="11" t="s">
        <v>34</v>
      </c>
      <c r="H760" s="10" t="n">
        <v>-42843</v>
      </c>
      <c r="I760" s="10" t="n">
        <v>30447</v>
      </c>
      <c r="J760" s="10" t="n">
        <v>0</v>
      </c>
      <c r="K760" s="10" t="n">
        <v>228</v>
      </c>
      <c r="L760" s="10" t="n">
        <v>332</v>
      </c>
      <c r="M760" s="10" t="n">
        <v>0</v>
      </c>
      <c r="N760" s="10" t="n">
        <v>2149</v>
      </c>
      <c r="O760" s="10" t="n">
        <v>95660</v>
      </c>
      <c r="P760" s="10" t="n">
        <v>85974</v>
      </c>
      <c r="Q760" s="11"/>
      <c r="R760" s="11"/>
      <c r="S760" s="19"/>
      <c r="T760" s="11"/>
      <c r="U760" s="21"/>
      <c r="V760" s="15"/>
    </row>
    <row r="761" customFormat="false" ht="15.75" hidden="false" customHeight="true" outlineLevel="0" collapsed="false">
      <c r="A761" s="9" t="n">
        <v>46305</v>
      </c>
      <c r="B761" s="11" t="s">
        <v>22</v>
      </c>
      <c r="C761" s="11" t="s">
        <v>23</v>
      </c>
      <c r="D761" s="11" t="s">
        <v>426</v>
      </c>
      <c r="E761" s="11" t="str">
        <f aca="false" t="array" ref="E761:E761">IF(D761="","",IFERROR(INDEX('CLM &amp; IM Mapping'!$B$2:$B$270,MATCH(TRIM(D761),'CLM &amp; IM Mapping'!$A$2:$A$270,0)),"Not Mapped"))</f>
        <v>Silambarasan E</v>
      </c>
      <c r="F761" s="11" t="str">
        <f aca="false" t="array" ref="F761:F761">IF(D761="","",IFERROR(INDEX('CLM &amp; IM Mapping'!$C$2:$C$270,MATCH(TRIM(D761),'CLM &amp; IM Mapping'!$A$2:$A$270,0)),"Not Mapped"))</f>
        <v>Arivind S</v>
      </c>
      <c r="G761" s="11" t="s">
        <v>34</v>
      </c>
      <c r="H761" s="10" t="n">
        <v>-10759</v>
      </c>
      <c r="I761" s="10" t="n">
        <v>8865</v>
      </c>
      <c r="J761" s="10" t="n">
        <v>328</v>
      </c>
      <c r="K761" s="10" t="n">
        <v>1132</v>
      </c>
      <c r="L761" s="10" t="n">
        <v>736</v>
      </c>
      <c r="M761" s="10" t="n">
        <v>0</v>
      </c>
      <c r="N761" s="10" t="n">
        <v>1239</v>
      </c>
      <c r="O761" s="10" t="n">
        <v>0</v>
      </c>
      <c r="P761" s="10" t="n">
        <v>1540</v>
      </c>
      <c r="Q761" s="11"/>
      <c r="R761" s="11"/>
      <c r="S761" s="19"/>
      <c r="T761" s="11"/>
      <c r="U761" s="21"/>
      <c r="V761" s="15"/>
    </row>
    <row r="762" customFormat="false" ht="15.75" hidden="false" customHeight="true" outlineLevel="0" collapsed="false">
      <c r="A762" s="9" t="n">
        <v>46305</v>
      </c>
      <c r="B762" s="11" t="s">
        <v>22</v>
      </c>
      <c r="C762" s="11" t="s">
        <v>23</v>
      </c>
      <c r="D762" s="11" t="s">
        <v>388</v>
      </c>
      <c r="E762" s="11" t="str">
        <f aca="false" t="array" ref="E762:E762">IF(D762="","",IFERROR(INDEX('CLM &amp; IM Mapping'!$B$2:$B$270,MATCH(TRIM(D762),'CLM &amp; IM Mapping'!$A$2:$A$270,0)),"Not Mapped"))</f>
        <v>Arun Raj</v>
      </c>
      <c r="F762" s="11" t="str">
        <f aca="false" t="array" ref="F762:F762">IF(D762="","",IFERROR(INDEX('CLM &amp; IM Mapping'!$C$2:$C$270,MATCH(TRIM(D762),'CLM &amp; IM Mapping'!$A$2:$A$270,0)),"Not Mapped"))</f>
        <v>Simon Manoharan</v>
      </c>
      <c r="G762" s="11" t="s">
        <v>25</v>
      </c>
      <c r="H762" s="10" t="n">
        <v>-3333</v>
      </c>
      <c r="I762" s="10" t="n">
        <v>2814</v>
      </c>
      <c r="J762" s="10" t="n">
        <v>0</v>
      </c>
      <c r="K762" s="10" t="n">
        <v>0</v>
      </c>
      <c r="L762" s="10" t="n">
        <v>1626</v>
      </c>
      <c r="M762" s="10" t="n">
        <v>0</v>
      </c>
      <c r="N762" s="10" t="n">
        <v>0</v>
      </c>
      <c r="O762" s="10" t="n">
        <v>0</v>
      </c>
      <c r="P762" s="10" t="n">
        <v>1107</v>
      </c>
      <c r="Q762" s="11"/>
      <c r="R762" s="11"/>
      <c r="S762" s="19"/>
      <c r="T762" s="11"/>
      <c r="U762" s="21"/>
      <c r="V762" s="15"/>
    </row>
    <row r="763" customFormat="false" ht="15.75" hidden="false" customHeight="true" outlineLevel="0" collapsed="false">
      <c r="A763" s="9" t="n">
        <v>46305</v>
      </c>
      <c r="B763" s="11" t="s">
        <v>22</v>
      </c>
      <c r="C763" s="11" t="s">
        <v>221</v>
      </c>
      <c r="D763" s="11" t="s">
        <v>323</v>
      </c>
      <c r="E763" s="11" t="str">
        <f aca="false" t="array" ref="E763:E763">IF(D763="","",IFERROR(INDEX('CLM &amp; IM Mapping'!$B$2:$B$270,MATCH(TRIM(D763),'CLM &amp; IM Mapping'!$A$2:$A$270,0)),"Not Mapped"))</f>
        <v>Vishnu V</v>
      </c>
      <c r="F763" s="11" t="str">
        <f aca="false" t="array" ref="F763:F763">IF(D763="","",IFERROR(INDEX('CLM &amp; IM Mapping'!$C$2:$C$270,MATCH(TRIM(D763),'CLM &amp; IM Mapping'!$A$2:$A$270,0)),"Not Mapped"))</f>
        <v>Arivind S</v>
      </c>
      <c r="G763" s="11" t="s">
        <v>34</v>
      </c>
      <c r="H763" s="10" t="n">
        <v>4158</v>
      </c>
      <c r="I763" s="10" t="n">
        <v>3253</v>
      </c>
      <c r="J763" s="10" t="n">
        <v>0</v>
      </c>
      <c r="K763" s="10" t="n">
        <v>0</v>
      </c>
      <c r="L763" s="10" t="n">
        <v>7</v>
      </c>
      <c r="M763" s="10" t="n">
        <v>0</v>
      </c>
      <c r="N763" s="10" t="n">
        <v>0</v>
      </c>
      <c r="O763" s="10" t="n">
        <v>0</v>
      </c>
      <c r="P763" s="10" t="n">
        <v>7419</v>
      </c>
      <c r="Q763" s="11"/>
      <c r="R763" s="11"/>
      <c r="S763" s="19"/>
      <c r="T763" s="11"/>
      <c r="U763" s="21"/>
      <c r="V763" s="15"/>
    </row>
    <row r="764" customFormat="false" ht="15.75" hidden="false" customHeight="true" outlineLevel="0" collapsed="false">
      <c r="A764" s="9" t="n">
        <v>46305</v>
      </c>
      <c r="B764" s="11" t="s">
        <v>22</v>
      </c>
      <c r="C764" s="11" t="s">
        <v>23</v>
      </c>
      <c r="D764" s="11" t="s">
        <v>248</v>
      </c>
      <c r="E764" s="11" t="str">
        <f aca="false" t="array" ref="E764:E764">IF(D764="","",IFERROR(INDEX('CLM &amp; IM Mapping'!$B$2:$B$270,MATCH(TRIM(D764),'CLM &amp; IM Mapping'!$A$2:$A$270,0)),"Not Mapped"))</f>
        <v>Arun Raj</v>
      </c>
      <c r="F764" s="11" t="str">
        <f aca="false" t="array" ref="F764:F764">IF(D764="","",IFERROR(INDEX('CLM &amp; IM Mapping'!$C$2:$C$270,MATCH(TRIM(D764),'CLM &amp; IM Mapping'!$A$2:$A$270,0)),"Not Mapped"))</f>
        <v>Simon Manoharan</v>
      </c>
      <c r="G764" s="11" t="s">
        <v>25</v>
      </c>
      <c r="H764" s="10" t="n">
        <v>902</v>
      </c>
      <c r="I764" s="10" t="n">
        <v>14699</v>
      </c>
      <c r="J764" s="10" t="n">
        <v>0</v>
      </c>
      <c r="K764" s="10" t="n">
        <v>0</v>
      </c>
      <c r="L764" s="10" t="n">
        <v>1777</v>
      </c>
      <c r="M764" s="10" t="n">
        <v>0</v>
      </c>
      <c r="N764" s="10" t="n">
        <v>0</v>
      </c>
      <c r="O764" s="10" t="n">
        <v>0</v>
      </c>
      <c r="P764" s="10" t="n">
        <v>17378</v>
      </c>
      <c r="Q764" s="11"/>
      <c r="R764" s="11"/>
      <c r="S764" s="19"/>
      <c r="T764" s="11"/>
      <c r="U764" s="21"/>
      <c r="V764" s="15"/>
    </row>
    <row r="765" customFormat="false" ht="15.75" hidden="false" customHeight="true" outlineLevel="0" collapsed="false">
      <c r="A765" s="9" t="n">
        <v>46305</v>
      </c>
      <c r="B765" s="11" t="s">
        <v>22</v>
      </c>
      <c r="C765" s="11" t="s">
        <v>23</v>
      </c>
      <c r="D765" s="11" t="s">
        <v>291</v>
      </c>
      <c r="E765" s="11" t="str">
        <f aca="false" t="array" ref="E765:E765">IF(D765="","",IFERROR(INDEX('CLM &amp; IM Mapping'!$B$2:$B$270,MATCH(TRIM(D765),'CLM &amp; IM Mapping'!$A$2:$A$270,0)),"Not Mapped"))</f>
        <v>Ashwath S</v>
      </c>
      <c r="F765" s="11" t="str">
        <f aca="false" t="array" ref="F765:F765">IF(D765="","",IFERROR(INDEX('CLM &amp; IM Mapping'!$C$2:$C$270,MATCH(TRIM(D765),'CLM &amp; IM Mapping'!$A$2:$A$270,0)),"Not Mapped"))</f>
        <v>Kantha Kumar</v>
      </c>
      <c r="G765" s="11" t="s">
        <v>34</v>
      </c>
      <c r="H765" s="10" t="n">
        <v>-6454</v>
      </c>
      <c r="I765" s="10" t="n">
        <v>688</v>
      </c>
      <c r="J765" s="10" t="n">
        <v>0</v>
      </c>
      <c r="K765" s="10" t="n">
        <v>0</v>
      </c>
      <c r="L765" s="10" t="n">
        <v>733</v>
      </c>
      <c r="M765" s="10" t="n">
        <v>0</v>
      </c>
      <c r="N765" s="10" t="n">
        <v>219</v>
      </c>
      <c r="O765" s="10" t="n">
        <v>0</v>
      </c>
      <c r="P765" s="10" t="n">
        <v>-4814</v>
      </c>
      <c r="Q765" s="11"/>
      <c r="R765" s="11"/>
      <c r="S765" s="19"/>
      <c r="T765" s="11"/>
      <c r="U765" s="21"/>
      <c r="V765" s="15"/>
    </row>
    <row r="766" customFormat="false" ht="15.75" hidden="false" customHeight="true" outlineLevel="0" collapsed="false">
      <c r="A766" s="9" t="n">
        <v>46305</v>
      </c>
      <c r="B766" s="11" t="s">
        <v>22</v>
      </c>
      <c r="C766" s="11" t="s">
        <v>23</v>
      </c>
      <c r="D766" s="11" t="s">
        <v>461</v>
      </c>
      <c r="E766" s="11" t="str">
        <f aca="false" t="array" ref="E766:E766">IF(D766="","",IFERROR(INDEX('CLM &amp; IM Mapping'!$B$2:$B$270,MATCH(TRIM(D766),'CLM &amp; IM Mapping'!$A$2:$A$270,0)),"Not Mapped"))</f>
        <v>Arun Raj</v>
      </c>
      <c r="F766" s="11" t="str">
        <f aca="false" t="array" ref="F766:F766">IF(D766="","",IFERROR(INDEX('CLM &amp; IM Mapping'!$C$2:$C$270,MATCH(TRIM(D766),'CLM &amp; IM Mapping'!$A$2:$A$270,0)),"Not Mapped"))</f>
        <v>Simon Manoharan</v>
      </c>
      <c r="G766" s="11" t="s">
        <v>25</v>
      </c>
      <c r="H766" s="10" t="n">
        <v>-14033</v>
      </c>
      <c r="I766" s="10" t="n">
        <v>3703</v>
      </c>
      <c r="J766" s="10" t="n">
        <v>0</v>
      </c>
      <c r="K766" s="10" t="n">
        <v>465</v>
      </c>
      <c r="L766" s="10" t="n">
        <v>0</v>
      </c>
      <c r="M766" s="10" t="n">
        <v>0</v>
      </c>
      <c r="N766" s="10" t="n">
        <v>0</v>
      </c>
      <c r="O766" s="10" t="n">
        <v>0</v>
      </c>
      <c r="P766" s="10" t="n">
        <v>-9865</v>
      </c>
      <c r="Q766" s="11"/>
      <c r="R766" s="11"/>
      <c r="S766" s="19"/>
      <c r="T766" s="11"/>
      <c r="U766" s="21"/>
      <c r="V766" s="15"/>
    </row>
    <row r="767" customFormat="false" ht="15.75" hidden="false" customHeight="true" outlineLevel="0" collapsed="false">
      <c r="A767" s="9" t="n">
        <v>46305</v>
      </c>
      <c r="B767" s="11" t="s">
        <v>22</v>
      </c>
      <c r="C767" s="11" t="s">
        <v>23</v>
      </c>
      <c r="D767" s="11" t="s">
        <v>491</v>
      </c>
      <c r="E767" s="11" t="str">
        <f aca="false" t="array" ref="E767:E767">IF(D767="","",IFERROR(INDEX('CLM &amp; IM Mapping'!$B$2:$B$270,MATCH(TRIM(D767),'CLM &amp; IM Mapping'!$A$2:$A$270,0)),"Not Mapped"))</f>
        <v>Manjunatha V</v>
      </c>
      <c r="F767" s="11" t="str">
        <f aca="false" t="array" ref="F767:F767">IF(D767="","",IFERROR(INDEX('CLM &amp; IM Mapping'!$C$2:$C$270,MATCH(TRIM(D767),'CLM &amp; IM Mapping'!$A$2:$A$270,0)),"Not Mapped"))</f>
        <v>Un Mapped</v>
      </c>
      <c r="G767" s="11" t="s">
        <v>34</v>
      </c>
      <c r="H767" s="10" t="n">
        <v>-20185</v>
      </c>
      <c r="I767" s="10" t="n">
        <v>2650</v>
      </c>
      <c r="J767" s="10" t="n">
        <v>0</v>
      </c>
      <c r="K767" s="10" t="n">
        <v>1436</v>
      </c>
      <c r="L767" s="10" t="n">
        <v>1083</v>
      </c>
      <c r="M767" s="10" t="n">
        <v>0</v>
      </c>
      <c r="N767" s="10" t="n">
        <v>322</v>
      </c>
      <c r="O767" s="10" t="n">
        <v>446</v>
      </c>
      <c r="P767" s="10" t="n">
        <v>-14247</v>
      </c>
      <c r="Q767" s="11"/>
      <c r="R767" s="11"/>
      <c r="S767" s="19"/>
      <c r="T767" s="11"/>
      <c r="U767" s="21"/>
      <c r="V767" s="15"/>
    </row>
    <row r="768" customFormat="false" ht="15.75" hidden="false" customHeight="true" outlineLevel="0" collapsed="false">
      <c r="A768" s="9" t="n">
        <v>46305</v>
      </c>
      <c r="B768" s="11" t="s">
        <v>22</v>
      </c>
      <c r="C768" s="11" t="s">
        <v>23</v>
      </c>
      <c r="D768" s="11" t="s">
        <v>474</v>
      </c>
      <c r="E768" s="11" t="str">
        <f aca="false" t="array" ref="E768:E768">IF(D768="","",IFERROR(INDEX('CLM &amp; IM Mapping'!$B$2:$B$270,MATCH(TRIM(D768),'CLM &amp; IM Mapping'!$A$2:$A$270,0)),"Not Mapped"))</f>
        <v>Silambarasan E</v>
      </c>
      <c r="F768" s="11" t="str">
        <f aca="false" t="array" ref="F768:F768">IF(D768="","",IFERROR(INDEX('CLM &amp; IM Mapping'!$C$2:$C$270,MATCH(TRIM(D768),'CLM &amp; IM Mapping'!$A$2:$A$270,0)),"Not Mapped"))</f>
        <v>Arivind S</v>
      </c>
      <c r="G768" s="11" t="s">
        <v>34</v>
      </c>
      <c r="H768" s="10" t="n">
        <v>-19729</v>
      </c>
      <c r="I768" s="10" t="n">
        <v>11540</v>
      </c>
      <c r="J768" s="10" t="n">
        <v>178</v>
      </c>
      <c r="K768" s="10" t="n">
        <v>43</v>
      </c>
      <c r="L768" s="10" t="n">
        <v>588</v>
      </c>
      <c r="M768" s="10" t="n">
        <v>0</v>
      </c>
      <c r="N768" s="10" t="n">
        <v>0</v>
      </c>
      <c r="O768" s="10" t="n">
        <v>0</v>
      </c>
      <c r="P768" s="10" t="n">
        <v>-7380</v>
      </c>
      <c r="Q768" s="11"/>
      <c r="R768" s="11"/>
      <c r="S768" s="19"/>
      <c r="T768" s="11"/>
      <c r="U768" s="21"/>
      <c r="V768" s="15"/>
    </row>
    <row r="769" customFormat="false" ht="15.75" hidden="false" customHeight="true" outlineLevel="0" collapsed="false">
      <c r="A769" s="9" t="n">
        <v>46305</v>
      </c>
      <c r="B769" s="11" t="s">
        <v>22</v>
      </c>
      <c r="C769" s="11" t="s">
        <v>23</v>
      </c>
      <c r="D769" s="11" t="s">
        <v>200</v>
      </c>
      <c r="E769" s="11" t="str">
        <f aca="false" t="array" ref="E769:E769">IF(D769="","",IFERROR(INDEX('CLM &amp; IM Mapping'!$B$2:$B$270,MATCH(TRIM(D769),'CLM &amp; IM Mapping'!$A$2:$A$270,0)),"Not Mapped"))</f>
        <v>Adhavan Subramani</v>
      </c>
      <c r="F769" s="11" t="str">
        <f aca="false" t="array" ref="F769:F769">IF(D769="","",IFERROR(INDEX('CLM &amp; IM Mapping'!$C$2:$C$270,MATCH(TRIM(D769),'CLM &amp; IM Mapping'!$A$2:$A$270,0)),"Not Mapped"))</f>
        <v>Mohammed Akbar</v>
      </c>
      <c r="G769" s="11" t="s">
        <v>34</v>
      </c>
      <c r="H769" s="10" t="n">
        <v>-2048</v>
      </c>
      <c r="I769" s="10" t="n">
        <v>9949</v>
      </c>
      <c r="J769" s="10" t="n">
        <v>418</v>
      </c>
      <c r="K769" s="10" t="n">
        <v>1169</v>
      </c>
      <c r="L769" s="10" t="n">
        <v>630</v>
      </c>
      <c r="M769" s="10" t="n">
        <v>0</v>
      </c>
      <c r="N769" s="10" t="n">
        <v>568</v>
      </c>
      <c r="O769" s="10" t="n">
        <v>84806</v>
      </c>
      <c r="P769" s="10" t="n">
        <v>95491</v>
      </c>
      <c r="Q769" s="11"/>
      <c r="R769" s="11"/>
      <c r="S769" s="19"/>
      <c r="T769" s="11"/>
      <c r="U769" s="21"/>
      <c r="V769" s="15"/>
    </row>
    <row r="770" customFormat="false" ht="15.75" hidden="false" customHeight="true" outlineLevel="0" collapsed="false">
      <c r="A770" s="9" t="n">
        <v>46305</v>
      </c>
      <c r="B770" s="11" t="s">
        <v>22</v>
      </c>
      <c r="C770" s="11" t="s">
        <v>23</v>
      </c>
      <c r="D770" s="11" t="s">
        <v>265</v>
      </c>
      <c r="E770" s="11" t="str">
        <f aca="false" t="array" ref="E770:E770">IF(D770="","",IFERROR(INDEX('CLM &amp; IM Mapping'!$B$2:$B$270,MATCH(TRIM(D770),'CLM &amp; IM Mapping'!$A$2:$A$270,0)),"Not Mapped"))</f>
        <v>Adhavan Subramani</v>
      </c>
      <c r="F770" s="11" t="str">
        <f aca="false" t="array" ref="F770:F770">IF(D770="","",IFERROR(INDEX('CLM &amp; IM Mapping'!$C$2:$C$270,MATCH(TRIM(D770),'CLM &amp; IM Mapping'!$A$2:$A$270,0)),"Not Mapped"))</f>
        <v>Mohammed Akbar</v>
      </c>
      <c r="G770" s="11" t="s">
        <v>34</v>
      </c>
      <c r="H770" s="10" t="n">
        <v>-1974</v>
      </c>
      <c r="I770" s="10" t="n">
        <v>0</v>
      </c>
      <c r="J770" s="10" t="n">
        <v>0</v>
      </c>
      <c r="K770" s="10" t="n">
        <v>0</v>
      </c>
      <c r="L770" s="10" t="n">
        <v>3243</v>
      </c>
      <c r="M770" s="10" t="n">
        <v>0</v>
      </c>
      <c r="N770" s="10" t="n">
        <v>8857</v>
      </c>
      <c r="O770" s="10" t="n">
        <v>0</v>
      </c>
      <c r="P770" s="10" t="n">
        <v>10126</v>
      </c>
      <c r="Q770" s="11"/>
      <c r="R770" s="11"/>
      <c r="S770" s="19"/>
      <c r="T770" s="11"/>
      <c r="U770" s="21"/>
      <c r="V770" s="15"/>
    </row>
    <row r="771" customFormat="false" ht="15.75" hidden="false" customHeight="true" outlineLevel="0" collapsed="false">
      <c r="A771" s="9" t="n">
        <v>46305</v>
      </c>
      <c r="B771" s="11" t="s">
        <v>22</v>
      </c>
      <c r="C771" s="11" t="s">
        <v>276</v>
      </c>
      <c r="D771" s="11" t="s">
        <v>450</v>
      </c>
      <c r="E771" s="11" t="str">
        <f aca="false" t="array" ref="E771:E771">IF(D771="","",IFERROR(INDEX('CLM &amp; IM Mapping'!$B$2:$B$270,MATCH(TRIM(D771),'CLM &amp; IM Mapping'!$A$2:$A$270,0)),"Not Mapped"))</f>
        <v>Santhosha M</v>
      </c>
      <c r="F771" s="11" t="str">
        <f aca="false" t="array" ref="F771:F771">IF(D771="","",IFERROR(INDEX('CLM &amp; IM Mapping'!$C$2:$C$270,MATCH(TRIM(D771),'CLM &amp; IM Mapping'!$A$2:$A$270,0)),"Not Mapped"))</f>
        <v>Aravind S</v>
      </c>
      <c r="G771" s="11" t="s">
        <v>34</v>
      </c>
      <c r="H771" s="10" t="n">
        <v>-16537</v>
      </c>
      <c r="I771" s="10" t="n">
        <v>392</v>
      </c>
      <c r="J771" s="10" t="n">
        <v>0</v>
      </c>
      <c r="K771" s="10" t="n">
        <v>956</v>
      </c>
      <c r="L771" s="10" t="n">
        <v>380</v>
      </c>
      <c r="M771" s="10" t="n">
        <v>0</v>
      </c>
      <c r="N771" s="10" t="n">
        <v>0</v>
      </c>
      <c r="O771" s="10" t="n">
        <v>0</v>
      </c>
      <c r="P771" s="10" t="n">
        <v>-14811</v>
      </c>
      <c r="Q771" s="11"/>
      <c r="R771" s="11"/>
      <c r="S771" s="19"/>
      <c r="T771" s="11"/>
      <c r="U771" s="21"/>
      <c r="V771" s="15"/>
    </row>
    <row r="772" customFormat="false" ht="15.75" hidden="false" customHeight="true" outlineLevel="0" collapsed="false">
      <c r="A772" s="9" t="n">
        <v>46305</v>
      </c>
      <c r="B772" s="11" t="s">
        <v>22</v>
      </c>
      <c r="C772" s="11" t="s">
        <v>23</v>
      </c>
      <c r="D772" s="11" t="s">
        <v>226</v>
      </c>
      <c r="E772" s="11" t="str">
        <f aca="false" t="array" ref="E772:E772">IF(D772="","",IFERROR(INDEX('CLM &amp; IM Mapping'!$B$2:$B$270,MATCH(TRIM(D772),'CLM &amp; IM Mapping'!$A$2:$A$270,0)),"Not Mapped"))</f>
        <v>Manoj Kj</v>
      </c>
      <c r="F772" s="11" t="str">
        <f aca="false" t="array" ref="F772:F772">IF(D772="","",IFERROR(INDEX('CLM &amp; IM Mapping'!$C$2:$C$270,MATCH(TRIM(D772),'CLM &amp; IM Mapping'!$A$2:$A$270,0)),"Not Mapped"))</f>
        <v>Srittam Dhal</v>
      </c>
      <c r="G772" s="11" t="s">
        <v>34</v>
      </c>
      <c r="H772" s="10" t="n">
        <v>84</v>
      </c>
      <c r="I772" s="10" t="n">
        <v>0</v>
      </c>
      <c r="J772" s="10" t="n">
        <v>0</v>
      </c>
      <c r="K772" s="10" t="n">
        <v>16377</v>
      </c>
      <c r="L772" s="10" t="n">
        <v>0</v>
      </c>
      <c r="M772" s="10" t="n">
        <v>0</v>
      </c>
      <c r="N772" s="10" t="n">
        <v>0</v>
      </c>
      <c r="O772" s="10" t="n">
        <v>0</v>
      </c>
      <c r="P772" s="10" t="n">
        <v>16462</v>
      </c>
      <c r="Q772" s="11"/>
      <c r="R772" s="11"/>
      <c r="S772" s="19"/>
      <c r="T772" s="11"/>
      <c r="U772" s="21"/>
      <c r="V772" s="15"/>
    </row>
    <row r="773" customFormat="false" ht="15.75" hidden="false" customHeight="true" outlineLevel="0" collapsed="false">
      <c r="A773" s="9" t="n">
        <v>46305</v>
      </c>
      <c r="B773" s="11" t="s">
        <v>22</v>
      </c>
      <c r="C773" s="11" t="s">
        <v>23</v>
      </c>
      <c r="D773" s="11" t="s">
        <v>405</v>
      </c>
      <c r="E773" s="11" t="str">
        <f aca="false" t="array" ref="E773:E773">IF(D773="","",IFERROR(INDEX('CLM &amp; IM Mapping'!$B$2:$B$270,MATCH(TRIM(D773),'CLM &amp; IM Mapping'!$A$2:$A$270,0)),"Not Mapped"))</f>
        <v>Adhavan Subramani</v>
      </c>
      <c r="F773" s="11" t="str">
        <f aca="false" t="array" ref="F773:F773">IF(D773="","",IFERROR(INDEX('CLM &amp; IM Mapping'!$C$2:$C$270,MATCH(TRIM(D773),'CLM &amp; IM Mapping'!$A$2:$A$270,0)),"Not Mapped"))</f>
        <v>Mohammed Akbar</v>
      </c>
      <c r="G773" s="11" t="s">
        <v>34</v>
      </c>
      <c r="H773" s="10" t="n">
        <v>-10915</v>
      </c>
      <c r="I773" s="10" t="n">
        <v>174</v>
      </c>
      <c r="J773" s="10" t="n">
        <v>0</v>
      </c>
      <c r="K773" s="10" t="n">
        <v>0</v>
      </c>
      <c r="L773" s="10" t="n">
        <v>138</v>
      </c>
      <c r="M773" s="10" t="n">
        <v>0</v>
      </c>
      <c r="N773" s="10" t="n">
        <v>0</v>
      </c>
      <c r="O773" s="10" t="n">
        <v>0</v>
      </c>
      <c r="P773" s="10" t="n">
        <v>-10603</v>
      </c>
      <c r="Q773" s="11"/>
      <c r="R773" s="11"/>
      <c r="S773" s="19"/>
      <c r="T773" s="11"/>
      <c r="U773" s="21"/>
      <c r="V773" s="15"/>
    </row>
    <row r="774" customFormat="false" ht="15.75" hidden="false" customHeight="true" outlineLevel="0" collapsed="false">
      <c r="A774" s="9" t="n">
        <v>46305</v>
      </c>
      <c r="B774" s="11" t="s">
        <v>22</v>
      </c>
      <c r="C774" s="11" t="s">
        <v>23</v>
      </c>
      <c r="D774" s="11" t="s">
        <v>368</v>
      </c>
      <c r="E774" s="11" t="str">
        <f aca="false" t="array" ref="E774:E774">IF(D774="","",IFERROR(INDEX('CLM &amp; IM Mapping'!$B$2:$B$270,MATCH(TRIM(D774),'CLM &amp; IM Mapping'!$A$2:$A$270,0)),"Not Mapped"))</f>
        <v>Arun Raj</v>
      </c>
      <c r="F774" s="11" t="str">
        <f aca="false" t="array" ref="F774:F774">IF(D774="","",IFERROR(INDEX('CLM &amp; IM Mapping'!$C$2:$C$270,MATCH(TRIM(D774),'CLM &amp; IM Mapping'!$A$2:$A$270,0)),"Not Mapped"))</f>
        <v>Simon Manoharan</v>
      </c>
      <c r="G774" s="11" t="s">
        <v>25</v>
      </c>
      <c r="H774" s="10" t="n">
        <v>0</v>
      </c>
      <c r="I774" s="10" t="n">
        <v>0</v>
      </c>
      <c r="J774" s="10" t="n">
        <v>0</v>
      </c>
      <c r="K774" s="10" t="n">
        <v>0</v>
      </c>
      <c r="L774" s="10" t="n">
        <v>0</v>
      </c>
      <c r="M774" s="10" t="n">
        <v>0</v>
      </c>
      <c r="N774" s="10" t="n">
        <v>0</v>
      </c>
      <c r="O774" s="10" t="n">
        <v>0</v>
      </c>
      <c r="P774" s="10" t="n">
        <v>0</v>
      </c>
      <c r="Q774" s="11"/>
      <c r="R774" s="11"/>
      <c r="S774" s="19"/>
      <c r="T774" s="11"/>
      <c r="U774" s="21"/>
      <c r="V774" s="15"/>
    </row>
    <row r="775" customFormat="false" ht="15.75" hidden="false" customHeight="true" outlineLevel="0" collapsed="false">
      <c r="A775" s="9" t="n">
        <v>46305</v>
      </c>
      <c r="B775" s="11" t="s">
        <v>22</v>
      </c>
      <c r="C775" s="11" t="s">
        <v>377</v>
      </c>
      <c r="D775" s="11" t="s">
        <v>378</v>
      </c>
      <c r="E775" s="11" t="str">
        <f aca="false" t="array" ref="E775:E775">IF(D775="","",IFERROR(INDEX('CLM &amp; IM Mapping'!$B$2:$B$270,MATCH(TRIM(D775),'CLM &amp; IM Mapping'!$A$2:$A$270,0)),"Not Mapped"))</f>
        <v>Vishnu V</v>
      </c>
      <c r="F775" s="11" t="str">
        <f aca="false" t="array" ref="F775:F775">IF(D775="","",IFERROR(INDEX('CLM &amp; IM Mapping'!$C$2:$C$270,MATCH(TRIM(D775),'CLM &amp; IM Mapping'!$A$2:$A$270,0)),"Not Mapped"))</f>
        <v>Arivind S</v>
      </c>
      <c r="G775" s="11" t="s">
        <v>34</v>
      </c>
      <c r="H775" s="10" t="n">
        <v>-4105</v>
      </c>
      <c r="I775" s="10" t="n">
        <v>0</v>
      </c>
      <c r="J775" s="10" t="n">
        <v>0</v>
      </c>
      <c r="K775" s="10" t="n">
        <v>0</v>
      </c>
      <c r="L775" s="10" t="n">
        <v>0</v>
      </c>
      <c r="M775" s="10" t="n">
        <v>0</v>
      </c>
      <c r="N775" s="10" t="n">
        <v>0</v>
      </c>
      <c r="O775" s="10" t="n">
        <v>0</v>
      </c>
      <c r="P775" s="10" t="n">
        <v>-4105</v>
      </c>
      <c r="Q775" s="11"/>
      <c r="R775" s="11"/>
      <c r="S775" s="19"/>
      <c r="T775" s="11"/>
      <c r="U775" s="21"/>
      <c r="V775" s="15"/>
    </row>
    <row r="776" customFormat="false" ht="15.75" hidden="false" customHeight="true" outlineLevel="0" collapsed="false">
      <c r="A776" s="9" t="n">
        <v>46305</v>
      </c>
      <c r="B776" s="11" t="s">
        <v>22</v>
      </c>
      <c r="C776" s="11" t="s">
        <v>23</v>
      </c>
      <c r="D776" s="11" t="s">
        <v>498</v>
      </c>
      <c r="E776" s="11" t="str">
        <f aca="false" t="array" ref="E776:E776">IF(D776="","",IFERROR(INDEX('CLM &amp; IM Mapping'!$B$2:$B$270,MATCH(TRIM(D776),'CLM &amp; IM Mapping'!$A$2:$A$270,0)),"Not Mapped"))</f>
        <v>Adhavan Subramani</v>
      </c>
      <c r="F776" s="11" t="str">
        <f aca="false" t="array" ref="F776:F776">IF(D776="","",IFERROR(INDEX('CLM &amp; IM Mapping'!$C$2:$C$270,MATCH(TRIM(D776),'CLM &amp; IM Mapping'!$A$2:$A$270,0)),"Not Mapped"))</f>
        <v>Mohammed Akbar</v>
      </c>
      <c r="G776" s="11" t="s">
        <v>34</v>
      </c>
      <c r="H776" s="10" t="n">
        <v>-14849</v>
      </c>
      <c r="I776" s="10" t="n">
        <v>153</v>
      </c>
      <c r="J776" s="10" t="n">
        <v>0</v>
      </c>
      <c r="K776" s="10" t="n">
        <v>0</v>
      </c>
      <c r="L776" s="10" t="n">
        <v>0</v>
      </c>
      <c r="M776" s="10" t="n">
        <v>0</v>
      </c>
      <c r="N776" s="10" t="n">
        <v>0</v>
      </c>
      <c r="O776" s="10" t="n">
        <v>0</v>
      </c>
      <c r="P776" s="10" t="n">
        <v>-14696</v>
      </c>
      <c r="Q776" s="11"/>
      <c r="R776" s="11"/>
      <c r="S776" s="19"/>
      <c r="T776" s="11"/>
      <c r="U776" s="21"/>
      <c r="V776" s="15"/>
    </row>
    <row r="777" customFormat="false" ht="15.75" hidden="false" customHeight="true" outlineLevel="0" collapsed="false">
      <c r="A777" s="9" t="n">
        <v>46305</v>
      </c>
      <c r="B777" s="11" t="s">
        <v>22</v>
      </c>
      <c r="C777" s="11" t="s">
        <v>23</v>
      </c>
      <c r="D777" s="11" t="s">
        <v>370</v>
      </c>
      <c r="E777" s="11" t="str">
        <f aca="false" t="array" ref="E777:E777">IF(D777="","",IFERROR(INDEX('CLM &amp; IM Mapping'!$B$2:$B$270,MATCH(TRIM(D777),'CLM &amp; IM Mapping'!$A$2:$A$270,0)),"Not Mapped"))</f>
        <v>Not Mapped</v>
      </c>
      <c r="F777" s="11" t="str">
        <f aca="false" t="array" ref="F777:F777">IF(D777="","",IFERROR(INDEX('CLM &amp; IM Mapping'!$C$2:$C$270,MATCH(TRIM(D777),'CLM &amp; IM Mapping'!$A$2:$A$270,0)),"Not Mapped"))</f>
        <v>Not Mapped</v>
      </c>
      <c r="G777" s="11" t="s">
        <v>34</v>
      </c>
      <c r="H777" s="10" t="n">
        <v>0</v>
      </c>
      <c r="I777" s="10" t="n">
        <v>0</v>
      </c>
      <c r="J777" s="10" t="n">
        <v>0</v>
      </c>
      <c r="K777" s="10" t="n">
        <v>0</v>
      </c>
      <c r="L777" s="10" t="n">
        <v>0</v>
      </c>
      <c r="M777" s="10" t="n">
        <v>0</v>
      </c>
      <c r="N777" s="10" t="n">
        <v>0</v>
      </c>
      <c r="O777" s="10" t="n">
        <v>0</v>
      </c>
      <c r="P777" s="10" t="n">
        <v>0</v>
      </c>
      <c r="Q777" s="11"/>
      <c r="R777" s="11"/>
      <c r="S777" s="19"/>
      <c r="T777" s="11"/>
      <c r="U777" s="21"/>
      <c r="V777" s="15"/>
    </row>
    <row r="778" customFormat="false" ht="15.75" hidden="false" customHeight="true" outlineLevel="0" collapsed="false">
      <c r="A778" s="9" t="n">
        <v>46305</v>
      </c>
      <c r="B778" s="11" t="s">
        <v>22</v>
      </c>
      <c r="C778" s="11" t="s">
        <v>23</v>
      </c>
      <c r="D778" s="11" t="s">
        <v>369</v>
      </c>
      <c r="E778" s="11" t="str">
        <f aca="false" t="array" ref="E778:E778">IF(D778="","",IFERROR(INDEX('CLM &amp; IM Mapping'!$B$2:$B$270,MATCH(TRIM(D778),'CLM &amp; IM Mapping'!$A$2:$A$270,0)),"Not Mapped"))</f>
        <v>Not Mapped</v>
      </c>
      <c r="F778" s="11" t="str">
        <f aca="false" t="array" ref="F778:F778">IF(D778="","",IFERROR(INDEX('CLM &amp; IM Mapping'!$C$2:$C$270,MATCH(TRIM(D778),'CLM &amp; IM Mapping'!$A$2:$A$270,0)),"Not Mapped"))</f>
        <v>Not Mapped</v>
      </c>
      <c r="G778" s="11" t="s">
        <v>34</v>
      </c>
      <c r="H778" s="10" t="n">
        <v>0</v>
      </c>
      <c r="I778" s="10" t="n">
        <v>0</v>
      </c>
      <c r="J778" s="10" t="n">
        <v>0</v>
      </c>
      <c r="K778" s="10" t="n">
        <v>0</v>
      </c>
      <c r="L778" s="10" t="n">
        <v>0</v>
      </c>
      <c r="M778" s="10" t="n">
        <v>0</v>
      </c>
      <c r="N778" s="10" t="n">
        <v>0</v>
      </c>
      <c r="O778" s="10" t="n">
        <v>0</v>
      </c>
      <c r="P778" s="10" t="n">
        <v>0</v>
      </c>
      <c r="Q778" s="11"/>
      <c r="R778" s="11"/>
      <c r="S778" s="19"/>
      <c r="T778" s="11"/>
      <c r="U778" s="21"/>
      <c r="V778" s="15"/>
    </row>
    <row r="779" customFormat="false" ht="15.75" hidden="false" customHeight="true" outlineLevel="0" collapsed="false">
      <c r="S779" s="26"/>
    </row>
    <row r="780" customFormat="false" ht="15.75" hidden="false" customHeight="true" outlineLevel="0" collapsed="false">
      <c r="S780" s="26"/>
    </row>
    <row r="781" customFormat="false" ht="15.75" hidden="false" customHeight="true" outlineLevel="0" collapsed="false">
      <c r="S781" s="26"/>
    </row>
    <row r="782" customFormat="false" ht="15.75" hidden="false" customHeight="true" outlineLevel="0" collapsed="false">
      <c r="S782" s="26"/>
    </row>
    <row r="783" customFormat="false" ht="15.75" hidden="false" customHeight="true" outlineLevel="0" collapsed="false">
      <c r="S783" s="26"/>
    </row>
    <row r="784" customFormat="false" ht="15.75" hidden="false" customHeight="true" outlineLevel="0" collapsed="false">
      <c r="S784" s="26"/>
    </row>
    <row r="785" customFormat="false" ht="15.75" hidden="false" customHeight="true" outlineLevel="0" collapsed="false">
      <c r="S785" s="26"/>
    </row>
    <row r="786" customFormat="false" ht="15.75" hidden="false" customHeight="true" outlineLevel="0" collapsed="false">
      <c r="S786" s="26"/>
    </row>
    <row r="787" customFormat="false" ht="15.75" hidden="false" customHeight="true" outlineLevel="0" collapsed="false">
      <c r="S787" s="26"/>
    </row>
    <row r="788" customFormat="false" ht="15.75" hidden="false" customHeight="true" outlineLevel="0" collapsed="false">
      <c r="S788" s="26"/>
    </row>
    <row r="789" customFormat="false" ht="15.75" hidden="false" customHeight="true" outlineLevel="0" collapsed="false">
      <c r="S789" s="26"/>
    </row>
    <row r="790" customFormat="false" ht="15.75" hidden="false" customHeight="true" outlineLevel="0" collapsed="false">
      <c r="S790" s="26"/>
    </row>
    <row r="791" customFormat="false" ht="15.75" hidden="false" customHeight="true" outlineLevel="0" collapsed="false">
      <c r="S791" s="26"/>
    </row>
    <row r="792" customFormat="false" ht="15.75" hidden="false" customHeight="true" outlineLevel="0" collapsed="false">
      <c r="S792" s="26"/>
    </row>
    <row r="793" customFormat="false" ht="15.75" hidden="false" customHeight="true" outlineLevel="0" collapsed="false">
      <c r="S793" s="26"/>
    </row>
    <row r="794" customFormat="false" ht="15.75" hidden="false" customHeight="true" outlineLevel="0" collapsed="false">
      <c r="S794" s="26"/>
    </row>
    <row r="795" customFormat="false" ht="15.75" hidden="false" customHeight="true" outlineLevel="0" collapsed="false">
      <c r="S795" s="26"/>
    </row>
    <row r="796" customFormat="false" ht="15.75" hidden="false" customHeight="true" outlineLevel="0" collapsed="false">
      <c r="S796" s="26"/>
    </row>
    <row r="797" customFormat="false" ht="15.75" hidden="false" customHeight="true" outlineLevel="0" collapsed="false">
      <c r="S797" s="26"/>
    </row>
    <row r="798" customFormat="false" ht="15.75" hidden="false" customHeight="true" outlineLevel="0" collapsed="false">
      <c r="S798" s="26"/>
    </row>
    <row r="799" customFormat="false" ht="15.75" hidden="false" customHeight="true" outlineLevel="0" collapsed="false">
      <c r="S799" s="26"/>
    </row>
    <row r="800" customFormat="false" ht="15.75" hidden="false" customHeight="true" outlineLevel="0" collapsed="false">
      <c r="S800" s="26"/>
    </row>
    <row r="801" customFormat="false" ht="15.75" hidden="false" customHeight="true" outlineLevel="0" collapsed="false">
      <c r="S801" s="26"/>
    </row>
    <row r="802" customFormat="false" ht="15.75" hidden="false" customHeight="true" outlineLevel="0" collapsed="false">
      <c r="S802" s="26"/>
    </row>
    <row r="803" customFormat="false" ht="15.75" hidden="false" customHeight="true" outlineLevel="0" collapsed="false">
      <c r="S803" s="26"/>
    </row>
    <row r="804" customFormat="false" ht="15.75" hidden="false" customHeight="true" outlineLevel="0" collapsed="false">
      <c r="S804" s="26"/>
    </row>
    <row r="805" customFormat="false" ht="15.75" hidden="false" customHeight="true" outlineLevel="0" collapsed="false">
      <c r="S805" s="26"/>
    </row>
    <row r="806" customFormat="false" ht="15.75" hidden="false" customHeight="true" outlineLevel="0" collapsed="false">
      <c r="S806" s="26"/>
    </row>
    <row r="807" customFormat="false" ht="15.75" hidden="false" customHeight="true" outlineLevel="0" collapsed="false">
      <c r="S807" s="26"/>
    </row>
    <row r="808" customFormat="false" ht="15.75" hidden="false" customHeight="true" outlineLevel="0" collapsed="false">
      <c r="S808" s="26"/>
    </row>
    <row r="809" customFormat="false" ht="15.75" hidden="false" customHeight="true" outlineLevel="0" collapsed="false">
      <c r="S809" s="26"/>
    </row>
    <row r="810" customFormat="false" ht="15.75" hidden="false" customHeight="true" outlineLevel="0" collapsed="false">
      <c r="S810" s="26"/>
    </row>
    <row r="811" customFormat="false" ht="15.75" hidden="false" customHeight="true" outlineLevel="0" collapsed="false">
      <c r="S811" s="26"/>
    </row>
    <row r="812" customFormat="false" ht="15.75" hidden="false" customHeight="true" outlineLevel="0" collapsed="false">
      <c r="S812" s="26"/>
    </row>
    <row r="813" customFormat="false" ht="15.75" hidden="false" customHeight="true" outlineLevel="0" collapsed="false">
      <c r="S813" s="26"/>
    </row>
    <row r="814" customFormat="false" ht="15.75" hidden="false" customHeight="true" outlineLevel="0" collapsed="false">
      <c r="S814" s="26"/>
    </row>
    <row r="815" customFormat="false" ht="15.75" hidden="false" customHeight="true" outlineLevel="0" collapsed="false">
      <c r="S815" s="26"/>
    </row>
    <row r="816" customFormat="false" ht="15.75" hidden="false" customHeight="true" outlineLevel="0" collapsed="false">
      <c r="S816" s="26"/>
    </row>
    <row r="817" customFormat="false" ht="15.75" hidden="false" customHeight="true" outlineLevel="0" collapsed="false">
      <c r="S817" s="26"/>
    </row>
    <row r="818" customFormat="false" ht="15.75" hidden="false" customHeight="true" outlineLevel="0" collapsed="false">
      <c r="S818" s="26"/>
    </row>
    <row r="819" customFormat="false" ht="15.75" hidden="false" customHeight="true" outlineLevel="0" collapsed="false">
      <c r="S819" s="26"/>
    </row>
    <row r="820" customFormat="false" ht="15.75" hidden="false" customHeight="true" outlineLevel="0" collapsed="false">
      <c r="S820" s="26"/>
    </row>
    <row r="821" customFormat="false" ht="15.75" hidden="false" customHeight="true" outlineLevel="0" collapsed="false">
      <c r="S821" s="26"/>
    </row>
    <row r="822" customFormat="false" ht="15.75" hidden="false" customHeight="true" outlineLevel="0" collapsed="false">
      <c r="S822" s="26"/>
    </row>
    <row r="823" customFormat="false" ht="15.75" hidden="false" customHeight="true" outlineLevel="0" collapsed="false">
      <c r="S823" s="26"/>
    </row>
    <row r="824" customFormat="false" ht="15.75" hidden="false" customHeight="true" outlineLevel="0" collapsed="false">
      <c r="S824" s="26"/>
    </row>
    <row r="825" customFormat="false" ht="15.75" hidden="false" customHeight="true" outlineLevel="0" collapsed="false">
      <c r="S825" s="26"/>
    </row>
    <row r="826" customFormat="false" ht="15.75" hidden="false" customHeight="true" outlineLevel="0" collapsed="false">
      <c r="S826" s="26"/>
    </row>
    <row r="827" customFormat="false" ht="15.75" hidden="false" customHeight="true" outlineLevel="0" collapsed="false">
      <c r="S827" s="26"/>
    </row>
    <row r="828" customFormat="false" ht="15.75" hidden="false" customHeight="true" outlineLevel="0" collapsed="false">
      <c r="S828" s="26"/>
    </row>
    <row r="829" customFormat="false" ht="15.75" hidden="false" customHeight="true" outlineLevel="0" collapsed="false">
      <c r="S829" s="26"/>
    </row>
    <row r="830" customFormat="false" ht="15.75" hidden="false" customHeight="true" outlineLevel="0" collapsed="false">
      <c r="S830" s="26"/>
    </row>
    <row r="831" customFormat="false" ht="15.75" hidden="false" customHeight="true" outlineLevel="0" collapsed="false">
      <c r="S831" s="26"/>
    </row>
    <row r="832" customFormat="false" ht="15.75" hidden="false" customHeight="true" outlineLevel="0" collapsed="false">
      <c r="S832" s="26"/>
    </row>
    <row r="833" customFormat="false" ht="15.75" hidden="false" customHeight="true" outlineLevel="0" collapsed="false">
      <c r="S833" s="26"/>
    </row>
    <row r="834" customFormat="false" ht="15.75" hidden="false" customHeight="true" outlineLevel="0" collapsed="false">
      <c r="S834" s="26"/>
    </row>
    <row r="835" customFormat="false" ht="15.75" hidden="false" customHeight="true" outlineLevel="0" collapsed="false">
      <c r="S835" s="26"/>
    </row>
    <row r="836" customFormat="false" ht="15.75" hidden="false" customHeight="true" outlineLevel="0" collapsed="false">
      <c r="S836" s="26"/>
    </row>
    <row r="837" customFormat="false" ht="15.75" hidden="false" customHeight="true" outlineLevel="0" collapsed="false">
      <c r="S837" s="26"/>
    </row>
    <row r="838" customFormat="false" ht="15.75" hidden="false" customHeight="true" outlineLevel="0" collapsed="false">
      <c r="S838" s="26"/>
    </row>
    <row r="839" customFormat="false" ht="15.75" hidden="false" customHeight="true" outlineLevel="0" collapsed="false">
      <c r="S839" s="26"/>
    </row>
    <row r="840" customFormat="false" ht="15.75" hidden="false" customHeight="true" outlineLevel="0" collapsed="false">
      <c r="S840" s="26"/>
    </row>
    <row r="841" customFormat="false" ht="15.75" hidden="false" customHeight="true" outlineLevel="0" collapsed="false">
      <c r="S841" s="26"/>
    </row>
    <row r="842" customFormat="false" ht="15.75" hidden="false" customHeight="true" outlineLevel="0" collapsed="false">
      <c r="S842" s="26"/>
    </row>
    <row r="843" customFormat="false" ht="15.75" hidden="false" customHeight="true" outlineLevel="0" collapsed="false">
      <c r="S843" s="26"/>
    </row>
    <row r="844" customFormat="false" ht="15.75" hidden="false" customHeight="true" outlineLevel="0" collapsed="false">
      <c r="S844" s="26"/>
    </row>
    <row r="845" customFormat="false" ht="15.75" hidden="false" customHeight="true" outlineLevel="0" collapsed="false">
      <c r="S845" s="26"/>
    </row>
    <row r="846" customFormat="false" ht="15.75" hidden="false" customHeight="true" outlineLevel="0" collapsed="false">
      <c r="S846" s="26"/>
    </row>
    <row r="847" customFormat="false" ht="15.75" hidden="false" customHeight="true" outlineLevel="0" collapsed="false">
      <c r="S847" s="26"/>
    </row>
    <row r="848" customFormat="false" ht="15.75" hidden="false" customHeight="true" outlineLevel="0" collapsed="false">
      <c r="S848" s="26"/>
    </row>
    <row r="849" customFormat="false" ht="15.75" hidden="false" customHeight="true" outlineLevel="0" collapsed="false">
      <c r="S849" s="26"/>
    </row>
    <row r="850" customFormat="false" ht="15.75" hidden="false" customHeight="true" outlineLevel="0" collapsed="false">
      <c r="S850" s="26"/>
    </row>
    <row r="851" customFormat="false" ht="15.75" hidden="false" customHeight="true" outlineLevel="0" collapsed="false">
      <c r="S851" s="26"/>
    </row>
    <row r="852" customFormat="false" ht="15.75" hidden="false" customHeight="true" outlineLevel="0" collapsed="false">
      <c r="S852" s="26"/>
    </row>
    <row r="853" customFormat="false" ht="15.75" hidden="false" customHeight="true" outlineLevel="0" collapsed="false">
      <c r="S853" s="26"/>
    </row>
    <row r="854" customFormat="false" ht="15.75" hidden="false" customHeight="true" outlineLevel="0" collapsed="false">
      <c r="S854" s="26"/>
    </row>
    <row r="855" customFormat="false" ht="15.75" hidden="false" customHeight="true" outlineLevel="0" collapsed="false">
      <c r="S855" s="26"/>
    </row>
    <row r="856" customFormat="false" ht="15.75" hidden="false" customHeight="true" outlineLevel="0" collapsed="false">
      <c r="S856" s="26"/>
    </row>
    <row r="857" customFormat="false" ht="15.75" hidden="false" customHeight="true" outlineLevel="0" collapsed="false">
      <c r="S857" s="26"/>
    </row>
    <row r="858" customFormat="false" ht="15.75" hidden="false" customHeight="true" outlineLevel="0" collapsed="false">
      <c r="S858" s="26"/>
    </row>
    <row r="859" customFormat="false" ht="15.75" hidden="false" customHeight="true" outlineLevel="0" collapsed="false">
      <c r="S859" s="26"/>
    </row>
    <row r="860" customFormat="false" ht="15.75" hidden="false" customHeight="true" outlineLevel="0" collapsed="false">
      <c r="S860" s="26"/>
    </row>
    <row r="861" customFormat="false" ht="15.75" hidden="false" customHeight="true" outlineLevel="0" collapsed="false">
      <c r="S861" s="26"/>
    </row>
    <row r="862" customFormat="false" ht="15.75" hidden="false" customHeight="true" outlineLevel="0" collapsed="false">
      <c r="S862" s="26"/>
    </row>
    <row r="863" customFormat="false" ht="15.75" hidden="false" customHeight="true" outlineLevel="0" collapsed="false">
      <c r="S863" s="26"/>
    </row>
    <row r="864" customFormat="false" ht="15.75" hidden="false" customHeight="true" outlineLevel="0" collapsed="false">
      <c r="S864" s="26"/>
    </row>
    <row r="865" customFormat="false" ht="15.75" hidden="false" customHeight="true" outlineLevel="0" collapsed="false">
      <c r="S865" s="26"/>
    </row>
    <row r="866" customFormat="false" ht="15.75" hidden="false" customHeight="true" outlineLevel="0" collapsed="false">
      <c r="S866" s="26"/>
    </row>
    <row r="867" customFormat="false" ht="15.75" hidden="false" customHeight="true" outlineLevel="0" collapsed="false">
      <c r="S867" s="26"/>
    </row>
    <row r="868" customFormat="false" ht="15.75" hidden="false" customHeight="true" outlineLevel="0" collapsed="false">
      <c r="S868" s="26"/>
    </row>
    <row r="869" customFormat="false" ht="15.75" hidden="false" customHeight="true" outlineLevel="0" collapsed="false">
      <c r="S869" s="26"/>
    </row>
    <row r="870" customFormat="false" ht="15.75" hidden="false" customHeight="true" outlineLevel="0" collapsed="false">
      <c r="S870" s="26"/>
    </row>
    <row r="871" customFormat="false" ht="15.75" hidden="false" customHeight="true" outlineLevel="0" collapsed="false">
      <c r="S871" s="26"/>
    </row>
    <row r="872" customFormat="false" ht="15.75" hidden="false" customHeight="true" outlineLevel="0" collapsed="false">
      <c r="S872" s="26"/>
    </row>
    <row r="873" customFormat="false" ht="15.75" hidden="false" customHeight="true" outlineLevel="0" collapsed="false">
      <c r="S873" s="26"/>
    </row>
    <row r="874" customFormat="false" ht="15.75" hidden="false" customHeight="true" outlineLevel="0" collapsed="false">
      <c r="S874" s="26"/>
    </row>
    <row r="875" customFormat="false" ht="15.75" hidden="false" customHeight="true" outlineLevel="0" collapsed="false">
      <c r="S875" s="26"/>
    </row>
    <row r="876" customFormat="false" ht="15.75" hidden="false" customHeight="true" outlineLevel="0" collapsed="false">
      <c r="S876" s="26"/>
    </row>
    <row r="877" customFormat="false" ht="15.75" hidden="false" customHeight="true" outlineLevel="0" collapsed="false">
      <c r="S877" s="26"/>
    </row>
    <row r="878" customFormat="false" ht="15.75" hidden="false" customHeight="true" outlineLevel="0" collapsed="false">
      <c r="S878" s="26"/>
    </row>
    <row r="879" customFormat="false" ht="15.75" hidden="false" customHeight="true" outlineLevel="0" collapsed="false">
      <c r="S879" s="26"/>
    </row>
    <row r="880" customFormat="false" ht="15.75" hidden="false" customHeight="true" outlineLevel="0" collapsed="false">
      <c r="S880" s="26"/>
    </row>
    <row r="881" customFormat="false" ht="15.75" hidden="false" customHeight="true" outlineLevel="0" collapsed="false">
      <c r="S881" s="26"/>
    </row>
    <row r="882" customFormat="false" ht="15.75" hidden="false" customHeight="true" outlineLevel="0" collapsed="false">
      <c r="S882" s="26"/>
    </row>
    <row r="883" customFormat="false" ht="15.75" hidden="false" customHeight="true" outlineLevel="0" collapsed="false">
      <c r="S883" s="26"/>
    </row>
    <row r="884" customFormat="false" ht="15.75" hidden="false" customHeight="true" outlineLevel="0" collapsed="false">
      <c r="S884" s="26"/>
    </row>
    <row r="885" customFormat="false" ht="15.75" hidden="false" customHeight="true" outlineLevel="0" collapsed="false">
      <c r="S885" s="26"/>
    </row>
    <row r="886" customFormat="false" ht="15.75" hidden="false" customHeight="true" outlineLevel="0" collapsed="false">
      <c r="S886" s="26"/>
    </row>
    <row r="887" customFormat="false" ht="15.75" hidden="false" customHeight="true" outlineLevel="0" collapsed="false">
      <c r="S887" s="26"/>
    </row>
    <row r="888" customFormat="false" ht="15.75" hidden="false" customHeight="true" outlineLevel="0" collapsed="false">
      <c r="S888" s="26"/>
    </row>
    <row r="889" customFormat="false" ht="15.75" hidden="false" customHeight="true" outlineLevel="0" collapsed="false">
      <c r="S889" s="26"/>
    </row>
    <row r="890" customFormat="false" ht="15.75" hidden="false" customHeight="true" outlineLevel="0" collapsed="false">
      <c r="S890" s="26"/>
    </row>
    <row r="891" customFormat="false" ht="15.75" hidden="false" customHeight="true" outlineLevel="0" collapsed="false">
      <c r="S891" s="26"/>
    </row>
    <row r="892" customFormat="false" ht="15.75" hidden="false" customHeight="true" outlineLevel="0" collapsed="false">
      <c r="S892" s="26"/>
    </row>
    <row r="893" customFormat="false" ht="15.75" hidden="false" customHeight="true" outlineLevel="0" collapsed="false">
      <c r="S893" s="26"/>
    </row>
    <row r="894" customFormat="false" ht="15.75" hidden="false" customHeight="true" outlineLevel="0" collapsed="false">
      <c r="S894" s="26"/>
    </row>
    <row r="895" customFormat="false" ht="15.75" hidden="false" customHeight="true" outlineLevel="0" collapsed="false">
      <c r="S895" s="26"/>
    </row>
    <row r="896" customFormat="false" ht="15.75" hidden="false" customHeight="true" outlineLevel="0" collapsed="false">
      <c r="S896" s="26"/>
    </row>
    <row r="897" customFormat="false" ht="15.75" hidden="false" customHeight="true" outlineLevel="0" collapsed="false">
      <c r="S897" s="26"/>
    </row>
    <row r="898" customFormat="false" ht="15.75" hidden="false" customHeight="true" outlineLevel="0" collapsed="false">
      <c r="S898" s="26"/>
    </row>
    <row r="899" customFormat="false" ht="15.75" hidden="false" customHeight="true" outlineLevel="0" collapsed="false">
      <c r="S899" s="26"/>
    </row>
    <row r="900" customFormat="false" ht="15.75" hidden="false" customHeight="true" outlineLevel="0" collapsed="false">
      <c r="S900" s="26"/>
    </row>
    <row r="901" customFormat="false" ht="15.75" hidden="false" customHeight="true" outlineLevel="0" collapsed="false">
      <c r="S901" s="26"/>
    </row>
    <row r="902" customFormat="false" ht="15.75" hidden="false" customHeight="true" outlineLevel="0" collapsed="false">
      <c r="S902" s="26"/>
    </row>
    <row r="903" customFormat="false" ht="15.75" hidden="false" customHeight="true" outlineLevel="0" collapsed="false">
      <c r="S903" s="26"/>
    </row>
    <row r="904" customFormat="false" ht="15.75" hidden="false" customHeight="true" outlineLevel="0" collapsed="false">
      <c r="S904" s="26"/>
    </row>
    <row r="905" customFormat="false" ht="15.75" hidden="false" customHeight="true" outlineLevel="0" collapsed="false">
      <c r="S905" s="26"/>
    </row>
    <row r="906" customFormat="false" ht="15.75" hidden="false" customHeight="true" outlineLevel="0" collapsed="false">
      <c r="S906" s="26"/>
    </row>
    <row r="907" customFormat="false" ht="15.75" hidden="false" customHeight="true" outlineLevel="0" collapsed="false">
      <c r="S907" s="26"/>
    </row>
    <row r="908" customFormat="false" ht="15.75" hidden="false" customHeight="true" outlineLevel="0" collapsed="false">
      <c r="S908" s="26"/>
    </row>
    <row r="909" customFormat="false" ht="15.75" hidden="false" customHeight="true" outlineLevel="0" collapsed="false">
      <c r="S909" s="26"/>
    </row>
    <row r="910" customFormat="false" ht="15.75" hidden="false" customHeight="true" outlineLevel="0" collapsed="false">
      <c r="S910" s="26"/>
    </row>
    <row r="911" customFormat="false" ht="15.75" hidden="false" customHeight="true" outlineLevel="0" collapsed="false">
      <c r="S911" s="26"/>
    </row>
    <row r="912" customFormat="false" ht="15.75" hidden="false" customHeight="true" outlineLevel="0" collapsed="false">
      <c r="S912" s="26"/>
    </row>
    <row r="913" customFormat="false" ht="15.75" hidden="false" customHeight="true" outlineLevel="0" collapsed="false">
      <c r="S913" s="26"/>
    </row>
    <row r="914" customFormat="false" ht="15.75" hidden="false" customHeight="true" outlineLevel="0" collapsed="false">
      <c r="S914" s="26"/>
    </row>
    <row r="915" customFormat="false" ht="15.75" hidden="false" customHeight="true" outlineLevel="0" collapsed="false">
      <c r="S915" s="26"/>
    </row>
    <row r="916" customFormat="false" ht="15.75" hidden="false" customHeight="true" outlineLevel="0" collapsed="false">
      <c r="S916" s="26"/>
    </row>
    <row r="917" customFormat="false" ht="15.75" hidden="false" customHeight="true" outlineLevel="0" collapsed="false">
      <c r="S917" s="26"/>
    </row>
    <row r="918" customFormat="false" ht="15.75" hidden="false" customHeight="true" outlineLevel="0" collapsed="false">
      <c r="S918" s="26"/>
    </row>
    <row r="919" customFormat="false" ht="15.75" hidden="false" customHeight="true" outlineLevel="0" collapsed="false">
      <c r="S919" s="26"/>
    </row>
    <row r="920" customFormat="false" ht="15.75" hidden="false" customHeight="true" outlineLevel="0" collapsed="false">
      <c r="S920" s="26"/>
    </row>
    <row r="921" customFormat="false" ht="15.75" hidden="false" customHeight="true" outlineLevel="0" collapsed="false">
      <c r="S921" s="26"/>
    </row>
    <row r="922" customFormat="false" ht="15.75" hidden="false" customHeight="true" outlineLevel="0" collapsed="false">
      <c r="S922" s="26"/>
    </row>
    <row r="923" customFormat="false" ht="15.75" hidden="false" customHeight="true" outlineLevel="0" collapsed="false">
      <c r="S923" s="26"/>
    </row>
    <row r="924" customFormat="false" ht="15.75" hidden="false" customHeight="true" outlineLevel="0" collapsed="false">
      <c r="S924" s="26"/>
    </row>
    <row r="925" customFormat="false" ht="15.75" hidden="false" customHeight="true" outlineLevel="0" collapsed="false">
      <c r="S925" s="26"/>
    </row>
    <row r="926" customFormat="false" ht="15.75" hidden="false" customHeight="true" outlineLevel="0" collapsed="false">
      <c r="S926" s="26"/>
    </row>
    <row r="927" customFormat="false" ht="15.75" hidden="false" customHeight="true" outlineLevel="0" collapsed="false">
      <c r="S927" s="26"/>
    </row>
    <row r="928" customFormat="false" ht="15.75" hidden="false" customHeight="true" outlineLevel="0" collapsed="false">
      <c r="S928" s="26"/>
    </row>
    <row r="929" customFormat="false" ht="15.75" hidden="false" customHeight="true" outlineLevel="0" collapsed="false">
      <c r="S929" s="26"/>
    </row>
    <row r="930" customFormat="false" ht="15.75" hidden="false" customHeight="true" outlineLevel="0" collapsed="false">
      <c r="S930" s="26"/>
    </row>
    <row r="931" customFormat="false" ht="15.75" hidden="false" customHeight="true" outlineLevel="0" collapsed="false">
      <c r="S931" s="26"/>
    </row>
    <row r="932" customFormat="false" ht="15.75" hidden="false" customHeight="true" outlineLevel="0" collapsed="false">
      <c r="S932" s="26"/>
    </row>
    <row r="933" customFormat="false" ht="15.75" hidden="false" customHeight="true" outlineLevel="0" collapsed="false">
      <c r="S933" s="26"/>
    </row>
    <row r="934" customFormat="false" ht="15.75" hidden="false" customHeight="true" outlineLevel="0" collapsed="false">
      <c r="S934" s="26"/>
    </row>
    <row r="935" customFormat="false" ht="15.75" hidden="false" customHeight="true" outlineLevel="0" collapsed="false">
      <c r="S935" s="26"/>
    </row>
    <row r="936" customFormat="false" ht="15.75" hidden="false" customHeight="true" outlineLevel="0" collapsed="false">
      <c r="S936" s="26"/>
    </row>
    <row r="937" customFormat="false" ht="15.75" hidden="false" customHeight="true" outlineLevel="0" collapsed="false">
      <c r="S937" s="26"/>
    </row>
    <row r="938" customFormat="false" ht="15.75" hidden="false" customHeight="true" outlineLevel="0" collapsed="false">
      <c r="S938" s="26"/>
    </row>
    <row r="939" customFormat="false" ht="15.75" hidden="false" customHeight="true" outlineLevel="0" collapsed="false">
      <c r="S939" s="26"/>
    </row>
    <row r="940" customFormat="false" ht="15.75" hidden="false" customHeight="true" outlineLevel="0" collapsed="false">
      <c r="S940" s="26"/>
    </row>
    <row r="941" customFormat="false" ht="15.75" hidden="false" customHeight="true" outlineLevel="0" collapsed="false">
      <c r="S941" s="26"/>
    </row>
    <row r="942" customFormat="false" ht="15.75" hidden="false" customHeight="true" outlineLevel="0" collapsed="false">
      <c r="S942" s="26"/>
    </row>
    <row r="943" customFormat="false" ht="15.75" hidden="false" customHeight="true" outlineLevel="0" collapsed="false">
      <c r="S943" s="26"/>
    </row>
    <row r="944" customFormat="false" ht="15.75" hidden="false" customHeight="true" outlineLevel="0" collapsed="false">
      <c r="S944" s="26"/>
    </row>
    <row r="945" customFormat="false" ht="15.75" hidden="false" customHeight="true" outlineLevel="0" collapsed="false">
      <c r="S945" s="26"/>
    </row>
    <row r="946" customFormat="false" ht="15.75" hidden="false" customHeight="true" outlineLevel="0" collapsed="false">
      <c r="S946" s="26"/>
    </row>
    <row r="947" customFormat="false" ht="15.75" hidden="false" customHeight="true" outlineLevel="0" collapsed="false">
      <c r="S947" s="26"/>
    </row>
    <row r="948" customFormat="false" ht="15.75" hidden="false" customHeight="true" outlineLevel="0" collapsed="false">
      <c r="S948" s="26"/>
    </row>
    <row r="949" customFormat="false" ht="15.75" hidden="false" customHeight="true" outlineLevel="0" collapsed="false">
      <c r="S949" s="26"/>
    </row>
    <row r="950" customFormat="false" ht="15.75" hidden="false" customHeight="true" outlineLevel="0" collapsed="false">
      <c r="S950" s="26"/>
    </row>
    <row r="951" customFormat="false" ht="15.75" hidden="false" customHeight="true" outlineLevel="0" collapsed="false">
      <c r="S951" s="26"/>
    </row>
    <row r="952" customFormat="false" ht="15.75" hidden="false" customHeight="true" outlineLevel="0" collapsed="false">
      <c r="S952" s="26"/>
    </row>
    <row r="953" customFormat="false" ht="15.75" hidden="false" customHeight="true" outlineLevel="0" collapsed="false">
      <c r="S953" s="26"/>
    </row>
    <row r="954" customFormat="false" ht="15.75" hidden="false" customHeight="true" outlineLevel="0" collapsed="false">
      <c r="S954" s="26"/>
    </row>
    <row r="955" customFormat="false" ht="15.75" hidden="false" customHeight="true" outlineLevel="0" collapsed="false">
      <c r="S955" s="26"/>
    </row>
    <row r="956" customFormat="false" ht="15.75" hidden="false" customHeight="true" outlineLevel="0" collapsed="false">
      <c r="S956" s="26"/>
    </row>
    <row r="957" customFormat="false" ht="15.75" hidden="false" customHeight="true" outlineLevel="0" collapsed="false">
      <c r="S957" s="26"/>
    </row>
    <row r="958" customFormat="false" ht="15.75" hidden="false" customHeight="true" outlineLevel="0" collapsed="false">
      <c r="S958" s="26"/>
    </row>
    <row r="959" customFormat="false" ht="15.75" hidden="false" customHeight="true" outlineLevel="0" collapsed="false">
      <c r="S959" s="26"/>
    </row>
    <row r="960" customFormat="false" ht="15.75" hidden="false" customHeight="true" outlineLevel="0" collapsed="false">
      <c r="S960" s="26"/>
    </row>
    <row r="961" customFormat="false" ht="15.75" hidden="false" customHeight="true" outlineLevel="0" collapsed="false">
      <c r="S961" s="26"/>
    </row>
    <row r="962" customFormat="false" ht="15.75" hidden="false" customHeight="true" outlineLevel="0" collapsed="false">
      <c r="S962" s="26"/>
    </row>
    <row r="963" customFormat="false" ht="15.75" hidden="false" customHeight="true" outlineLevel="0" collapsed="false">
      <c r="S963" s="26"/>
    </row>
    <row r="964" customFormat="false" ht="15.75" hidden="false" customHeight="true" outlineLevel="0" collapsed="false">
      <c r="S964" s="26"/>
    </row>
    <row r="965" customFormat="false" ht="15.75" hidden="false" customHeight="true" outlineLevel="0" collapsed="false">
      <c r="S965" s="26"/>
    </row>
    <row r="966" customFormat="false" ht="15.75" hidden="false" customHeight="true" outlineLevel="0" collapsed="false">
      <c r="S966" s="26"/>
    </row>
    <row r="967" customFormat="false" ht="15.75" hidden="false" customHeight="true" outlineLevel="0" collapsed="false">
      <c r="S967" s="26"/>
    </row>
    <row r="968" customFormat="false" ht="15.75" hidden="false" customHeight="true" outlineLevel="0" collapsed="false">
      <c r="S968" s="26"/>
    </row>
    <row r="969" customFormat="false" ht="15.75" hidden="false" customHeight="true" outlineLevel="0" collapsed="false">
      <c r="S969" s="26"/>
    </row>
    <row r="970" customFormat="false" ht="15.75" hidden="false" customHeight="true" outlineLevel="0" collapsed="false">
      <c r="S970" s="26"/>
    </row>
    <row r="971" customFormat="false" ht="15.75" hidden="false" customHeight="true" outlineLevel="0" collapsed="false">
      <c r="S971" s="26"/>
    </row>
    <row r="972" customFormat="false" ht="15.75" hidden="false" customHeight="true" outlineLevel="0" collapsed="false">
      <c r="S972" s="26"/>
    </row>
    <row r="973" customFormat="false" ht="15.75" hidden="false" customHeight="true" outlineLevel="0" collapsed="false">
      <c r="S973" s="26"/>
    </row>
    <row r="974" customFormat="false" ht="15.75" hidden="false" customHeight="true" outlineLevel="0" collapsed="false">
      <c r="S974" s="26"/>
    </row>
    <row r="975" customFormat="false" ht="15.75" hidden="false" customHeight="true" outlineLevel="0" collapsed="false">
      <c r="S975" s="26"/>
    </row>
    <row r="976" customFormat="false" ht="15.75" hidden="false" customHeight="true" outlineLevel="0" collapsed="false">
      <c r="S976" s="26"/>
    </row>
    <row r="977" customFormat="false" ht="15.75" hidden="false" customHeight="true" outlineLevel="0" collapsed="false">
      <c r="S977" s="26"/>
    </row>
    <row r="978" customFormat="false" ht="15.75" hidden="false" customHeight="true" outlineLevel="0" collapsed="false">
      <c r="S978" s="26"/>
    </row>
    <row r="979" customFormat="false" ht="15.75" hidden="false" customHeight="true" outlineLevel="0" collapsed="false">
      <c r="S979" s="26"/>
    </row>
    <row r="980" customFormat="false" ht="15.75" hidden="false" customHeight="true" outlineLevel="0" collapsed="false">
      <c r="S980" s="26"/>
    </row>
    <row r="981" customFormat="false" ht="15.75" hidden="false" customHeight="true" outlineLevel="0" collapsed="false">
      <c r="S981" s="26"/>
    </row>
    <row r="982" customFormat="false" ht="15.75" hidden="false" customHeight="true" outlineLevel="0" collapsed="false">
      <c r="S982" s="26"/>
    </row>
    <row r="983" customFormat="false" ht="15.75" hidden="false" customHeight="true" outlineLevel="0" collapsed="false">
      <c r="S983" s="26"/>
    </row>
    <row r="984" customFormat="false" ht="15.75" hidden="false" customHeight="true" outlineLevel="0" collapsed="false">
      <c r="S984" s="26"/>
    </row>
    <row r="985" customFormat="false" ht="15.75" hidden="false" customHeight="true" outlineLevel="0" collapsed="false">
      <c r="S985" s="26"/>
    </row>
    <row r="986" customFormat="false" ht="15.75" hidden="false" customHeight="true" outlineLevel="0" collapsed="false">
      <c r="S986" s="26"/>
    </row>
    <row r="987" customFormat="false" ht="15.75" hidden="false" customHeight="true" outlineLevel="0" collapsed="false">
      <c r="S987" s="26"/>
    </row>
    <row r="988" customFormat="false" ht="15.75" hidden="false" customHeight="true" outlineLevel="0" collapsed="false">
      <c r="S988" s="26"/>
    </row>
    <row r="989" customFormat="false" ht="15.75" hidden="false" customHeight="true" outlineLevel="0" collapsed="false">
      <c r="S989" s="26"/>
    </row>
    <row r="990" customFormat="false" ht="15.75" hidden="false" customHeight="true" outlineLevel="0" collapsed="false">
      <c r="S990" s="26"/>
    </row>
    <row r="991" customFormat="false" ht="15.75" hidden="false" customHeight="true" outlineLevel="0" collapsed="false">
      <c r="S991" s="26"/>
    </row>
    <row r="992" customFormat="false" ht="15.75" hidden="false" customHeight="true" outlineLevel="0" collapsed="false">
      <c r="S992" s="26"/>
    </row>
    <row r="993" customFormat="false" ht="15.75" hidden="false" customHeight="true" outlineLevel="0" collapsed="false">
      <c r="S993" s="26"/>
    </row>
    <row r="994" customFormat="false" ht="15.75" hidden="false" customHeight="true" outlineLevel="0" collapsed="false">
      <c r="S994" s="26"/>
    </row>
    <row r="995" customFormat="false" ht="15.75" hidden="false" customHeight="true" outlineLevel="0" collapsed="false">
      <c r="S995" s="26"/>
    </row>
    <row r="996" customFormat="false" ht="15.75" hidden="false" customHeight="true" outlineLevel="0" collapsed="false">
      <c r="S996" s="26"/>
    </row>
    <row r="997" customFormat="false" ht="15.75" hidden="false" customHeight="true" outlineLevel="0" collapsed="false">
      <c r="S997" s="26"/>
    </row>
    <row r="998" customFormat="false" ht="15.75" hidden="false" customHeight="true" outlineLevel="0" collapsed="false">
      <c r="S998" s="26"/>
    </row>
    <row r="999" customFormat="false" ht="15.75" hidden="false" customHeight="true" outlineLevel="0" collapsed="false">
      <c r="S999" s="26"/>
    </row>
    <row r="1000" customFormat="false" ht="15.75" hidden="false" customHeight="true" outlineLevel="0" collapsed="false">
      <c r="S1000" s="26"/>
    </row>
  </sheetData>
  <conditionalFormatting sqref="H2:P778">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zeroHeight="false" outlineLevelRow="0" outlineLevelCol="0"/>
  <cols>
    <col collapsed="false" customWidth="true" hidden="false" outlineLevel="0" max="1" min="1" style="0" width="5.88"/>
    <col collapsed="false" customWidth="true" hidden="false" outlineLevel="0" max="2" min="2" style="0" width="36.38"/>
    <col collapsed="false" customWidth="true" hidden="false" outlineLevel="0" max="3" min="3" style="0" width="22.25"/>
    <col collapsed="false" customWidth="true" hidden="false" outlineLevel="0" max="4" min="4" style="0" width="18.13"/>
    <col collapsed="false" customWidth="true" hidden="false" outlineLevel="0" max="5" min="5" style="0" width="16.5"/>
    <col collapsed="false" customWidth="true" hidden="false" outlineLevel="0" max="6" min="6" style="0" width="26"/>
    <col collapsed="false" customWidth="true" hidden="false" outlineLevel="0" max="7" min="7" style="0" width="12.38"/>
    <col collapsed="false" customWidth="true" hidden="false" outlineLevel="0" max="8" min="8" style="0" width="10.13"/>
    <col collapsed="false" customWidth="true" hidden="false" outlineLevel="0" max="9" min="9" style="0" width="14.88"/>
    <col collapsed="false" customWidth="true" hidden="false" outlineLevel="0" max="10" min="10" style="0" width="10.25"/>
    <col collapsed="false" customWidth="true" hidden="false" outlineLevel="0" max="11" min="11" style="0" width="10"/>
    <col collapsed="false" customWidth="true" hidden="false" outlineLevel="0" max="12" min="12" style="0" width="9.38"/>
    <col collapsed="false" customWidth="true" hidden="false" outlineLevel="0" max="13" min="13" style="0" width="10.25"/>
    <col collapsed="false" customWidth="true" hidden="false" outlineLevel="0" max="15" min="15" style="0" width="85"/>
    <col collapsed="false" customWidth="true" hidden="false" outlineLevel="0" max="16" min="16" style="0" width="26.12"/>
  </cols>
  <sheetData>
    <row r="1" customFormat="false" ht="15.75" hidden="false" customHeight="true" outlineLevel="0" collapsed="false">
      <c r="A1" s="27" t="s">
        <v>0</v>
      </c>
      <c r="B1" s="27" t="s">
        <v>549</v>
      </c>
      <c r="C1" s="27" t="s">
        <v>4</v>
      </c>
      <c r="D1" s="27" t="s">
        <v>5</v>
      </c>
      <c r="E1" s="27" t="s">
        <v>550</v>
      </c>
      <c r="F1" s="27" t="s">
        <v>551</v>
      </c>
      <c r="G1" s="27" t="s">
        <v>552</v>
      </c>
      <c r="H1" s="27" t="s">
        <v>553</v>
      </c>
      <c r="I1" s="27" t="s">
        <v>554</v>
      </c>
      <c r="J1" s="27" t="s">
        <v>555</v>
      </c>
      <c r="K1" s="27" t="s">
        <v>556</v>
      </c>
      <c r="L1" s="27" t="s">
        <v>557</v>
      </c>
      <c r="M1" s="27" t="s">
        <v>558</v>
      </c>
      <c r="N1" s="28" t="s">
        <v>559</v>
      </c>
      <c r="O1" s="29" t="s">
        <v>560</v>
      </c>
      <c r="P1" s="28" t="s">
        <v>561</v>
      </c>
      <c r="Q1" s="8"/>
      <c r="R1" s="8"/>
      <c r="S1" s="8"/>
      <c r="T1" s="8"/>
      <c r="U1" s="8"/>
      <c r="V1" s="8"/>
      <c r="W1" s="8"/>
      <c r="X1" s="8"/>
      <c r="Y1" s="8"/>
      <c r="Z1" s="8"/>
      <c r="AA1" s="8"/>
      <c r="AB1" s="8"/>
      <c r="AC1" s="8"/>
      <c r="AD1" s="8"/>
      <c r="AE1" s="8"/>
      <c r="AF1" s="8"/>
      <c r="AG1" s="8"/>
      <c r="AH1" s="8"/>
      <c r="AI1" s="8"/>
      <c r="AJ1" s="8"/>
      <c r="AK1" s="8"/>
      <c r="AL1" s="8"/>
      <c r="AM1" s="8"/>
    </row>
    <row r="2" customFormat="false" ht="15.75" hidden="false" customHeight="true" outlineLevel="0" collapsed="false">
      <c r="A2" s="30" t="n">
        <v>46303</v>
      </c>
      <c r="B2" s="31" t="s">
        <v>367</v>
      </c>
      <c r="C2" s="31" t="str">
        <f aca="false" t="array" ref="C2:C2">IF(B2="","",IFERROR(INDEX('CLM &amp; IM Mapping'!$B$2:$B$270,MATCH(TRIM(B2),'CLM &amp; IM Mapping'!$A$2:$A$270,0)),"Not Mapped"))</f>
        <v>Akshay P</v>
      </c>
      <c r="D2" s="31" t="str">
        <f aca="false" t="array" ref="D2:D2">IF(B2="","",IFERROR(INDEX('CLM &amp; IM Mapping'!$C$2:$C$270,MATCH(TRIM(B2),'CLM &amp; IM Mapping'!$A$2:$A$270,0)),"Not Mapped"))</f>
        <v>Srittam Dhal</v>
      </c>
      <c r="E2" s="31" t="s">
        <v>34</v>
      </c>
      <c r="F2" s="31" t="s">
        <v>562</v>
      </c>
      <c r="G2" s="31" t="s">
        <v>23</v>
      </c>
      <c r="H2" s="17" t="n">
        <v>5212</v>
      </c>
      <c r="I2" s="32" t="n">
        <v>0.7</v>
      </c>
      <c r="J2" s="33" t="n">
        <v>0</v>
      </c>
      <c r="K2" s="34"/>
      <c r="L2" s="31"/>
      <c r="M2" s="31"/>
      <c r="N2" s="11" t="n">
        <v>1</v>
      </c>
      <c r="O2" s="12" t="s">
        <v>563</v>
      </c>
      <c r="P2" s="11"/>
      <c r="Q2" s="8"/>
      <c r="R2" s="8"/>
      <c r="S2" s="8"/>
      <c r="T2" s="8"/>
      <c r="U2" s="8"/>
      <c r="V2" s="8"/>
      <c r="W2" s="8"/>
      <c r="X2" s="8"/>
      <c r="Y2" s="8"/>
      <c r="Z2" s="8"/>
      <c r="AA2" s="35"/>
      <c r="AB2" s="35"/>
      <c r="AC2" s="35"/>
      <c r="AD2" s="35"/>
      <c r="AE2" s="8"/>
      <c r="AF2" s="8"/>
      <c r="AG2" s="8"/>
      <c r="AH2" s="8"/>
      <c r="AI2" s="8"/>
      <c r="AJ2" s="8"/>
      <c r="AK2" s="8"/>
      <c r="AL2" s="8"/>
      <c r="AM2" s="8"/>
    </row>
    <row r="3" customFormat="false" ht="15.75" hidden="false" customHeight="true" outlineLevel="0" collapsed="false">
      <c r="A3" s="30" t="n">
        <v>46303</v>
      </c>
      <c r="B3" s="31" t="s">
        <v>564</v>
      </c>
      <c r="C3" s="31" t="str">
        <f aca="false" t="array" ref="C3:C3">IF(B3="","",IFERROR(INDEX('CLM &amp; IM Mapping'!$B$2:$B$270,MATCH(TRIM(B3),'CLM &amp; IM Mapping'!$A$2:$A$270,0)),"Not Mapped"))</f>
        <v>Basil Scariya</v>
      </c>
      <c r="D3" s="31" t="str">
        <f aca="false" t="array" ref="D3:D3">IF(B3="","",IFERROR(INDEX('CLM &amp; IM Mapping'!$C$2:$C$270,MATCH(TRIM(B3),'CLM &amp; IM Mapping'!$A$2:$A$270,0)),"Not Mapped"))</f>
        <v>Prakash BS</v>
      </c>
      <c r="E3" s="31" t="s">
        <v>34</v>
      </c>
      <c r="F3" s="31" t="s">
        <v>562</v>
      </c>
      <c r="G3" s="31" t="s">
        <v>23</v>
      </c>
      <c r="H3" s="17" t="n">
        <v>7849</v>
      </c>
      <c r="I3" s="32" t="n">
        <v>0.7</v>
      </c>
      <c r="J3" s="33" t="n">
        <v>0</v>
      </c>
      <c r="K3" s="34"/>
      <c r="L3" s="31"/>
      <c r="M3" s="31"/>
      <c r="N3" s="11"/>
      <c r="O3" s="12" t="s">
        <v>563</v>
      </c>
      <c r="P3" s="11"/>
      <c r="Q3" s="8"/>
      <c r="R3" s="8"/>
      <c r="S3" s="8"/>
      <c r="T3" s="8"/>
      <c r="U3" s="8"/>
      <c r="V3" s="8"/>
      <c r="W3" s="8"/>
      <c r="X3" s="8"/>
      <c r="Y3" s="8"/>
      <c r="Z3" s="8"/>
      <c r="AA3" s="35"/>
      <c r="AB3" s="35"/>
      <c r="AC3" s="35"/>
      <c r="AD3" s="35"/>
      <c r="AE3" s="8"/>
      <c r="AF3" s="8"/>
      <c r="AG3" s="8"/>
      <c r="AH3" s="8"/>
      <c r="AI3" s="8"/>
      <c r="AJ3" s="8"/>
      <c r="AK3" s="8"/>
      <c r="AL3" s="8"/>
      <c r="AM3" s="8"/>
    </row>
    <row r="4" customFormat="false" ht="15.75" hidden="false" customHeight="true" outlineLevel="0" collapsed="false">
      <c r="A4" s="30" t="n">
        <v>46303</v>
      </c>
      <c r="B4" s="31" t="s">
        <v>368</v>
      </c>
      <c r="C4" s="31" t="str">
        <f aca="false" t="array" ref="C4:C4">IF(B4="","",IFERROR(INDEX('CLM &amp; IM Mapping'!$B$2:$B$270,MATCH(TRIM(B4),'CLM &amp; IM Mapping'!$A$2:$A$270,0)),"Not Mapped"))</f>
        <v>Arun Raj</v>
      </c>
      <c r="D4" s="31" t="str">
        <f aca="false" t="array" ref="D4:D4">IF(B4="","",IFERROR(INDEX('CLM &amp; IM Mapping'!$C$2:$C$270,MATCH(TRIM(B4),'CLM &amp; IM Mapping'!$A$2:$A$270,0)),"Not Mapped"))</f>
        <v>Simon Manoharan</v>
      </c>
      <c r="E4" s="31" t="s">
        <v>25</v>
      </c>
      <c r="F4" s="31" t="s">
        <v>565</v>
      </c>
      <c r="G4" s="31" t="s">
        <v>23</v>
      </c>
      <c r="H4" s="17" t="n">
        <v>12051</v>
      </c>
      <c r="I4" s="32" t="n">
        <v>0.7</v>
      </c>
      <c r="J4" s="33" t="n">
        <v>0</v>
      </c>
      <c r="K4" s="34"/>
      <c r="L4" s="31"/>
      <c r="M4" s="31"/>
      <c r="N4" s="11"/>
      <c r="O4" s="12" t="s">
        <v>563</v>
      </c>
      <c r="P4" s="11"/>
      <c r="Q4" s="8"/>
      <c r="R4" s="8"/>
      <c r="S4" s="8"/>
      <c r="T4" s="8"/>
      <c r="U4" s="8"/>
      <c r="V4" s="8"/>
      <c r="W4" s="8"/>
      <c r="X4" s="8"/>
      <c r="Y4" s="8"/>
      <c r="Z4" s="8"/>
      <c r="AA4" s="35"/>
      <c r="AB4" s="35"/>
      <c r="AC4" s="35"/>
      <c r="AD4" s="35"/>
      <c r="AE4" s="8"/>
      <c r="AF4" s="8"/>
      <c r="AG4" s="8"/>
      <c r="AH4" s="8"/>
      <c r="AI4" s="8"/>
      <c r="AJ4" s="8"/>
      <c r="AK4" s="8"/>
      <c r="AL4" s="8"/>
      <c r="AM4" s="8"/>
    </row>
    <row r="5" customFormat="false" ht="15.75" hidden="false" customHeight="true" outlineLevel="0" collapsed="false">
      <c r="A5" s="30" t="n">
        <v>46303</v>
      </c>
      <c r="B5" s="31" t="s">
        <v>226</v>
      </c>
      <c r="C5" s="31" t="str">
        <f aca="false" t="array" ref="C5:C5">IF(B5="","",IFERROR(INDEX('CLM &amp; IM Mapping'!$B$2:$B$270,MATCH(TRIM(B5),'CLM &amp; IM Mapping'!$A$2:$A$270,0)),"Not Mapped"))</f>
        <v>Manoj Kj</v>
      </c>
      <c r="D5" s="31" t="str">
        <f aca="false" t="array" ref="D5:D5">IF(B5="","",IFERROR(INDEX('CLM &amp; IM Mapping'!$C$2:$C$270,MATCH(TRIM(B5),'CLM &amp; IM Mapping'!$A$2:$A$270,0)),"Not Mapped"))</f>
        <v>Srittam Dhal</v>
      </c>
      <c r="E5" s="31" t="s">
        <v>34</v>
      </c>
      <c r="F5" s="31" t="s">
        <v>562</v>
      </c>
      <c r="G5" s="31" t="s">
        <v>23</v>
      </c>
      <c r="H5" s="17" t="n">
        <v>5421</v>
      </c>
      <c r="I5" s="32" t="n">
        <v>0.7</v>
      </c>
      <c r="J5" s="33" t="n">
        <v>0.01</v>
      </c>
      <c r="K5" s="33" t="n">
        <v>0.97</v>
      </c>
      <c r="L5" s="33" t="n">
        <v>0.99</v>
      </c>
      <c r="M5" s="33" t="n">
        <v>0.06</v>
      </c>
      <c r="N5" s="11" t="n">
        <v>5</v>
      </c>
      <c r="O5" s="12" t="s">
        <v>563</v>
      </c>
      <c r="P5" s="11"/>
      <c r="Q5" s="8"/>
      <c r="R5" s="8"/>
      <c r="S5" s="8"/>
      <c r="T5" s="8"/>
      <c r="U5" s="8"/>
      <c r="V5" s="8"/>
      <c r="W5" s="8"/>
      <c r="X5" s="8"/>
      <c r="Y5" s="8"/>
      <c r="Z5" s="8"/>
      <c r="AA5" s="35"/>
      <c r="AB5" s="35"/>
      <c r="AC5" s="35"/>
      <c r="AD5" s="35"/>
      <c r="AE5" s="8"/>
      <c r="AF5" s="8"/>
      <c r="AG5" s="8"/>
      <c r="AH5" s="8"/>
      <c r="AI5" s="8"/>
      <c r="AJ5" s="8"/>
      <c r="AK5" s="8"/>
      <c r="AL5" s="8"/>
      <c r="AM5" s="8"/>
    </row>
    <row r="6" customFormat="false" ht="15.75" hidden="false" customHeight="true" outlineLevel="0" collapsed="false">
      <c r="A6" s="30" t="n">
        <v>46303</v>
      </c>
      <c r="B6" s="31" t="s">
        <v>532</v>
      </c>
      <c r="C6" s="31" t="str">
        <f aca="false" t="array" ref="C6:C6">IF(B6="","",IFERROR(INDEX('CLM &amp; IM Mapping'!$B$2:$B$270,MATCH(TRIM(B6),'CLM &amp; IM Mapping'!$A$2:$A$270,0)),"Not Mapped"))</f>
        <v>Arun Raj</v>
      </c>
      <c r="D6" s="31" t="str">
        <f aca="false" t="array" ref="D6:D6">IF(B6="","",IFERROR(INDEX('CLM &amp; IM Mapping'!$C$2:$C$270,MATCH(TRIM(B6),'CLM &amp; IM Mapping'!$A$2:$A$270,0)),"Not Mapped"))</f>
        <v>Simon Manoharan</v>
      </c>
      <c r="E6" s="31" t="s">
        <v>25</v>
      </c>
      <c r="F6" s="31" t="s">
        <v>565</v>
      </c>
      <c r="G6" s="31" t="s">
        <v>23</v>
      </c>
      <c r="H6" s="17" t="n">
        <v>10619</v>
      </c>
      <c r="I6" s="32" t="n">
        <v>0.7</v>
      </c>
      <c r="J6" s="33" t="n">
        <v>0.02</v>
      </c>
      <c r="K6" s="33" t="n">
        <v>0</v>
      </c>
      <c r="L6" s="33" t="n">
        <v>-22.56</v>
      </c>
      <c r="M6" s="33" t="n">
        <v>0</v>
      </c>
      <c r="N6" s="11"/>
      <c r="O6" s="12" t="s">
        <v>563</v>
      </c>
      <c r="P6" s="11"/>
      <c r="Q6" s="8"/>
      <c r="R6" s="8"/>
      <c r="S6" s="8"/>
      <c r="T6" s="8"/>
      <c r="U6" s="8"/>
      <c r="V6" s="8"/>
      <c r="W6" s="8"/>
      <c r="X6" s="8"/>
      <c r="Y6" s="8"/>
      <c r="Z6" s="8"/>
      <c r="AA6" s="35"/>
      <c r="AB6" s="35"/>
      <c r="AC6" s="35"/>
      <c r="AD6" s="35"/>
      <c r="AE6" s="8"/>
      <c r="AF6" s="8"/>
      <c r="AG6" s="8"/>
      <c r="AH6" s="8"/>
      <c r="AI6" s="8"/>
      <c r="AJ6" s="8"/>
      <c r="AK6" s="8"/>
      <c r="AL6" s="8"/>
      <c r="AM6" s="8"/>
    </row>
    <row r="7" customFormat="false" ht="15.75" hidden="false" customHeight="true" outlineLevel="0" collapsed="false">
      <c r="A7" s="30" t="n">
        <v>46303</v>
      </c>
      <c r="B7" s="31" t="s">
        <v>479</v>
      </c>
      <c r="C7" s="31" t="str">
        <f aca="false" t="array" ref="C7:C7">IF(B7="","",IFERROR(INDEX('CLM &amp; IM Mapping'!$B$2:$B$270,MATCH(TRIM(B7),'CLM &amp; IM Mapping'!$A$2:$A$270,0)),"Not Mapped"))</f>
        <v>Arun Raj</v>
      </c>
      <c r="D7" s="31" t="str">
        <f aca="false" t="array" ref="D7:D7">IF(B7="","",IFERROR(INDEX('CLM &amp; IM Mapping'!$C$2:$C$270,MATCH(TRIM(B7),'CLM &amp; IM Mapping'!$A$2:$A$270,0)),"Not Mapped"))</f>
        <v>Simon Manoharan</v>
      </c>
      <c r="E7" s="31" t="s">
        <v>25</v>
      </c>
      <c r="F7" s="31" t="s">
        <v>565</v>
      </c>
      <c r="G7" s="31" t="s">
        <v>23</v>
      </c>
      <c r="H7" s="17" t="n">
        <v>13730</v>
      </c>
      <c r="I7" s="32" t="n">
        <v>0.7</v>
      </c>
      <c r="J7" s="33" t="n">
        <v>0.06</v>
      </c>
      <c r="K7" s="33" t="n">
        <v>0.96</v>
      </c>
      <c r="L7" s="33" t="n">
        <v>0.98</v>
      </c>
      <c r="M7" s="33" t="n">
        <v>0.26</v>
      </c>
      <c r="N7" s="11" t="n">
        <v>1</v>
      </c>
      <c r="O7" s="12" t="s">
        <v>563</v>
      </c>
      <c r="P7" s="11"/>
      <c r="Q7" s="8"/>
      <c r="R7" s="8"/>
      <c r="S7" s="8"/>
      <c r="T7" s="8"/>
      <c r="U7" s="8"/>
      <c r="V7" s="8"/>
      <c r="W7" s="8"/>
      <c r="X7" s="8"/>
      <c r="Y7" s="8"/>
      <c r="Z7" s="8"/>
      <c r="AA7" s="35"/>
      <c r="AB7" s="35"/>
      <c r="AC7" s="35"/>
      <c r="AD7" s="35"/>
      <c r="AE7" s="8"/>
      <c r="AF7" s="8"/>
      <c r="AG7" s="8"/>
      <c r="AH7" s="8"/>
      <c r="AI7" s="8"/>
      <c r="AJ7" s="8"/>
      <c r="AK7" s="8"/>
      <c r="AL7" s="8"/>
      <c r="AM7" s="8"/>
    </row>
    <row r="8" customFormat="false" ht="15.75" hidden="false" customHeight="true" outlineLevel="0" collapsed="false">
      <c r="A8" s="30" t="n">
        <v>46303</v>
      </c>
      <c r="B8" s="31" t="s">
        <v>405</v>
      </c>
      <c r="C8" s="31" t="str">
        <f aca="false" t="array" ref="C8:C8">IF(B8="","",IFERROR(INDEX('CLM &amp; IM Mapping'!$B$2:$B$270,MATCH(TRIM(B8),'CLM &amp; IM Mapping'!$A$2:$A$270,0)),"Not Mapped"))</f>
        <v>Adhavan Subramani</v>
      </c>
      <c r="D8" s="31" t="str">
        <f aca="false" t="array" ref="D8:D8">IF(B8="","",IFERROR(INDEX('CLM &amp; IM Mapping'!$C$2:$C$270,MATCH(TRIM(B8),'CLM &amp; IM Mapping'!$A$2:$A$270,0)),"Not Mapped"))</f>
        <v>Mohammed Akbar</v>
      </c>
      <c r="E8" s="31" t="s">
        <v>34</v>
      </c>
      <c r="F8" s="31" t="s">
        <v>562</v>
      </c>
      <c r="G8" s="31" t="s">
        <v>23</v>
      </c>
      <c r="H8" s="17" t="n">
        <v>5759</v>
      </c>
      <c r="I8" s="32" t="n">
        <v>0.7</v>
      </c>
      <c r="J8" s="33" t="n">
        <v>0.07</v>
      </c>
      <c r="K8" s="33" t="n">
        <v>0.92</v>
      </c>
      <c r="L8" s="33" t="n">
        <v>0.92</v>
      </c>
      <c r="M8" s="31"/>
      <c r="N8" s="11"/>
      <c r="O8" s="12" t="s">
        <v>566</v>
      </c>
      <c r="P8" s="12" t="s">
        <v>567</v>
      </c>
      <c r="Q8" s="8"/>
      <c r="R8" s="8"/>
      <c r="S8" s="8"/>
      <c r="T8" s="8"/>
      <c r="U8" s="8"/>
      <c r="V8" s="8"/>
      <c r="W8" s="8"/>
      <c r="X8" s="8"/>
      <c r="Y8" s="8"/>
      <c r="Z8" s="8"/>
      <c r="AA8" s="35"/>
      <c r="AB8" s="35"/>
      <c r="AC8" s="35"/>
      <c r="AD8" s="35"/>
      <c r="AE8" s="8"/>
      <c r="AF8" s="8"/>
      <c r="AG8" s="8"/>
      <c r="AH8" s="8"/>
      <c r="AI8" s="8"/>
      <c r="AJ8" s="8"/>
      <c r="AK8" s="8"/>
      <c r="AL8" s="8"/>
      <c r="AM8" s="8"/>
    </row>
    <row r="9" customFormat="false" ht="15.75" hidden="false" customHeight="true" outlineLevel="0" collapsed="false">
      <c r="A9" s="30" t="n">
        <v>46303</v>
      </c>
      <c r="B9" s="31" t="s">
        <v>391</v>
      </c>
      <c r="C9" s="31" t="str">
        <f aca="false" t="array" ref="C9:C9">IF(B9="","",IFERROR(INDEX('CLM &amp; IM Mapping'!$B$2:$B$270,MATCH(TRIM(B9),'CLM &amp; IM Mapping'!$A$2:$A$270,0)),"Not Mapped"))</f>
        <v>John Britto</v>
      </c>
      <c r="D9" s="31" t="str">
        <f aca="false" t="array" ref="D9:D9">IF(B9="","",IFERROR(INDEX('CLM &amp; IM Mapping'!$C$2:$C$270,MATCH(TRIM(B9),'CLM &amp; IM Mapping'!$A$2:$A$270,0)),"Not Mapped"))</f>
        <v>Aravind S</v>
      </c>
      <c r="E9" s="31" t="s">
        <v>34</v>
      </c>
      <c r="F9" s="31" t="s">
        <v>562</v>
      </c>
      <c r="G9" s="31" t="s">
        <v>303</v>
      </c>
      <c r="H9" s="17" t="n">
        <v>5114</v>
      </c>
      <c r="I9" s="32" t="n">
        <v>0.7</v>
      </c>
      <c r="J9" s="33" t="n">
        <v>0.07</v>
      </c>
      <c r="K9" s="33" t="n">
        <v>0.94</v>
      </c>
      <c r="L9" s="33" t="n">
        <v>0.96</v>
      </c>
      <c r="M9" s="33" t="n">
        <v>0.31</v>
      </c>
      <c r="N9" s="11" t="n">
        <v>1</v>
      </c>
      <c r="O9" s="12" t="s">
        <v>568</v>
      </c>
      <c r="P9" s="12" t="s">
        <v>567</v>
      </c>
      <c r="Q9" s="8"/>
      <c r="R9" s="8"/>
      <c r="S9" s="8"/>
      <c r="T9" s="8"/>
      <c r="U9" s="8"/>
      <c r="V9" s="8"/>
      <c r="W9" s="8"/>
      <c r="X9" s="8"/>
      <c r="Y9" s="8"/>
      <c r="Z9" s="8"/>
      <c r="AA9" s="35"/>
      <c r="AB9" s="35"/>
      <c r="AC9" s="35"/>
      <c r="AD9" s="35"/>
      <c r="AE9" s="8"/>
      <c r="AF9" s="8"/>
      <c r="AG9" s="8"/>
      <c r="AH9" s="8"/>
      <c r="AI9" s="8"/>
      <c r="AJ9" s="8"/>
      <c r="AK9" s="8"/>
      <c r="AL9" s="8"/>
      <c r="AM9" s="8"/>
    </row>
    <row r="10" customFormat="false" ht="15.75" hidden="false" customHeight="true" outlineLevel="0" collapsed="false">
      <c r="A10" s="30" t="n">
        <v>46303</v>
      </c>
      <c r="B10" s="31" t="s">
        <v>345</v>
      </c>
      <c r="C10" s="31" t="str">
        <f aca="false" t="array" ref="C10:C10">IF(B10="","",IFERROR(INDEX('CLM &amp; IM Mapping'!$B$2:$B$270,MATCH(TRIM(B10),'CLM &amp; IM Mapping'!$A$2:$A$270,0)),"Not Mapped"))</f>
        <v>John Britto</v>
      </c>
      <c r="D10" s="31" t="str">
        <f aca="false" t="array" ref="D10:D10">IF(B10="","",IFERROR(INDEX('CLM &amp; IM Mapping'!$C$2:$C$270,MATCH(TRIM(B10),'CLM &amp; IM Mapping'!$A$2:$A$270,0)),"Not Mapped"))</f>
        <v>Aravind S</v>
      </c>
      <c r="E10" s="31" t="s">
        <v>34</v>
      </c>
      <c r="F10" s="31" t="s">
        <v>562</v>
      </c>
      <c r="G10" s="31" t="s">
        <v>303</v>
      </c>
      <c r="H10" s="17" t="n">
        <v>6188</v>
      </c>
      <c r="I10" s="32" t="n">
        <v>0.7</v>
      </c>
      <c r="J10" s="33" t="n">
        <v>0.1</v>
      </c>
      <c r="K10" s="33" t="n">
        <v>0.81</v>
      </c>
      <c r="L10" s="33" t="n">
        <v>0.98</v>
      </c>
      <c r="M10" s="33" t="n">
        <v>0.35</v>
      </c>
      <c r="N10" s="11" t="n">
        <v>3</v>
      </c>
      <c r="O10" s="12" t="s">
        <v>569</v>
      </c>
      <c r="P10" s="12" t="s">
        <v>567</v>
      </c>
      <c r="Q10" s="8"/>
      <c r="R10" s="8"/>
      <c r="S10" s="8"/>
      <c r="T10" s="8"/>
      <c r="U10" s="8"/>
      <c r="V10" s="8"/>
      <c r="W10" s="8"/>
      <c r="X10" s="8"/>
      <c r="Y10" s="8"/>
      <c r="Z10" s="8"/>
      <c r="AA10" s="35"/>
      <c r="AB10" s="35"/>
      <c r="AC10" s="35"/>
      <c r="AD10" s="8"/>
      <c r="AE10" s="8"/>
      <c r="AF10" s="8"/>
      <c r="AG10" s="8"/>
      <c r="AH10" s="8"/>
      <c r="AI10" s="8"/>
      <c r="AJ10" s="8"/>
      <c r="AK10" s="8"/>
      <c r="AL10" s="8"/>
      <c r="AM10" s="8"/>
    </row>
    <row r="11" customFormat="false" ht="15.75" hidden="false" customHeight="true" outlineLevel="0" collapsed="false">
      <c r="A11" s="30" t="n">
        <v>46303</v>
      </c>
      <c r="B11" s="31" t="s">
        <v>319</v>
      </c>
      <c r="C11" s="31" t="str">
        <f aca="false" t="array" ref="C11:C11">IF(B11="","",IFERROR(INDEX('CLM &amp; IM Mapping'!$B$2:$B$270,MATCH(TRIM(B11),'CLM &amp; IM Mapping'!$A$2:$A$270,0)),"Not Mapped"))</f>
        <v>John Britto</v>
      </c>
      <c r="D11" s="31" t="str">
        <f aca="false" t="array" ref="D11:D11">IF(B11="","",IFERROR(INDEX('CLM &amp; IM Mapping'!$C$2:$C$270,MATCH(TRIM(B11),'CLM &amp; IM Mapping'!$A$2:$A$270,0)),"Not Mapped"))</f>
        <v>Aravind S</v>
      </c>
      <c r="E11" s="31" t="s">
        <v>34</v>
      </c>
      <c r="F11" s="31" t="s">
        <v>562</v>
      </c>
      <c r="G11" s="31" t="s">
        <v>303</v>
      </c>
      <c r="H11" s="17" t="n">
        <v>6277</v>
      </c>
      <c r="I11" s="32" t="n">
        <v>0.7</v>
      </c>
      <c r="J11" s="33" t="n">
        <v>0.1</v>
      </c>
      <c r="K11" s="33" t="n">
        <v>0.81</v>
      </c>
      <c r="L11" s="33" t="n">
        <v>0.97</v>
      </c>
      <c r="M11" s="33" t="n">
        <v>0.37</v>
      </c>
      <c r="N11" s="11" t="n">
        <v>2</v>
      </c>
      <c r="O11" s="12" t="s">
        <v>569</v>
      </c>
      <c r="P11" s="12" t="s">
        <v>567</v>
      </c>
      <c r="Q11" s="8"/>
      <c r="R11" s="8"/>
      <c r="S11" s="8"/>
      <c r="T11" s="8"/>
      <c r="U11" s="8"/>
      <c r="V11" s="8"/>
      <c r="W11" s="8"/>
      <c r="X11" s="8"/>
      <c r="Y11" s="8"/>
      <c r="Z11" s="8"/>
      <c r="AA11" s="35"/>
      <c r="AB11" s="35"/>
      <c r="AC11" s="35"/>
      <c r="AD11" s="35"/>
      <c r="AE11" s="8"/>
      <c r="AF11" s="8"/>
      <c r="AG11" s="8"/>
      <c r="AH11" s="8"/>
      <c r="AI11" s="8"/>
      <c r="AJ11" s="8"/>
      <c r="AK11" s="8"/>
      <c r="AL11" s="8"/>
      <c r="AM11" s="8"/>
    </row>
    <row r="12" customFormat="false" ht="15.75" hidden="false" customHeight="true" outlineLevel="0" collapsed="false">
      <c r="A12" s="30" t="n">
        <v>46303</v>
      </c>
      <c r="B12" s="31" t="s">
        <v>224</v>
      </c>
      <c r="C12" s="31" t="str">
        <f aca="false" t="array" ref="C12:C12">IF(B12="","",IFERROR(INDEX('CLM &amp; IM Mapping'!$B$2:$B$270,MATCH(TRIM(B12),'CLM &amp; IM Mapping'!$A$2:$A$270,0)),"Not Mapped"))</f>
        <v>Vishnu V</v>
      </c>
      <c r="D12" s="31" t="str">
        <f aca="false" t="array" ref="D12:D12">IF(B12="","",IFERROR(INDEX('CLM &amp; IM Mapping'!$C$2:$C$270,MATCH(TRIM(B12),'CLM &amp; IM Mapping'!$A$2:$A$270,0)),"Not Mapped"))</f>
        <v>Arivind S</v>
      </c>
      <c r="E12" s="31" t="s">
        <v>25</v>
      </c>
      <c r="F12" s="31" t="s">
        <v>565</v>
      </c>
      <c r="G12" s="31" t="s">
        <v>221</v>
      </c>
      <c r="H12" s="17" t="n">
        <v>6058</v>
      </c>
      <c r="I12" s="32" t="n">
        <v>0.7</v>
      </c>
      <c r="J12" s="33" t="n">
        <v>0.12</v>
      </c>
      <c r="K12" s="33" t="n">
        <v>0.99</v>
      </c>
      <c r="L12" s="33" t="n">
        <v>1</v>
      </c>
      <c r="M12" s="33" t="n">
        <v>0.52</v>
      </c>
      <c r="N12" s="11" t="n">
        <v>1</v>
      </c>
      <c r="O12" s="12" t="s">
        <v>570</v>
      </c>
      <c r="P12" s="12" t="s">
        <v>571</v>
      </c>
      <c r="Q12" s="8"/>
      <c r="R12" s="8"/>
      <c r="S12" s="8"/>
      <c r="T12" s="8"/>
      <c r="U12" s="8"/>
      <c r="V12" s="8"/>
      <c r="W12" s="8"/>
      <c r="X12" s="8"/>
      <c r="Y12" s="8"/>
      <c r="Z12" s="8"/>
      <c r="AA12" s="35"/>
      <c r="AB12" s="35"/>
      <c r="AC12" s="35"/>
      <c r="AD12" s="35"/>
      <c r="AE12" s="8"/>
      <c r="AF12" s="8"/>
      <c r="AG12" s="8"/>
      <c r="AH12" s="8"/>
      <c r="AI12" s="8"/>
      <c r="AJ12" s="8"/>
      <c r="AK12" s="8"/>
      <c r="AL12" s="8"/>
      <c r="AM12" s="8"/>
    </row>
    <row r="13" customFormat="false" ht="15.75" hidden="false" customHeight="true" outlineLevel="0" collapsed="false">
      <c r="A13" s="30" t="n">
        <v>46303</v>
      </c>
      <c r="B13" s="31" t="s">
        <v>29</v>
      </c>
      <c r="C13" s="31" t="str">
        <f aca="false" t="array" ref="C13:C13">IF(B13="","",IFERROR(INDEX('CLM &amp; IM Mapping'!$B$2:$B$270,MATCH(TRIM(B13),'CLM &amp; IM Mapping'!$A$2:$A$270,0)),"Not Mapped"))</f>
        <v>Arun Raj</v>
      </c>
      <c r="D13" s="31" t="str">
        <f aca="false" t="array" ref="D13:D13">IF(B13="","",IFERROR(INDEX('CLM &amp; IM Mapping'!$C$2:$C$270,MATCH(TRIM(B13),'CLM &amp; IM Mapping'!$A$2:$A$270,0)),"Not Mapped"))</f>
        <v>Simon Manoharan</v>
      </c>
      <c r="E13" s="31" t="s">
        <v>25</v>
      </c>
      <c r="F13" s="31" t="s">
        <v>565</v>
      </c>
      <c r="G13" s="31" t="s">
        <v>23</v>
      </c>
      <c r="H13" s="17" t="n">
        <v>12938</v>
      </c>
      <c r="I13" s="32" t="n">
        <v>0.7</v>
      </c>
      <c r="J13" s="33" t="n">
        <v>0.13</v>
      </c>
      <c r="K13" s="33" t="n">
        <v>0.77</v>
      </c>
      <c r="L13" s="33" t="n">
        <v>0.92</v>
      </c>
      <c r="M13" s="33" t="n">
        <v>0.46</v>
      </c>
      <c r="N13" s="11" t="n">
        <v>4</v>
      </c>
      <c r="O13" s="12" t="s">
        <v>572</v>
      </c>
      <c r="P13" s="12" t="s">
        <v>573</v>
      </c>
      <c r="Q13" s="8"/>
      <c r="R13" s="8"/>
      <c r="S13" s="8"/>
      <c r="T13" s="8"/>
      <c r="U13" s="8"/>
      <c r="V13" s="8"/>
      <c r="W13" s="8"/>
      <c r="X13" s="8"/>
      <c r="Y13" s="8"/>
      <c r="Z13" s="8"/>
      <c r="AA13" s="35"/>
      <c r="AB13" s="35"/>
      <c r="AC13" s="35"/>
      <c r="AD13" s="35"/>
      <c r="AE13" s="8"/>
      <c r="AF13" s="8"/>
      <c r="AG13" s="8"/>
      <c r="AH13" s="8"/>
      <c r="AI13" s="8"/>
      <c r="AJ13" s="8"/>
      <c r="AK13" s="8"/>
      <c r="AL13" s="8"/>
      <c r="AM13" s="8"/>
    </row>
    <row r="14" customFormat="false" ht="15.75" hidden="false" customHeight="true" outlineLevel="0" collapsed="false">
      <c r="A14" s="30" t="n">
        <v>46303</v>
      </c>
      <c r="B14" s="31" t="s">
        <v>50</v>
      </c>
      <c r="C14" s="31" t="str">
        <f aca="false" t="array" ref="C14:C14">IF(B14="","",IFERROR(INDEX('CLM &amp; IM Mapping'!$B$2:$B$270,MATCH(TRIM(B14),'CLM &amp; IM Mapping'!$A$2:$A$270,0)),"Not Mapped"))</f>
        <v>Arun Raj</v>
      </c>
      <c r="D14" s="31" t="str">
        <f aca="false" t="array" ref="D14:D14">IF(B14="","",IFERROR(INDEX('CLM &amp; IM Mapping'!$C$2:$C$270,MATCH(TRIM(B14),'CLM &amp; IM Mapping'!$A$2:$A$270,0)),"Not Mapped"))</f>
        <v>Simon Manoharan</v>
      </c>
      <c r="E14" s="31" t="s">
        <v>25</v>
      </c>
      <c r="F14" s="31" t="s">
        <v>565</v>
      </c>
      <c r="G14" s="31" t="s">
        <v>23</v>
      </c>
      <c r="H14" s="17" t="n">
        <v>7680</v>
      </c>
      <c r="I14" s="32" t="n">
        <v>0.7</v>
      </c>
      <c r="J14" s="33" t="n">
        <v>0.14</v>
      </c>
      <c r="K14" s="33" t="n">
        <v>0.76</v>
      </c>
      <c r="L14" s="33" t="n">
        <v>0.96</v>
      </c>
      <c r="M14" s="33" t="n">
        <v>0.46</v>
      </c>
      <c r="N14" s="11" t="n">
        <v>1</v>
      </c>
      <c r="O14" s="12" t="s">
        <v>574</v>
      </c>
      <c r="P14" s="12" t="s">
        <v>575</v>
      </c>
      <c r="Q14" s="8"/>
      <c r="R14" s="8"/>
      <c r="S14" s="8"/>
      <c r="T14" s="8"/>
      <c r="U14" s="8"/>
      <c r="V14" s="8"/>
      <c r="W14" s="8"/>
      <c r="X14" s="8"/>
      <c r="Y14" s="8"/>
      <c r="Z14" s="8"/>
      <c r="AA14" s="35"/>
      <c r="AB14" s="35"/>
      <c r="AC14" s="35"/>
      <c r="AD14" s="35"/>
      <c r="AE14" s="8"/>
      <c r="AF14" s="8"/>
      <c r="AG14" s="8"/>
      <c r="AH14" s="8"/>
      <c r="AI14" s="8"/>
      <c r="AJ14" s="8"/>
      <c r="AK14" s="8"/>
      <c r="AL14" s="8"/>
      <c r="AM14" s="8"/>
    </row>
    <row r="15" customFormat="false" ht="15.75" hidden="false" customHeight="true" outlineLevel="0" collapsed="false">
      <c r="A15" s="30" t="n">
        <v>46303</v>
      </c>
      <c r="B15" s="31" t="s">
        <v>382</v>
      </c>
      <c r="C15" s="31" t="str">
        <f aca="false" t="array" ref="C15:C15">IF(B15="","",IFERROR(INDEX('CLM &amp; IM Mapping'!$B$2:$B$270,MATCH(TRIM(B15),'CLM &amp; IM Mapping'!$A$2:$A$270,0)),"Not Mapped"))</f>
        <v>Arun Raj</v>
      </c>
      <c r="D15" s="31" t="str">
        <f aca="false" t="array" ref="D15:D15">IF(B15="","",IFERROR(INDEX('CLM &amp; IM Mapping'!$C$2:$C$270,MATCH(TRIM(B15),'CLM &amp; IM Mapping'!$A$2:$A$270,0)),"Not Mapped"))</f>
        <v>Simon Manoharan</v>
      </c>
      <c r="E15" s="31" t="s">
        <v>25</v>
      </c>
      <c r="F15" s="31" t="s">
        <v>565</v>
      </c>
      <c r="G15" s="31" t="s">
        <v>23</v>
      </c>
      <c r="H15" s="17" t="n">
        <v>11984</v>
      </c>
      <c r="I15" s="32" t="n">
        <v>0.7</v>
      </c>
      <c r="J15" s="33" t="n">
        <v>0.14</v>
      </c>
      <c r="K15" s="33" t="n">
        <v>0.94</v>
      </c>
      <c r="L15" s="33" t="n">
        <v>0.99</v>
      </c>
      <c r="M15" s="33" t="n">
        <v>0.6</v>
      </c>
      <c r="N15" s="11"/>
      <c r="O15" s="12" t="s">
        <v>576</v>
      </c>
      <c r="P15" s="12" t="s">
        <v>575</v>
      </c>
      <c r="Q15" s="8"/>
      <c r="R15" s="8"/>
      <c r="S15" s="8"/>
      <c r="T15" s="8"/>
      <c r="U15" s="8"/>
      <c r="V15" s="8"/>
      <c r="W15" s="8"/>
      <c r="X15" s="8"/>
      <c r="Y15" s="8"/>
      <c r="Z15" s="8"/>
      <c r="AA15" s="35"/>
      <c r="AB15" s="35"/>
      <c r="AC15" s="35"/>
      <c r="AD15" s="35"/>
      <c r="AE15" s="8"/>
      <c r="AF15" s="8"/>
      <c r="AG15" s="8"/>
      <c r="AH15" s="8"/>
      <c r="AI15" s="8"/>
      <c r="AJ15" s="8"/>
      <c r="AK15" s="8"/>
      <c r="AL15" s="8"/>
      <c r="AM15" s="8"/>
    </row>
    <row r="16" customFormat="false" ht="15.75" hidden="false" customHeight="true" outlineLevel="0" collapsed="false">
      <c r="A16" s="30" t="n">
        <v>46303</v>
      </c>
      <c r="B16" s="31" t="s">
        <v>447</v>
      </c>
      <c r="C16" s="31" t="str">
        <f aca="false" t="array" ref="C16:C16">IF(B16="","",IFERROR(INDEX('CLM &amp; IM Mapping'!$B$2:$B$270,MATCH(TRIM(B16),'CLM &amp; IM Mapping'!$A$2:$A$270,0)),"Not Mapped"))</f>
        <v>John Britto</v>
      </c>
      <c r="D16" s="31" t="str">
        <f aca="false" t="array" ref="D16:D16">IF(B16="","",IFERROR(INDEX('CLM &amp; IM Mapping'!$C$2:$C$270,MATCH(TRIM(B16),'CLM &amp; IM Mapping'!$A$2:$A$270,0)),"Not Mapped"))</f>
        <v>Aravind S</v>
      </c>
      <c r="E16" s="31" t="s">
        <v>34</v>
      </c>
      <c r="F16" s="31" t="s">
        <v>562</v>
      </c>
      <c r="G16" s="31" t="s">
        <v>303</v>
      </c>
      <c r="H16" s="17" t="n">
        <v>6791</v>
      </c>
      <c r="I16" s="32" t="n">
        <v>0.7</v>
      </c>
      <c r="J16" s="33" t="n">
        <v>0.14</v>
      </c>
      <c r="K16" s="33" t="n">
        <v>0.98</v>
      </c>
      <c r="L16" s="33" t="n">
        <v>1</v>
      </c>
      <c r="M16" s="31"/>
      <c r="N16" s="11"/>
      <c r="O16" s="12" t="s">
        <v>577</v>
      </c>
      <c r="P16" s="12" t="s">
        <v>567</v>
      </c>
      <c r="Q16" s="8"/>
      <c r="R16" s="8"/>
      <c r="S16" s="8"/>
      <c r="T16" s="8"/>
      <c r="U16" s="8"/>
      <c r="V16" s="8"/>
      <c r="W16" s="8"/>
      <c r="X16" s="8"/>
      <c r="Y16" s="8"/>
      <c r="Z16" s="8"/>
      <c r="AA16" s="35"/>
      <c r="AB16" s="35"/>
      <c r="AC16" s="35"/>
      <c r="AD16" s="35"/>
      <c r="AE16" s="8"/>
      <c r="AF16" s="8"/>
      <c r="AG16" s="8"/>
      <c r="AH16" s="8"/>
      <c r="AI16" s="8"/>
      <c r="AJ16" s="8"/>
      <c r="AK16" s="8"/>
      <c r="AL16" s="8"/>
      <c r="AM16" s="8"/>
    </row>
    <row r="17" customFormat="false" ht="15.75" hidden="false" customHeight="true" outlineLevel="0" collapsed="false">
      <c r="A17" s="30" t="n">
        <v>46303</v>
      </c>
      <c r="B17" s="31" t="s">
        <v>103</v>
      </c>
      <c r="C17" s="31" t="str">
        <f aca="false" t="array" ref="C17:C17">IF(B17="","",IFERROR(INDEX('CLM &amp; IM Mapping'!$B$2:$B$270,MATCH(TRIM(B17),'CLM &amp; IM Mapping'!$A$2:$A$270,0)),"Not Mapped"))</f>
        <v>Girish N</v>
      </c>
      <c r="D17" s="31" t="str">
        <f aca="false" t="array" ref="D17:D17">IF(B17="","",IFERROR(INDEX('CLM &amp; IM Mapping'!$C$2:$C$270,MATCH(TRIM(B17),'CLM &amp; IM Mapping'!$A$2:$A$270,0)),"Not Mapped"))</f>
        <v>Un Mapped</v>
      </c>
      <c r="E17" s="31" t="s">
        <v>34</v>
      </c>
      <c r="F17" s="31" t="s">
        <v>562</v>
      </c>
      <c r="G17" s="31" t="s">
        <v>23</v>
      </c>
      <c r="H17" s="17" t="n">
        <v>5106</v>
      </c>
      <c r="I17" s="32" t="n">
        <v>0.7</v>
      </c>
      <c r="J17" s="33" t="n">
        <v>0.16</v>
      </c>
      <c r="K17" s="33" t="n">
        <v>0.69</v>
      </c>
      <c r="L17" s="33" t="n">
        <v>0.98</v>
      </c>
      <c r="M17" s="33" t="n">
        <v>0.49</v>
      </c>
      <c r="N17" s="11" t="n">
        <v>11</v>
      </c>
      <c r="O17" s="12" t="s">
        <v>578</v>
      </c>
      <c r="P17" s="12" t="s">
        <v>579</v>
      </c>
      <c r="Q17" s="8"/>
      <c r="R17" s="8"/>
      <c r="S17" s="8"/>
      <c r="T17" s="8"/>
      <c r="U17" s="8"/>
      <c r="V17" s="8"/>
      <c r="W17" s="8"/>
      <c r="X17" s="8"/>
      <c r="Y17" s="8"/>
      <c r="Z17" s="8"/>
      <c r="AA17" s="35"/>
      <c r="AB17" s="35"/>
      <c r="AC17" s="35"/>
      <c r="AD17" s="35"/>
      <c r="AE17" s="8"/>
      <c r="AF17" s="8"/>
      <c r="AG17" s="8"/>
      <c r="AH17" s="8"/>
      <c r="AI17" s="8"/>
      <c r="AJ17" s="8"/>
      <c r="AK17" s="8"/>
      <c r="AL17" s="8"/>
      <c r="AM17" s="8"/>
    </row>
    <row r="18" customFormat="false" ht="15.75" hidden="false" customHeight="true" outlineLevel="0" collapsed="false">
      <c r="A18" s="30" t="n">
        <v>46303</v>
      </c>
      <c r="B18" s="31" t="s">
        <v>458</v>
      </c>
      <c r="C18" s="31" t="str">
        <f aca="false" t="array" ref="C18:C18">IF(B18="","",IFERROR(INDEX('CLM &amp; IM Mapping'!$B$2:$B$270,MATCH(TRIM(B18),'CLM &amp; IM Mapping'!$A$2:$A$270,0)),"Not Mapped"))</f>
        <v>John Britto</v>
      </c>
      <c r="D18" s="31" t="str">
        <f aca="false" t="array" ref="D18:D18">IF(B18="","",IFERROR(INDEX('CLM &amp; IM Mapping'!$C$2:$C$270,MATCH(TRIM(B18),'CLM &amp; IM Mapping'!$A$2:$A$270,0)),"Not Mapped"))</f>
        <v>Aravind S</v>
      </c>
      <c r="E18" s="31" t="s">
        <v>34</v>
      </c>
      <c r="F18" s="31" t="s">
        <v>562</v>
      </c>
      <c r="G18" s="31" t="s">
        <v>303</v>
      </c>
      <c r="H18" s="17" t="n">
        <v>7163</v>
      </c>
      <c r="I18" s="32" t="n">
        <v>0.7</v>
      </c>
      <c r="J18" s="33" t="n">
        <v>0.18</v>
      </c>
      <c r="K18" s="33" t="n">
        <v>0.91</v>
      </c>
      <c r="L18" s="33" t="n">
        <v>0.97</v>
      </c>
      <c r="M18" s="33" t="n">
        <v>0.72</v>
      </c>
      <c r="N18" s="11" t="n">
        <v>1</v>
      </c>
      <c r="O18" s="12" t="s">
        <v>580</v>
      </c>
      <c r="P18" s="12" t="s">
        <v>567</v>
      </c>
      <c r="Q18" s="8"/>
      <c r="R18" s="8"/>
      <c r="S18" s="8"/>
      <c r="T18" s="8"/>
      <c r="U18" s="8"/>
      <c r="V18" s="8"/>
      <c r="W18" s="8"/>
      <c r="X18" s="8"/>
      <c r="Y18" s="8"/>
      <c r="Z18" s="8"/>
      <c r="AA18" s="35"/>
      <c r="AB18" s="35"/>
      <c r="AC18" s="35"/>
      <c r="AD18" s="35"/>
      <c r="AE18" s="8"/>
      <c r="AF18" s="8"/>
      <c r="AG18" s="8"/>
      <c r="AH18" s="8"/>
      <c r="AI18" s="8"/>
      <c r="AJ18" s="8"/>
      <c r="AK18" s="8"/>
      <c r="AL18" s="8"/>
      <c r="AM18" s="8"/>
    </row>
    <row r="19" customFormat="false" ht="15.75" hidden="false" customHeight="true" outlineLevel="0" collapsed="false">
      <c r="A19" s="30" t="n">
        <v>46303</v>
      </c>
      <c r="B19" s="31" t="s">
        <v>323</v>
      </c>
      <c r="C19" s="31" t="str">
        <f aca="false" t="array" ref="C19:C19">IF(B19="","",IFERROR(INDEX('CLM &amp; IM Mapping'!$B$2:$B$270,MATCH(TRIM(B19),'CLM &amp; IM Mapping'!$A$2:$A$270,0)),"Not Mapped"))</f>
        <v>Vishnu V</v>
      </c>
      <c r="D19" s="31" t="str">
        <f aca="false" t="array" ref="D19:D19">IF(B19="","",IFERROR(INDEX('CLM &amp; IM Mapping'!$C$2:$C$270,MATCH(TRIM(B19),'CLM &amp; IM Mapping'!$A$2:$A$270,0)),"Not Mapped"))</f>
        <v>Arivind S</v>
      </c>
      <c r="E19" s="31" t="s">
        <v>34</v>
      </c>
      <c r="F19" s="31" t="s">
        <v>562</v>
      </c>
      <c r="G19" s="31" t="s">
        <v>221</v>
      </c>
      <c r="H19" s="17" t="n">
        <v>5139</v>
      </c>
      <c r="I19" s="32" t="n">
        <v>0.7</v>
      </c>
      <c r="J19" s="33" t="n">
        <v>0.18</v>
      </c>
      <c r="K19" s="33" t="n">
        <v>0.7</v>
      </c>
      <c r="L19" s="33" t="n">
        <v>0.92</v>
      </c>
      <c r="M19" s="33" t="n">
        <v>0.55</v>
      </c>
      <c r="N19" s="11" t="n">
        <v>1</v>
      </c>
      <c r="O19" s="12" t="s">
        <v>581</v>
      </c>
      <c r="P19" s="12" t="s">
        <v>571</v>
      </c>
      <c r="Q19" s="8"/>
      <c r="R19" s="8"/>
      <c r="S19" s="8"/>
      <c r="T19" s="8"/>
      <c r="U19" s="8"/>
      <c r="V19" s="8"/>
      <c r="W19" s="8"/>
      <c r="X19" s="8"/>
      <c r="Y19" s="8"/>
      <c r="Z19" s="8"/>
      <c r="AA19" s="35"/>
      <c r="AB19" s="35"/>
      <c r="AC19" s="35"/>
      <c r="AD19" s="8"/>
      <c r="AE19" s="8"/>
      <c r="AF19" s="8"/>
      <c r="AG19" s="8"/>
      <c r="AH19" s="8"/>
      <c r="AI19" s="8"/>
      <c r="AJ19" s="8"/>
      <c r="AK19" s="8"/>
      <c r="AL19" s="8"/>
      <c r="AM19" s="8"/>
    </row>
    <row r="20" customFormat="false" ht="15.75" hidden="false" customHeight="true" outlineLevel="0" collapsed="false">
      <c r="A20" s="30" t="n">
        <v>46303</v>
      </c>
      <c r="B20" s="31" t="s">
        <v>111</v>
      </c>
      <c r="C20" s="31" t="str">
        <f aca="false" t="array" ref="C20:C20">IF(B20="","",IFERROR(INDEX('CLM &amp; IM Mapping'!$B$2:$B$270,MATCH(TRIM(B20),'CLM &amp; IM Mapping'!$A$2:$A$270,0)),"Not Mapped"))</f>
        <v>Narasimhamurthy R</v>
      </c>
      <c r="D20" s="31" t="str">
        <f aca="false" t="array" ref="D20:D20">IF(B20="","",IFERROR(INDEX('CLM &amp; IM Mapping'!$C$2:$C$270,MATCH(TRIM(B20),'CLM &amp; IM Mapping'!$A$2:$A$270,0)),"Not Mapped"))</f>
        <v>Kishor K</v>
      </c>
      <c r="E20" s="31" t="s">
        <v>34</v>
      </c>
      <c r="F20" s="31" t="s">
        <v>565</v>
      </c>
      <c r="G20" s="31" t="s">
        <v>23</v>
      </c>
      <c r="H20" s="17" t="n">
        <v>5482</v>
      </c>
      <c r="I20" s="32" t="n">
        <v>0.7</v>
      </c>
      <c r="J20" s="33" t="n">
        <v>0.19</v>
      </c>
      <c r="K20" s="33" t="n">
        <v>0.6</v>
      </c>
      <c r="L20" s="33" t="n">
        <v>0.88</v>
      </c>
      <c r="M20" s="33" t="n">
        <v>0.5</v>
      </c>
      <c r="N20" s="11" t="n">
        <v>3</v>
      </c>
      <c r="O20" s="12" t="s">
        <v>582</v>
      </c>
      <c r="P20" s="12" t="s">
        <v>571</v>
      </c>
      <c r="Q20" s="8"/>
      <c r="R20" s="8"/>
      <c r="S20" s="8"/>
      <c r="T20" s="8"/>
      <c r="U20" s="8"/>
      <c r="V20" s="8"/>
      <c r="W20" s="8"/>
      <c r="X20" s="8"/>
      <c r="Y20" s="8"/>
      <c r="Z20" s="8"/>
      <c r="AA20" s="35"/>
      <c r="AB20" s="35"/>
      <c r="AC20" s="35"/>
      <c r="AD20" s="35"/>
      <c r="AE20" s="8"/>
      <c r="AF20" s="8"/>
      <c r="AG20" s="8"/>
      <c r="AH20" s="8"/>
      <c r="AI20" s="8"/>
      <c r="AJ20" s="8"/>
      <c r="AK20" s="8"/>
      <c r="AL20" s="8"/>
      <c r="AM20" s="8"/>
    </row>
    <row r="21" customFormat="false" ht="15.75" hidden="false" customHeight="true" outlineLevel="0" collapsed="false">
      <c r="A21" s="30" t="n">
        <v>46303</v>
      </c>
      <c r="B21" s="31" t="s">
        <v>175</v>
      </c>
      <c r="C21" s="31" t="str">
        <f aca="false" t="array" ref="C21:C21">IF(B21="","",IFERROR(INDEX('CLM &amp; IM Mapping'!$B$2:$B$270,MATCH(TRIM(B21),'CLM &amp; IM Mapping'!$A$2:$A$270,0)),"Not Mapped"))</f>
        <v>Arun Raj</v>
      </c>
      <c r="D21" s="31" t="str">
        <f aca="false" t="array" ref="D21:D21">IF(B21="","",IFERROR(INDEX('CLM &amp; IM Mapping'!$C$2:$C$270,MATCH(TRIM(B21),'CLM &amp; IM Mapping'!$A$2:$A$270,0)),"Not Mapped"))</f>
        <v>Simon Manoharan</v>
      </c>
      <c r="E21" s="31" t="s">
        <v>25</v>
      </c>
      <c r="F21" s="31" t="s">
        <v>565</v>
      </c>
      <c r="G21" s="31" t="s">
        <v>23</v>
      </c>
      <c r="H21" s="17" t="n">
        <v>12201</v>
      </c>
      <c r="I21" s="32" t="n">
        <v>0.7</v>
      </c>
      <c r="J21" s="33" t="n">
        <v>0.21</v>
      </c>
      <c r="K21" s="33" t="n">
        <v>0.92</v>
      </c>
      <c r="L21" s="33" t="n">
        <v>0.96</v>
      </c>
      <c r="M21" s="33" t="n">
        <v>0.86</v>
      </c>
      <c r="N21" s="11" t="n">
        <v>3</v>
      </c>
      <c r="O21" s="12" t="s">
        <v>583</v>
      </c>
      <c r="P21" s="12" t="s">
        <v>575</v>
      </c>
      <c r="Q21" s="8"/>
      <c r="R21" s="8"/>
      <c r="S21" s="8"/>
      <c r="T21" s="8"/>
      <c r="U21" s="8"/>
      <c r="V21" s="8"/>
      <c r="W21" s="8"/>
      <c r="X21" s="8"/>
      <c r="Y21" s="8"/>
      <c r="Z21" s="8"/>
      <c r="AA21" s="35"/>
      <c r="AB21" s="35"/>
      <c r="AC21" s="35"/>
      <c r="AD21" s="35"/>
      <c r="AE21" s="8"/>
      <c r="AF21" s="8"/>
      <c r="AG21" s="8"/>
      <c r="AH21" s="8"/>
      <c r="AI21" s="8"/>
      <c r="AJ21" s="8"/>
      <c r="AK21" s="8"/>
      <c r="AL21" s="8"/>
      <c r="AM21" s="8"/>
    </row>
    <row r="22" customFormat="false" ht="15.75" hidden="false" customHeight="true" outlineLevel="0" collapsed="false">
      <c r="A22" s="30" t="n">
        <v>46303</v>
      </c>
      <c r="B22" s="31" t="s">
        <v>399</v>
      </c>
      <c r="C22" s="31" t="str">
        <f aca="false" t="array" ref="C22:C22">IF(B22="","",IFERROR(INDEX('CLM &amp; IM Mapping'!$B$2:$B$270,MATCH(TRIM(B22),'CLM &amp; IM Mapping'!$A$2:$A$270,0)),"Not Mapped"))</f>
        <v>John Britto</v>
      </c>
      <c r="D22" s="31" t="str">
        <f aca="false" t="array" ref="D22:D22">IF(B22="","",IFERROR(INDEX('CLM &amp; IM Mapping'!$C$2:$C$270,MATCH(TRIM(B22),'CLM &amp; IM Mapping'!$A$2:$A$270,0)),"Not Mapped"))</f>
        <v>Aravind S</v>
      </c>
      <c r="E22" s="31" t="s">
        <v>34</v>
      </c>
      <c r="F22" s="31" t="s">
        <v>562</v>
      </c>
      <c r="G22" s="31" t="s">
        <v>303</v>
      </c>
      <c r="H22" s="17" t="n">
        <v>7099</v>
      </c>
      <c r="I22" s="32" t="n">
        <v>0.7</v>
      </c>
      <c r="J22" s="33" t="n">
        <v>0.21</v>
      </c>
      <c r="K22" s="33" t="n">
        <v>0.96</v>
      </c>
      <c r="L22" s="33" t="n">
        <v>0.97</v>
      </c>
      <c r="M22" s="33" t="n">
        <v>0.9</v>
      </c>
      <c r="N22" s="11" t="n">
        <v>1</v>
      </c>
      <c r="O22" s="12" t="s">
        <v>584</v>
      </c>
      <c r="P22" s="12" t="s">
        <v>567</v>
      </c>
      <c r="Q22" s="8"/>
      <c r="R22" s="8"/>
      <c r="S22" s="8"/>
      <c r="T22" s="8"/>
      <c r="U22" s="8"/>
      <c r="V22" s="8"/>
      <c r="W22" s="8"/>
      <c r="X22" s="8"/>
      <c r="Y22" s="8"/>
      <c r="Z22" s="8"/>
      <c r="AA22" s="35"/>
      <c r="AB22" s="35"/>
      <c r="AC22" s="35"/>
      <c r="AD22" s="35"/>
      <c r="AE22" s="8"/>
      <c r="AF22" s="8"/>
      <c r="AG22" s="8"/>
      <c r="AH22" s="8"/>
      <c r="AI22" s="8"/>
      <c r="AJ22" s="8"/>
      <c r="AK22" s="8"/>
      <c r="AL22" s="8"/>
      <c r="AM22" s="8"/>
    </row>
    <row r="23" customFormat="false" ht="15.75" hidden="false" customHeight="true" outlineLevel="0" collapsed="false">
      <c r="A23" s="30" t="n">
        <v>46303</v>
      </c>
      <c r="B23" s="31" t="s">
        <v>184</v>
      </c>
      <c r="C23" s="31" t="str">
        <f aca="false" t="array" ref="C23:C23">IF(B23="","",IFERROR(INDEX('CLM &amp; IM Mapping'!$B$2:$B$270,MATCH(TRIM(B23),'CLM &amp; IM Mapping'!$A$2:$A$270,0)),"Not Mapped"))</f>
        <v>Richard Harris</v>
      </c>
      <c r="D23" s="31" t="str">
        <f aca="false" t="array" ref="D23:D23">IF(B23="","",IFERROR(INDEX('CLM &amp; IM Mapping'!$C$2:$C$270,MATCH(TRIM(B23),'CLM &amp; IM Mapping'!$A$2:$A$270,0)),"Not Mapped"))</f>
        <v>Kantha Kumar</v>
      </c>
      <c r="E23" s="31" t="s">
        <v>34</v>
      </c>
      <c r="F23" s="31" t="s">
        <v>562</v>
      </c>
      <c r="G23" s="31" t="s">
        <v>23</v>
      </c>
      <c r="H23" s="17" t="n">
        <v>4538</v>
      </c>
      <c r="I23" s="32" t="n">
        <v>0.7</v>
      </c>
      <c r="J23" s="33" t="n">
        <v>0.22</v>
      </c>
      <c r="K23" s="33" t="n">
        <v>0.41</v>
      </c>
      <c r="L23" s="33" t="n">
        <v>0.83</v>
      </c>
      <c r="M23" s="33" t="n">
        <v>0.39</v>
      </c>
      <c r="N23" s="11" t="n">
        <v>3</v>
      </c>
      <c r="O23" s="19"/>
      <c r="P23" s="11"/>
      <c r="Q23" s="8"/>
      <c r="R23" s="8"/>
      <c r="S23" s="8"/>
      <c r="T23" s="8"/>
      <c r="U23" s="8"/>
      <c r="V23" s="8"/>
      <c r="W23" s="8"/>
      <c r="X23" s="8"/>
      <c r="Y23" s="8"/>
      <c r="Z23" s="8"/>
      <c r="AA23" s="35"/>
      <c r="AB23" s="35"/>
      <c r="AC23" s="35"/>
      <c r="AD23" s="35"/>
      <c r="AE23" s="8"/>
      <c r="AF23" s="8"/>
      <c r="AG23" s="8"/>
      <c r="AH23" s="8"/>
      <c r="AI23" s="8"/>
      <c r="AJ23" s="8"/>
      <c r="AK23" s="8"/>
      <c r="AL23" s="8"/>
      <c r="AM23" s="8"/>
    </row>
    <row r="24" customFormat="false" ht="15.75" hidden="false" customHeight="true" outlineLevel="0" collapsed="false">
      <c r="A24" s="30" t="n">
        <v>46303</v>
      </c>
      <c r="B24" s="31" t="s">
        <v>59</v>
      </c>
      <c r="C24" s="31" t="str">
        <f aca="false" t="array" ref="C24:C24">IF(B24="","",IFERROR(INDEX('CLM &amp; IM Mapping'!$B$2:$B$270,MATCH(TRIM(B24),'CLM &amp; IM Mapping'!$A$2:$A$270,0)),"Not Mapped"))</f>
        <v>Saddam Hussain</v>
      </c>
      <c r="D24" s="31" t="str">
        <f aca="false" t="array" ref="D24:D24">IF(B24="","",IFERROR(INDEX('CLM &amp; IM Mapping'!$C$2:$C$270,MATCH(TRIM(B24),'CLM &amp; IM Mapping'!$A$2:$A$270,0)),"Not Mapped"))</f>
        <v>Un Mapped</v>
      </c>
      <c r="E24" s="31" t="s">
        <v>34</v>
      </c>
      <c r="F24" s="31" t="s">
        <v>562</v>
      </c>
      <c r="G24" s="31" t="s">
        <v>23</v>
      </c>
      <c r="H24" s="17" t="n">
        <v>6691</v>
      </c>
      <c r="I24" s="32" t="n">
        <v>0.7</v>
      </c>
      <c r="J24" s="33" t="n">
        <v>0.23</v>
      </c>
      <c r="K24" s="33" t="n">
        <v>0.73</v>
      </c>
      <c r="L24" s="33" t="n">
        <v>0.86</v>
      </c>
      <c r="M24" s="33" t="n">
        <v>0.73</v>
      </c>
      <c r="N24" s="11" t="n">
        <v>3</v>
      </c>
      <c r="O24" s="12" t="s">
        <v>585</v>
      </c>
      <c r="P24" s="12" t="s">
        <v>586</v>
      </c>
      <c r="Q24" s="8"/>
      <c r="R24" s="8"/>
      <c r="S24" s="8"/>
      <c r="T24" s="8"/>
      <c r="U24" s="8"/>
      <c r="V24" s="8"/>
      <c r="W24" s="8"/>
      <c r="X24" s="8"/>
      <c r="Y24" s="8"/>
      <c r="Z24" s="8"/>
      <c r="AA24" s="35"/>
      <c r="AB24" s="35"/>
      <c r="AC24" s="35"/>
      <c r="AD24" s="8"/>
      <c r="AE24" s="8"/>
      <c r="AF24" s="8"/>
      <c r="AG24" s="8"/>
      <c r="AH24" s="8"/>
      <c r="AI24" s="8"/>
      <c r="AJ24" s="8"/>
      <c r="AK24" s="8"/>
      <c r="AL24" s="8"/>
      <c r="AM24" s="8"/>
    </row>
    <row r="25" customFormat="false" ht="15.75" hidden="false" customHeight="true" outlineLevel="0" collapsed="false">
      <c r="A25" s="30" t="n">
        <v>46303</v>
      </c>
      <c r="B25" s="31" t="s">
        <v>357</v>
      </c>
      <c r="C25" s="31" t="str">
        <f aca="false" t="array" ref="C25:C25">IF(B25="","",IFERROR(INDEX('CLM &amp; IM Mapping'!$B$2:$B$270,MATCH(TRIM(B25),'CLM &amp; IM Mapping'!$A$2:$A$270,0)),"Not Mapped"))</f>
        <v>Arun Raj</v>
      </c>
      <c r="D25" s="31" t="str">
        <f aca="false" t="array" ref="D25:D25">IF(B25="","",IFERROR(INDEX('CLM &amp; IM Mapping'!$C$2:$C$270,MATCH(TRIM(B25),'CLM &amp; IM Mapping'!$A$2:$A$270,0)),"Not Mapped"))</f>
        <v>Simon Manoharan</v>
      </c>
      <c r="E25" s="31" t="s">
        <v>25</v>
      </c>
      <c r="F25" s="31" t="s">
        <v>565</v>
      </c>
      <c r="G25" s="31" t="s">
        <v>23</v>
      </c>
      <c r="H25" s="17" t="n">
        <v>11048</v>
      </c>
      <c r="I25" s="32" t="n">
        <v>0.7</v>
      </c>
      <c r="J25" s="33" t="n">
        <v>0.23</v>
      </c>
      <c r="K25" s="33" t="n">
        <v>0.97</v>
      </c>
      <c r="L25" s="33" t="n">
        <v>0.99</v>
      </c>
      <c r="M25" s="33" t="n">
        <v>0.97</v>
      </c>
      <c r="N25" s="11" t="n">
        <v>1</v>
      </c>
      <c r="O25" s="12" t="s">
        <v>587</v>
      </c>
      <c r="P25" s="12" t="s">
        <v>575</v>
      </c>
      <c r="Q25" s="8"/>
      <c r="R25" s="8"/>
      <c r="S25" s="8"/>
      <c r="T25" s="8"/>
      <c r="U25" s="8"/>
      <c r="V25" s="8"/>
      <c r="W25" s="8"/>
      <c r="X25" s="8"/>
      <c r="Y25" s="8"/>
      <c r="Z25" s="8"/>
      <c r="AA25" s="35"/>
      <c r="AB25" s="35"/>
      <c r="AC25" s="35"/>
      <c r="AD25" s="35"/>
      <c r="AE25" s="8"/>
      <c r="AF25" s="8"/>
      <c r="AG25" s="8"/>
      <c r="AH25" s="8"/>
      <c r="AI25" s="8"/>
      <c r="AJ25" s="8"/>
      <c r="AK25" s="8"/>
      <c r="AL25" s="8"/>
      <c r="AM25" s="8"/>
    </row>
    <row r="26" customFormat="false" ht="15.75" hidden="false" customHeight="true" outlineLevel="0" collapsed="false">
      <c r="A26" s="30" t="n">
        <v>46303</v>
      </c>
      <c r="B26" s="31" t="s">
        <v>348</v>
      </c>
      <c r="C26" s="31" t="str">
        <f aca="false" t="array" ref="C26:C26">IF(B26="","",IFERROR(INDEX('CLM &amp; IM Mapping'!$B$2:$B$270,MATCH(TRIM(B26),'CLM &amp; IM Mapping'!$A$2:$A$270,0)),"Not Mapped"))</f>
        <v>Arun Raj</v>
      </c>
      <c r="D26" s="31" t="str">
        <f aca="false" t="array" ref="D26:D26">IF(B26="","",IFERROR(INDEX('CLM &amp; IM Mapping'!$C$2:$C$270,MATCH(TRIM(B26),'CLM &amp; IM Mapping'!$A$2:$A$270,0)),"Not Mapped"))</f>
        <v>Simon Manoharan</v>
      </c>
      <c r="E26" s="31" t="s">
        <v>25</v>
      </c>
      <c r="F26" s="31" t="s">
        <v>565</v>
      </c>
      <c r="G26" s="31" t="s">
        <v>23</v>
      </c>
      <c r="H26" s="17" t="n">
        <v>10796</v>
      </c>
      <c r="I26" s="32" t="n">
        <v>0.7</v>
      </c>
      <c r="J26" s="33" t="n">
        <v>0.23</v>
      </c>
      <c r="K26" s="33" t="n">
        <v>0.97</v>
      </c>
      <c r="L26" s="33" t="n">
        <v>0.99</v>
      </c>
      <c r="M26" s="33" t="n">
        <v>0.97</v>
      </c>
      <c r="N26" s="11" t="n">
        <v>1</v>
      </c>
      <c r="O26" s="12" t="s">
        <v>587</v>
      </c>
      <c r="P26" s="12" t="s">
        <v>575</v>
      </c>
      <c r="Q26" s="8"/>
      <c r="R26" s="8"/>
      <c r="S26" s="8"/>
      <c r="T26" s="8"/>
      <c r="U26" s="8"/>
      <c r="V26" s="8"/>
      <c r="W26" s="8"/>
      <c r="X26" s="8"/>
      <c r="Y26" s="8"/>
      <c r="Z26" s="8"/>
      <c r="AA26" s="35"/>
      <c r="AB26" s="35"/>
      <c r="AC26" s="35"/>
      <c r="AD26" s="35"/>
      <c r="AE26" s="8"/>
      <c r="AF26" s="8"/>
      <c r="AG26" s="8"/>
      <c r="AH26" s="8"/>
      <c r="AI26" s="8"/>
      <c r="AJ26" s="8"/>
      <c r="AK26" s="8"/>
      <c r="AL26" s="8"/>
      <c r="AM26" s="8"/>
    </row>
    <row r="27" customFormat="false" ht="15.75" hidden="false" customHeight="true" outlineLevel="0" collapsed="false">
      <c r="A27" s="30" t="n">
        <v>46303</v>
      </c>
      <c r="B27" s="31" t="s">
        <v>56</v>
      </c>
      <c r="C27" s="31" t="str">
        <f aca="false" t="array" ref="C27:C27">IF(B27="","",IFERROR(INDEX('CLM &amp; IM Mapping'!$B$2:$B$270,MATCH(TRIM(B27),'CLM &amp; IM Mapping'!$A$2:$A$270,0)),"Not Mapped"))</f>
        <v>Keshav G</v>
      </c>
      <c r="D27" s="31" t="str">
        <f aca="false" t="array" ref="D27:D27">IF(B27="","",IFERROR(INDEX('CLM &amp; IM Mapping'!$C$2:$C$270,MATCH(TRIM(B27),'CLM &amp; IM Mapping'!$A$2:$A$270,0)),"Not Mapped"))</f>
        <v>Un Mapped</v>
      </c>
      <c r="E27" s="31" t="s">
        <v>34</v>
      </c>
      <c r="F27" s="31" t="s">
        <v>562</v>
      </c>
      <c r="G27" s="31" t="s">
        <v>23</v>
      </c>
      <c r="H27" s="17" t="n">
        <v>5873</v>
      </c>
      <c r="I27" s="32" t="n">
        <v>0.7</v>
      </c>
      <c r="J27" s="33" t="n">
        <v>0.25</v>
      </c>
      <c r="K27" s="33" t="n">
        <v>0.73</v>
      </c>
      <c r="L27" s="33" t="n">
        <v>0.95</v>
      </c>
      <c r="M27" s="33" t="n">
        <v>0.73</v>
      </c>
      <c r="N27" s="11" t="n">
        <v>6</v>
      </c>
      <c r="O27" s="19"/>
      <c r="P27" s="11"/>
      <c r="Q27" s="8"/>
      <c r="R27" s="8"/>
      <c r="S27" s="8"/>
      <c r="T27" s="8"/>
      <c r="U27" s="8"/>
      <c r="V27" s="8"/>
      <c r="W27" s="8"/>
      <c r="X27" s="8"/>
      <c r="Y27" s="8"/>
      <c r="Z27" s="8"/>
      <c r="AA27" s="35"/>
      <c r="AB27" s="35"/>
      <c r="AC27" s="35"/>
      <c r="AD27" s="35"/>
      <c r="AE27" s="8"/>
      <c r="AF27" s="8"/>
      <c r="AG27" s="8"/>
      <c r="AH27" s="8"/>
      <c r="AI27" s="8"/>
      <c r="AJ27" s="8"/>
      <c r="AK27" s="8"/>
      <c r="AL27" s="8"/>
      <c r="AM27" s="8"/>
    </row>
    <row r="28" customFormat="false" ht="15.75" hidden="false" customHeight="true" outlineLevel="0" collapsed="false">
      <c r="A28" s="30" t="n">
        <v>46303</v>
      </c>
      <c r="B28" s="31" t="s">
        <v>134</v>
      </c>
      <c r="C28" s="31" t="str">
        <f aca="false" t="array" ref="C28:C28">IF(B28="","",IFERROR(INDEX('CLM &amp; IM Mapping'!$B$2:$B$270,MATCH(TRIM(B28),'CLM &amp; IM Mapping'!$A$2:$A$270,0)),"Not Mapped"))</f>
        <v>Raghavendra Vernekar</v>
      </c>
      <c r="D28" s="31" t="str">
        <f aca="false" t="array" ref="D28:D28">IF(B28="","",IFERROR(INDEX('CLM &amp; IM Mapping'!$C$2:$C$270,MATCH(TRIM(B28),'CLM &amp; IM Mapping'!$A$2:$A$270,0)),"Not Mapped"))</f>
        <v>Prakash BS</v>
      </c>
      <c r="E28" s="31" t="s">
        <v>34</v>
      </c>
      <c r="F28" s="31" t="s">
        <v>562</v>
      </c>
      <c r="G28" s="31" t="s">
        <v>23</v>
      </c>
      <c r="H28" s="17" t="n">
        <v>5574</v>
      </c>
      <c r="I28" s="32" t="n">
        <v>0.7</v>
      </c>
      <c r="J28" s="33" t="n">
        <v>0.25</v>
      </c>
      <c r="K28" s="33" t="n">
        <v>0.78</v>
      </c>
      <c r="L28" s="33" t="n">
        <v>0.94</v>
      </c>
      <c r="M28" s="33" t="n">
        <v>0.78</v>
      </c>
      <c r="N28" s="11" t="n">
        <v>3</v>
      </c>
      <c r="O28" s="12" t="s">
        <v>588</v>
      </c>
      <c r="P28" s="36" t="s">
        <v>589</v>
      </c>
      <c r="Q28" s="8"/>
      <c r="R28" s="8"/>
      <c r="S28" s="8"/>
      <c r="T28" s="8"/>
      <c r="U28" s="8"/>
      <c r="V28" s="8"/>
      <c r="W28" s="8"/>
      <c r="X28" s="8"/>
      <c r="Y28" s="8"/>
      <c r="Z28" s="8"/>
      <c r="AA28" s="35"/>
      <c r="AB28" s="35"/>
      <c r="AC28" s="35"/>
      <c r="AD28" s="8"/>
      <c r="AE28" s="8"/>
      <c r="AF28" s="8"/>
      <c r="AG28" s="8"/>
      <c r="AH28" s="8"/>
      <c r="AI28" s="8"/>
      <c r="AJ28" s="8"/>
      <c r="AK28" s="8"/>
      <c r="AL28" s="8"/>
      <c r="AM28" s="8"/>
    </row>
    <row r="29" customFormat="false" ht="15.75" hidden="false" customHeight="true" outlineLevel="0" collapsed="false">
      <c r="A29" s="30" t="n">
        <v>46303</v>
      </c>
      <c r="B29" s="31" t="s">
        <v>233</v>
      </c>
      <c r="C29" s="31" t="str">
        <f aca="false" t="array" ref="C29:C29">IF(B29="","",IFERROR(INDEX('CLM &amp; IM Mapping'!$B$2:$B$270,MATCH(TRIM(B29),'CLM &amp; IM Mapping'!$A$2:$A$270,0)),"Not Mapped"))</f>
        <v>Suhas N</v>
      </c>
      <c r="D29" s="31" t="str">
        <f aca="false" t="array" ref="D29:D29">IF(B29="","",IFERROR(INDEX('CLM &amp; IM Mapping'!$C$2:$C$270,MATCH(TRIM(B29),'CLM &amp; IM Mapping'!$A$2:$A$270,0)),"Not Mapped"))</f>
        <v>Aravind S</v>
      </c>
      <c r="E29" s="31" t="s">
        <v>34</v>
      </c>
      <c r="F29" s="31" t="s">
        <v>562</v>
      </c>
      <c r="G29" s="31" t="s">
        <v>23</v>
      </c>
      <c r="H29" s="17" t="n">
        <v>6396</v>
      </c>
      <c r="I29" s="32" t="n">
        <v>0.7</v>
      </c>
      <c r="J29" s="33" t="n">
        <v>0.25</v>
      </c>
      <c r="K29" s="33" t="n">
        <v>0.7</v>
      </c>
      <c r="L29" s="33" t="n">
        <v>0.83</v>
      </c>
      <c r="M29" s="33" t="n">
        <v>0.7</v>
      </c>
      <c r="N29" s="11" t="n">
        <v>4</v>
      </c>
      <c r="O29" s="12" t="s">
        <v>590</v>
      </c>
      <c r="P29" s="12" t="s">
        <v>591</v>
      </c>
      <c r="Q29" s="8"/>
      <c r="R29" s="8"/>
      <c r="S29" s="8"/>
      <c r="T29" s="8"/>
      <c r="U29" s="8"/>
      <c r="V29" s="8"/>
      <c r="W29" s="8"/>
      <c r="X29" s="8"/>
      <c r="Y29" s="8"/>
      <c r="Z29" s="8"/>
      <c r="AA29" s="35"/>
      <c r="AB29" s="35"/>
      <c r="AC29" s="35"/>
      <c r="AD29" s="35"/>
      <c r="AE29" s="8"/>
      <c r="AF29" s="8"/>
      <c r="AG29" s="8"/>
      <c r="AH29" s="8"/>
      <c r="AI29" s="8"/>
      <c r="AJ29" s="8"/>
      <c r="AK29" s="8"/>
      <c r="AL29" s="8"/>
      <c r="AM29" s="8"/>
    </row>
    <row r="30" customFormat="false" ht="15.75" hidden="false" customHeight="true" outlineLevel="0" collapsed="false">
      <c r="A30" s="30" t="n">
        <v>46303</v>
      </c>
      <c r="B30" s="31" t="s">
        <v>298</v>
      </c>
      <c r="C30" s="31" t="str">
        <f aca="false" t="array" ref="C30:C30">IF(B30="","",IFERROR(INDEX('CLM &amp; IM Mapping'!$B$2:$B$270,MATCH(TRIM(B30),'CLM &amp; IM Mapping'!$A$2:$A$270,0)),"Not Mapped"))</f>
        <v>Ravishankar gowda</v>
      </c>
      <c r="D30" s="31" t="str">
        <f aca="false" t="array" ref="D30:D30">IF(B30="","",IFERROR(INDEX('CLM &amp; IM Mapping'!$C$2:$C$270,MATCH(TRIM(B30),'CLM &amp; IM Mapping'!$A$2:$A$270,0)),"Not Mapped"))</f>
        <v>Kishor K</v>
      </c>
      <c r="E30" s="31" t="s">
        <v>34</v>
      </c>
      <c r="F30" s="31" t="s">
        <v>562</v>
      </c>
      <c r="G30" s="31" t="s">
        <v>23</v>
      </c>
      <c r="H30" s="17" t="n">
        <v>5765</v>
      </c>
      <c r="I30" s="32" t="n">
        <v>0.7</v>
      </c>
      <c r="J30" s="33" t="n">
        <v>0.26</v>
      </c>
      <c r="K30" s="33" t="n">
        <v>0.82</v>
      </c>
      <c r="L30" s="33" t="n">
        <v>0.96</v>
      </c>
      <c r="M30" s="33" t="n">
        <v>0.82</v>
      </c>
      <c r="N30" s="11" t="n">
        <v>4</v>
      </c>
      <c r="O30" s="12" t="s">
        <v>592</v>
      </c>
      <c r="P30" s="12" t="s">
        <v>571</v>
      </c>
      <c r="Q30" s="8"/>
      <c r="R30" s="8"/>
      <c r="S30" s="8"/>
      <c r="T30" s="8"/>
      <c r="U30" s="8"/>
      <c r="V30" s="8"/>
      <c r="W30" s="8"/>
      <c r="X30" s="8"/>
      <c r="Y30" s="8"/>
      <c r="Z30" s="8"/>
      <c r="AA30" s="35"/>
      <c r="AB30" s="35"/>
      <c r="AC30" s="35"/>
      <c r="AD30" s="35"/>
      <c r="AE30" s="8"/>
      <c r="AF30" s="8"/>
      <c r="AG30" s="8"/>
      <c r="AH30" s="8"/>
      <c r="AI30" s="8"/>
      <c r="AJ30" s="8"/>
      <c r="AK30" s="8"/>
      <c r="AL30" s="8"/>
      <c r="AM30" s="8"/>
    </row>
    <row r="31" customFormat="false" ht="15.75" hidden="false" customHeight="true" outlineLevel="0" collapsed="false">
      <c r="A31" s="30" t="n">
        <v>46303</v>
      </c>
      <c r="B31" s="31" t="s">
        <v>252</v>
      </c>
      <c r="C31" s="31" t="str">
        <f aca="false" t="array" ref="C31:C31">IF(B31="","",IFERROR(INDEX('CLM &amp; IM Mapping'!$B$2:$B$270,MATCH(TRIM(B31),'CLM &amp; IM Mapping'!$A$2:$A$270,0)),"Not Mapped"))</f>
        <v>Vishnu V</v>
      </c>
      <c r="D31" s="31" t="str">
        <f aca="false" t="array" ref="D31:D31">IF(B31="","",IFERROR(INDEX('CLM &amp; IM Mapping'!$C$2:$C$270,MATCH(TRIM(B31),'CLM &amp; IM Mapping'!$A$2:$A$270,0)),"Not Mapped"))</f>
        <v>Arivind S</v>
      </c>
      <c r="E31" s="31" t="s">
        <v>34</v>
      </c>
      <c r="F31" s="31" t="s">
        <v>562</v>
      </c>
      <c r="G31" s="31" t="s">
        <v>221</v>
      </c>
      <c r="H31" s="17" t="n">
        <v>6097</v>
      </c>
      <c r="I31" s="32" t="n">
        <v>0.7</v>
      </c>
      <c r="J31" s="33" t="n">
        <v>0.26</v>
      </c>
      <c r="K31" s="33" t="n">
        <v>0.91</v>
      </c>
      <c r="L31" s="33" t="n">
        <v>0.92</v>
      </c>
      <c r="M31" s="33" t="n">
        <v>0.91</v>
      </c>
      <c r="N31" s="11" t="n">
        <v>1</v>
      </c>
      <c r="O31" s="12" t="s">
        <v>593</v>
      </c>
      <c r="P31" s="12" t="s">
        <v>594</v>
      </c>
      <c r="Q31" s="8"/>
      <c r="R31" s="8"/>
      <c r="S31" s="8"/>
      <c r="T31" s="8"/>
      <c r="U31" s="8"/>
      <c r="V31" s="8"/>
      <c r="W31" s="8"/>
      <c r="X31" s="8"/>
      <c r="Y31" s="8"/>
      <c r="Z31" s="8"/>
      <c r="AA31" s="35"/>
      <c r="AB31" s="35"/>
      <c r="AC31" s="35"/>
      <c r="AD31" s="35"/>
      <c r="AE31" s="8"/>
      <c r="AF31" s="8"/>
      <c r="AG31" s="8"/>
      <c r="AH31" s="8"/>
      <c r="AI31" s="8"/>
      <c r="AJ31" s="8"/>
      <c r="AK31" s="8"/>
      <c r="AL31" s="8"/>
      <c r="AM31" s="8"/>
    </row>
    <row r="32" customFormat="false" ht="15.75" hidden="false" customHeight="true" outlineLevel="0" collapsed="false">
      <c r="A32" s="30" t="n">
        <v>46303</v>
      </c>
      <c r="B32" s="31" t="s">
        <v>439</v>
      </c>
      <c r="C32" s="31" t="str">
        <f aca="false" t="array" ref="C32:C32">IF(B32="","",IFERROR(INDEX('CLM &amp; IM Mapping'!$B$2:$B$270,MATCH(TRIM(B32),'CLM &amp; IM Mapping'!$A$2:$A$270,0)),"Not Mapped"))</f>
        <v>Vishnu V</v>
      </c>
      <c r="D32" s="31" t="str">
        <f aca="false" t="array" ref="D32:D32">IF(B32="","",IFERROR(INDEX('CLM &amp; IM Mapping'!$C$2:$C$270,MATCH(TRIM(B32),'CLM &amp; IM Mapping'!$A$2:$A$270,0)),"Not Mapped"))</f>
        <v>Arivind S</v>
      </c>
      <c r="E32" s="31" t="s">
        <v>34</v>
      </c>
      <c r="F32" s="31" t="s">
        <v>562</v>
      </c>
      <c r="G32" s="31" t="s">
        <v>417</v>
      </c>
      <c r="H32" s="17" t="n">
        <v>5121</v>
      </c>
      <c r="I32" s="32" t="n">
        <v>0.7</v>
      </c>
      <c r="J32" s="33" t="n">
        <v>0.26</v>
      </c>
      <c r="K32" s="33" t="n">
        <v>0.94</v>
      </c>
      <c r="L32" s="33" t="n">
        <v>0.99</v>
      </c>
      <c r="M32" s="33" t="n">
        <v>0.94</v>
      </c>
      <c r="N32" s="11"/>
      <c r="O32" s="12" t="s">
        <v>595</v>
      </c>
      <c r="P32" s="12" t="s">
        <v>567</v>
      </c>
      <c r="Q32" s="8"/>
      <c r="R32" s="8"/>
      <c r="S32" s="8"/>
      <c r="T32" s="8"/>
      <c r="U32" s="8"/>
      <c r="V32" s="8"/>
      <c r="W32" s="8"/>
      <c r="X32" s="8"/>
      <c r="Y32" s="8"/>
      <c r="Z32" s="8"/>
      <c r="AA32" s="35"/>
      <c r="AB32" s="35"/>
      <c r="AC32" s="35"/>
      <c r="AD32" s="35"/>
      <c r="AE32" s="8"/>
      <c r="AF32" s="8"/>
      <c r="AG32" s="8"/>
      <c r="AH32" s="8"/>
      <c r="AI32" s="8"/>
      <c r="AJ32" s="8"/>
      <c r="AK32" s="8"/>
      <c r="AL32" s="8"/>
      <c r="AM32" s="8"/>
    </row>
    <row r="33" customFormat="false" ht="15.75" hidden="false" customHeight="true" outlineLevel="0" collapsed="false">
      <c r="A33" s="30" t="n">
        <v>46303</v>
      </c>
      <c r="B33" s="31" t="s">
        <v>229</v>
      </c>
      <c r="C33" s="31" t="str">
        <f aca="false" t="array" ref="C33:C33">IF(B33="","",IFERROR(INDEX('CLM &amp; IM Mapping'!$B$2:$B$270,MATCH(TRIM(B33),'CLM &amp; IM Mapping'!$A$2:$A$270,0)),"Not Mapped"))</f>
        <v>Arun Raj</v>
      </c>
      <c r="D33" s="31" t="str">
        <f aca="false" t="array" ref="D33:D33">IF(B33="","",IFERROR(INDEX('CLM &amp; IM Mapping'!$C$2:$C$270,MATCH(TRIM(B33),'CLM &amp; IM Mapping'!$A$2:$A$270,0)),"Not Mapped"))</f>
        <v>Simon Manoharan</v>
      </c>
      <c r="E33" s="31" t="s">
        <v>25</v>
      </c>
      <c r="F33" s="31" t="s">
        <v>565</v>
      </c>
      <c r="G33" s="31" t="s">
        <v>23</v>
      </c>
      <c r="H33" s="17" t="n">
        <v>13736</v>
      </c>
      <c r="I33" s="32" t="n">
        <v>0.7</v>
      </c>
      <c r="J33" s="33" t="n">
        <v>0.27</v>
      </c>
      <c r="K33" s="33" t="n">
        <v>0.97</v>
      </c>
      <c r="L33" s="33" t="n">
        <v>0.99</v>
      </c>
      <c r="M33" s="33" t="n">
        <v>0.97</v>
      </c>
      <c r="N33" s="11" t="n">
        <v>1</v>
      </c>
      <c r="O33" s="12" t="s">
        <v>587</v>
      </c>
      <c r="P33" s="12" t="s">
        <v>575</v>
      </c>
      <c r="Q33" s="8"/>
      <c r="R33" s="8"/>
      <c r="S33" s="8"/>
      <c r="T33" s="8"/>
      <c r="U33" s="8"/>
      <c r="V33" s="8"/>
      <c r="W33" s="8"/>
      <c r="X33" s="8"/>
      <c r="Y33" s="8"/>
      <c r="Z33" s="8"/>
      <c r="AA33" s="35"/>
      <c r="AB33" s="35"/>
      <c r="AC33" s="35"/>
      <c r="AD33" s="35"/>
      <c r="AE33" s="8"/>
      <c r="AF33" s="8"/>
      <c r="AG33" s="8"/>
      <c r="AH33" s="8"/>
      <c r="AI33" s="8"/>
      <c r="AJ33" s="8"/>
      <c r="AK33" s="8"/>
      <c r="AL33" s="8"/>
      <c r="AM33" s="8"/>
    </row>
    <row r="34" customFormat="false" ht="15.75" hidden="false" customHeight="true" outlineLevel="0" collapsed="false">
      <c r="A34" s="30" t="n">
        <v>46303</v>
      </c>
      <c r="B34" s="31" t="s">
        <v>427</v>
      </c>
      <c r="C34" s="31" t="str">
        <f aca="false" t="array" ref="C34:C34">IF(B34="","",IFERROR(INDEX('CLM &amp; IM Mapping'!$B$2:$B$270,MATCH(TRIM(B34),'CLM &amp; IM Mapping'!$A$2:$A$270,0)),"Not Mapped"))</f>
        <v>John Britto</v>
      </c>
      <c r="D34" s="31" t="str">
        <f aca="false" t="array" ref="D34:D34">IF(B34="","",IFERROR(INDEX('CLM &amp; IM Mapping'!$C$2:$C$270,MATCH(TRIM(B34),'CLM &amp; IM Mapping'!$A$2:$A$270,0)),"Not Mapped"))</f>
        <v>Aravind S</v>
      </c>
      <c r="E34" s="31" t="s">
        <v>34</v>
      </c>
      <c r="F34" s="31" t="s">
        <v>562</v>
      </c>
      <c r="G34" s="31" t="s">
        <v>303</v>
      </c>
      <c r="H34" s="17" t="n">
        <v>6707</v>
      </c>
      <c r="I34" s="32" t="n">
        <v>0.7</v>
      </c>
      <c r="J34" s="33" t="n">
        <v>0.27</v>
      </c>
      <c r="K34" s="33" t="n">
        <v>0.82</v>
      </c>
      <c r="L34" s="33" t="n">
        <v>0.95</v>
      </c>
      <c r="M34" s="33" t="n">
        <v>0.82</v>
      </c>
      <c r="N34" s="11" t="n">
        <v>3</v>
      </c>
      <c r="O34" s="12" t="s">
        <v>569</v>
      </c>
      <c r="P34" s="12" t="s">
        <v>591</v>
      </c>
      <c r="Q34" s="8"/>
      <c r="R34" s="8"/>
      <c r="S34" s="8"/>
      <c r="T34" s="8"/>
      <c r="U34" s="8"/>
      <c r="V34" s="8"/>
      <c r="W34" s="8"/>
      <c r="X34" s="8"/>
      <c r="Y34" s="8"/>
      <c r="Z34" s="8"/>
      <c r="AA34" s="35"/>
      <c r="AB34" s="35"/>
      <c r="AC34" s="35"/>
      <c r="AD34" s="35"/>
      <c r="AE34" s="8"/>
      <c r="AF34" s="8"/>
      <c r="AG34" s="8"/>
      <c r="AH34" s="8"/>
      <c r="AI34" s="8"/>
      <c r="AJ34" s="8"/>
      <c r="AK34" s="8"/>
      <c r="AL34" s="8"/>
      <c r="AM34" s="8"/>
    </row>
    <row r="35" customFormat="false" ht="15.75" hidden="false" customHeight="true" outlineLevel="0" collapsed="false">
      <c r="A35" s="30" t="n">
        <v>46303</v>
      </c>
      <c r="B35" s="31" t="s">
        <v>100</v>
      </c>
      <c r="C35" s="31" t="str">
        <f aca="false" t="array" ref="C35:C35">IF(B35="","",IFERROR(INDEX('CLM &amp; IM Mapping'!$B$2:$B$270,MATCH(TRIM(B35),'CLM &amp; IM Mapping'!$A$2:$A$270,0)),"Not Mapped"))</f>
        <v>Sundaresh S</v>
      </c>
      <c r="D35" s="31" t="str">
        <f aca="false" t="array" ref="D35:D35">IF(B35="","",IFERROR(INDEX('CLM &amp; IM Mapping'!$C$2:$C$270,MATCH(TRIM(B35),'CLM &amp; IM Mapping'!$A$2:$A$270,0)),"Not Mapped"))</f>
        <v>Un Mapped</v>
      </c>
      <c r="E35" s="31" t="s">
        <v>34</v>
      </c>
      <c r="F35" s="31" t="s">
        <v>562</v>
      </c>
      <c r="G35" s="31" t="s">
        <v>23</v>
      </c>
      <c r="H35" s="17" t="n">
        <v>6352</v>
      </c>
      <c r="I35" s="32" t="n">
        <v>0.7</v>
      </c>
      <c r="J35" s="33" t="n">
        <v>0.29</v>
      </c>
      <c r="K35" s="33" t="n">
        <v>0.69</v>
      </c>
      <c r="L35" s="33" t="n">
        <v>0.93</v>
      </c>
      <c r="M35" s="33" t="n">
        <v>0.69</v>
      </c>
      <c r="N35" s="11" t="n">
        <v>2</v>
      </c>
      <c r="O35" s="12" t="s">
        <v>596</v>
      </c>
      <c r="P35" s="12" t="s">
        <v>567</v>
      </c>
      <c r="Q35" s="8"/>
      <c r="R35" s="8"/>
      <c r="S35" s="8"/>
      <c r="T35" s="8"/>
      <c r="U35" s="8"/>
      <c r="V35" s="8"/>
      <c r="W35" s="8"/>
      <c r="X35" s="8"/>
      <c r="Y35" s="8"/>
      <c r="Z35" s="8"/>
      <c r="AA35" s="35"/>
      <c r="AB35" s="35"/>
      <c r="AC35" s="35"/>
      <c r="AD35" s="35"/>
      <c r="AE35" s="8"/>
      <c r="AF35" s="8"/>
      <c r="AG35" s="8"/>
      <c r="AH35" s="8"/>
      <c r="AI35" s="8"/>
      <c r="AJ35" s="8"/>
      <c r="AK35" s="8"/>
      <c r="AL35" s="8"/>
      <c r="AM35" s="8"/>
    </row>
    <row r="36" customFormat="false" ht="15.75" hidden="false" customHeight="true" outlineLevel="0" collapsed="false">
      <c r="A36" s="30" t="n">
        <v>46303</v>
      </c>
      <c r="B36" s="31" t="s">
        <v>231</v>
      </c>
      <c r="C36" s="31" t="str">
        <f aca="false" t="array" ref="C36:C36">IF(B36="","",IFERROR(INDEX('CLM &amp; IM Mapping'!$B$2:$B$270,MATCH(TRIM(B36),'CLM &amp; IM Mapping'!$A$2:$A$270,0)),"Not Mapped"))</f>
        <v>Arun Raj</v>
      </c>
      <c r="D36" s="31" t="str">
        <f aca="false" t="array" ref="D36:D36">IF(B36="","",IFERROR(INDEX('CLM &amp; IM Mapping'!$C$2:$C$270,MATCH(TRIM(B36),'CLM &amp; IM Mapping'!$A$2:$A$270,0)),"Not Mapped"))</f>
        <v>Simon Manoharan</v>
      </c>
      <c r="E36" s="31" t="s">
        <v>25</v>
      </c>
      <c r="F36" s="31" t="s">
        <v>565</v>
      </c>
      <c r="G36" s="31" t="s">
        <v>23</v>
      </c>
      <c r="H36" s="17" t="n">
        <v>13152</v>
      </c>
      <c r="I36" s="32" t="n">
        <v>0.7</v>
      </c>
      <c r="J36" s="33" t="n">
        <v>0.3</v>
      </c>
      <c r="K36" s="33" t="n">
        <v>0.97</v>
      </c>
      <c r="L36" s="33" t="n">
        <v>0.98</v>
      </c>
      <c r="M36" s="33" t="n">
        <v>0.97</v>
      </c>
      <c r="N36" s="11" t="n">
        <v>2</v>
      </c>
      <c r="O36" s="12" t="s">
        <v>587</v>
      </c>
      <c r="P36" s="12" t="s">
        <v>575</v>
      </c>
      <c r="Q36" s="8"/>
      <c r="R36" s="8"/>
      <c r="S36" s="8"/>
      <c r="T36" s="8"/>
      <c r="U36" s="8"/>
      <c r="V36" s="8"/>
      <c r="W36" s="8"/>
      <c r="X36" s="8"/>
      <c r="Y36" s="8"/>
      <c r="Z36" s="8"/>
      <c r="AA36" s="35"/>
      <c r="AB36" s="35"/>
      <c r="AC36" s="35"/>
      <c r="AD36" s="35"/>
      <c r="AE36" s="8"/>
      <c r="AF36" s="8"/>
      <c r="AG36" s="8"/>
      <c r="AH36" s="8"/>
      <c r="AI36" s="8"/>
      <c r="AJ36" s="8"/>
      <c r="AK36" s="8"/>
      <c r="AL36" s="8"/>
      <c r="AM36" s="8"/>
    </row>
    <row r="37" customFormat="false" ht="15.75" hidden="false" customHeight="true" outlineLevel="0" collapsed="false">
      <c r="A37" s="30" t="n">
        <v>46303</v>
      </c>
      <c r="B37" s="31" t="s">
        <v>548</v>
      </c>
      <c r="C37" s="31" t="str">
        <f aca="false" t="array" ref="C37:C37">IF(B37="","",IFERROR(INDEX('CLM &amp; IM Mapping'!$B$2:$B$270,MATCH(TRIM(B37),'CLM &amp; IM Mapping'!$A$2:$A$270,0)),"Not Mapped"))</f>
        <v>Arun Raj</v>
      </c>
      <c r="D37" s="31" t="str">
        <f aca="false" t="array" ref="D37:D37">IF(B37="","",IFERROR(INDEX('CLM &amp; IM Mapping'!$C$2:$C$270,MATCH(TRIM(B37),'CLM &amp; IM Mapping'!$A$2:$A$270,0)),"Not Mapped"))</f>
        <v>Simon Manoharan</v>
      </c>
      <c r="E37" s="31" t="s">
        <v>25</v>
      </c>
      <c r="F37" s="31" t="s">
        <v>562</v>
      </c>
      <c r="G37" s="31" t="s">
        <v>23</v>
      </c>
      <c r="H37" s="17" t="n">
        <v>10893</v>
      </c>
      <c r="I37" s="32" t="n">
        <v>0.7</v>
      </c>
      <c r="J37" s="33" t="n">
        <v>0.3</v>
      </c>
      <c r="K37" s="33" t="n">
        <v>0.97</v>
      </c>
      <c r="L37" s="33" t="n">
        <v>0.99</v>
      </c>
      <c r="M37" s="33" t="n">
        <v>0.97</v>
      </c>
      <c r="N37" s="11"/>
      <c r="O37" s="12" t="s">
        <v>587</v>
      </c>
      <c r="P37" s="12" t="s">
        <v>575</v>
      </c>
      <c r="Q37" s="8"/>
      <c r="R37" s="8"/>
      <c r="S37" s="8"/>
      <c r="T37" s="8"/>
      <c r="U37" s="8"/>
      <c r="V37" s="8"/>
      <c r="W37" s="8"/>
      <c r="X37" s="8"/>
      <c r="Y37" s="8"/>
      <c r="Z37" s="8"/>
      <c r="AA37" s="35"/>
      <c r="AB37" s="35"/>
      <c r="AC37" s="35"/>
      <c r="AD37" s="35"/>
      <c r="AE37" s="8"/>
      <c r="AF37" s="8"/>
      <c r="AG37" s="8"/>
      <c r="AH37" s="8"/>
      <c r="AI37" s="8"/>
      <c r="AJ37" s="8"/>
      <c r="AK37" s="8"/>
      <c r="AL37" s="8"/>
      <c r="AM37" s="8"/>
    </row>
    <row r="38" customFormat="false" ht="15.75" hidden="false" customHeight="true" outlineLevel="0" collapsed="false">
      <c r="A38" s="30" t="n">
        <v>46303</v>
      </c>
      <c r="B38" s="31" t="s">
        <v>388</v>
      </c>
      <c r="C38" s="31" t="str">
        <f aca="false" t="array" ref="C38:C38">IF(B38="","",IFERROR(INDEX('CLM &amp; IM Mapping'!$B$2:$B$270,MATCH(TRIM(B38),'CLM &amp; IM Mapping'!$A$2:$A$270,0)),"Not Mapped"))</f>
        <v>Arun Raj</v>
      </c>
      <c r="D38" s="31" t="str">
        <f aca="false" t="array" ref="D38:D38">IF(B38="","",IFERROR(INDEX('CLM &amp; IM Mapping'!$C$2:$C$270,MATCH(TRIM(B38),'CLM &amp; IM Mapping'!$A$2:$A$270,0)),"Not Mapped"))</f>
        <v>Simon Manoharan</v>
      </c>
      <c r="E38" s="31" t="s">
        <v>25</v>
      </c>
      <c r="F38" s="31" t="s">
        <v>565</v>
      </c>
      <c r="G38" s="31" t="s">
        <v>23</v>
      </c>
      <c r="H38" s="17" t="n">
        <v>12271</v>
      </c>
      <c r="I38" s="32" t="n">
        <v>0.7</v>
      </c>
      <c r="J38" s="33" t="n">
        <v>0.3</v>
      </c>
      <c r="K38" s="33" t="n">
        <v>0.99</v>
      </c>
      <c r="L38" s="33" t="n">
        <v>1</v>
      </c>
      <c r="M38" s="33" t="n">
        <v>0.99</v>
      </c>
      <c r="N38" s="11" t="n">
        <v>2</v>
      </c>
      <c r="O38" s="12" t="s">
        <v>587</v>
      </c>
      <c r="P38" s="12" t="s">
        <v>575</v>
      </c>
      <c r="Q38" s="8"/>
      <c r="R38" s="8"/>
      <c r="S38" s="8"/>
      <c r="T38" s="8"/>
      <c r="U38" s="8"/>
      <c r="V38" s="8"/>
      <c r="W38" s="8"/>
      <c r="X38" s="8"/>
      <c r="Y38" s="8"/>
      <c r="Z38" s="8"/>
      <c r="AA38" s="35"/>
      <c r="AB38" s="35"/>
      <c r="AC38" s="35"/>
      <c r="AD38" s="35"/>
      <c r="AE38" s="8"/>
      <c r="AF38" s="8"/>
      <c r="AG38" s="8"/>
      <c r="AH38" s="8"/>
      <c r="AI38" s="8"/>
      <c r="AJ38" s="8"/>
      <c r="AK38" s="8"/>
      <c r="AL38" s="8"/>
      <c r="AM38" s="8"/>
    </row>
    <row r="39" customFormat="false" ht="15.75" hidden="false" customHeight="true" outlineLevel="0" collapsed="false">
      <c r="A39" s="30" t="n">
        <v>46303</v>
      </c>
      <c r="B39" s="31" t="s">
        <v>173</v>
      </c>
      <c r="C39" s="31" t="str">
        <f aca="false" t="array" ref="C39:C39">IF(B39="","",IFERROR(INDEX('CLM &amp; IM Mapping'!$B$2:$B$270,MATCH(TRIM(B39),'CLM &amp; IM Mapping'!$A$2:$A$270,0)),"Not Mapped"))</f>
        <v>Akshay P</v>
      </c>
      <c r="D39" s="31" t="str">
        <f aca="false" t="array" ref="D39:D39">IF(B39="","",IFERROR(INDEX('CLM &amp; IM Mapping'!$C$2:$C$270,MATCH(TRIM(B39),'CLM &amp; IM Mapping'!$A$2:$A$270,0)),"Not Mapped"))</f>
        <v>Srittam Dhal</v>
      </c>
      <c r="E39" s="31" t="s">
        <v>34</v>
      </c>
      <c r="F39" s="31" t="s">
        <v>562</v>
      </c>
      <c r="G39" s="31" t="s">
        <v>23</v>
      </c>
      <c r="H39" s="17" t="n">
        <v>7531</v>
      </c>
      <c r="I39" s="32" t="n">
        <v>0.7</v>
      </c>
      <c r="J39" s="33" t="n">
        <v>0.31</v>
      </c>
      <c r="K39" s="33" t="n">
        <v>0.82</v>
      </c>
      <c r="L39" s="33" t="n">
        <v>0.89</v>
      </c>
      <c r="M39" s="33" t="n">
        <v>0.82</v>
      </c>
      <c r="N39" s="11" t="n">
        <v>2</v>
      </c>
      <c r="O39" s="12" t="s">
        <v>597</v>
      </c>
      <c r="P39" s="12" t="s">
        <v>594</v>
      </c>
      <c r="Q39" s="8"/>
      <c r="R39" s="8"/>
      <c r="S39" s="8"/>
      <c r="T39" s="8"/>
      <c r="U39" s="8"/>
      <c r="V39" s="8"/>
      <c r="W39" s="8"/>
      <c r="X39" s="8"/>
      <c r="Y39" s="8"/>
      <c r="Z39" s="8"/>
      <c r="AA39" s="35"/>
      <c r="AB39" s="35"/>
      <c r="AC39" s="35"/>
      <c r="AD39" s="35"/>
      <c r="AE39" s="8"/>
      <c r="AF39" s="8"/>
      <c r="AG39" s="8"/>
      <c r="AH39" s="8"/>
      <c r="AI39" s="8"/>
      <c r="AJ39" s="8"/>
      <c r="AK39" s="8"/>
      <c r="AL39" s="8"/>
      <c r="AM39" s="8"/>
    </row>
    <row r="40" customFormat="false" ht="15.75" hidden="false" customHeight="true" outlineLevel="0" collapsed="false">
      <c r="A40" s="30" t="n">
        <v>46303</v>
      </c>
      <c r="B40" s="31" t="s">
        <v>132</v>
      </c>
      <c r="C40" s="31" t="str">
        <f aca="false" t="array" ref="C40:C40">IF(B40="","",IFERROR(INDEX('CLM &amp; IM Mapping'!$B$2:$B$270,MATCH(TRIM(B40),'CLM &amp; IM Mapping'!$A$2:$A$270,0)),"Not Mapped"))</f>
        <v>Saddam Hussain</v>
      </c>
      <c r="D40" s="31" t="str">
        <f aca="false" t="array" ref="D40:D40">IF(B40="","",IFERROR(INDEX('CLM &amp; IM Mapping'!$C$2:$C$270,MATCH(TRIM(B40),'CLM &amp; IM Mapping'!$A$2:$A$270,0)),"Not Mapped"))</f>
        <v>Un Mapped</v>
      </c>
      <c r="E40" s="31" t="s">
        <v>34</v>
      </c>
      <c r="F40" s="31" t="s">
        <v>565</v>
      </c>
      <c r="G40" s="31" t="s">
        <v>23</v>
      </c>
      <c r="H40" s="17" t="n">
        <v>5314</v>
      </c>
      <c r="I40" s="32" t="n">
        <v>0.7</v>
      </c>
      <c r="J40" s="33" t="n">
        <v>0.32</v>
      </c>
      <c r="K40" s="33" t="n">
        <v>0.78</v>
      </c>
      <c r="L40" s="33" t="n">
        <v>0.97</v>
      </c>
      <c r="M40" s="33" t="n">
        <v>0.78</v>
      </c>
      <c r="N40" s="11" t="n">
        <v>4</v>
      </c>
      <c r="O40" s="12" t="s">
        <v>598</v>
      </c>
      <c r="P40" s="12" t="s">
        <v>586</v>
      </c>
      <c r="Q40" s="8"/>
      <c r="R40" s="8"/>
      <c r="S40" s="8"/>
      <c r="T40" s="8"/>
      <c r="U40" s="8"/>
      <c r="V40" s="8"/>
      <c r="W40" s="8"/>
      <c r="X40" s="8"/>
      <c r="Y40" s="8"/>
      <c r="Z40" s="8"/>
      <c r="AA40" s="35"/>
      <c r="AB40" s="35"/>
      <c r="AC40" s="35"/>
      <c r="AD40" s="35"/>
      <c r="AE40" s="8"/>
      <c r="AF40" s="8"/>
      <c r="AG40" s="8"/>
      <c r="AH40" s="8"/>
      <c r="AI40" s="8"/>
      <c r="AJ40" s="8"/>
      <c r="AK40" s="8"/>
      <c r="AL40" s="8"/>
      <c r="AM40" s="8"/>
    </row>
    <row r="41" customFormat="false" ht="15.75" hidden="false" customHeight="true" outlineLevel="0" collapsed="false">
      <c r="A41" s="30" t="n">
        <v>46303</v>
      </c>
      <c r="B41" s="31" t="s">
        <v>272</v>
      </c>
      <c r="C41" s="31" t="str">
        <f aca="false" t="array" ref="C41:C41">IF(B41="","",IFERROR(INDEX('CLM &amp; IM Mapping'!$B$2:$B$270,MATCH(TRIM(B41),'CLM &amp; IM Mapping'!$A$2:$A$270,0)),"Not Mapped"))</f>
        <v>Arun Raj</v>
      </c>
      <c r="D41" s="31" t="str">
        <f aca="false" t="array" ref="D41:D41">IF(B41="","",IFERROR(INDEX('CLM &amp; IM Mapping'!$C$2:$C$270,MATCH(TRIM(B41),'CLM &amp; IM Mapping'!$A$2:$A$270,0)),"Not Mapped"))</f>
        <v>Simon Manoharan</v>
      </c>
      <c r="E41" s="31" t="s">
        <v>25</v>
      </c>
      <c r="F41" s="31" t="s">
        <v>565</v>
      </c>
      <c r="G41" s="31" t="s">
        <v>23</v>
      </c>
      <c r="H41" s="17" t="n">
        <v>13860</v>
      </c>
      <c r="I41" s="32" t="n">
        <v>0.7</v>
      </c>
      <c r="J41" s="33" t="n">
        <v>0.32</v>
      </c>
      <c r="K41" s="33" t="n">
        <v>0.97</v>
      </c>
      <c r="L41" s="33" t="n">
        <v>0.99</v>
      </c>
      <c r="M41" s="33" t="n">
        <v>0.97</v>
      </c>
      <c r="N41" s="11" t="n">
        <v>2</v>
      </c>
      <c r="O41" s="12" t="s">
        <v>587</v>
      </c>
      <c r="P41" s="12" t="s">
        <v>575</v>
      </c>
      <c r="Q41" s="8"/>
      <c r="R41" s="8"/>
      <c r="S41" s="8"/>
      <c r="T41" s="8"/>
      <c r="U41" s="8"/>
      <c r="V41" s="8"/>
      <c r="W41" s="8"/>
      <c r="X41" s="8"/>
      <c r="Y41" s="8"/>
      <c r="Z41" s="8"/>
      <c r="AA41" s="35"/>
      <c r="AB41" s="35"/>
      <c r="AC41" s="35"/>
      <c r="AD41" s="35"/>
      <c r="AE41" s="8"/>
      <c r="AF41" s="8"/>
      <c r="AG41" s="8"/>
      <c r="AH41" s="8"/>
      <c r="AI41" s="8"/>
      <c r="AJ41" s="8"/>
      <c r="AK41" s="8"/>
      <c r="AL41" s="8"/>
      <c r="AM41" s="8"/>
    </row>
    <row r="42" customFormat="false" ht="15.75" hidden="false" customHeight="true" outlineLevel="0" collapsed="false">
      <c r="A42" s="30" t="n">
        <v>46303</v>
      </c>
      <c r="B42" s="31" t="s">
        <v>188</v>
      </c>
      <c r="C42" s="31" t="str">
        <f aca="false" t="array" ref="C42:C42">IF(B42="","",IFERROR(INDEX('CLM &amp; IM Mapping'!$B$2:$B$270,MATCH(TRIM(B42),'CLM &amp; IM Mapping'!$A$2:$A$270,0)),"Not Mapped"))</f>
        <v>Richard Harris</v>
      </c>
      <c r="D42" s="31" t="str">
        <f aca="false" t="array" ref="D42:D42">IF(B42="","",IFERROR(INDEX('CLM &amp; IM Mapping'!$C$2:$C$270,MATCH(TRIM(B42),'CLM &amp; IM Mapping'!$A$2:$A$270,0)),"Not Mapped"))</f>
        <v>Kantha Kumar</v>
      </c>
      <c r="E42" s="31" t="s">
        <v>34</v>
      </c>
      <c r="F42" s="31" t="s">
        <v>562</v>
      </c>
      <c r="G42" s="31" t="s">
        <v>23</v>
      </c>
      <c r="H42" s="17" t="n">
        <v>6404</v>
      </c>
      <c r="I42" s="32" t="n">
        <v>0.7</v>
      </c>
      <c r="J42" s="33" t="n">
        <v>0.32</v>
      </c>
      <c r="K42" s="33" t="n">
        <v>0.81</v>
      </c>
      <c r="L42" s="33" t="n">
        <v>0.93</v>
      </c>
      <c r="M42" s="33" t="n">
        <v>0.81</v>
      </c>
      <c r="N42" s="11" t="n">
        <v>4</v>
      </c>
      <c r="O42" s="19"/>
      <c r="P42" s="11"/>
      <c r="Q42" s="8"/>
      <c r="R42" s="8"/>
      <c r="S42" s="8"/>
      <c r="T42" s="8"/>
      <c r="U42" s="8"/>
      <c r="V42" s="8"/>
      <c r="W42" s="8"/>
      <c r="X42" s="8"/>
      <c r="Y42" s="8"/>
      <c r="Z42" s="8"/>
      <c r="AA42" s="35"/>
      <c r="AB42" s="35"/>
      <c r="AC42" s="35"/>
      <c r="AD42" s="35"/>
      <c r="AE42" s="8"/>
      <c r="AF42" s="8"/>
      <c r="AG42" s="8"/>
      <c r="AH42" s="8"/>
      <c r="AI42" s="8"/>
      <c r="AJ42" s="8"/>
      <c r="AK42" s="8"/>
      <c r="AL42" s="8"/>
      <c r="AM42" s="8"/>
    </row>
    <row r="43" customFormat="false" ht="15.75" hidden="false" customHeight="true" outlineLevel="0" collapsed="false">
      <c r="A43" s="30" t="n">
        <v>46303</v>
      </c>
      <c r="B43" s="31" t="s">
        <v>305</v>
      </c>
      <c r="C43" s="31" t="str">
        <f aca="false" t="array" ref="C43:C43">IF(B43="","",IFERROR(INDEX('CLM &amp; IM Mapping'!$B$2:$B$270,MATCH(TRIM(B43),'CLM &amp; IM Mapping'!$A$2:$A$270,0)),"Not Mapped"))</f>
        <v>Manjunatha V</v>
      </c>
      <c r="D43" s="31" t="str">
        <f aca="false" t="array" ref="D43:D43">IF(B43="","",IFERROR(INDEX('CLM &amp; IM Mapping'!$C$2:$C$270,MATCH(TRIM(B43),'CLM &amp; IM Mapping'!$A$2:$A$270,0)),"Not Mapped"))</f>
        <v>Un Mapped</v>
      </c>
      <c r="E43" s="31" t="s">
        <v>34</v>
      </c>
      <c r="F43" s="31" t="s">
        <v>562</v>
      </c>
      <c r="G43" s="31" t="s">
        <v>23</v>
      </c>
      <c r="H43" s="17" t="n">
        <v>5639</v>
      </c>
      <c r="I43" s="32" t="n">
        <v>0.7</v>
      </c>
      <c r="J43" s="33" t="n">
        <v>0.32</v>
      </c>
      <c r="K43" s="33" t="n">
        <v>0.86</v>
      </c>
      <c r="L43" s="33" t="n">
        <v>0.96</v>
      </c>
      <c r="M43" s="33" t="n">
        <v>0.86</v>
      </c>
      <c r="N43" s="11" t="n">
        <v>3</v>
      </c>
      <c r="O43" s="19"/>
      <c r="P43" s="11"/>
      <c r="Q43" s="8"/>
      <c r="R43" s="8"/>
      <c r="S43" s="8"/>
      <c r="T43" s="8"/>
      <c r="U43" s="8"/>
      <c r="V43" s="8"/>
      <c r="W43" s="8"/>
      <c r="X43" s="8"/>
      <c r="Y43" s="8"/>
      <c r="Z43" s="8"/>
      <c r="AA43" s="35"/>
      <c r="AB43" s="35"/>
      <c r="AC43" s="35"/>
      <c r="AD43" s="35"/>
      <c r="AE43" s="8"/>
      <c r="AF43" s="8"/>
      <c r="AG43" s="8"/>
      <c r="AH43" s="8"/>
      <c r="AI43" s="8"/>
      <c r="AJ43" s="8"/>
      <c r="AK43" s="8"/>
      <c r="AL43" s="8"/>
      <c r="AM43" s="8"/>
    </row>
    <row r="44" customFormat="false" ht="15.75" hidden="false" customHeight="true" outlineLevel="0" collapsed="false">
      <c r="A44" s="30" t="n">
        <v>46303</v>
      </c>
      <c r="B44" s="31" t="s">
        <v>200</v>
      </c>
      <c r="C44" s="31" t="str">
        <f aca="false" t="array" ref="C44:C44">IF(B44="","",IFERROR(INDEX('CLM &amp; IM Mapping'!$B$2:$B$270,MATCH(TRIM(B44),'CLM &amp; IM Mapping'!$A$2:$A$270,0)),"Not Mapped"))</f>
        <v>Adhavan Subramani</v>
      </c>
      <c r="D44" s="31" t="str">
        <f aca="false" t="array" ref="D44:D44">IF(B44="","",IFERROR(INDEX('CLM &amp; IM Mapping'!$C$2:$C$270,MATCH(TRIM(B44),'CLM &amp; IM Mapping'!$A$2:$A$270,0)),"Not Mapped"))</f>
        <v>Mohammed Akbar</v>
      </c>
      <c r="E44" s="31" t="s">
        <v>34</v>
      </c>
      <c r="F44" s="31" t="s">
        <v>562</v>
      </c>
      <c r="G44" s="31" t="s">
        <v>23</v>
      </c>
      <c r="H44" s="17" t="n">
        <v>6332</v>
      </c>
      <c r="I44" s="32" t="n">
        <v>0.7</v>
      </c>
      <c r="J44" s="33" t="n">
        <v>0.32</v>
      </c>
      <c r="K44" s="33" t="n">
        <v>0.7</v>
      </c>
      <c r="L44" s="33" t="n">
        <v>0.84</v>
      </c>
      <c r="M44" s="33" t="n">
        <v>0.7</v>
      </c>
      <c r="N44" s="11" t="n">
        <v>3</v>
      </c>
      <c r="O44" s="12" t="s">
        <v>599</v>
      </c>
      <c r="P44" s="12" t="s">
        <v>600</v>
      </c>
      <c r="Q44" s="8"/>
      <c r="R44" s="8"/>
      <c r="S44" s="8"/>
      <c r="T44" s="8"/>
      <c r="U44" s="8"/>
      <c r="V44" s="8"/>
      <c r="W44" s="8"/>
      <c r="X44" s="8"/>
      <c r="Y44" s="8"/>
      <c r="Z44" s="8"/>
      <c r="AA44" s="35"/>
      <c r="AB44" s="35"/>
      <c r="AC44" s="35"/>
      <c r="AD44" s="35"/>
      <c r="AE44" s="8"/>
      <c r="AF44" s="8"/>
      <c r="AG44" s="8"/>
      <c r="AH44" s="8"/>
      <c r="AI44" s="8"/>
      <c r="AJ44" s="8"/>
      <c r="AK44" s="8"/>
      <c r="AL44" s="8"/>
      <c r="AM44" s="8"/>
    </row>
    <row r="45" customFormat="false" ht="15.75" hidden="false" customHeight="true" outlineLevel="0" collapsed="false">
      <c r="A45" s="30" t="n">
        <v>46303</v>
      </c>
      <c r="B45" s="31" t="s">
        <v>24</v>
      </c>
      <c r="C45" s="31" t="str">
        <f aca="false" t="array" ref="C45:C45">IF(B45="","",IFERROR(INDEX('CLM &amp; IM Mapping'!$B$2:$B$270,MATCH(TRIM(B45),'CLM &amp; IM Mapping'!$A$2:$A$270,0)),"Not Mapped"))</f>
        <v>Arun Raj</v>
      </c>
      <c r="D45" s="31" t="str">
        <f aca="false" t="array" ref="D45:D45">IF(B45="","",IFERROR(INDEX('CLM &amp; IM Mapping'!$C$2:$C$270,MATCH(TRIM(B45),'CLM &amp; IM Mapping'!$A$2:$A$270,0)),"Not Mapped"))</f>
        <v>Simon Manoharan</v>
      </c>
      <c r="E45" s="31" t="s">
        <v>25</v>
      </c>
      <c r="F45" s="31" t="s">
        <v>565</v>
      </c>
      <c r="G45" s="31" t="s">
        <v>23</v>
      </c>
      <c r="H45" s="17" t="n">
        <v>10881</v>
      </c>
      <c r="I45" s="32" t="n">
        <v>0.7</v>
      </c>
      <c r="J45" s="33" t="n">
        <v>0.33</v>
      </c>
      <c r="K45" s="33" t="n">
        <v>0.88</v>
      </c>
      <c r="L45" s="33" t="n">
        <v>0.97</v>
      </c>
      <c r="M45" s="33" t="n">
        <v>0.88</v>
      </c>
      <c r="N45" s="11" t="n">
        <v>4</v>
      </c>
      <c r="O45" s="12" t="s">
        <v>587</v>
      </c>
      <c r="P45" s="12" t="s">
        <v>575</v>
      </c>
      <c r="Q45" s="8"/>
      <c r="R45" s="8"/>
      <c r="S45" s="8"/>
      <c r="T45" s="8"/>
      <c r="U45" s="8"/>
      <c r="V45" s="8"/>
      <c r="W45" s="8"/>
      <c r="X45" s="8"/>
      <c r="Y45" s="8"/>
      <c r="Z45" s="8"/>
      <c r="AA45" s="35"/>
      <c r="AB45" s="35"/>
      <c r="AC45" s="35"/>
      <c r="AD45" s="35"/>
      <c r="AE45" s="8"/>
      <c r="AF45" s="8"/>
      <c r="AG45" s="8"/>
      <c r="AH45" s="8"/>
      <c r="AI45" s="8"/>
      <c r="AJ45" s="8"/>
      <c r="AK45" s="8"/>
      <c r="AL45" s="8"/>
      <c r="AM45" s="8"/>
    </row>
    <row r="46" customFormat="false" ht="15.75" hidden="false" customHeight="true" outlineLevel="0" collapsed="false">
      <c r="A46" s="30" t="n">
        <v>46303</v>
      </c>
      <c r="B46" s="31" t="s">
        <v>404</v>
      </c>
      <c r="C46" s="31" t="str">
        <f aca="false" t="array" ref="C46:C46">IF(B46="","",IFERROR(INDEX('CLM &amp; IM Mapping'!$B$2:$B$270,MATCH(TRIM(B46),'CLM &amp; IM Mapping'!$A$2:$A$270,0)),"Not Mapped"))</f>
        <v>Arun Raj</v>
      </c>
      <c r="D46" s="31" t="str">
        <f aca="false" t="array" ref="D46:D46">IF(B46="","",IFERROR(INDEX('CLM &amp; IM Mapping'!$C$2:$C$270,MATCH(TRIM(B46),'CLM &amp; IM Mapping'!$A$2:$A$270,0)),"Not Mapped"))</f>
        <v>Simon Manoharan</v>
      </c>
      <c r="E46" s="31" t="s">
        <v>25</v>
      </c>
      <c r="F46" s="31" t="s">
        <v>565</v>
      </c>
      <c r="G46" s="31" t="s">
        <v>23</v>
      </c>
      <c r="H46" s="17" t="n">
        <v>11768</v>
      </c>
      <c r="I46" s="32" t="n">
        <v>0.7</v>
      </c>
      <c r="J46" s="33" t="n">
        <v>0.33</v>
      </c>
      <c r="K46" s="33" t="n">
        <v>0.96</v>
      </c>
      <c r="L46" s="33" t="n">
        <v>0.99</v>
      </c>
      <c r="M46" s="33" t="n">
        <v>0.96</v>
      </c>
      <c r="N46" s="11" t="n">
        <v>3</v>
      </c>
      <c r="O46" s="12" t="s">
        <v>587</v>
      </c>
      <c r="P46" s="12" t="s">
        <v>575</v>
      </c>
      <c r="Q46" s="8"/>
      <c r="R46" s="8"/>
      <c r="S46" s="8"/>
      <c r="T46" s="8"/>
      <c r="U46" s="8"/>
      <c r="V46" s="8"/>
      <c r="W46" s="8"/>
      <c r="X46" s="8"/>
      <c r="Y46" s="8"/>
      <c r="Z46" s="8"/>
      <c r="AA46" s="35"/>
      <c r="AB46" s="35"/>
      <c r="AC46" s="35"/>
      <c r="AD46" s="35"/>
      <c r="AE46" s="8"/>
      <c r="AF46" s="8"/>
      <c r="AG46" s="8"/>
      <c r="AH46" s="8"/>
      <c r="AI46" s="8"/>
      <c r="AJ46" s="8"/>
      <c r="AK46" s="8"/>
      <c r="AL46" s="8"/>
      <c r="AM46" s="8"/>
    </row>
    <row r="47" customFormat="false" ht="15.75" hidden="false" customHeight="true" outlineLevel="0" collapsed="false">
      <c r="A47" s="30" t="n">
        <v>46303</v>
      </c>
      <c r="B47" s="31" t="s">
        <v>118</v>
      </c>
      <c r="C47" s="31" t="str">
        <f aca="false" t="array" ref="C47:C47">IF(B47="","",IFERROR(INDEX('CLM &amp; IM Mapping'!$B$2:$B$270,MATCH(TRIM(B47),'CLM &amp; IM Mapping'!$A$2:$A$270,0)),"Not Mapped"))</f>
        <v>Adhavan Subramani</v>
      </c>
      <c r="D47" s="31" t="str">
        <f aca="false" t="array" ref="D47:D47">IF(B47="","",IFERROR(INDEX('CLM &amp; IM Mapping'!$C$2:$C$270,MATCH(TRIM(B47),'CLM &amp; IM Mapping'!$A$2:$A$270,0)),"Not Mapped"))</f>
        <v>Mohammed Akbar</v>
      </c>
      <c r="E47" s="31" t="s">
        <v>34</v>
      </c>
      <c r="F47" s="31" t="s">
        <v>562</v>
      </c>
      <c r="G47" s="31" t="s">
        <v>23</v>
      </c>
      <c r="H47" s="17" t="n">
        <v>6065</v>
      </c>
      <c r="I47" s="32" t="n">
        <v>0.7</v>
      </c>
      <c r="J47" s="33" t="n">
        <v>0.33</v>
      </c>
      <c r="K47" s="33" t="n">
        <v>0.78</v>
      </c>
      <c r="L47" s="33" t="n">
        <v>0.92</v>
      </c>
      <c r="M47" s="33" t="n">
        <v>0.78</v>
      </c>
      <c r="N47" s="11" t="n">
        <v>3</v>
      </c>
      <c r="O47" s="12" t="s">
        <v>601</v>
      </c>
      <c r="P47" s="12" t="s">
        <v>586</v>
      </c>
      <c r="Q47" s="8"/>
      <c r="R47" s="8"/>
      <c r="S47" s="8"/>
      <c r="T47" s="8"/>
      <c r="U47" s="8"/>
      <c r="V47" s="8"/>
      <c r="W47" s="8"/>
      <c r="X47" s="8"/>
      <c r="Y47" s="8"/>
      <c r="Z47" s="8"/>
      <c r="AA47" s="35"/>
      <c r="AB47" s="35"/>
      <c r="AC47" s="35"/>
      <c r="AD47" s="35"/>
      <c r="AE47" s="8"/>
      <c r="AF47" s="8"/>
      <c r="AG47" s="8"/>
      <c r="AH47" s="8"/>
      <c r="AI47" s="8"/>
      <c r="AJ47" s="8"/>
      <c r="AK47" s="8"/>
      <c r="AL47" s="8"/>
      <c r="AM47" s="8"/>
    </row>
    <row r="48" customFormat="false" ht="15.75" hidden="false" customHeight="true" outlineLevel="0" collapsed="false">
      <c r="A48" s="30" t="n">
        <v>46303</v>
      </c>
      <c r="B48" s="31" t="s">
        <v>171</v>
      </c>
      <c r="C48" s="31" t="str">
        <f aca="false" t="array" ref="C48:C48">IF(B48="","",IFERROR(INDEX('CLM &amp; IM Mapping'!$B$2:$B$270,MATCH(TRIM(B48),'CLM &amp; IM Mapping'!$A$2:$A$270,0)),"Not Mapped"))</f>
        <v>Ashwath S</v>
      </c>
      <c r="D48" s="31" t="str">
        <f aca="false" t="array" ref="D48:D48">IF(B48="","",IFERROR(INDEX('CLM &amp; IM Mapping'!$C$2:$C$270,MATCH(TRIM(B48),'CLM &amp; IM Mapping'!$A$2:$A$270,0)),"Not Mapped"))</f>
        <v>Kantha Kumar</v>
      </c>
      <c r="E48" s="31" t="s">
        <v>34</v>
      </c>
      <c r="F48" s="31" t="s">
        <v>562</v>
      </c>
      <c r="G48" s="31" t="s">
        <v>23</v>
      </c>
      <c r="H48" s="17" t="n">
        <v>7436</v>
      </c>
      <c r="I48" s="32" t="n">
        <v>0.7</v>
      </c>
      <c r="J48" s="33" t="n">
        <v>0.34</v>
      </c>
      <c r="K48" s="33" t="n">
        <v>0.8</v>
      </c>
      <c r="L48" s="33" t="n">
        <v>0.96</v>
      </c>
      <c r="M48" s="33" t="n">
        <v>0.8</v>
      </c>
      <c r="N48" s="11" t="n">
        <v>4</v>
      </c>
      <c r="O48" s="19"/>
      <c r="P48" s="11"/>
      <c r="Q48" s="8"/>
      <c r="R48" s="8"/>
      <c r="S48" s="8"/>
      <c r="T48" s="8"/>
      <c r="U48" s="8"/>
      <c r="V48" s="8"/>
      <c r="W48" s="8"/>
      <c r="X48" s="8"/>
      <c r="Y48" s="8"/>
      <c r="Z48" s="8"/>
      <c r="AA48" s="35"/>
      <c r="AB48" s="35"/>
      <c r="AC48" s="35"/>
      <c r="AD48" s="35"/>
      <c r="AE48" s="8"/>
      <c r="AF48" s="8"/>
      <c r="AG48" s="8"/>
      <c r="AH48" s="8"/>
      <c r="AI48" s="8"/>
      <c r="AJ48" s="8"/>
      <c r="AK48" s="8"/>
      <c r="AL48" s="8"/>
      <c r="AM48" s="8"/>
    </row>
    <row r="49" customFormat="false" ht="15.75" hidden="false" customHeight="true" outlineLevel="0" collapsed="false">
      <c r="A49" s="30" t="n">
        <v>46303</v>
      </c>
      <c r="B49" s="31" t="s">
        <v>408</v>
      </c>
      <c r="C49" s="31" t="str">
        <f aca="false" t="array" ref="C49:C49">IF(B49="","",IFERROR(INDEX('CLM &amp; IM Mapping'!$B$2:$B$270,MATCH(TRIM(B49),'CLM &amp; IM Mapping'!$A$2:$A$270,0)),"Not Mapped"))</f>
        <v>Ravishankar gowda</v>
      </c>
      <c r="D49" s="31" t="str">
        <f aca="false" t="array" ref="D49:D49">IF(B49="","",IFERROR(INDEX('CLM &amp; IM Mapping'!$C$2:$C$270,MATCH(TRIM(B49),'CLM &amp; IM Mapping'!$A$2:$A$270,0)),"Not Mapped"))</f>
        <v>Kishor K</v>
      </c>
      <c r="E49" s="31" t="s">
        <v>34</v>
      </c>
      <c r="F49" s="31" t="s">
        <v>562</v>
      </c>
      <c r="G49" s="31" t="s">
        <v>23</v>
      </c>
      <c r="H49" s="17" t="n">
        <v>6071</v>
      </c>
      <c r="I49" s="32" t="n">
        <v>0.7</v>
      </c>
      <c r="J49" s="33" t="n">
        <v>0.34</v>
      </c>
      <c r="K49" s="33" t="n">
        <v>0.94</v>
      </c>
      <c r="L49" s="33" t="n">
        <v>0.96</v>
      </c>
      <c r="M49" s="33" t="n">
        <v>0.94</v>
      </c>
      <c r="N49" s="11" t="n">
        <v>2</v>
      </c>
      <c r="O49" s="12" t="s">
        <v>602</v>
      </c>
      <c r="P49" s="12" t="s">
        <v>603</v>
      </c>
      <c r="Q49" s="8"/>
      <c r="R49" s="8"/>
      <c r="S49" s="8"/>
      <c r="T49" s="8"/>
      <c r="U49" s="8"/>
      <c r="V49" s="8"/>
      <c r="W49" s="8"/>
      <c r="X49" s="8"/>
      <c r="Y49" s="8"/>
      <c r="Z49" s="8"/>
      <c r="AA49" s="35"/>
      <c r="AB49" s="35"/>
      <c r="AC49" s="35"/>
      <c r="AD49" s="35"/>
      <c r="AE49" s="8"/>
      <c r="AF49" s="8"/>
      <c r="AG49" s="8"/>
      <c r="AH49" s="8"/>
      <c r="AI49" s="8"/>
      <c r="AJ49" s="8"/>
      <c r="AK49" s="8"/>
      <c r="AL49" s="8"/>
      <c r="AM49" s="8"/>
    </row>
    <row r="50" customFormat="false" ht="15.75" hidden="false" customHeight="true" outlineLevel="0" collapsed="false">
      <c r="A50" s="30" t="n">
        <v>46303</v>
      </c>
      <c r="B50" s="31" t="s">
        <v>80</v>
      </c>
      <c r="C50" s="31" t="str">
        <f aca="false" t="array" ref="C50:C50">IF(B50="","",IFERROR(INDEX('CLM &amp; IM Mapping'!$B$2:$B$270,MATCH(TRIM(B50),'CLM &amp; IM Mapping'!$A$2:$A$270,0)),"Not Mapped"))</f>
        <v>Sundaresh S</v>
      </c>
      <c r="D50" s="31" t="str">
        <f aca="false" t="array" ref="D50:D50">IF(B50="","",IFERROR(INDEX('CLM &amp; IM Mapping'!$C$2:$C$270,MATCH(TRIM(B50),'CLM &amp; IM Mapping'!$A$2:$A$270,0)),"Not Mapped"))</f>
        <v>Un Mapped</v>
      </c>
      <c r="E50" s="31" t="s">
        <v>34</v>
      </c>
      <c r="F50" s="31" t="s">
        <v>562</v>
      </c>
      <c r="G50" s="31" t="s">
        <v>23</v>
      </c>
      <c r="H50" s="17" t="n">
        <v>4836</v>
      </c>
      <c r="I50" s="32" t="n">
        <v>0.7</v>
      </c>
      <c r="J50" s="33" t="n">
        <v>0.34</v>
      </c>
      <c r="K50" s="33" t="n">
        <v>0.84</v>
      </c>
      <c r="L50" s="33" t="n">
        <v>0.97</v>
      </c>
      <c r="M50" s="33" t="n">
        <v>0.84</v>
      </c>
      <c r="N50" s="11" t="n">
        <v>5</v>
      </c>
      <c r="O50" s="19"/>
      <c r="P50" s="11"/>
      <c r="Q50" s="8"/>
      <c r="R50" s="8"/>
      <c r="S50" s="8"/>
      <c r="T50" s="8"/>
      <c r="U50" s="8"/>
      <c r="V50" s="8"/>
      <c r="W50" s="8"/>
      <c r="X50" s="8"/>
      <c r="Y50" s="8"/>
      <c r="Z50" s="8"/>
      <c r="AA50" s="35"/>
      <c r="AB50" s="35"/>
      <c r="AC50" s="35"/>
      <c r="AD50" s="35"/>
      <c r="AE50" s="8"/>
      <c r="AF50" s="8"/>
      <c r="AG50" s="8"/>
      <c r="AH50" s="8"/>
      <c r="AI50" s="8"/>
      <c r="AJ50" s="8"/>
      <c r="AK50" s="8"/>
      <c r="AL50" s="8"/>
      <c r="AM50" s="8"/>
    </row>
    <row r="51" customFormat="false" ht="15.75" hidden="false" customHeight="true" outlineLevel="0" collapsed="false">
      <c r="A51" s="30" t="n">
        <v>46303</v>
      </c>
      <c r="B51" s="31" t="s">
        <v>461</v>
      </c>
      <c r="C51" s="31" t="str">
        <f aca="false" t="array" ref="C51:C51">IF(B51="","",IFERROR(INDEX('CLM &amp; IM Mapping'!$B$2:$B$270,MATCH(TRIM(B51),'CLM &amp; IM Mapping'!$A$2:$A$270,0)),"Not Mapped"))</f>
        <v>Arun Raj</v>
      </c>
      <c r="D51" s="31" t="str">
        <f aca="false" t="array" ref="D51:D51">IF(B51="","",IFERROR(INDEX('CLM &amp; IM Mapping'!$C$2:$C$270,MATCH(TRIM(B51),'CLM &amp; IM Mapping'!$A$2:$A$270,0)),"Not Mapped"))</f>
        <v>Simon Manoharan</v>
      </c>
      <c r="E51" s="31" t="s">
        <v>25</v>
      </c>
      <c r="F51" s="31" t="s">
        <v>565</v>
      </c>
      <c r="G51" s="31" t="s">
        <v>23</v>
      </c>
      <c r="H51" s="17" t="n">
        <v>12050</v>
      </c>
      <c r="I51" s="32" t="n">
        <v>0.7</v>
      </c>
      <c r="J51" s="33" t="n">
        <v>0.34</v>
      </c>
      <c r="K51" s="33" t="n">
        <v>0.98</v>
      </c>
      <c r="L51" s="33" t="n">
        <v>1</v>
      </c>
      <c r="M51" s="33" t="n">
        <v>0.98</v>
      </c>
      <c r="N51" s="11" t="n">
        <v>2</v>
      </c>
      <c r="O51" s="12" t="s">
        <v>587</v>
      </c>
      <c r="P51" s="12" t="s">
        <v>575</v>
      </c>
      <c r="Q51" s="8"/>
      <c r="R51" s="8"/>
      <c r="S51" s="8"/>
      <c r="T51" s="8"/>
      <c r="U51" s="8"/>
      <c r="V51" s="8"/>
      <c r="W51" s="8"/>
      <c r="X51" s="8"/>
      <c r="Y51" s="8"/>
      <c r="Z51" s="8"/>
      <c r="AA51" s="35"/>
      <c r="AB51" s="35"/>
      <c r="AC51" s="35"/>
      <c r="AD51" s="35"/>
      <c r="AE51" s="8"/>
      <c r="AF51" s="8"/>
      <c r="AG51" s="8"/>
      <c r="AH51" s="8"/>
      <c r="AI51" s="8"/>
      <c r="AJ51" s="8"/>
      <c r="AK51" s="8"/>
      <c r="AL51" s="8"/>
      <c r="AM51" s="8"/>
    </row>
    <row r="52" customFormat="false" ht="15.75" hidden="false" customHeight="true" outlineLevel="0" collapsed="false">
      <c r="A52" s="30" t="n">
        <v>46303</v>
      </c>
      <c r="B52" s="31" t="s">
        <v>300</v>
      </c>
      <c r="C52" s="31" t="str">
        <f aca="false" t="array" ref="C52:C52">IF(B52="","",IFERROR(INDEX('CLM &amp; IM Mapping'!$B$2:$B$270,MATCH(TRIM(B52),'CLM &amp; IM Mapping'!$A$2:$A$270,0)),"Not Mapped"))</f>
        <v>Bangareppa CS</v>
      </c>
      <c r="D52" s="31" t="str">
        <f aca="false" t="array" ref="D52:D52">IF(B52="","",IFERROR(INDEX('CLM &amp; IM Mapping'!$C$2:$C$270,MATCH(TRIM(B52),'CLM &amp; IM Mapping'!$A$2:$A$270,0)),"Not Mapped"))</f>
        <v>Kishor K</v>
      </c>
      <c r="E52" s="31" t="s">
        <v>34</v>
      </c>
      <c r="F52" s="31" t="s">
        <v>565</v>
      </c>
      <c r="G52" s="31" t="s">
        <v>212</v>
      </c>
      <c r="H52" s="17" t="n">
        <v>5252</v>
      </c>
      <c r="I52" s="32" t="n">
        <v>0.7</v>
      </c>
      <c r="J52" s="33" t="n">
        <v>0.34</v>
      </c>
      <c r="K52" s="33" t="n">
        <v>0.89</v>
      </c>
      <c r="L52" s="33" t="n">
        <v>0.97</v>
      </c>
      <c r="M52" s="33" t="n">
        <v>0.89</v>
      </c>
      <c r="N52" s="11" t="n">
        <v>2</v>
      </c>
      <c r="O52" s="12" t="s">
        <v>604</v>
      </c>
      <c r="P52" s="20" t="s">
        <v>605</v>
      </c>
      <c r="Q52" s="8"/>
      <c r="R52" s="8"/>
      <c r="S52" s="8"/>
      <c r="T52" s="8"/>
      <c r="U52" s="8"/>
      <c r="V52" s="8"/>
      <c r="W52" s="8"/>
      <c r="X52" s="8"/>
      <c r="Y52" s="8"/>
      <c r="Z52" s="8"/>
      <c r="AA52" s="35"/>
      <c r="AB52" s="35"/>
      <c r="AC52" s="35"/>
      <c r="AD52" s="35"/>
      <c r="AE52" s="8"/>
      <c r="AF52" s="8"/>
      <c r="AG52" s="8"/>
      <c r="AH52" s="8"/>
      <c r="AI52" s="8"/>
      <c r="AJ52" s="8"/>
      <c r="AK52" s="8"/>
      <c r="AL52" s="8"/>
      <c r="AM52" s="8"/>
    </row>
    <row r="53" customFormat="false" ht="15.75" hidden="false" customHeight="true" outlineLevel="0" collapsed="false">
      <c r="A53" s="30" t="n">
        <v>46303</v>
      </c>
      <c r="B53" s="31" t="s">
        <v>274</v>
      </c>
      <c r="C53" s="31" t="str">
        <f aca="false" t="array" ref="C53:C53">IF(B53="","",IFERROR(INDEX('CLM &amp; IM Mapping'!$B$2:$B$270,MATCH(TRIM(B53),'CLM &amp; IM Mapping'!$A$2:$A$270,0)),"Not Mapped"))</f>
        <v>Vishnu V</v>
      </c>
      <c r="D53" s="31" t="str">
        <f aca="false" t="array" ref="D53:D53">IF(B53="","",IFERROR(INDEX('CLM &amp; IM Mapping'!$C$2:$C$270,MATCH(TRIM(B53),'CLM &amp; IM Mapping'!$A$2:$A$270,0)),"Not Mapped"))</f>
        <v>Arivind S</v>
      </c>
      <c r="E53" s="31" t="s">
        <v>34</v>
      </c>
      <c r="F53" s="31" t="s">
        <v>562</v>
      </c>
      <c r="G53" s="31" t="s">
        <v>221</v>
      </c>
      <c r="H53" s="17" t="n">
        <v>5822</v>
      </c>
      <c r="I53" s="32" t="n">
        <v>0.7</v>
      </c>
      <c r="J53" s="33" t="n">
        <v>0.34</v>
      </c>
      <c r="K53" s="33" t="n">
        <v>0.83</v>
      </c>
      <c r="L53" s="33" t="n">
        <v>0.96</v>
      </c>
      <c r="M53" s="33" t="n">
        <v>0.83</v>
      </c>
      <c r="N53" s="11" t="n">
        <v>2</v>
      </c>
      <c r="O53" s="12" t="s">
        <v>606</v>
      </c>
      <c r="P53" s="12" t="s">
        <v>567</v>
      </c>
      <c r="Q53" s="8"/>
      <c r="R53" s="8"/>
      <c r="S53" s="8"/>
      <c r="T53" s="8"/>
      <c r="U53" s="8"/>
      <c r="V53" s="8"/>
      <c r="W53" s="8"/>
      <c r="X53" s="8"/>
      <c r="Y53" s="8"/>
      <c r="Z53" s="8"/>
      <c r="AA53" s="35"/>
      <c r="AB53" s="35"/>
      <c r="AC53" s="35"/>
      <c r="AD53" s="35"/>
      <c r="AE53" s="8"/>
      <c r="AF53" s="8"/>
      <c r="AG53" s="8"/>
      <c r="AH53" s="8"/>
      <c r="AI53" s="8"/>
      <c r="AJ53" s="8"/>
      <c r="AK53" s="8"/>
      <c r="AL53" s="8"/>
      <c r="AM53" s="8"/>
    </row>
    <row r="54" customFormat="false" ht="15.75" hidden="false" customHeight="true" outlineLevel="0" collapsed="false">
      <c r="A54" s="30" t="n">
        <v>46303</v>
      </c>
      <c r="B54" s="31" t="s">
        <v>262</v>
      </c>
      <c r="C54" s="31" t="str">
        <f aca="false" t="array" ref="C54:C54">IF(B54="","",IFERROR(INDEX('CLM &amp; IM Mapping'!$B$2:$B$270,MATCH(TRIM(B54),'CLM &amp; IM Mapping'!$A$2:$A$270,0)),"Not Mapped"))</f>
        <v>Majid Kakatikar</v>
      </c>
      <c r="D54" s="31" t="str">
        <f aca="false" t="array" ref="D54:D54">IF(B54="","",IFERROR(INDEX('CLM &amp; IM Mapping'!$C$2:$C$270,MATCH(TRIM(B54),'CLM &amp; IM Mapping'!$A$2:$A$270,0)),"Not Mapped"))</f>
        <v>Kishor K</v>
      </c>
      <c r="E54" s="31" t="s">
        <v>34</v>
      </c>
      <c r="F54" s="31" t="s">
        <v>565</v>
      </c>
      <c r="G54" s="31" t="s">
        <v>261</v>
      </c>
      <c r="H54" s="17" t="n">
        <v>6826</v>
      </c>
      <c r="I54" s="32" t="n">
        <v>0.7</v>
      </c>
      <c r="J54" s="33" t="n">
        <v>0.35</v>
      </c>
      <c r="K54" s="33" t="n">
        <v>0.95</v>
      </c>
      <c r="L54" s="33" t="n">
        <v>0.97</v>
      </c>
      <c r="M54" s="33" t="n">
        <v>0.95</v>
      </c>
      <c r="N54" s="11" t="n">
        <v>2</v>
      </c>
      <c r="O54" s="12" t="s">
        <v>607</v>
      </c>
      <c r="P54" s="12" t="s">
        <v>603</v>
      </c>
      <c r="Q54" s="8"/>
      <c r="R54" s="8"/>
      <c r="S54" s="8"/>
      <c r="T54" s="8"/>
      <c r="U54" s="8"/>
      <c r="V54" s="8"/>
      <c r="W54" s="8"/>
      <c r="X54" s="8"/>
      <c r="Y54" s="8"/>
      <c r="Z54" s="8"/>
      <c r="AA54" s="35"/>
      <c r="AB54" s="35"/>
      <c r="AC54" s="35"/>
      <c r="AD54" s="35"/>
      <c r="AE54" s="8"/>
      <c r="AF54" s="8"/>
      <c r="AG54" s="8"/>
      <c r="AH54" s="8"/>
      <c r="AI54" s="8"/>
      <c r="AJ54" s="8"/>
      <c r="AK54" s="8"/>
      <c r="AL54" s="8"/>
      <c r="AM54" s="8"/>
    </row>
    <row r="55" customFormat="false" ht="15.75" hidden="false" customHeight="true" outlineLevel="0" collapsed="false">
      <c r="A55" s="30" t="n">
        <v>46303</v>
      </c>
      <c r="B55" s="31" t="s">
        <v>371</v>
      </c>
      <c r="C55" s="31" t="str">
        <f aca="false" t="array" ref="C55:C55">IF(B55="","",IFERROR(INDEX('CLM &amp; IM Mapping'!$B$2:$B$270,MATCH(TRIM(B55),'CLM &amp; IM Mapping'!$A$2:$A$270,0)),"Not Mapped"))</f>
        <v>Akshay P</v>
      </c>
      <c r="D55" s="31" t="str">
        <f aca="false" t="array" ref="D55:D55">IF(B55="","",IFERROR(INDEX('CLM &amp; IM Mapping'!$C$2:$C$270,MATCH(TRIM(B55),'CLM &amp; IM Mapping'!$A$2:$A$270,0)),"Not Mapped"))</f>
        <v>Srittam Dhal</v>
      </c>
      <c r="E55" s="31" t="s">
        <v>34</v>
      </c>
      <c r="F55" s="31" t="s">
        <v>565</v>
      </c>
      <c r="G55" s="31" t="s">
        <v>23</v>
      </c>
      <c r="H55" s="17" t="n">
        <v>6949</v>
      </c>
      <c r="I55" s="32" t="n">
        <v>0.7</v>
      </c>
      <c r="J55" s="33" t="n">
        <v>0.35</v>
      </c>
      <c r="K55" s="33" t="n">
        <v>0.95</v>
      </c>
      <c r="L55" s="33" t="n">
        <v>0.98</v>
      </c>
      <c r="M55" s="31"/>
      <c r="N55" s="11"/>
      <c r="O55" s="12" t="s">
        <v>608</v>
      </c>
      <c r="P55" s="12" t="s">
        <v>575</v>
      </c>
      <c r="Q55" s="8"/>
      <c r="R55" s="8"/>
      <c r="S55" s="8"/>
      <c r="T55" s="8"/>
      <c r="U55" s="8"/>
      <c r="V55" s="8"/>
      <c r="W55" s="8"/>
      <c r="X55" s="8"/>
      <c r="Y55" s="8"/>
      <c r="Z55" s="8"/>
      <c r="AA55" s="35"/>
      <c r="AB55" s="35"/>
      <c r="AC55" s="35"/>
      <c r="AD55" s="35"/>
      <c r="AE55" s="8"/>
      <c r="AF55" s="8"/>
      <c r="AG55" s="8"/>
      <c r="AH55" s="8"/>
      <c r="AI55" s="8"/>
      <c r="AJ55" s="8"/>
      <c r="AK55" s="8"/>
      <c r="AL55" s="8"/>
      <c r="AM55" s="8"/>
    </row>
    <row r="56" customFormat="false" ht="15.75" hidden="false" customHeight="true" outlineLevel="0" collapsed="false">
      <c r="A56" s="30" t="n">
        <v>46303</v>
      </c>
      <c r="B56" s="31" t="s">
        <v>89</v>
      </c>
      <c r="C56" s="31" t="str">
        <f aca="false" t="array" ref="C56:C56">IF(B56="","",IFERROR(INDEX('CLM &amp; IM Mapping'!$B$2:$B$270,MATCH(TRIM(B56),'CLM &amp; IM Mapping'!$A$2:$A$270,0)),"Not Mapped"))</f>
        <v>Raghavendra Vernekar</v>
      </c>
      <c r="D56" s="31" t="str">
        <f aca="false" t="array" ref="D56:D56">IF(B56="","",IFERROR(INDEX('CLM &amp; IM Mapping'!$C$2:$C$270,MATCH(TRIM(B56),'CLM &amp; IM Mapping'!$A$2:$A$270,0)),"Not Mapped"))</f>
        <v>Prakash BS</v>
      </c>
      <c r="E56" s="31" t="s">
        <v>34</v>
      </c>
      <c r="F56" s="31" t="s">
        <v>565</v>
      </c>
      <c r="G56" s="31" t="s">
        <v>23</v>
      </c>
      <c r="H56" s="17" t="n">
        <v>10820</v>
      </c>
      <c r="I56" s="32" t="n">
        <v>0.7</v>
      </c>
      <c r="J56" s="33" t="n">
        <v>0.35</v>
      </c>
      <c r="K56" s="33" t="n">
        <v>0.96</v>
      </c>
      <c r="L56" s="33" t="n">
        <v>0.96</v>
      </c>
      <c r="M56" s="31"/>
      <c r="N56" s="11"/>
      <c r="O56" s="12" t="s">
        <v>609</v>
      </c>
      <c r="P56" s="11"/>
      <c r="Q56" s="8"/>
      <c r="R56" s="8"/>
      <c r="S56" s="8"/>
      <c r="T56" s="8"/>
      <c r="U56" s="8"/>
      <c r="V56" s="8"/>
      <c r="W56" s="8"/>
      <c r="X56" s="8"/>
      <c r="Y56" s="8"/>
      <c r="Z56" s="8"/>
      <c r="AA56" s="35"/>
      <c r="AB56" s="35"/>
      <c r="AC56" s="35"/>
      <c r="AD56" s="35"/>
      <c r="AE56" s="8"/>
      <c r="AF56" s="8"/>
      <c r="AG56" s="8"/>
      <c r="AH56" s="8"/>
      <c r="AI56" s="8"/>
      <c r="AJ56" s="8"/>
      <c r="AK56" s="8"/>
      <c r="AL56" s="8"/>
      <c r="AM56" s="8"/>
    </row>
    <row r="57" customFormat="false" ht="15.75" hidden="false" customHeight="true" outlineLevel="0" collapsed="false">
      <c r="A57" s="30" t="n">
        <v>46303</v>
      </c>
      <c r="B57" s="31" t="s">
        <v>288</v>
      </c>
      <c r="C57" s="31" t="str">
        <f aca="false" t="array" ref="C57:C57">IF(B57="","",IFERROR(INDEX('CLM &amp; IM Mapping'!$B$2:$B$270,MATCH(TRIM(B57),'CLM &amp; IM Mapping'!$A$2:$A$270,0)),"Not Mapped"))</f>
        <v>Arun Raj</v>
      </c>
      <c r="D57" s="31" t="str">
        <f aca="false" t="array" ref="D57:D57">IF(B57="","",IFERROR(INDEX('CLM &amp; IM Mapping'!$C$2:$C$270,MATCH(TRIM(B57),'CLM &amp; IM Mapping'!$A$2:$A$270,0)),"Not Mapped"))</f>
        <v>Simon Manoharan</v>
      </c>
      <c r="E57" s="31" t="s">
        <v>25</v>
      </c>
      <c r="F57" s="31" t="s">
        <v>565</v>
      </c>
      <c r="G57" s="31" t="s">
        <v>23</v>
      </c>
      <c r="H57" s="17" t="n">
        <v>10225</v>
      </c>
      <c r="I57" s="32" t="n">
        <v>0.7</v>
      </c>
      <c r="J57" s="33" t="n">
        <v>0.35</v>
      </c>
      <c r="K57" s="33" t="n">
        <v>0.97</v>
      </c>
      <c r="L57" s="33" t="n">
        <v>0.99</v>
      </c>
      <c r="M57" s="33" t="n">
        <v>0.97</v>
      </c>
      <c r="N57" s="11" t="n">
        <v>2</v>
      </c>
      <c r="O57" s="12" t="s">
        <v>587</v>
      </c>
      <c r="P57" s="12" t="s">
        <v>575</v>
      </c>
      <c r="Q57" s="8"/>
      <c r="R57" s="8"/>
      <c r="S57" s="8"/>
      <c r="T57" s="8"/>
      <c r="U57" s="8"/>
      <c r="V57" s="8"/>
      <c r="W57" s="8"/>
      <c r="X57" s="8"/>
      <c r="Y57" s="8"/>
      <c r="Z57" s="8"/>
      <c r="AA57" s="35"/>
      <c r="AB57" s="35"/>
      <c r="AC57" s="35"/>
      <c r="AD57" s="35"/>
      <c r="AE57" s="8"/>
      <c r="AF57" s="8"/>
      <c r="AG57" s="8"/>
      <c r="AH57" s="8"/>
      <c r="AI57" s="8"/>
      <c r="AJ57" s="8"/>
      <c r="AK57" s="8"/>
      <c r="AL57" s="8"/>
      <c r="AM57" s="8"/>
    </row>
    <row r="58" customFormat="false" ht="15.75" hidden="false" customHeight="true" outlineLevel="0" collapsed="false">
      <c r="A58" s="30" t="n">
        <v>46303</v>
      </c>
      <c r="B58" s="31" t="s">
        <v>126</v>
      </c>
      <c r="C58" s="31" t="str">
        <f aca="false" t="array" ref="C58:C58">IF(B58="","",IFERROR(INDEX('CLM &amp; IM Mapping'!$B$2:$B$270,MATCH(TRIM(B58),'CLM &amp; IM Mapping'!$A$2:$A$270,0)),"Not Mapped"))</f>
        <v>Girish N</v>
      </c>
      <c r="D58" s="31" t="str">
        <f aca="false" t="array" ref="D58:D58">IF(B58="","",IFERROR(INDEX('CLM &amp; IM Mapping'!$C$2:$C$270,MATCH(TRIM(B58),'CLM &amp; IM Mapping'!$A$2:$A$270,0)),"Not Mapped"))</f>
        <v>Un Mapped</v>
      </c>
      <c r="E58" s="31" t="s">
        <v>34</v>
      </c>
      <c r="F58" s="31" t="s">
        <v>562</v>
      </c>
      <c r="G58" s="31" t="s">
        <v>23</v>
      </c>
      <c r="H58" s="17" t="n">
        <v>6163</v>
      </c>
      <c r="I58" s="32" t="n">
        <v>0.7</v>
      </c>
      <c r="J58" s="33" t="n">
        <v>0.35</v>
      </c>
      <c r="K58" s="33" t="n">
        <v>0.72</v>
      </c>
      <c r="L58" s="33" t="n">
        <v>0.85</v>
      </c>
      <c r="M58" s="33" t="n">
        <v>0.72</v>
      </c>
      <c r="N58" s="11" t="n">
        <v>4</v>
      </c>
      <c r="O58" s="12" t="s">
        <v>610</v>
      </c>
      <c r="P58" s="12" t="s">
        <v>591</v>
      </c>
      <c r="Q58" s="8"/>
      <c r="R58" s="8"/>
      <c r="S58" s="8"/>
      <c r="T58" s="8"/>
      <c r="U58" s="8"/>
      <c r="V58" s="8"/>
      <c r="W58" s="8"/>
      <c r="X58" s="8"/>
      <c r="Y58" s="8"/>
      <c r="Z58" s="8"/>
      <c r="AA58" s="35"/>
      <c r="AB58" s="35"/>
      <c r="AC58" s="35"/>
      <c r="AD58" s="35"/>
      <c r="AE58" s="8"/>
      <c r="AF58" s="8"/>
      <c r="AG58" s="8"/>
      <c r="AH58" s="8"/>
      <c r="AI58" s="8"/>
      <c r="AJ58" s="8"/>
      <c r="AK58" s="8"/>
      <c r="AL58" s="8"/>
      <c r="AM58" s="8"/>
    </row>
    <row r="59" customFormat="false" ht="15.75" hidden="false" customHeight="true" outlineLevel="0" collapsed="false">
      <c r="A59" s="30" t="n">
        <v>46303</v>
      </c>
      <c r="B59" s="31" t="s">
        <v>490</v>
      </c>
      <c r="C59" s="31" t="str">
        <f aca="false" t="array" ref="C59:C59">IF(B59="","",IFERROR(INDEX('CLM &amp; IM Mapping'!$B$2:$B$270,MATCH(TRIM(B59),'CLM &amp; IM Mapping'!$A$2:$A$270,0)),"Not Mapped"))</f>
        <v>Arun Raj</v>
      </c>
      <c r="D59" s="31" t="str">
        <f aca="false" t="array" ref="D59:D59">IF(B59="","",IFERROR(INDEX('CLM &amp; IM Mapping'!$C$2:$C$270,MATCH(TRIM(B59),'CLM &amp; IM Mapping'!$A$2:$A$270,0)),"Not Mapped"))</f>
        <v>Simon Manoharan</v>
      </c>
      <c r="E59" s="31" t="s">
        <v>25</v>
      </c>
      <c r="F59" s="31" t="s">
        <v>565</v>
      </c>
      <c r="G59" s="31" t="s">
        <v>23</v>
      </c>
      <c r="H59" s="17" t="n">
        <v>9572</v>
      </c>
      <c r="I59" s="32" t="n">
        <v>0.7</v>
      </c>
      <c r="J59" s="33" t="n">
        <v>0.36</v>
      </c>
      <c r="K59" s="33" t="n">
        <v>0.96</v>
      </c>
      <c r="L59" s="33" t="n">
        <v>0.99</v>
      </c>
      <c r="M59" s="33" t="n">
        <v>0.96</v>
      </c>
      <c r="N59" s="11" t="n">
        <v>3</v>
      </c>
      <c r="O59" s="12" t="s">
        <v>587</v>
      </c>
      <c r="P59" s="12" t="s">
        <v>575</v>
      </c>
      <c r="Q59" s="8"/>
      <c r="R59" s="8"/>
      <c r="S59" s="8"/>
      <c r="T59" s="8"/>
      <c r="U59" s="8"/>
      <c r="V59" s="8"/>
      <c r="W59" s="8"/>
      <c r="X59" s="8"/>
      <c r="Y59" s="8"/>
      <c r="Z59" s="8"/>
      <c r="AA59" s="35"/>
      <c r="AB59" s="35"/>
      <c r="AC59" s="35"/>
      <c r="AD59" s="35"/>
      <c r="AE59" s="8"/>
      <c r="AF59" s="8"/>
      <c r="AG59" s="8"/>
      <c r="AH59" s="8"/>
      <c r="AI59" s="8"/>
      <c r="AJ59" s="8"/>
      <c r="AK59" s="8"/>
      <c r="AL59" s="8"/>
      <c r="AM59" s="8"/>
    </row>
    <row r="60" customFormat="false" ht="15.75" hidden="false" customHeight="true" outlineLevel="0" collapsed="false">
      <c r="A60" s="30" t="n">
        <v>46303</v>
      </c>
      <c r="B60" s="31" t="s">
        <v>523</v>
      </c>
      <c r="C60" s="31" t="str">
        <f aca="false" t="array" ref="C60:C60">IF(B60="","",IFERROR(INDEX('CLM &amp; IM Mapping'!$B$2:$B$270,MATCH(TRIM(B60),'CLM &amp; IM Mapping'!$A$2:$A$270,0)),"Not Mapped"))</f>
        <v>Sundaresh S</v>
      </c>
      <c r="D60" s="31" t="str">
        <f aca="false" t="array" ref="D60:D60">IF(B60="","",IFERROR(INDEX('CLM &amp; IM Mapping'!$C$2:$C$270,MATCH(TRIM(B60),'CLM &amp; IM Mapping'!$A$2:$A$270,0)),"Not Mapped"))</f>
        <v>Un Mapped</v>
      </c>
      <c r="E60" s="31" t="s">
        <v>34</v>
      </c>
      <c r="F60" s="31" t="s">
        <v>562</v>
      </c>
      <c r="G60" s="31" t="s">
        <v>23</v>
      </c>
      <c r="H60" s="17" t="n">
        <v>6860</v>
      </c>
      <c r="I60" s="32" t="n">
        <v>0.7</v>
      </c>
      <c r="J60" s="33" t="n">
        <v>0.36</v>
      </c>
      <c r="K60" s="33" t="n">
        <v>0.84</v>
      </c>
      <c r="L60" s="33" t="n">
        <v>0.93</v>
      </c>
      <c r="M60" s="33" t="n">
        <v>0.84</v>
      </c>
      <c r="N60" s="11" t="n">
        <v>4</v>
      </c>
      <c r="O60" s="19"/>
      <c r="P60" s="11"/>
      <c r="Q60" s="8"/>
      <c r="R60" s="8"/>
      <c r="S60" s="8"/>
      <c r="T60" s="8"/>
      <c r="U60" s="8"/>
      <c r="V60" s="8"/>
      <c r="W60" s="8"/>
      <c r="X60" s="8"/>
      <c r="Y60" s="8"/>
      <c r="Z60" s="8"/>
      <c r="AA60" s="35"/>
      <c r="AB60" s="35"/>
      <c r="AC60" s="35"/>
      <c r="AD60" s="35"/>
      <c r="AE60" s="8"/>
      <c r="AF60" s="8"/>
      <c r="AG60" s="8"/>
      <c r="AH60" s="8"/>
      <c r="AI60" s="8"/>
      <c r="AJ60" s="8"/>
      <c r="AK60" s="8"/>
      <c r="AL60" s="8"/>
      <c r="AM60" s="8"/>
    </row>
    <row r="61" customFormat="false" ht="15.75" hidden="false" customHeight="true" outlineLevel="0" collapsed="false">
      <c r="A61" s="30" t="n">
        <v>46303</v>
      </c>
      <c r="B61" s="31" t="s">
        <v>488</v>
      </c>
      <c r="C61" s="31" t="str">
        <f aca="false" t="array" ref="C61:C61">IF(B61="","",IFERROR(INDEX('CLM &amp; IM Mapping'!$B$2:$B$270,MATCH(TRIM(B61),'CLM &amp; IM Mapping'!$A$2:$A$270,0)),"Not Mapped"))</f>
        <v>Sundaresh S</v>
      </c>
      <c r="D61" s="31" t="str">
        <f aca="false" t="array" ref="D61:D61">IF(B61="","",IFERROR(INDEX('CLM &amp; IM Mapping'!$C$2:$C$270,MATCH(TRIM(B61),'CLM &amp; IM Mapping'!$A$2:$A$270,0)),"Not Mapped"))</f>
        <v>Un Mapped</v>
      </c>
      <c r="E61" s="31" t="s">
        <v>34</v>
      </c>
      <c r="F61" s="31" t="s">
        <v>562</v>
      </c>
      <c r="G61" s="31" t="s">
        <v>23</v>
      </c>
      <c r="H61" s="17" t="n">
        <v>5933</v>
      </c>
      <c r="I61" s="32" t="n">
        <v>0.7</v>
      </c>
      <c r="J61" s="33" t="n">
        <v>0.36</v>
      </c>
      <c r="K61" s="33" t="n">
        <v>0.85</v>
      </c>
      <c r="L61" s="33" t="n">
        <v>0.97</v>
      </c>
      <c r="M61" s="33" t="n">
        <v>0.85</v>
      </c>
      <c r="N61" s="11" t="n">
        <v>3</v>
      </c>
      <c r="O61" s="19"/>
      <c r="P61" s="11"/>
      <c r="Q61" s="8"/>
      <c r="R61" s="8"/>
      <c r="S61" s="8"/>
      <c r="T61" s="8"/>
      <c r="U61" s="8"/>
      <c r="V61" s="8"/>
      <c r="W61" s="8"/>
      <c r="X61" s="8"/>
      <c r="Y61" s="8"/>
      <c r="Z61" s="8"/>
      <c r="AA61" s="35"/>
      <c r="AB61" s="35"/>
      <c r="AC61" s="35"/>
      <c r="AD61" s="35"/>
      <c r="AE61" s="8"/>
      <c r="AF61" s="8"/>
      <c r="AG61" s="8"/>
      <c r="AH61" s="8"/>
      <c r="AI61" s="8"/>
      <c r="AJ61" s="8"/>
      <c r="AK61" s="8"/>
      <c r="AL61" s="8"/>
      <c r="AM61" s="8"/>
    </row>
    <row r="62" customFormat="false" ht="15.75" hidden="false" customHeight="true" outlineLevel="0" collapsed="false">
      <c r="A62" s="30" t="n">
        <v>46303</v>
      </c>
      <c r="B62" s="31" t="s">
        <v>153</v>
      </c>
      <c r="C62" s="31" t="str">
        <f aca="false" t="array" ref="C62:C62">IF(B62="","",IFERROR(INDEX('CLM &amp; IM Mapping'!$B$2:$B$270,MATCH(TRIM(B62),'CLM &amp; IM Mapping'!$A$2:$A$270,0)),"Not Mapped"))</f>
        <v>Ashwath S</v>
      </c>
      <c r="D62" s="31" t="str">
        <f aca="false" t="array" ref="D62:D62">IF(B62="","",IFERROR(INDEX('CLM &amp; IM Mapping'!$C$2:$C$270,MATCH(TRIM(B62),'CLM &amp; IM Mapping'!$A$2:$A$270,0)),"Not Mapped"))</f>
        <v>Kantha Kumar</v>
      </c>
      <c r="E62" s="31" t="s">
        <v>34</v>
      </c>
      <c r="F62" s="31" t="s">
        <v>562</v>
      </c>
      <c r="G62" s="31" t="s">
        <v>23</v>
      </c>
      <c r="H62" s="17" t="n">
        <v>5551</v>
      </c>
      <c r="I62" s="32" t="n">
        <v>0.7</v>
      </c>
      <c r="J62" s="33" t="n">
        <v>0.37</v>
      </c>
      <c r="K62" s="33" t="n">
        <v>0.85</v>
      </c>
      <c r="L62" s="33" t="n">
        <v>0.95</v>
      </c>
      <c r="M62" s="33" t="n">
        <v>0.85</v>
      </c>
      <c r="N62" s="11" t="n">
        <v>4</v>
      </c>
      <c r="O62" s="19"/>
      <c r="P62" s="11"/>
      <c r="Q62" s="8"/>
      <c r="R62" s="8"/>
      <c r="S62" s="8"/>
      <c r="T62" s="8"/>
      <c r="U62" s="8"/>
      <c r="V62" s="8"/>
      <c r="W62" s="8"/>
      <c r="X62" s="8"/>
      <c r="Y62" s="8"/>
      <c r="Z62" s="8"/>
      <c r="AA62" s="35"/>
      <c r="AB62" s="35"/>
      <c r="AC62" s="35"/>
      <c r="AD62" s="35"/>
      <c r="AE62" s="8"/>
      <c r="AF62" s="8"/>
      <c r="AG62" s="8"/>
      <c r="AH62" s="8"/>
      <c r="AI62" s="8"/>
      <c r="AJ62" s="8"/>
      <c r="AK62" s="8"/>
      <c r="AL62" s="8"/>
      <c r="AM62" s="8"/>
    </row>
    <row r="63" customFormat="false" ht="15.75" hidden="false" customHeight="true" outlineLevel="0" collapsed="false">
      <c r="A63" s="30" t="n">
        <v>46303</v>
      </c>
      <c r="B63" s="31" t="s">
        <v>218</v>
      </c>
      <c r="C63" s="31" t="str">
        <f aca="false" t="array" ref="C63:C63">IF(B63="","",IFERROR(INDEX('CLM &amp; IM Mapping'!$B$2:$B$270,MATCH(TRIM(B63),'CLM &amp; IM Mapping'!$A$2:$A$270,0)),"Not Mapped"))</f>
        <v>Ashwath S</v>
      </c>
      <c r="D63" s="31" t="str">
        <f aca="false" t="array" ref="D63:D63">IF(B63="","",IFERROR(INDEX('CLM &amp; IM Mapping'!$C$2:$C$270,MATCH(TRIM(B63),'CLM &amp; IM Mapping'!$A$2:$A$270,0)),"Not Mapped"))</f>
        <v>Kantha Kumar</v>
      </c>
      <c r="E63" s="31" t="s">
        <v>34</v>
      </c>
      <c r="F63" s="31" t="s">
        <v>562</v>
      </c>
      <c r="G63" s="31" t="s">
        <v>23</v>
      </c>
      <c r="H63" s="17" t="n">
        <v>7376</v>
      </c>
      <c r="I63" s="32" t="n">
        <v>0.7</v>
      </c>
      <c r="J63" s="33" t="n">
        <v>0.37</v>
      </c>
      <c r="K63" s="33" t="n">
        <v>0.8</v>
      </c>
      <c r="L63" s="33" t="n">
        <v>0.62</v>
      </c>
      <c r="M63" s="33" t="n">
        <v>0.8</v>
      </c>
      <c r="N63" s="11" t="n">
        <v>4</v>
      </c>
      <c r="O63" s="19"/>
      <c r="P63" s="11"/>
      <c r="Q63" s="8"/>
      <c r="R63" s="8"/>
      <c r="S63" s="8"/>
      <c r="T63" s="8"/>
      <c r="U63" s="8"/>
      <c r="V63" s="8"/>
      <c r="W63" s="8"/>
      <c r="X63" s="8"/>
      <c r="Y63" s="8"/>
      <c r="Z63" s="8"/>
      <c r="AA63" s="35"/>
      <c r="AB63" s="35"/>
      <c r="AC63" s="35"/>
      <c r="AD63" s="35"/>
      <c r="AE63" s="8"/>
      <c r="AF63" s="8"/>
      <c r="AG63" s="8"/>
      <c r="AH63" s="8"/>
      <c r="AI63" s="8"/>
      <c r="AJ63" s="8"/>
      <c r="AK63" s="8"/>
      <c r="AL63" s="8"/>
      <c r="AM63" s="8"/>
    </row>
    <row r="64" customFormat="false" ht="15.75" hidden="false" customHeight="true" outlineLevel="0" collapsed="false">
      <c r="A64" s="30" t="n">
        <v>46303</v>
      </c>
      <c r="B64" s="31" t="s">
        <v>238</v>
      </c>
      <c r="C64" s="31" t="str">
        <f aca="false" t="array" ref="C64:C64">IF(B64="","",IFERROR(INDEX('CLM &amp; IM Mapping'!$B$2:$B$270,MATCH(TRIM(B64),'CLM &amp; IM Mapping'!$A$2:$A$270,0)),"Not Mapped"))</f>
        <v>Suhas N</v>
      </c>
      <c r="D64" s="31" t="str">
        <f aca="false" t="array" ref="D64:D64">IF(B64="","",IFERROR(INDEX('CLM &amp; IM Mapping'!$C$2:$C$270,MATCH(TRIM(B64),'CLM &amp; IM Mapping'!$A$2:$A$270,0)),"Not Mapped"))</f>
        <v>Aravind S</v>
      </c>
      <c r="E64" s="31" t="s">
        <v>34</v>
      </c>
      <c r="F64" s="31" t="s">
        <v>562</v>
      </c>
      <c r="G64" s="31" t="s">
        <v>23</v>
      </c>
      <c r="H64" s="17" t="n">
        <v>5627</v>
      </c>
      <c r="I64" s="32" t="n">
        <v>0.7</v>
      </c>
      <c r="J64" s="33" t="n">
        <v>0.37</v>
      </c>
      <c r="K64" s="33" t="n">
        <v>0.79</v>
      </c>
      <c r="L64" s="33" t="n">
        <v>0.94</v>
      </c>
      <c r="M64" s="33" t="n">
        <v>0.79</v>
      </c>
      <c r="N64" s="11" t="n">
        <v>4</v>
      </c>
      <c r="O64" s="19"/>
      <c r="P64" s="11"/>
      <c r="Q64" s="8"/>
      <c r="R64" s="8"/>
      <c r="S64" s="8"/>
      <c r="T64" s="8"/>
      <c r="U64" s="8"/>
      <c r="V64" s="8"/>
      <c r="W64" s="8"/>
      <c r="X64" s="8"/>
      <c r="Y64" s="8"/>
      <c r="Z64" s="8"/>
      <c r="AA64" s="35"/>
      <c r="AB64" s="35"/>
      <c r="AC64" s="35"/>
      <c r="AD64" s="35"/>
      <c r="AE64" s="8"/>
      <c r="AF64" s="8"/>
      <c r="AG64" s="8"/>
      <c r="AH64" s="8"/>
      <c r="AI64" s="8"/>
      <c r="AJ64" s="8"/>
      <c r="AK64" s="8"/>
      <c r="AL64" s="8"/>
      <c r="AM64" s="8"/>
    </row>
    <row r="65" customFormat="false" ht="15.75" hidden="false" customHeight="true" outlineLevel="0" collapsed="false">
      <c r="A65" s="30" t="n">
        <v>46303</v>
      </c>
      <c r="B65" s="31" t="s">
        <v>248</v>
      </c>
      <c r="C65" s="31" t="str">
        <f aca="false" t="array" ref="C65:C65">IF(B65="","",IFERROR(INDEX('CLM &amp; IM Mapping'!$B$2:$B$270,MATCH(TRIM(B65),'CLM &amp; IM Mapping'!$A$2:$A$270,0)),"Not Mapped"))</f>
        <v>Arun Raj</v>
      </c>
      <c r="D65" s="31" t="str">
        <f aca="false" t="array" ref="D65:D65">IF(B65="","",IFERROR(INDEX('CLM &amp; IM Mapping'!$C$2:$C$270,MATCH(TRIM(B65),'CLM &amp; IM Mapping'!$A$2:$A$270,0)),"Not Mapped"))</f>
        <v>Simon Manoharan</v>
      </c>
      <c r="E65" s="31" t="s">
        <v>25</v>
      </c>
      <c r="F65" s="31" t="s">
        <v>565</v>
      </c>
      <c r="G65" s="31" t="s">
        <v>23</v>
      </c>
      <c r="H65" s="17" t="n">
        <v>12266</v>
      </c>
      <c r="I65" s="32" t="n">
        <v>0.7</v>
      </c>
      <c r="J65" s="33" t="n">
        <v>0.37</v>
      </c>
      <c r="K65" s="33" t="n">
        <v>0.97</v>
      </c>
      <c r="L65" s="33" t="n">
        <v>0.99</v>
      </c>
      <c r="M65" s="33" t="n">
        <v>0.97</v>
      </c>
      <c r="N65" s="11" t="n">
        <v>1</v>
      </c>
      <c r="O65" s="12" t="s">
        <v>587</v>
      </c>
      <c r="P65" s="12" t="s">
        <v>575</v>
      </c>
      <c r="Q65" s="8"/>
      <c r="R65" s="8"/>
      <c r="S65" s="8"/>
      <c r="T65" s="8"/>
      <c r="U65" s="8"/>
      <c r="V65" s="8"/>
      <c r="W65" s="8"/>
      <c r="X65" s="8"/>
      <c r="Y65" s="8"/>
      <c r="Z65" s="8"/>
      <c r="AA65" s="35"/>
      <c r="AB65" s="35"/>
      <c r="AC65" s="35"/>
      <c r="AD65" s="35"/>
      <c r="AE65" s="8"/>
      <c r="AF65" s="8"/>
      <c r="AG65" s="8"/>
      <c r="AH65" s="8"/>
      <c r="AI65" s="8"/>
      <c r="AJ65" s="8"/>
      <c r="AK65" s="8"/>
      <c r="AL65" s="8"/>
      <c r="AM65" s="8"/>
    </row>
    <row r="66" customFormat="false" ht="15.75" hidden="false" customHeight="true" outlineLevel="0" collapsed="false">
      <c r="A66" s="30" t="n">
        <v>46303</v>
      </c>
      <c r="B66" s="31" t="s">
        <v>213</v>
      </c>
      <c r="C66" s="31" t="str">
        <f aca="false" t="array" ref="C66:C66">IF(B66="","",IFERROR(INDEX('CLM &amp; IM Mapping'!$B$2:$B$270,MATCH(TRIM(B66),'CLM &amp; IM Mapping'!$A$2:$A$270,0)),"Not Mapped"))</f>
        <v>Bangareppa CS</v>
      </c>
      <c r="D66" s="31" t="str">
        <f aca="false" t="array" ref="D66:D66">IF(B66="","",IFERROR(INDEX('CLM &amp; IM Mapping'!$C$2:$C$270,MATCH(TRIM(B66),'CLM &amp; IM Mapping'!$A$2:$A$270,0)),"Not Mapped"))</f>
        <v>Kishor K</v>
      </c>
      <c r="E66" s="31" t="s">
        <v>34</v>
      </c>
      <c r="F66" s="31" t="s">
        <v>565</v>
      </c>
      <c r="G66" s="31" t="s">
        <v>212</v>
      </c>
      <c r="H66" s="17" t="n">
        <v>6805</v>
      </c>
      <c r="I66" s="32" t="n">
        <v>0.7</v>
      </c>
      <c r="J66" s="33" t="n">
        <v>0.37</v>
      </c>
      <c r="K66" s="33" t="n">
        <v>0.92</v>
      </c>
      <c r="L66" s="33" t="n">
        <v>0.98</v>
      </c>
      <c r="M66" s="33" t="n">
        <v>0.92</v>
      </c>
      <c r="N66" s="11" t="n">
        <v>2</v>
      </c>
      <c r="O66" s="12" t="s">
        <v>611</v>
      </c>
      <c r="P66" s="12" t="s">
        <v>603</v>
      </c>
      <c r="Q66" s="8"/>
      <c r="R66" s="8"/>
      <c r="S66" s="8"/>
      <c r="T66" s="8"/>
      <c r="U66" s="8"/>
      <c r="V66" s="8"/>
      <c r="W66" s="8"/>
      <c r="X66" s="8"/>
      <c r="Y66" s="8"/>
      <c r="Z66" s="8"/>
      <c r="AA66" s="35"/>
      <c r="AB66" s="35"/>
      <c r="AC66" s="35"/>
      <c r="AD66" s="35"/>
      <c r="AE66" s="8"/>
      <c r="AF66" s="8"/>
      <c r="AG66" s="8"/>
      <c r="AH66" s="8"/>
      <c r="AI66" s="8"/>
      <c r="AJ66" s="8"/>
      <c r="AK66" s="8"/>
      <c r="AL66" s="8"/>
      <c r="AM66" s="8"/>
    </row>
    <row r="67" customFormat="false" ht="15.75" hidden="false" customHeight="true" outlineLevel="0" collapsed="false">
      <c r="A67" s="30" t="n">
        <v>46303</v>
      </c>
      <c r="B67" s="31" t="s">
        <v>375</v>
      </c>
      <c r="C67" s="31" t="str">
        <f aca="false" t="array" ref="C67:C67">IF(B67="","",IFERROR(INDEX('CLM &amp; IM Mapping'!$B$2:$B$270,MATCH(TRIM(B67),'CLM &amp; IM Mapping'!$A$2:$A$270,0)),"Not Mapped"))</f>
        <v>Saddam Hussain</v>
      </c>
      <c r="D67" s="31" t="str">
        <f aca="false" t="array" ref="D67:D67">IF(B67="","",IFERROR(INDEX('CLM &amp; IM Mapping'!$C$2:$C$270,MATCH(TRIM(B67),'CLM &amp; IM Mapping'!$A$2:$A$270,0)),"Not Mapped"))</f>
        <v>Un Mapped</v>
      </c>
      <c r="E67" s="31" t="s">
        <v>34</v>
      </c>
      <c r="F67" s="31" t="s">
        <v>562</v>
      </c>
      <c r="G67" s="31" t="s">
        <v>23</v>
      </c>
      <c r="H67" s="17" t="n">
        <v>4890</v>
      </c>
      <c r="I67" s="32" t="n">
        <v>0.7</v>
      </c>
      <c r="J67" s="33" t="n">
        <v>0.38</v>
      </c>
      <c r="K67" s="33" t="n">
        <v>0.94</v>
      </c>
      <c r="L67" s="33" t="n">
        <v>0.98</v>
      </c>
      <c r="M67" s="33" t="n">
        <v>0.94</v>
      </c>
      <c r="N67" s="11" t="n">
        <v>3</v>
      </c>
      <c r="O67" s="12" t="s">
        <v>612</v>
      </c>
      <c r="P67" s="12" t="s">
        <v>586</v>
      </c>
      <c r="Q67" s="8"/>
      <c r="R67" s="8"/>
      <c r="S67" s="8"/>
      <c r="T67" s="8"/>
      <c r="U67" s="8"/>
      <c r="V67" s="8"/>
      <c r="W67" s="8"/>
      <c r="X67" s="8"/>
      <c r="Y67" s="8"/>
      <c r="Z67" s="8"/>
      <c r="AA67" s="35"/>
      <c r="AB67" s="35"/>
      <c r="AC67" s="35"/>
      <c r="AD67" s="35"/>
      <c r="AE67" s="8"/>
      <c r="AF67" s="8"/>
      <c r="AG67" s="8"/>
      <c r="AH67" s="8"/>
      <c r="AI67" s="8"/>
      <c r="AJ67" s="8"/>
      <c r="AK67" s="8"/>
      <c r="AL67" s="8"/>
      <c r="AM67" s="8"/>
    </row>
    <row r="68" customFormat="false" ht="15.75" hidden="false" customHeight="true" outlineLevel="0" collapsed="false">
      <c r="A68" s="30" t="n">
        <v>46303</v>
      </c>
      <c r="B68" s="31" t="s">
        <v>291</v>
      </c>
      <c r="C68" s="31" t="str">
        <f aca="false" t="array" ref="C68:C68">IF(B68="","",IFERROR(INDEX('CLM &amp; IM Mapping'!$B$2:$B$270,MATCH(TRIM(B68),'CLM &amp; IM Mapping'!$A$2:$A$270,0)),"Not Mapped"))</f>
        <v>Ashwath S</v>
      </c>
      <c r="D68" s="31" t="str">
        <f aca="false" t="array" ref="D68:D68">IF(B68="","",IFERROR(INDEX('CLM &amp; IM Mapping'!$C$2:$C$270,MATCH(TRIM(B68),'CLM &amp; IM Mapping'!$A$2:$A$270,0)),"Not Mapped"))</f>
        <v>Kantha Kumar</v>
      </c>
      <c r="E68" s="31" t="s">
        <v>34</v>
      </c>
      <c r="F68" s="31" t="s">
        <v>565</v>
      </c>
      <c r="G68" s="31" t="s">
        <v>23</v>
      </c>
      <c r="H68" s="17" t="n">
        <v>5484</v>
      </c>
      <c r="I68" s="32" t="n">
        <v>0.7</v>
      </c>
      <c r="J68" s="33" t="n">
        <v>0.38</v>
      </c>
      <c r="K68" s="33" t="n">
        <v>0.87</v>
      </c>
      <c r="L68" s="33" t="n">
        <v>0.93</v>
      </c>
      <c r="M68" s="33" t="n">
        <v>0.87</v>
      </c>
      <c r="N68" s="11" t="n">
        <v>3</v>
      </c>
      <c r="O68" s="19"/>
      <c r="P68" s="11"/>
      <c r="Q68" s="8"/>
      <c r="R68" s="8"/>
      <c r="S68" s="8"/>
      <c r="T68" s="8"/>
      <c r="U68" s="8"/>
      <c r="V68" s="8"/>
      <c r="W68" s="8"/>
      <c r="X68" s="8"/>
      <c r="Y68" s="8"/>
      <c r="Z68" s="8"/>
      <c r="AA68" s="35"/>
      <c r="AB68" s="35"/>
      <c r="AC68" s="35"/>
      <c r="AD68" s="35"/>
      <c r="AE68" s="8"/>
      <c r="AF68" s="8"/>
      <c r="AG68" s="8"/>
      <c r="AH68" s="8"/>
      <c r="AI68" s="8"/>
      <c r="AJ68" s="8"/>
      <c r="AK68" s="8"/>
      <c r="AL68" s="8"/>
      <c r="AM68" s="8"/>
    </row>
    <row r="69" customFormat="false" ht="15.75" hidden="false" customHeight="true" outlineLevel="0" collapsed="false">
      <c r="A69" s="30" t="n">
        <v>46303</v>
      </c>
      <c r="B69" s="31" t="s">
        <v>498</v>
      </c>
      <c r="C69" s="31" t="str">
        <f aca="false" t="array" ref="C69:C69">IF(B69="","",IFERROR(INDEX('CLM &amp; IM Mapping'!$B$2:$B$270,MATCH(TRIM(B69),'CLM &amp; IM Mapping'!$A$2:$A$270,0)),"Not Mapped"))</f>
        <v>Adhavan Subramani</v>
      </c>
      <c r="D69" s="31" t="str">
        <f aca="false" t="array" ref="D69:D69">IF(B69="","",IFERROR(INDEX('CLM &amp; IM Mapping'!$C$2:$C$270,MATCH(TRIM(B69),'CLM &amp; IM Mapping'!$A$2:$A$270,0)),"Not Mapped"))</f>
        <v>Mohammed Akbar</v>
      </c>
      <c r="E69" s="31" t="s">
        <v>34</v>
      </c>
      <c r="F69" s="31" t="s">
        <v>562</v>
      </c>
      <c r="G69" s="31" t="s">
        <v>23</v>
      </c>
      <c r="H69" s="17" t="n">
        <v>5790</v>
      </c>
      <c r="I69" s="32" t="n">
        <v>0.7</v>
      </c>
      <c r="J69" s="33" t="n">
        <v>0.38</v>
      </c>
      <c r="K69" s="33" t="n">
        <v>0.97</v>
      </c>
      <c r="L69" s="33" t="n">
        <v>0.82</v>
      </c>
      <c r="M69" s="31"/>
      <c r="N69" s="11"/>
      <c r="O69" s="12" t="s">
        <v>613</v>
      </c>
      <c r="P69" s="12" t="s">
        <v>567</v>
      </c>
      <c r="Q69" s="8"/>
      <c r="R69" s="8"/>
      <c r="S69" s="8"/>
      <c r="T69" s="8"/>
      <c r="U69" s="8"/>
      <c r="V69" s="8"/>
      <c r="W69" s="8"/>
      <c r="X69" s="8"/>
      <c r="Y69" s="8"/>
      <c r="Z69" s="8"/>
      <c r="AA69" s="35"/>
      <c r="AB69" s="35"/>
      <c r="AC69" s="35"/>
      <c r="AD69" s="35"/>
      <c r="AE69" s="8"/>
      <c r="AF69" s="8"/>
      <c r="AG69" s="8"/>
      <c r="AH69" s="8"/>
      <c r="AI69" s="8"/>
      <c r="AJ69" s="8"/>
      <c r="AK69" s="8"/>
      <c r="AL69" s="8"/>
      <c r="AM69" s="8"/>
    </row>
    <row r="70" customFormat="false" ht="15.75" hidden="false" customHeight="true" outlineLevel="0" collapsed="false">
      <c r="A70" s="30" t="n">
        <v>46303</v>
      </c>
      <c r="B70" s="31" t="s">
        <v>528</v>
      </c>
      <c r="C70" s="31" t="str">
        <f aca="false" t="array" ref="C70:C70">IF(B70="","",IFERROR(INDEX('CLM &amp; IM Mapping'!$B$2:$B$270,MATCH(TRIM(B70),'CLM &amp; IM Mapping'!$A$2:$A$270,0)),"Not Mapped"))</f>
        <v>Saddam Hussain</v>
      </c>
      <c r="D70" s="31" t="str">
        <f aca="false" t="array" ref="D70:D70">IF(B70="","",IFERROR(INDEX('CLM &amp; IM Mapping'!$C$2:$C$270,MATCH(TRIM(B70),'CLM &amp; IM Mapping'!$A$2:$A$270,0)),"Not Mapped"))</f>
        <v>Un Mapped</v>
      </c>
      <c r="E70" s="31" t="s">
        <v>34</v>
      </c>
      <c r="F70" s="31" t="s">
        <v>562</v>
      </c>
      <c r="G70" s="31" t="s">
        <v>23</v>
      </c>
      <c r="H70" s="17" t="n">
        <v>6238</v>
      </c>
      <c r="I70" s="32" t="n">
        <v>0.7</v>
      </c>
      <c r="J70" s="33" t="n">
        <v>0.39</v>
      </c>
      <c r="K70" s="33" t="n">
        <v>0.83</v>
      </c>
      <c r="L70" s="33" t="n">
        <v>0.94</v>
      </c>
      <c r="M70" s="33" t="n">
        <v>0.83</v>
      </c>
      <c r="N70" s="11" t="n">
        <v>4</v>
      </c>
      <c r="O70" s="12" t="s">
        <v>614</v>
      </c>
      <c r="P70" s="12" t="s">
        <v>615</v>
      </c>
      <c r="Q70" s="8"/>
      <c r="R70" s="8"/>
      <c r="S70" s="8"/>
      <c r="T70" s="8"/>
      <c r="U70" s="8"/>
      <c r="V70" s="8"/>
      <c r="W70" s="8"/>
      <c r="X70" s="8"/>
      <c r="Y70" s="8"/>
      <c r="Z70" s="8"/>
      <c r="AA70" s="35"/>
      <c r="AB70" s="35"/>
      <c r="AC70" s="35"/>
      <c r="AD70" s="35"/>
      <c r="AE70" s="8"/>
      <c r="AF70" s="8"/>
      <c r="AG70" s="8"/>
      <c r="AH70" s="8"/>
      <c r="AI70" s="8"/>
      <c r="AJ70" s="8"/>
      <c r="AK70" s="8"/>
      <c r="AL70" s="8"/>
      <c r="AM70" s="8"/>
    </row>
    <row r="71" customFormat="false" ht="15.75" hidden="false" customHeight="true" outlineLevel="0" collapsed="false">
      <c r="A71" s="30" t="n">
        <v>46303</v>
      </c>
      <c r="B71" s="31" t="s">
        <v>344</v>
      </c>
      <c r="C71" s="31" t="str">
        <f aca="false" t="array" ref="C71:C71">IF(B71="","",IFERROR(INDEX('CLM &amp; IM Mapping'!$B$2:$B$270,MATCH(TRIM(B71),'CLM &amp; IM Mapping'!$A$2:$A$270,0)),"Not Mapped"))</f>
        <v>Arun Raj</v>
      </c>
      <c r="D71" s="31" t="str">
        <f aca="false" t="array" ref="D71:D71">IF(B71="","",IFERROR(INDEX('CLM &amp; IM Mapping'!$C$2:$C$270,MATCH(TRIM(B71),'CLM &amp; IM Mapping'!$A$2:$A$270,0)),"Not Mapped"))</f>
        <v>Simon Manoharan</v>
      </c>
      <c r="E71" s="31" t="s">
        <v>25</v>
      </c>
      <c r="F71" s="31" t="s">
        <v>565</v>
      </c>
      <c r="G71" s="31" t="s">
        <v>23</v>
      </c>
      <c r="H71" s="17" t="n">
        <v>11819</v>
      </c>
      <c r="I71" s="32" t="n">
        <v>0.7</v>
      </c>
      <c r="J71" s="33" t="n">
        <v>0.39</v>
      </c>
      <c r="K71" s="33" t="n">
        <v>0.93</v>
      </c>
      <c r="L71" s="33" t="n">
        <v>0.99</v>
      </c>
      <c r="M71" s="33" t="n">
        <v>0.93</v>
      </c>
      <c r="N71" s="11" t="n">
        <v>2</v>
      </c>
      <c r="O71" s="12" t="s">
        <v>587</v>
      </c>
      <c r="P71" s="12" t="s">
        <v>575</v>
      </c>
      <c r="Q71" s="8"/>
      <c r="R71" s="8"/>
      <c r="S71" s="8"/>
      <c r="T71" s="8"/>
      <c r="U71" s="8"/>
      <c r="V71" s="8"/>
      <c r="W71" s="8"/>
      <c r="X71" s="8"/>
      <c r="Y71" s="8"/>
      <c r="Z71" s="8"/>
      <c r="AA71" s="35"/>
      <c r="AB71" s="35"/>
      <c r="AC71" s="35"/>
      <c r="AD71" s="35"/>
      <c r="AE71" s="8"/>
      <c r="AF71" s="8"/>
      <c r="AG71" s="8"/>
      <c r="AH71" s="8"/>
      <c r="AI71" s="8"/>
      <c r="AJ71" s="8"/>
      <c r="AK71" s="8"/>
      <c r="AL71" s="8"/>
      <c r="AM71" s="8"/>
    </row>
    <row r="72" customFormat="false" ht="15.75" hidden="false" customHeight="true" outlineLevel="0" collapsed="false">
      <c r="A72" s="30" t="n">
        <v>46303</v>
      </c>
      <c r="B72" s="31" t="s">
        <v>339</v>
      </c>
      <c r="C72" s="31" t="str">
        <f aca="false" t="array" ref="C72:C72">IF(B72="","",IFERROR(INDEX('CLM &amp; IM Mapping'!$B$2:$B$270,MATCH(TRIM(B72),'CLM &amp; IM Mapping'!$A$2:$A$270,0)),"Not Mapped"))</f>
        <v>Ravishankar gowda</v>
      </c>
      <c r="D72" s="31" t="str">
        <f aca="false" t="array" ref="D72:D72">IF(B72="","",IFERROR(INDEX('CLM &amp; IM Mapping'!$C$2:$C$270,MATCH(TRIM(B72),'CLM &amp; IM Mapping'!$A$2:$A$270,0)),"Not Mapped"))</f>
        <v>Kishor K</v>
      </c>
      <c r="E72" s="31" t="s">
        <v>34</v>
      </c>
      <c r="F72" s="31" t="s">
        <v>565</v>
      </c>
      <c r="G72" s="31" t="s">
        <v>23</v>
      </c>
      <c r="H72" s="17" t="n">
        <v>5717</v>
      </c>
      <c r="I72" s="32" t="n">
        <v>0.7</v>
      </c>
      <c r="J72" s="33" t="n">
        <v>0.39</v>
      </c>
      <c r="K72" s="33" t="n">
        <v>0.93</v>
      </c>
      <c r="L72" s="33" t="n">
        <v>0.96</v>
      </c>
      <c r="M72" s="33" t="n">
        <v>0.93</v>
      </c>
      <c r="N72" s="11" t="n">
        <v>3</v>
      </c>
      <c r="O72" s="12" t="s">
        <v>616</v>
      </c>
      <c r="P72" s="12" t="s">
        <v>605</v>
      </c>
      <c r="Q72" s="8"/>
      <c r="R72" s="8"/>
      <c r="S72" s="8"/>
      <c r="T72" s="8"/>
      <c r="U72" s="8"/>
      <c r="V72" s="8"/>
      <c r="W72" s="8"/>
      <c r="X72" s="8"/>
      <c r="Y72" s="8"/>
      <c r="Z72" s="8"/>
      <c r="AA72" s="35"/>
      <c r="AB72" s="35"/>
      <c r="AC72" s="35"/>
      <c r="AD72" s="35"/>
      <c r="AE72" s="8"/>
      <c r="AF72" s="8"/>
      <c r="AG72" s="8"/>
      <c r="AH72" s="8"/>
      <c r="AI72" s="8"/>
      <c r="AJ72" s="8"/>
      <c r="AK72" s="8"/>
      <c r="AL72" s="8"/>
      <c r="AM72" s="8"/>
    </row>
    <row r="73" customFormat="false" ht="15.75" hidden="false" customHeight="true" outlineLevel="0" collapsed="false">
      <c r="A73" s="30" t="n">
        <v>46303</v>
      </c>
      <c r="B73" s="31" t="s">
        <v>142</v>
      </c>
      <c r="C73" s="31" t="str">
        <f aca="false" t="array" ref="C73:C73">IF(B73="","",IFERROR(INDEX('CLM &amp; IM Mapping'!$B$2:$B$270,MATCH(TRIM(B73),'CLM &amp; IM Mapping'!$A$2:$A$270,0)),"Not Mapped"))</f>
        <v>Sundaresh S</v>
      </c>
      <c r="D73" s="31" t="str">
        <f aca="false" t="array" ref="D73:D73">IF(B73="","",IFERROR(INDEX('CLM &amp; IM Mapping'!$C$2:$C$270,MATCH(TRIM(B73),'CLM &amp; IM Mapping'!$A$2:$A$270,0)),"Not Mapped"))</f>
        <v>Un Mapped</v>
      </c>
      <c r="E73" s="31" t="s">
        <v>34</v>
      </c>
      <c r="F73" s="31" t="s">
        <v>562</v>
      </c>
      <c r="G73" s="31" t="s">
        <v>23</v>
      </c>
      <c r="H73" s="17" t="n">
        <v>4675</v>
      </c>
      <c r="I73" s="32" t="n">
        <v>0.7</v>
      </c>
      <c r="J73" s="33" t="n">
        <v>0.39</v>
      </c>
      <c r="K73" s="33" t="n">
        <v>0.74</v>
      </c>
      <c r="L73" s="33" t="n">
        <v>0.94</v>
      </c>
      <c r="M73" s="33" t="n">
        <v>0.74</v>
      </c>
      <c r="N73" s="11" t="n">
        <v>10</v>
      </c>
      <c r="O73" s="12" t="s">
        <v>617</v>
      </c>
      <c r="P73" s="12" t="s">
        <v>586</v>
      </c>
      <c r="Q73" s="8"/>
      <c r="R73" s="8"/>
      <c r="S73" s="8"/>
      <c r="T73" s="8"/>
      <c r="U73" s="8"/>
      <c r="V73" s="8"/>
      <c r="W73" s="8"/>
      <c r="X73" s="8"/>
      <c r="Y73" s="8"/>
      <c r="Z73" s="8"/>
      <c r="AA73" s="35"/>
      <c r="AB73" s="35"/>
      <c r="AC73" s="35"/>
      <c r="AD73" s="35"/>
      <c r="AE73" s="8"/>
      <c r="AF73" s="8"/>
      <c r="AG73" s="8"/>
      <c r="AH73" s="8"/>
      <c r="AI73" s="8"/>
      <c r="AJ73" s="8"/>
      <c r="AK73" s="8"/>
      <c r="AL73" s="8"/>
      <c r="AM73" s="8"/>
    </row>
    <row r="74" customFormat="false" ht="15.75" hidden="false" customHeight="true" outlineLevel="0" collapsed="false">
      <c r="A74" s="30" t="n">
        <v>46303</v>
      </c>
      <c r="B74" s="31" t="s">
        <v>379</v>
      </c>
      <c r="C74" s="31" t="str">
        <f aca="false" t="array" ref="C74:C74">IF(B74="","",IFERROR(INDEX('CLM &amp; IM Mapping'!$B$2:$B$270,MATCH(TRIM(B74),'CLM &amp; IM Mapping'!$A$2:$A$270,0)),"Not Mapped"))</f>
        <v>Richard Harris</v>
      </c>
      <c r="D74" s="31" t="str">
        <f aca="false" t="array" ref="D74:D74">IF(B74="","",IFERROR(INDEX('CLM &amp; IM Mapping'!$C$2:$C$270,MATCH(TRIM(B74),'CLM &amp; IM Mapping'!$A$2:$A$270,0)),"Not Mapped"))</f>
        <v>Kantha Kumar</v>
      </c>
      <c r="E74" s="31" t="s">
        <v>34</v>
      </c>
      <c r="F74" s="31" t="s">
        <v>565</v>
      </c>
      <c r="G74" s="31" t="s">
        <v>23</v>
      </c>
      <c r="H74" s="17" t="n">
        <v>5086</v>
      </c>
      <c r="I74" s="32" t="n">
        <v>0.7</v>
      </c>
      <c r="J74" s="33" t="n">
        <v>0.39</v>
      </c>
      <c r="K74" s="33" t="n">
        <v>0.84</v>
      </c>
      <c r="L74" s="33" t="n">
        <v>0.99</v>
      </c>
      <c r="M74" s="33" t="n">
        <v>0.84</v>
      </c>
      <c r="N74" s="11" t="n">
        <v>2</v>
      </c>
      <c r="O74" s="19"/>
      <c r="P74" s="11"/>
      <c r="Q74" s="8"/>
      <c r="R74" s="8"/>
      <c r="S74" s="8"/>
      <c r="T74" s="8"/>
      <c r="U74" s="8"/>
      <c r="V74" s="8"/>
      <c r="W74" s="8"/>
      <c r="X74" s="8"/>
      <c r="Y74" s="8"/>
      <c r="Z74" s="8"/>
      <c r="AA74" s="35"/>
      <c r="AB74" s="35"/>
      <c r="AC74" s="35"/>
      <c r="AD74" s="35"/>
      <c r="AE74" s="8"/>
      <c r="AF74" s="8"/>
      <c r="AG74" s="8"/>
      <c r="AH74" s="8"/>
      <c r="AI74" s="8"/>
      <c r="AJ74" s="8"/>
      <c r="AK74" s="8"/>
      <c r="AL74" s="8"/>
      <c r="AM74" s="8"/>
    </row>
    <row r="75" customFormat="false" ht="15.75" hidden="false" customHeight="true" outlineLevel="0" collapsed="false">
      <c r="A75" s="30" t="n">
        <v>46303</v>
      </c>
      <c r="B75" s="31" t="s">
        <v>426</v>
      </c>
      <c r="C75" s="31" t="str">
        <f aca="false" t="array" ref="C75:C75">IF(B75="","",IFERROR(INDEX('CLM &amp; IM Mapping'!$B$2:$B$270,MATCH(TRIM(B75),'CLM &amp; IM Mapping'!$A$2:$A$270,0)),"Not Mapped"))</f>
        <v>Silambarasan E</v>
      </c>
      <c r="D75" s="31" t="str">
        <f aca="false" t="array" ref="D75:D75">IF(B75="","",IFERROR(INDEX('CLM &amp; IM Mapping'!$C$2:$C$270,MATCH(TRIM(B75),'CLM &amp; IM Mapping'!$A$2:$A$270,0)),"Not Mapped"))</f>
        <v>Arivind S</v>
      </c>
      <c r="E75" s="31" t="s">
        <v>34</v>
      </c>
      <c r="F75" s="31" t="s">
        <v>562</v>
      </c>
      <c r="G75" s="31" t="s">
        <v>23</v>
      </c>
      <c r="H75" s="17" t="n">
        <v>5558</v>
      </c>
      <c r="I75" s="32" t="n">
        <v>0.7</v>
      </c>
      <c r="J75" s="33" t="n">
        <v>0.39</v>
      </c>
      <c r="K75" s="33" t="n">
        <v>0.81</v>
      </c>
      <c r="L75" s="33" t="n">
        <v>0.96</v>
      </c>
      <c r="M75" s="33" t="n">
        <v>0.81</v>
      </c>
      <c r="N75" s="11" t="n">
        <v>3</v>
      </c>
      <c r="O75" s="12" t="s">
        <v>618</v>
      </c>
      <c r="P75" s="12" t="s">
        <v>567</v>
      </c>
      <c r="Q75" s="8"/>
      <c r="R75" s="8"/>
      <c r="S75" s="8"/>
      <c r="T75" s="8"/>
      <c r="U75" s="8"/>
      <c r="V75" s="8"/>
      <c r="W75" s="8"/>
      <c r="X75" s="8"/>
      <c r="Y75" s="8"/>
      <c r="Z75" s="8"/>
      <c r="AA75" s="35"/>
      <c r="AB75" s="35"/>
      <c r="AC75" s="35"/>
      <c r="AD75" s="35"/>
      <c r="AE75" s="8"/>
      <c r="AF75" s="8"/>
      <c r="AG75" s="8"/>
      <c r="AH75" s="8"/>
      <c r="AI75" s="8"/>
      <c r="AJ75" s="8"/>
      <c r="AK75" s="8"/>
      <c r="AL75" s="8"/>
      <c r="AM75" s="8"/>
    </row>
    <row r="76" customFormat="false" ht="15.75" hidden="false" customHeight="true" outlineLevel="0" collapsed="false">
      <c r="A76" s="30" t="n">
        <v>46303</v>
      </c>
      <c r="B76" s="31" t="s">
        <v>304</v>
      </c>
      <c r="C76" s="31" t="str">
        <f aca="false" t="array" ref="C76:C76">IF(B76="","",IFERROR(INDEX('CLM &amp; IM Mapping'!$B$2:$B$270,MATCH(TRIM(B76),'CLM &amp; IM Mapping'!$A$2:$A$270,0)),"Not Mapped"))</f>
        <v>John Britto</v>
      </c>
      <c r="D76" s="31" t="str">
        <f aca="false" t="array" ref="D76:D76">IF(B76="","",IFERROR(INDEX('CLM &amp; IM Mapping'!$C$2:$C$270,MATCH(TRIM(B76),'CLM &amp; IM Mapping'!$A$2:$A$270,0)),"Not Mapped"))</f>
        <v>Aravind S</v>
      </c>
      <c r="E76" s="31" t="s">
        <v>34</v>
      </c>
      <c r="F76" s="31" t="s">
        <v>562</v>
      </c>
      <c r="G76" s="31" t="s">
        <v>303</v>
      </c>
      <c r="H76" s="17" t="n">
        <v>5441</v>
      </c>
      <c r="I76" s="32" t="n">
        <v>0.7</v>
      </c>
      <c r="J76" s="33" t="n">
        <v>0.39</v>
      </c>
      <c r="K76" s="33" t="n">
        <v>0.84</v>
      </c>
      <c r="L76" s="33" t="n">
        <v>0.97</v>
      </c>
      <c r="M76" s="33" t="n">
        <v>0.84</v>
      </c>
      <c r="N76" s="11" t="n">
        <v>2</v>
      </c>
      <c r="O76" s="19"/>
      <c r="P76" s="11"/>
      <c r="Q76" s="8"/>
      <c r="R76" s="8"/>
      <c r="S76" s="8"/>
      <c r="T76" s="8"/>
      <c r="U76" s="8"/>
      <c r="V76" s="8"/>
      <c r="W76" s="8"/>
      <c r="X76" s="8"/>
      <c r="Y76" s="8"/>
      <c r="Z76" s="8"/>
      <c r="AA76" s="35"/>
      <c r="AB76" s="35"/>
      <c r="AC76" s="35"/>
      <c r="AD76" s="35"/>
      <c r="AE76" s="8"/>
      <c r="AF76" s="8"/>
      <c r="AG76" s="8"/>
      <c r="AH76" s="8"/>
      <c r="AI76" s="8"/>
      <c r="AJ76" s="8"/>
      <c r="AK76" s="8"/>
      <c r="AL76" s="8"/>
      <c r="AM76" s="8"/>
    </row>
    <row r="77" customFormat="false" ht="15.75" hidden="false" customHeight="true" outlineLevel="0" collapsed="false">
      <c r="A77" s="30" t="n">
        <v>46303</v>
      </c>
      <c r="B77" s="31" t="s">
        <v>418</v>
      </c>
      <c r="C77" s="31" t="str">
        <f aca="false" t="array" ref="C77:C77">IF(B77="","",IFERROR(INDEX('CLM &amp; IM Mapping'!$B$2:$B$270,MATCH(TRIM(B77),'CLM &amp; IM Mapping'!$A$2:$A$270,0)),"Not Mapped"))</f>
        <v>Vishnu V</v>
      </c>
      <c r="D77" s="31" t="str">
        <f aca="false" t="array" ref="D77:D77">IF(B77="","",IFERROR(INDEX('CLM &amp; IM Mapping'!$C$2:$C$270,MATCH(TRIM(B77),'CLM &amp; IM Mapping'!$A$2:$A$270,0)),"Not Mapped"))</f>
        <v>Arivind S</v>
      </c>
      <c r="E77" s="31" t="s">
        <v>34</v>
      </c>
      <c r="F77" s="31" t="s">
        <v>562</v>
      </c>
      <c r="G77" s="31" t="s">
        <v>417</v>
      </c>
      <c r="H77" s="17" t="n">
        <v>6776</v>
      </c>
      <c r="I77" s="32" t="n">
        <v>0.7</v>
      </c>
      <c r="J77" s="33" t="n">
        <v>0.39</v>
      </c>
      <c r="K77" s="33" t="n">
        <v>0.97</v>
      </c>
      <c r="L77" s="33" t="n">
        <v>0.99</v>
      </c>
      <c r="M77" s="33" t="n">
        <v>0.97</v>
      </c>
      <c r="N77" s="11" t="n">
        <v>2</v>
      </c>
      <c r="O77" s="12" t="s">
        <v>619</v>
      </c>
      <c r="P77" s="12" t="s">
        <v>620</v>
      </c>
      <c r="Q77" s="8"/>
      <c r="R77" s="8"/>
      <c r="S77" s="8"/>
      <c r="T77" s="8"/>
      <c r="U77" s="8"/>
      <c r="V77" s="8"/>
      <c r="W77" s="8"/>
      <c r="X77" s="8"/>
      <c r="Y77" s="8"/>
      <c r="Z77" s="8"/>
      <c r="AA77" s="35"/>
      <c r="AB77" s="35"/>
      <c r="AC77" s="35"/>
      <c r="AD77" s="8"/>
      <c r="AE77" s="8"/>
      <c r="AF77" s="8"/>
      <c r="AG77" s="8"/>
      <c r="AH77" s="8"/>
      <c r="AI77" s="8"/>
      <c r="AJ77" s="8"/>
      <c r="AK77" s="8"/>
      <c r="AL77" s="8"/>
      <c r="AM77" s="8"/>
    </row>
    <row r="78" customFormat="false" ht="15.75" hidden="false" customHeight="true" outlineLevel="0" collapsed="false">
      <c r="A78" s="30" t="n">
        <v>46303</v>
      </c>
      <c r="B78" s="31" t="s">
        <v>205</v>
      </c>
      <c r="C78" s="31" t="str">
        <f aca="false" t="array" ref="C78:C78">IF(B78="","",IFERROR(INDEX('CLM &amp; IM Mapping'!$B$2:$B$270,MATCH(TRIM(B78),'CLM &amp; IM Mapping'!$A$2:$A$270,0)),"Not Mapped"))</f>
        <v>Akshay P</v>
      </c>
      <c r="D78" s="31" t="str">
        <f aca="false" t="array" ref="D78:D78">IF(B78="","",IFERROR(INDEX('CLM &amp; IM Mapping'!$C$2:$C$270,MATCH(TRIM(B78),'CLM &amp; IM Mapping'!$A$2:$A$270,0)),"Not Mapped"))</f>
        <v>Srittam Dhal</v>
      </c>
      <c r="E78" s="31" t="s">
        <v>34</v>
      </c>
      <c r="F78" s="31" t="s">
        <v>565</v>
      </c>
      <c r="G78" s="31" t="s">
        <v>23</v>
      </c>
      <c r="H78" s="17" t="n">
        <v>6639</v>
      </c>
      <c r="I78" s="32" t="n">
        <v>0.7</v>
      </c>
      <c r="J78" s="33" t="n">
        <v>0.4</v>
      </c>
      <c r="K78" s="33" t="n">
        <v>0.87</v>
      </c>
      <c r="L78" s="33" t="n">
        <v>0.97</v>
      </c>
      <c r="M78" s="33" t="n">
        <v>0.87</v>
      </c>
      <c r="N78" s="11" t="n">
        <v>6</v>
      </c>
      <c r="O78" s="12" t="s">
        <v>621</v>
      </c>
      <c r="P78" s="12" t="s">
        <v>575</v>
      </c>
      <c r="Q78" s="8"/>
      <c r="R78" s="8"/>
      <c r="S78" s="8"/>
      <c r="T78" s="8"/>
      <c r="U78" s="8"/>
      <c r="V78" s="8"/>
      <c r="W78" s="8"/>
      <c r="X78" s="8"/>
      <c r="Y78" s="8"/>
      <c r="Z78" s="8"/>
      <c r="AA78" s="35"/>
      <c r="AB78" s="35"/>
      <c r="AC78" s="35"/>
      <c r="AD78" s="35"/>
      <c r="AE78" s="8"/>
      <c r="AF78" s="8"/>
      <c r="AG78" s="8"/>
      <c r="AH78" s="8"/>
      <c r="AI78" s="8"/>
      <c r="AJ78" s="8"/>
      <c r="AK78" s="8"/>
      <c r="AL78" s="8"/>
      <c r="AM78" s="8"/>
    </row>
    <row r="79" customFormat="false" ht="15.75" hidden="false" customHeight="true" outlineLevel="0" collapsed="false">
      <c r="A79" s="30" t="n">
        <v>46303</v>
      </c>
      <c r="B79" s="31" t="s">
        <v>444</v>
      </c>
      <c r="C79" s="31" t="str">
        <f aca="false" t="array" ref="C79:C79">IF(B79="","",IFERROR(INDEX('CLM &amp; IM Mapping'!$B$2:$B$270,MATCH(TRIM(B79),'CLM &amp; IM Mapping'!$A$2:$A$270,0)),"Not Mapped"))</f>
        <v>Narasimhamurthy R</v>
      </c>
      <c r="D79" s="31" t="str">
        <f aca="false" t="array" ref="D79:D79">IF(B79="","",IFERROR(INDEX('CLM &amp; IM Mapping'!$C$2:$C$270,MATCH(TRIM(B79),'CLM &amp; IM Mapping'!$A$2:$A$270,0)),"Not Mapped"))</f>
        <v>Kishor K</v>
      </c>
      <c r="E79" s="31" t="s">
        <v>34</v>
      </c>
      <c r="F79" s="31" t="s">
        <v>562</v>
      </c>
      <c r="G79" s="31" t="s">
        <v>23</v>
      </c>
      <c r="H79" s="17" t="n">
        <v>5305</v>
      </c>
      <c r="I79" s="32" t="n">
        <v>0.7</v>
      </c>
      <c r="J79" s="33" t="n">
        <v>0.4</v>
      </c>
      <c r="K79" s="33" t="n">
        <v>0.99</v>
      </c>
      <c r="L79" s="33" t="n">
        <v>0.98</v>
      </c>
      <c r="M79" s="33" t="n">
        <v>0.99</v>
      </c>
      <c r="N79" s="11" t="n">
        <v>2</v>
      </c>
      <c r="O79" s="12" t="s">
        <v>622</v>
      </c>
      <c r="P79" s="12" t="s">
        <v>623</v>
      </c>
      <c r="Q79" s="8"/>
      <c r="R79" s="8"/>
      <c r="S79" s="8"/>
      <c r="T79" s="8"/>
      <c r="U79" s="8"/>
      <c r="V79" s="8"/>
      <c r="W79" s="8"/>
      <c r="X79" s="8"/>
      <c r="Y79" s="8"/>
      <c r="Z79" s="8"/>
      <c r="AA79" s="35"/>
      <c r="AB79" s="35"/>
      <c r="AC79" s="35"/>
      <c r="AD79" s="35"/>
      <c r="AE79" s="8"/>
      <c r="AF79" s="8"/>
      <c r="AG79" s="8"/>
      <c r="AH79" s="8"/>
      <c r="AI79" s="8"/>
      <c r="AJ79" s="8"/>
      <c r="AK79" s="8"/>
      <c r="AL79" s="8"/>
      <c r="AM79" s="8"/>
    </row>
    <row r="80" customFormat="false" ht="15.75" hidden="false" customHeight="true" outlineLevel="0" collapsed="false">
      <c r="A80" s="30" t="n">
        <v>46303</v>
      </c>
      <c r="B80" s="31" t="s">
        <v>386</v>
      </c>
      <c r="C80" s="31" t="str">
        <f aca="false" t="array" ref="C80:C80">IF(B80="","",IFERROR(INDEX('CLM &amp; IM Mapping'!$B$2:$B$270,MATCH(TRIM(B80),'CLM &amp; IM Mapping'!$A$2:$A$270,0)),"Not Mapped"))</f>
        <v>Arun Raj</v>
      </c>
      <c r="D80" s="31" t="str">
        <f aca="false" t="array" ref="D80:D80">IF(B80="","",IFERROR(INDEX('CLM &amp; IM Mapping'!$C$2:$C$270,MATCH(TRIM(B80),'CLM &amp; IM Mapping'!$A$2:$A$270,0)),"Not Mapped"))</f>
        <v>Simon Manoharan</v>
      </c>
      <c r="E80" s="31" t="s">
        <v>25</v>
      </c>
      <c r="F80" s="31" t="s">
        <v>565</v>
      </c>
      <c r="G80" s="31" t="s">
        <v>23</v>
      </c>
      <c r="H80" s="17" t="n">
        <v>12736</v>
      </c>
      <c r="I80" s="32" t="n">
        <v>0.7</v>
      </c>
      <c r="J80" s="33" t="n">
        <v>0.4</v>
      </c>
      <c r="K80" s="33" t="n">
        <v>0.99</v>
      </c>
      <c r="L80" s="33" t="n">
        <v>1</v>
      </c>
      <c r="M80" s="33" t="n">
        <v>0.99</v>
      </c>
      <c r="N80" s="11" t="n">
        <v>1</v>
      </c>
      <c r="O80" s="12" t="s">
        <v>587</v>
      </c>
      <c r="P80" s="12" t="s">
        <v>575</v>
      </c>
      <c r="Q80" s="8"/>
      <c r="R80" s="8"/>
      <c r="S80" s="8"/>
      <c r="T80" s="8"/>
      <c r="U80" s="8"/>
      <c r="V80" s="8"/>
      <c r="W80" s="8"/>
      <c r="X80" s="8"/>
      <c r="Y80" s="8"/>
      <c r="Z80" s="8"/>
      <c r="AA80" s="35"/>
      <c r="AB80" s="35"/>
      <c r="AC80" s="35"/>
      <c r="AD80" s="35"/>
      <c r="AE80" s="8"/>
      <c r="AF80" s="8"/>
      <c r="AG80" s="8"/>
      <c r="AH80" s="8"/>
      <c r="AI80" s="8"/>
      <c r="AJ80" s="8"/>
      <c r="AK80" s="8"/>
      <c r="AL80" s="8"/>
      <c r="AM80" s="8"/>
    </row>
    <row r="81" customFormat="false" ht="15.75" hidden="false" customHeight="true" outlineLevel="0" collapsed="false">
      <c r="A81" s="30" t="n">
        <v>46303</v>
      </c>
      <c r="B81" s="31" t="s">
        <v>53</v>
      </c>
      <c r="C81" s="31" t="str">
        <f aca="false" t="array" ref="C81:C81">IF(B81="","",IFERROR(INDEX('CLM &amp; IM Mapping'!$B$2:$B$270,MATCH(TRIM(B81),'CLM &amp; IM Mapping'!$A$2:$A$270,0)),"Not Mapped"))</f>
        <v>Richard Harris</v>
      </c>
      <c r="D81" s="31" t="str">
        <f aca="false" t="array" ref="D81:D81">IF(B81="","",IFERROR(INDEX('CLM &amp; IM Mapping'!$C$2:$C$270,MATCH(TRIM(B81),'CLM &amp; IM Mapping'!$A$2:$A$270,0)),"Not Mapped"))</f>
        <v>Kantha Kumar</v>
      </c>
      <c r="E81" s="31" t="s">
        <v>34</v>
      </c>
      <c r="F81" s="31" t="s">
        <v>562</v>
      </c>
      <c r="G81" s="31" t="s">
        <v>23</v>
      </c>
      <c r="H81" s="17" t="n">
        <v>5302</v>
      </c>
      <c r="I81" s="32" t="n">
        <v>0.7</v>
      </c>
      <c r="J81" s="33" t="n">
        <v>0.4</v>
      </c>
      <c r="K81" s="33" t="n">
        <v>0.81</v>
      </c>
      <c r="L81" s="33" t="n">
        <v>0.94</v>
      </c>
      <c r="M81" s="33" t="n">
        <v>0.81</v>
      </c>
      <c r="N81" s="11" t="n">
        <v>3</v>
      </c>
      <c r="O81" s="19"/>
      <c r="P81" s="11"/>
      <c r="Q81" s="8"/>
      <c r="R81" s="8"/>
      <c r="S81" s="8"/>
      <c r="T81" s="8"/>
      <c r="U81" s="8"/>
      <c r="V81" s="8"/>
      <c r="W81" s="8"/>
      <c r="X81" s="8"/>
      <c r="Y81" s="8"/>
      <c r="Z81" s="8"/>
      <c r="AA81" s="35"/>
      <c r="AB81" s="35"/>
      <c r="AC81" s="35"/>
      <c r="AD81" s="8"/>
      <c r="AE81" s="8"/>
      <c r="AF81" s="8"/>
      <c r="AG81" s="8"/>
      <c r="AH81" s="8"/>
      <c r="AI81" s="8"/>
      <c r="AJ81" s="8"/>
      <c r="AK81" s="8"/>
      <c r="AL81" s="8"/>
      <c r="AM81" s="8"/>
    </row>
    <row r="82" customFormat="false" ht="15.75" hidden="false" customHeight="true" outlineLevel="0" collapsed="false">
      <c r="A82" s="30" t="n">
        <v>46303</v>
      </c>
      <c r="B82" s="31" t="s">
        <v>129</v>
      </c>
      <c r="C82" s="31" t="str">
        <f aca="false" t="array" ref="C82:C82">IF(B82="","",IFERROR(INDEX('CLM &amp; IM Mapping'!$B$2:$B$270,MATCH(TRIM(B82),'CLM &amp; IM Mapping'!$A$2:$A$270,0)),"Not Mapped"))</f>
        <v>Ashwath S</v>
      </c>
      <c r="D82" s="31" t="str">
        <f aca="false" t="array" ref="D82:D82">IF(B82="","",IFERROR(INDEX('CLM &amp; IM Mapping'!$C$2:$C$270,MATCH(TRIM(B82),'CLM &amp; IM Mapping'!$A$2:$A$270,0)),"Not Mapped"))</f>
        <v>Kantha Kumar</v>
      </c>
      <c r="E82" s="31" t="s">
        <v>34</v>
      </c>
      <c r="F82" s="31" t="s">
        <v>565</v>
      </c>
      <c r="G82" s="31" t="s">
        <v>23</v>
      </c>
      <c r="H82" s="17" t="n">
        <v>5785</v>
      </c>
      <c r="I82" s="32" t="n">
        <v>0.7</v>
      </c>
      <c r="J82" s="33" t="n">
        <v>0.4</v>
      </c>
      <c r="K82" s="33" t="n">
        <v>0.76</v>
      </c>
      <c r="L82" s="33" t="n">
        <v>0.89</v>
      </c>
      <c r="M82" s="33" t="n">
        <v>0.76</v>
      </c>
      <c r="N82" s="11" t="n">
        <v>2</v>
      </c>
      <c r="O82" s="19"/>
      <c r="P82" s="11"/>
      <c r="Q82" s="8"/>
      <c r="R82" s="8"/>
      <c r="S82" s="8"/>
      <c r="T82" s="8"/>
      <c r="U82" s="8"/>
      <c r="V82" s="8"/>
      <c r="W82" s="8"/>
      <c r="X82" s="8"/>
      <c r="Y82" s="8"/>
      <c r="Z82" s="8"/>
      <c r="AA82" s="35"/>
      <c r="AB82" s="35"/>
      <c r="AC82" s="35"/>
      <c r="AD82" s="35"/>
      <c r="AE82" s="8"/>
      <c r="AF82" s="8"/>
      <c r="AG82" s="8"/>
      <c r="AH82" s="8"/>
      <c r="AI82" s="8"/>
      <c r="AJ82" s="8"/>
      <c r="AK82" s="8"/>
      <c r="AL82" s="8"/>
      <c r="AM82" s="8"/>
    </row>
    <row r="83" customFormat="false" ht="15.75" hidden="false" customHeight="true" outlineLevel="0" collapsed="false">
      <c r="A83" s="30" t="n">
        <v>46303</v>
      </c>
      <c r="B83" s="31" t="s">
        <v>265</v>
      </c>
      <c r="C83" s="31" t="str">
        <f aca="false" t="array" ref="C83:C83">IF(B83="","",IFERROR(INDEX('CLM &amp; IM Mapping'!$B$2:$B$270,MATCH(TRIM(B83),'CLM &amp; IM Mapping'!$A$2:$A$270,0)),"Not Mapped"))</f>
        <v>Adhavan Subramani</v>
      </c>
      <c r="D83" s="31" t="str">
        <f aca="false" t="array" ref="D83:D83">IF(B83="","",IFERROR(INDEX('CLM &amp; IM Mapping'!$C$2:$C$270,MATCH(TRIM(B83),'CLM &amp; IM Mapping'!$A$2:$A$270,0)),"Not Mapped"))</f>
        <v>Mohammed Akbar</v>
      </c>
      <c r="E83" s="31" t="s">
        <v>34</v>
      </c>
      <c r="F83" s="31" t="s">
        <v>565</v>
      </c>
      <c r="G83" s="31" t="s">
        <v>23</v>
      </c>
      <c r="H83" s="17" t="n">
        <v>12257</v>
      </c>
      <c r="I83" s="32" t="n">
        <v>0.7</v>
      </c>
      <c r="J83" s="33" t="n">
        <v>0.4</v>
      </c>
      <c r="K83" s="33" t="n">
        <v>0.97</v>
      </c>
      <c r="L83" s="33" t="n">
        <v>0.99</v>
      </c>
      <c r="M83" s="31"/>
      <c r="N83" s="11" t="n">
        <v>2</v>
      </c>
      <c r="O83" s="12" t="s">
        <v>624</v>
      </c>
      <c r="P83" s="12" t="s">
        <v>567</v>
      </c>
      <c r="Q83" s="8"/>
      <c r="R83" s="8"/>
      <c r="S83" s="8"/>
      <c r="T83" s="8"/>
      <c r="U83" s="8"/>
      <c r="V83" s="8"/>
      <c r="W83" s="8"/>
      <c r="X83" s="8"/>
      <c r="Y83" s="8"/>
      <c r="Z83" s="8"/>
      <c r="AA83" s="35"/>
      <c r="AB83" s="35"/>
      <c r="AC83" s="35"/>
      <c r="AD83" s="35"/>
      <c r="AE83" s="8"/>
      <c r="AF83" s="8"/>
      <c r="AG83" s="8"/>
      <c r="AH83" s="8"/>
      <c r="AI83" s="8"/>
      <c r="AJ83" s="8"/>
      <c r="AK83" s="8"/>
      <c r="AL83" s="8"/>
      <c r="AM83" s="8"/>
    </row>
    <row r="84" customFormat="false" ht="15.75" hidden="false" customHeight="true" outlineLevel="0" collapsed="false">
      <c r="A84" s="30" t="n">
        <v>46303</v>
      </c>
      <c r="B84" s="31" t="s">
        <v>441</v>
      </c>
      <c r="C84" s="31" t="str">
        <f aca="false" t="array" ref="C84:C84">IF(B84="","",IFERROR(INDEX('CLM &amp; IM Mapping'!$B$2:$B$270,MATCH(TRIM(B84),'CLM &amp; IM Mapping'!$A$2:$A$270,0)),"Not Mapped"))</f>
        <v>Vijay M</v>
      </c>
      <c r="D84" s="31" t="str">
        <f aca="false" t="array" ref="D84:D84">IF(B84="","",IFERROR(INDEX('CLM &amp; IM Mapping'!$C$2:$C$270,MATCH(TRIM(B84),'CLM &amp; IM Mapping'!$A$2:$A$270,0)),"Not Mapped"))</f>
        <v>Kantha Kumar</v>
      </c>
      <c r="E84" s="31" t="s">
        <v>34</v>
      </c>
      <c r="F84" s="31" t="s">
        <v>562</v>
      </c>
      <c r="G84" s="31" t="s">
        <v>23</v>
      </c>
      <c r="H84" s="17" t="n">
        <v>4480</v>
      </c>
      <c r="I84" s="32" t="n">
        <v>0.7</v>
      </c>
      <c r="J84" s="33" t="n">
        <v>0.41</v>
      </c>
      <c r="K84" s="33" t="n">
        <v>0.83</v>
      </c>
      <c r="L84" s="33" t="n">
        <v>0.95</v>
      </c>
      <c r="M84" s="33" t="n">
        <v>0.83</v>
      </c>
      <c r="N84" s="11" t="n">
        <v>4</v>
      </c>
      <c r="O84" s="19"/>
      <c r="P84" s="11"/>
      <c r="Q84" s="8"/>
      <c r="R84" s="8"/>
      <c r="S84" s="8"/>
      <c r="T84" s="8"/>
      <c r="U84" s="8"/>
      <c r="V84" s="8"/>
      <c r="W84" s="8"/>
      <c r="X84" s="8"/>
      <c r="Y84" s="8"/>
      <c r="Z84" s="8"/>
      <c r="AA84" s="35"/>
      <c r="AB84" s="35"/>
      <c r="AC84" s="35"/>
      <c r="AD84" s="8"/>
      <c r="AE84" s="8"/>
      <c r="AF84" s="8"/>
      <c r="AG84" s="8"/>
      <c r="AH84" s="8"/>
      <c r="AI84" s="8"/>
      <c r="AJ84" s="8"/>
      <c r="AK84" s="8"/>
      <c r="AL84" s="8"/>
      <c r="AM84" s="8"/>
    </row>
    <row r="85" customFormat="false" ht="15.75" hidden="false" customHeight="true" outlineLevel="0" collapsed="false">
      <c r="A85" s="30" t="n">
        <v>46303</v>
      </c>
      <c r="B85" s="31" t="s">
        <v>159</v>
      </c>
      <c r="C85" s="31" t="str">
        <f aca="false" t="array" ref="C85:C85">IF(B85="","",IFERROR(INDEX('CLM &amp; IM Mapping'!$B$2:$B$270,MATCH(TRIM(B85),'CLM &amp; IM Mapping'!$A$2:$A$270,0)),"Not Mapped"))</f>
        <v>Rizwan Ahmed</v>
      </c>
      <c r="D85" s="31" t="str">
        <f aca="false" t="array" ref="D85:D85">IF(B85="","",IFERROR(INDEX('CLM &amp; IM Mapping'!$C$2:$C$270,MATCH(TRIM(B85),'CLM &amp; IM Mapping'!$A$2:$A$270,0)),"Not Mapped"))</f>
        <v>Un Mapped</v>
      </c>
      <c r="E85" s="31" t="s">
        <v>34</v>
      </c>
      <c r="F85" s="31" t="s">
        <v>562</v>
      </c>
      <c r="G85" s="31" t="s">
        <v>23</v>
      </c>
      <c r="H85" s="17" t="n">
        <v>5959</v>
      </c>
      <c r="I85" s="32" t="n">
        <v>0.7</v>
      </c>
      <c r="J85" s="33" t="n">
        <v>0.41</v>
      </c>
      <c r="K85" s="33" t="n">
        <v>0.82</v>
      </c>
      <c r="L85" s="33" t="n">
        <v>0.96</v>
      </c>
      <c r="M85" s="33" t="n">
        <v>0.82</v>
      </c>
      <c r="N85" s="11" t="n">
        <v>3</v>
      </c>
      <c r="O85" s="19"/>
      <c r="P85" s="11"/>
      <c r="Q85" s="8"/>
      <c r="R85" s="8"/>
      <c r="S85" s="8"/>
      <c r="T85" s="8"/>
      <c r="U85" s="8"/>
      <c r="V85" s="8"/>
      <c r="W85" s="8"/>
      <c r="X85" s="8"/>
      <c r="Y85" s="8"/>
      <c r="Z85" s="8"/>
      <c r="AA85" s="35"/>
      <c r="AB85" s="35"/>
      <c r="AC85" s="35"/>
      <c r="AD85" s="35"/>
      <c r="AE85" s="8"/>
      <c r="AF85" s="8"/>
      <c r="AG85" s="8"/>
      <c r="AH85" s="8"/>
      <c r="AI85" s="8"/>
      <c r="AJ85" s="8"/>
      <c r="AK85" s="8"/>
      <c r="AL85" s="8"/>
      <c r="AM85" s="8"/>
    </row>
    <row r="86" customFormat="false" ht="15.75" hidden="false" customHeight="true" outlineLevel="0" collapsed="false">
      <c r="A86" s="30" t="n">
        <v>46303</v>
      </c>
      <c r="B86" s="31" t="s">
        <v>181</v>
      </c>
      <c r="C86" s="31" t="str">
        <f aca="false" t="array" ref="C86:C86">IF(B86="","",IFERROR(INDEX('CLM &amp; IM Mapping'!$B$2:$B$270,MATCH(TRIM(B86),'CLM &amp; IM Mapping'!$A$2:$A$270,0)),"Not Mapped"))</f>
        <v>Silambarasan E</v>
      </c>
      <c r="D86" s="31" t="str">
        <f aca="false" t="array" ref="D86:D86">IF(B86="","",IFERROR(INDEX('CLM &amp; IM Mapping'!$C$2:$C$270,MATCH(TRIM(B86),'CLM &amp; IM Mapping'!$A$2:$A$270,0)),"Not Mapped"))</f>
        <v>Arivind S</v>
      </c>
      <c r="E86" s="31" t="s">
        <v>34</v>
      </c>
      <c r="F86" s="31" t="s">
        <v>562</v>
      </c>
      <c r="G86" s="31" t="s">
        <v>23</v>
      </c>
      <c r="H86" s="17" t="n">
        <v>6001</v>
      </c>
      <c r="I86" s="32" t="n">
        <v>0.7</v>
      </c>
      <c r="J86" s="33" t="n">
        <v>0.41</v>
      </c>
      <c r="K86" s="33" t="n">
        <v>0.81</v>
      </c>
      <c r="L86" s="33" t="n">
        <v>0.94</v>
      </c>
      <c r="M86" s="33" t="n">
        <v>0.81</v>
      </c>
      <c r="N86" s="11" t="n">
        <v>5</v>
      </c>
      <c r="O86" s="12" t="s">
        <v>625</v>
      </c>
      <c r="P86" s="12" t="s">
        <v>615</v>
      </c>
      <c r="Q86" s="8"/>
      <c r="R86" s="8"/>
      <c r="S86" s="8"/>
      <c r="T86" s="8"/>
      <c r="U86" s="8"/>
      <c r="V86" s="8"/>
      <c r="W86" s="8"/>
      <c r="X86" s="8"/>
      <c r="Y86" s="8"/>
      <c r="Z86" s="8"/>
      <c r="AA86" s="35"/>
      <c r="AB86" s="35"/>
      <c r="AC86" s="35"/>
      <c r="AD86" s="35"/>
      <c r="AE86" s="8"/>
      <c r="AF86" s="8"/>
      <c r="AG86" s="8"/>
      <c r="AH86" s="8"/>
      <c r="AI86" s="8"/>
      <c r="AJ86" s="8"/>
      <c r="AK86" s="8"/>
      <c r="AL86" s="8"/>
      <c r="AM86" s="8"/>
    </row>
    <row r="87" customFormat="false" ht="15.75" hidden="false" customHeight="true" outlineLevel="0" collapsed="false">
      <c r="A87" s="30" t="n">
        <v>46303</v>
      </c>
      <c r="B87" s="31" t="s">
        <v>293</v>
      </c>
      <c r="C87" s="31" t="str">
        <f aca="false" t="array" ref="C87:C87">IF(B87="","",IFERROR(INDEX('CLM &amp; IM Mapping'!$B$2:$B$270,MATCH(TRIM(B87),'CLM &amp; IM Mapping'!$A$2:$A$270,0)),"Not Mapped"))</f>
        <v>Suhas N</v>
      </c>
      <c r="D87" s="31" t="str">
        <f aca="false" t="array" ref="D87:D87">IF(B87="","",IFERROR(INDEX('CLM &amp; IM Mapping'!$C$2:$C$270,MATCH(TRIM(B87),'CLM &amp; IM Mapping'!$A$2:$A$270,0)),"Not Mapped"))</f>
        <v>Aravind S</v>
      </c>
      <c r="E87" s="31" t="s">
        <v>34</v>
      </c>
      <c r="F87" s="31" t="s">
        <v>562</v>
      </c>
      <c r="G87" s="31" t="s">
        <v>23</v>
      </c>
      <c r="H87" s="17" t="n">
        <v>4834</v>
      </c>
      <c r="I87" s="32" t="n">
        <v>0.7</v>
      </c>
      <c r="J87" s="33" t="n">
        <v>0.42</v>
      </c>
      <c r="K87" s="33" t="n">
        <v>0.77</v>
      </c>
      <c r="L87" s="33" t="n">
        <v>0.92</v>
      </c>
      <c r="M87" s="33" t="n">
        <v>0.77</v>
      </c>
      <c r="N87" s="11" t="n">
        <v>2</v>
      </c>
      <c r="O87" s="19"/>
      <c r="P87" s="11"/>
      <c r="Q87" s="8"/>
      <c r="R87" s="8"/>
      <c r="S87" s="8"/>
      <c r="T87" s="8"/>
      <c r="U87" s="8"/>
      <c r="V87" s="8"/>
      <c r="W87" s="8"/>
      <c r="X87" s="8"/>
      <c r="Y87" s="8"/>
      <c r="Z87" s="8"/>
      <c r="AA87" s="35"/>
      <c r="AB87" s="35"/>
      <c r="AC87" s="35"/>
      <c r="AD87" s="35"/>
      <c r="AE87" s="8"/>
      <c r="AF87" s="8"/>
      <c r="AG87" s="8"/>
      <c r="AH87" s="8"/>
      <c r="AI87" s="8"/>
      <c r="AJ87" s="8"/>
      <c r="AK87" s="8"/>
      <c r="AL87" s="8"/>
      <c r="AM87" s="8"/>
    </row>
    <row r="88" customFormat="false" ht="15.75" hidden="false" customHeight="true" outlineLevel="0" collapsed="false">
      <c r="A88" s="30" t="n">
        <v>46303</v>
      </c>
      <c r="B88" s="31" t="s">
        <v>292</v>
      </c>
      <c r="C88" s="31" t="str">
        <f aca="false" t="array" ref="C88:C88">IF(B88="","",IFERROR(INDEX('CLM &amp; IM Mapping'!$B$2:$B$270,MATCH(TRIM(B88),'CLM &amp; IM Mapping'!$A$2:$A$270,0)),"Not Mapped"))</f>
        <v>Mohaideen DH</v>
      </c>
      <c r="D88" s="31" t="str">
        <f aca="false" t="array" ref="D88:D88">IF(B88="","",IFERROR(INDEX('CLM &amp; IM Mapping'!$C$2:$C$270,MATCH(TRIM(B88),'CLM &amp; IM Mapping'!$A$2:$A$270,0)),"Not Mapped"))</f>
        <v>Mohammed Akbar</v>
      </c>
      <c r="E88" s="31" t="s">
        <v>34</v>
      </c>
      <c r="F88" s="31" t="s">
        <v>562</v>
      </c>
      <c r="G88" s="31" t="s">
        <v>23</v>
      </c>
      <c r="H88" s="17" t="n">
        <v>5619</v>
      </c>
      <c r="I88" s="32" t="n">
        <v>0.7</v>
      </c>
      <c r="J88" s="33" t="n">
        <v>0.42</v>
      </c>
      <c r="K88" s="33" t="n">
        <v>0.84</v>
      </c>
      <c r="L88" s="33" t="n">
        <v>0.94</v>
      </c>
      <c r="M88" s="31"/>
      <c r="N88" s="11" t="n">
        <v>1</v>
      </c>
      <c r="O88" s="12" t="s">
        <v>626</v>
      </c>
      <c r="P88" s="12" t="s">
        <v>615</v>
      </c>
      <c r="Q88" s="8"/>
      <c r="R88" s="8"/>
      <c r="S88" s="8"/>
      <c r="T88" s="8"/>
      <c r="U88" s="8"/>
      <c r="V88" s="8"/>
      <c r="W88" s="8"/>
      <c r="X88" s="8"/>
      <c r="Y88" s="8"/>
      <c r="Z88" s="8"/>
      <c r="AA88" s="35"/>
      <c r="AB88" s="35"/>
      <c r="AC88" s="35"/>
      <c r="AD88" s="35"/>
      <c r="AE88" s="8"/>
      <c r="AF88" s="8"/>
      <c r="AG88" s="8"/>
      <c r="AH88" s="8"/>
      <c r="AI88" s="8"/>
      <c r="AJ88" s="8"/>
      <c r="AK88" s="8"/>
      <c r="AL88" s="8"/>
      <c r="AM88" s="8"/>
    </row>
    <row r="89" customFormat="false" ht="15.75" hidden="false" customHeight="true" outlineLevel="0" collapsed="false">
      <c r="A89" s="30" t="n">
        <v>46303</v>
      </c>
      <c r="B89" s="31" t="s">
        <v>92</v>
      </c>
      <c r="C89" s="31" t="str">
        <f aca="false" t="array" ref="C89:C89">IF(B89="","",IFERROR(INDEX('CLM &amp; IM Mapping'!$B$2:$B$270,MATCH(TRIM(B89),'CLM &amp; IM Mapping'!$A$2:$A$270,0)),"Not Mapped"))</f>
        <v>Balaji G</v>
      </c>
      <c r="D89" s="31" t="str">
        <f aca="false" t="array" ref="D89:D89">IF(B89="","",IFERROR(INDEX('CLM &amp; IM Mapping'!$C$2:$C$270,MATCH(TRIM(B89),'CLM &amp; IM Mapping'!$A$2:$A$270,0)),"Not Mapped"))</f>
        <v>Mohammed Akbar</v>
      </c>
      <c r="E89" s="31" t="s">
        <v>34</v>
      </c>
      <c r="F89" s="31" t="s">
        <v>562</v>
      </c>
      <c r="G89" s="31" t="s">
        <v>23</v>
      </c>
      <c r="H89" s="17" t="n">
        <v>5336</v>
      </c>
      <c r="I89" s="32" t="n">
        <v>0.7</v>
      </c>
      <c r="J89" s="33" t="n">
        <v>0.42</v>
      </c>
      <c r="K89" s="33" t="n">
        <v>0.79</v>
      </c>
      <c r="L89" s="33" t="n">
        <v>0.95</v>
      </c>
      <c r="M89" s="33" t="n">
        <v>0.79</v>
      </c>
      <c r="N89" s="11" t="n">
        <v>5</v>
      </c>
      <c r="O89" s="12" t="s">
        <v>627</v>
      </c>
      <c r="P89" s="12" t="s">
        <v>615</v>
      </c>
      <c r="Q89" s="8"/>
      <c r="R89" s="8"/>
      <c r="S89" s="8"/>
      <c r="T89" s="8"/>
      <c r="U89" s="8"/>
      <c r="V89" s="8"/>
      <c r="W89" s="8"/>
      <c r="X89" s="8"/>
      <c r="Y89" s="8"/>
      <c r="Z89" s="8"/>
      <c r="AA89" s="35"/>
      <c r="AB89" s="35"/>
      <c r="AC89" s="35"/>
      <c r="AD89" s="35"/>
      <c r="AE89" s="8"/>
      <c r="AF89" s="8"/>
      <c r="AG89" s="8"/>
      <c r="AH89" s="8"/>
      <c r="AI89" s="8"/>
      <c r="AJ89" s="8"/>
      <c r="AK89" s="8"/>
      <c r="AL89" s="8"/>
      <c r="AM89" s="8"/>
    </row>
    <row r="90" customFormat="false" ht="15.75" hidden="false" customHeight="true" outlineLevel="0" collapsed="false">
      <c r="A90" s="30" t="n">
        <v>46303</v>
      </c>
      <c r="B90" s="31" t="s">
        <v>147</v>
      </c>
      <c r="C90" s="31" t="str">
        <f aca="false" t="array" ref="C90:C90">IF(B90="","",IFERROR(INDEX('CLM &amp; IM Mapping'!$B$2:$B$270,MATCH(TRIM(B90),'CLM &amp; IM Mapping'!$A$2:$A$270,0)),"Not Mapped"))</f>
        <v>Manjunatha V</v>
      </c>
      <c r="D90" s="31" t="str">
        <f aca="false" t="array" ref="D90:D90">IF(B90="","",IFERROR(INDEX('CLM &amp; IM Mapping'!$C$2:$C$270,MATCH(TRIM(B90),'CLM &amp; IM Mapping'!$A$2:$A$270,0)),"Not Mapped"))</f>
        <v>Un Mapped</v>
      </c>
      <c r="E90" s="31" t="s">
        <v>34</v>
      </c>
      <c r="F90" s="31" t="s">
        <v>562</v>
      </c>
      <c r="G90" s="31" t="s">
        <v>23</v>
      </c>
      <c r="H90" s="17" t="n">
        <v>5714</v>
      </c>
      <c r="I90" s="32" t="n">
        <v>0.7</v>
      </c>
      <c r="J90" s="33" t="n">
        <v>0.43</v>
      </c>
      <c r="K90" s="33" t="n">
        <v>0.84</v>
      </c>
      <c r="L90" s="33" t="n">
        <v>0.97</v>
      </c>
      <c r="M90" s="33" t="n">
        <v>0.84</v>
      </c>
      <c r="N90" s="11" t="n">
        <v>4</v>
      </c>
      <c r="O90" s="19"/>
      <c r="P90" s="11"/>
      <c r="Q90" s="8"/>
      <c r="R90" s="8"/>
      <c r="S90" s="8"/>
      <c r="T90" s="8"/>
      <c r="U90" s="8"/>
      <c r="V90" s="8"/>
      <c r="W90" s="8"/>
      <c r="X90" s="8"/>
      <c r="Y90" s="8"/>
      <c r="Z90" s="8"/>
      <c r="AA90" s="35"/>
      <c r="AB90" s="35"/>
      <c r="AC90" s="35"/>
      <c r="AD90" s="35"/>
      <c r="AE90" s="8"/>
      <c r="AF90" s="8"/>
      <c r="AG90" s="8"/>
      <c r="AH90" s="8"/>
      <c r="AI90" s="8"/>
      <c r="AJ90" s="8"/>
      <c r="AK90" s="8"/>
      <c r="AL90" s="8"/>
      <c r="AM90" s="8"/>
    </row>
    <row r="91" customFormat="false" ht="15.75" hidden="false" customHeight="true" outlineLevel="0" collapsed="false">
      <c r="A91" s="30" t="n">
        <v>46303</v>
      </c>
      <c r="B91" s="31" t="s">
        <v>189</v>
      </c>
      <c r="C91" s="31" t="str">
        <f aca="false" t="array" ref="C91:C91">IF(B91="","",IFERROR(INDEX('CLM &amp; IM Mapping'!$B$2:$B$270,MATCH(TRIM(B91),'CLM &amp; IM Mapping'!$A$2:$A$270,0)),"Not Mapped"))</f>
        <v>Girish N</v>
      </c>
      <c r="D91" s="31" t="str">
        <f aca="false" t="array" ref="D91:D91">IF(B91="","",IFERROR(INDEX('CLM &amp; IM Mapping'!$C$2:$C$270,MATCH(TRIM(B91),'CLM &amp; IM Mapping'!$A$2:$A$270,0)),"Not Mapped"))</f>
        <v>Un Mapped</v>
      </c>
      <c r="E91" s="31" t="s">
        <v>34</v>
      </c>
      <c r="F91" s="31" t="s">
        <v>562</v>
      </c>
      <c r="G91" s="31" t="s">
        <v>23</v>
      </c>
      <c r="H91" s="17" t="n">
        <v>5124</v>
      </c>
      <c r="I91" s="32" t="n">
        <v>0.7</v>
      </c>
      <c r="J91" s="33" t="n">
        <v>0.43</v>
      </c>
      <c r="K91" s="33" t="n">
        <v>0.84</v>
      </c>
      <c r="L91" s="33" t="n">
        <v>0.9</v>
      </c>
      <c r="M91" s="33" t="n">
        <v>0.84</v>
      </c>
      <c r="N91" s="11" t="n">
        <v>3</v>
      </c>
      <c r="O91" s="19"/>
      <c r="P91" s="11"/>
      <c r="Q91" s="8"/>
      <c r="R91" s="8"/>
      <c r="S91" s="8"/>
      <c r="T91" s="8"/>
      <c r="U91" s="8"/>
      <c r="V91" s="8"/>
      <c r="W91" s="8"/>
      <c r="X91" s="8"/>
      <c r="Y91" s="8"/>
      <c r="Z91" s="8"/>
      <c r="AA91" s="35"/>
      <c r="AB91" s="35"/>
      <c r="AC91" s="35"/>
      <c r="AD91" s="35"/>
      <c r="AE91" s="8"/>
      <c r="AF91" s="8"/>
      <c r="AG91" s="8"/>
      <c r="AH91" s="8"/>
      <c r="AI91" s="8"/>
      <c r="AJ91" s="8"/>
      <c r="AK91" s="8"/>
      <c r="AL91" s="8"/>
      <c r="AM91" s="8"/>
    </row>
    <row r="92" customFormat="false" ht="15.75" hidden="false" customHeight="true" outlineLevel="0" collapsed="false">
      <c r="A92" s="30" t="n">
        <v>46303</v>
      </c>
      <c r="B92" s="31" t="s">
        <v>219</v>
      </c>
      <c r="C92" s="31" t="str">
        <f aca="false" t="array" ref="C92:C92">IF(B92="","",IFERROR(INDEX('CLM &amp; IM Mapping'!$B$2:$B$270,MATCH(TRIM(B92),'CLM &amp; IM Mapping'!$A$2:$A$270,0)),"Not Mapped"))</f>
        <v>Arun Raj</v>
      </c>
      <c r="D92" s="31" t="str">
        <f aca="false" t="array" ref="D92:D92">IF(B92="","",IFERROR(INDEX('CLM &amp; IM Mapping'!$C$2:$C$270,MATCH(TRIM(B92),'CLM &amp; IM Mapping'!$A$2:$A$270,0)),"Not Mapped"))</f>
        <v>Simon Manoharan</v>
      </c>
      <c r="E92" s="31" t="s">
        <v>25</v>
      </c>
      <c r="F92" s="31" t="s">
        <v>565</v>
      </c>
      <c r="G92" s="31" t="s">
        <v>23</v>
      </c>
      <c r="H92" s="17" t="n">
        <v>13185</v>
      </c>
      <c r="I92" s="32" t="n">
        <v>0.7</v>
      </c>
      <c r="J92" s="33" t="n">
        <v>0.43</v>
      </c>
      <c r="K92" s="33" t="n">
        <v>1</v>
      </c>
      <c r="L92" s="33" t="n">
        <v>1</v>
      </c>
      <c r="M92" s="33" t="n">
        <v>1</v>
      </c>
      <c r="N92" s="11" t="n">
        <v>4</v>
      </c>
      <c r="O92" s="12" t="s">
        <v>587</v>
      </c>
      <c r="P92" s="12" t="s">
        <v>575</v>
      </c>
      <c r="Q92" s="8"/>
      <c r="R92" s="8"/>
      <c r="S92" s="8"/>
      <c r="T92" s="8"/>
      <c r="U92" s="8"/>
      <c r="V92" s="8"/>
      <c r="W92" s="8"/>
      <c r="X92" s="8"/>
      <c r="Y92" s="8"/>
      <c r="Z92" s="8"/>
      <c r="AA92" s="35"/>
      <c r="AB92" s="35"/>
      <c r="AC92" s="35"/>
      <c r="AD92" s="35"/>
      <c r="AE92" s="8"/>
      <c r="AF92" s="8"/>
      <c r="AG92" s="8"/>
      <c r="AH92" s="8"/>
      <c r="AI92" s="8"/>
      <c r="AJ92" s="8"/>
      <c r="AK92" s="8"/>
      <c r="AL92" s="8"/>
      <c r="AM92" s="8"/>
    </row>
    <row r="93" customFormat="false" ht="15.75" hidden="false" customHeight="true" outlineLevel="0" collapsed="false">
      <c r="A93" s="30" t="n">
        <v>46303</v>
      </c>
      <c r="B93" s="31" t="s">
        <v>105</v>
      </c>
      <c r="C93" s="31" t="str">
        <f aca="false" t="array" ref="C93:C93">IF(B93="","",IFERROR(INDEX('CLM &amp; IM Mapping'!$B$2:$B$270,MATCH(TRIM(B93),'CLM &amp; IM Mapping'!$A$2:$A$270,0)),"Not Mapped"))</f>
        <v>Suhas N</v>
      </c>
      <c r="D93" s="31" t="str">
        <f aca="false" t="array" ref="D93:D93">IF(B93="","",IFERROR(INDEX('CLM &amp; IM Mapping'!$C$2:$C$270,MATCH(TRIM(B93),'CLM &amp; IM Mapping'!$A$2:$A$270,0)),"Not Mapped"))</f>
        <v>Aravind S</v>
      </c>
      <c r="E93" s="31" t="s">
        <v>34</v>
      </c>
      <c r="F93" s="31" t="s">
        <v>562</v>
      </c>
      <c r="G93" s="31" t="s">
        <v>23</v>
      </c>
      <c r="H93" s="17" t="n">
        <v>6444</v>
      </c>
      <c r="I93" s="32" t="n">
        <v>0.7</v>
      </c>
      <c r="J93" s="33" t="n">
        <v>0.45</v>
      </c>
      <c r="K93" s="33" t="n">
        <v>0.82</v>
      </c>
      <c r="L93" s="33" t="n">
        <v>0.96</v>
      </c>
      <c r="M93" s="33" t="n">
        <v>0.82</v>
      </c>
      <c r="N93" s="11" t="n">
        <v>4</v>
      </c>
      <c r="O93" s="19"/>
      <c r="P93" s="11"/>
      <c r="Q93" s="8"/>
      <c r="R93" s="8"/>
      <c r="S93" s="8"/>
      <c r="T93" s="8"/>
      <c r="U93" s="8"/>
      <c r="V93" s="8"/>
      <c r="W93" s="8"/>
      <c r="X93" s="8"/>
      <c r="Y93" s="8"/>
      <c r="Z93" s="8"/>
      <c r="AA93" s="35"/>
      <c r="AB93" s="35"/>
      <c r="AC93" s="35"/>
      <c r="AD93" s="35"/>
      <c r="AE93" s="8"/>
      <c r="AF93" s="8"/>
      <c r="AG93" s="8"/>
      <c r="AH93" s="8"/>
      <c r="AI93" s="8"/>
      <c r="AJ93" s="8"/>
      <c r="AK93" s="8"/>
      <c r="AL93" s="8"/>
      <c r="AM93" s="8"/>
    </row>
    <row r="94" customFormat="false" ht="15.75" hidden="false" customHeight="true" outlineLevel="0" collapsed="false">
      <c r="A94" s="30" t="n">
        <v>46303</v>
      </c>
      <c r="B94" s="31" t="s">
        <v>407</v>
      </c>
      <c r="C94" s="31" t="str">
        <f aca="false" t="array" ref="C94:C94">IF(B94="","",IFERROR(INDEX('CLM &amp; IM Mapping'!$B$2:$B$270,MATCH(TRIM(B94),'CLM &amp; IM Mapping'!$A$2:$A$270,0)),"Not Mapped"))</f>
        <v>Rizwan Ahmed</v>
      </c>
      <c r="D94" s="31" t="str">
        <f aca="false" t="array" ref="D94:D94">IF(B94="","",IFERROR(INDEX('CLM &amp; IM Mapping'!$C$2:$C$270,MATCH(TRIM(B94),'CLM &amp; IM Mapping'!$A$2:$A$270,0)),"Not Mapped"))</f>
        <v>Un Mapped</v>
      </c>
      <c r="E94" s="31" t="s">
        <v>34</v>
      </c>
      <c r="F94" s="31" t="s">
        <v>565</v>
      </c>
      <c r="G94" s="31" t="s">
        <v>23</v>
      </c>
      <c r="H94" s="17" t="n">
        <v>4945</v>
      </c>
      <c r="I94" s="32" t="n">
        <v>0.7</v>
      </c>
      <c r="J94" s="33" t="n">
        <v>0.46</v>
      </c>
      <c r="K94" s="33" t="n">
        <v>0.94</v>
      </c>
      <c r="L94" s="33" t="n">
        <v>0.99</v>
      </c>
      <c r="M94" s="33" t="n">
        <v>0.94</v>
      </c>
      <c r="N94" s="11" t="n">
        <v>1</v>
      </c>
      <c r="O94" s="19"/>
      <c r="P94" s="11"/>
      <c r="Q94" s="8"/>
      <c r="R94" s="8"/>
      <c r="S94" s="8"/>
      <c r="T94" s="8"/>
      <c r="U94" s="8"/>
      <c r="V94" s="8"/>
      <c r="W94" s="8"/>
      <c r="X94" s="8"/>
      <c r="Y94" s="8"/>
      <c r="Z94" s="8"/>
      <c r="AA94" s="35"/>
      <c r="AB94" s="35"/>
      <c r="AC94" s="35"/>
      <c r="AD94" s="35"/>
      <c r="AE94" s="8"/>
      <c r="AF94" s="8"/>
      <c r="AG94" s="8"/>
      <c r="AH94" s="8"/>
      <c r="AI94" s="8"/>
      <c r="AJ94" s="8"/>
      <c r="AK94" s="8"/>
      <c r="AL94" s="8"/>
      <c r="AM94" s="8"/>
    </row>
    <row r="95" customFormat="false" ht="15.75" hidden="false" customHeight="true" outlineLevel="0" collapsed="false">
      <c r="A95" s="30" t="n">
        <v>46303</v>
      </c>
      <c r="B95" s="31" t="s">
        <v>362</v>
      </c>
      <c r="C95" s="31" t="str">
        <f aca="false" t="array" ref="C95:C95">IF(B95="","",IFERROR(INDEX('CLM &amp; IM Mapping'!$B$2:$B$270,MATCH(TRIM(B95),'CLM &amp; IM Mapping'!$A$2:$A$270,0)),"Not Mapped"))</f>
        <v>Ashwath S</v>
      </c>
      <c r="D95" s="31" t="str">
        <f aca="false" t="array" ref="D95:D95">IF(B95="","",IFERROR(INDEX('CLM &amp; IM Mapping'!$C$2:$C$270,MATCH(TRIM(B95),'CLM &amp; IM Mapping'!$A$2:$A$270,0)),"Not Mapped"))</f>
        <v>Kantha Kumar</v>
      </c>
      <c r="E95" s="31" t="s">
        <v>34</v>
      </c>
      <c r="F95" s="31" t="s">
        <v>562</v>
      </c>
      <c r="G95" s="31" t="s">
        <v>23</v>
      </c>
      <c r="H95" s="17" t="n">
        <v>5883</v>
      </c>
      <c r="I95" s="32" t="n">
        <v>0.7</v>
      </c>
      <c r="J95" s="33" t="n">
        <v>0.48</v>
      </c>
      <c r="K95" s="33" t="n">
        <v>0.88</v>
      </c>
      <c r="L95" s="33" t="n">
        <v>0.94</v>
      </c>
      <c r="M95" s="33" t="n">
        <v>0.88</v>
      </c>
      <c r="N95" s="11" t="n">
        <v>2</v>
      </c>
      <c r="O95" s="19"/>
      <c r="P95" s="11"/>
      <c r="Q95" s="8"/>
      <c r="R95" s="8"/>
      <c r="S95" s="8"/>
      <c r="T95" s="8"/>
      <c r="U95" s="8"/>
      <c r="V95" s="8"/>
      <c r="W95" s="8"/>
      <c r="X95" s="8"/>
      <c r="Y95" s="8"/>
      <c r="Z95" s="8"/>
      <c r="AA95" s="35"/>
      <c r="AB95" s="35"/>
      <c r="AC95" s="35"/>
      <c r="AD95" s="35"/>
      <c r="AE95" s="8"/>
      <c r="AF95" s="8"/>
      <c r="AG95" s="8"/>
      <c r="AH95" s="8"/>
      <c r="AI95" s="8"/>
      <c r="AJ95" s="8"/>
      <c r="AK95" s="8"/>
      <c r="AL95" s="8"/>
      <c r="AM95" s="8"/>
    </row>
    <row r="96" customFormat="false" ht="15.75" hidden="false" customHeight="true" outlineLevel="0" collapsed="false">
      <c r="A96" s="30" t="n">
        <v>46303</v>
      </c>
      <c r="B96" s="31" t="s">
        <v>123</v>
      </c>
      <c r="C96" s="31" t="str">
        <f aca="false" t="array" ref="C96:C96">IF(B96="","",IFERROR(INDEX('CLM &amp; IM Mapping'!$B$2:$B$270,MATCH(TRIM(B96),'CLM &amp; IM Mapping'!$A$2:$A$270,0)),"Not Mapped"))</f>
        <v>Silambarasan E</v>
      </c>
      <c r="D96" s="31" t="str">
        <f aca="false" t="array" ref="D96:D96">IF(B96="","",IFERROR(INDEX('CLM &amp; IM Mapping'!$C$2:$C$270,MATCH(TRIM(B96),'CLM &amp; IM Mapping'!$A$2:$A$270,0)),"Not Mapped"))</f>
        <v>Arivind S</v>
      </c>
      <c r="E96" s="31" t="s">
        <v>34</v>
      </c>
      <c r="F96" s="31" t="s">
        <v>562</v>
      </c>
      <c r="G96" s="31" t="s">
        <v>23</v>
      </c>
      <c r="H96" s="17" t="n">
        <v>6034</v>
      </c>
      <c r="I96" s="32" t="n">
        <v>0.7</v>
      </c>
      <c r="J96" s="33" t="n">
        <v>0.48</v>
      </c>
      <c r="K96" s="33" t="n">
        <v>0.86</v>
      </c>
      <c r="L96" s="33" t="n">
        <v>0.95</v>
      </c>
      <c r="M96" s="33" t="n">
        <v>0.86</v>
      </c>
      <c r="N96" s="11" t="n">
        <v>6</v>
      </c>
      <c r="O96" s="12" t="s">
        <v>625</v>
      </c>
      <c r="P96" s="12" t="s">
        <v>603</v>
      </c>
      <c r="Q96" s="8"/>
      <c r="R96" s="8"/>
      <c r="S96" s="8"/>
      <c r="T96" s="8"/>
      <c r="U96" s="8"/>
      <c r="V96" s="8"/>
      <c r="W96" s="8"/>
      <c r="X96" s="8"/>
      <c r="Y96" s="8"/>
      <c r="Z96" s="8"/>
      <c r="AA96" s="35"/>
      <c r="AB96" s="35"/>
      <c r="AC96" s="35"/>
      <c r="AD96" s="35"/>
      <c r="AE96" s="8"/>
      <c r="AF96" s="8"/>
      <c r="AG96" s="8"/>
      <c r="AH96" s="8"/>
      <c r="AI96" s="8"/>
      <c r="AJ96" s="8"/>
      <c r="AK96" s="8"/>
      <c r="AL96" s="8"/>
      <c r="AM96" s="8"/>
    </row>
    <row r="97" customFormat="false" ht="15.75" hidden="false" customHeight="true" outlineLevel="0" collapsed="false">
      <c r="A97" s="30" t="n">
        <v>46303</v>
      </c>
      <c r="B97" s="31" t="s">
        <v>412</v>
      </c>
      <c r="C97" s="31" t="str">
        <f aca="false" t="array" ref="C97:C97">IF(B97="","",IFERROR(INDEX('CLM &amp; IM Mapping'!$B$2:$B$270,MATCH(TRIM(B97),'CLM &amp; IM Mapping'!$A$2:$A$270,0)),"Not Mapped"))</f>
        <v>Richard Harris</v>
      </c>
      <c r="D97" s="31" t="str">
        <f aca="false" t="array" ref="D97:D97">IF(B97="","",IFERROR(INDEX('CLM &amp; IM Mapping'!$C$2:$C$270,MATCH(TRIM(B97),'CLM &amp; IM Mapping'!$A$2:$A$270,0)),"Not Mapped"))</f>
        <v>Kantha Kumar</v>
      </c>
      <c r="E97" s="31" t="s">
        <v>34</v>
      </c>
      <c r="F97" s="31" t="s">
        <v>562</v>
      </c>
      <c r="G97" s="31" t="s">
        <v>23</v>
      </c>
      <c r="H97" s="17" t="n">
        <v>7642</v>
      </c>
      <c r="I97" s="32" t="n">
        <v>0.7</v>
      </c>
      <c r="J97" s="33" t="n">
        <v>0.48</v>
      </c>
      <c r="K97" s="33" t="n">
        <v>0.85</v>
      </c>
      <c r="L97" s="33" t="n">
        <v>0.97</v>
      </c>
      <c r="M97" s="33" t="n">
        <v>0.85</v>
      </c>
      <c r="N97" s="11" t="n">
        <v>5</v>
      </c>
      <c r="O97" s="19"/>
      <c r="P97" s="11"/>
      <c r="Q97" s="8"/>
      <c r="R97" s="8"/>
      <c r="S97" s="8"/>
      <c r="T97" s="8"/>
      <c r="U97" s="8"/>
      <c r="V97" s="8"/>
      <c r="W97" s="8"/>
      <c r="X97" s="8"/>
      <c r="Y97" s="8"/>
      <c r="Z97" s="8"/>
      <c r="AA97" s="35"/>
      <c r="AB97" s="35"/>
      <c r="AC97" s="35"/>
      <c r="AD97" s="35"/>
      <c r="AE97" s="8"/>
      <c r="AF97" s="8"/>
      <c r="AG97" s="8"/>
      <c r="AH97" s="8"/>
      <c r="AI97" s="8"/>
      <c r="AJ97" s="8"/>
      <c r="AK97" s="8"/>
      <c r="AL97" s="8"/>
      <c r="AM97" s="8"/>
    </row>
    <row r="98" customFormat="false" ht="15.75" hidden="false" customHeight="true" outlineLevel="0" collapsed="false">
      <c r="A98" s="30" t="n">
        <v>46303</v>
      </c>
      <c r="B98" s="31" t="s">
        <v>474</v>
      </c>
      <c r="C98" s="31" t="str">
        <f aca="false" t="array" ref="C98:C98">IF(B98="","",IFERROR(INDEX('CLM &amp; IM Mapping'!$B$2:$B$270,MATCH(TRIM(B98),'CLM &amp; IM Mapping'!$A$2:$A$270,0)),"Not Mapped"))</f>
        <v>Silambarasan E</v>
      </c>
      <c r="D98" s="31" t="str">
        <f aca="false" t="array" ref="D98:D98">IF(B98="","",IFERROR(INDEX('CLM &amp; IM Mapping'!$C$2:$C$270,MATCH(TRIM(B98),'CLM &amp; IM Mapping'!$A$2:$A$270,0)),"Not Mapped"))</f>
        <v>Arivind S</v>
      </c>
      <c r="E98" s="31" t="s">
        <v>34</v>
      </c>
      <c r="F98" s="31" t="s">
        <v>562</v>
      </c>
      <c r="G98" s="31" t="s">
        <v>23</v>
      </c>
      <c r="H98" s="17" t="n">
        <v>5228</v>
      </c>
      <c r="I98" s="32" t="n">
        <v>0.7</v>
      </c>
      <c r="J98" s="33" t="n">
        <v>0.48</v>
      </c>
      <c r="K98" s="33" t="n">
        <v>0.86</v>
      </c>
      <c r="L98" s="33" t="n">
        <v>0.97</v>
      </c>
      <c r="M98" s="33" t="n">
        <v>0.86</v>
      </c>
      <c r="N98" s="11" t="n">
        <v>5</v>
      </c>
      <c r="O98" s="19"/>
      <c r="P98" s="11"/>
      <c r="Q98" s="8"/>
      <c r="R98" s="8"/>
      <c r="S98" s="8"/>
      <c r="T98" s="8"/>
      <c r="U98" s="8"/>
      <c r="V98" s="8"/>
      <c r="W98" s="8"/>
      <c r="X98" s="8"/>
      <c r="Y98" s="8"/>
      <c r="Z98" s="8"/>
      <c r="AA98" s="35"/>
      <c r="AB98" s="35"/>
      <c r="AC98" s="35"/>
      <c r="AD98" s="35"/>
      <c r="AE98" s="8"/>
      <c r="AF98" s="8"/>
      <c r="AG98" s="8"/>
      <c r="AH98" s="8"/>
      <c r="AI98" s="8"/>
      <c r="AJ98" s="8"/>
      <c r="AK98" s="8"/>
      <c r="AL98" s="8"/>
      <c r="AM98" s="8"/>
    </row>
    <row r="99" customFormat="false" ht="15.75" hidden="false" customHeight="true" outlineLevel="0" collapsed="false">
      <c r="A99" s="30" t="n">
        <v>46303</v>
      </c>
      <c r="B99" s="31" t="s">
        <v>478</v>
      </c>
      <c r="C99" s="31" t="str">
        <f aca="false" t="array" ref="C99:C99">IF(B99="","",IFERROR(INDEX('CLM &amp; IM Mapping'!$B$2:$B$270,MATCH(TRIM(B99),'CLM &amp; IM Mapping'!$A$2:$A$270,0)),"Not Mapped"))</f>
        <v>Vishnu V</v>
      </c>
      <c r="D99" s="31" t="str">
        <f aca="false" t="array" ref="D99:D99">IF(B99="","",IFERROR(INDEX('CLM &amp; IM Mapping'!$C$2:$C$270,MATCH(TRIM(B99),'CLM &amp; IM Mapping'!$A$2:$A$270,0)),"Not Mapped"))</f>
        <v>Arivind S</v>
      </c>
      <c r="E99" s="31" t="s">
        <v>34</v>
      </c>
      <c r="F99" s="31" t="s">
        <v>562</v>
      </c>
      <c r="G99" s="31" t="s">
        <v>221</v>
      </c>
      <c r="H99" s="17" t="n">
        <v>7790</v>
      </c>
      <c r="I99" s="32" t="n">
        <v>0.7</v>
      </c>
      <c r="J99" s="33" t="n">
        <v>0.48</v>
      </c>
      <c r="K99" s="33" t="n">
        <v>0.88</v>
      </c>
      <c r="L99" s="33" t="n">
        <v>0.97</v>
      </c>
      <c r="M99" s="33" t="n">
        <v>0.88</v>
      </c>
      <c r="N99" s="11" t="n">
        <v>3</v>
      </c>
      <c r="O99" s="19"/>
      <c r="P99" s="11"/>
      <c r="Q99" s="8"/>
      <c r="R99" s="8"/>
      <c r="S99" s="8"/>
      <c r="T99" s="8"/>
      <c r="U99" s="8"/>
      <c r="V99" s="8"/>
      <c r="W99" s="8"/>
      <c r="X99" s="8"/>
      <c r="Y99" s="8"/>
      <c r="Z99" s="8"/>
      <c r="AA99" s="35"/>
      <c r="AB99" s="35"/>
      <c r="AC99" s="35"/>
      <c r="AD99" s="35"/>
      <c r="AE99" s="8"/>
      <c r="AF99" s="8"/>
      <c r="AG99" s="8"/>
      <c r="AH99" s="8"/>
      <c r="AI99" s="8"/>
      <c r="AJ99" s="8"/>
      <c r="AK99" s="8"/>
      <c r="AL99" s="8"/>
      <c r="AM99" s="8"/>
    </row>
    <row r="100" customFormat="false" ht="15.75" hidden="false" customHeight="true" outlineLevel="0" collapsed="false">
      <c r="A100" s="30" t="n">
        <v>46303</v>
      </c>
      <c r="B100" s="31" t="s">
        <v>518</v>
      </c>
      <c r="C100" s="31" t="str">
        <f aca="false" t="array" ref="C100:C100">IF(B100="","",IFERROR(INDEX('CLM &amp; IM Mapping'!$B$2:$B$270,MATCH(TRIM(B100),'CLM &amp; IM Mapping'!$A$2:$A$270,0)),"Not Mapped"))</f>
        <v>Basil Scariya</v>
      </c>
      <c r="D100" s="31" t="str">
        <f aca="false" t="array" ref="D100:D100">IF(B100="","",IFERROR(INDEX('CLM &amp; IM Mapping'!$C$2:$C$270,MATCH(TRIM(B100),'CLM &amp; IM Mapping'!$A$2:$A$270,0)),"Not Mapped"))</f>
        <v>Prakash BS</v>
      </c>
      <c r="E100" s="31" t="s">
        <v>34</v>
      </c>
      <c r="F100" s="31" t="s">
        <v>562</v>
      </c>
      <c r="G100" s="31" t="s">
        <v>23</v>
      </c>
      <c r="H100" s="17" t="n">
        <v>5311</v>
      </c>
      <c r="I100" s="32" t="n">
        <v>0.7</v>
      </c>
      <c r="J100" s="33" t="n">
        <v>0.49</v>
      </c>
      <c r="K100" s="33" t="n">
        <v>0.85</v>
      </c>
      <c r="L100" s="33" t="n">
        <v>0.96</v>
      </c>
      <c r="M100" s="33" t="n">
        <v>0.85</v>
      </c>
      <c r="N100" s="11" t="n">
        <v>3</v>
      </c>
      <c r="O100" s="12" t="s">
        <v>628</v>
      </c>
      <c r="P100" s="37" t="n">
        <v>46366</v>
      </c>
      <c r="Q100" s="8"/>
      <c r="R100" s="8"/>
      <c r="S100" s="8"/>
      <c r="T100" s="8"/>
      <c r="U100" s="8"/>
      <c r="V100" s="8"/>
      <c r="W100" s="8"/>
      <c r="X100" s="8"/>
      <c r="Y100" s="8"/>
      <c r="Z100" s="8"/>
      <c r="AA100" s="35"/>
      <c r="AB100" s="35"/>
      <c r="AC100" s="35"/>
      <c r="AD100" s="35"/>
      <c r="AE100" s="8"/>
      <c r="AF100" s="8"/>
      <c r="AG100" s="8"/>
      <c r="AH100" s="8"/>
      <c r="AI100" s="8"/>
      <c r="AJ100" s="8"/>
      <c r="AK100" s="8"/>
      <c r="AL100" s="8"/>
      <c r="AM100" s="8"/>
    </row>
    <row r="101" customFormat="false" ht="15.75" hidden="false" customHeight="true" outlineLevel="0" collapsed="false">
      <c r="A101" s="30" t="n">
        <v>46303</v>
      </c>
      <c r="B101" s="31" t="s">
        <v>433</v>
      </c>
      <c r="C101" s="31" t="str">
        <f aca="false" t="array" ref="C101:C101">IF(B101="","",IFERROR(INDEX('CLM &amp; IM Mapping'!$B$2:$B$270,MATCH(TRIM(B101),'CLM &amp; IM Mapping'!$A$2:$A$270,0)),"Not Mapped"))</f>
        <v>Silambarasan E</v>
      </c>
      <c r="D101" s="31" t="str">
        <f aca="false" t="array" ref="D101:D101">IF(B101="","",IFERROR(INDEX('CLM &amp; IM Mapping'!$C$2:$C$270,MATCH(TRIM(B101),'CLM &amp; IM Mapping'!$A$2:$A$270,0)),"Not Mapped"))</f>
        <v>Arivind S</v>
      </c>
      <c r="E101" s="31" t="s">
        <v>34</v>
      </c>
      <c r="F101" s="31" t="s">
        <v>562</v>
      </c>
      <c r="G101" s="31" t="s">
        <v>23</v>
      </c>
      <c r="H101" s="17" t="n">
        <v>6145</v>
      </c>
      <c r="I101" s="32" t="n">
        <v>0.7</v>
      </c>
      <c r="J101" s="33" t="n">
        <v>0.49</v>
      </c>
      <c r="K101" s="33" t="n">
        <v>0.87</v>
      </c>
      <c r="L101" s="33" t="n">
        <v>0.97</v>
      </c>
      <c r="M101" s="33" t="n">
        <v>0.87</v>
      </c>
      <c r="N101" s="11" t="n">
        <v>3</v>
      </c>
      <c r="O101" s="19"/>
      <c r="P101" s="11"/>
      <c r="Q101" s="8"/>
      <c r="R101" s="8"/>
      <c r="S101" s="8"/>
      <c r="T101" s="8"/>
      <c r="U101" s="8"/>
      <c r="V101" s="8"/>
      <c r="W101" s="8"/>
      <c r="X101" s="8"/>
      <c r="Y101" s="8"/>
      <c r="Z101" s="8"/>
      <c r="AA101" s="35"/>
      <c r="AB101" s="35"/>
      <c r="AC101" s="35"/>
      <c r="AD101" s="35"/>
      <c r="AE101" s="8"/>
      <c r="AF101" s="8"/>
      <c r="AG101" s="8"/>
      <c r="AH101" s="8"/>
      <c r="AI101" s="8"/>
      <c r="AJ101" s="8"/>
      <c r="AK101" s="8"/>
      <c r="AL101" s="8"/>
      <c r="AM101" s="8"/>
    </row>
    <row r="102" customFormat="false" ht="15.75" hidden="false" customHeight="true" outlineLevel="0" collapsed="false">
      <c r="A102" s="30" t="n">
        <v>46303</v>
      </c>
      <c r="B102" s="31" t="s">
        <v>150</v>
      </c>
      <c r="C102" s="31" t="str">
        <f aca="false" t="array" ref="C102:C102">IF(B102="","",IFERROR(INDEX('CLM &amp; IM Mapping'!$B$2:$B$270,MATCH(TRIM(B102),'CLM &amp; IM Mapping'!$A$2:$A$270,0)),"Not Mapped"))</f>
        <v>Akshay P</v>
      </c>
      <c r="D102" s="31" t="str">
        <f aca="false" t="array" ref="D102:D102">IF(B102="","",IFERROR(INDEX('CLM &amp; IM Mapping'!$C$2:$C$270,MATCH(TRIM(B102),'CLM &amp; IM Mapping'!$A$2:$A$270,0)),"Not Mapped"))</f>
        <v>Srittam Dhal</v>
      </c>
      <c r="E102" s="31" t="s">
        <v>34</v>
      </c>
      <c r="F102" s="31" t="s">
        <v>562</v>
      </c>
      <c r="G102" s="31" t="s">
        <v>23</v>
      </c>
      <c r="H102" s="17" t="n">
        <v>6948</v>
      </c>
      <c r="I102" s="32" t="n">
        <v>0.7</v>
      </c>
      <c r="J102" s="33" t="n">
        <v>0.49</v>
      </c>
      <c r="K102" s="33" t="n">
        <v>0.89</v>
      </c>
      <c r="L102" s="33" t="n">
        <v>0.96</v>
      </c>
      <c r="M102" s="33" t="n">
        <v>0.89</v>
      </c>
      <c r="N102" s="11" t="n">
        <v>5</v>
      </c>
      <c r="O102" s="12" t="s">
        <v>629</v>
      </c>
      <c r="P102" s="12" t="s">
        <v>603</v>
      </c>
      <c r="Q102" s="8"/>
      <c r="R102" s="8"/>
      <c r="S102" s="8"/>
      <c r="T102" s="8"/>
      <c r="U102" s="8"/>
      <c r="V102" s="8"/>
      <c r="W102" s="8"/>
      <c r="X102" s="8"/>
      <c r="Y102" s="8"/>
      <c r="Z102" s="8"/>
      <c r="AA102" s="35"/>
      <c r="AB102" s="35"/>
      <c r="AC102" s="35"/>
      <c r="AD102" s="35"/>
      <c r="AE102" s="8"/>
      <c r="AF102" s="8"/>
      <c r="AG102" s="8"/>
      <c r="AH102" s="8"/>
      <c r="AI102" s="8"/>
      <c r="AJ102" s="8"/>
      <c r="AK102" s="8"/>
      <c r="AL102" s="8"/>
      <c r="AM102" s="8"/>
    </row>
    <row r="103" customFormat="false" ht="15.75" hidden="false" customHeight="true" outlineLevel="0" collapsed="false">
      <c r="A103" s="30" t="n">
        <v>46303</v>
      </c>
      <c r="B103" s="31" t="s">
        <v>114</v>
      </c>
      <c r="C103" s="31" t="str">
        <f aca="false" t="array" ref="C103:C103">IF(B103="","",IFERROR(INDEX('CLM &amp; IM Mapping'!$B$2:$B$270,MATCH(TRIM(B103),'CLM &amp; IM Mapping'!$A$2:$A$270,0)),"Not Mapped"))</f>
        <v>Adhavan Subramani</v>
      </c>
      <c r="D103" s="31" t="str">
        <f aca="false" t="array" ref="D103:D103">IF(B103="","",IFERROR(INDEX('CLM &amp; IM Mapping'!$C$2:$C$270,MATCH(TRIM(B103),'CLM &amp; IM Mapping'!$A$2:$A$270,0)),"Not Mapped"))</f>
        <v>Mohammed Akbar</v>
      </c>
      <c r="E103" s="31" t="s">
        <v>34</v>
      </c>
      <c r="F103" s="31" t="s">
        <v>562</v>
      </c>
      <c r="G103" s="31" t="s">
        <v>23</v>
      </c>
      <c r="H103" s="17" t="n">
        <v>5657</v>
      </c>
      <c r="I103" s="32" t="n">
        <v>0.7</v>
      </c>
      <c r="J103" s="33" t="n">
        <v>0.49</v>
      </c>
      <c r="K103" s="33" t="n">
        <v>0.75</v>
      </c>
      <c r="L103" s="33" t="n">
        <v>0.91</v>
      </c>
      <c r="M103" s="33" t="n">
        <v>0.75</v>
      </c>
      <c r="N103" s="11" t="n">
        <v>4</v>
      </c>
      <c r="O103" s="12" t="s">
        <v>630</v>
      </c>
      <c r="P103" s="12" t="s">
        <v>586</v>
      </c>
      <c r="Q103" s="8"/>
      <c r="R103" s="8"/>
      <c r="S103" s="8"/>
      <c r="T103" s="8"/>
      <c r="U103" s="8"/>
      <c r="V103" s="8"/>
      <c r="W103" s="8"/>
      <c r="X103" s="8"/>
      <c r="Y103" s="8"/>
      <c r="Z103" s="8"/>
      <c r="AA103" s="35"/>
      <c r="AB103" s="35"/>
      <c r="AC103" s="35"/>
      <c r="AD103" s="35"/>
      <c r="AE103" s="8"/>
      <c r="AF103" s="8"/>
      <c r="AG103" s="8"/>
      <c r="AH103" s="8"/>
      <c r="AI103" s="8"/>
      <c r="AJ103" s="8"/>
      <c r="AK103" s="8"/>
      <c r="AL103" s="8"/>
      <c r="AM103" s="8"/>
    </row>
    <row r="104" customFormat="false" ht="15.75" hidden="false" customHeight="true" outlineLevel="0" collapsed="false">
      <c r="A104" s="30" t="n">
        <v>46303</v>
      </c>
      <c r="B104" s="31" t="s">
        <v>445</v>
      </c>
      <c r="C104" s="31" t="str">
        <f aca="false" t="array" ref="C104:C104">IF(B104="","",IFERROR(INDEX('CLM &amp; IM Mapping'!$B$2:$B$270,MATCH(TRIM(B104),'CLM &amp; IM Mapping'!$A$2:$A$270,0)),"Not Mapped"))</f>
        <v>Sundaresh S</v>
      </c>
      <c r="D104" s="31" t="str">
        <f aca="false" t="array" ref="D104:D104">IF(B104="","",IFERROR(INDEX('CLM &amp; IM Mapping'!$C$2:$C$270,MATCH(TRIM(B104),'CLM &amp; IM Mapping'!$A$2:$A$270,0)),"Not Mapped"))</f>
        <v>Un Mapped</v>
      </c>
      <c r="E104" s="31" t="s">
        <v>34</v>
      </c>
      <c r="F104" s="31" t="s">
        <v>562</v>
      </c>
      <c r="G104" s="31" t="s">
        <v>23</v>
      </c>
      <c r="H104" s="17" t="n">
        <v>7106</v>
      </c>
      <c r="I104" s="32" t="n">
        <v>0.7</v>
      </c>
      <c r="J104" s="33" t="n">
        <v>0.49</v>
      </c>
      <c r="K104" s="33" t="n">
        <v>0.97</v>
      </c>
      <c r="L104" s="33" t="n">
        <v>0.99</v>
      </c>
      <c r="M104" s="31"/>
      <c r="N104" s="11" t="n">
        <v>2</v>
      </c>
      <c r="O104" s="19"/>
      <c r="P104" s="11"/>
      <c r="Q104" s="8"/>
      <c r="R104" s="8"/>
      <c r="S104" s="8"/>
      <c r="T104" s="8"/>
      <c r="U104" s="8"/>
      <c r="V104" s="8"/>
      <c r="W104" s="8"/>
      <c r="X104" s="8"/>
      <c r="Y104" s="8"/>
      <c r="Z104" s="8"/>
      <c r="AA104" s="35"/>
      <c r="AB104" s="35"/>
      <c r="AC104" s="35"/>
      <c r="AD104" s="35"/>
      <c r="AE104" s="8"/>
      <c r="AF104" s="8"/>
      <c r="AG104" s="8"/>
      <c r="AH104" s="8"/>
      <c r="AI104" s="8"/>
      <c r="AJ104" s="8"/>
      <c r="AK104" s="8"/>
      <c r="AL104" s="8"/>
      <c r="AM104" s="8"/>
    </row>
    <row r="105" customFormat="false" ht="15.75" hidden="false" customHeight="true" outlineLevel="0" collapsed="false">
      <c r="A105" s="30" t="n">
        <v>46303</v>
      </c>
      <c r="B105" s="31" t="s">
        <v>491</v>
      </c>
      <c r="C105" s="31" t="str">
        <f aca="false" t="array" ref="C105:C105">IF(B105="","",IFERROR(INDEX('CLM &amp; IM Mapping'!$B$2:$B$270,MATCH(TRIM(B105),'CLM &amp; IM Mapping'!$A$2:$A$270,0)),"Not Mapped"))</f>
        <v>Manjunatha V</v>
      </c>
      <c r="D105" s="31" t="str">
        <f aca="false" t="array" ref="D105:D105">IF(B105="","",IFERROR(INDEX('CLM &amp; IM Mapping'!$C$2:$C$270,MATCH(TRIM(B105),'CLM &amp; IM Mapping'!$A$2:$A$270,0)),"Not Mapped"))</f>
        <v>Un Mapped</v>
      </c>
      <c r="E105" s="31" t="s">
        <v>34</v>
      </c>
      <c r="F105" s="31" t="s">
        <v>565</v>
      </c>
      <c r="G105" s="31" t="s">
        <v>23</v>
      </c>
      <c r="H105" s="17" t="n">
        <v>5022</v>
      </c>
      <c r="I105" s="32" t="n">
        <v>0.7</v>
      </c>
      <c r="J105" s="33" t="n">
        <v>0.5</v>
      </c>
      <c r="K105" s="33" t="n">
        <v>0.79</v>
      </c>
      <c r="L105" s="33" t="n">
        <v>0.93</v>
      </c>
      <c r="M105" s="33" t="n">
        <v>0.79</v>
      </c>
      <c r="N105" s="11" t="n">
        <v>4</v>
      </c>
      <c r="O105" s="19"/>
      <c r="P105" s="11"/>
      <c r="Q105" s="8"/>
      <c r="R105" s="8"/>
      <c r="S105" s="8"/>
      <c r="T105" s="8"/>
      <c r="U105" s="8"/>
      <c r="V105" s="8"/>
      <c r="W105" s="8"/>
      <c r="X105" s="8"/>
      <c r="Y105" s="8"/>
      <c r="Z105" s="8"/>
      <c r="AA105" s="35"/>
      <c r="AB105" s="35"/>
      <c r="AC105" s="35"/>
      <c r="AD105" s="35"/>
      <c r="AE105" s="8"/>
      <c r="AF105" s="8"/>
      <c r="AG105" s="8"/>
      <c r="AH105" s="8"/>
      <c r="AI105" s="8"/>
      <c r="AJ105" s="8"/>
      <c r="AK105" s="8"/>
      <c r="AL105" s="8"/>
      <c r="AM105" s="8"/>
    </row>
    <row r="106" customFormat="false" ht="15.75" hidden="false" customHeight="true" outlineLevel="0" collapsed="false">
      <c r="A106" s="30" t="n">
        <v>46303</v>
      </c>
      <c r="B106" s="31" t="s">
        <v>94</v>
      </c>
      <c r="C106" s="31" t="str">
        <f aca="false" t="array" ref="C106:C106">IF(B106="","",IFERROR(INDEX('CLM &amp; IM Mapping'!$B$2:$B$270,MATCH(TRIM(B106),'CLM &amp; IM Mapping'!$A$2:$A$270,0)),"Not Mapped"))</f>
        <v>Ashwath S</v>
      </c>
      <c r="D106" s="31" t="str">
        <f aca="false" t="array" ref="D106:D106">IF(B106="","",IFERROR(INDEX('CLM &amp; IM Mapping'!$C$2:$C$270,MATCH(TRIM(B106),'CLM &amp; IM Mapping'!$A$2:$A$270,0)),"Not Mapped"))</f>
        <v>Kantha Kumar</v>
      </c>
      <c r="E106" s="31" t="s">
        <v>34</v>
      </c>
      <c r="F106" s="31" t="s">
        <v>562</v>
      </c>
      <c r="G106" s="31" t="s">
        <v>23</v>
      </c>
      <c r="H106" s="17" t="n">
        <v>5334</v>
      </c>
      <c r="I106" s="32" t="n">
        <v>0.7</v>
      </c>
      <c r="J106" s="33" t="n">
        <v>0.51</v>
      </c>
      <c r="K106" s="33" t="n">
        <v>0.86</v>
      </c>
      <c r="L106" s="33" t="n">
        <v>0.96</v>
      </c>
      <c r="M106" s="33" t="n">
        <v>0.86</v>
      </c>
      <c r="N106" s="11" t="n">
        <v>4</v>
      </c>
      <c r="O106" s="19"/>
      <c r="P106" s="11"/>
      <c r="Q106" s="8"/>
      <c r="R106" s="8"/>
      <c r="S106" s="8"/>
      <c r="T106" s="8"/>
      <c r="U106" s="8"/>
      <c r="V106" s="8"/>
      <c r="W106" s="8"/>
      <c r="X106" s="8"/>
      <c r="Y106" s="8"/>
      <c r="Z106" s="8"/>
      <c r="AA106" s="35"/>
      <c r="AB106" s="35"/>
      <c r="AC106" s="35"/>
      <c r="AD106" s="35"/>
      <c r="AE106" s="8"/>
      <c r="AF106" s="8"/>
      <c r="AG106" s="8"/>
      <c r="AH106" s="8"/>
      <c r="AI106" s="8"/>
      <c r="AJ106" s="8"/>
      <c r="AK106" s="8"/>
      <c r="AL106" s="8"/>
      <c r="AM106" s="8"/>
    </row>
    <row r="107" customFormat="false" ht="15.75" hidden="false" customHeight="true" outlineLevel="0" collapsed="false">
      <c r="A107" s="30" t="n">
        <v>46303</v>
      </c>
      <c r="B107" s="31" t="s">
        <v>306</v>
      </c>
      <c r="C107" s="31" t="str">
        <f aca="false" t="array" ref="C107:C107">IF(B107="","",IFERROR(INDEX('CLM &amp; IM Mapping'!$B$2:$B$270,MATCH(TRIM(B107),'CLM &amp; IM Mapping'!$A$2:$A$270,0)),"Not Mapped"))</f>
        <v>Narasimhamurthy R</v>
      </c>
      <c r="D107" s="31" t="str">
        <f aca="false" t="array" ref="D107:D107">IF(B107="","",IFERROR(INDEX('CLM &amp; IM Mapping'!$C$2:$C$270,MATCH(TRIM(B107),'CLM &amp; IM Mapping'!$A$2:$A$270,0)),"Not Mapped"))</f>
        <v>Kishor K</v>
      </c>
      <c r="E107" s="31" t="s">
        <v>34</v>
      </c>
      <c r="F107" s="31" t="s">
        <v>565</v>
      </c>
      <c r="G107" s="31" t="s">
        <v>23</v>
      </c>
      <c r="H107" s="17" t="n">
        <v>5477</v>
      </c>
      <c r="I107" s="32" t="n">
        <v>0.7</v>
      </c>
      <c r="J107" s="33" t="n">
        <v>0.51</v>
      </c>
      <c r="K107" s="33" t="n">
        <v>0.89</v>
      </c>
      <c r="L107" s="33" t="n">
        <v>0.96</v>
      </c>
      <c r="M107" s="33" t="n">
        <v>0.89</v>
      </c>
      <c r="N107" s="11" t="n">
        <v>3</v>
      </c>
      <c r="O107" s="12" t="s">
        <v>631</v>
      </c>
      <c r="P107" s="12" t="s">
        <v>623</v>
      </c>
      <c r="Q107" s="8"/>
      <c r="R107" s="8"/>
      <c r="S107" s="8"/>
      <c r="T107" s="8"/>
      <c r="U107" s="8"/>
      <c r="V107" s="8"/>
      <c r="W107" s="8"/>
      <c r="X107" s="8"/>
      <c r="Y107" s="8"/>
      <c r="Z107" s="8"/>
      <c r="AA107" s="35"/>
      <c r="AB107" s="35"/>
      <c r="AC107" s="35"/>
      <c r="AD107" s="35"/>
      <c r="AE107" s="8"/>
      <c r="AF107" s="8"/>
      <c r="AG107" s="8"/>
      <c r="AH107" s="8"/>
      <c r="AI107" s="8"/>
      <c r="AJ107" s="8"/>
      <c r="AK107" s="8"/>
      <c r="AL107" s="8"/>
      <c r="AM107" s="8"/>
    </row>
    <row r="108" customFormat="false" ht="15.75" hidden="false" customHeight="true" outlineLevel="0" collapsed="false">
      <c r="A108" s="30" t="n">
        <v>46303</v>
      </c>
      <c r="B108" s="31" t="s">
        <v>254</v>
      </c>
      <c r="C108" s="31" t="str">
        <f aca="false" t="array" ref="C108:C108">IF(B108="","",IFERROR(INDEX('CLM &amp; IM Mapping'!$B$2:$B$270,MATCH(TRIM(B108),'CLM &amp; IM Mapping'!$A$2:$A$270,0)),"Not Mapped"))</f>
        <v>Basil Scariya</v>
      </c>
      <c r="D108" s="31" t="str">
        <f aca="false" t="array" ref="D108:D108">IF(B108="","",IFERROR(INDEX('CLM &amp; IM Mapping'!$C$2:$C$270,MATCH(TRIM(B108),'CLM &amp; IM Mapping'!$A$2:$A$270,0)),"Not Mapped"))</f>
        <v>Prakash BS</v>
      </c>
      <c r="E108" s="31" t="s">
        <v>34</v>
      </c>
      <c r="F108" s="31" t="s">
        <v>562</v>
      </c>
      <c r="G108" s="31" t="s">
        <v>23</v>
      </c>
      <c r="H108" s="17" t="n">
        <v>4912</v>
      </c>
      <c r="I108" s="32" t="n">
        <v>0.7</v>
      </c>
      <c r="J108" s="33" t="n">
        <v>0.52</v>
      </c>
      <c r="K108" s="33" t="n">
        <v>0.66</v>
      </c>
      <c r="L108" s="33" t="n">
        <v>0.89</v>
      </c>
      <c r="M108" s="33" t="n">
        <v>0.66</v>
      </c>
      <c r="N108" s="11" t="n">
        <v>4</v>
      </c>
      <c r="O108" s="12" t="s">
        <v>632</v>
      </c>
      <c r="P108" s="36" t="s">
        <v>633</v>
      </c>
      <c r="Q108" s="8"/>
      <c r="R108" s="8"/>
      <c r="S108" s="8"/>
      <c r="T108" s="8"/>
      <c r="U108" s="8"/>
      <c r="V108" s="8"/>
      <c r="W108" s="8"/>
      <c r="X108" s="8"/>
      <c r="Y108" s="8"/>
      <c r="Z108" s="8"/>
      <c r="AA108" s="35"/>
      <c r="AB108" s="35"/>
      <c r="AC108" s="35"/>
      <c r="AD108" s="35"/>
      <c r="AE108" s="8"/>
      <c r="AF108" s="8"/>
      <c r="AG108" s="8"/>
      <c r="AH108" s="8"/>
      <c r="AI108" s="8"/>
      <c r="AJ108" s="8"/>
      <c r="AK108" s="8"/>
      <c r="AL108" s="8"/>
      <c r="AM108" s="8"/>
    </row>
    <row r="109" customFormat="false" ht="15.75" hidden="false" customHeight="true" outlineLevel="0" collapsed="false">
      <c r="A109" s="30" t="n">
        <v>46303</v>
      </c>
      <c r="B109" s="31" t="s">
        <v>422</v>
      </c>
      <c r="C109" s="31" t="str">
        <f aca="false" t="array" ref="C109:C109">IF(B109="","",IFERROR(INDEX('CLM &amp; IM Mapping'!$B$2:$B$270,MATCH(TRIM(B109),'CLM &amp; IM Mapping'!$A$2:$A$270,0)),"Not Mapped"))</f>
        <v>Manjunatha V</v>
      </c>
      <c r="D109" s="31" t="str">
        <f aca="false" t="array" ref="D109:D109">IF(B109="","",IFERROR(INDEX('CLM &amp; IM Mapping'!$C$2:$C$270,MATCH(TRIM(B109),'CLM &amp; IM Mapping'!$A$2:$A$270,0)),"Not Mapped"))</f>
        <v>Un Mapped</v>
      </c>
      <c r="E109" s="31" t="s">
        <v>34</v>
      </c>
      <c r="F109" s="31" t="s">
        <v>562</v>
      </c>
      <c r="G109" s="31" t="s">
        <v>23</v>
      </c>
      <c r="H109" s="17" t="n">
        <v>5330</v>
      </c>
      <c r="I109" s="32" t="n">
        <v>0.7</v>
      </c>
      <c r="J109" s="33" t="n">
        <v>0.52</v>
      </c>
      <c r="K109" s="33" t="n">
        <v>0.87</v>
      </c>
      <c r="L109" s="33" t="n">
        <v>0.97</v>
      </c>
      <c r="M109" s="33" t="n">
        <v>0.87</v>
      </c>
      <c r="N109" s="11" t="n">
        <v>4</v>
      </c>
      <c r="O109" s="19"/>
      <c r="P109" s="11"/>
      <c r="Q109" s="8"/>
      <c r="R109" s="8"/>
      <c r="S109" s="8"/>
      <c r="T109" s="8"/>
      <c r="U109" s="8"/>
      <c r="V109" s="8"/>
      <c r="W109" s="8"/>
      <c r="X109" s="8"/>
      <c r="Y109" s="8"/>
      <c r="Z109" s="8"/>
      <c r="AA109" s="35"/>
      <c r="AB109" s="35"/>
      <c r="AC109" s="35"/>
      <c r="AD109" s="35"/>
      <c r="AE109" s="8"/>
      <c r="AF109" s="8"/>
      <c r="AG109" s="8"/>
      <c r="AH109" s="8"/>
      <c r="AI109" s="8"/>
      <c r="AJ109" s="8"/>
      <c r="AK109" s="8"/>
      <c r="AL109" s="8"/>
      <c r="AM109" s="8"/>
    </row>
    <row r="110" customFormat="false" ht="15.75" hidden="false" customHeight="true" outlineLevel="0" collapsed="false">
      <c r="A110" s="30" t="n">
        <v>46303</v>
      </c>
      <c r="B110" s="31" t="s">
        <v>316</v>
      </c>
      <c r="C110" s="31" t="str">
        <f aca="false" t="array" ref="C110:C110">IF(B110="","",IFERROR(INDEX('CLM &amp; IM Mapping'!$B$2:$B$270,MATCH(TRIM(B110),'CLM &amp; IM Mapping'!$A$2:$A$270,0)),"Not Mapped"))</f>
        <v>Vishnu V</v>
      </c>
      <c r="D110" s="31" t="str">
        <f aca="false" t="array" ref="D110:D110">IF(B110="","",IFERROR(INDEX('CLM &amp; IM Mapping'!$C$2:$C$270,MATCH(TRIM(B110),'CLM &amp; IM Mapping'!$A$2:$A$270,0)),"Not Mapped"))</f>
        <v>Arivind S</v>
      </c>
      <c r="E110" s="31" t="s">
        <v>34</v>
      </c>
      <c r="F110" s="31" t="s">
        <v>562</v>
      </c>
      <c r="G110" s="31" t="s">
        <v>221</v>
      </c>
      <c r="H110" s="17" t="n">
        <v>6083</v>
      </c>
      <c r="I110" s="32" t="n">
        <v>0.7</v>
      </c>
      <c r="J110" s="33" t="n">
        <v>0.52</v>
      </c>
      <c r="K110" s="33" t="n">
        <v>0.88</v>
      </c>
      <c r="L110" s="33" t="n">
        <v>0.96</v>
      </c>
      <c r="M110" s="33" t="n">
        <v>0.88</v>
      </c>
      <c r="N110" s="11" t="n">
        <v>1</v>
      </c>
      <c r="O110" s="19"/>
      <c r="P110" s="11"/>
      <c r="Q110" s="8"/>
      <c r="R110" s="8"/>
      <c r="S110" s="8"/>
      <c r="T110" s="8"/>
      <c r="U110" s="8"/>
      <c r="V110" s="8"/>
      <c r="W110" s="8"/>
      <c r="X110" s="8"/>
      <c r="Y110" s="8"/>
      <c r="Z110" s="8"/>
      <c r="AA110" s="35"/>
      <c r="AB110" s="35"/>
      <c r="AC110" s="35"/>
      <c r="AD110" s="35"/>
      <c r="AE110" s="8"/>
      <c r="AF110" s="8"/>
      <c r="AG110" s="8"/>
      <c r="AH110" s="8"/>
      <c r="AI110" s="8"/>
      <c r="AJ110" s="8"/>
      <c r="AK110" s="8"/>
      <c r="AL110" s="8"/>
      <c r="AM110" s="8"/>
    </row>
    <row r="111" customFormat="false" ht="15.75" hidden="false" customHeight="true" outlineLevel="0" collapsed="false">
      <c r="A111" s="30" t="n">
        <v>46303</v>
      </c>
      <c r="B111" s="31" t="s">
        <v>496</v>
      </c>
      <c r="C111" s="31" t="str">
        <f aca="false" t="array" ref="C111:C111">IF(B111="","",IFERROR(INDEX('CLM &amp; IM Mapping'!$B$2:$B$270,MATCH(TRIM(B111),'CLM &amp; IM Mapping'!$A$2:$A$270,0)),"Not Mapped"))</f>
        <v>Keshav G</v>
      </c>
      <c r="D111" s="31" t="str">
        <f aca="false" t="array" ref="D111:D111">IF(B111="","",IFERROR(INDEX('CLM &amp; IM Mapping'!$C$2:$C$270,MATCH(TRIM(B111),'CLM &amp; IM Mapping'!$A$2:$A$270,0)),"Not Mapped"))</f>
        <v>Un Mapped</v>
      </c>
      <c r="E111" s="31" t="s">
        <v>34</v>
      </c>
      <c r="F111" s="31" t="s">
        <v>565</v>
      </c>
      <c r="G111" s="31" t="s">
        <v>23</v>
      </c>
      <c r="H111" s="17" t="n">
        <v>5152</v>
      </c>
      <c r="I111" s="32" t="n">
        <v>0.7</v>
      </c>
      <c r="J111" s="33" t="n">
        <v>0.53</v>
      </c>
      <c r="K111" s="33" t="n">
        <v>0.93</v>
      </c>
      <c r="L111" s="33" t="n">
        <v>0.98</v>
      </c>
      <c r="M111" s="33" t="n">
        <v>0.93</v>
      </c>
      <c r="N111" s="11" t="n">
        <v>3</v>
      </c>
      <c r="O111" s="19"/>
      <c r="P111" s="11"/>
      <c r="Q111" s="8"/>
      <c r="R111" s="8"/>
      <c r="S111" s="8"/>
      <c r="T111" s="8"/>
      <c r="U111" s="8"/>
      <c r="V111" s="8"/>
      <c r="W111" s="8"/>
      <c r="X111" s="8"/>
      <c r="Y111" s="8"/>
      <c r="Z111" s="8"/>
      <c r="AA111" s="35"/>
      <c r="AB111" s="35"/>
      <c r="AC111" s="35"/>
      <c r="AD111" s="35"/>
      <c r="AE111" s="8"/>
      <c r="AF111" s="8"/>
      <c r="AG111" s="8"/>
      <c r="AH111" s="8"/>
      <c r="AI111" s="8"/>
      <c r="AJ111" s="8"/>
      <c r="AK111" s="8"/>
      <c r="AL111" s="8"/>
      <c r="AM111" s="8"/>
    </row>
    <row r="112" customFormat="false" ht="15.75" hidden="false" customHeight="true" outlineLevel="0" collapsed="false">
      <c r="A112" s="30" t="n">
        <v>46303</v>
      </c>
      <c r="B112" s="31" t="s">
        <v>423</v>
      </c>
      <c r="C112" s="31" t="str">
        <f aca="false" t="array" ref="C112:C112">IF(B112="","",IFERROR(INDEX('CLM &amp; IM Mapping'!$B$2:$B$270,MATCH(TRIM(B112),'CLM &amp; IM Mapping'!$A$2:$A$270,0)),"Not Mapped"))</f>
        <v>Ashwath S</v>
      </c>
      <c r="D112" s="31" t="str">
        <f aca="false" t="array" ref="D112:D112">IF(B112="","",IFERROR(INDEX('CLM &amp; IM Mapping'!$C$2:$C$270,MATCH(TRIM(B112),'CLM &amp; IM Mapping'!$A$2:$A$270,0)),"Not Mapped"))</f>
        <v>Kantha Kumar</v>
      </c>
      <c r="E112" s="31" t="s">
        <v>34</v>
      </c>
      <c r="F112" s="31" t="s">
        <v>562</v>
      </c>
      <c r="G112" s="31" t="s">
        <v>23</v>
      </c>
      <c r="H112" s="17" t="n">
        <v>6865</v>
      </c>
      <c r="I112" s="32" t="n">
        <v>0.7</v>
      </c>
      <c r="J112" s="33" t="n">
        <v>0.53</v>
      </c>
      <c r="K112" s="33" t="n">
        <v>0.95</v>
      </c>
      <c r="L112" s="33" t="n">
        <v>0.98</v>
      </c>
      <c r="M112" s="31"/>
      <c r="N112" s="11" t="n">
        <v>2</v>
      </c>
      <c r="O112" s="19"/>
      <c r="P112" s="11"/>
      <c r="Q112" s="8"/>
      <c r="R112" s="8"/>
      <c r="S112" s="8"/>
      <c r="T112" s="8"/>
      <c r="U112" s="8"/>
      <c r="V112" s="8"/>
      <c r="W112" s="8"/>
      <c r="X112" s="8"/>
      <c r="Y112" s="8"/>
      <c r="Z112" s="8"/>
      <c r="AA112" s="35"/>
      <c r="AB112" s="35"/>
      <c r="AC112" s="35"/>
      <c r="AD112" s="35"/>
      <c r="AE112" s="8"/>
      <c r="AF112" s="8"/>
      <c r="AG112" s="8"/>
      <c r="AH112" s="8"/>
      <c r="AI112" s="8"/>
      <c r="AJ112" s="8"/>
      <c r="AK112" s="8"/>
      <c r="AL112" s="8"/>
      <c r="AM112" s="8"/>
    </row>
    <row r="113" customFormat="false" ht="15.75" hidden="false" customHeight="true" outlineLevel="0" collapsed="false">
      <c r="A113" s="30" t="n">
        <v>46303</v>
      </c>
      <c r="B113" s="31" t="s">
        <v>195</v>
      </c>
      <c r="C113" s="31" t="str">
        <f aca="false" t="array" ref="C113:C113">IF(B113="","",IFERROR(INDEX('CLM &amp; IM Mapping'!$B$2:$B$270,MATCH(TRIM(B113),'CLM &amp; IM Mapping'!$A$2:$A$270,0)),"Not Mapped"))</f>
        <v>Adhavan Subramani</v>
      </c>
      <c r="D113" s="31" t="str">
        <f aca="false" t="array" ref="D113:D113">IF(B113="","",IFERROR(INDEX('CLM &amp; IM Mapping'!$C$2:$C$270,MATCH(TRIM(B113),'CLM &amp; IM Mapping'!$A$2:$A$270,0)),"Not Mapped"))</f>
        <v>Mohammed Akbar</v>
      </c>
      <c r="E113" s="31" t="s">
        <v>34</v>
      </c>
      <c r="F113" s="31" t="s">
        <v>562</v>
      </c>
      <c r="G113" s="31" t="s">
        <v>23</v>
      </c>
      <c r="H113" s="17" t="n">
        <v>5573</v>
      </c>
      <c r="I113" s="32" t="n">
        <v>0.7</v>
      </c>
      <c r="J113" s="33" t="n">
        <v>0.53</v>
      </c>
      <c r="K113" s="33" t="n">
        <v>0.86</v>
      </c>
      <c r="L113" s="33" t="n">
        <v>0.94</v>
      </c>
      <c r="M113" s="33" t="n">
        <v>0.86</v>
      </c>
      <c r="N113" s="11" t="n">
        <v>4</v>
      </c>
      <c r="O113" s="12" t="s">
        <v>634</v>
      </c>
      <c r="P113" s="12" t="s">
        <v>615</v>
      </c>
      <c r="Q113" s="8"/>
      <c r="R113" s="8"/>
      <c r="S113" s="8"/>
      <c r="T113" s="8"/>
      <c r="U113" s="8"/>
      <c r="V113" s="8"/>
      <c r="W113" s="8"/>
      <c r="X113" s="8"/>
      <c r="Y113" s="8"/>
      <c r="Z113" s="8"/>
      <c r="AA113" s="35"/>
      <c r="AB113" s="8"/>
      <c r="AC113" s="8"/>
      <c r="AD113" s="8"/>
      <c r="AE113" s="8"/>
      <c r="AF113" s="8"/>
      <c r="AG113" s="8"/>
      <c r="AH113" s="8"/>
      <c r="AI113" s="8"/>
      <c r="AJ113" s="8"/>
      <c r="AK113" s="8"/>
      <c r="AL113" s="8"/>
      <c r="AM113" s="8"/>
    </row>
    <row r="114" customFormat="false" ht="15.75" hidden="false" customHeight="true" outlineLevel="0" collapsed="false">
      <c r="A114" s="30" t="n">
        <v>46303</v>
      </c>
      <c r="B114" s="31" t="s">
        <v>494</v>
      </c>
      <c r="C114" s="31" t="str">
        <f aca="false" t="array" ref="C114:C114">IF(B114="","",IFERROR(INDEX('CLM &amp; IM Mapping'!$B$2:$B$270,MATCH(TRIM(B114),'CLM &amp; IM Mapping'!$A$2:$A$270,0)),"Not Mapped"))</f>
        <v>Arun Raj</v>
      </c>
      <c r="D114" s="31" t="str">
        <f aca="false" t="array" ref="D114:D114">IF(B114="","",IFERROR(INDEX('CLM &amp; IM Mapping'!$C$2:$C$270,MATCH(TRIM(B114),'CLM &amp; IM Mapping'!$A$2:$A$270,0)),"Not Mapped"))</f>
        <v>Simon Manoharan</v>
      </c>
      <c r="E114" s="31" t="s">
        <v>25</v>
      </c>
      <c r="F114" s="31" t="s">
        <v>565</v>
      </c>
      <c r="G114" s="31" t="s">
        <v>23</v>
      </c>
      <c r="H114" s="17" t="n">
        <v>12700</v>
      </c>
      <c r="I114" s="32" t="n">
        <v>0.7</v>
      </c>
      <c r="J114" s="33" t="n">
        <v>0.53</v>
      </c>
      <c r="K114" s="33" t="n">
        <v>0.97</v>
      </c>
      <c r="L114" s="33" t="n">
        <v>0.99</v>
      </c>
      <c r="M114" s="33" t="n">
        <v>0.97</v>
      </c>
      <c r="N114" s="11" t="n">
        <v>3</v>
      </c>
      <c r="O114" s="12" t="s">
        <v>587</v>
      </c>
      <c r="P114" s="12" t="s">
        <v>575</v>
      </c>
      <c r="Q114" s="8"/>
      <c r="R114" s="8"/>
      <c r="S114" s="8"/>
      <c r="T114" s="8"/>
      <c r="U114" s="8"/>
      <c r="V114" s="8"/>
      <c r="W114" s="8"/>
      <c r="X114" s="8"/>
      <c r="Y114" s="8"/>
      <c r="Z114" s="8"/>
      <c r="AA114" s="35"/>
      <c r="AB114" s="35"/>
      <c r="AC114" s="35"/>
      <c r="AD114" s="35"/>
      <c r="AE114" s="8"/>
      <c r="AF114" s="8"/>
      <c r="AG114" s="8"/>
      <c r="AH114" s="8"/>
      <c r="AI114" s="8"/>
      <c r="AJ114" s="8"/>
      <c r="AK114" s="8"/>
      <c r="AL114" s="8"/>
      <c r="AM114" s="8"/>
    </row>
    <row r="115" customFormat="false" ht="15.75" hidden="false" customHeight="true" outlineLevel="0" collapsed="false">
      <c r="A115" s="30" t="n">
        <v>46303</v>
      </c>
      <c r="B115" s="31" t="s">
        <v>73</v>
      </c>
      <c r="C115" s="31" t="str">
        <f aca="false" t="array" ref="C115:C115">IF(B115="","",IFERROR(INDEX('CLM &amp; IM Mapping'!$B$2:$B$270,MATCH(TRIM(B115),'CLM &amp; IM Mapping'!$A$2:$A$270,0)),"Not Mapped"))</f>
        <v>Narasimhamurthy R</v>
      </c>
      <c r="D115" s="31" t="str">
        <f aca="false" t="array" ref="D115:D115">IF(B115="","",IFERROR(INDEX('CLM &amp; IM Mapping'!$C$2:$C$270,MATCH(TRIM(B115),'CLM &amp; IM Mapping'!$A$2:$A$270,0)),"Not Mapped"))</f>
        <v>Kishor K</v>
      </c>
      <c r="E115" s="31" t="s">
        <v>34</v>
      </c>
      <c r="F115" s="31" t="s">
        <v>562</v>
      </c>
      <c r="G115" s="31" t="s">
        <v>23</v>
      </c>
      <c r="H115" s="17" t="n">
        <v>6939</v>
      </c>
      <c r="I115" s="32" t="n">
        <v>0.7</v>
      </c>
      <c r="J115" s="33" t="n">
        <v>0.53</v>
      </c>
      <c r="K115" s="33" t="n">
        <v>0.8</v>
      </c>
      <c r="L115" s="33" t="n">
        <v>0.94</v>
      </c>
      <c r="M115" s="33" t="n">
        <v>0.8</v>
      </c>
      <c r="N115" s="11" t="n">
        <v>4</v>
      </c>
      <c r="O115" s="12" t="s">
        <v>631</v>
      </c>
      <c r="P115" s="12" t="s">
        <v>605</v>
      </c>
      <c r="Q115" s="8"/>
      <c r="R115" s="8"/>
      <c r="S115" s="8"/>
      <c r="T115" s="8"/>
      <c r="U115" s="8"/>
      <c r="V115" s="8"/>
      <c r="W115" s="8"/>
      <c r="X115" s="8"/>
      <c r="Y115" s="8"/>
      <c r="Z115" s="8"/>
      <c r="AA115" s="35"/>
      <c r="AB115" s="35"/>
      <c r="AC115" s="35"/>
      <c r="AD115" s="35"/>
      <c r="AE115" s="8"/>
      <c r="AF115" s="8"/>
      <c r="AG115" s="8"/>
      <c r="AH115" s="8"/>
      <c r="AI115" s="8"/>
      <c r="AJ115" s="8"/>
      <c r="AK115" s="8"/>
      <c r="AL115" s="8"/>
      <c r="AM115" s="8"/>
    </row>
    <row r="116" customFormat="false" ht="15.75" hidden="false" customHeight="true" outlineLevel="0" collapsed="false">
      <c r="A116" s="30" t="n">
        <v>46303</v>
      </c>
      <c r="B116" s="31" t="s">
        <v>436</v>
      </c>
      <c r="C116" s="31" t="str">
        <f aca="false" t="array" ref="C116:C116">IF(B116="","",IFERROR(INDEX('CLM &amp; IM Mapping'!$B$2:$B$270,MATCH(TRIM(B116),'CLM &amp; IM Mapping'!$A$2:$A$270,0)),"Not Mapped"))</f>
        <v>Narasimhamurthy R</v>
      </c>
      <c r="D116" s="31" t="str">
        <f aca="false" t="array" ref="D116:D116">IF(B116="","",IFERROR(INDEX('CLM &amp; IM Mapping'!$C$2:$C$270,MATCH(TRIM(B116),'CLM &amp; IM Mapping'!$A$2:$A$270,0)),"Not Mapped"))</f>
        <v>Kishor K</v>
      </c>
      <c r="E116" s="31" t="s">
        <v>34</v>
      </c>
      <c r="F116" s="31" t="s">
        <v>562</v>
      </c>
      <c r="G116" s="31" t="s">
        <v>23</v>
      </c>
      <c r="H116" s="17" t="n">
        <v>12313</v>
      </c>
      <c r="I116" s="32" t="n">
        <v>0.7</v>
      </c>
      <c r="J116" s="33" t="n">
        <v>0.53</v>
      </c>
      <c r="K116" s="33" t="n">
        <v>0.92</v>
      </c>
      <c r="L116" s="33" t="n">
        <v>0.97</v>
      </c>
      <c r="M116" s="33" t="n">
        <v>0.92</v>
      </c>
      <c r="N116" s="11" t="n">
        <v>4</v>
      </c>
      <c r="O116" s="12" t="s">
        <v>631</v>
      </c>
      <c r="P116" s="12" t="s">
        <v>603</v>
      </c>
      <c r="Q116" s="8"/>
      <c r="R116" s="8"/>
      <c r="S116" s="8"/>
      <c r="T116" s="8"/>
      <c r="U116" s="8"/>
      <c r="V116" s="8"/>
      <c r="W116" s="8"/>
      <c r="X116" s="8"/>
      <c r="Y116" s="8"/>
      <c r="Z116" s="8"/>
      <c r="AA116" s="35"/>
      <c r="AB116" s="35"/>
      <c r="AC116" s="35"/>
      <c r="AD116" s="35"/>
      <c r="AE116" s="8"/>
      <c r="AF116" s="8"/>
      <c r="AG116" s="8"/>
      <c r="AH116" s="8"/>
      <c r="AI116" s="8"/>
      <c r="AJ116" s="8"/>
      <c r="AK116" s="8"/>
      <c r="AL116" s="8"/>
      <c r="AM116" s="8"/>
    </row>
    <row r="117" customFormat="false" ht="15.75" hidden="false" customHeight="true" outlineLevel="0" collapsed="false">
      <c r="A117" s="30" t="n">
        <v>46303</v>
      </c>
      <c r="B117" s="31" t="s">
        <v>216</v>
      </c>
      <c r="C117" s="31" t="str">
        <f aca="false" t="array" ref="C117:C117">IF(B117="","",IFERROR(INDEX('CLM &amp; IM Mapping'!$B$2:$B$270,MATCH(TRIM(B117),'CLM &amp; IM Mapping'!$A$2:$A$270,0)),"Not Mapped"))</f>
        <v>Silambarasan E</v>
      </c>
      <c r="D117" s="31" t="str">
        <f aca="false" t="array" ref="D117:D117">IF(B117="","",IFERROR(INDEX('CLM &amp; IM Mapping'!$C$2:$C$270,MATCH(TRIM(B117),'CLM &amp; IM Mapping'!$A$2:$A$270,0)),"Not Mapped"))</f>
        <v>Arivind S</v>
      </c>
      <c r="E117" s="31" t="s">
        <v>34</v>
      </c>
      <c r="F117" s="31" t="s">
        <v>562</v>
      </c>
      <c r="G117" s="31" t="s">
        <v>23</v>
      </c>
      <c r="H117" s="17" t="n">
        <v>8268</v>
      </c>
      <c r="I117" s="32" t="n">
        <v>0.7</v>
      </c>
      <c r="J117" s="33" t="n">
        <v>0.53</v>
      </c>
      <c r="K117" s="33" t="n">
        <v>0.86</v>
      </c>
      <c r="L117" s="33" t="n">
        <v>0.91</v>
      </c>
      <c r="M117" s="33" t="n">
        <v>0.86</v>
      </c>
      <c r="N117" s="11" t="n">
        <v>4</v>
      </c>
      <c r="O117" s="19"/>
      <c r="P117" s="11"/>
      <c r="Q117" s="8"/>
      <c r="R117" s="8"/>
      <c r="S117" s="8"/>
      <c r="T117" s="8"/>
      <c r="U117" s="8"/>
      <c r="V117" s="8"/>
      <c r="W117" s="8"/>
      <c r="X117" s="8"/>
      <c r="Y117" s="8"/>
      <c r="Z117" s="8"/>
      <c r="AA117" s="35"/>
      <c r="AB117" s="8"/>
      <c r="AC117" s="8"/>
      <c r="AD117" s="8"/>
      <c r="AE117" s="8"/>
      <c r="AF117" s="8"/>
      <c r="AG117" s="8"/>
      <c r="AH117" s="8"/>
      <c r="AI117" s="8"/>
      <c r="AJ117" s="8"/>
      <c r="AK117" s="8"/>
      <c r="AL117" s="8"/>
      <c r="AM117" s="8"/>
    </row>
    <row r="118" customFormat="false" ht="15.75" hidden="false" customHeight="true" outlineLevel="0" collapsed="false">
      <c r="A118" s="30" t="n">
        <v>46303</v>
      </c>
      <c r="B118" s="31" t="s">
        <v>455</v>
      </c>
      <c r="C118" s="31" t="str">
        <f aca="false" t="array" ref="C118:C118">IF(B118="","",IFERROR(INDEX('CLM &amp; IM Mapping'!$B$2:$B$270,MATCH(TRIM(B118),'CLM &amp; IM Mapping'!$A$2:$A$270,0)),"Not Mapped"))</f>
        <v>Rizwan Ahmed</v>
      </c>
      <c r="D118" s="31" t="str">
        <f aca="false" t="array" ref="D118:D118">IF(B118="","",IFERROR(INDEX('CLM &amp; IM Mapping'!$C$2:$C$270,MATCH(TRIM(B118),'CLM &amp; IM Mapping'!$A$2:$A$270,0)),"Not Mapped"))</f>
        <v>Un Mapped</v>
      </c>
      <c r="E118" s="31" t="s">
        <v>34</v>
      </c>
      <c r="F118" s="31" t="s">
        <v>562</v>
      </c>
      <c r="G118" s="31" t="s">
        <v>23</v>
      </c>
      <c r="H118" s="17" t="n">
        <v>6360</v>
      </c>
      <c r="I118" s="32" t="n">
        <v>0.7</v>
      </c>
      <c r="J118" s="33" t="n">
        <v>0.54</v>
      </c>
      <c r="K118" s="33" t="n">
        <v>0.89</v>
      </c>
      <c r="L118" s="33" t="n">
        <v>0.96</v>
      </c>
      <c r="M118" s="33" t="n">
        <v>0.89</v>
      </c>
      <c r="N118" s="11" t="n">
        <v>3</v>
      </c>
      <c r="O118" s="19"/>
      <c r="P118" s="11"/>
      <c r="Q118" s="8"/>
      <c r="R118" s="8"/>
      <c r="S118" s="8"/>
      <c r="T118" s="8"/>
      <c r="U118" s="8"/>
      <c r="V118" s="8"/>
      <c r="W118" s="8"/>
      <c r="X118" s="8"/>
      <c r="Y118" s="8"/>
      <c r="Z118" s="8"/>
      <c r="AA118" s="35"/>
      <c r="AB118" s="35"/>
      <c r="AC118" s="35"/>
      <c r="AD118" s="35"/>
      <c r="AE118" s="8"/>
      <c r="AF118" s="8"/>
      <c r="AG118" s="8"/>
      <c r="AH118" s="8"/>
      <c r="AI118" s="8"/>
      <c r="AJ118" s="8"/>
      <c r="AK118" s="8"/>
      <c r="AL118" s="8"/>
      <c r="AM118" s="8"/>
    </row>
    <row r="119" customFormat="false" ht="15.75" hidden="false" customHeight="true" outlineLevel="0" collapsed="false">
      <c r="A119" s="30" t="n">
        <v>46303</v>
      </c>
      <c r="B119" s="31" t="s">
        <v>413</v>
      </c>
      <c r="C119" s="31" t="str">
        <f aca="false" t="array" ref="C119:C119">IF(B119="","",IFERROR(INDEX('CLM &amp; IM Mapping'!$B$2:$B$270,MATCH(TRIM(B119),'CLM &amp; IM Mapping'!$A$2:$A$270,0)),"Not Mapped"))</f>
        <v>Arun Raj</v>
      </c>
      <c r="D119" s="31" t="str">
        <f aca="false" t="array" ref="D119:D119">IF(B119="","",IFERROR(INDEX('CLM &amp; IM Mapping'!$C$2:$C$270,MATCH(TRIM(B119),'CLM &amp; IM Mapping'!$A$2:$A$270,0)),"Not Mapped"))</f>
        <v>Simon Manoharan</v>
      </c>
      <c r="E119" s="31" t="s">
        <v>25</v>
      </c>
      <c r="F119" s="31" t="s">
        <v>565</v>
      </c>
      <c r="G119" s="31" t="s">
        <v>23</v>
      </c>
      <c r="H119" s="17" t="n">
        <v>11966</v>
      </c>
      <c r="I119" s="32" t="n">
        <v>0.7</v>
      </c>
      <c r="J119" s="33" t="n">
        <v>0.54</v>
      </c>
      <c r="K119" s="33" t="n">
        <v>0.98</v>
      </c>
      <c r="L119" s="33" t="n">
        <v>1</v>
      </c>
      <c r="M119" s="33" t="n">
        <v>0.98</v>
      </c>
      <c r="N119" s="11" t="n">
        <v>1</v>
      </c>
      <c r="O119" s="12" t="s">
        <v>587</v>
      </c>
      <c r="P119" s="12" t="s">
        <v>575</v>
      </c>
      <c r="Q119" s="8"/>
      <c r="R119" s="8"/>
      <c r="S119" s="8"/>
      <c r="T119" s="8"/>
      <c r="U119" s="8"/>
      <c r="V119" s="8"/>
      <c r="W119" s="8"/>
      <c r="X119" s="8"/>
      <c r="Y119" s="8"/>
      <c r="Z119" s="8"/>
      <c r="AA119" s="35"/>
      <c r="AB119" s="35"/>
      <c r="AC119" s="35"/>
      <c r="AD119" s="35"/>
      <c r="AE119" s="8"/>
      <c r="AF119" s="8"/>
      <c r="AG119" s="8"/>
      <c r="AH119" s="8"/>
      <c r="AI119" s="8"/>
      <c r="AJ119" s="8"/>
      <c r="AK119" s="8"/>
      <c r="AL119" s="8"/>
      <c r="AM119" s="8"/>
    </row>
    <row r="120" customFormat="false" ht="15.75" hidden="false" customHeight="true" outlineLevel="0" collapsed="false">
      <c r="A120" s="30" t="n">
        <v>46303</v>
      </c>
      <c r="B120" s="31" t="s">
        <v>41</v>
      </c>
      <c r="C120" s="31" t="str">
        <f aca="false" t="array" ref="C120:C120">IF(B120="","",IFERROR(INDEX('CLM &amp; IM Mapping'!$B$2:$B$270,MATCH(TRIM(B120),'CLM &amp; IM Mapping'!$A$2:$A$270,0)),"Not Mapped"))</f>
        <v>Rizwan Ahmed</v>
      </c>
      <c r="D120" s="31" t="str">
        <f aca="false" t="array" ref="D120:D120">IF(B120="","",IFERROR(INDEX('CLM &amp; IM Mapping'!$C$2:$C$270,MATCH(TRIM(B120),'CLM &amp; IM Mapping'!$A$2:$A$270,0)),"Not Mapped"))</f>
        <v>Un Mapped</v>
      </c>
      <c r="E120" s="31" t="s">
        <v>34</v>
      </c>
      <c r="F120" s="31" t="s">
        <v>562</v>
      </c>
      <c r="G120" s="31" t="s">
        <v>23</v>
      </c>
      <c r="H120" s="17" t="n">
        <v>5704</v>
      </c>
      <c r="I120" s="32" t="n">
        <v>0.7</v>
      </c>
      <c r="J120" s="33" t="n">
        <v>0.54</v>
      </c>
      <c r="K120" s="33" t="n">
        <v>0.75</v>
      </c>
      <c r="L120" s="33" t="n">
        <v>0.94</v>
      </c>
      <c r="M120" s="33" t="n">
        <v>0.75</v>
      </c>
      <c r="N120" s="11" t="n">
        <v>5</v>
      </c>
      <c r="O120" s="19"/>
      <c r="P120" s="11"/>
      <c r="Q120" s="8"/>
      <c r="R120" s="8"/>
      <c r="S120" s="8"/>
      <c r="T120" s="8"/>
      <c r="U120" s="8"/>
      <c r="V120" s="8"/>
      <c r="W120" s="8"/>
      <c r="X120" s="8"/>
      <c r="Y120" s="8"/>
      <c r="Z120" s="8"/>
      <c r="AA120" s="35"/>
      <c r="AB120" s="35"/>
      <c r="AC120" s="35"/>
      <c r="AD120" s="35"/>
      <c r="AE120" s="8"/>
      <c r="AF120" s="8"/>
      <c r="AG120" s="8"/>
      <c r="AH120" s="8"/>
      <c r="AI120" s="8"/>
      <c r="AJ120" s="8"/>
      <c r="AK120" s="8"/>
      <c r="AL120" s="8"/>
      <c r="AM120" s="8"/>
    </row>
    <row r="121" customFormat="false" ht="15.75" hidden="false" customHeight="true" outlineLevel="0" collapsed="false">
      <c r="A121" s="30" t="n">
        <v>46303</v>
      </c>
      <c r="B121" s="31" t="s">
        <v>186</v>
      </c>
      <c r="C121" s="31" t="str">
        <f aca="false" t="array" ref="C121:C121">IF(B121="","",IFERROR(INDEX('CLM &amp; IM Mapping'!$B$2:$B$270,MATCH(TRIM(B121),'CLM &amp; IM Mapping'!$A$2:$A$270,0)),"Not Mapped"))</f>
        <v>Silambarasan E</v>
      </c>
      <c r="D121" s="31" t="str">
        <f aca="false" t="array" ref="D121:D121">IF(B121="","",IFERROR(INDEX('CLM &amp; IM Mapping'!$C$2:$C$270,MATCH(TRIM(B121),'CLM &amp; IM Mapping'!$A$2:$A$270,0)),"Not Mapped"))</f>
        <v>Arivind S</v>
      </c>
      <c r="E121" s="31" t="s">
        <v>34</v>
      </c>
      <c r="F121" s="31" t="s">
        <v>565</v>
      </c>
      <c r="G121" s="31" t="s">
        <v>23</v>
      </c>
      <c r="H121" s="17" t="n">
        <v>5395</v>
      </c>
      <c r="I121" s="32" t="n">
        <v>0.7</v>
      </c>
      <c r="J121" s="33" t="n">
        <v>0.54</v>
      </c>
      <c r="K121" s="33" t="n">
        <v>0.84</v>
      </c>
      <c r="L121" s="33" t="n">
        <v>0.98</v>
      </c>
      <c r="M121" s="33" t="n">
        <v>0.84</v>
      </c>
      <c r="N121" s="11" t="n">
        <v>4</v>
      </c>
      <c r="O121" s="19"/>
      <c r="P121" s="11"/>
      <c r="Q121" s="8"/>
      <c r="R121" s="8"/>
      <c r="S121" s="8"/>
      <c r="T121" s="8"/>
      <c r="U121" s="8"/>
      <c r="V121" s="8"/>
      <c r="W121" s="8"/>
      <c r="X121" s="8"/>
      <c r="Y121" s="8"/>
      <c r="Z121" s="8"/>
      <c r="AA121" s="35"/>
      <c r="AB121" s="35"/>
      <c r="AC121" s="35"/>
      <c r="AD121" s="8"/>
      <c r="AE121" s="8"/>
      <c r="AF121" s="8"/>
      <c r="AG121" s="8"/>
      <c r="AH121" s="8"/>
      <c r="AI121" s="8"/>
      <c r="AJ121" s="8"/>
      <c r="AK121" s="8"/>
      <c r="AL121" s="8"/>
      <c r="AM121" s="8"/>
    </row>
    <row r="122" customFormat="false" ht="15.75" hidden="false" customHeight="true" outlineLevel="0" collapsed="false">
      <c r="A122" s="30" t="n">
        <v>46303</v>
      </c>
      <c r="B122" s="31" t="s">
        <v>203</v>
      </c>
      <c r="C122" s="31" t="str">
        <f aca="false" t="array" ref="C122:C122">IF(B122="","",IFERROR(INDEX('CLM &amp; IM Mapping'!$B$2:$B$270,MATCH(TRIM(B122),'CLM &amp; IM Mapping'!$A$2:$A$270,0)),"Not Mapped"))</f>
        <v>Suhas N</v>
      </c>
      <c r="D122" s="31" t="str">
        <f aca="false" t="array" ref="D122:D122">IF(B122="","",IFERROR(INDEX('CLM &amp; IM Mapping'!$C$2:$C$270,MATCH(TRIM(B122),'CLM &amp; IM Mapping'!$A$2:$A$270,0)),"Not Mapped"))</f>
        <v>Aravind S</v>
      </c>
      <c r="E122" s="31" t="s">
        <v>34</v>
      </c>
      <c r="F122" s="31" t="s">
        <v>565</v>
      </c>
      <c r="G122" s="31" t="s">
        <v>23</v>
      </c>
      <c r="H122" s="17" t="n">
        <v>4848</v>
      </c>
      <c r="I122" s="32" t="n">
        <v>0.7</v>
      </c>
      <c r="J122" s="33" t="n">
        <v>0.54</v>
      </c>
      <c r="K122" s="33" t="n">
        <v>0.86</v>
      </c>
      <c r="L122" s="33" t="n">
        <v>0.95</v>
      </c>
      <c r="M122" s="33" t="n">
        <v>0.86</v>
      </c>
      <c r="N122" s="11" t="n">
        <v>3</v>
      </c>
      <c r="O122" s="19"/>
      <c r="P122" s="11"/>
      <c r="Q122" s="8"/>
      <c r="R122" s="8"/>
      <c r="S122" s="8"/>
      <c r="T122" s="8"/>
      <c r="U122" s="8"/>
      <c r="V122" s="8"/>
      <c r="W122" s="8"/>
      <c r="X122" s="8"/>
      <c r="Y122" s="8"/>
      <c r="Z122" s="8"/>
      <c r="AA122" s="35"/>
      <c r="AB122" s="35"/>
      <c r="AC122" s="35"/>
      <c r="AD122" s="35"/>
      <c r="AE122" s="8"/>
      <c r="AF122" s="8"/>
      <c r="AG122" s="8"/>
      <c r="AH122" s="8"/>
      <c r="AI122" s="8"/>
      <c r="AJ122" s="8"/>
      <c r="AK122" s="8"/>
      <c r="AL122" s="8"/>
      <c r="AM122" s="8"/>
    </row>
    <row r="123" customFormat="false" ht="15.75" hidden="false" customHeight="true" outlineLevel="0" collapsed="false">
      <c r="A123" s="30" t="n">
        <v>46303</v>
      </c>
      <c r="B123" s="31" t="s">
        <v>352</v>
      </c>
      <c r="C123" s="31" t="str">
        <f aca="false" t="array" ref="C123:C123">IF(B123="","",IFERROR(INDEX('CLM &amp; IM Mapping'!$B$2:$B$270,MATCH(TRIM(B123),'CLM &amp; IM Mapping'!$A$2:$A$270,0)),"Not Mapped"))</f>
        <v>Raghavendra Vernekar</v>
      </c>
      <c r="D123" s="31" t="str">
        <f aca="false" t="array" ref="D123:D123">IF(B123="","",IFERROR(INDEX('CLM &amp; IM Mapping'!$C$2:$C$270,MATCH(TRIM(B123),'CLM &amp; IM Mapping'!$A$2:$A$270,0)),"Not Mapped"))</f>
        <v>Prakash BS</v>
      </c>
      <c r="E123" s="31" t="s">
        <v>34</v>
      </c>
      <c r="F123" s="31" t="s">
        <v>562</v>
      </c>
      <c r="G123" s="31" t="s">
        <v>23</v>
      </c>
      <c r="H123" s="17" t="n">
        <v>5732</v>
      </c>
      <c r="I123" s="32" t="n">
        <v>0.7</v>
      </c>
      <c r="J123" s="33" t="n">
        <v>0.55</v>
      </c>
      <c r="K123" s="33" t="n">
        <v>0.94</v>
      </c>
      <c r="L123" s="33" t="n">
        <v>0.98</v>
      </c>
      <c r="M123" s="33" t="n">
        <v>0.94</v>
      </c>
      <c r="N123" s="11" t="n">
        <v>3</v>
      </c>
      <c r="O123" s="12" t="s">
        <v>635</v>
      </c>
      <c r="P123" s="36" t="s">
        <v>589</v>
      </c>
      <c r="Q123" s="8"/>
      <c r="R123" s="8"/>
      <c r="S123" s="8"/>
      <c r="T123" s="8"/>
      <c r="U123" s="8"/>
      <c r="V123" s="8"/>
      <c r="W123" s="8"/>
      <c r="X123" s="8"/>
      <c r="Y123" s="8"/>
      <c r="Z123" s="8"/>
      <c r="AA123" s="35"/>
      <c r="AB123" s="35"/>
      <c r="AC123" s="35"/>
      <c r="AD123" s="35"/>
      <c r="AE123" s="8"/>
      <c r="AF123" s="8"/>
      <c r="AG123" s="8"/>
      <c r="AH123" s="8"/>
      <c r="AI123" s="8"/>
      <c r="AJ123" s="8"/>
      <c r="AK123" s="8"/>
      <c r="AL123" s="8"/>
      <c r="AM123" s="8"/>
    </row>
    <row r="124" customFormat="false" ht="15.75" hidden="false" customHeight="true" outlineLevel="0" collapsed="false">
      <c r="A124" s="30" t="n">
        <v>46303</v>
      </c>
      <c r="B124" s="31" t="s">
        <v>38</v>
      </c>
      <c r="C124" s="31" t="str">
        <f aca="false" t="array" ref="C124:C124">IF(B124="","",IFERROR(INDEX('CLM &amp; IM Mapping'!$B$2:$B$270,MATCH(TRIM(B124),'CLM &amp; IM Mapping'!$A$2:$A$270,0)),"Not Mapped"))</f>
        <v>Vijay M</v>
      </c>
      <c r="D124" s="31" t="str">
        <f aca="false" t="array" ref="D124:D124">IF(B124="","",IFERROR(INDEX('CLM &amp; IM Mapping'!$C$2:$C$270,MATCH(TRIM(B124),'CLM &amp; IM Mapping'!$A$2:$A$270,0)),"Not Mapped"))</f>
        <v>Kantha Kumar</v>
      </c>
      <c r="E124" s="31" t="s">
        <v>34</v>
      </c>
      <c r="F124" s="31" t="s">
        <v>562</v>
      </c>
      <c r="G124" s="31" t="s">
        <v>23</v>
      </c>
      <c r="H124" s="17" t="n">
        <v>5355</v>
      </c>
      <c r="I124" s="32" t="n">
        <v>0.7</v>
      </c>
      <c r="J124" s="33" t="n">
        <v>0.55</v>
      </c>
      <c r="K124" s="33" t="n">
        <v>0.7</v>
      </c>
      <c r="L124" s="33" t="n">
        <v>0.94</v>
      </c>
      <c r="M124" s="33" t="n">
        <v>0.7</v>
      </c>
      <c r="N124" s="11" t="n">
        <v>5</v>
      </c>
      <c r="O124" s="19"/>
      <c r="P124" s="11"/>
      <c r="Q124" s="8"/>
      <c r="R124" s="8"/>
      <c r="S124" s="8"/>
      <c r="T124" s="8"/>
      <c r="U124" s="8"/>
      <c r="V124" s="8"/>
      <c r="W124" s="8"/>
      <c r="X124" s="8"/>
      <c r="Y124" s="8"/>
      <c r="Z124" s="8"/>
      <c r="AA124" s="35"/>
      <c r="AB124" s="35"/>
      <c r="AC124" s="35"/>
      <c r="AD124" s="35"/>
      <c r="AE124" s="8"/>
      <c r="AF124" s="8"/>
      <c r="AG124" s="8"/>
      <c r="AH124" s="8"/>
      <c r="AI124" s="8"/>
      <c r="AJ124" s="8"/>
      <c r="AK124" s="8"/>
      <c r="AL124" s="8"/>
      <c r="AM124" s="8"/>
    </row>
    <row r="125" customFormat="false" ht="15.75" hidden="false" customHeight="true" outlineLevel="0" collapsed="false">
      <c r="A125" s="30" t="n">
        <v>46303</v>
      </c>
      <c r="B125" s="31" t="s">
        <v>62</v>
      </c>
      <c r="C125" s="31" t="str">
        <f aca="false" t="array" ref="C125:C125">IF(B125="","",IFERROR(INDEX('CLM &amp; IM Mapping'!$B$2:$B$270,MATCH(TRIM(B125),'CLM &amp; IM Mapping'!$A$2:$A$270,0)),"Not Mapped"))</f>
        <v>Basil Scariya</v>
      </c>
      <c r="D125" s="31" t="str">
        <f aca="false" t="array" ref="D125:D125">IF(B125="","",IFERROR(INDEX('CLM &amp; IM Mapping'!$C$2:$C$270,MATCH(TRIM(B125),'CLM &amp; IM Mapping'!$A$2:$A$270,0)),"Not Mapped"))</f>
        <v>Prakash BS</v>
      </c>
      <c r="E125" s="31" t="s">
        <v>34</v>
      </c>
      <c r="F125" s="31" t="s">
        <v>562</v>
      </c>
      <c r="G125" s="31" t="s">
        <v>23</v>
      </c>
      <c r="H125" s="17" t="n">
        <v>6170</v>
      </c>
      <c r="I125" s="32" t="n">
        <v>0.7</v>
      </c>
      <c r="J125" s="33" t="n">
        <v>0.55</v>
      </c>
      <c r="K125" s="33" t="n">
        <v>0.86</v>
      </c>
      <c r="L125" s="33" t="n">
        <v>0.95</v>
      </c>
      <c r="M125" s="33" t="n">
        <v>0.86</v>
      </c>
      <c r="N125" s="11" t="n">
        <v>3</v>
      </c>
      <c r="O125" s="12" t="s">
        <v>636</v>
      </c>
      <c r="P125" s="36" t="s">
        <v>633</v>
      </c>
      <c r="Q125" s="8"/>
      <c r="R125" s="8"/>
      <c r="S125" s="8"/>
      <c r="T125" s="8"/>
      <c r="U125" s="8"/>
      <c r="V125" s="8"/>
      <c r="W125" s="8"/>
      <c r="X125" s="8"/>
      <c r="Y125" s="8"/>
      <c r="Z125" s="8"/>
      <c r="AA125" s="35"/>
      <c r="AB125" s="35"/>
      <c r="AC125" s="35"/>
      <c r="AD125" s="35"/>
      <c r="AE125" s="8"/>
      <c r="AF125" s="8"/>
      <c r="AG125" s="8"/>
      <c r="AH125" s="8"/>
      <c r="AI125" s="8"/>
      <c r="AJ125" s="8"/>
      <c r="AK125" s="8"/>
      <c r="AL125" s="8"/>
      <c r="AM125" s="8"/>
    </row>
    <row r="126" customFormat="false" ht="15.75" hidden="false" customHeight="true" outlineLevel="0" collapsed="false">
      <c r="A126" s="30" t="n">
        <v>46303</v>
      </c>
      <c r="B126" s="31" t="s">
        <v>68</v>
      </c>
      <c r="C126" s="31" t="str">
        <f aca="false" t="array" ref="C126:C126">IF(B126="","",IFERROR(INDEX('CLM &amp; IM Mapping'!$B$2:$B$270,MATCH(TRIM(B126),'CLM &amp; IM Mapping'!$A$2:$A$270,0)),"Not Mapped"))</f>
        <v>Girish N</v>
      </c>
      <c r="D126" s="31" t="str">
        <f aca="false" t="array" ref="D126:D126">IF(B126="","",IFERROR(INDEX('CLM &amp; IM Mapping'!$C$2:$C$270,MATCH(TRIM(B126),'CLM &amp; IM Mapping'!$A$2:$A$270,0)),"Not Mapped"))</f>
        <v>Un Mapped</v>
      </c>
      <c r="E126" s="31" t="s">
        <v>34</v>
      </c>
      <c r="F126" s="31" t="s">
        <v>562</v>
      </c>
      <c r="G126" s="31" t="s">
        <v>23</v>
      </c>
      <c r="H126" s="17" t="n">
        <v>6292</v>
      </c>
      <c r="I126" s="32" t="n">
        <v>0.7</v>
      </c>
      <c r="J126" s="33" t="n">
        <v>0.55</v>
      </c>
      <c r="K126" s="33" t="n">
        <v>0.85</v>
      </c>
      <c r="L126" s="33" t="n">
        <v>0.94</v>
      </c>
      <c r="M126" s="33" t="n">
        <v>0.85</v>
      </c>
      <c r="N126" s="11" t="n">
        <v>4</v>
      </c>
      <c r="O126" s="19"/>
      <c r="P126" s="11"/>
      <c r="Q126" s="8"/>
      <c r="R126" s="8"/>
      <c r="S126" s="8"/>
      <c r="T126" s="8"/>
      <c r="U126" s="8"/>
      <c r="V126" s="8"/>
      <c r="W126" s="8"/>
      <c r="X126" s="8"/>
      <c r="Y126" s="8"/>
      <c r="Z126" s="8"/>
      <c r="AA126" s="35"/>
      <c r="AB126" s="35"/>
      <c r="AC126" s="35"/>
      <c r="AD126" s="35"/>
      <c r="AE126" s="8"/>
      <c r="AF126" s="8"/>
      <c r="AG126" s="8"/>
      <c r="AH126" s="8"/>
      <c r="AI126" s="8"/>
      <c r="AJ126" s="8"/>
      <c r="AK126" s="8"/>
      <c r="AL126" s="8"/>
      <c r="AM126" s="8"/>
    </row>
    <row r="127" customFormat="false" ht="15.75" hidden="false" customHeight="true" outlineLevel="0" collapsed="false">
      <c r="A127" s="30" t="n">
        <v>46303</v>
      </c>
      <c r="B127" s="31" t="s">
        <v>395</v>
      </c>
      <c r="C127" s="31" t="str">
        <f aca="false" t="array" ref="C127:C127">IF(B127="","",IFERROR(INDEX('CLM &amp; IM Mapping'!$B$2:$B$270,MATCH(TRIM(B127),'CLM &amp; IM Mapping'!$A$2:$A$270,0)),"Not Mapped"))</f>
        <v>Bangareppa CS</v>
      </c>
      <c r="D127" s="31" t="str">
        <f aca="false" t="array" ref="D127:D127">IF(B127="","",IFERROR(INDEX('CLM &amp; IM Mapping'!$C$2:$C$270,MATCH(TRIM(B127),'CLM &amp; IM Mapping'!$A$2:$A$270,0)),"Not Mapped"))</f>
        <v>Kishor K</v>
      </c>
      <c r="E127" s="31" t="s">
        <v>34</v>
      </c>
      <c r="F127" s="31" t="s">
        <v>562</v>
      </c>
      <c r="G127" s="31" t="s">
        <v>394</v>
      </c>
      <c r="H127" s="17" t="n">
        <v>5508</v>
      </c>
      <c r="I127" s="32" t="n">
        <v>0.7</v>
      </c>
      <c r="J127" s="33" t="n">
        <v>0.55</v>
      </c>
      <c r="K127" s="33" t="n">
        <v>0.98</v>
      </c>
      <c r="L127" s="33" t="n">
        <v>0.99</v>
      </c>
      <c r="M127" s="33" t="n">
        <v>0.98</v>
      </c>
      <c r="N127" s="11" t="n">
        <v>2</v>
      </c>
      <c r="O127" s="12" t="s">
        <v>631</v>
      </c>
      <c r="P127" s="12" t="s">
        <v>623</v>
      </c>
      <c r="Q127" s="8"/>
      <c r="R127" s="8"/>
      <c r="S127" s="8"/>
      <c r="T127" s="8"/>
      <c r="U127" s="8"/>
      <c r="V127" s="8"/>
      <c r="W127" s="8"/>
      <c r="X127" s="8"/>
      <c r="Y127" s="8"/>
      <c r="Z127" s="8"/>
      <c r="AA127" s="35"/>
      <c r="AB127" s="35"/>
      <c r="AC127" s="35"/>
      <c r="AD127" s="35"/>
      <c r="AE127" s="8"/>
      <c r="AF127" s="8"/>
      <c r="AG127" s="8"/>
      <c r="AH127" s="8"/>
      <c r="AI127" s="8"/>
      <c r="AJ127" s="8"/>
      <c r="AK127" s="8"/>
      <c r="AL127" s="8"/>
      <c r="AM127" s="8"/>
    </row>
    <row r="128" customFormat="false" ht="15.75" hidden="false" customHeight="true" outlineLevel="0" collapsed="false">
      <c r="A128" s="30" t="n">
        <v>46303</v>
      </c>
      <c r="B128" s="31" t="s">
        <v>472</v>
      </c>
      <c r="C128" s="31" t="str">
        <f aca="false" t="array" ref="C128:C128">IF(B128="","",IFERROR(INDEX('CLM &amp; IM Mapping'!$B$2:$B$270,MATCH(TRIM(B128),'CLM &amp; IM Mapping'!$A$2:$A$270,0)),"Not Mapped"))</f>
        <v>Bangareppa CS</v>
      </c>
      <c r="D128" s="31" t="str">
        <f aca="false" t="array" ref="D128:D128">IF(B128="","",IFERROR(INDEX('CLM &amp; IM Mapping'!$C$2:$C$270,MATCH(TRIM(B128),'CLM &amp; IM Mapping'!$A$2:$A$270,0)),"Not Mapped"))</f>
        <v>Kishor K</v>
      </c>
      <c r="E128" s="31" t="s">
        <v>34</v>
      </c>
      <c r="F128" s="31" t="s">
        <v>562</v>
      </c>
      <c r="G128" s="31" t="s">
        <v>212</v>
      </c>
      <c r="H128" s="17" t="n">
        <v>5711</v>
      </c>
      <c r="I128" s="32" t="n">
        <v>0.7</v>
      </c>
      <c r="J128" s="33" t="n">
        <v>0.55</v>
      </c>
      <c r="K128" s="33" t="n">
        <v>0.85</v>
      </c>
      <c r="L128" s="33" t="n">
        <v>0.97</v>
      </c>
      <c r="M128" s="33" t="n">
        <v>0.85</v>
      </c>
      <c r="N128" s="11" t="n">
        <v>3</v>
      </c>
      <c r="O128" s="12" t="s">
        <v>631</v>
      </c>
      <c r="P128" s="12" t="s">
        <v>623</v>
      </c>
      <c r="Q128" s="8"/>
      <c r="R128" s="8"/>
      <c r="S128" s="8"/>
      <c r="T128" s="8"/>
      <c r="U128" s="8"/>
      <c r="V128" s="8"/>
      <c r="W128" s="8"/>
      <c r="X128" s="8"/>
      <c r="Y128" s="8"/>
      <c r="Z128" s="8"/>
      <c r="AA128" s="35"/>
      <c r="AB128" s="35"/>
      <c r="AC128" s="35"/>
      <c r="AD128" s="35"/>
      <c r="AE128" s="8"/>
      <c r="AF128" s="8"/>
      <c r="AG128" s="8"/>
      <c r="AH128" s="8"/>
      <c r="AI128" s="8"/>
      <c r="AJ128" s="8"/>
      <c r="AK128" s="8"/>
      <c r="AL128" s="8"/>
      <c r="AM128" s="8"/>
    </row>
    <row r="129" customFormat="false" ht="15.75" hidden="false" customHeight="true" outlineLevel="0" collapsed="false">
      <c r="A129" s="30" t="n">
        <v>46303</v>
      </c>
      <c r="B129" s="31" t="s">
        <v>296</v>
      </c>
      <c r="C129" s="31" t="str">
        <f aca="false" t="array" ref="C129:C129">IF(B129="","",IFERROR(INDEX('CLM &amp; IM Mapping'!$B$2:$B$270,MATCH(TRIM(B129),'CLM &amp; IM Mapping'!$A$2:$A$270,0)),"Not Mapped"))</f>
        <v>Balaji G</v>
      </c>
      <c r="D129" s="31" t="str">
        <f aca="false" t="array" ref="D129:D129">IF(B129="","",IFERROR(INDEX('CLM &amp; IM Mapping'!$C$2:$C$270,MATCH(TRIM(B129),'CLM &amp; IM Mapping'!$A$2:$A$270,0)),"Not Mapped"))</f>
        <v>Mohammed Akbar</v>
      </c>
      <c r="E129" s="31" t="s">
        <v>34</v>
      </c>
      <c r="F129" s="31" t="s">
        <v>562</v>
      </c>
      <c r="G129" s="31" t="s">
        <v>23</v>
      </c>
      <c r="H129" s="17" t="n">
        <v>4674</v>
      </c>
      <c r="I129" s="32" t="n">
        <v>0.7</v>
      </c>
      <c r="J129" s="33" t="n">
        <v>0.56</v>
      </c>
      <c r="K129" s="33" t="n">
        <v>0.87</v>
      </c>
      <c r="L129" s="33" t="n">
        <v>0.97</v>
      </c>
      <c r="M129" s="33" t="n">
        <v>0.87</v>
      </c>
      <c r="N129" s="11" t="n">
        <v>2</v>
      </c>
      <c r="O129" s="12" t="s">
        <v>637</v>
      </c>
      <c r="P129" s="12" t="s">
        <v>615</v>
      </c>
      <c r="Q129" s="8"/>
      <c r="R129" s="8"/>
      <c r="S129" s="8"/>
      <c r="T129" s="8"/>
      <c r="U129" s="8"/>
      <c r="V129" s="8"/>
      <c r="W129" s="8"/>
      <c r="X129" s="8"/>
      <c r="Y129" s="8"/>
      <c r="Z129" s="8"/>
      <c r="AA129" s="35"/>
      <c r="AB129" s="35"/>
      <c r="AC129" s="35"/>
      <c r="AD129" s="8"/>
      <c r="AE129" s="8"/>
      <c r="AF129" s="8"/>
      <c r="AG129" s="8"/>
      <c r="AH129" s="8"/>
      <c r="AI129" s="8"/>
      <c r="AJ129" s="8"/>
      <c r="AK129" s="8"/>
      <c r="AL129" s="8"/>
      <c r="AM129" s="8"/>
    </row>
    <row r="130" customFormat="false" ht="15.75" hidden="false" customHeight="true" outlineLevel="0" collapsed="false">
      <c r="A130" s="30" t="n">
        <v>46303</v>
      </c>
      <c r="B130" s="31" t="s">
        <v>242</v>
      </c>
      <c r="C130" s="31" t="str">
        <f aca="false" t="array" ref="C130:C130">IF(B130="","",IFERROR(INDEX('CLM &amp; IM Mapping'!$B$2:$B$270,MATCH(TRIM(B130),'CLM &amp; IM Mapping'!$A$2:$A$270,0)),"Not Mapped"))</f>
        <v>Suhas N</v>
      </c>
      <c r="D130" s="31" t="str">
        <f aca="false" t="array" ref="D130:D130">IF(B130="","",IFERROR(INDEX('CLM &amp; IM Mapping'!$C$2:$C$270,MATCH(TRIM(B130),'CLM &amp; IM Mapping'!$A$2:$A$270,0)),"Not Mapped"))</f>
        <v>Aravind S</v>
      </c>
      <c r="E130" s="31" t="s">
        <v>34</v>
      </c>
      <c r="F130" s="31" t="s">
        <v>562</v>
      </c>
      <c r="G130" s="31" t="s">
        <v>23</v>
      </c>
      <c r="H130" s="17" t="n">
        <v>5165</v>
      </c>
      <c r="I130" s="32" t="n">
        <v>0.7</v>
      </c>
      <c r="J130" s="33" t="n">
        <v>0.56</v>
      </c>
      <c r="K130" s="33" t="n">
        <v>0.91</v>
      </c>
      <c r="L130" s="33" t="n">
        <v>0.97</v>
      </c>
      <c r="M130" s="33" t="n">
        <v>0.91</v>
      </c>
      <c r="N130" s="11"/>
      <c r="O130" s="19"/>
      <c r="P130" s="11"/>
      <c r="Q130" s="8"/>
      <c r="R130" s="8"/>
      <c r="S130" s="8"/>
      <c r="T130" s="8"/>
      <c r="U130" s="8"/>
      <c r="V130" s="8"/>
      <c r="W130" s="8"/>
      <c r="X130" s="8"/>
      <c r="Y130" s="8"/>
      <c r="Z130" s="8"/>
      <c r="AA130" s="35"/>
      <c r="AB130" s="35"/>
      <c r="AC130" s="35"/>
      <c r="AD130" s="35"/>
      <c r="AE130" s="8"/>
      <c r="AF130" s="8"/>
      <c r="AG130" s="8"/>
      <c r="AH130" s="8"/>
      <c r="AI130" s="8"/>
      <c r="AJ130" s="8"/>
      <c r="AK130" s="8"/>
      <c r="AL130" s="8"/>
      <c r="AM130" s="8"/>
    </row>
    <row r="131" customFormat="false" ht="15.75" hidden="false" customHeight="true" outlineLevel="0" collapsed="false">
      <c r="A131" s="30" t="n">
        <v>46303</v>
      </c>
      <c r="B131" s="31" t="s">
        <v>97</v>
      </c>
      <c r="C131" s="31" t="str">
        <f aca="false" t="array" ref="C131:C131">IF(B131="","",IFERROR(INDEX('CLM &amp; IM Mapping'!$B$2:$B$270,MATCH(TRIM(B131),'CLM &amp; IM Mapping'!$A$2:$A$270,0)),"Not Mapped"))</f>
        <v>Raghavendra Vernekar</v>
      </c>
      <c r="D131" s="31" t="str">
        <f aca="false" t="array" ref="D131:D131">IF(B131="","",IFERROR(INDEX('CLM &amp; IM Mapping'!$C$2:$C$270,MATCH(TRIM(B131),'CLM &amp; IM Mapping'!$A$2:$A$270,0)),"Not Mapped"))</f>
        <v>Prakash BS</v>
      </c>
      <c r="E131" s="31" t="s">
        <v>34</v>
      </c>
      <c r="F131" s="31" t="s">
        <v>562</v>
      </c>
      <c r="G131" s="31" t="s">
        <v>23</v>
      </c>
      <c r="H131" s="17" t="n">
        <v>8294</v>
      </c>
      <c r="I131" s="32" t="n">
        <v>0.7</v>
      </c>
      <c r="J131" s="33" t="n">
        <v>0.56</v>
      </c>
      <c r="K131" s="33" t="n">
        <v>0.82</v>
      </c>
      <c r="L131" s="33" t="n">
        <v>0.94</v>
      </c>
      <c r="M131" s="33" t="n">
        <v>0.82</v>
      </c>
      <c r="N131" s="11" t="n">
        <v>6</v>
      </c>
      <c r="O131" s="12" t="s">
        <v>638</v>
      </c>
      <c r="P131" s="11"/>
      <c r="Q131" s="8"/>
      <c r="R131" s="8"/>
      <c r="S131" s="8"/>
      <c r="T131" s="8"/>
      <c r="U131" s="8"/>
      <c r="V131" s="8"/>
      <c r="W131" s="8"/>
      <c r="X131" s="8"/>
      <c r="Y131" s="8"/>
      <c r="Z131" s="8"/>
      <c r="AA131" s="35"/>
      <c r="AB131" s="35"/>
      <c r="AC131" s="35"/>
      <c r="AD131" s="35"/>
      <c r="AE131" s="8"/>
      <c r="AF131" s="8"/>
      <c r="AG131" s="8"/>
      <c r="AH131" s="8"/>
      <c r="AI131" s="8"/>
      <c r="AJ131" s="8"/>
      <c r="AK131" s="8"/>
      <c r="AL131" s="8"/>
      <c r="AM131" s="8"/>
    </row>
    <row r="132" customFormat="false" ht="15.75" hidden="false" customHeight="true" outlineLevel="0" collapsed="false">
      <c r="A132" s="30" t="n">
        <v>46303</v>
      </c>
      <c r="B132" s="31" t="s">
        <v>350</v>
      </c>
      <c r="C132" s="31" t="str">
        <f aca="false" t="array" ref="C132:C132">IF(B132="","",IFERROR(INDEX('CLM &amp; IM Mapping'!$B$2:$B$270,MATCH(TRIM(B132),'CLM &amp; IM Mapping'!$A$2:$A$270,0)),"Not Mapped"))</f>
        <v>Vishnu V</v>
      </c>
      <c r="D132" s="31" t="str">
        <f aca="false" t="array" ref="D132:D132">IF(B132="","",IFERROR(INDEX('CLM &amp; IM Mapping'!$C$2:$C$270,MATCH(TRIM(B132),'CLM &amp; IM Mapping'!$A$2:$A$270,0)),"Not Mapped"))</f>
        <v>Arivind S</v>
      </c>
      <c r="E132" s="31" t="s">
        <v>34</v>
      </c>
      <c r="F132" s="31" t="s">
        <v>565</v>
      </c>
      <c r="G132" s="31" t="s">
        <v>221</v>
      </c>
      <c r="H132" s="17" t="n">
        <v>5845</v>
      </c>
      <c r="I132" s="32" t="n">
        <v>0.7</v>
      </c>
      <c r="J132" s="33" t="n">
        <v>0.56</v>
      </c>
      <c r="K132" s="33" t="n">
        <v>0.9</v>
      </c>
      <c r="L132" s="33" t="n">
        <v>0.97</v>
      </c>
      <c r="M132" s="31"/>
      <c r="N132" s="11"/>
      <c r="O132" s="19"/>
      <c r="P132" s="11"/>
      <c r="Q132" s="8"/>
      <c r="R132" s="8"/>
      <c r="S132" s="8"/>
      <c r="T132" s="8"/>
      <c r="U132" s="8"/>
      <c r="V132" s="8"/>
      <c r="W132" s="8"/>
      <c r="X132" s="8"/>
      <c r="Y132" s="8"/>
      <c r="Z132" s="8"/>
      <c r="AA132" s="35"/>
      <c r="AB132" s="35"/>
      <c r="AC132" s="35"/>
      <c r="AD132" s="35"/>
      <c r="AE132" s="8"/>
      <c r="AF132" s="8"/>
      <c r="AG132" s="8"/>
      <c r="AH132" s="8"/>
      <c r="AI132" s="8"/>
      <c r="AJ132" s="8"/>
      <c r="AK132" s="8"/>
      <c r="AL132" s="8"/>
      <c r="AM132" s="8"/>
    </row>
    <row r="133" customFormat="false" ht="15.75" hidden="false" customHeight="true" outlineLevel="0" collapsed="false">
      <c r="A133" s="30" t="n">
        <v>46303</v>
      </c>
      <c r="B133" s="31" t="s">
        <v>403</v>
      </c>
      <c r="C133" s="31" t="str">
        <f aca="false" t="array" ref="C133:C133">IF(B133="","",IFERROR(INDEX('CLM &amp; IM Mapping'!$B$2:$B$270,MATCH(TRIM(B133),'CLM &amp; IM Mapping'!$A$2:$A$270,0)),"Not Mapped"))</f>
        <v>Narasimhamurthy R</v>
      </c>
      <c r="D133" s="31" t="str">
        <f aca="false" t="array" ref="D133:D133">IF(B133="","",IFERROR(INDEX('CLM &amp; IM Mapping'!$C$2:$C$270,MATCH(TRIM(B133),'CLM &amp; IM Mapping'!$A$2:$A$270,0)),"Not Mapped"))</f>
        <v>Kishor K</v>
      </c>
      <c r="E133" s="31" t="s">
        <v>34</v>
      </c>
      <c r="F133" s="31" t="s">
        <v>562</v>
      </c>
      <c r="G133" s="31" t="s">
        <v>23</v>
      </c>
      <c r="H133" s="17" t="n">
        <v>5783</v>
      </c>
      <c r="I133" s="32" t="n">
        <v>0.7</v>
      </c>
      <c r="J133" s="33" t="n">
        <v>0.57</v>
      </c>
      <c r="K133" s="33" t="n">
        <v>0.86</v>
      </c>
      <c r="L133" s="33" t="n">
        <v>0.95</v>
      </c>
      <c r="M133" s="33" t="n">
        <v>0.86</v>
      </c>
      <c r="N133" s="11" t="n">
        <v>3</v>
      </c>
      <c r="O133" s="12" t="s">
        <v>631</v>
      </c>
      <c r="P133" s="12" t="s">
        <v>623</v>
      </c>
      <c r="Q133" s="8"/>
      <c r="R133" s="8"/>
      <c r="S133" s="8"/>
      <c r="T133" s="8"/>
      <c r="U133" s="8"/>
      <c r="V133" s="8"/>
      <c r="W133" s="8"/>
      <c r="X133" s="8"/>
      <c r="Y133" s="8"/>
      <c r="Z133" s="8"/>
      <c r="AA133" s="35"/>
      <c r="AB133" s="35"/>
      <c r="AC133" s="35"/>
      <c r="AD133" s="35"/>
      <c r="AE133" s="8"/>
      <c r="AF133" s="8"/>
      <c r="AG133" s="8"/>
      <c r="AH133" s="8"/>
      <c r="AI133" s="8"/>
      <c r="AJ133" s="8"/>
      <c r="AK133" s="8"/>
      <c r="AL133" s="8"/>
      <c r="AM133" s="8"/>
    </row>
    <row r="134" customFormat="false" ht="15.75" hidden="false" customHeight="true" outlineLevel="0" collapsed="false">
      <c r="A134" s="30" t="n">
        <v>46303</v>
      </c>
      <c r="B134" s="31" t="s">
        <v>397</v>
      </c>
      <c r="C134" s="31" t="str">
        <f aca="false" t="array" ref="C134:C134">IF(B134="","",IFERROR(INDEX('CLM &amp; IM Mapping'!$B$2:$B$270,MATCH(TRIM(B134),'CLM &amp; IM Mapping'!$A$2:$A$270,0)),"Not Mapped"))</f>
        <v>Akshay P</v>
      </c>
      <c r="D134" s="31" t="str">
        <f aca="false" t="array" ref="D134:D134">IF(B134="","",IFERROR(INDEX('CLM &amp; IM Mapping'!$C$2:$C$270,MATCH(TRIM(B134),'CLM &amp; IM Mapping'!$A$2:$A$270,0)),"Not Mapped"))</f>
        <v>Srittam Dhal</v>
      </c>
      <c r="E134" s="31" t="s">
        <v>34</v>
      </c>
      <c r="F134" s="31" t="s">
        <v>562</v>
      </c>
      <c r="G134" s="31" t="s">
        <v>23</v>
      </c>
      <c r="H134" s="17" t="n">
        <v>5173</v>
      </c>
      <c r="I134" s="32" t="n">
        <v>0.7</v>
      </c>
      <c r="J134" s="33" t="n">
        <v>0.57</v>
      </c>
      <c r="K134" s="33" t="n">
        <v>0.88</v>
      </c>
      <c r="L134" s="33" t="n">
        <v>0.96</v>
      </c>
      <c r="M134" s="33" t="n">
        <v>0.88</v>
      </c>
      <c r="N134" s="11" t="n">
        <v>2</v>
      </c>
      <c r="O134" s="12" t="s">
        <v>639</v>
      </c>
      <c r="P134" s="12" t="s">
        <v>603</v>
      </c>
      <c r="Q134" s="8"/>
      <c r="R134" s="8"/>
      <c r="S134" s="8"/>
      <c r="T134" s="8"/>
      <c r="U134" s="8"/>
      <c r="V134" s="8"/>
      <c r="W134" s="8"/>
      <c r="X134" s="8"/>
      <c r="Y134" s="8"/>
      <c r="Z134" s="8"/>
      <c r="AA134" s="35"/>
      <c r="AB134" s="35"/>
      <c r="AC134" s="35"/>
      <c r="AD134" s="35"/>
      <c r="AE134" s="8"/>
      <c r="AF134" s="8"/>
      <c r="AG134" s="8"/>
      <c r="AH134" s="8"/>
      <c r="AI134" s="8"/>
      <c r="AJ134" s="8"/>
      <c r="AK134" s="8"/>
      <c r="AL134" s="8"/>
      <c r="AM134" s="8"/>
    </row>
    <row r="135" customFormat="false" ht="15.75" hidden="false" customHeight="true" outlineLevel="0" collapsed="false">
      <c r="A135" s="30" t="n">
        <v>46303</v>
      </c>
      <c r="B135" s="31" t="s">
        <v>284</v>
      </c>
      <c r="C135" s="31" t="str">
        <f aca="false" t="array" ref="C135:C135">IF(B135="","",IFERROR(INDEX('CLM &amp; IM Mapping'!$B$2:$B$270,MATCH(TRIM(B135),'CLM &amp; IM Mapping'!$A$2:$A$270,0)),"Not Mapped"))</f>
        <v>Balaji G</v>
      </c>
      <c r="D135" s="31" t="str">
        <f aca="false" t="array" ref="D135:D135">IF(B135="","",IFERROR(INDEX('CLM &amp; IM Mapping'!$C$2:$C$270,MATCH(TRIM(B135),'CLM &amp; IM Mapping'!$A$2:$A$270,0)),"Not Mapped"))</f>
        <v>Mohammed Akbar</v>
      </c>
      <c r="E135" s="31" t="s">
        <v>34</v>
      </c>
      <c r="F135" s="31" t="s">
        <v>562</v>
      </c>
      <c r="G135" s="31" t="s">
        <v>23</v>
      </c>
      <c r="H135" s="17" t="n">
        <v>6333</v>
      </c>
      <c r="I135" s="32" t="n">
        <v>0.7</v>
      </c>
      <c r="J135" s="33" t="n">
        <v>0.58</v>
      </c>
      <c r="K135" s="33" t="n">
        <v>0.89</v>
      </c>
      <c r="L135" s="33" t="n">
        <v>0.97</v>
      </c>
      <c r="M135" s="33" t="n">
        <v>0.89</v>
      </c>
      <c r="N135" s="11" t="n">
        <v>4</v>
      </c>
      <c r="O135" s="12" t="s">
        <v>640</v>
      </c>
      <c r="P135" s="12" t="s">
        <v>641</v>
      </c>
      <c r="Q135" s="8"/>
      <c r="R135" s="8"/>
      <c r="S135" s="8"/>
      <c r="T135" s="8"/>
      <c r="U135" s="8"/>
      <c r="V135" s="8"/>
      <c r="W135" s="8"/>
      <c r="X135" s="8"/>
      <c r="Y135" s="8"/>
      <c r="Z135" s="8"/>
      <c r="AA135" s="35"/>
      <c r="AB135" s="35"/>
      <c r="AC135" s="35"/>
      <c r="AD135" s="35"/>
      <c r="AE135" s="8"/>
      <c r="AF135" s="8"/>
      <c r="AG135" s="8"/>
      <c r="AH135" s="8"/>
      <c r="AI135" s="8"/>
      <c r="AJ135" s="8"/>
      <c r="AK135" s="8"/>
      <c r="AL135" s="8"/>
      <c r="AM135" s="8"/>
    </row>
    <row r="136" customFormat="false" ht="15.75" hidden="false" customHeight="true" outlineLevel="0" collapsed="false">
      <c r="A136" s="30" t="n">
        <v>46303</v>
      </c>
      <c r="B136" s="31" t="s">
        <v>500</v>
      </c>
      <c r="C136" s="31" t="str">
        <f aca="false" t="array" ref="C136:C136">IF(B136="","",IFERROR(INDEX('CLM &amp; IM Mapping'!$B$2:$B$270,MATCH(TRIM(B136),'CLM &amp; IM Mapping'!$A$2:$A$270,0)),"Not Mapped"))</f>
        <v>Ravishankar gowda</v>
      </c>
      <c r="D136" s="31" t="str">
        <f aca="false" t="array" ref="D136:D136">IF(B136="","",IFERROR(INDEX('CLM &amp; IM Mapping'!$C$2:$C$270,MATCH(TRIM(B136),'CLM &amp; IM Mapping'!$A$2:$A$270,0)),"Not Mapped"))</f>
        <v>Kishor K</v>
      </c>
      <c r="E136" s="31" t="s">
        <v>34</v>
      </c>
      <c r="F136" s="31" t="s">
        <v>562</v>
      </c>
      <c r="G136" s="31" t="s">
        <v>23</v>
      </c>
      <c r="H136" s="17" t="n">
        <v>4147</v>
      </c>
      <c r="I136" s="32" t="n">
        <v>0.7</v>
      </c>
      <c r="J136" s="33" t="n">
        <v>0.58</v>
      </c>
      <c r="K136" s="33" t="n">
        <v>0.93</v>
      </c>
      <c r="L136" s="33" t="n">
        <v>0.95</v>
      </c>
      <c r="M136" s="33" t="n">
        <v>0.93</v>
      </c>
      <c r="N136" s="11" t="n">
        <v>2</v>
      </c>
      <c r="O136" s="12" t="s">
        <v>631</v>
      </c>
      <c r="P136" s="12" t="s">
        <v>623</v>
      </c>
      <c r="Q136" s="8"/>
      <c r="R136" s="8"/>
      <c r="S136" s="8"/>
      <c r="T136" s="8"/>
      <c r="U136" s="8"/>
      <c r="V136" s="8"/>
      <c r="W136" s="8"/>
      <c r="X136" s="8"/>
      <c r="Y136" s="8"/>
      <c r="Z136" s="8"/>
      <c r="AA136" s="35"/>
      <c r="AB136" s="35"/>
      <c r="AC136" s="35"/>
      <c r="AD136" s="35"/>
      <c r="AE136" s="8"/>
      <c r="AF136" s="8"/>
      <c r="AG136" s="8"/>
      <c r="AH136" s="8"/>
      <c r="AI136" s="8"/>
      <c r="AJ136" s="8"/>
      <c r="AK136" s="8"/>
      <c r="AL136" s="8"/>
      <c r="AM136" s="8"/>
    </row>
    <row r="137" customFormat="false" ht="15.75" hidden="false" customHeight="true" outlineLevel="0" collapsed="false">
      <c r="A137" s="30" t="n">
        <v>46303</v>
      </c>
      <c r="B137" s="31" t="s">
        <v>505</v>
      </c>
      <c r="C137" s="31" t="str">
        <f aca="false" t="array" ref="C137:C137">IF(B137="","",IFERROR(INDEX('CLM &amp; IM Mapping'!$B$2:$B$270,MATCH(TRIM(B137),'CLM &amp; IM Mapping'!$A$2:$A$270,0)),"Not Mapped"))</f>
        <v>Basil Scariya</v>
      </c>
      <c r="D137" s="31" t="str">
        <f aca="false" t="array" ref="D137:D137">IF(B137="","",IFERROR(INDEX('CLM &amp; IM Mapping'!$C$2:$C$270,MATCH(TRIM(B137),'CLM &amp; IM Mapping'!$A$2:$A$270,0)),"Not Mapped"))</f>
        <v>Prakash BS</v>
      </c>
      <c r="E137" s="31" t="s">
        <v>34</v>
      </c>
      <c r="F137" s="31" t="s">
        <v>562</v>
      </c>
      <c r="G137" s="31" t="s">
        <v>23</v>
      </c>
      <c r="H137" s="17" t="n">
        <v>6955</v>
      </c>
      <c r="I137" s="32" t="n">
        <v>0.7</v>
      </c>
      <c r="J137" s="33" t="n">
        <v>0.58</v>
      </c>
      <c r="K137" s="33" t="n">
        <v>0.93</v>
      </c>
      <c r="L137" s="33" t="n">
        <v>0.98</v>
      </c>
      <c r="M137" s="33" t="n">
        <v>0.93</v>
      </c>
      <c r="N137" s="11" t="n">
        <v>5</v>
      </c>
      <c r="O137" s="12" t="s">
        <v>642</v>
      </c>
      <c r="P137" s="36" t="s">
        <v>633</v>
      </c>
      <c r="Q137" s="8"/>
      <c r="R137" s="8"/>
      <c r="S137" s="8"/>
      <c r="T137" s="8"/>
      <c r="U137" s="8"/>
      <c r="V137" s="8"/>
      <c r="W137" s="8"/>
      <c r="X137" s="8"/>
      <c r="Y137" s="8"/>
      <c r="Z137" s="8"/>
      <c r="AA137" s="35"/>
      <c r="AB137" s="35"/>
      <c r="AC137" s="35"/>
      <c r="AD137" s="35"/>
      <c r="AE137" s="8"/>
      <c r="AF137" s="8"/>
      <c r="AG137" s="8"/>
      <c r="AH137" s="8"/>
      <c r="AI137" s="8"/>
      <c r="AJ137" s="8"/>
      <c r="AK137" s="8"/>
      <c r="AL137" s="8"/>
      <c r="AM137" s="8"/>
    </row>
    <row r="138" customFormat="false" ht="15.75" hidden="false" customHeight="true" outlineLevel="0" collapsed="false">
      <c r="A138" s="30" t="n">
        <v>46303</v>
      </c>
      <c r="B138" s="31" t="s">
        <v>311</v>
      </c>
      <c r="C138" s="31" t="str">
        <f aca="false" t="array" ref="C138:C138">IF(B138="","",IFERROR(INDEX('CLM &amp; IM Mapping'!$B$2:$B$270,MATCH(TRIM(B138),'CLM &amp; IM Mapping'!$A$2:$A$270,0)),"Not Mapped"))</f>
        <v>Manjunatha V</v>
      </c>
      <c r="D138" s="31" t="str">
        <f aca="false" t="array" ref="D138:D138">IF(B138="","",IFERROR(INDEX('CLM &amp; IM Mapping'!$C$2:$C$270,MATCH(TRIM(B138),'CLM &amp; IM Mapping'!$A$2:$A$270,0)),"Not Mapped"))</f>
        <v>Un Mapped</v>
      </c>
      <c r="E138" s="31" t="s">
        <v>34</v>
      </c>
      <c r="F138" s="31" t="s">
        <v>565</v>
      </c>
      <c r="G138" s="31" t="s">
        <v>23</v>
      </c>
      <c r="H138" s="17" t="n">
        <v>5222</v>
      </c>
      <c r="I138" s="32" t="n">
        <v>0.7</v>
      </c>
      <c r="J138" s="33" t="n">
        <v>0.59</v>
      </c>
      <c r="K138" s="33" t="n">
        <v>0.83</v>
      </c>
      <c r="L138" s="33" t="n">
        <v>0.96</v>
      </c>
      <c r="M138" s="33" t="n">
        <v>0.83</v>
      </c>
      <c r="N138" s="11" t="n">
        <v>4</v>
      </c>
      <c r="O138" s="19"/>
      <c r="P138" s="11"/>
      <c r="Q138" s="8"/>
      <c r="R138" s="8"/>
      <c r="S138" s="8"/>
      <c r="T138" s="8"/>
      <c r="U138" s="8"/>
      <c r="V138" s="8"/>
      <c r="W138" s="8"/>
      <c r="X138" s="8"/>
      <c r="Y138" s="8"/>
      <c r="Z138" s="8"/>
      <c r="AA138" s="35"/>
      <c r="AB138" s="35"/>
      <c r="AC138" s="35"/>
      <c r="AD138" s="35"/>
      <c r="AE138" s="8"/>
      <c r="AF138" s="8"/>
      <c r="AG138" s="8"/>
      <c r="AH138" s="8"/>
      <c r="AI138" s="8"/>
      <c r="AJ138" s="8"/>
      <c r="AK138" s="8"/>
      <c r="AL138" s="8"/>
      <c r="AM138" s="8"/>
    </row>
    <row r="139" customFormat="false" ht="15.75" hidden="false" customHeight="true" outlineLevel="0" collapsed="false">
      <c r="A139" s="30" t="n">
        <v>46303</v>
      </c>
      <c r="B139" s="31" t="s">
        <v>334</v>
      </c>
      <c r="C139" s="31" t="str">
        <f aca="false" t="array" ref="C139:C139">IF(B139="","",IFERROR(INDEX('CLM &amp; IM Mapping'!$B$2:$B$270,MATCH(TRIM(B139),'CLM &amp; IM Mapping'!$A$2:$A$270,0)),"Not Mapped"))</f>
        <v>Akshay P</v>
      </c>
      <c r="D139" s="31" t="str">
        <f aca="false" t="array" ref="D139:D139">IF(B139="","",IFERROR(INDEX('CLM &amp; IM Mapping'!$C$2:$C$270,MATCH(TRIM(B139),'CLM &amp; IM Mapping'!$A$2:$A$270,0)),"Not Mapped"))</f>
        <v>Srittam Dhal</v>
      </c>
      <c r="E139" s="31" t="s">
        <v>34</v>
      </c>
      <c r="F139" s="31" t="s">
        <v>562</v>
      </c>
      <c r="G139" s="31" t="s">
        <v>23</v>
      </c>
      <c r="H139" s="17" t="n">
        <v>6002</v>
      </c>
      <c r="I139" s="32" t="n">
        <v>0.7</v>
      </c>
      <c r="J139" s="33" t="n">
        <v>0.59</v>
      </c>
      <c r="K139" s="33" t="n">
        <v>0.92</v>
      </c>
      <c r="L139" s="33" t="n">
        <v>0.97</v>
      </c>
      <c r="M139" s="33" t="n">
        <v>0.92</v>
      </c>
      <c r="N139" s="11" t="n">
        <v>3</v>
      </c>
      <c r="O139" s="19"/>
      <c r="P139" s="11"/>
      <c r="Q139" s="8"/>
      <c r="R139" s="8"/>
      <c r="S139" s="8"/>
      <c r="T139" s="8"/>
      <c r="U139" s="8"/>
      <c r="V139" s="8"/>
      <c r="W139" s="8"/>
      <c r="X139" s="8"/>
      <c r="Y139" s="8"/>
      <c r="Z139" s="8"/>
      <c r="AA139" s="35"/>
      <c r="AB139" s="35"/>
      <c r="AC139" s="35"/>
      <c r="AD139" s="35"/>
      <c r="AE139" s="8"/>
      <c r="AF139" s="8"/>
      <c r="AG139" s="8"/>
      <c r="AH139" s="8"/>
      <c r="AI139" s="8"/>
      <c r="AJ139" s="8"/>
      <c r="AK139" s="8"/>
      <c r="AL139" s="8"/>
      <c r="AM139" s="8"/>
    </row>
    <row r="140" customFormat="false" ht="15.75" hidden="false" customHeight="true" outlineLevel="0" collapsed="false">
      <c r="A140" s="30" t="n">
        <v>46303</v>
      </c>
      <c r="B140" s="31" t="s">
        <v>222</v>
      </c>
      <c r="C140" s="31" t="str">
        <f aca="false" t="array" ref="C140:C140">IF(B140="","",IFERROR(INDEX('CLM &amp; IM Mapping'!$B$2:$B$270,MATCH(TRIM(B140),'CLM &amp; IM Mapping'!$A$2:$A$270,0)),"Not Mapped"))</f>
        <v>Vishnu V</v>
      </c>
      <c r="D140" s="31" t="str">
        <f aca="false" t="array" ref="D140:D140">IF(B140="","",IFERROR(INDEX('CLM &amp; IM Mapping'!$C$2:$C$270,MATCH(TRIM(B140),'CLM &amp; IM Mapping'!$A$2:$A$270,0)),"Not Mapped"))</f>
        <v>Arivind S</v>
      </c>
      <c r="E140" s="31" t="s">
        <v>34</v>
      </c>
      <c r="F140" s="31" t="s">
        <v>562</v>
      </c>
      <c r="G140" s="31" t="s">
        <v>221</v>
      </c>
      <c r="H140" s="17" t="n">
        <v>6377</v>
      </c>
      <c r="I140" s="32" t="n">
        <v>0.7</v>
      </c>
      <c r="J140" s="33" t="n">
        <v>0.59</v>
      </c>
      <c r="K140" s="33" t="n">
        <v>0.92</v>
      </c>
      <c r="L140" s="33" t="n">
        <v>0.98</v>
      </c>
      <c r="M140" s="33" t="n">
        <v>0.92</v>
      </c>
      <c r="N140" s="11" t="n">
        <v>3</v>
      </c>
      <c r="O140" s="19"/>
      <c r="P140" s="11"/>
      <c r="Q140" s="8"/>
      <c r="R140" s="8"/>
      <c r="S140" s="8"/>
      <c r="T140" s="8"/>
      <c r="U140" s="8"/>
      <c r="V140" s="8"/>
      <c r="W140" s="8"/>
      <c r="X140" s="8"/>
      <c r="Y140" s="8"/>
      <c r="Z140" s="8"/>
      <c r="AA140" s="35"/>
      <c r="AB140" s="35"/>
      <c r="AC140" s="35"/>
      <c r="AD140" s="35"/>
      <c r="AE140" s="8"/>
      <c r="AF140" s="8"/>
      <c r="AG140" s="8"/>
      <c r="AH140" s="8"/>
      <c r="AI140" s="8"/>
      <c r="AJ140" s="8"/>
      <c r="AK140" s="8"/>
      <c r="AL140" s="8"/>
      <c r="AM140" s="8"/>
    </row>
    <row r="141" customFormat="false" ht="15.75" hidden="false" customHeight="true" outlineLevel="0" collapsed="false">
      <c r="A141" s="30" t="n">
        <v>46303</v>
      </c>
      <c r="B141" s="31" t="s">
        <v>470</v>
      </c>
      <c r="C141" s="31" t="str">
        <f aca="false" t="array" ref="C141:C141">IF(B141="","",IFERROR(INDEX('CLM &amp; IM Mapping'!$B$2:$B$270,MATCH(TRIM(B141),'CLM &amp; IM Mapping'!$A$2:$A$270,0)),"Not Mapped"))</f>
        <v>Vishnu V</v>
      </c>
      <c r="D141" s="31" t="str">
        <f aca="false" t="array" ref="D141:D141">IF(B141="","",IFERROR(INDEX('CLM &amp; IM Mapping'!$C$2:$C$270,MATCH(TRIM(B141),'CLM &amp; IM Mapping'!$A$2:$A$270,0)),"Not Mapped"))</f>
        <v>Arivind S</v>
      </c>
      <c r="E141" s="31" t="s">
        <v>34</v>
      </c>
      <c r="F141" s="31" t="s">
        <v>565</v>
      </c>
      <c r="G141" s="31" t="s">
        <v>221</v>
      </c>
      <c r="H141" s="17" t="n">
        <v>6661</v>
      </c>
      <c r="I141" s="32" t="n">
        <v>0.7</v>
      </c>
      <c r="J141" s="33" t="n">
        <v>0.59</v>
      </c>
      <c r="K141" s="33" t="n">
        <v>0.96</v>
      </c>
      <c r="L141" s="33" t="n">
        <v>0.99</v>
      </c>
      <c r="M141" s="33" t="n">
        <v>0.96</v>
      </c>
      <c r="N141" s="11" t="n">
        <v>1</v>
      </c>
      <c r="O141" s="19"/>
      <c r="P141" s="11"/>
      <c r="Q141" s="8"/>
      <c r="R141" s="8"/>
      <c r="S141" s="8"/>
      <c r="T141" s="8"/>
      <c r="U141" s="8"/>
      <c r="V141" s="8"/>
      <c r="W141" s="8"/>
      <c r="X141" s="8"/>
      <c r="Y141" s="8"/>
      <c r="Z141" s="8"/>
      <c r="AA141" s="35"/>
      <c r="AB141" s="35"/>
      <c r="AC141" s="35"/>
      <c r="AD141" s="35"/>
      <c r="AE141" s="8"/>
      <c r="AF141" s="8"/>
      <c r="AG141" s="8"/>
      <c r="AH141" s="8"/>
      <c r="AI141" s="8"/>
      <c r="AJ141" s="8"/>
      <c r="AK141" s="8"/>
      <c r="AL141" s="8"/>
      <c r="AM141" s="8"/>
    </row>
    <row r="142" customFormat="false" ht="15.75" hidden="false" customHeight="true" outlineLevel="0" collapsed="false">
      <c r="A142" s="30" t="n">
        <v>46303</v>
      </c>
      <c r="B142" s="31" t="s">
        <v>337</v>
      </c>
      <c r="C142" s="31" t="str">
        <f aca="false" t="array" ref="C142:C142">IF(B142="","",IFERROR(INDEX('CLM &amp; IM Mapping'!$B$2:$B$270,MATCH(TRIM(B142),'CLM &amp; IM Mapping'!$A$2:$A$270,0)),"Not Mapped"))</f>
        <v>Akshay P</v>
      </c>
      <c r="D142" s="31" t="str">
        <f aca="false" t="array" ref="D142:D142">IF(B142="","",IFERROR(INDEX('CLM &amp; IM Mapping'!$C$2:$C$270,MATCH(TRIM(B142),'CLM &amp; IM Mapping'!$A$2:$A$270,0)),"Not Mapped"))</f>
        <v>Srittam Dhal</v>
      </c>
      <c r="E142" s="31" t="s">
        <v>34</v>
      </c>
      <c r="F142" s="31" t="s">
        <v>565</v>
      </c>
      <c r="G142" s="31" t="s">
        <v>336</v>
      </c>
      <c r="H142" s="17" t="n">
        <v>7007</v>
      </c>
      <c r="I142" s="32" t="n">
        <v>0.7</v>
      </c>
      <c r="J142" s="33" t="n">
        <v>0.59</v>
      </c>
      <c r="K142" s="33" t="n">
        <v>0.97</v>
      </c>
      <c r="L142" s="33" t="n">
        <v>0.98</v>
      </c>
      <c r="M142" s="33" t="n">
        <v>0.97</v>
      </c>
      <c r="N142" s="11" t="n">
        <v>1</v>
      </c>
      <c r="O142" s="19"/>
      <c r="P142" s="11"/>
      <c r="Q142" s="8"/>
      <c r="R142" s="8"/>
      <c r="S142" s="8"/>
      <c r="T142" s="8"/>
      <c r="U142" s="8"/>
      <c r="V142" s="8"/>
      <c r="W142" s="8"/>
      <c r="X142" s="8"/>
      <c r="Y142" s="8"/>
      <c r="Z142" s="8"/>
      <c r="AA142" s="35"/>
      <c r="AB142" s="35"/>
      <c r="AC142" s="35"/>
      <c r="AD142" s="8"/>
      <c r="AE142" s="8"/>
      <c r="AF142" s="8"/>
      <c r="AG142" s="8"/>
      <c r="AH142" s="8"/>
      <c r="AI142" s="8"/>
      <c r="AJ142" s="8"/>
      <c r="AK142" s="8"/>
      <c r="AL142" s="8"/>
      <c r="AM142" s="8"/>
    </row>
    <row r="143" customFormat="false" ht="15.75" hidden="false" customHeight="true" outlineLevel="0" collapsed="false">
      <c r="A143" s="30" t="n">
        <v>46303</v>
      </c>
      <c r="B143" s="31" t="s">
        <v>241</v>
      </c>
      <c r="C143" s="31" t="str">
        <f aca="false" t="array" ref="C143:C143">IF(B143="","",IFERROR(INDEX('CLM &amp; IM Mapping'!$B$2:$B$270,MATCH(TRIM(B143),'CLM &amp; IM Mapping'!$A$2:$A$270,0)),"Not Mapped"))</f>
        <v>Sundaresh S</v>
      </c>
      <c r="D143" s="31" t="str">
        <f aca="false" t="array" ref="D143:D143">IF(B143="","",IFERROR(INDEX('CLM &amp; IM Mapping'!$C$2:$C$270,MATCH(TRIM(B143),'CLM &amp; IM Mapping'!$A$2:$A$270,0)),"Not Mapped"))</f>
        <v>Un Mapped</v>
      </c>
      <c r="E143" s="31" t="s">
        <v>34</v>
      </c>
      <c r="F143" s="31" t="s">
        <v>562</v>
      </c>
      <c r="G143" s="31" t="s">
        <v>23</v>
      </c>
      <c r="H143" s="17" t="n">
        <v>5757</v>
      </c>
      <c r="I143" s="32" t="n">
        <v>0.7</v>
      </c>
      <c r="J143" s="33" t="n">
        <v>0.6</v>
      </c>
      <c r="K143" s="33" t="n">
        <v>0.88</v>
      </c>
      <c r="L143" s="33" t="n">
        <v>0.95</v>
      </c>
      <c r="M143" s="33" t="n">
        <v>0.88</v>
      </c>
      <c r="N143" s="11" t="n">
        <v>3</v>
      </c>
      <c r="O143" s="19"/>
      <c r="P143" s="11"/>
      <c r="Q143" s="8"/>
      <c r="R143" s="8"/>
      <c r="S143" s="8"/>
      <c r="T143" s="8"/>
      <c r="U143" s="8"/>
      <c r="V143" s="8"/>
      <c r="W143" s="8"/>
      <c r="X143" s="8"/>
      <c r="Y143" s="8"/>
      <c r="Z143" s="8"/>
      <c r="AA143" s="35"/>
      <c r="AB143" s="35"/>
      <c r="AC143" s="35"/>
      <c r="AD143" s="35"/>
      <c r="AE143" s="8"/>
      <c r="AF143" s="8"/>
      <c r="AG143" s="8"/>
      <c r="AH143" s="8"/>
      <c r="AI143" s="8"/>
      <c r="AJ143" s="8"/>
      <c r="AK143" s="8"/>
      <c r="AL143" s="8"/>
      <c r="AM143" s="8"/>
    </row>
    <row r="144" customFormat="false" ht="15.75" hidden="false" customHeight="true" outlineLevel="0" collapsed="false">
      <c r="A144" s="30" t="n">
        <v>46303</v>
      </c>
      <c r="B144" s="31" t="s">
        <v>327</v>
      </c>
      <c r="C144" s="31" t="str">
        <f aca="false" t="array" ref="C144:C144">IF(B144="","",IFERROR(INDEX('CLM &amp; IM Mapping'!$B$2:$B$270,MATCH(TRIM(B144),'CLM &amp; IM Mapping'!$A$2:$A$270,0)),"Not Mapped"))</f>
        <v>Suhas N</v>
      </c>
      <c r="D144" s="31" t="str">
        <f aca="false" t="array" ref="D144:D144">IF(B144="","",IFERROR(INDEX('CLM &amp; IM Mapping'!$C$2:$C$270,MATCH(TRIM(B144),'CLM &amp; IM Mapping'!$A$2:$A$270,0)),"Not Mapped"))</f>
        <v>Aravind S</v>
      </c>
      <c r="E144" s="31" t="s">
        <v>34</v>
      </c>
      <c r="F144" s="31" t="s">
        <v>562</v>
      </c>
      <c r="G144" s="31" t="s">
        <v>23</v>
      </c>
      <c r="H144" s="17" t="n">
        <v>7332</v>
      </c>
      <c r="I144" s="32" t="n">
        <v>0.7</v>
      </c>
      <c r="J144" s="33" t="n">
        <v>0.6</v>
      </c>
      <c r="K144" s="33" t="n">
        <v>0.97</v>
      </c>
      <c r="L144" s="33" t="n">
        <v>0.99</v>
      </c>
      <c r="M144" s="33" t="n">
        <v>0.97</v>
      </c>
      <c r="N144" s="11" t="n">
        <v>1</v>
      </c>
      <c r="O144" s="19"/>
      <c r="P144" s="11"/>
      <c r="Q144" s="8"/>
      <c r="R144" s="8"/>
      <c r="S144" s="8"/>
      <c r="T144" s="8"/>
      <c r="U144" s="8"/>
      <c r="V144" s="8"/>
      <c r="W144" s="8"/>
      <c r="X144" s="8"/>
      <c r="Y144" s="8"/>
      <c r="Z144" s="8"/>
      <c r="AA144" s="35"/>
      <c r="AB144" s="35"/>
      <c r="AC144" s="35"/>
      <c r="AD144" s="35"/>
      <c r="AE144" s="8"/>
      <c r="AF144" s="8"/>
      <c r="AG144" s="8"/>
      <c r="AH144" s="8"/>
      <c r="AI144" s="8"/>
      <c r="AJ144" s="8"/>
      <c r="AK144" s="8"/>
      <c r="AL144" s="8"/>
      <c r="AM144" s="8"/>
    </row>
    <row r="145" customFormat="false" ht="15.75" hidden="false" customHeight="true" outlineLevel="0" collapsed="false">
      <c r="A145" s="30" t="n">
        <v>46303</v>
      </c>
      <c r="B145" s="31" t="s">
        <v>257</v>
      </c>
      <c r="C145" s="31" t="str">
        <f aca="false" t="array" ref="C145:C145">IF(B145="","",IFERROR(INDEX('CLM &amp; IM Mapping'!$B$2:$B$270,MATCH(TRIM(B145),'CLM &amp; IM Mapping'!$A$2:$A$270,0)),"Not Mapped"))</f>
        <v>Raghavendra Vernekar</v>
      </c>
      <c r="D145" s="31" t="str">
        <f aca="false" t="array" ref="D145:D145">IF(B145="","",IFERROR(INDEX('CLM &amp; IM Mapping'!$C$2:$C$270,MATCH(TRIM(B145),'CLM &amp; IM Mapping'!$A$2:$A$270,0)),"Not Mapped"))</f>
        <v>Prakash BS</v>
      </c>
      <c r="E145" s="31" t="s">
        <v>34</v>
      </c>
      <c r="F145" s="31" t="s">
        <v>562</v>
      </c>
      <c r="G145" s="31" t="s">
        <v>23</v>
      </c>
      <c r="H145" s="17" t="n">
        <v>5155</v>
      </c>
      <c r="I145" s="32" t="n">
        <v>0.7</v>
      </c>
      <c r="J145" s="33" t="n">
        <v>0.6</v>
      </c>
      <c r="K145" s="33" t="n">
        <v>0.89</v>
      </c>
      <c r="L145" s="33" t="n">
        <v>0.97</v>
      </c>
      <c r="M145" s="33" t="n">
        <v>0.89</v>
      </c>
      <c r="N145" s="11" t="n">
        <v>4</v>
      </c>
      <c r="O145" s="12" t="s">
        <v>643</v>
      </c>
      <c r="P145" s="37" t="n">
        <v>46305</v>
      </c>
      <c r="Q145" s="8"/>
      <c r="R145" s="8"/>
      <c r="S145" s="8"/>
      <c r="T145" s="8"/>
      <c r="U145" s="8"/>
      <c r="V145" s="8"/>
      <c r="W145" s="8"/>
      <c r="X145" s="8"/>
      <c r="Y145" s="8"/>
      <c r="Z145" s="8"/>
      <c r="AA145" s="35"/>
      <c r="AB145" s="35"/>
      <c r="AC145" s="35"/>
      <c r="AD145" s="35"/>
      <c r="AE145" s="8"/>
      <c r="AF145" s="8"/>
      <c r="AG145" s="8"/>
      <c r="AH145" s="8"/>
      <c r="AI145" s="8"/>
      <c r="AJ145" s="8"/>
      <c r="AK145" s="8"/>
      <c r="AL145" s="8"/>
      <c r="AM145" s="8"/>
    </row>
    <row r="146" customFormat="false" ht="15.75" hidden="false" customHeight="true" outlineLevel="0" collapsed="false">
      <c r="A146" s="30" t="n">
        <v>46303</v>
      </c>
      <c r="B146" s="31" t="s">
        <v>361</v>
      </c>
      <c r="C146" s="31" t="str">
        <f aca="false" t="array" ref="C146:C146">IF(B146="","",IFERROR(INDEX('CLM &amp; IM Mapping'!$B$2:$B$270,MATCH(TRIM(B146),'CLM &amp; IM Mapping'!$A$2:$A$270,0)),"Not Mapped"))</f>
        <v>Santhosha M</v>
      </c>
      <c r="D146" s="31" t="str">
        <f aca="false" t="array" ref="D146:D146">IF(B146="","",IFERROR(INDEX('CLM &amp; IM Mapping'!$C$2:$C$270,MATCH(TRIM(B146),'CLM &amp; IM Mapping'!$A$2:$A$270,0)),"Not Mapped"))</f>
        <v>Aravind S</v>
      </c>
      <c r="E146" s="31" t="s">
        <v>34</v>
      </c>
      <c r="F146" s="31" t="s">
        <v>565</v>
      </c>
      <c r="G146" s="31" t="s">
        <v>276</v>
      </c>
      <c r="H146" s="17" t="n">
        <v>7361</v>
      </c>
      <c r="I146" s="32" t="n">
        <v>0.7</v>
      </c>
      <c r="J146" s="33" t="n">
        <v>0.6</v>
      </c>
      <c r="K146" s="33" t="n">
        <v>0.96</v>
      </c>
      <c r="L146" s="33" t="n">
        <v>0.98</v>
      </c>
      <c r="M146" s="33" t="n">
        <v>0.96</v>
      </c>
      <c r="N146" s="11" t="n">
        <v>1</v>
      </c>
      <c r="O146" s="19"/>
      <c r="P146" s="11"/>
      <c r="Q146" s="8"/>
      <c r="R146" s="8"/>
      <c r="S146" s="8"/>
      <c r="T146" s="8"/>
      <c r="U146" s="8"/>
      <c r="V146" s="8"/>
      <c r="W146" s="8"/>
      <c r="X146" s="8"/>
      <c r="Y146" s="8"/>
      <c r="Z146" s="8"/>
      <c r="AA146" s="35"/>
      <c r="AB146" s="35"/>
      <c r="AC146" s="35"/>
      <c r="AD146" s="8"/>
      <c r="AE146" s="8"/>
      <c r="AF146" s="8"/>
      <c r="AG146" s="8"/>
      <c r="AH146" s="8"/>
      <c r="AI146" s="8"/>
      <c r="AJ146" s="8"/>
      <c r="AK146" s="8"/>
      <c r="AL146" s="8"/>
      <c r="AM146" s="8"/>
    </row>
    <row r="147" customFormat="false" ht="15.75" hidden="false" customHeight="true" outlineLevel="0" collapsed="false">
      <c r="A147" s="30" t="n">
        <v>46303</v>
      </c>
      <c r="B147" s="31" t="s">
        <v>271</v>
      </c>
      <c r="C147" s="31" t="str">
        <f aca="false" t="array" ref="C147:C147">IF(B147="","",IFERROR(INDEX('CLM &amp; IM Mapping'!$B$2:$B$270,MATCH(TRIM(B147),'CLM &amp; IM Mapping'!$A$2:$A$270,0)),"Not Mapped"))</f>
        <v>Rizwan Ahmed</v>
      </c>
      <c r="D147" s="31" t="str">
        <f aca="false" t="array" ref="D147:D147">IF(B147="","",IFERROR(INDEX('CLM &amp; IM Mapping'!$C$2:$C$270,MATCH(TRIM(B147),'CLM &amp; IM Mapping'!$A$2:$A$270,0)),"Not Mapped"))</f>
        <v>Prakash BS</v>
      </c>
      <c r="E147" s="31" t="s">
        <v>34</v>
      </c>
      <c r="F147" s="31" t="s">
        <v>562</v>
      </c>
      <c r="G147" s="31" t="s">
        <v>23</v>
      </c>
      <c r="H147" s="17" t="n">
        <v>7382</v>
      </c>
      <c r="I147" s="32" t="n">
        <v>0.7</v>
      </c>
      <c r="J147" s="33" t="n">
        <v>0.61</v>
      </c>
      <c r="K147" s="33" t="n">
        <v>0.88</v>
      </c>
      <c r="L147" s="33" t="n">
        <v>0.97</v>
      </c>
      <c r="M147" s="33" t="n">
        <v>0.88</v>
      </c>
      <c r="N147" s="11" t="n">
        <v>6</v>
      </c>
      <c r="O147" s="12" t="s">
        <v>644</v>
      </c>
      <c r="P147" s="37" t="n">
        <v>46366</v>
      </c>
      <c r="Q147" s="8"/>
      <c r="R147" s="8"/>
      <c r="S147" s="8"/>
      <c r="T147" s="8"/>
      <c r="U147" s="8"/>
      <c r="V147" s="8"/>
      <c r="W147" s="8"/>
      <c r="X147" s="8"/>
      <c r="Y147" s="8"/>
      <c r="Z147" s="8"/>
      <c r="AA147" s="35"/>
      <c r="AB147" s="35"/>
      <c r="AC147" s="35"/>
      <c r="AD147" s="35"/>
      <c r="AE147" s="8"/>
      <c r="AF147" s="8"/>
      <c r="AG147" s="8"/>
      <c r="AH147" s="8"/>
      <c r="AI147" s="8"/>
      <c r="AJ147" s="8"/>
      <c r="AK147" s="8"/>
      <c r="AL147" s="8"/>
      <c r="AM147" s="8"/>
    </row>
    <row r="148" customFormat="false" ht="15.75" hidden="false" customHeight="true" outlineLevel="0" collapsed="false">
      <c r="A148" s="30" t="n">
        <v>46303</v>
      </c>
      <c r="B148" s="31" t="s">
        <v>314</v>
      </c>
      <c r="C148" s="31" t="str">
        <f aca="false" t="array" ref="C148:C148">IF(B148="","",IFERROR(INDEX('CLM &amp; IM Mapping'!$B$2:$B$270,MATCH(TRIM(B148),'CLM &amp; IM Mapping'!$A$2:$A$270,0)),"Not Mapped"))</f>
        <v>Basil Scariya</v>
      </c>
      <c r="D148" s="31" t="str">
        <f aca="false" t="array" ref="D148:D148">IF(B148="","",IFERROR(INDEX('CLM &amp; IM Mapping'!$C$2:$C$270,MATCH(TRIM(B148),'CLM &amp; IM Mapping'!$A$2:$A$270,0)),"Not Mapped"))</f>
        <v>Prakash BS</v>
      </c>
      <c r="E148" s="31" t="s">
        <v>34</v>
      </c>
      <c r="F148" s="31" t="s">
        <v>562</v>
      </c>
      <c r="G148" s="31" t="s">
        <v>23</v>
      </c>
      <c r="H148" s="17" t="n">
        <v>6269</v>
      </c>
      <c r="I148" s="32" t="n">
        <v>0.7</v>
      </c>
      <c r="J148" s="33" t="n">
        <v>0.62</v>
      </c>
      <c r="K148" s="33" t="n">
        <v>0.88</v>
      </c>
      <c r="L148" s="33" t="n">
        <v>0.96</v>
      </c>
      <c r="M148" s="33" t="n">
        <v>0.88</v>
      </c>
      <c r="N148" s="11" t="n">
        <v>4</v>
      </c>
      <c r="O148" s="12" t="s">
        <v>645</v>
      </c>
      <c r="P148" s="37" t="n">
        <v>46366</v>
      </c>
      <c r="Q148" s="8"/>
      <c r="R148" s="8"/>
      <c r="S148" s="8"/>
      <c r="T148" s="8"/>
      <c r="U148" s="8"/>
      <c r="V148" s="8"/>
      <c r="W148" s="8"/>
      <c r="X148" s="8"/>
      <c r="Y148" s="8"/>
      <c r="Z148" s="8"/>
      <c r="AA148" s="35"/>
      <c r="AB148" s="35"/>
      <c r="AC148" s="35"/>
      <c r="AD148" s="35"/>
      <c r="AE148" s="8"/>
      <c r="AF148" s="8"/>
      <c r="AG148" s="8"/>
      <c r="AH148" s="8"/>
      <c r="AI148" s="8"/>
      <c r="AJ148" s="8"/>
      <c r="AK148" s="8"/>
      <c r="AL148" s="8"/>
      <c r="AM148" s="8"/>
    </row>
    <row r="149" customFormat="false" ht="15.75" hidden="false" customHeight="true" outlineLevel="0" collapsed="false">
      <c r="A149" s="30" t="n">
        <v>46303</v>
      </c>
      <c r="B149" s="31" t="s">
        <v>465</v>
      </c>
      <c r="C149" s="31" t="str">
        <f aca="false" t="array" ref="C149:C149">IF(B149="","",IFERROR(INDEX('CLM &amp; IM Mapping'!$B$2:$B$270,MATCH(TRIM(B149),'CLM &amp; IM Mapping'!$A$2:$A$270,0)),"Not Mapped"))</f>
        <v>Suhas N</v>
      </c>
      <c r="D149" s="31" t="str">
        <f aca="false" t="array" ref="D149:D149">IF(B149="","",IFERROR(INDEX('CLM &amp; IM Mapping'!$C$2:$C$270,MATCH(TRIM(B149),'CLM &amp; IM Mapping'!$A$2:$A$270,0)),"Not Mapped"))</f>
        <v>Aravind S</v>
      </c>
      <c r="E149" s="31" t="s">
        <v>34</v>
      </c>
      <c r="F149" s="31" t="s">
        <v>562</v>
      </c>
      <c r="G149" s="31" t="s">
        <v>23</v>
      </c>
      <c r="H149" s="17" t="n">
        <v>4895</v>
      </c>
      <c r="I149" s="32" t="n">
        <v>0.7</v>
      </c>
      <c r="J149" s="33" t="n">
        <v>0.62</v>
      </c>
      <c r="K149" s="33" t="n">
        <v>0.93</v>
      </c>
      <c r="L149" s="33" t="n">
        <v>0.98</v>
      </c>
      <c r="M149" s="33" t="n">
        <v>0.93</v>
      </c>
      <c r="N149" s="11" t="n">
        <v>4</v>
      </c>
      <c r="O149" s="19"/>
      <c r="P149" s="11"/>
      <c r="Q149" s="8"/>
      <c r="R149" s="8"/>
      <c r="S149" s="8"/>
      <c r="T149" s="8"/>
      <c r="U149" s="8"/>
      <c r="V149" s="8"/>
      <c r="W149" s="8"/>
      <c r="X149" s="8"/>
      <c r="Y149" s="8"/>
      <c r="Z149" s="8"/>
      <c r="AA149" s="35"/>
      <c r="AB149" s="35"/>
      <c r="AC149" s="35"/>
      <c r="AD149" s="35"/>
      <c r="AE149" s="8"/>
      <c r="AF149" s="8"/>
      <c r="AG149" s="8"/>
      <c r="AH149" s="8"/>
      <c r="AI149" s="8"/>
      <c r="AJ149" s="8"/>
      <c r="AK149" s="8"/>
      <c r="AL149" s="8"/>
      <c r="AM149" s="8"/>
    </row>
    <row r="150" customFormat="false" ht="15.75" hidden="false" customHeight="true" outlineLevel="0" collapsed="false">
      <c r="A150" s="30" t="n">
        <v>46303</v>
      </c>
      <c r="B150" s="31" t="s">
        <v>279</v>
      </c>
      <c r="C150" s="31" t="str">
        <f aca="false" t="array" ref="C150:C150">IF(B150="","",IFERROR(INDEX('CLM &amp; IM Mapping'!$B$2:$B$270,MATCH(TRIM(B150),'CLM &amp; IM Mapping'!$A$2:$A$270,0)),"Not Mapped"))</f>
        <v>Rizwan Ahmed</v>
      </c>
      <c r="D150" s="31" t="str">
        <f aca="false" t="array" ref="D150:D150">IF(B150="","",IFERROR(INDEX('CLM &amp; IM Mapping'!$C$2:$C$270,MATCH(TRIM(B150),'CLM &amp; IM Mapping'!$A$2:$A$270,0)),"Not Mapped"))</f>
        <v>Un Mapped</v>
      </c>
      <c r="E150" s="31" t="s">
        <v>34</v>
      </c>
      <c r="F150" s="31" t="s">
        <v>565</v>
      </c>
      <c r="G150" s="31" t="s">
        <v>23</v>
      </c>
      <c r="H150" s="17" t="n">
        <v>5449</v>
      </c>
      <c r="I150" s="32" t="n">
        <v>0.7</v>
      </c>
      <c r="J150" s="33" t="n">
        <v>0.62</v>
      </c>
      <c r="K150" s="33" t="n">
        <v>0.93</v>
      </c>
      <c r="L150" s="33" t="n">
        <v>0.98</v>
      </c>
      <c r="M150" s="33" t="n">
        <v>0.93</v>
      </c>
      <c r="N150" s="11" t="n">
        <v>2</v>
      </c>
      <c r="O150" s="19"/>
      <c r="P150" s="11"/>
      <c r="Q150" s="8"/>
      <c r="R150" s="8"/>
      <c r="S150" s="8"/>
      <c r="T150" s="8"/>
      <c r="U150" s="8"/>
      <c r="V150" s="8"/>
      <c r="W150" s="8"/>
      <c r="X150" s="8"/>
      <c r="Y150" s="8"/>
      <c r="Z150" s="8"/>
      <c r="AA150" s="35"/>
      <c r="AB150" s="35"/>
      <c r="AC150" s="35"/>
      <c r="AD150" s="35"/>
      <c r="AE150" s="8"/>
      <c r="AF150" s="8"/>
      <c r="AG150" s="8"/>
      <c r="AH150" s="8"/>
      <c r="AI150" s="8"/>
      <c r="AJ150" s="8"/>
      <c r="AK150" s="8"/>
      <c r="AL150" s="8"/>
      <c r="AM150" s="8"/>
    </row>
    <row r="151" customFormat="false" ht="15.75" hidden="false" customHeight="true" outlineLevel="0" collapsed="false">
      <c r="A151" s="30" t="n">
        <v>46303</v>
      </c>
      <c r="B151" s="31" t="s">
        <v>398</v>
      </c>
      <c r="C151" s="31" t="str">
        <f aca="false" t="array" ref="C151:C151">IF(B151="","",IFERROR(INDEX('CLM &amp; IM Mapping'!$B$2:$B$270,MATCH(TRIM(B151),'CLM &amp; IM Mapping'!$A$2:$A$270,0)),"Not Mapped"))</f>
        <v>Raghavendra Vernekar</v>
      </c>
      <c r="D151" s="31" t="str">
        <f aca="false" t="array" ref="D151:D151">IF(B151="","",IFERROR(INDEX('CLM &amp; IM Mapping'!$C$2:$C$270,MATCH(TRIM(B151),'CLM &amp; IM Mapping'!$A$2:$A$270,0)),"Not Mapped"))</f>
        <v>Prakash BS</v>
      </c>
      <c r="E151" s="31" t="s">
        <v>34</v>
      </c>
      <c r="F151" s="31" t="s">
        <v>562</v>
      </c>
      <c r="G151" s="31" t="s">
        <v>23</v>
      </c>
      <c r="H151" s="17" t="n">
        <v>5097</v>
      </c>
      <c r="I151" s="32" t="n">
        <v>0.7</v>
      </c>
      <c r="J151" s="33" t="n">
        <v>0.62</v>
      </c>
      <c r="K151" s="33" t="n">
        <v>0.79</v>
      </c>
      <c r="L151" s="33" t="n">
        <v>0.95</v>
      </c>
      <c r="M151" s="33" t="n">
        <v>0.79</v>
      </c>
      <c r="N151" s="11" t="n">
        <v>6</v>
      </c>
      <c r="O151" s="12" t="s">
        <v>646</v>
      </c>
      <c r="P151" s="37" t="n">
        <v>46366</v>
      </c>
      <c r="Q151" s="8"/>
      <c r="R151" s="8"/>
      <c r="S151" s="8"/>
      <c r="T151" s="8"/>
      <c r="U151" s="8"/>
      <c r="V151" s="8"/>
      <c r="W151" s="8"/>
      <c r="X151" s="8"/>
      <c r="Y151" s="8"/>
      <c r="Z151" s="8"/>
      <c r="AA151" s="35"/>
      <c r="AB151" s="8"/>
      <c r="AC151" s="8"/>
      <c r="AD151" s="8"/>
      <c r="AE151" s="8"/>
      <c r="AF151" s="8"/>
      <c r="AG151" s="8"/>
      <c r="AH151" s="8"/>
      <c r="AI151" s="8"/>
      <c r="AJ151" s="8"/>
      <c r="AK151" s="8"/>
      <c r="AL151" s="8"/>
      <c r="AM151" s="8"/>
    </row>
    <row r="152" customFormat="false" ht="15.75" hidden="false" customHeight="true" outlineLevel="0" collapsed="false">
      <c r="A152" s="30" t="n">
        <v>46303</v>
      </c>
      <c r="B152" s="31" t="s">
        <v>440</v>
      </c>
      <c r="C152" s="31" t="str">
        <f aca="false" t="array" ref="C152:C152">IF(B152="","",IFERROR(INDEX('CLM &amp; IM Mapping'!$B$2:$B$270,MATCH(TRIM(B152),'CLM &amp; IM Mapping'!$A$2:$A$270,0)),"Not Mapped"))</f>
        <v>Bangareppa CS</v>
      </c>
      <c r="D152" s="31" t="str">
        <f aca="false" t="array" ref="D152:D152">IF(B152="","",IFERROR(INDEX('CLM &amp; IM Mapping'!$C$2:$C$270,MATCH(TRIM(B152),'CLM &amp; IM Mapping'!$A$2:$A$270,0)),"Not Mapped"))</f>
        <v>Kishor K</v>
      </c>
      <c r="E152" s="31" t="s">
        <v>34</v>
      </c>
      <c r="F152" s="31" t="s">
        <v>562</v>
      </c>
      <c r="G152" s="31" t="s">
        <v>212</v>
      </c>
      <c r="H152" s="17" t="n">
        <v>5445</v>
      </c>
      <c r="I152" s="32" t="n">
        <v>0.7</v>
      </c>
      <c r="J152" s="33" t="n">
        <v>0.62</v>
      </c>
      <c r="K152" s="33" t="n">
        <v>0.98</v>
      </c>
      <c r="L152" s="33" t="n">
        <v>0.99</v>
      </c>
      <c r="M152" s="31"/>
      <c r="N152" s="11" t="n">
        <v>1</v>
      </c>
      <c r="O152" s="12" t="s">
        <v>631</v>
      </c>
      <c r="P152" s="12" t="s">
        <v>623</v>
      </c>
      <c r="Q152" s="8"/>
      <c r="R152" s="8"/>
      <c r="S152" s="8"/>
      <c r="T152" s="8"/>
      <c r="U152" s="8"/>
      <c r="V152" s="8"/>
      <c r="W152" s="8"/>
      <c r="X152" s="8"/>
      <c r="Y152" s="8"/>
      <c r="Z152" s="8"/>
      <c r="AA152" s="35"/>
      <c r="AB152" s="35"/>
      <c r="AC152" s="35"/>
      <c r="AD152" s="35"/>
      <c r="AE152" s="8"/>
      <c r="AF152" s="8"/>
      <c r="AG152" s="8"/>
      <c r="AH152" s="8"/>
      <c r="AI152" s="8"/>
      <c r="AJ152" s="8"/>
      <c r="AK152" s="8"/>
      <c r="AL152" s="8"/>
      <c r="AM152" s="8"/>
    </row>
    <row r="153" customFormat="false" ht="15.75" hidden="false" customHeight="true" outlineLevel="0" collapsed="false">
      <c r="A153" s="30" t="n">
        <v>46303</v>
      </c>
      <c r="B153" s="31" t="s">
        <v>452</v>
      </c>
      <c r="C153" s="31" t="str">
        <f aca="false" t="array" ref="C153:C153">IF(B153="","",IFERROR(INDEX('CLM &amp; IM Mapping'!$B$2:$B$270,MATCH(TRIM(B153),'CLM &amp; IM Mapping'!$A$2:$A$270,0)),"Not Mapped"))</f>
        <v>Vishnu V</v>
      </c>
      <c r="D153" s="31" t="str">
        <f aca="false" t="array" ref="D153:D153">IF(B153="","",IFERROR(INDEX('CLM &amp; IM Mapping'!$C$2:$C$270,MATCH(TRIM(B153),'CLM &amp; IM Mapping'!$A$2:$A$270,0)),"Not Mapped"))</f>
        <v>Arivind S</v>
      </c>
      <c r="E153" s="31" t="s">
        <v>34</v>
      </c>
      <c r="F153" s="31" t="s">
        <v>565</v>
      </c>
      <c r="G153" s="31" t="s">
        <v>417</v>
      </c>
      <c r="H153" s="17" t="n">
        <v>5099</v>
      </c>
      <c r="I153" s="32" t="n">
        <v>0.7</v>
      </c>
      <c r="J153" s="33" t="n">
        <v>0.62</v>
      </c>
      <c r="K153" s="33" t="n">
        <v>0.99</v>
      </c>
      <c r="L153" s="33" t="n">
        <v>1</v>
      </c>
      <c r="M153" s="33" t="n">
        <v>0.99</v>
      </c>
      <c r="N153" s="11" t="n">
        <v>1</v>
      </c>
      <c r="O153" s="19"/>
      <c r="P153" s="11"/>
      <c r="Q153" s="8"/>
      <c r="R153" s="8"/>
      <c r="S153" s="8"/>
      <c r="T153" s="8"/>
      <c r="U153" s="8"/>
      <c r="V153" s="8"/>
      <c r="W153" s="8"/>
      <c r="X153" s="8"/>
      <c r="Y153" s="8"/>
      <c r="Z153" s="8"/>
      <c r="AA153" s="35"/>
      <c r="AB153" s="35"/>
      <c r="AC153" s="35"/>
      <c r="AD153" s="35"/>
      <c r="AE153" s="8"/>
      <c r="AF153" s="8"/>
      <c r="AG153" s="8"/>
      <c r="AH153" s="8"/>
      <c r="AI153" s="8"/>
      <c r="AJ153" s="8"/>
      <c r="AK153" s="8"/>
      <c r="AL153" s="8"/>
      <c r="AM153" s="8"/>
    </row>
    <row r="154" customFormat="false" ht="15.75" hidden="false" customHeight="true" outlineLevel="0" collapsed="false">
      <c r="A154" s="30" t="n">
        <v>46303</v>
      </c>
      <c r="B154" s="31" t="s">
        <v>156</v>
      </c>
      <c r="C154" s="31" t="str">
        <f aca="false" t="array" ref="C154:C154">IF(B154="","",IFERROR(INDEX('CLM &amp; IM Mapping'!$B$2:$B$270,MATCH(TRIM(B154),'CLM &amp; IM Mapping'!$A$2:$A$270,0)),"Not Mapped"))</f>
        <v>Manoj Kj</v>
      </c>
      <c r="D154" s="31" t="str">
        <f aca="false" t="array" ref="D154:D154">IF(B154="","",IFERROR(INDEX('CLM &amp; IM Mapping'!$C$2:$C$270,MATCH(TRIM(B154),'CLM &amp; IM Mapping'!$A$2:$A$270,0)),"Not Mapped"))</f>
        <v>Srittam Dhal</v>
      </c>
      <c r="E154" s="31" t="s">
        <v>34</v>
      </c>
      <c r="F154" s="31" t="s">
        <v>562</v>
      </c>
      <c r="G154" s="31" t="s">
        <v>23</v>
      </c>
      <c r="H154" s="17" t="n">
        <v>6275</v>
      </c>
      <c r="I154" s="32" t="n">
        <v>0.7</v>
      </c>
      <c r="J154" s="33" t="n">
        <v>0.64</v>
      </c>
      <c r="K154" s="33" t="n">
        <v>0.81</v>
      </c>
      <c r="L154" s="33" t="n">
        <v>0.93</v>
      </c>
      <c r="M154" s="33" t="n">
        <v>0.81</v>
      </c>
      <c r="N154" s="11" t="n">
        <v>3</v>
      </c>
      <c r="O154" s="19"/>
      <c r="P154" s="11"/>
      <c r="Q154" s="8"/>
      <c r="R154" s="8"/>
      <c r="S154" s="8"/>
      <c r="T154" s="8"/>
      <c r="U154" s="8"/>
      <c r="V154" s="8"/>
      <c r="W154" s="8"/>
      <c r="X154" s="8"/>
      <c r="Y154" s="8"/>
      <c r="Z154" s="8"/>
      <c r="AA154" s="35"/>
      <c r="AB154" s="35"/>
      <c r="AC154" s="35"/>
      <c r="AD154" s="35"/>
      <c r="AE154" s="8"/>
      <c r="AF154" s="8"/>
      <c r="AG154" s="8"/>
      <c r="AH154" s="8"/>
      <c r="AI154" s="8"/>
      <c r="AJ154" s="8"/>
      <c r="AK154" s="8"/>
      <c r="AL154" s="8"/>
      <c r="AM154" s="8"/>
    </row>
    <row r="155" customFormat="false" ht="15.75" hidden="false" customHeight="true" outlineLevel="0" collapsed="false">
      <c r="A155" s="30" t="n">
        <v>46303</v>
      </c>
      <c r="B155" s="31" t="s">
        <v>384</v>
      </c>
      <c r="C155" s="31" t="str">
        <f aca="false" t="array" ref="C155:C155">IF(B155="","",IFERROR(INDEX('CLM &amp; IM Mapping'!$B$2:$B$270,MATCH(TRIM(B155),'CLM &amp; IM Mapping'!$A$2:$A$270,0)),"Not Mapped"))</f>
        <v>Saddam Hussain</v>
      </c>
      <c r="D155" s="31" t="str">
        <f aca="false" t="array" ref="D155:D155">IF(B155="","",IFERROR(INDEX('CLM &amp; IM Mapping'!$C$2:$C$270,MATCH(TRIM(B155),'CLM &amp; IM Mapping'!$A$2:$A$270,0)),"Not Mapped"))</f>
        <v>Un Mapped</v>
      </c>
      <c r="E155" s="31" t="s">
        <v>34</v>
      </c>
      <c r="F155" s="31" t="s">
        <v>565</v>
      </c>
      <c r="G155" s="31" t="s">
        <v>23</v>
      </c>
      <c r="H155" s="17" t="n">
        <v>4901</v>
      </c>
      <c r="I155" s="32" t="n">
        <v>0.7</v>
      </c>
      <c r="J155" s="33" t="n">
        <v>0.64</v>
      </c>
      <c r="K155" s="33" t="n">
        <v>0.9</v>
      </c>
      <c r="L155" s="33" t="n">
        <v>0.98</v>
      </c>
      <c r="M155" s="33" t="n">
        <v>0.9</v>
      </c>
      <c r="N155" s="11" t="n">
        <v>5</v>
      </c>
      <c r="O155" s="19"/>
      <c r="P155" s="11"/>
      <c r="Q155" s="8"/>
      <c r="R155" s="8"/>
      <c r="S155" s="8"/>
      <c r="T155" s="8"/>
      <c r="U155" s="8"/>
      <c r="V155" s="8"/>
      <c r="W155" s="8"/>
      <c r="X155" s="8"/>
      <c r="Y155" s="8"/>
      <c r="Z155" s="8"/>
      <c r="AA155" s="35"/>
      <c r="AB155" s="35"/>
      <c r="AC155" s="35"/>
      <c r="AD155" s="35"/>
      <c r="AE155" s="8"/>
      <c r="AF155" s="8"/>
      <c r="AG155" s="8"/>
      <c r="AH155" s="8"/>
      <c r="AI155" s="8"/>
      <c r="AJ155" s="8"/>
      <c r="AK155" s="8"/>
      <c r="AL155" s="8"/>
      <c r="AM155" s="8"/>
    </row>
    <row r="156" customFormat="false" ht="15.75" hidden="false" customHeight="true" outlineLevel="0" collapsed="false">
      <c r="A156" s="30" t="n">
        <v>46303</v>
      </c>
      <c r="B156" s="31" t="s">
        <v>416</v>
      </c>
      <c r="C156" s="31" t="str">
        <f aca="false" t="array" ref="C156:C156">IF(B156="","",IFERROR(INDEX('CLM &amp; IM Mapping'!$B$2:$B$270,MATCH(TRIM(B156),'CLM &amp; IM Mapping'!$A$2:$A$270,0)),"Not Mapped"))</f>
        <v>Girish N</v>
      </c>
      <c r="D156" s="31" t="str">
        <f aca="false" t="array" ref="D156:D156">IF(B156="","",IFERROR(INDEX('CLM &amp; IM Mapping'!$C$2:$C$270,MATCH(TRIM(B156),'CLM &amp; IM Mapping'!$A$2:$A$270,0)),"Not Mapped"))</f>
        <v>Un Mapped</v>
      </c>
      <c r="E156" s="31" t="s">
        <v>34</v>
      </c>
      <c r="F156" s="31" t="s">
        <v>562</v>
      </c>
      <c r="G156" s="31" t="s">
        <v>23</v>
      </c>
      <c r="H156" s="17" t="n">
        <v>5859</v>
      </c>
      <c r="I156" s="32" t="n">
        <v>0.7</v>
      </c>
      <c r="J156" s="33" t="n">
        <v>0.64</v>
      </c>
      <c r="K156" s="33" t="n">
        <v>0.84</v>
      </c>
      <c r="L156" s="33" t="n">
        <v>0.94</v>
      </c>
      <c r="M156" s="33" t="n">
        <v>0.84</v>
      </c>
      <c r="N156" s="11" t="n">
        <v>4</v>
      </c>
      <c r="O156" s="19"/>
      <c r="P156" s="11"/>
      <c r="Q156" s="8"/>
      <c r="R156" s="8"/>
      <c r="S156" s="8"/>
      <c r="T156" s="8"/>
      <c r="U156" s="8"/>
      <c r="V156" s="8"/>
      <c r="W156" s="8"/>
      <c r="X156" s="8"/>
      <c r="Y156" s="8"/>
      <c r="Z156" s="8"/>
      <c r="AA156" s="35"/>
      <c r="AB156" s="35"/>
      <c r="AC156" s="35"/>
      <c r="AD156" s="35"/>
      <c r="AE156" s="8"/>
      <c r="AF156" s="8"/>
      <c r="AG156" s="8"/>
      <c r="AH156" s="8"/>
      <c r="AI156" s="8"/>
      <c r="AJ156" s="8"/>
      <c r="AK156" s="8"/>
      <c r="AL156" s="8"/>
      <c r="AM156" s="8"/>
    </row>
    <row r="157" customFormat="false" ht="15.75" hidden="false" customHeight="true" outlineLevel="0" collapsed="false">
      <c r="A157" s="30" t="n">
        <v>46303</v>
      </c>
      <c r="B157" s="31" t="s">
        <v>183</v>
      </c>
      <c r="C157" s="31" t="str">
        <f aca="false" t="array" ref="C157:C157">IF(B157="","",IFERROR(INDEX('CLM &amp; IM Mapping'!$B$2:$B$270,MATCH(TRIM(B157),'CLM &amp; IM Mapping'!$A$2:$A$270,0)),"Not Mapped"))</f>
        <v>Saddam Hussain</v>
      </c>
      <c r="D157" s="31" t="str">
        <f aca="false" t="array" ref="D157:D157">IF(B157="","",IFERROR(INDEX('CLM &amp; IM Mapping'!$C$2:$C$270,MATCH(TRIM(B157),'CLM &amp; IM Mapping'!$A$2:$A$270,0)),"Not Mapped"))</f>
        <v>Un Mapped</v>
      </c>
      <c r="E157" s="31" t="s">
        <v>34</v>
      </c>
      <c r="F157" s="31" t="s">
        <v>562</v>
      </c>
      <c r="G157" s="31" t="s">
        <v>23</v>
      </c>
      <c r="H157" s="17" t="n">
        <v>6002</v>
      </c>
      <c r="I157" s="32" t="n">
        <v>0.7</v>
      </c>
      <c r="J157" s="33" t="n">
        <v>0.64</v>
      </c>
      <c r="K157" s="33" t="n">
        <v>0.74</v>
      </c>
      <c r="L157" s="33" t="n">
        <v>0.92</v>
      </c>
      <c r="M157" s="33" t="n">
        <v>0.74</v>
      </c>
      <c r="N157" s="11" t="n">
        <v>6</v>
      </c>
      <c r="O157" s="19"/>
      <c r="P157" s="11"/>
      <c r="Q157" s="8"/>
      <c r="R157" s="8"/>
      <c r="S157" s="8"/>
      <c r="T157" s="8"/>
      <c r="U157" s="8"/>
      <c r="V157" s="8"/>
      <c r="W157" s="8"/>
      <c r="X157" s="8"/>
      <c r="Y157" s="8"/>
      <c r="Z157" s="8"/>
      <c r="AA157" s="35"/>
      <c r="AB157" s="35"/>
      <c r="AC157" s="35"/>
      <c r="AD157" s="35"/>
      <c r="AE157" s="8"/>
      <c r="AF157" s="8"/>
      <c r="AG157" s="8"/>
      <c r="AH157" s="8"/>
      <c r="AI157" s="8"/>
      <c r="AJ157" s="8"/>
      <c r="AK157" s="8"/>
      <c r="AL157" s="8"/>
      <c r="AM157" s="8"/>
    </row>
    <row r="158" customFormat="false" ht="15.75" hidden="false" customHeight="true" outlineLevel="0" collapsed="false">
      <c r="A158" s="30" t="n">
        <v>46303</v>
      </c>
      <c r="B158" s="31" t="s">
        <v>235</v>
      </c>
      <c r="C158" s="31" t="str">
        <f aca="false" t="array" ref="C158:C158">IF(B158="","",IFERROR(INDEX('CLM &amp; IM Mapping'!$B$2:$B$270,MATCH(TRIM(B158),'CLM &amp; IM Mapping'!$A$2:$A$270,0)),"Not Mapped"))</f>
        <v>Akshay P</v>
      </c>
      <c r="D158" s="31" t="str">
        <f aca="false" t="array" ref="D158:D158">IF(B158="","",IFERROR(INDEX('CLM &amp; IM Mapping'!$C$2:$C$270,MATCH(TRIM(B158),'CLM &amp; IM Mapping'!$A$2:$A$270,0)),"Not Mapped"))</f>
        <v>Srittam Dhal</v>
      </c>
      <c r="E158" s="31" t="s">
        <v>34</v>
      </c>
      <c r="F158" s="31" t="s">
        <v>562</v>
      </c>
      <c r="G158" s="31" t="s">
        <v>23</v>
      </c>
      <c r="H158" s="17" t="n">
        <v>5212</v>
      </c>
      <c r="I158" s="32" t="n">
        <v>0.7</v>
      </c>
      <c r="J158" s="33" t="n">
        <v>0.64</v>
      </c>
      <c r="K158" s="33" t="n">
        <v>0.89</v>
      </c>
      <c r="L158" s="33" t="n">
        <v>0.97</v>
      </c>
      <c r="M158" s="33" t="n">
        <v>0.89</v>
      </c>
      <c r="N158" s="11" t="n">
        <v>3</v>
      </c>
      <c r="O158" s="19"/>
      <c r="P158" s="11"/>
      <c r="Q158" s="8"/>
      <c r="R158" s="8"/>
      <c r="S158" s="8"/>
      <c r="T158" s="8"/>
      <c r="U158" s="8"/>
      <c r="V158" s="8"/>
      <c r="W158" s="8"/>
      <c r="X158" s="8"/>
      <c r="Y158" s="8"/>
      <c r="Z158" s="8"/>
      <c r="AA158" s="35"/>
      <c r="AB158" s="35"/>
      <c r="AC158" s="35"/>
      <c r="AD158" s="35"/>
      <c r="AE158" s="8"/>
      <c r="AF158" s="8"/>
      <c r="AG158" s="8"/>
      <c r="AH158" s="8"/>
      <c r="AI158" s="8"/>
      <c r="AJ158" s="8"/>
      <c r="AK158" s="8"/>
      <c r="AL158" s="8"/>
      <c r="AM158" s="8"/>
    </row>
    <row r="159" customFormat="false" ht="15.75" hidden="false" customHeight="true" outlineLevel="0" collapsed="false">
      <c r="A159" s="30" t="n">
        <v>46303</v>
      </c>
      <c r="B159" s="31" t="s">
        <v>331</v>
      </c>
      <c r="C159" s="31" t="str">
        <f aca="false" t="array" ref="C159:C159">IF(B159="","",IFERROR(INDEX('CLM &amp; IM Mapping'!$B$2:$B$270,MATCH(TRIM(B159),'CLM &amp; IM Mapping'!$A$2:$A$270,0)),"Not Mapped"))</f>
        <v>Vijay M</v>
      </c>
      <c r="D159" s="31" t="str">
        <f aca="false" t="array" ref="D159:D159">IF(B159="","",IFERROR(INDEX('CLM &amp; IM Mapping'!$C$2:$C$270,MATCH(TRIM(B159),'CLM &amp; IM Mapping'!$A$2:$A$270,0)),"Not Mapped"))</f>
        <v>Kantha Kumar</v>
      </c>
      <c r="E159" s="31" t="s">
        <v>34</v>
      </c>
      <c r="F159" s="31" t="s">
        <v>562</v>
      </c>
      <c r="G159" s="31" t="s">
        <v>23</v>
      </c>
      <c r="H159" s="17" t="n">
        <v>5034</v>
      </c>
      <c r="I159" s="32" t="n">
        <v>0.7</v>
      </c>
      <c r="J159" s="33" t="n">
        <v>0.65</v>
      </c>
      <c r="K159" s="33" t="n">
        <v>0.82</v>
      </c>
      <c r="L159" s="33" t="n">
        <v>0.96</v>
      </c>
      <c r="M159" s="33" t="n">
        <v>0.82</v>
      </c>
      <c r="N159" s="11" t="n">
        <v>6</v>
      </c>
      <c r="O159" s="19"/>
      <c r="P159" s="11"/>
      <c r="Q159" s="8"/>
      <c r="R159" s="8"/>
      <c r="S159" s="8"/>
      <c r="T159" s="8"/>
      <c r="U159" s="8"/>
      <c r="V159" s="8"/>
      <c r="W159" s="8"/>
      <c r="X159" s="8"/>
      <c r="Y159" s="8"/>
      <c r="Z159" s="8"/>
      <c r="AA159" s="35"/>
      <c r="AB159" s="35"/>
      <c r="AC159" s="35"/>
      <c r="AD159" s="35"/>
      <c r="AE159" s="8"/>
      <c r="AF159" s="8"/>
      <c r="AG159" s="8"/>
      <c r="AH159" s="8"/>
      <c r="AI159" s="8"/>
      <c r="AJ159" s="8"/>
      <c r="AK159" s="8"/>
      <c r="AL159" s="8"/>
      <c r="AM159" s="8"/>
    </row>
    <row r="160" customFormat="false" ht="15.75" hidden="false" customHeight="true" outlineLevel="0" collapsed="false">
      <c r="A160" s="30" t="n">
        <v>46303</v>
      </c>
      <c r="B160" s="31" t="s">
        <v>342</v>
      </c>
      <c r="C160" s="31" t="str">
        <f aca="false" t="array" ref="C160:C160">IF(B160="","",IFERROR(INDEX('CLM &amp; IM Mapping'!$B$2:$B$270,MATCH(TRIM(B160),'CLM &amp; IM Mapping'!$A$2:$A$270,0)),"Not Mapped"))</f>
        <v>Saddam Hussain</v>
      </c>
      <c r="D160" s="31" t="str">
        <f aca="false" t="array" ref="D160:D160">IF(B160="","",IFERROR(INDEX('CLM &amp; IM Mapping'!$C$2:$C$270,MATCH(TRIM(B160),'CLM &amp; IM Mapping'!$A$2:$A$270,0)),"Not Mapped"))</f>
        <v>Un Mapped</v>
      </c>
      <c r="E160" s="31" t="s">
        <v>34</v>
      </c>
      <c r="F160" s="31" t="s">
        <v>562</v>
      </c>
      <c r="G160" s="31" t="s">
        <v>23</v>
      </c>
      <c r="H160" s="17" t="n">
        <v>6537</v>
      </c>
      <c r="I160" s="32" t="n">
        <v>0.7</v>
      </c>
      <c r="J160" s="33" t="n">
        <v>0.65</v>
      </c>
      <c r="K160" s="33" t="n">
        <v>0.91</v>
      </c>
      <c r="L160" s="33" t="n">
        <v>0.97</v>
      </c>
      <c r="M160" s="33" t="n">
        <v>0.91</v>
      </c>
      <c r="N160" s="11" t="n">
        <v>3</v>
      </c>
      <c r="O160" s="19"/>
      <c r="P160" s="11"/>
      <c r="Q160" s="8"/>
      <c r="R160" s="8"/>
      <c r="S160" s="8"/>
      <c r="T160" s="8"/>
      <c r="U160" s="8"/>
      <c r="V160" s="8"/>
      <c r="W160" s="8"/>
      <c r="X160" s="8"/>
      <c r="Y160" s="8"/>
      <c r="Z160" s="8"/>
      <c r="AA160" s="35"/>
      <c r="AB160" s="35"/>
      <c r="AC160" s="35"/>
      <c r="AD160" s="35"/>
      <c r="AE160" s="8"/>
      <c r="AF160" s="8"/>
      <c r="AG160" s="8"/>
      <c r="AH160" s="8"/>
      <c r="AI160" s="8"/>
      <c r="AJ160" s="8"/>
      <c r="AK160" s="8"/>
      <c r="AL160" s="8"/>
      <c r="AM160" s="8"/>
    </row>
    <row r="161" customFormat="false" ht="15.75" hidden="false" customHeight="true" outlineLevel="0" collapsed="false">
      <c r="A161" s="30" t="n">
        <v>46303</v>
      </c>
      <c r="B161" s="31" t="s">
        <v>510</v>
      </c>
      <c r="C161" s="31" t="str">
        <f aca="false" t="array" ref="C161:C161">IF(B161="","",IFERROR(INDEX('CLM &amp; IM Mapping'!$B$2:$B$270,MATCH(TRIM(B161),'CLM &amp; IM Mapping'!$A$2:$A$270,0)),"Not Mapped"))</f>
        <v>Manjunatha V</v>
      </c>
      <c r="D161" s="31" t="str">
        <f aca="false" t="array" ref="D161:D161">IF(B161="","",IFERROR(INDEX('CLM &amp; IM Mapping'!$C$2:$C$270,MATCH(TRIM(B161),'CLM &amp; IM Mapping'!$A$2:$A$270,0)),"Not Mapped"))</f>
        <v>Un Mapped</v>
      </c>
      <c r="E161" s="31" t="s">
        <v>34</v>
      </c>
      <c r="F161" s="31" t="s">
        <v>565</v>
      </c>
      <c r="G161" s="31" t="s">
        <v>23</v>
      </c>
      <c r="H161" s="17" t="n">
        <v>5780</v>
      </c>
      <c r="I161" s="32" t="n">
        <v>0.7</v>
      </c>
      <c r="J161" s="33" t="n">
        <v>0.65</v>
      </c>
      <c r="K161" s="33" t="n">
        <v>0.94</v>
      </c>
      <c r="L161" s="33" t="n">
        <v>0.99</v>
      </c>
      <c r="M161" s="33" t="n">
        <v>0.94</v>
      </c>
      <c r="N161" s="11" t="n">
        <v>3</v>
      </c>
      <c r="O161" s="19"/>
      <c r="P161" s="11"/>
      <c r="Q161" s="8"/>
      <c r="R161" s="8"/>
      <c r="S161" s="8"/>
      <c r="T161" s="8"/>
      <c r="U161" s="8"/>
      <c r="V161" s="8"/>
      <c r="W161" s="8"/>
      <c r="X161" s="8"/>
      <c r="Y161" s="8"/>
      <c r="Z161" s="8"/>
      <c r="AA161" s="35"/>
      <c r="AB161" s="35"/>
      <c r="AC161" s="35"/>
      <c r="AD161" s="35"/>
      <c r="AE161" s="8"/>
      <c r="AF161" s="8"/>
      <c r="AG161" s="8"/>
      <c r="AH161" s="8"/>
      <c r="AI161" s="8"/>
      <c r="AJ161" s="8"/>
      <c r="AK161" s="8"/>
      <c r="AL161" s="8"/>
      <c r="AM161" s="8"/>
    </row>
    <row r="162" customFormat="false" ht="15.75" hidden="false" customHeight="true" outlineLevel="0" collapsed="false">
      <c r="A162" s="30" t="n">
        <v>46303</v>
      </c>
      <c r="B162" s="31" t="s">
        <v>136</v>
      </c>
      <c r="C162" s="31" t="str">
        <f aca="false" t="array" ref="C162:C162">IF(B162="","",IFERROR(INDEX('CLM &amp; IM Mapping'!$B$2:$B$270,MATCH(TRIM(B162),'CLM &amp; IM Mapping'!$A$2:$A$270,0)),"Not Mapped"))</f>
        <v>Arun Raj</v>
      </c>
      <c r="D162" s="31" t="str">
        <f aca="false" t="array" ref="D162:D162">IF(B162="","",IFERROR(INDEX('CLM &amp; IM Mapping'!$C$2:$C$270,MATCH(TRIM(B162),'CLM &amp; IM Mapping'!$A$2:$A$270,0)),"Not Mapped"))</f>
        <v>Simon Manoharan</v>
      </c>
      <c r="E162" s="31" t="s">
        <v>25</v>
      </c>
      <c r="F162" s="31" t="s">
        <v>565</v>
      </c>
      <c r="G162" s="31" t="s">
        <v>23</v>
      </c>
      <c r="H162" s="17" t="n">
        <v>14855</v>
      </c>
      <c r="I162" s="32" t="n">
        <v>0.7</v>
      </c>
      <c r="J162" s="33" t="n">
        <v>0.66</v>
      </c>
      <c r="K162" s="33" t="n">
        <v>0.95</v>
      </c>
      <c r="L162" s="33" t="n">
        <v>0.98</v>
      </c>
      <c r="M162" s="33" t="n">
        <v>0.95</v>
      </c>
      <c r="N162" s="11" t="n">
        <v>6</v>
      </c>
      <c r="O162" s="12" t="s">
        <v>587</v>
      </c>
      <c r="P162" s="12" t="s">
        <v>575</v>
      </c>
      <c r="Q162" s="8"/>
      <c r="R162" s="8"/>
      <c r="S162" s="8"/>
      <c r="T162" s="8"/>
      <c r="U162" s="8"/>
      <c r="V162" s="8"/>
      <c r="W162" s="8"/>
      <c r="X162" s="8"/>
      <c r="Y162" s="8"/>
      <c r="Z162" s="8"/>
      <c r="AA162" s="35"/>
      <c r="AB162" s="8"/>
      <c r="AC162" s="8"/>
      <c r="AD162" s="8"/>
      <c r="AE162" s="8"/>
      <c r="AF162" s="8"/>
      <c r="AG162" s="8"/>
      <c r="AH162" s="8"/>
      <c r="AI162" s="8"/>
      <c r="AJ162" s="8"/>
      <c r="AK162" s="8"/>
      <c r="AL162" s="8"/>
      <c r="AM162" s="8"/>
    </row>
    <row r="163" customFormat="false" ht="15.75" hidden="false" customHeight="true" outlineLevel="0" collapsed="false">
      <c r="A163" s="30" t="n">
        <v>46303</v>
      </c>
      <c r="B163" s="31" t="s">
        <v>483</v>
      </c>
      <c r="C163" s="31" t="str">
        <f aca="false" t="array" ref="C163:C163">IF(B163="","",IFERROR(INDEX('CLM &amp; IM Mapping'!$B$2:$B$270,MATCH(TRIM(B163),'CLM &amp; IM Mapping'!$A$2:$A$270,0)),"Not Mapped"))</f>
        <v>Sundaresh S</v>
      </c>
      <c r="D163" s="31" t="str">
        <f aca="false" t="array" ref="D163:D163">IF(B163="","",IFERROR(INDEX('CLM &amp; IM Mapping'!$C$2:$C$270,MATCH(TRIM(B163),'CLM &amp; IM Mapping'!$A$2:$A$270,0)),"Not Mapped"))</f>
        <v>Un Mapped</v>
      </c>
      <c r="E163" s="31" t="s">
        <v>34</v>
      </c>
      <c r="F163" s="31" t="s">
        <v>562</v>
      </c>
      <c r="G163" s="31" t="s">
        <v>23</v>
      </c>
      <c r="H163" s="17" t="n">
        <v>4445</v>
      </c>
      <c r="I163" s="32" t="n">
        <v>0.7</v>
      </c>
      <c r="J163" s="33" t="n">
        <v>0.66</v>
      </c>
      <c r="K163" s="33" t="n">
        <v>0.82</v>
      </c>
      <c r="L163" s="33" t="n">
        <v>0.96</v>
      </c>
      <c r="M163" s="33" t="n">
        <v>0.82</v>
      </c>
      <c r="N163" s="11" t="n">
        <v>5</v>
      </c>
      <c r="O163" s="19"/>
      <c r="P163" s="11"/>
      <c r="Q163" s="8"/>
      <c r="R163" s="8"/>
      <c r="S163" s="8"/>
      <c r="T163" s="8"/>
      <c r="U163" s="8"/>
      <c r="V163" s="8"/>
      <c r="W163" s="8"/>
      <c r="X163" s="8"/>
      <c r="Y163" s="8"/>
      <c r="Z163" s="8"/>
      <c r="AA163" s="35"/>
      <c r="AB163" s="35"/>
      <c r="AC163" s="35"/>
      <c r="AD163" s="35"/>
      <c r="AE163" s="8"/>
      <c r="AF163" s="8"/>
      <c r="AG163" s="8"/>
      <c r="AH163" s="8"/>
      <c r="AI163" s="8"/>
      <c r="AJ163" s="8"/>
      <c r="AK163" s="8"/>
      <c r="AL163" s="8"/>
      <c r="AM163" s="8"/>
    </row>
    <row r="164" customFormat="false" ht="15.75" hidden="false" customHeight="true" outlineLevel="0" collapsed="false">
      <c r="A164" s="30" t="n">
        <v>46303</v>
      </c>
      <c r="B164" s="31" t="s">
        <v>178</v>
      </c>
      <c r="C164" s="31" t="str">
        <f aca="false" t="array" ref="C164:C164">IF(B164="","",IFERROR(INDEX('CLM &amp; IM Mapping'!$B$2:$B$270,MATCH(TRIM(B164),'CLM &amp; IM Mapping'!$A$2:$A$270,0)),"Not Mapped"))</f>
        <v>Balaji G</v>
      </c>
      <c r="D164" s="31" t="str">
        <f aca="false" t="array" ref="D164:D164">IF(B164="","",IFERROR(INDEX('CLM &amp; IM Mapping'!$C$2:$C$270,MATCH(TRIM(B164),'CLM &amp; IM Mapping'!$A$2:$A$270,0)),"Not Mapped"))</f>
        <v>Mohammed Akbar</v>
      </c>
      <c r="E164" s="31" t="s">
        <v>34</v>
      </c>
      <c r="F164" s="31" t="s">
        <v>562</v>
      </c>
      <c r="G164" s="31" t="s">
        <v>177</v>
      </c>
      <c r="H164" s="17" t="n">
        <v>4841</v>
      </c>
      <c r="I164" s="32" t="n">
        <v>0.7</v>
      </c>
      <c r="J164" s="33" t="n">
        <v>0.66</v>
      </c>
      <c r="K164" s="33" t="n">
        <v>0.86</v>
      </c>
      <c r="L164" s="33" t="n">
        <v>0.96</v>
      </c>
      <c r="M164" s="33" t="n">
        <v>0.86</v>
      </c>
      <c r="N164" s="11" t="n">
        <v>3</v>
      </c>
      <c r="O164" s="12" t="s">
        <v>647</v>
      </c>
      <c r="P164" s="12" t="s">
        <v>600</v>
      </c>
      <c r="Q164" s="8"/>
      <c r="R164" s="8"/>
      <c r="S164" s="8"/>
      <c r="T164" s="8"/>
      <c r="U164" s="8"/>
      <c r="V164" s="8"/>
      <c r="W164" s="8"/>
      <c r="X164" s="8"/>
      <c r="Y164" s="8"/>
      <c r="Z164" s="8"/>
      <c r="AA164" s="35"/>
      <c r="AB164" s="35"/>
      <c r="AC164" s="35"/>
      <c r="AD164" s="35"/>
      <c r="AE164" s="8"/>
      <c r="AF164" s="8"/>
      <c r="AG164" s="8"/>
      <c r="AH164" s="8"/>
      <c r="AI164" s="8"/>
      <c r="AJ164" s="8"/>
      <c r="AK164" s="8"/>
      <c r="AL164" s="8"/>
      <c r="AM164" s="8"/>
    </row>
    <row r="165" customFormat="false" ht="15.75" hidden="false" customHeight="true" outlineLevel="0" collapsed="false">
      <c r="A165" s="30" t="n">
        <v>46303</v>
      </c>
      <c r="B165" s="31" t="s">
        <v>193</v>
      </c>
      <c r="C165" s="31" t="str">
        <f aca="false" t="array" ref="C165:C165">IF(B165="","",IFERROR(INDEX('CLM &amp; IM Mapping'!$B$2:$B$270,MATCH(TRIM(B165),'CLM &amp; IM Mapping'!$A$2:$A$270,0)),"Not Mapped"))</f>
        <v>Girish N</v>
      </c>
      <c r="D165" s="31" t="str">
        <f aca="false" t="array" ref="D165:D165">IF(B165="","",IFERROR(INDEX('CLM &amp; IM Mapping'!$C$2:$C$270,MATCH(TRIM(B165),'CLM &amp; IM Mapping'!$A$2:$A$270,0)),"Not Mapped"))</f>
        <v>Un Mapped</v>
      </c>
      <c r="E165" s="31" t="s">
        <v>34</v>
      </c>
      <c r="F165" s="31" t="s">
        <v>565</v>
      </c>
      <c r="G165" s="31" t="s">
        <v>23</v>
      </c>
      <c r="H165" s="17" t="n">
        <v>7468</v>
      </c>
      <c r="I165" s="32" t="n">
        <v>0.7</v>
      </c>
      <c r="J165" s="33" t="n">
        <v>0.67</v>
      </c>
      <c r="K165" s="33" t="n">
        <v>0.92</v>
      </c>
      <c r="L165" s="33" t="n">
        <v>0.98</v>
      </c>
      <c r="M165" s="33" t="n">
        <v>0.92</v>
      </c>
      <c r="N165" s="11" t="n">
        <v>4</v>
      </c>
      <c r="O165" s="19"/>
      <c r="P165" s="11"/>
      <c r="Q165" s="8"/>
      <c r="R165" s="8"/>
      <c r="S165" s="8"/>
      <c r="T165" s="8"/>
      <c r="U165" s="8"/>
      <c r="V165" s="8"/>
      <c r="W165" s="8"/>
      <c r="X165" s="8"/>
      <c r="Y165" s="8"/>
      <c r="Z165" s="8"/>
      <c r="AA165" s="35"/>
      <c r="AB165" s="35"/>
      <c r="AC165" s="35"/>
      <c r="AD165" s="35"/>
      <c r="AE165" s="8"/>
      <c r="AF165" s="8"/>
      <c r="AG165" s="8"/>
      <c r="AH165" s="8"/>
      <c r="AI165" s="8"/>
      <c r="AJ165" s="8"/>
      <c r="AK165" s="8"/>
      <c r="AL165" s="8"/>
      <c r="AM165" s="8"/>
    </row>
    <row r="166" customFormat="false" ht="15.75" hidden="false" customHeight="true" outlineLevel="0" collapsed="false">
      <c r="A166" s="30" t="n">
        <v>46303</v>
      </c>
      <c r="B166" s="31" t="s">
        <v>484</v>
      </c>
      <c r="C166" s="31" t="str">
        <f aca="false" t="array" ref="C166:C166">IF(B166="","",IFERROR(INDEX('CLM &amp; IM Mapping'!$B$2:$B$270,MATCH(TRIM(B166),'CLM &amp; IM Mapping'!$A$2:$A$270,0)),"Not Mapped"))</f>
        <v>Raghavendra Vernekar</v>
      </c>
      <c r="D166" s="31" t="str">
        <f aca="false" t="array" ref="D166:D166">IF(B166="","",IFERROR(INDEX('CLM &amp; IM Mapping'!$C$2:$C$270,MATCH(TRIM(B166),'CLM &amp; IM Mapping'!$A$2:$A$270,0)),"Not Mapped"))</f>
        <v>Prakash BS</v>
      </c>
      <c r="E166" s="31" t="s">
        <v>34</v>
      </c>
      <c r="F166" s="31" t="s">
        <v>562</v>
      </c>
      <c r="G166" s="31" t="s">
        <v>23</v>
      </c>
      <c r="H166" s="17" t="n">
        <v>2978</v>
      </c>
      <c r="I166" s="32" t="n">
        <v>0.7</v>
      </c>
      <c r="J166" s="33" t="n">
        <v>0.67</v>
      </c>
      <c r="K166" s="33" t="n">
        <v>0.87</v>
      </c>
      <c r="L166" s="33" t="n">
        <v>0.97</v>
      </c>
      <c r="M166" s="33" t="n">
        <v>0.87</v>
      </c>
      <c r="N166" s="11" t="n">
        <v>4</v>
      </c>
      <c r="O166" s="12" t="s">
        <v>648</v>
      </c>
      <c r="P166" s="37" t="n">
        <v>46366</v>
      </c>
      <c r="Q166" s="8"/>
      <c r="R166" s="8"/>
      <c r="S166" s="8"/>
      <c r="T166" s="8"/>
      <c r="U166" s="8"/>
      <c r="V166" s="8"/>
      <c r="W166" s="8"/>
      <c r="X166" s="8"/>
      <c r="Y166" s="8"/>
      <c r="Z166" s="8"/>
      <c r="AA166" s="35"/>
      <c r="AB166" s="35"/>
      <c r="AC166" s="35"/>
      <c r="AD166" s="35"/>
      <c r="AE166" s="8"/>
      <c r="AF166" s="8"/>
      <c r="AG166" s="8"/>
      <c r="AH166" s="8"/>
      <c r="AI166" s="8"/>
      <c r="AJ166" s="8"/>
      <c r="AK166" s="8"/>
      <c r="AL166" s="8"/>
      <c r="AM166" s="8"/>
    </row>
    <row r="167" customFormat="false" ht="15.75" hidden="false" customHeight="true" outlineLevel="0" collapsed="false">
      <c r="A167" s="30" t="n">
        <v>46303</v>
      </c>
      <c r="B167" s="31" t="s">
        <v>376</v>
      </c>
      <c r="C167" s="31" t="str">
        <f aca="false" t="array" ref="C167:C167">IF(B167="","",IFERROR(INDEX('CLM &amp; IM Mapping'!$B$2:$B$270,MATCH(TRIM(B167),'CLM &amp; IM Mapping'!$A$2:$A$270,0)),"Not Mapped"))</f>
        <v>Sundaresh S</v>
      </c>
      <c r="D167" s="31" t="str">
        <f aca="false" t="array" ref="D167:D167">IF(B167="","",IFERROR(INDEX('CLM &amp; IM Mapping'!$C$2:$C$270,MATCH(TRIM(B167),'CLM &amp; IM Mapping'!$A$2:$A$270,0)),"Not Mapped"))</f>
        <v>Un Mapped</v>
      </c>
      <c r="E167" s="31" t="s">
        <v>34</v>
      </c>
      <c r="F167" s="31" t="s">
        <v>562</v>
      </c>
      <c r="G167" s="31" t="s">
        <v>23</v>
      </c>
      <c r="H167" s="17" t="n">
        <v>6559</v>
      </c>
      <c r="I167" s="32" t="n">
        <v>0.7</v>
      </c>
      <c r="J167" s="33" t="n">
        <v>0.67</v>
      </c>
      <c r="K167" s="33" t="n">
        <v>0.94</v>
      </c>
      <c r="L167" s="33" t="n">
        <v>0.99</v>
      </c>
      <c r="M167" s="33" t="n">
        <v>0.94</v>
      </c>
      <c r="N167" s="11" t="n">
        <v>5</v>
      </c>
      <c r="O167" s="19"/>
      <c r="P167" s="11"/>
      <c r="Q167" s="8"/>
      <c r="R167" s="8"/>
      <c r="S167" s="8"/>
      <c r="T167" s="8"/>
      <c r="U167" s="8"/>
      <c r="V167" s="8"/>
      <c r="W167" s="8"/>
      <c r="X167" s="8"/>
      <c r="Y167" s="8"/>
      <c r="Z167" s="8"/>
      <c r="AA167" s="35"/>
      <c r="AB167" s="35"/>
      <c r="AC167" s="35"/>
      <c r="AD167" s="8"/>
      <c r="AE167" s="8"/>
      <c r="AF167" s="8"/>
      <c r="AG167" s="8"/>
      <c r="AH167" s="8"/>
      <c r="AI167" s="8"/>
      <c r="AJ167" s="8"/>
      <c r="AK167" s="8"/>
      <c r="AL167" s="8"/>
      <c r="AM167" s="8"/>
    </row>
    <row r="168" customFormat="false" ht="15.75" hidden="false" customHeight="true" outlineLevel="0" collapsed="false">
      <c r="A168" s="30" t="n">
        <v>46303</v>
      </c>
      <c r="B168" s="31" t="s">
        <v>47</v>
      </c>
      <c r="C168" s="31" t="str">
        <f aca="false" t="array" ref="C168:C168">IF(B168="","",IFERROR(INDEX('CLM &amp; IM Mapping'!$B$2:$B$270,MATCH(TRIM(B168),'CLM &amp; IM Mapping'!$A$2:$A$270,0)),"Not Mapped"))</f>
        <v>Saddam Hussain</v>
      </c>
      <c r="D168" s="31" t="str">
        <f aca="false" t="array" ref="D168:D168">IF(B168="","",IFERROR(INDEX('CLM &amp; IM Mapping'!$C$2:$C$270,MATCH(TRIM(B168),'CLM &amp; IM Mapping'!$A$2:$A$270,0)),"Not Mapped"))</f>
        <v>Un Mapped</v>
      </c>
      <c r="E168" s="31" t="s">
        <v>34</v>
      </c>
      <c r="F168" s="31" t="s">
        <v>562</v>
      </c>
      <c r="G168" s="31" t="s">
        <v>23</v>
      </c>
      <c r="H168" s="17" t="n">
        <v>8449</v>
      </c>
      <c r="I168" s="32" t="n">
        <v>0.7</v>
      </c>
      <c r="J168" s="33" t="n">
        <v>0.68</v>
      </c>
      <c r="K168" s="33" t="n">
        <v>0.84</v>
      </c>
      <c r="L168" s="33" t="n">
        <v>0.95</v>
      </c>
      <c r="M168" s="33" t="n">
        <v>0.84</v>
      </c>
      <c r="N168" s="11" t="n">
        <v>8</v>
      </c>
      <c r="O168" s="19"/>
      <c r="P168" s="11"/>
      <c r="Q168" s="8"/>
      <c r="R168" s="8"/>
      <c r="S168" s="8"/>
      <c r="T168" s="8"/>
      <c r="U168" s="8"/>
      <c r="V168" s="8"/>
      <c r="W168" s="8"/>
      <c r="X168" s="8"/>
      <c r="Y168" s="8"/>
      <c r="Z168" s="8"/>
      <c r="AA168" s="35"/>
      <c r="AB168" s="35"/>
      <c r="AC168" s="35"/>
      <c r="AD168" s="35"/>
      <c r="AE168" s="8"/>
      <c r="AF168" s="8"/>
      <c r="AG168" s="8"/>
      <c r="AH168" s="8"/>
      <c r="AI168" s="8"/>
      <c r="AJ168" s="8"/>
      <c r="AK168" s="8"/>
      <c r="AL168" s="8"/>
      <c r="AM168" s="8"/>
    </row>
    <row r="169" customFormat="false" ht="15.75" hidden="false" customHeight="true" outlineLevel="0" collapsed="false">
      <c r="A169" s="30" t="n">
        <v>46303</v>
      </c>
      <c r="B169" s="31" t="s">
        <v>373</v>
      </c>
      <c r="C169" s="31" t="str">
        <f aca="false" t="array" ref="C169:C169">IF(B169="","",IFERROR(INDEX('CLM &amp; IM Mapping'!$B$2:$B$270,MATCH(TRIM(B169),'CLM &amp; IM Mapping'!$A$2:$A$270,0)),"Not Mapped"))</f>
        <v>Majid Kakatikar</v>
      </c>
      <c r="D169" s="31" t="str">
        <f aca="false" t="array" ref="D169:D169">IF(B169="","",IFERROR(INDEX('CLM &amp; IM Mapping'!$C$2:$C$270,MATCH(TRIM(B169),'CLM &amp; IM Mapping'!$A$2:$A$270,0)),"Not Mapped"))</f>
        <v>Kishor K</v>
      </c>
      <c r="E169" s="31" t="s">
        <v>34</v>
      </c>
      <c r="F169" s="31" t="s">
        <v>565</v>
      </c>
      <c r="G169" s="31" t="s">
        <v>261</v>
      </c>
      <c r="H169" s="17" t="n">
        <v>6127</v>
      </c>
      <c r="I169" s="32" t="n">
        <v>0.7</v>
      </c>
      <c r="J169" s="33" t="n">
        <v>0.69</v>
      </c>
      <c r="K169" s="33" t="n">
        <v>1</v>
      </c>
      <c r="L169" s="33" t="n">
        <v>1</v>
      </c>
      <c r="M169" s="33" t="n">
        <v>1</v>
      </c>
      <c r="N169" s="11" t="n">
        <v>3</v>
      </c>
      <c r="O169" s="12" t="s">
        <v>631</v>
      </c>
      <c r="P169" s="12" t="s">
        <v>623</v>
      </c>
      <c r="Q169" s="8"/>
      <c r="R169" s="8"/>
      <c r="S169" s="8"/>
      <c r="T169" s="8"/>
      <c r="U169" s="8"/>
      <c r="V169" s="8"/>
      <c r="W169" s="8"/>
      <c r="X169" s="8"/>
      <c r="Y169" s="8"/>
      <c r="Z169" s="8"/>
      <c r="AA169" s="35"/>
      <c r="AB169" s="35"/>
      <c r="AC169" s="35"/>
      <c r="AD169" s="35"/>
      <c r="AE169" s="8"/>
      <c r="AF169" s="8"/>
      <c r="AG169" s="8"/>
      <c r="AH169" s="8"/>
      <c r="AI169" s="8"/>
      <c r="AJ169" s="8"/>
      <c r="AK169" s="8"/>
      <c r="AL169" s="8"/>
      <c r="AM169" s="8"/>
    </row>
    <row r="170" customFormat="false" ht="15.75" hidden="false" customHeight="true" outlineLevel="0" collapsed="false">
      <c r="A170" s="30" t="n">
        <v>46303</v>
      </c>
      <c r="B170" s="31" t="s">
        <v>402</v>
      </c>
      <c r="C170" s="31" t="str">
        <f aca="false" t="array" ref="C170:C170">IF(B170="","",IFERROR(INDEX('CLM &amp; IM Mapping'!$B$2:$B$270,MATCH(TRIM(B170),'CLM &amp; IM Mapping'!$A$2:$A$270,0)),"Not Mapped"))</f>
        <v>Narasimhamurthy R</v>
      </c>
      <c r="D170" s="31" t="str">
        <f aca="false" t="array" ref="D170:D170">IF(B170="","",IFERROR(INDEX('CLM &amp; IM Mapping'!$C$2:$C$270,MATCH(TRIM(B170),'CLM &amp; IM Mapping'!$A$2:$A$270,0)),"Not Mapped"))</f>
        <v>Kishor K</v>
      </c>
      <c r="E170" s="31" t="s">
        <v>34</v>
      </c>
      <c r="F170" s="31" t="s">
        <v>562</v>
      </c>
      <c r="G170" s="31" t="s">
        <v>23</v>
      </c>
      <c r="H170" s="17" t="n">
        <v>6286</v>
      </c>
      <c r="I170" s="32" t="n">
        <v>0.7</v>
      </c>
      <c r="J170" s="33" t="n">
        <v>0.69</v>
      </c>
      <c r="K170" s="33" t="n">
        <v>0.85</v>
      </c>
      <c r="L170" s="33" t="n">
        <v>0.94</v>
      </c>
      <c r="M170" s="33" t="n">
        <v>0.85</v>
      </c>
      <c r="N170" s="11" t="n">
        <v>3</v>
      </c>
      <c r="O170" s="12" t="s">
        <v>631</v>
      </c>
      <c r="P170" s="12" t="s">
        <v>623</v>
      </c>
      <c r="Q170" s="8"/>
      <c r="R170" s="8"/>
      <c r="S170" s="8"/>
      <c r="T170" s="8"/>
      <c r="U170" s="8"/>
      <c r="V170" s="8"/>
      <c r="W170" s="8"/>
      <c r="X170" s="8"/>
      <c r="Y170" s="8"/>
      <c r="Z170" s="8"/>
      <c r="AA170" s="35"/>
      <c r="AB170" s="35"/>
      <c r="AC170" s="35"/>
      <c r="AD170" s="35"/>
      <c r="AE170" s="8"/>
      <c r="AF170" s="8"/>
      <c r="AG170" s="8"/>
      <c r="AH170" s="8"/>
      <c r="AI170" s="8"/>
      <c r="AJ170" s="8"/>
      <c r="AK170" s="8"/>
      <c r="AL170" s="8"/>
      <c r="AM170" s="8"/>
    </row>
    <row r="171" customFormat="false" ht="15.75" hidden="false" customHeight="true" outlineLevel="0" collapsed="false">
      <c r="A171" s="30" t="n">
        <v>46303</v>
      </c>
      <c r="B171" s="31" t="s">
        <v>86</v>
      </c>
      <c r="C171" s="31" t="str">
        <f aca="false" t="array" ref="C171:C171">IF(B171="","",IFERROR(INDEX('CLM &amp; IM Mapping'!$B$2:$B$270,MATCH(TRIM(B171),'CLM &amp; IM Mapping'!$A$2:$A$270,0)),"Not Mapped"))</f>
        <v>Raghavendra Vernekar</v>
      </c>
      <c r="D171" s="31" t="str">
        <f aca="false" t="array" ref="D171:D171">IF(B171="","",IFERROR(INDEX('CLM &amp; IM Mapping'!$C$2:$C$270,MATCH(TRIM(B171),'CLM &amp; IM Mapping'!$A$2:$A$270,0)),"Not Mapped"))</f>
        <v>Prakash BS</v>
      </c>
      <c r="E171" s="31" t="s">
        <v>34</v>
      </c>
      <c r="F171" s="31" t="s">
        <v>562</v>
      </c>
      <c r="G171" s="31" t="s">
        <v>23</v>
      </c>
      <c r="H171" s="17" t="n">
        <v>6895</v>
      </c>
      <c r="I171" s="32" t="n">
        <v>0.7</v>
      </c>
      <c r="J171" s="33" t="n">
        <v>0.69</v>
      </c>
      <c r="K171" s="33" t="n">
        <v>0.81</v>
      </c>
      <c r="L171" s="33" t="n">
        <v>0.95</v>
      </c>
      <c r="M171" s="33" t="n">
        <v>0.81</v>
      </c>
      <c r="N171" s="11" t="n">
        <v>4</v>
      </c>
      <c r="O171" s="12" t="s">
        <v>649</v>
      </c>
      <c r="P171" s="37" t="n">
        <v>46366</v>
      </c>
      <c r="Q171" s="8"/>
      <c r="R171" s="8"/>
      <c r="S171" s="8"/>
      <c r="T171" s="8"/>
      <c r="U171" s="8"/>
      <c r="V171" s="8"/>
      <c r="W171" s="8"/>
      <c r="X171" s="8"/>
      <c r="Y171" s="8"/>
      <c r="Z171" s="8"/>
      <c r="AA171" s="35"/>
      <c r="AB171" s="35"/>
      <c r="AC171" s="35"/>
      <c r="AD171" s="35"/>
      <c r="AE171" s="8"/>
      <c r="AF171" s="8"/>
      <c r="AG171" s="8"/>
      <c r="AH171" s="8"/>
      <c r="AI171" s="8"/>
      <c r="AJ171" s="8"/>
      <c r="AK171" s="8"/>
      <c r="AL171" s="8"/>
      <c r="AM171" s="8"/>
    </row>
    <row r="172" customFormat="false" ht="15.75" hidden="false" customHeight="true" outlineLevel="0" collapsed="false">
      <c r="A172" s="30" t="n">
        <v>46303</v>
      </c>
      <c r="B172" s="31" t="s">
        <v>411</v>
      </c>
      <c r="C172" s="31" t="str">
        <f aca="false" t="array" ref="C172:C172">IF(B172="","",IFERROR(INDEX('CLM &amp; IM Mapping'!$B$2:$B$270,MATCH(TRIM(B172),'CLM &amp; IM Mapping'!$A$2:$A$270,0)),"Not Mapped"))</f>
        <v>Vishnu V</v>
      </c>
      <c r="D172" s="31" t="str">
        <f aca="false" t="array" ref="D172:D172">IF(B172="","",IFERROR(INDEX('CLM &amp; IM Mapping'!$C$2:$C$270,MATCH(TRIM(B172),'CLM &amp; IM Mapping'!$A$2:$A$270,0)),"Not Mapped"))</f>
        <v>Arivind S</v>
      </c>
      <c r="E172" s="31" t="s">
        <v>34</v>
      </c>
      <c r="F172" s="31" t="s">
        <v>562</v>
      </c>
      <c r="G172" s="31" t="s">
        <v>221</v>
      </c>
      <c r="H172" s="17" t="n">
        <v>5170</v>
      </c>
      <c r="I172" s="32" t="n">
        <v>0.7</v>
      </c>
      <c r="J172" s="33" t="n">
        <v>0.69</v>
      </c>
      <c r="K172" s="33" t="n">
        <v>0.98</v>
      </c>
      <c r="L172" s="33" t="n">
        <v>0.99</v>
      </c>
      <c r="M172" s="33" t="n">
        <v>0.98</v>
      </c>
      <c r="N172" s="11" t="n">
        <v>1</v>
      </c>
      <c r="O172" s="19"/>
      <c r="P172" s="11"/>
      <c r="Q172" s="8"/>
      <c r="R172" s="8"/>
      <c r="S172" s="8"/>
      <c r="T172" s="8"/>
      <c r="U172" s="8"/>
      <c r="V172" s="8"/>
      <c r="W172" s="8"/>
      <c r="X172" s="8"/>
      <c r="Y172" s="8"/>
      <c r="Z172" s="8"/>
      <c r="AA172" s="35"/>
      <c r="AB172" s="35"/>
      <c r="AC172" s="35"/>
      <c r="AD172" s="35"/>
      <c r="AE172" s="8"/>
      <c r="AF172" s="8"/>
      <c r="AG172" s="8"/>
      <c r="AH172" s="8"/>
      <c r="AI172" s="8"/>
      <c r="AJ172" s="8"/>
      <c r="AK172" s="8"/>
      <c r="AL172" s="8"/>
      <c r="AM172" s="8"/>
    </row>
    <row r="173" customFormat="false" ht="15.75" hidden="false" customHeight="true" outlineLevel="0" collapsed="false">
      <c r="A173" s="30" t="n">
        <v>46303</v>
      </c>
      <c r="B173" s="31" t="s">
        <v>346</v>
      </c>
      <c r="C173" s="31" t="str">
        <f aca="false" t="array" ref="C173:C173">IF(B173="","",IFERROR(INDEX('CLM &amp; IM Mapping'!$B$2:$B$270,MATCH(TRIM(B173),'CLM &amp; IM Mapping'!$A$2:$A$270,0)),"Not Mapped"))</f>
        <v>Saddam Hussain</v>
      </c>
      <c r="D173" s="31" t="str">
        <f aca="false" t="array" ref="D173:D173">IF(B173="","",IFERROR(INDEX('CLM &amp; IM Mapping'!$C$2:$C$270,MATCH(TRIM(B173),'CLM &amp; IM Mapping'!$A$2:$A$270,0)),"Not Mapped"))</f>
        <v>Un Mapped</v>
      </c>
      <c r="E173" s="31" t="s">
        <v>34</v>
      </c>
      <c r="F173" s="31" t="s">
        <v>562</v>
      </c>
      <c r="G173" s="31" t="s">
        <v>23</v>
      </c>
      <c r="H173" s="17" t="n">
        <v>5663</v>
      </c>
      <c r="I173" s="32" t="n">
        <v>0.7</v>
      </c>
      <c r="J173" s="33" t="n">
        <v>0.7</v>
      </c>
      <c r="K173" s="33" t="n">
        <v>0.94</v>
      </c>
      <c r="L173" s="33" t="n">
        <v>0.99</v>
      </c>
      <c r="M173" s="33" t="n">
        <v>0.94</v>
      </c>
      <c r="N173" s="11" t="n">
        <v>4</v>
      </c>
      <c r="O173" s="19"/>
      <c r="P173" s="11"/>
      <c r="Q173" s="8"/>
      <c r="R173" s="8"/>
      <c r="S173" s="8"/>
      <c r="T173" s="8"/>
      <c r="U173" s="8"/>
      <c r="V173" s="8"/>
      <c r="W173" s="8"/>
      <c r="X173" s="8"/>
      <c r="Y173" s="8"/>
      <c r="Z173" s="8"/>
      <c r="AA173" s="35"/>
      <c r="AB173" s="35"/>
      <c r="AC173" s="35"/>
      <c r="AD173" s="35"/>
      <c r="AE173" s="8"/>
      <c r="AF173" s="8"/>
      <c r="AG173" s="8"/>
      <c r="AH173" s="8"/>
      <c r="AI173" s="8"/>
      <c r="AJ173" s="8"/>
      <c r="AK173" s="8"/>
      <c r="AL173" s="8"/>
      <c r="AM173" s="8"/>
    </row>
    <row r="174" customFormat="false" ht="15.75" hidden="false" customHeight="true" outlineLevel="0" collapsed="false">
      <c r="A174" s="30" t="n">
        <v>46303</v>
      </c>
      <c r="B174" s="31" t="s">
        <v>144</v>
      </c>
      <c r="C174" s="31" t="str">
        <f aca="false" t="array" ref="C174:C174">IF(B174="","",IFERROR(INDEX('CLM &amp; IM Mapping'!$B$2:$B$270,MATCH(TRIM(B174),'CLM &amp; IM Mapping'!$A$2:$A$270,0)),"Not Mapped"))</f>
        <v>Mohaideen DH</v>
      </c>
      <c r="D174" s="31" t="str">
        <f aca="false" t="array" ref="D174:D174">IF(B174="","",IFERROR(INDEX('CLM &amp; IM Mapping'!$C$2:$C$270,MATCH(TRIM(B174),'CLM &amp; IM Mapping'!$A$2:$A$270,0)),"Not Mapped"))</f>
        <v>Mohammed Akbar</v>
      </c>
      <c r="E174" s="31" t="s">
        <v>34</v>
      </c>
      <c r="F174" s="31" t="s">
        <v>562</v>
      </c>
      <c r="G174" s="31" t="s">
        <v>23</v>
      </c>
      <c r="H174" s="17" t="n">
        <v>6324</v>
      </c>
      <c r="I174" s="32" t="n">
        <v>0.7</v>
      </c>
      <c r="J174" s="33" t="n">
        <v>0.7</v>
      </c>
      <c r="K174" s="33" t="n">
        <v>0.8</v>
      </c>
      <c r="L174" s="33" t="n">
        <v>0.82</v>
      </c>
      <c r="M174" s="33" t="n">
        <v>0.8</v>
      </c>
      <c r="N174" s="11" t="n">
        <v>5</v>
      </c>
      <c r="O174" s="12" t="s">
        <v>650</v>
      </c>
      <c r="P174" s="12" t="s">
        <v>600</v>
      </c>
      <c r="Q174" s="8"/>
      <c r="R174" s="8"/>
      <c r="S174" s="8"/>
      <c r="T174" s="8"/>
      <c r="U174" s="8"/>
      <c r="V174" s="8"/>
      <c r="W174" s="8"/>
      <c r="X174" s="8"/>
      <c r="Y174" s="8"/>
      <c r="Z174" s="8"/>
      <c r="AA174" s="35"/>
      <c r="AB174" s="35"/>
      <c r="AC174" s="35"/>
      <c r="AD174" s="35"/>
      <c r="AE174" s="8"/>
      <c r="AF174" s="8"/>
      <c r="AG174" s="8"/>
      <c r="AH174" s="8"/>
      <c r="AI174" s="8"/>
      <c r="AJ174" s="8"/>
      <c r="AK174" s="8"/>
      <c r="AL174" s="8"/>
      <c r="AM174" s="8"/>
    </row>
    <row r="175" customFormat="false" ht="15.75" hidden="false" customHeight="true" outlineLevel="0" collapsed="false">
      <c r="A175" s="30" t="n">
        <v>46303</v>
      </c>
      <c r="B175" s="31" t="s">
        <v>468</v>
      </c>
      <c r="C175" s="31" t="str">
        <f aca="false" t="array" ref="C175:C175">IF(B175="","",IFERROR(INDEX('CLM &amp; IM Mapping'!$B$2:$B$270,MATCH(TRIM(B175),'CLM &amp; IM Mapping'!$A$2:$A$270,0)),"Not Mapped"))</f>
        <v>Suhas N</v>
      </c>
      <c r="D175" s="31" t="str">
        <f aca="false" t="array" ref="D175:D175">IF(B175="","",IFERROR(INDEX('CLM &amp; IM Mapping'!$C$2:$C$270,MATCH(TRIM(B175),'CLM &amp; IM Mapping'!$A$2:$A$270,0)),"Not Mapped"))</f>
        <v>Aravind S</v>
      </c>
      <c r="E175" s="31" t="s">
        <v>34</v>
      </c>
      <c r="F175" s="31" t="s">
        <v>562</v>
      </c>
      <c r="G175" s="31" t="s">
        <v>23</v>
      </c>
      <c r="H175" s="17" t="n">
        <v>6272</v>
      </c>
      <c r="I175" s="32" t="n">
        <v>0.7</v>
      </c>
      <c r="J175" s="33" t="n">
        <v>0.7</v>
      </c>
      <c r="K175" s="33" t="n">
        <v>0.89</v>
      </c>
      <c r="L175" s="33" t="n">
        <v>0.97</v>
      </c>
      <c r="M175" s="33" t="n">
        <v>0.89</v>
      </c>
      <c r="N175" s="11" t="n">
        <v>2</v>
      </c>
      <c r="O175" s="19"/>
      <c r="P175" s="11"/>
      <c r="Q175" s="8"/>
      <c r="R175" s="8"/>
      <c r="S175" s="8"/>
      <c r="T175" s="8"/>
      <c r="U175" s="8"/>
      <c r="V175" s="8"/>
      <c r="W175" s="8"/>
      <c r="X175" s="8"/>
      <c r="Y175" s="8"/>
      <c r="Z175" s="8"/>
      <c r="AA175" s="35"/>
      <c r="AB175" s="35"/>
      <c r="AC175" s="35"/>
      <c r="AD175" s="35"/>
      <c r="AE175" s="8"/>
      <c r="AF175" s="8"/>
      <c r="AG175" s="8"/>
      <c r="AH175" s="8"/>
      <c r="AI175" s="8"/>
      <c r="AJ175" s="8"/>
      <c r="AK175" s="8"/>
      <c r="AL175" s="8"/>
      <c r="AM175" s="8"/>
    </row>
    <row r="176" customFormat="false" ht="15.75" hidden="false" customHeight="true" outlineLevel="0" collapsed="false">
      <c r="A176" s="30" t="n">
        <v>46303</v>
      </c>
      <c r="B176" s="31" t="s">
        <v>76</v>
      </c>
      <c r="C176" s="31" t="str">
        <f aca="false" t="array" ref="C176:C176">IF(B176="","",IFERROR(INDEX('CLM &amp; IM Mapping'!$B$2:$B$270,MATCH(TRIM(B176),'CLM &amp; IM Mapping'!$A$2:$A$270,0)),"Not Mapped"))</f>
        <v>Silambarasan E</v>
      </c>
      <c r="D176" s="31" t="str">
        <f aca="false" t="array" ref="D176:D176">IF(B176="","",IFERROR(INDEX('CLM &amp; IM Mapping'!$C$2:$C$270,MATCH(TRIM(B176),'CLM &amp; IM Mapping'!$A$2:$A$270,0)),"Not Mapped"))</f>
        <v>Arivind S</v>
      </c>
      <c r="E176" s="31" t="s">
        <v>34</v>
      </c>
      <c r="F176" s="31" t="s">
        <v>565</v>
      </c>
      <c r="G176" s="31" t="s">
        <v>23</v>
      </c>
      <c r="H176" s="17" t="n">
        <v>6330</v>
      </c>
      <c r="I176" s="32" t="n">
        <v>0.7</v>
      </c>
      <c r="J176" s="33" t="n">
        <v>0.7</v>
      </c>
      <c r="K176" s="33" t="n">
        <v>0.82</v>
      </c>
      <c r="L176" s="33" t="n">
        <v>0.92</v>
      </c>
      <c r="M176" s="33" t="n">
        <v>0.82</v>
      </c>
      <c r="N176" s="11" t="n">
        <v>3</v>
      </c>
      <c r="O176" s="19"/>
      <c r="P176" s="11"/>
      <c r="Q176" s="8"/>
      <c r="R176" s="8"/>
      <c r="S176" s="8"/>
      <c r="T176" s="8"/>
      <c r="U176" s="8"/>
      <c r="V176" s="8"/>
      <c r="W176" s="8"/>
      <c r="X176" s="8"/>
      <c r="Y176" s="8"/>
      <c r="Z176" s="8"/>
      <c r="AA176" s="35"/>
      <c r="AB176" s="35"/>
      <c r="AC176" s="35"/>
      <c r="AD176" s="35"/>
      <c r="AE176" s="8"/>
      <c r="AF176" s="8"/>
      <c r="AG176" s="8"/>
      <c r="AH176" s="8"/>
      <c r="AI176" s="8"/>
      <c r="AJ176" s="8"/>
      <c r="AK176" s="8"/>
      <c r="AL176" s="8"/>
      <c r="AM176" s="8"/>
    </row>
    <row r="177" customFormat="false" ht="15.75" hidden="false" customHeight="true" outlineLevel="0" collapsed="false">
      <c r="A177" s="30" t="n">
        <v>46303</v>
      </c>
      <c r="B177" s="31" t="s">
        <v>65</v>
      </c>
      <c r="C177" s="31" t="str">
        <f aca="false" t="array" ref="C177:C177">IF(B177="","",IFERROR(INDEX('CLM &amp; IM Mapping'!$B$2:$B$270,MATCH(TRIM(B177),'CLM &amp; IM Mapping'!$A$2:$A$270,0)),"Not Mapped"))</f>
        <v>Adhavan Subramani</v>
      </c>
      <c r="D177" s="31" t="str">
        <f aca="false" t="array" ref="D177:D177">IF(B177="","",IFERROR(INDEX('CLM &amp; IM Mapping'!$C$2:$C$270,MATCH(TRIM(B177),'CLM &amp; IM Mapping'!$A$2:$A$270,0)),"Not Mapped"))</f>
        <v>Mohammed Akbar</v>
      </c>
      <c r="E177" s="31" t="s">
        <v>34</v>
      </c>
      <c r="F177" s="31" t="s">
        <v>562</v>
      </c>
      <c r="G177" s="31" t="s">
        <v>23</v>
      </c>
      <c r="H177" s="17" t="n">
        <v>5572</v>
      </c>
      <c r="I177" s="32" t="n">
        <v>0.7</v>
      </c>
      <c r="J177" s="33" t="n">
        <v>0.7</v>
      </c>
      <c r="K177" s="33" t="n">
        <v>0.86</v>
      </c>
      <c r="L177" s="33" t="n">
        <v>0.96</v>
      </c>
      <c r="M177" s="33" t="n">
        <v>0.86</v>
      </c>
      <c r="N177" s="11" t="n">
        <v>4</v>
      </c>
      <c r="O177" s="12" t="s">
        <v>651</v>
      </c>
      <c r="P177" s="12" t="s">
        <v>600</v>
      </c>
      <c r="Q177" s="8"/>
      <c r="R177" s="8"/>
      <c r="S177" s="8"/>
      <c r="T177" s="8"/>
      <c r="U177" s="8"/>
      <c r="V177" s="8"/>
      <c r="W177" s="8"/>
      <c r="X177" s="8"/>
      <c r="Y177" s="8"/>
      <c r="Z177" s="8"/>
      <c r="AA177" s="35"/>
      <c r="AB177" s="35"/>
      <c r="AC177" s="35"/>
      <c r="AD177" s="35"/>
      <c r="AE177" s="8"/>
      <c r="AF177" s="8"/>
      <c r="AG177" s="8"/>
      <c r="AH177" s="8"/>
      <c r="AI177" s="8"/>
      <c r="AJ177" s="8"/>
      <c r="AK177" s="8"/>
      <c r="AL177" s="8"/>
      <c r="AM177" s="8"/>
    </row>
    <row r="178" customFormat="false" ht="15.75" hidden="false" customHeight="true" outlineLevel="0" collapsed="false">
      <c r="A178" s="30" t="n">
        <v>46303</v>
      </c>
      <c r="B178" s="31" t="s">
        <v>512</v>
      </c>
      <c r="C178" s="31" t="str">
        <f aca="false" t="array" ref="C178:C178">IF(B178="","",IFERROR(INDEX('CLM &amp; IM Mapping'!$B$2:$B$270,MATCH(TRIM(B178),'CLM &amp; IM Mapping'!$A$2:$A$270,0)),"Not Mapped"))</f>
        <v>Saddam Hussain</v>
      </c>
      <c r="D178" s="31" t="str">
        <f aca="false" t="array" ref="D178:D178">IF(B178="","",IFERROR(INDEX('CLM &amp; IM Mapping'!$C$2:$C$270,MATCH(TRIM(B178),'CLM &amp; IM Mapping'!$A$2:$A$270,0)),"Not Mapped"))</f>
        <v>Un Mapped</v>
      </c>
      <c r="E178" s="31" t="s">
        <v>34</v>
      </c>
      <c r="F178" s="31" t="s">
        <v>565</v>
      </c>
      <c r="G178" s="31" t="s">
        <v>23</v>
      </c>
      <c r="H178" s="17" t="n">
        <v>4408</v>
      </c>
      <c r="I178" s="32" t="n">
        <v>0.7</v>
      </c>
      <c r="J178" s="33" t="n">
        <v>0.71</v>
      </c>
      <c r="K178" s="33" t="n">
        <v>0.81</v>
      </c>
      <c r="L178" s="33" t="n">
        <v>0.98</v>
      </c>
      <c r="M178" s="33" t="n">
        <v>0.81</v>
      </c>
      <c r="N178" s="11" t="n">
        <v>3</v>
      </c>
      <c r="O178" s="19"/>
      <c r="P178" s="11"/>
      <c r="Q178" s="8"/>
      <c r="R178" s="8"/>
      <c r="S178" s="8"/>
      <c r="T178" s="8"/>
      <c r="U178" s="8"/>
      <c r="V178" s="8"/>
      <c r="W178" s="8"/>
      <c r="X178" s="8"/>
      <c r="Y178" s="8"/>
      <c r="Z178" s="8"/>
      <c r="AA178" s="35"/>
      <c r="AB178" s="35"/>
      <c r="AC178" s="35"/>
      <c r="AD178" s="35"/>
      <c r="AE178" s="8"/>
      <c r="AF178" s="8"/>
      <c r="AG178" s="8"/>
      <c r="AH178" s="8"/>
      <c r="AI178" s="8"/>
      <c r="AJ178" s="8"/>
      <c r="AK178" s="8"/>
      <c r="AL178" s="8"/>
      <c r="AM178" s="8"/>
    </row>
    <row r="179" customFormat="false" ht="15.75" hidden="false" customHeight="true" outlineLevel="0" collapsed="false">
      <c r="A179" s="30" t="n">
        <v>46303</v>
      </c>
      <c r="B179" s="31" t="s">
        <v>259</v>
      </c>
      <c r="C179" s="31" t="str">
        <f aca="false" t="array" ref="C179:C179">IF(B179="","",IFERROR(INDEX('CLM &amp; IM Mapping'!$B$2:$B$270,MATCH(TRIM(B179),'CLM &amp; IM Mapping'!$A$2:$A$270,0)),"Not Mapped"))</f>
        <v>Raghavendra Vernekar</v>
      </c>
      <c r="D179" s="31" t="str">
        <f aca="false" t="array" ref="D179:D179">IF(B179="","",IFERROR(INDEX('CLM &amp; IM Mapping'!$C$2:$C$270,MATCH(TRIM(B179),'CLM &amp; IM Mapping'!$A$2:$A$270,0)),"Not Mapped"))</f>
        <v>Prakash BS</v>
      </c>
      <c r="E179" s="31" t="s">
        <v>34</v>
      </c>
      <c r="F179" s="31" t="s">
        <v>562</v>
      </c>
      <c r="G179" s="31" t="s">
        <v>23</v>
      </c>
      <c r="H179" s="17" t="n">
        <v>7036</v>
      </c>
      <c r="I179" s="32" t="n">
        <v>0.7</v>
      </c>
      <c r="J179" s="33" t="n">
        <v>0.72</v>
      </c>
      <c r="K179" s="33" t="n">
        <v>0.86</v>
      </c>
      <c r="L179" s="33" t="n">
        <v>0.94</v>
      </c>
      <c r="M179" s="33" t="n">
        <v>0.86</v>
      </c>
      <c r="N179" s="11" t="n">
        <v>4</v>
      </c>
      <c r="O179" s="12" t="s">
        <v>649</v>
      </c>
      <c r="P179" s="37" t="n">
        <v>46366</v>
      </c>
      <c r="Q179" s="8"/>
      <c r="R179" s="8"/>
      <c r="S179" s="8"/>
      <c r="T179" s="8"/>
      <c r="U179" s="8"/>
      <c r="V179" s="8"/>
      <c r="W179" s="8"/>
      <c r="X179" s="8"/>
      <c r="Y179" s="8"/>
      <c r="Z179" s="8"/>
      <c r="AA179" s="35"/>
      <c r="AB179" s="35"/>
      <c r="AC179" s="35"/>
      <c r="AD179" s="35"/>
      <c r="AE179" s="8"/>
      <c r="AF179" s="8"/>
      <c r="AG179" s="8"/>
      <c r="AH179" s="8"/>
      <c r="AI179" s="8"/>
      <c r="AJ179" s="8"/>
      <c r="AK179" s="8"/>
      <c r="AL179" s="8"/>
      <c r="AM179" s="8"/>
    </row>
    <row r="180" customFormat="false" ht="15.75" hidden="false" customHeight="true" outlineLevel="0" collapsed="false">
      <c r="A180" s="30" t="n">
        <v>46303</v>
      </c>
      <c r="B180" s="31" t="s">
        <v>245</v>
      </c>
      <c r="C180" s="31" t="str">
        <f aca="false" t="array" ref="C180:C180">IF(B180="","",IFERROR(INDEX('CLM &amp; IM Mapping'!$B$2:$B$270,MATCH(TRIM(B180),'CLM &amp; IM Mapping'!$A$2:$A$270,0)),"Not Mapped"))</f>
        <v>Adhavan Subramani</v>
      </c>
      <c r="D180" s="31" t="str">
        <f aca="false" t="array" ref="D180:D180">IF(B180="","",IFERROR(INDEX('CLM &amp; IM Mapping'!$C$2:$C$270,MATCH(TRIM(B180),'CLM &amp; IM Mapping'!$A$2:$A$270,0)),"Not Mapped"))</f>
        <v>Mohammed Akbar</v>
      </c>
      <c r="E180" s="31" t="s">
        <v>34</v>
      </c>
      <c r="F180" s="31" t="s">
        <v>562</v>
      </c>
      <c r="G180" s="31" t="s">
        <v>23</v>
      </c>
      <c r="H180" s="17" t="n">
        <v>5516</v>
      </c>
      <c r="I180" s="32" t="n">
        <v>0.7</v>
      </c>
      <c r="J180" s="33" t="n">
        <v>0.72</v>
      </c>
      <c r="K180" s="33" t="n">
        <v>0.8</v>
      </c>
      <c r="L180" s="33" t="n">
        <v>0.96</v>
      </c>
      <c r="M180" s="33" t="n">
        <v>0.8</v>
      </c>
      <c r="N180" s="11" t="n">
        <v>4</v>
      </c>
      <c r="O180" s="12" t="s">
        <v>652</v>
      </c>
      <c r="P180" s="12" t="s">
        <v>600</v>
      </c>
      <c r="Q180" s="8"/>
      <c r="R180" s="8"/>
      <c r="S180" s="8"/>
      <c r="T180" s="8"/>
      <c r="U180" s="8"/>
      <c r="V180" s="8"/>
      <c r="W180" s="8"/>
      <c r="X180" s="8"/>
      <c r="Y180" s="8"/>
      <c r="Z180" s="8"/>
      <c r="AA180" s="35"/>
      <c r="AB180" s="35"/>
      <c r="AC180" s="35"/>
      <c r="AD180" s="35"/>
      <c r="AE180" s="8"/>
      <c r="AF180" s="8"/>
      <c r="AG180" s="8"/>
      <c r="AH180" s="8"/>
      <c r="AI180" s="8"/>
      <c r="AJ180" s="8"/>
      <c r="AK180" s="8"/>
      <c r="AL180" s="8"/>
      <c r="AM180" s="8"/>
    </row>
    <row r="181" customFormat="false" ht="15.75" hidden="false" customHeight="true" outlineLevel="0" collapsed="false">
      <c r="A181" s="30" t="n">
        <v>46303</v>
      </c>
      <c r="B181" s="31" t="s">
        <v>329</v>
      </c>
      <c r="C181" s="31" t="str">
        <f aca="false" t="array" ref="C181:C181">IF(B181="","",IFERROR(INDEX('CLM &amp; IM Mapping'!$B$2:$B$270,MATCH(TRIM(B181),'CLM &amp; IM Mapping'!$A$2:$A$270,0)),"Not Mapped"))</f>
        <v>Ashwath S</v>
      </c>
      <c r="D181" s="31" t="str">
        <f aca="false" t="array" ref="D181:D181">IF(B181="","",IFERROR(INDEX('CLM &amp; IM Mapping'!$C$2:$C$270,MATCH(TRIM(B181),'CLM &amp; IM Mapping'!$A$2:$A$270,0)),"Not Mapped"))</f>
        <v>Kantha Kumar</v>
      </c>
      <c r="E181" s="31" t="s">
        <v>34</v>
      </c>
      <c r="F181" s="31" t="s">
        <v>562</v>
      </c>
      <c r="G181" s="31" t="s">
        <v>23</v>
      </c>
      <c r="H181" s="17" t="n">
        <v>6248</v>
      </c>
      <c r="I181" s="32" t="n">
        <v>0.7</v>
      </c>
      <c r="J181" s="33" t="n">
        <v>0.72</v>
      </c>
      <c r="K181" s="33" t="n">
        <v>0.95</v>
      </c>
      <c r="L181" s="33" t="n">
        <v>0.98</v>
      </c>
      <c r="M181" s="33" t="n">
        <v>0.95</v>
      </c>
      <c r="N181" s="11" t="n">
        <v>3</v>
      </c>
      <c r="O181" s="19"/>
      <c r="P181" s="11"/>
      <c r="Q181" s="8"/>
      <c r="R181" s="8"/>
      <c r="S181" s="8"/>
      <c r="T181" s="8"/>
      <c r="U181" s="8"/>
      <c r="V181" s="8"/>
      <c r="W181" s="8"/>
      <c r="X181" s="8"/>
      <c r="Y181" s="8"/>
      <c r="Z181" s="8"/>
      <c r="AA181" s="35"/>
      <c r="AB181" s="35"/>
      <c r="AC181" s="35"/>
      <c r="AD181" s="35"/>
      <c r="AE181" s="8"/>
      <c r="AF181" s="8"/>
      <c r="AG181" s="8"/>
      <c r="AH181" s="8"/>
      <c r="AI181" s="8"/>
      <c r="AJ181" s="8"/>
      <c r="AK181" s="8"/>
      <c r="AL181" s="8"/>
      <c r="AM181" s="8"/>
    </row>
    <row r="182" customFormat="false" ht="15.75" hidden="false" customHeight="true" outlineLevel="0" collapsed="false">
      <c r="A182" s="30" t="n">
        <v>46303</v>
      </c>
      <c r="B182" s="31" t="s">
        <v>437</v>
      </c>
      <c r="C182" s="31" t="str">
        <f aca="false" t="array" ref="C182:C182">IF(B182="","",IFERROR(INDEX('CLM &amp; IM Mapping'!$B$2:$B$270,MATCH(TRIM(B182),'CLM &amp; IM Mapping'!$A$2:$A$270,0)),"Not Mapped"))</f>
        <v>Balaji G</v>
      </c>
      <c r="D182" s="31" t="str">
        <f aca="false" t="array" ref="D182:D182">IF(B182="","",IFERROR(INDEX('CLM &amp; IM Mapping'!$C$2:$C$270,MATCH(TRIM(B182),'CLM &amp; IM Mapping'!$A$2:$A$270,0)),"Not Mapped"))</f>
        <v>Mohammed Akbar</v>
      </c>
      <c r="E182" s="31" t="s">
        <v>34</v>
      </c>
      <c r="F182" s="31" t="s">
        <v>562</v>
      </c>
      <c r="G182" s="31" t="s">
        <v>23</v>
      </c>
      <c r="H182" s="17" t="n">
        <v>5689</v>
      </c>
      <c r="I182" s="32" t="n">
        <v>0.7</v>
      </c>
      <c r="J182" s="33" t="n">
        <v>0.72</v>
      </c>
      <c r="K182" s="33" t="n">
        <v>0.88</v>
      </c>
      <c r="L182" s="33" t="n">
        <v>0.96</v>
      </c>
      <c r="M182" s="33" t="n">
        <v>0.88</v>
      </c>
      <c r="N182" s="11" t="n">
        <v>5</v>
      </c>
      <c r="O182" s="12" t="s">
        <v>647</v>
      </c>
      <c r="P182" s="12" t="s">
        <v>600</v>
      </c>
      <c r="Q182" s="8"/>
      <c r="R182" s="8"/>
      <c r="S182" s="8"/>
      <c r="T182" s="8"/>
      <c r="U182" s="8"/>
      <c r="V182" s="8"/>
      <c r="W182" s="8"/>
      <c r="X182" s="8"/>
      <c r="Y182" s="8"/>
      <c r="Z182" s="8"/>
      <c r="AA182" s="35"/>
      <c r="AB182" s="35"/>
      <c r="AC182" s="35"/>
      <c r="AD182" s="35"/>
      <c r="AE182" s="8"/>
      <c r="AF182" s="8"/>
      <c r="AG182" s="8"/>
      <c r="AH182" s="8"/>
      <c r="AI182" s="8"/>
      <c r="AJ182" s="8"/>
      <c r="AK182" s="8"/>
      <c r="AL182" s="8"/>
      <c r="AM182" s="8"/>
    </row>
    <row r="183" customFormat="false" ht="15.75" hidden="false" customHeight="true" outlineLevel="0" collapsed="false">
      <c r="A183" s="30" t="n">
        <v>46303</v>
      </c>
      <c r="B183" s="31" t="s">
        <v>162</v>
      </c>
      <c r="C183" s="31" t="str">
        <f aca="false" t="array" ref="C183:C183">IF(B183="","",IFERROR(INDEX('CLM &amp; IM Mapping'!$B$2:$B$270,MATCH(TRIM(B183),'CLM &amp; IM Mapping'!$A$2:$A$270,0)),"Not Mapped"))</f>
        <v>Ashwath S</v>
      </c>
      <c r="D183" s="31" t="str">
        <f aca="false" t="array" ref="D183:D183">IF(B183="","",IFERROR(INDEX('CLM &amp; IM Mapping'!$C$2:$C$270,MATCH(TRIM(B183),'CLM &amp; IM Mapping'!$A$2:$A$270,0)),"Not Mapped"))</f>
        <v>Kantha Kumar</v>
      </c>
      <c r="E183" s="31" t="s">
        <v>34</v>
      </c>
      <c r="F183" s="31" t="s">
        <v>562</v>
      </c>
      <c r="G183" s="31" t="s">
        <v>23</v>
      </c>
      <c r="H183" s="17" t="n">
        <v>6158</v>
      </c>
      <c r="I183" s="32" t="n">
        <v>0.7</v>
      </c>
      <c r="J183" s="33" t="n">
        <v>0.73</v>
      </c>
      <c r="K183" s="33" t="n">
        <v>0.85</v>
      </c>
      <c r="L183" s="33" t="n">
        <v>0.96</v>
      </c>
      <c r="M183" s="33" t="n">
        <v>0.85</v>
      </c>
      <c r="N183" s="11" t="n">
        <v>4</v>
      </c>
      <c r="O183" s="19"/>
      <c r="P183" s="11"/>
      <c r="Q183" s="8"/>
      <c r="R183" s="8"/>
      <c r="S183" s="8"/>
      <c r="T183" s="8"/>
      <c r="U183" s="8"/>
      <c r="V183" s="8"/>
      <c r="W183" s="8"/>
      <c r="X183" s="8"/>
      <c r="Y183" s="8"/>
      <c r="Z183" s="8"/>
      <c r="AA183" s="35"/>
      <c r="AB183" s="35"/>
      <c r="AC183" s="35"/>
      <c r="AD183" s="35"/>
      <c r="AE183" s="8"/>
      <c r="AF183" s="8"/>
      <c r="AG183" s="8"/>
      <c r="AH183" s="8"/>
      <c r="AI183" s="8"/>
      <c r="AJ183" s="8"/>
      <c r="AK183" s="8"/>
      <c r="AL183" s="8"/>
      <c r="AM183" s="8"/>
    </row>
    <row r="184" customFormat="false" ht="15.75" hidden="false" customHeight="true" outlineLevel="0" collapsed="false">
      <c r="A184" s="30" t="n">
        <v>46303</v>
      </c>
      <c r="B184" s="31" t="s">
        <v>139</v>
      </c>
      <c r="C184" s="31" t="str">
        <f aca="false" t="array" ref="C184:C184">IF(B184="","",IFERROR(INDEX('CLM &amp; IM Mapping'!$B$2:$B$270,MATCH(TRIM(B184),'CLM &amp; IM Mapping'!$A$2:$A$270,0)),"Not Mapped"))</f>
        <v>Mohaideen DH</v>
      </c>
      <c r="D184" s="31" t="str">
        <f aca="false" t="array" ref="D184:D184">IF(B184="","",IFERROR(INDEX('CLM &amp; IM Mapping'!$C$2:$C$270,MATCH(TRIM(B184),'CLM &amp; IM Mapping'!$A$2:$A$270,0)),"Not Mapped"))</f>
        <v>Mohammed Akbar</v>
      </c>
      <c r="E184" s="31" t="s">
        <v>34</v>
      </c>
      <c r="F184" s="31" t="s">
        <v>562</v>
      </c>
      <c r="G184" s="31" t="s">
        <v>23</v>
      </c>
      <c r="H184" s="17" t="n">
        <v>4964</v>
      </c>
      <c r="I184" s="32" t="n">
        <v>0.7</v>
      </c>
      <c r="J184" s="33" t="n">
        <v>0.74</v>
      </c>
      <c r="K184" s="33" t="n">
        <v>0.83</v>
      </c>
      <c r="L184" s="33" t="n">
        <v>0.96</v>
      </c>
      <c r="M184" s="33" t="n">
        <v>0.83</v>
      </c>
      <c r="N184" s="11" t="n">
        <v>4</v>
      </c>
      <c r="O184" s="12" t="s">
        <v>653</v>
      </c>
      <c r="P184" s="12" t="s">
        <v>600</v>
      </c>
      <c r="Q184" s="8"/>
      <c r="R184" s="8"/>
      <c r="S184" s="8"/>
      <c r="T184" s="8"/>
      <c r="U184" s="8"/>
      <c r="V184" s="8"/>
      <c r="W184" s="8"/>
      <c r="X184" s="8"/>
      <c r="Y184" s="8"/>
      <c r="Z184" s="8"/>
      <c r="AA184" s="35"/>
      <c r="AB184" s="35"/>
      <c r="AC184" s="35"/>
      <c r="AD184" s="8"/>
      <c r="AE184" s="8"/>
      <c r="AF184" s="8"/>
      <c r="AG184" s="8"/>
      <c r="AH184" s="8"/>
      <c r="AI184" s="8"/>
      <c r="AJ184" s="8"/>
      <c r="AK184" s="8"/>
      <c r="AL184" s="8"/>
      <c r="AM184" s="8"/>
    </row>
    <row r="185" customFormat="false" ht="15.75" hidden="false" customHeight="true" outlineLevel="0" collapsed="false">
      <c r="A185" s="30" t="n">
        <v>46303</v>
      </c>
      <c r="B185" s="31" t="s">
        <v>359</v>
      </c>
      <c r="C185" s="31" t="str">
        <f aca="false" t="array" ref="C185:C185">IF(B185="","",IFERROR(INDEX('CLM &amp; IM Mapping'!$B$2:$B$270,MATCH(TRIM(B185),'CLM &amp; IM Mapping'!$A$2:$A$270,0)),"Not Mapped"))</f>
        <v>Santhosha M</v>
      </c>
      <c r="D185" s="31" t="str">
        <f aca="false" t="array" ref="D185:D185">IF(B185="","",IFERROR(INDEX('CLM &amp; IM Mapping'!$C$2:$C$270,MATCH(TRIM(B185),'CLM &amp; IM Mapping'!$A$2:$A$270,0)),"Not Mapped"))</f>
        <v>Aravind S</v>
      </c>
      <c r="E185" s="31" t="s">
        <v>34</v>
      </c>
      <c r="F185" s="31" t="s">
        <v>562</v>
      </c>
      <c r="G185" s="31" t="s">
        <v>276</v>
      </c>
      <c r="H185" s="17" t="n">
        <v>5543</v>
      </c>
      <c r="I185" s="32" t="n">
        <v>0.7</v>
      </c>
      <c r="J185" s="33" t="n">
        <v>0.74</v>
      </c>
      <c r="K185" s="33" t="n">
        <v>0.98</v>
      </c>
      <c r="L185" s="33" t="n">
        <v>0.99</v>
      </c>
      <c r="M185" s="33" t="n">
        <v>0.98</v>
      </c>
      <c r="N185" s="11" t="n">
        <v>2</v>
      </c>
      <c r="O185" s="19"/>
      <c r="P185" s="11"/>
      <c r="Q185" s="8"/>
      <c r="R185" s="8"/>
      <c r="S185" s="8"/>
      <c r="T185" s="8"/>
      <c r="U185" s="8"/>
      <c r="V185" s="8"/>
      <c r="W185" s="8"/>
      <c r="X185" s="8"/>
      <c r="Y185" s="8"/>
      <c r="Z185" s="8"/>
      <c r="AA185" s="35"/>
      <c r="AB185" s="35"/>
      <c r="AC185" s="35"/>
      <c r="AD185" s="35"/>
      <c r="AE185" s="8"/>
      <c r="AF185" s="8"/>
      <c r="AG185" s="8"/>
      <c r="AH185" s="8"/>
      <c r="AI185" s="8"/>
      <c r="AJ185" s="8"/>
      <c r="AK185" s="8"/>
      <c r="AL185" s="8"/>
      <c r="AM185" s="8"/>
    </row>
    <row r="186" customFormat="false" ht="15.75" hidden="false" customHeight="true" outlineLevel="0" collapsed="false">
      <c r="A186" s="30" t="n">
        <v>46303</v>
      </c>
      <c r="B186" s="31" t="s">
        <v>392</v>
      </c>
      <c r="C186" s="31" t="str">
        <f aca="false" t="array" ref="C186:C186">IF(B186="","",IFERROR(INDEX('CLM &amp; IM Mapping'!$B$2:$B$270,MATCH(TRIM(B186),'CLM &amp; IM Mapping'!$A$2:$A$270,0)),"Not Mapped"))</f>
        <v>Balaji G</v>
      </c>
      <c r="D186" s="31" t="str">
        <f aca="false" t="array" ref="D186:D186">IF(B186="","",IFERROR(INDEX('CLM &amp; IM Mapping'!$C$2:$C$270,MATCH(TRIM(B186),'CLM &amp; IM Mapping'!$A$2:$A$270,0)),"Not Mapped"))</f>
        <v>Mohammed Akbar</v>
      </c>
      <c r="E186" s="31" t="s">
        <v>34</v>
      </c>
      <c r="F186" s="31" t="s">
        <v>562</v>
      </c>
      <c r="G186" s="31" t="s">
        <v>23</v>
      </c>
      <c r="H186" s="17" t="n">
        <v>6010</v>
      </c>
      <c r="I186" s="32" t="n">
        <v>0.7</v>
      </c>
      <c r="J186" s="33" t="n">
        <v>0.75</v>
      </c>
      <c r="K186" s="33" t="n">
        <v>0.97</v>
      </c>
      <c r="L186" s="33" t="n">
        <v>0.99</v>
      </c>
      <c r="M186" s="33" t="n">
        <v>0.97</v>
      </c>
      <c r="N186" s="11" t="n">
        <v>4</v>
      </c>
      <c r="O186" s="12" t="s">
        <v>647</v>
      </c>
      <c r="P186" s="12" t="s">
        <v>600</v>
      </c>
      <c r="Q186" s="8"/>
      <c r="R186" s="8"/>
      <c r="S186" s="8"/>
      <c r="T186" s="8"/>
      <c r="U186" s="8"/>
      <c r="V186" s="8"/>
      <c r="W186" s="8"/>
      <c r="X186" s="8"/>
      <c r="Y186" s="8"/>
      <c r="Z186" s="8"/>
      <c r="AA186" s="35"/>
      <c r="AB186" s="35"/>
      <c r="AC186" s="35"/>
      <c r="AD186" s="35"/>
      <c r="AE186" s="8"/>
      <c r="AF186" s="8"/>
      <c r="AG186" s="8"/>
      <c r="AH186" s="8"/>
      <c r="AI186" s="8"/>
      <c r="AJ186" s="8"/>
      <c r="AK186" s="8"/>
      <c r="AL186" s="8"/>
      <c r="AM186" s="8"/>
    </row>
    <row r="187" customFormat="false" ht="15.75" hidden="false" customHeight="true" outlineLevel="0" collapsed="false">
      <c r="A187" s="30" t="n">
        <v>46303</v>
      </c>
      <c r="B187" s="31" t="s">
        <v>165</v>
      </c>
      <c r="C187" s="31" t="str">
        <f aca="false" t="array" ref="C187:C187">IF(B187="","",IFERROR(INDEX('CLM &amp; IM Mapping'!$B$2:$B$270,MATCH(TRIM(B187),'CLM &amp; IM Mapping'!$A$2:$A$270,0)),"Not Mapped"))</f>
        <v>Akshay P</v>
      </c>
      <c r="D187" s="31" t="str">
        <f aca="false" t="array" ref="D187:D187">IF(B187="","",IFERROR(INDEX('CLM &amp; IM Mapping'!$C$2:$C$270,MATCH(TRIM(B187),'CLM &amp; IM Mapping'!$A$2:$A$270,0)),"Not Mapped"))</f>
        <v>Srittam Dhal</v>
      </c>
      <c r="E187" s="31" t="s">
        <v>34</v>
      </c>
      <c r="F187" s="31" t="s">
        <v>562</v>
      </c>
      <c r="G187" s="31" t="s">
        <v>23</v>
      </c>
      <c r="H187" s="17" t="n">
        <v>5379</v>
      </c>
      <c r="I187" s="32" t="n">
        <v>0.7</v>
      </c>
      <c r="J187" s="33" t="n">
        <v>0.75</v>
      </c>
      <c r="K187" s="33" t="n">
        <v>0.81</v>
      </c>
      <c r="L187" s="33" t="n">
        <v>0.95</v>
      </c>
      <c r="M187" s="33" t="n">
        <v>0.81</v>
      </c>
      <c r="N187" s="11" t="n">
        <v>3</v>
      </c>
      <c r="O187" s="19"/>
      <c r="P187" s="11"/>
      <c r="Q187" s="8"/>
      <c r="R187" s="8"/>
      <c r="S187" s="8"/>
      <c r="T187" s="8"/>
      <c r="U187" s="8"/>
      <c r="V187" s="8"/>
      <c r="W187" s="8"/>
      <c r="X187" s="8"/>
      <c r="Y187" s="8"/>
      <c r="Z187" s="8"/>
      <c r="AA187" s="35"/>
      <c r="AB187" s="35"/>
      <c r="AC187" s="35"/>
      <c r="AD187" s="35"/>
      <c r="AE187" s="8"/>
      <c r="AF187" s="8"/>
      <c r="AG187" s="8"/>
      <c r="AH187" s="8"/>
      <c r="AI187" s="8"/>
      <c r="AJ187" s="8"/>
      <c r="AK187" s="8"/>
      <c r="AL187" s="8"/>
      <c r="AM187" s="8"/>
    </row>
    <row r="188" customFormat="false" ht="15.75" hidden="false" customHeight="true" outlineLevel="0" collapsed="false">
      <c r="A188" s="30" t="n">
        <v>46303</v>
      </c>
      <c r="B188" s="31" t="s">
        <v>400</v>
      </c>
      <c r="C188" s="31" t="str">
        <f aca="false" t="array" ref="C188:C188">IF(B188="","",IFERROR(INDEX('CLM &amp; IM Mapping'!$B$2:$B$270,MATCH(TRIM(B188),'CLM &amp; IM Mapping'!$A$2:$A$270,0)),"Not Mapped"))</f>
        <v>Bangareppa CS</v>
      </c>
      <c r="D188" s="31" t="str">
        <f aca="false" t="array" ref="D188:D188">IF(B188="","",IFERROR(INDEX('CLM &amp; IM Mapping'!$C$2:$C$270,MATCH(TRIM(B188),'CLM &amp; IM Mapping'!$A$2:$A$270,0)),"Not Mapped"))</f>
        <v>Kishor K</v>
      </c>
      <c r="E188" s="31" t="s">
        <v>34</v>
      </c>
      <c r="F188" s="31" t="s">
        <v>562</v>
      </c>
      <c r="G188" s="31" t="s">
        <v>394</v>
      </c>
      <c r="H188" s="17" t="n">
        <v>6112</v>
      </c>
      <c r="I188" s="32" t="n">
        <v>0.7</v>
      </c>
      <c r="J188" s="33" t="n">
        <v>0.75</v>
      </c>
      <c r="K188" s="33" t="n">
        <v>0.97</v>
      </c>
      <c r="L188" s="33" t="n">
        <v>0.98</v>
      </c>
      <c r="M188" s="33" t="n">
        <v>0.97</v>
      </c>
      <c r="N188" s="11" t="n">
        <v>2</v>
      </c>
      <c r="O188" s="12" t="s">
        <v>631</v>
      </c>
      <c r="P188" s="12" t="s">
        <v>623</v>
      </c>
      <c r="Q188" s="8"/>
      <c r="R188" s="8"/>
      <c r="S188" s="8"/>
      <c r="T188" s="8"/>
      <c r="U188" s="8"/>
      <c r="V188" s="8"/>
      <c r="W188" s="8"/>
      <c r="X188" s="8"/>
      <c r="Y188" s="8"/>
      <c r="Z188" s="8"/>
      <c r="AA188" s="35"/>
      <c r="AB188" s="35"/>
      <c r="AC188" s="35"/>
      <c r="AD188" s="35"/>
      <c r="AE188" s="8"/>
      <c r="AF188" s="8"/>
      <c r="AG188" s="8"/>
      <c r="AH188" s="8"/>
      <c r="AI188" s="8"/>
      <c r="AJ188" s="8"/>
      <c r="AK188" s="8"/>
      <c r="AL188" s="8"/>
      <c r="AM188" s="8"/>
    </row>
    <row r="189" customFormat="false" ht="15.75" hidden="false" customHeight="true" outlineLevel="0" collapsed="false">
      <c r="A189" s="30" t="n">
        <v>46303</v>
      </c>
      <c r="B189" s="31" t="s">
        <v>227</v>
      </c>
      <c r="C189" s="31" t="str">
        <f aca="false" t="array" ref="C189:C189">IF(B189="","",IFERROR(INDEX('CLM &amp; IM Mapping'!$B$2:$B$270,MATCH(TRIM(B189),'CLM &amp; IM Mapping'!$A$2:$A$270,0)),"Not Mapped"))</f>
        <v>Vijay M</v>
      </c>
      <c r="D189" s="31" t="str">
        <f aca="false" t="array" ref="D189:D189">IF(B189="","",IFERROR(INDEX('CLM &amp; IM Mapping'!$C$2:$C$270,MATCH(TRIM(B189),'CLM &amp; IM Mapping'!$A$2:$A$270,0)),"Not Mapped"))</f>
        <v>Kantha Kumar</v>
      </c>
      <c r="E189" s="31" t="s">
        <v>34</v>
      </c>
      <c r="F189" s="31" t="s">
        <v>562</v>
      </c>
      <c r="G189" s="31" t="s">
        <v>23</v>
      </c>
      <c r="H189" s="17" t="n">
        <v>5085</v>
      </c>
      <c r="I189" s="32" t="n">
        <v>0.7</v>
      </c>
      <c r="J189" s="33" t="n">
        <v>0.76</v>
      </c>
      <c r="K189" s="33" t="n">
        <v>0.85</v>
      </c>
      <c r="L189" s="33" t="n">
        <v>0.92</v>
      </c>
      <c r="M189" s="33" t="n">
        <v>0.85</v>
      </c>
      <c r="N189" s="11" t="n">
        <v>1</v>
      </c>
      <c r="O189" s="19"/>
      <c r="P189" s="11"/>
      <c r="Q189" s="8"/>
      <c r="R189" s="8"/>
      <c r="S189" s="8"/>
      <c r="T189" s="8"/>
      <c r="U189" s="8"/>
      <c r="V189" s="8"/>
      <c r="W189" s="8"/>
      <c r="X189" s="8"/>
      <c r="Y189" s="8"/>
      <c r="Z189" s="8"/>
      <c r="AA189" s="35"/>
      <c r="AB189" s="35"/>
      <c r="AC189" s="35"/>
      <c r="AD189" s="35"/>
      <c r="AE189" s="8"/>
      <c r="AF189" s="8"/>
      <c r="AG189" s="8"/>
      <c r="AH189" s="8"/>
      <c r="AI189" s="8"/>
      <c r="AJ189" s="8"/>
      <c r="AK189" s="8"/>
      <c r="AL189" s="8"/>
      <c r="AM189" s="8"/>
    </row>
    <row r="190" customFormat="false" ht="15.75" hidden="false" customHeight="true" outlineLevel="0" collapsed="false">
      <c r="A190" s="30" t="n">
        <v>46303</v>
      </c>
      <c r="B190" s="31" t="s">
        <v>267</v>
      </c>
      <c r="C190" s="31" t="str">
        <f aca="false" t="array" ref="C190:C190">IF(B190="","",IFERROR(INDEX('CLM &amp; IM Mapping'!$B$2:$B$270,MATCH(TRIM(B190),'CLM &amp; IM Mapping'!$A$2:$A$270,0)),"Not Mapped"))</f>
        <v>Balaji G</v>
      </c>
      <c r="D190" s="31" t="str">
        <f aca="false" t="array" ref="D190:D190">IF(B190="","",IFERROR(INDEX('CLM &amp; IM Mapping'!$C$2:$C$270,MATCH(TRIM(B190),'CLM &amp; IM Mapping'!$A$2:$A$270,0)),"Not Mapped"))</f>
        <v>Mohammed Akbar</v>
      </c>
      <c r="E190" s="31" t="s">
        <v>34</v>
      </c>
      <c r="F190" s="31" t="s">
        <v>562</v>
      </c>
      <c r="G190" s="31" t="s">
        <v>23</v>
      </c>
      <c r="H190" s="17" t="n">
        <v>6774</v>
      </c>
      <c r="I190" s="32" t="n">
        <v>0.7</v>
      </c>
      <c r="J190" s="33" t="n">
        <v>0.76</v>
      </c>
      <c r="K190" s="33" t="n">
        <v>0.95</v>
      </c>
      <c r="L190" s="33" t="n">
        <v>0.97</v>
      </c>
      <c r="M190" s="31"/>
      <c r="N190" s="11" t="n">
        <v>3</v>
      </c>
      <c r="O190" s="12" t="s">
        <v>647</v>
      </c>
      <c r="P190" s="12" t="s">
        <v>600</v>
      </c>
      <c r="Q190" s="8"/>
      <c r="R190" s="8"/>
      <c r="S190" s="8"/>
      <c r="T190" s="8"/>
      <c r="U190" s="8"/>
      <c r="V190" s="8"/>
      <c r="W190" s="8"/>
      <c r="X190" s="8"/>
      <c r="Y190" s="8"/>
      <c r="Z190" s="8"/>
      <c r="AA190" s="35"/>
      <c r="AB190" s="35"/>
      <c r="AC190" s="35"/>
      <c r="AD190" s="35"/>
      <c r="AE190" s="8"/>
      <c r="AF190" s="8"/>
      <c r="AG190" s="8"/>
      <c r="AH190" s="8"/>
      <c r="AI190" s="8"/>
      <c r="AJ190" s="8"/>
      <c r="AK190" s="8"/>
      <c r="AL190" s="8"/>
      <c r="AM190" s="8"/>
    </row>
    <row r="191" customFormat="false" ht="15.75" hidden="false" customHeight="true" outlineLevel="0" collapsed="false">
      <c r="A191" s="30" t="n">
        <v>46303</v>
      </c>
      <c r="B191" s="31" t="s">
        <v>396</v>
      </c>
      <c r="C191" s="31" t="str">
        <f aca="false" t="array" ref="C191:C191">IF(B191="","",IFERROR(INDEX('CLM &amp; IM Mapping'!$B$2:$B$270,MATCH(TRIM(B191),'CLM &amp; IM Mapping'!$A$2:$A$270,0)),"Not Mapped"))</f>
        <v>Ravishankar gowda</v>
      </c>
      <c r="D191" s="31" t="str">
        <f aca="false" t="array" ref="D191:D191">IF(B191="","",IFERROR(INDEX('CLM &amp; IM Mapping'!$C$2:$C$270,MATCH(TRIM(B191),'CLM &amp; IM Mapping'!$A$2:$A$270,0)),"Not Mapped"))</f>
        <v>Kishor K</v>
      </c>
      <c r="E191" s="31" t="s">
        <v>34</v>
      </c>
      <c r="F191" s="31" t="s">
        <v>562</v>
      </c>
      <c r="G191" s="31" t="s">
        <v>23</v>
      </c>
      <c r="H191" s="17" t="n">
        <v>5893</v>
      </c>
      <c r="I191" s="32" t="n">
        <v>0.7</v>
      </c>
      <c r="J191" s="33" t="n">
        <v>0.77</v>
      </c>
      <c r="K191" s="33" t="n">
        <v>0.88</v>
      </c>
      <c r="L191" s="33" t="n">
        <v>0.97</v>
      </c>
      <c r="M191" s="33" t="n">
        <v>0.88</v>
      </c>
      <c r="N191" s="11" t="n">
        <v>7</v>
      </c>
      <c r="O191" s="12" t="s">
        <v>631</v>
      </c>
      <c r="P191" s="12" t="s">
        <v>623</v>
      </c>
      <c r="Q191" s="8"/>
      <c r="R191" s="8"/>
      <c r="S191" s="8"/>
      <c r="T191" s="8"/>
      <c r="U191" s="8"/>
      <c r="V191" s="8"/>
      <c r="W191" s="8"/>
      <c r="X191" s="8"/>
      <c r="Y191" s="8"/>
      <c r="Z191" s="8"/>
      <c r="AA191" s="35"/>
      <c r="AB191" s="35"/>
      <c r="AC191" s="35"/>
      <c r="AD191" s="35"/>
      <c r="AE191" s="8"/>
      <c r="AF191" s="8"/>
      <c r="AG191" s="8"/>
      <c r="AH191" s="8"/>
      <c r="AI191" s="8"/>
      <c r="AJ191" s="8"/>
      <c r="AK191" s="8"/>
      <c r="AL191" s="8"/>
      <c r="AM191" s="8"/>
    </row>
    <row r="192" customFormat="false" ht="15.75" hidden="false" customHeight="true" outlineLevel="0" collapsed="false">
      <c r="A192" s="30" t="n">
        <v>46303</v>
      </c>
      <c r="B192" s="31" t="s">
        <v>364</v>
      </c>
      <c r="C192" s="31" t="str">
        <f aca="false" t="array" ref="C192:C192">IF(B192="","",IFERROR(INDEX('CLM &amp; IM Mapping'!$B$2:$B$270,MATCH(TRIM(B192),'CLM &amp; IM Mapping'!$A$2:$A$270,0)),"Not Mapped"))</f>
        <v>Raghavendra Vernekar</v>
      </c>
      <c r="D192" s="31" t="str">
        <f aca="false" t="array" ref="D192:D192">IF(B192="","",IFERROR(INDEX('CLM &amp; IM Mapping'!$C$2:$C$270,MATCH(TRIM(B192),'CLM &amp; IM Mapping'!$A$2:$A$270,0)),"Not Mapped"))</f>
        <v>Prakash BS</v>
      </c>
      <c r="E192" s="31" t="s">
        <v>34</v>
      </c>
      <c r="F192" s="31" t="s">
        <v>565</v>
      </c>
      <c r="G192" s="31" t="s">
        <v>23</v>
      </c>
      <c r="H192" s="17" t="n">
        <v>6976</v>
      </c>
      <c r="I192" s="32" t="n">
        <v>0.7</v>
      </c>
      <c r="J192" s="33" t="n">
        <v>0.77</v>
      </c>
      <c r="K192" s="33" t="n">
        <v>0.85</v>
      </c>
      <c r="L192" s="33" t="n">
        <v>0.96</v>
      </c>
      <c r="M192" s="33" t="n">
        <v>0.85</v>
      </c>
      <c r="N192" s="11" t="n">
        <v>7</v>
      </c>
      <c r="O192" s="12" t="s">
        <v>649</v>
      </c>
      <c r="P192" s="37" t="n">
        <v>46366</v>
      </c>
      <c r="Q192" s="8"/>
      <c r="R192" s="8"/>
      <c r="S192" s="8"/>
      <c r="T192" s="8"/>
      <c r="U192" s="8"/>
      <c r="V192" s="8"/>
      <c r="W192" s="8"/>
      <c r="X192" s="8"/>
      <c r="Y192" s="8"/>
      <c r="Z192" s="8"/>
      <c r="AA192" s="35"/>
      <c r="AB192" s="35"/>
      <c r="AC192" s="35"/>
      <c r="AD192" s="35"/>
      <c r="AE192" s="8"/>
      <c r="AF192" s="8"/>
      <c r="AG192" s="8"/>
      <c r="AH192" s="8"/>
      <c r="AI192" s="8"/>
      <c r="AJ192" s="8"/>
      <c r="AK192" s="8"/>
      <c r="AL192" s="8"/>
      <c r="AM192" s="8"/>
    </row>
    <row r="193" customFormat="false" ht="15.75" hidden="false" customHeight="true" outlineLevel="0" collapsed="false">
      <c r="A193" s="30" t="n">
        <v>46303</v>
      </c>
      <c r="B193" s="31" t="s">
        <v>83</v>
      </c>
      <c r="C193" s="31" t="str">
        <f aca="false" t="array" ref="C193:C193">IF(B193="","",IFERROR(INDEX('CLM &amp; IM Mapping'!$B$2:$B$270,MATCH(TRIM(B193),'CLM &amp; IM Mapping'!$A$2:$A$270,0)),"Not Mapped"))</f>
        <v>Keshav G</v>
      </c>
      <c r="D193" s="31" t="str">
        <f aca="false" t="array" ref="D193:D193">IF(B193="","",IFERROR(INDEX('CLM &amp; IM Mapping'!$C$2:$C$270,MATCH(TRIM(B193),'CLM &amp; IM Mapping'!$A$2:$A$270,0)),"Not Mapped"))</f>
        <v>Mohammed Akbar</v>
      </c>
      <c r="E193" s="31" t="s">
        <v>34</v>
      </c>
      <c r="F193" s="31" t="s">
        <v>565</v>
      </c>
      <c r="G193" s="31" t="s">
        <v>23</v>
      </c>
      <c r="H193" s="17" t="n">
        <v>12192</v>
      </c>
      <c r="I193" s="32" t="n">
        <v>0.7</v>
      </c>
      <c r="J193" s="33" t="n">
        <v>0.77</v>
      </c>
      <c r="K193" s="33" t="n">
        <v>0.89</v>
      </c>
      <c r="L193" s="33" t="n">
        <v>0.96</v>
      </c>
      <c r="M193" s="33" t="n">
        <v>0.89</v>
      </c>
      <c r="N193" s="11" t="n">
        <v>8</v>
      </c>
      <c r="O193" s="19"/>
      <c r="P193" s="11"/>
      <c r="Q193" s="8"/>
      <c r="R193" s="8"/>
      <c r="S193" s="8"/>
      <c r="T193" s="8"/>
      <c r="U193" s="8"/>
      <c r="V193" s="8"/>
      <c r="W193" s="8"/>
      <c r="X193" s="8"/>
      <c r="Y193" s="8"/>
      <c r="Z193" s="8"/>
      <c r="AA193" s="35"/>
      <c r="AB193" s="35"/>
      <c r="AC193" s="35"/>
      <c r="AD193" s="35"/>
      <c r="AE193" s="8"/>
      <c r="AF193" s="8"/>
      <c r="AG193" s="8"/>
      <c r="AH193" s="8"/>
      <c r="AI193" s="8"/>
      <c r="AJ193" s="8"/>
      <c r="AK193" s="8"/>
      <c r="AL193" s="8"/>
      <c r="AM193" s="8"/>
    </row>
    <row r="194" customFormat="false" ht="15.75" hidden="false" customHeight="true" outlineLevel="0" collapsed="false">
      <c r="A194" s="30" t="n">
        <v>46303</v>
      </c>
      <c r="B194" s="31" t="s">
        <v>466</v>
      </c>
      <c r="C194" s="31" t="str">
        <f aca="false" t="array" ref="C194:C194">IF(B194="","",IFERROR(INDEX('CLM &amp; IM Mapping'!$B$2:$B$270,MATCH(TRIM(B194),'CLM &amp; IM Mapping'!$A$2:$A$270,0)),"Not Mapped"))</f>
        <v>Vishnu V</v>
      </c>
      <c r="D194" s="31" t="str">
        <f aca="false" t="array" ref="D194:D194">IF(B194="","",IFERROR(INDEX('CLM &amp; IM Mapping'!$C$2:$C$270,MATCH(TRIM(B194),'CLM &amp; IM Mapping'!$A$2:$A$270,0)),"Not Mapped"))</f>
        <v>Arivind S</v>
      </c>
      <c r="E194" s="31" t="s">
        <v>34</v>
      </c>
      <c r="F194" s="31" t="s">
        <v>562</v>
      </c>
      <c r="G194" s="31" t="s">
        <v>221</v>
      </c>
      <c r="H194" s="17" t="n">
        <v>5902</v>
      </c>
      <c r="I194" s="32" t="n">
        <v>0.7</v>
      </c>
      <c r="J194" s="33" t="n">
        <v>0.77</v>
      </c>
      <c r="K194" s="33" t="n">
        <v>0.93</v>
      </c>
      <c r="L194" s="33" t="n">
        <v>0.98</v>
      </c>
      <c r="M194" s="33" t="n">
        <v>0.93</v>
      </c>
      <c r="N194" s="11" t="n">
        <v>3</v>
      </c>
      <c r="O194" s="19"/>
      <c r="P194" s="11"/>
      <c r="Q194" s="8"/>
      <c r="R194" s="8"/>
      <c r="S194" s="8"/>
      <c r="T194" s="8"/>
      <c r="U194" s="8"/>
      <c r="V194" s="8"/>
      <c r="W194" s="8"/>
      <c r="X194" s="8"/>
      <c r="Y194" s="8"/>
      <c r="Z194" s="8"/>
      <c r="AA194" s="35"/>
      <c r="AB194" s="35"/>
      <c r="AC194" s="35"/>
      <c r="AD194" s="35"/>
      <c r="AE194" s="8"/>
      <c r="AF194" s="8"/>
      <c r="AG194" s="8"/>
      <c r="AH194" s="8"/>
      <c r="AI194" s="8"/>
      <c r="AJ194" s="8"/>
      <c r="AK194" s="8"/>
      <c r="AL194" s="8"/>
      <c r="AM194" s="8"/>
    </row>
    <row r="195" customFormat="false" ht="15.75" hidden="false" customHeight="true" outlineLevel="0" collapsed="false">
      <c r="A195" s="30" t="n">
        <v>46303</v>
      </c>
      <c r="B195" s="31" t="s">
        <v>431</v>
      </c>
      <c r="C195" s="31" t="str">
        <f aca="false" t="array" ref="C195:C195">IF(B195="","",IFERROR(INDEX('CLM &amp; IM Mapping'!$B$2:$B$270,MATCH(TRIM(B195),'CLM &amp; IM Mapping'!$A$2:$A$270,0)),"Not Mapped"))</f>
        <v>Vishnu V</v>
      </c>
      <c r="D195" s="31" t="str">
        <f aca="false" t="array" ref="D195:D195">IF(B195="","",IFERROR(INDEX('CLM &amp; IM Mapping'!$C$2:$C$270,MATCH(TRIM(B195),'CLM &amp; IM Mapping'!$A$2:$A$270,0)),"Not Mapped"))</f>
        <v>Arivind S</v>
      </c>
      <c r="E195" s="31" t="s">
        <v>34</v>
      </c>
      <c r="F195" s="31" t="s">
        <v>562</v>
      </c>
      <c r="G195" s="31" t="s">
        <v>221</v>
      </c>
      <c r="H195" s="17" t="n">
        <v>5215</v>
      </c>
      <c r="I195" s="32" t="n">
        <v>0.7</v>
      </c>
      <c r="J195" s="33" t="n">
        <v>0.77</v>
      </c>
      <c r="K195" s="33" t="n">
        <v>0.91</v>
      </c>
      <c r="L195" s="33" t="n">
        <v>0.97</v>
      </c>
      <c r="M195" s="33" t="n">
        <v>0.91</v>
      </c>
      <c r="N195" s="11" t="n">
        <v>3</v>
      </c>
      <c r="O195" s="19"/>
      <c r="P195" s="11"/>
      <c r="Q195" s="8"/>
      <c r="R195" s="8"/>
      <c r="S195" s="8"/>
      <c r="T195" s="8"/>
      <c r="U195" s="8"/>
      <c r="V195" s="8"/>
      <c r="W195" s="8"/>
      <c r="X195" s="8"/>
      <c r="Y195" s="8"/>
      <c r="Z195" s="8"/>
      <c r="AA195" s="35"/>
      <c r="AB195" s="35"/>
      <c r="AC195" s="35"/>
      <c r="AD195" s="35"/>
      <c r="AE195" s="8"/>
      <c r="AF195" s="8"/>
      <c r="AG195" s="8"/>
      <c r="AH195" s="8"/>
      <c r="AI195" s="8"/>
      <c r="AJ195" s="8"/>
      <c r="AK195" s="8"/>
      <c r="AL195" s="8"/>
      <c r="AM195" s="8"/>
    </row>
    <row r="196" customFormat="false" ht="15.75" hidden="false" customHeight="true" outlineLevel="0" collapsed="false">
      <c r="A196" s="30" t="n">
        <v>46303</v>
      </c>
      <c r="B196" s="31" t="s">
        <v>70</v>
      </c>
      <c r="C196" s="31" t="str">
        <f aca="false" t="array" ref="C196:C196">IF(B196="","",IFERROR(INDEX('CLM &amp; IM Mapping'!$B$2:$B$270,MATCH(TRIM(B196),'CLM &amp; IM Mapping'!$A$2:$A$270,0)),"Not Mapped"))</f>
        <v>Rizwan Ahmed</v>
      </c>
      <c r="D196" s="31" t="str">
        <f aca="false" t="array" ref="D196:D196">IF(B196="","",IFERROR(INDEX('CLM &amp; IM Mapping'!$C$2:$C$270,MATCH(TRIM(B196),'CLM &amp; IM Mapping'!$A$2:$A$270,0)),"Not Mapped"))</f>
        <v>Un Mapped</v>
      </c>
      <c r="E196" s="31" t="s">
        <v>34</v>
      </c>
      <c r="F196" s="31" t="s">
        <v>562</v>
      </c>
      <c r="G196" s="31" t="s">
        <v>23</v>
      </c>
      <c r="H196" s="17" t="n">
        <v>7186</v>
      </c>
      <c r="I196" s="32" t="n">
        <v>0.7</v>
      </c>
      <c r="J196" s="33" t="n">
        <v>0.78</v>
      </c>
      <c r="K196" s="33" t="n">
        <v>0.86</v>
      </c>
      <c r="L196" s="33" t="n">
        <v>0.94</v>
      </c>
      <c r="M196" s="33" t="n">
        <v>0.86</v>
      </c>
      <c r="N196" s="11" t="n">
        <v>3</v>
      </c>
      <c r="O196" s="19"/>
      <c r="P196" s="11"/>
      <c r="Q196" s="8"/>
      <c r="R196" s="8"/>
      <c r="S196" s="8"/>
      <c r="T196" s="8"/>
      <c r="U196" s="8"/>
      <c r="V196" s="8"/>
      <c r="W196" s="8"/>
      <c r="X196" s="8"/>
      <c r="Y196" s="8"/>
      <c r="Z196" s="8"/>
      <c r="AA196" s="35"/>
      <c r="AB196" s="35"/>
      <c r="AC196" s="35"/>
      <c r="AD196" s="8"/>
      <c r="AE196" s="8"/>
      <c r="AF196" s="8"/>
      <c r="AG196" s="8"/>
      <c r="AH196" s="8"/>
      <c r="AI196" s="8"/>
      <c r="AJ196" s="8"/>
      <c r="AK196" s="8"/>
      <c r="AL196" s="8"/>
      <c r="AM196" s="8"/>
    </row>
    <row r="197" customFormat="false" ht="15.75" hidden="false" customHeight="true" outlineLevel="0" collapsed="false">
      <c r="A197" s="30" t="n">
        <v>46303</v>
      </c>
      <c r="B197" s="31" t="s">
        <v>198</v>
      </c>
      <c r="C197" s="31" t="str">
        <f aca="false" t="array" ref="C197:C197">IF(B197="","",IFERROR(INDEX('CLM &amp; IM Mapping'!$B$2:$B$270,MATCH(TRIM(B197),'CLM &amp; IM Mapping'!$A$2:$A$270,0)),"Not Mapped"))</f>
        <v>Manjunatha V</v>
      </c>
      <c r="D197" s="31" t="str">
        <f aca="false" t="array" ref="D197:D197">IF(B197="","",IFERROR(INDEX('CLM &amp; IM Mapping'!$C$2:$C$270,MATCH(TRIM(B197),'CLM &amp; IM Mapping'!$A$2:$A$270,0)),"Not Mapped"))</f>
        <v>Un Mapped</v>
      </c>
      <c r="E197" s="31" t="s">
        <v>34</v>
      </c>
      <c r="F197" s="31" t="s">
        <v>562</v>
      </c>
      <c r="G197" s="31" t="s">
        <v>23</v>
      </c>
      <c r="H197" s="17" t="n">
        <v>6055</v>
      </c>
      <c r="I197" s="32" t="n">
        <v>0.7</v>
      </c>
      <c r="J197" s="33" t="n">
        <v>0.78</v>
      </c>
      <c r="K197" s="33" t="n">
        <v>0.81</v>
      </c>
      <c r="L197" s="33" t="n">
        <v>0.94</v>
      </c>
      <c r="M197" s="33" t="n">
        <v>0.81</v>
      </c>
      <c r="N197" s="11" t="n">
        <v>5</v>
      </c>
      <c r="O197" s="19"/>
      <c r="P197" s="11"/>
      <c r="Q197" s="8"/>
      <c r="R197" s="8"/>
      <c r="S197" s="8"/>
      <c r="T197" s="8"/>
      <c r="U197" s="8"/>
      <c r="V197" s="8"/>
      <c r="W197" s="8"/>
      <c r="X197" s="8"/>
      <c r="Y197" s="8"/>
      <c r="Z197" s="8"/>
      <c r="AA197" s="35"/>
      <c r="AB197" s="35"/>
      <c r="AC197" s="35"/>
      <c r="AD197" s="35"/>
      <c r="AE197" s="8"/>
      <c r="AF197" s="8"/>
      <c r="AG197" s="8"/>
      <c r="AH197" s="8"/>
      <c r="AI197" s="8"/>
      <c r="AJ197" s="8"/>
      <c r="AK197" s="8"/>
      <c r="AL197" s="8"/>
      <c r="AM197" s="8"/>
    </row>
    <row r="198" customFormat="false" ht="15.75" hidden="false" customHeight="true" outlineLevel="0" collapsed="false">
      <c r="A198" s="30" t="n">
        <v>46303</v>
      </c>
      <c r="B198" s="31" t="s">
        <v>435</v>
      </c>
      <c r="C198" s="31" t="str">
        <f aca="false" t="array" ref="C198:C198">IF(B198="","",IFERROR(INDEX('CLM &amp; IM Mapping'!$B$2:$B$270,MATCH(TRIM(B198),'CLM &amp; IM Mapping'!$A$2:$A$270,0)),"Not Mapped"))</f>
        <v>Balaji G</v>
      </c>
      <c r="D198" s="31" t="str">
        <f aca="false" t="array" ref="D198:D198">IF(B198="","",IFERROR(INDEX('CLM &amp; IM Mapping'!$C$2:$C$270,MATCH(TRIM(B198),'CLM &amp; IM Mapping'!$A$2:$A$270,0)),"Not Mapped"))</f>
        <v>Mohammed Akbar</v>
      </c>
      <c r="E198" s="31" t="s">
        <v>34</v>
      </c>
      <c r="F198" s="31" t="s">
        <v>562</v>
      </c>
      <c r="G198" s="31" t="s">
        <v>23</v>
      </c>
      <c r="H198" s="17" t="n">
        <v>5948</v>
      </c>
      <c r="I198" s="32" t="n">
        <v>0.7</v>
      </c>
      <c r="J198" s="33" t="n">
        <v>0.79</v>
      </c>
      <c r="K198" s="33" t="n">
        <v>0.9</v>
      </c>
      <c r="L198" s="33" t="n">
        <v>0.98</v>
      </c>
      <c r="M198" s="31"/>
      <c r="N198" s="11" t="n">
        <v>3</v>
      </c>
      <c r="O198" s="12" t="s">
        <v>647</v>
      </c>
      <c r="P198" s="12" t="s">
        <v>600</v>
      </c>
      <c r="Q198" s="8"/>
      <c r="R198" s="8"/>
      <c r="S198" s="8"/>
      <c r="T198" s="8"/>
      <c r="U198" s="8"/>
      <c r="V198" s="8"/>
      <c r="W198" s="8"/>
      <c r="X198" s="8"/>
      <c r="Y198" s="8"/>
      <c r="Z198" s="8"/>
      <c r="AA198" s="35"/>
      <c r="AB198" s="35"/>
      <c r="AC198" s="35"/>
      <c r="AD198" s="35"/>
      <c r="AE198" s="8"/>
      <c r="AF198" s="8"/>
      <c r="AG198" s="8"/>
      <c r="AH198" s="8"/>
      <c r="AI198" s="8"/>
      <c r="AJ198" s="8"/>
      <c r="AK198" s="8"/>
      <c r="AL198" s="8"/>
      <c r="AM198" s="8"/>
    </row>
    <row r="199" customFormat="false" ht="15.75" hidden="false" customHeight="true" outlineLevel="0" collapsed="false">
      <c r="A199" s="30" t="n">
        <v>46303</v>
      </c>
      <c r="B199" s="31" t="s">
        <v>420</v>
      </c>
      <c r="C199" s="31" t="str">
        <f aca="false" t="array" ref="C199:C199">IF(B199="","",IFERROR(INDEX('CLM &amp; IM Mapping'!$B$2:$B$270,MATCH(TRIM(B199),'CLM &amp; IM Mapping'!$A$2:$A$270,0)),"Not Mapped"))</f>
        <v>Ravishankar gowda</v>
      </c>
      <c r="D199" s="31" t="str">
        <f aca="false" t="array" ref="D199:D199">IF(B199="","",IFERROR(INDEX('CLM &amp; IM Mapping'!$C$2:$C$270,MATCH(TRIM(B199),'CLM &amp; IM Mapping'!$A$2:$A$270,0)),"Not Mapped"))</f>
        <v>Kishor K</v>
      </c>
      <c r="E199" s="31" t="s">
        <v>34</v>
      </c>
      <c r="F199" s="31" t="s">
        <v>565</v>
      </c>
      <c r="G199" s="31" t="s">
        <v>23</v>
      </c>
      <c r="H199" s="17" t="n">
        <v>6145</v>
      </c>
      <c r="I199" s="32" t="n">
        <v>0.7</v>
      </c>
      <c r="J199" s="33" t="n">
        <v>0.79</v>
      </c>
      <c r="K199" s="33" t="n">
        <v>0.97</v>
      </c>
      <c r="L199" s="33" t="n">
        <v>0.98</v>
      </c>
      <c r="M199" s="33" t="n">
        <v>0.97</v>
      </c>
      <c r="N199" s="11" t="n">
        <v>3</v>
      </c>
      <c r="O199" s="12" t="s">
        <v>631</v>
      </c>
      <c r="P199" s="12" t="s">
        <v>623</v>
      </c>
      <c r="Q199" s="8"/>
      <c r="R199" s="8"/>
      <c r="S199" s="8"/>
      <c r="T199" s="8"/>
      <c r="U199" s="8"/>
      <c r="V199" s="8"/>
      <c r="W199" s="8"/>
      <c r="X199" s="8"/>
      <c r="Y199" s="8"/>
      <c r="Z199" s="8"/>
      <c r="AA199" s="35"/>
      <c r="AB199" s="35"/>
      <c r="AC199" s="35"/>
      <c r="AD199" s="35"/>
      <c r="AE199" s="8"/>
      <c r="AF199" s="8"/>
      <c r="AG199" s="8"/>
      <c r="AH199" s="8"/>
      <c r="AI199" s="8"/>
      <c r="AJ199" s="8"/>
      <c r="AK199" s="8"/>
      <c r="AL199" s="8"/>
      <c r="AM199" s="8"/>
    </row>
    <row r="200" customFormat="false" ht="15.75" hidden="false" customHeight="true" outlineLevel="0" collapsed="false">
      <c r="A200" s="30" t="n">
        <v>46303</v>
      </c>
      <c r="B200" s="31" t="s">
        <v>520</v>
      </c>
      <c r="C200" s="31" t="str">
        <f aca="false" t="array" ref="C200:C200">IF(B200="","",IFERROR(INDEX('CLM &amp; IM Mapping'!$B$2:$B$270,MATCH(TRIM(B200),'CLM &amp; IM Mapping'!$A$2:$A$270,0)),"Not Mapped"))</f>
        <v>John Britto</v>
      </c>
      <c r="D200" s="31" t="str">
        <f aca="false" t="array" ref="D200:D200">IF(B200="","",IFERROR(INDEX('CLM &amp; IM Mapping'!$C$2:$C$270,MATCH(TRIM(B200),'CLM &amp; IM Mapping'!$A$2:$A$270,0)),"Not Mapped"))</f>
        <v>Aravind S</v>
      </c>
      <c r="E200" s="31" t="s">
        <v>34</v>
      </c>
      <c r="F200" s="31" t="s">
        <v>562</v>
      </c>
      <c r="G200" s="31" t="s">
        <v>303</v>
      </c>
      <c r="H200" s="17" t="n">
        <v>5602</v>
      </c>
      <c r="I200" s="32" t="n">
        <v>0.7</v>
      </c>
      <c r="J200" s="33" t="n">
        <v>0.79</v>
      </c>
      <c r="K200" s="33" t="n">
        <v>0.89</v>
      </c>
      <c r="L200" s="33" t="n">
        <v>0.98</v>
      </c>
      <c r="M200" s="33" t="n">
        <v>0.89</v>
      </c>
      <c r="N200" s="11" t="n">
        <v>3</v>
      </c>
      <c r="O200" s="19"/>
      <c r="P200" s="11"/>
      <c r="Q200" s="8"/>
      <c r="R200" s="8"/>
      <c r="S200" s="8"/>
      <c r="T200" s="8"/>
      <c r="U200" s="8"/>
      <c r="V200" s="8"/>
      <c r="W200" s="8"/>
      <c r="X200" s="8"/>
      <c r="Y200" s="8"/>
      <c r="Z200" s="8"/>
      <c r="AA200" s="35"/>
      <c r="AB200" s="35"/>
      <c r="AC200" s="35"/>
      <c r="AD200" s="35"/>
      <c r="AE200" s="8"/>
      <c r="AF200" s="8"/>
      <c r="AG200" s="8"/>
      <c r="AH200" s="8"/>
      <c r="AI200" s="8"/>
      <c r="AJ200" s="8"/>
      <c r="AK200" s="8"/>
      <c r="AL200" s="8"/>
      <c r="AM200" s="8"/>
    </row>
    <row r="201" customFormat="false" ht="15.75" hidden="false" customHeight="true" outlineLevel="0" collapsed="false">
      <c r="A201" s="30" t="n">
        <v>46303</v>
      </c>
      <c r="B201" s="31" t="s">
        <v>208</v>
      </c>
      <c r="C201" s="31" t="str">
        <f aca="false" t="array" ref="C201:C201">IF(B201="","",IFERROR(INDEX('CLM &amp; IM Mapping'!$B$2:$B$270,MATCH(TRIM(B201),'CLM &amp; IM Mapping'!$A$2:$A$270,0)),"Not Mapped"))</f>
        <v>Silambarasan E</v>
      </c>
      <c r="D201" s="31" t="str">
        <f aca="false" t="array" ref="D201:D201">IF(B201="","",IFERROR(INDEX('CLM &amp; IM Mapping'!$C$2:$C$270,MATCH(TRIM(B201),'CLM &amp; IM Mapping'!$A$2:$A$270,0)),"Not Mapped"))</f>
        <v>Arivind S</v>
      </c>
      <c r="E201" s="31" t="s">
        <v>34</v>
      </c>
      <c r="F201" s="31" t="s">
        <v>562</v>
      </c>
      <c r="G201" s="31" t="s">
        <v>23</v>
      </c>
      <c r="H201" s="17" t="n">
        <v>5057</v>
      </c>
      <c r="I201" s="32" t="n">
        <v>0.7</v>
      </c>
      <c r="J201" s="33" t="n">
        <v>0.8</v>
      </c>
      <c r="K201" s="33" t="n">
        <v>0.86</v>
      </c>
      <c r="L201" s="33" t="n">
        <v>0.95</v>
      </c>
      <c r="M201" s="33" t="n">
        <v>0.86</v>
      </c>
      <c r="N201" s="11" t="n">
        <v>4</v>
      </c>
      <c r="O201" s="19"/>
      <c r="P201" s="11"/>
      <c r="Q201" s="8"/>
      <c r="R201" s="8"/>
      <c r="S201" s="8"/>
      <c r="T201" s="8"/>
      <c r="U201" s="8"/>
      <c r="V201" s="8"/>
      <c r="W201" s="8"/>
      <c r="X201" s="8"/>
      <c r="Y201" s="8"/>
      <c r="Z201" s="8"/>
      <c r="AA201" s="35"/>
      <c r="AB201" s="35"/>
      <c r="AC201" s="35"/>
      <c r="AD201" s="35"/>
      <c r="AE201" s="8"/>
      <c r="AF201" s="8"/>
      <c r="AG201" s="8"/>
      <c r="AH201" s="8"/>
      <c r="AI201" s="8"/>
      <c r="AJ201" s="8"/>
      <c r="AK201" s="8"/>
      <c r="AL201" s="8"/>
      <c r="AM201" s="8"/>
    </row>
    <row r="202" customFormat="false" ht="15.75" hidden="false" customHeight="true" outlineLevel="0" collapsed="false">
      <c r="A202" s="30" t="n">
        <v>46303</v>
      </c>
      <c r="B202" s="31" t="s">
        <v>475</v>
      </c>
      <c r="C202" s="31" t="str">
        <f aca="false" t="array" ref="C202:C202">IF(B202="","",IFERROR(INDEX('CLM &amp; IM Mapping'!$B$2:$B$270,MATCH(TRIM(B202),'CLM &amp; IM Mapping'!$A$2:$A$270,0)),"Not Mapped"))</f>
        <v>John Britto</v>
      </c>
      <c r="D202" s="31" t="str">
        <f aca="false" t="array" ref="D202:D202">IF(B202="","",IFERROR(INDEX('CLM &amp; IM Mapping'!$C$2:$C$270,MATCH(TRIM(B202),'CLM &amp; IM Mapping'!$A$2:$A$270,0)),"Not Mapped"))</f>
        <v>Aravind S</v>
      </c>
      <c r="E202" s="31" t="s">
        <v>34</v>
      </c>
      <c r="F202" s="31" t="s">
        <v>562</v>
      </c>
      <c r="G202" s="31" t="s">
        <v>303</v>
      </c>
      <c r="H202" s="17" t="n">
        <v>5043</v>
      </c>
      <c r="I202" s="32" t="n">
        <v>0.7</v>
      </c>
      <c r="J202" s="33" t="n">
        <v>0.8</v>
      </c>
      <c r="K202" s="33" t="n">
        <v>0.84</v>
      </c>
      <c r="L202" s="33" t="n">
        <v>0.96</v>
      </c>
      <c r="M202" s="33" t="n">
        <v>0.84</v>
      </c>
      <c r="N202" s="11" t="n">
        <v>2</v>
      </c>
      <c r="O202" s="19"/>
      <c r="P202" s="11"/>
      <c r="Q202" s="8"/>
      <c r="R202" s="8"/>
      <c r="S202" s="8"/>
      <c r="T202" s="8"/>
      <c r="U202" s="8"/>
      <c r="V202" s="8"/>
      <c r="W202" s="8"/>
      <c r="X202" s="8"/>
      <c r="Y202" s="8"/>
      <c r="Z202" s="8"/>
      <c r="AA202" s="35"/>
      <c r="AB202" s="35"/>
      <c r="AC202" s="35"/>
      <c r="AD202" s="35"/>
      <c r="AE202" s="8"/>
      <c r="AF202" s="8"/>
      <c r="AG202" s="8"/>
      <c r="AH202" s="8"/>
      <c r="AI202" s="8"/>
      <c r="AJ202" s="8"/>
      <c r="AK202" s="8"/>
      <c r="AL202" s="8"/>
      <c r="AM202" s="8"/>
    </row>
    <row r="203" customFormat="false" ht="15.75" hidden="false" customHeight="true" outlineLevel="0" collapsed="false">
      <c r="A203" s="30" t="n">
        <v>46303</v>
      </c>
      <c r="B203" s="31" t="s">
        <v>320</v>
      </c>
      <c r="C203" s="31" t="str">
        <f aca="false" t="array" ref="C203:C203">IF(B203="","",IFERROR(INDEX('CLM &amp; IM Mapping'!$B$2:$B$270,MATCH(TRIM(B203),'CLM &amp; IM Mapping'!$A$2:$A$270,0)),"Not Mapped"))</f>
        <v>Ashwath S</v>
      </c>
      <c r="D203" s="31" t="str">
        <f aca="false" t="array" ref="D203:D203">IF(B203="","",IFERROR(INDEX('CLM &amp; IM Mapping'!$C$2:$C$270,MATCH(TRIM(B203),'CLM &amp; IM Mapping'!$A$2:$A$270,0)),"Not Mapped"))</f>
        <v>Kantha Kumar</v>
      </c>
      <c r="E203" s="31" t="s">
        <v>34</v>
      </c>
      <c r="F203" s="31" t="s">
        <v>562</v>
      </c>
      <c r="G203" s="31" t="s">
        <v>23</v>
      </c>
      <c r="H203" s="17" t="n">
        <v>7207</v>
      </c>
      <c r="I203" s="32" t="n">
        <v>0.7</v>
      </c>
      <c r="J203" s="33" t="n">
        <v>0.82</v>
      </c>
      <c r="K203" s="33" t="n">
        <v>0.95</v>
      </c>
      <c r="L203" s="33" t="n">
        <v>0.99</v>
      </c>
      <c r="M203" s="33" t="n">
        <v>0.95</v>
      </c>
      <c r="N203" s="11" t="n">
        <v>5</v>
      </c>
      <c r="O203" s="19"/>
      <c r="P203" s="11"/>
      <c r="Q203" s="8"/>
      <c r="R203" s="8"/>
      <c r="S203" s="8"/>
      <c r="T203" s="8"/>
      <c r="U203" s="8"/>
      <c r="V203" s="8"/>
      <c r="W203" s="8"/>
      <c r="X203" s="8"/>
      <c r="Y203" s="8"/>
      <c r="Z203" s="8"/>
      <c r="AA203" s="35"/>
      <c r="AB203" s="35"/>
      <c r="AC203" s="35"/>
      <c r="AD203" s="35"/>
      <c r="AE203" s="8"/>
      <c r="AF203" s="8"/>
      <c r="AG203" s="8"/>
      <c r="AH203" s="8"/>
      <c r="AI203" s="8"/>
      <c r="AJ203" s="8"/>
      <c r="AK203" s="8"/>
      <c r="AL203" s="8"/>
      <c r="AM203" s="8"/>
    </row>
    <row r="204" customFormat="false" ht="15.75" hidden="false" customHeight="true" outlineLevel="0" collapsed="false">
      <c r="A204" s="30" t="n">
        <v>46303</v>
      </c>
      <c r="B204" s="31" t="s">
        <v>120</v>
      </c>
      <c r="C204" s="31" t="str">
        <f aca="false" t="array" ref="C204:C204">IF(B204="","",IFERROR(INDEX('CLM &amp; IM Mapping'!$B$2:$B$270,MATCH(TRIM(B204),'CLM &amp; IM Mapping'!$A$2:$A$270,0)),"Not Mapped"))</f>
        <v>Balaji G</v>
      </c>
      <c r="D204" s="31" t="str">
        <f aca="false" t="array" ref="D204:D204">IF(B204="","",IFERROR(INDEX('CLM &amp; IM Mapping'!$C$2:$C$270,MATCH(TRIM(B204),'CLM &amp; IM Mapping'!$A$2:$A$270,0)),"Not Mapped"))</f>
        <v>Mohammed Akbar</v>
      </c>
      <c r="E204" s="31" t="s">
        <v>34</v>
      </c>
      <c r="F204" s="31" t="s">
        <v>562</v>
      </c>
      <c r="G204" s="31" t="s">
        <v>23</v>
      </c>
      <c r="H204" s="17" t="n">
        <v>6975</v>
      </c>
      <c r="I204" s="32" t="n">
        <v>0.7</v>
      </c>
      <c r="J204" s="33" t="n">
        <v>0.82</v>
      </c>
      <c r="K204" s="33" t="n">
        <v>0.87</v>
      </c>
      <c r="L204" s="33" t="n">
        <v>0.97</v>
      </c>
      <c r="M204" s="33" t="n">
        <v>0.87</v>
      </c>
      <c r="N204" s="11" t="n">
        <v>10</v>
      </c>
      <c r="O204" s="12" t="s">
        <v>647</v>
      </c>
      <c r="P204" s="12" t="s">
        <v>600</v>
      </c>
      <c r="Q204" s="8"/>
      <c r="R204" s="8"/>
      <c r="S204" s="8"/>
      <c r="T204" s="8"/>
      <c r="U204" s="8"/>
      <c r="V204" s="8"/>
      <c r="W204" s="8"/>
      <c r="X204" s="8"/>
      <c r="Y204" s="8"/>
      <c r="Z204" s="8"/>
      <c r="AA204" s="35"/>
      <c r="AB204" s="35"/>
      <c r="AC204" s="35"/>
      <c r="AD204" s="35"/>
      <c r="AE204" s="8"/>
      <c r="AF204" s="8"/>
      <c r="AG204" s="8"/>
      <c r="AH204" s="8"/>
      <c r="AI204" s="8"/>
      <c r="AJ204" s="8"/>
      <c r="AK204" s="8"/>
      <c r="AL204" s="8"/>
      <c r="AM204" s="8"/>
    </row>
    <row r="205" customFormat="false" ht="15.75" hidden="false" customHeight="true" outlineLevel="0" collapsed="false">
      <c r="A205" s="30" t="n">
        <v>46303</v>
      </c>
      <c r="B205" s="31" t="s">
        <v>287</v>
      </c>
      <c r="C205" s="31" t="str">
        <f aca="false" t="array" ref="C205:C205">IF(B205="","",IFERROR(INDEX('CLM &amp; IM Mapping'!$B$2:$B$270,MATCH(TRIM(B205),'CLM &amp; IM Mapping'!$A$2:$A$270,0)),"Not Mapped"))</f>
        <v>Sundaresh S</v>
      </c>
      <c r="D205" s="31" t="str">
        <f aca="false" t="array" ref="D205:D205">IF(B205="","",IFERROR(INDEX('CLM &amp; IM Mapping'!$C$2:$C$270,MATCH(TRIM(B205),'CLM &amp; IM Mapping'!$A$2:$A$270,0)),"Not Mapped"))</f>
        <v>Un Mapped</v>
      </c>
      <c r="E205" s="31" t="s">
        <v>34</v>
      </c>
      <c r="F205" s="31" t="s">
        <v>565</v>
      </c>
      <c r="G205" s="31" t="s">
        <v>23</v>
      </c>
      <c r="H205" s="17" t="n">
        <v>6302</v>
      </c>
      <c r="I205" s="32" t="n">
        <v>0.7</v>
      </c>
      <c r="J205" s="33" t="n">
        <v>0.82</v>
      </c>
      <c r="K205" s="33" t="n">
        <v>0.92</v>
      </c>
      <c r="L205" s="33" t="n">
        <v>0.98</v>
      </c>
      <c r="M205" s="33" t="n">
        <v>0.92</v>
      </c>
      <c r="N205" s="11" t="n">
        <v>4</v>
      </c>
      <c r="O205" s="19"/>
      <c r="P205" s="11"/>
      <c r="Q205" s="8"/>
      <c r="R205" s="8"/>
      <c r="S205" s="8"/>
      <c r="T205" s="8"/>
      <c r="U205" s="8"/>
      <c r="V205" s="8"/>
      <c r="W205" s="8"/>
      <c r="X205" s="8"/>
      <c r="Y205" s="8"/>
      <c r="Z205" s="8"/>
      <c r="AA205" s="35"/>
      <c r="AB205" s="35"/>
      <c r="AC205" s="35"/>
      <c r="AD205" s="35"/>
      <c r="AE205" s="8"/>
      <c r="AF205" s="8"/>
      <c r="AG205" s="8"/>
      <c r="AH205" s="8"/>
      <c r="AI205" s="8"/>
      <c r="AJ205" s="8"/>
      <c r="AK205" s="8"/>
      <c r="AL205" s="8"/>
      <c r="AM205" s="8"/>
    </row>
    <row r="206" customFormat="false" ht="15.75" hidden="false" customHeight="true" outlineLevel="0" collapsed="false">
      <c r="A206" s="30" t="n">
        <v>46303</v>
      </c>
      <c r="B206" s="31" t="s">
        <v>415</v>
      </c>
      <c r="C206" s="31" t="str">
        <f aca="false" t="array" ref="C206:C206">IF(B206="","",IFERROR(INDEX('CLM &amp; IM Mapping'!$B$2:$B$270,MATCH(TRIM(B206),'CLM &amp; IM Mapping'!$A$2:$A$270,0)),"Not Mapped"))</f>
        <v>Vishnu V</v>
      </c>
      <c r="D206" s="31" t="str">
        <f aca="false" t="array" ref="D206:D206">IF(B206="","",IFERROR(INDEX('CLM &amp; IM Mapping'!$C$2:$C$270,MATCH(TRIM(B206),'CLM &amp; IM Mapping'!$A$2:$A$270,0)),"Not Mapped"))</f>
        <v>Arivind S</v>
      </c>
      <c r="E206" s="31" t="s">
        <v>34</v>
      </c>
      <c r="F206" s="31" t="s">
        <v>562</v>
      </c>
      <c r="G206" s="31" t="s">
        <v>221</v>
      </c>
      <c r="H206" s="17" t="n">
        <v>5534</v>
      </c>
      <c r="I206" s="32" t="n">
        <v>0.7</v>
      </c>
      <c r="J206" s="33" t="n">
        <v>0.82</v>
      </c>
      <c r="K206" s="33" t="n">
        <v>0.89</v>
      </c>
      <c r="L206" s="33" t="n">
        <v>0.97</v>
      </c>
      <c r="M206" s="33" t="n">
        <v>0.89</v>
      </c>
      <c r="N206" s="11" t="n">
        <v>2</v>
      </c>
      <c r="O206" s="19"/>
      <c r="P206" s="11"/>
      <c r="Q206" s="8"/>
      <c r="R206" s="8"/>
      <c r="S206" s="8"/>
      <c r="T206" s="8"/>
      <c r="U206" s="8"/>
      <c r="V206" s="8"/>
      <c r="W206" s="8"/>
      <c r="X206" s="8"/>
      <c r="Y206" s="8"/>
      <c r="Z206" s="8"/>
      <c r="AA206" s="35"/>
      <c r="AB206" s="35"/>
      <c r="AC206" s="35"/>
      <c r="AD206" s="35"/>
      <c r="AE206" s="8"/>
      <c r="AF206" s="8"/>
      <c r="AG206" s="8"/>
      <c r="AH206" s="8"/>
      <c r="AI206" s="8"/>
      <c r="AJ206" s="8"/>
      <c r="AK206" s="8"/>
      <c r="AL206" s="8"/>
      <c r="AM206" s="8"/>
    </row>
    <row r="207" customFormat="false" ht="15.75" hidden="false" customHeight="true" outlineLevel="0" collapsed="false">
      <c r="A207" s="30" t="n">
        <v>46303</v>
      </c>
      <c r="B207" s="31" t="s">
        <v>516</v>
      </c>
      <c r="C207" s="31" t="str">
        <f aca="false" t="array" ref="C207:C207">IF(B207="","",IFERROR(INDEX('CLM &amp; IM Mapping'!$B$2:$B$270,MATCH(TRIM(B207),'CLM &amp; IM Mapping'!$A$2:$A$270,0)),"Not Mapped"))</f>
        <v>Sundaresh S</v>
      </c>
      <c r="D207" s="31" t="str">
        <f aca="false" t="array" ref="D207:D207">IF(B207="","",IFERROR(INDEX('CLM &amp; IM Mapping'!$C$2:$C$270,MATCH(TRIM(B207),'CLM &amp; IM Mapping'!$A$2:$A$270,0)),"Not Mapped"))</f>
        <v>Un Mapped</v>
      </c>
      <c r="E207" s="31" t="s">
        <v>34</v>
      </c>
      <c r="F207" s="31" t="s">
        <v>562</v>
      </c>
      <c r="G207" s="31" t="s">
        <v>23</v>
      </c>
      <c r="H207" s="17" t="n">
        <v>7335</v>
      </c>
      <c r="I207" s="32" t="n">
        <v>0.7</v>
      </c>
      <c r="J207" s="33" t="n">
        <v>0.83</v>
      </c>
      <c r="K207" s="33" t="n">
        <v>0.94</v>
      </c>
      <c r="L207" s="33" t="n">
        <v>0.97</v>
      </c>
      <c r="M207" s="31"/>
      <c r="N207" s="11" t="n">
        <v>2</v>
      </c>
      <c r="O207" s="19"/>
      <c r="P207" s="11"/>
      <c r="Q207" s="8"/>
      <c r="R207" s="8"/>
      <c r="S207" s="8"/>
      <c r="T207" s="8"/>
      <c r="U207" s="8"/>
      <c r="V207" s="8"/>
      <c r="W207" s="8"/>
      <c r="X207" s="8"/>
      <c r="Y207" s="8"/>
      <c r="Z207" s="8"/>
      <c r="AA207" s="35"/>
      <c r="AB207" s="35"/>
      <c r="AC207" s="35"/>
      <c r="AD207" s="8"/>
      <c r="AE207" s="8"/>
      <c r="AF207" s="8"/>
      <c r="AG207" s="8"/>
      <c r="AH207" s="8"/>
      <c r="AI207" s="8"/>
      <c r="AJ207" s="8"/>
      <c r="AK207" s="8"/>
      <c r="AL207" s="8"/>
      <c r="AM207" s="8"/>
    </row>
    <row r="208" customFormat="false" ht="15.75" hidden="false" customHeight="true" outlineLevel="0" collapsed="false">
      <c r="A208" s="30" t="n">
        <v>46303</v>
      </c>
      <c r="B208" s="31" t="s">
        <v>508</v>
      </c>
      <c r="C208" s="31" t="str">
        <f aca="false" t="array" ref="C208:C208">IF(B208="","",IFERROR(INDEX('CLM &amp; IM Mapping'!$B$2:$B$270,MATCH(TRIM(B208),'CLM &amp; IM Mapping'!$A$2:$A$270,0)),"Not Mapped"))</f>
        <v>Ravishankar gowda</v>
      </c>
      <c r="D208" s="31" t="str">
        <f aca="false" t="array" ref="D208:D208">IF(B208="","",IFERROR(INDEX('CLM &amp; IM Mapping'!$C$2:$C$270,MATCH(TRIM(B208),'CLM &amp; IM Mapping'!$A$2:$A$270,0)),"Not Mapped"))</f>
        <v>Kishor K</v>
      </c>
      <c r="E208" s="31" t="s">
        <v>34</v>
      </c>
      <c r="F208" s="31" t="s">
        <v>562</v>
      </c>
      <c r="G208" s="31" t="s">
        <v>23</v>
      </c>
      <c r="H208" s="17" t="n">
        <v>6734</v>
      </c>
      <c r="I208" s="32" t="n">
        <v>0.7</v>
      </c>
      <c r="J208" s="33" t="n">
        <v>0.83</v>
      </c>
      <c r="K208" s="33" t="n">
        <v>0.97</v>
      </c>
      <c r="L208" s="33" t="n">
        <v>0.99</v>
      </c>
      <c r="M208" s="33" t="n">
        <v>0.97</v>
      </c>
      <c r="N208" s="11" t="n">
        <v>4</v>
      </c>
      <c r="O208" s="12" t="s">
        <v>631</v>
      </c>
      <c r="P208" s="12" t="s">
        <v>623</v>
      </c>
      <c r="Q208" s="8"/>
      <c r="R208" s="8"/>
      <c r="S208" s="8"/>
      <c r="T208" s="8"/>
      <c r="U208" s="8"/>
      <c r="V208" s="8"/>
      <c r="W208" s="8"/>
      <c r="X208" s="8"/>
      <c r="Y208" s="8"/>
      <c r="Z208" s="8"/>
      <c r="AA208" s="35"/>
      <c r="AB208" s="35"/>
      <c r="AC208" s="35"/>
      <c r="AD208" s="35"/>
      <c r="AE208" s="8"/>
      <c r="AF208" s="8"/>
      <c r="AG208" s="8"/>
      <c r="AH208" s="8"/>
      <c r="AI208" s="8"/>
      <c r="AJ208" s="8"/>
      <c r="AK208" s="8"/>
      <c r="AL208" s="8"/>
      <c r="AM208" s="8"/>
    </row>
    <row r="209" customFormat="false" ht="15.75" hidden="false" customHeight="true" outlineLevel="0" collapsed="false">
      <c r="A209" s="30" t="n">
        <v>46303</v>
      </c>
      <c r="B209" s="31" t="s">
        <v>410</v>
      </c>
      <c r="C209" s="31" t="str">
        <f aca="false" t="array" ref="C209:C209">IF(B209="","",IFERROR(INDEX('CLM &amp; IM Mapping'!$B$2:$B$270,MATCH(TRIM(B209),'CLM &amp; IM Mapping'!$A$2:$A$270,0)),"Not Mapped"))</f>
        <v>Akshay P</v>
      </c>
      <c r="D209" s="31" t="str">
        <f aca="false" t="array" ref="D209:D209">IF(B209="","",IFERROR(INDEX('CLM &amp; IM Mapping'!$C$2:$C$270,MATCH(TRIM(B209),'CLM &amp; IM Mapping'!$A$2:$A$270,0)),"Not Mapped"))</f>
        <v>Srittam Dhal</v>
      </c>
      <c r="E209" s="31" t="s">
        <v>34</v>
      </c>
      <c r="F209" s="31" t="s">
        <v>565</v>
      </c>
      <c r="G209" s="31" t="s">
        <v>23</v>
      </c>
      <c r="H209" s="17" t="n">
        <v>5754</v>
      </c>
      <c r="I209" s="32" t="n">
        <v>0.7</v>
      </c>
      <c r="J209" s="33" t="n">
        <v>0.83</v>
      </c>
      <c r="K209" s="33" t="n">
        <v>0.94</v>
      </c>
      <c r="L209" s="33" t="n">
        <v>0.99</v>
      </c>
      <c r="M209" s="33" t="n">
        <v>0.94</v>
      </c>
      <c r="N209" s="11" t="n">
        <v>3</v>
      </c>
      <c r="O209" s="19"/>
      <c r="P209" s="11"/>
      <c r="Q209" s="8"/>
      <c r="R209" s="8"/>
      <c r="S209" s="8"/>
      <c r="T209" s="8"/>
      <c r="U209" s="8"/>
      <c r="V209" s="8"/>
      <c r="W209" s="8"/>
      <c r="X209" s="8"/>
      <c r="Y209" s="8"/>
      <c r="Z209" s="8"/>
      <c r="AA209" s="35"/>
      <c r="AB209" s="35"/>
      <c r="AC209" s="35"/>
      <c r="AD209" s="8"/>
      <c r="AE209" s="8"/>
      <c r="AF209" s="8"/>
      <c r="AG209" s="8"/>
      <c r="AH209" s="8"/>
      <c r="AI209" s="8"/>
      <c r="AJ209" s="8"/>
      <c r="AK209" s="8"/>
      <c r="AL209" s="8"/>
      <c r="AM209" s="8"/>
    </row>
    <row r="210" customFormat="false" ht="15.75" hidden="false" customHeight="true" outlineLevel="0" collapsed="false">
      <c r="A210" s="30" t="n">
        <v>46303</v>
      </c>
      <c r="B210" s="31" t="s">
        <v>281</v>
      </c>
      <c r="C210" s="31" t="str">
        <f aca="false" t="array" ref="C210:C210">IF(B210="","",IFERROR(INDEX('CLM &amp; IM Mapping'!$B$2:$B$270,MATCH(TRIM(B210),'CLM &amp; IM Mapping'!$A$2:$A$270,0)),"Not Mapped"))</f>
        <v>Balaji G</v>
      </c>
      <c r="D210" s="31" t="str">
        <f aca="false" t="array" ref="D210:D210">IF(B210="","",IFERROR(INDEX('CLM &amp; IM Mapping'!$C$2:$C$270,MATCH(TRIM(B210),'CLM &amp; IM Mapping'!$A$2:$A$270,0)),"Not Mapped"))</f>
        <v>Mohammed Akbar</v>
      </c>
      <c r="E210" s="31" t="s">
        <v>34</v>
      </c>
      <c r="F210" s="31" t="s">
        <v>562</v>
      </c>
      <c r="G210" s="31" t="s">
        <v>23</v>
      </c>
      <c r="H210" s="17" t="n">
        <v>6409</v>
      </c>
      <c r="I210" s="32" t="n">
        <v>0.7</v>
      </c>
      <c r="J210" s="33" t="n">
        <v>0.83</v>
      </c>
      <c r="K210" s="33" t="n">
        <v>0.93</v>
      </c>
      <c r="L210" s="33" t="n">
        <v>0.97</v>
      </c>
      <c r="M210" s="33" t="n">
        <v>0.93</v>
      </c>
      <c r="N210" s="11" t="n">
        <v>4</v>
      </c>
      <c r="O210" s="12" t="s">
        <v>647</v>
      </c>
      <c r="P210" s="12" t="s">
        <v>600</v>
      </c>
      <c r="Q210" s="8"/>
      <c r="R210" s="8"/>
      <c r="S210" s="8"/>
      <c r="T210" s="8"/>
      <c r="U210" s="8"/>
      <c r="V210" s="8"/>
      <c r="W210" s="8"/>
      <c r="X210" s="8"/>
      <c r="Y210" s="8"/>
      <c r="Z210" s="8"/>
      <c r="AA210" s="35"/>
      <c r="AB210" s="35"/>
      <c r="AC210" s="35"/>
      <c r="AD210" s="35"/>
      <c r="AE210" s="8"/>
      <c r="AF210" s="8"/>
      <c r="AG210" s="8"/>
      <c r="AH210" s="8"/>
      <c r="AI210" s="8"/>
      <c r="AJ210" s="8"/>
      <c r="AK210" s="8"/>
      <c r="AL210" s="8"/>
      <c r="AM210" s="8"/>
    </row>
    <row r="211" customFormat="false" ht="15.75" hidden="false" customHeight="true" outlineLevel="0" collapsed="false">
      <c r="A211" s="30" t="n">
        <v>46303</v>
      </c>
      <c r="B211" s="31" t="s">
        <v>250</v>
      </c>
      <c r="C211" s="31" t="str">
        <f aca="false" t="array" ref="C211:C211">IF(B211="","",IFERROR(INDEX('CLM &amp; IM Mapping'!$B$2:$B$270,MATCH(TRIM(B211),'CLM &amp; IM Mapping'!$A$2:$A$270,0)),"Not Mapped"))</f>
        <v>Akshay P</v>
      </c>
      <c r="D211" s="31" t="str">
        <f aca="false" t="array" ref="D211:D211">IF(B211="","",IFERROR(INDEX('CLM &amp; IM Mapping'!$C$2:$C$270,MATCH(TRIM(B211),'CLM &amp; IM Mapping'!$A$2:$A$270,0)),"Not Mapped"))</f>
        <v>Srittam Dhal</v>
      </c>
      <c r="E211" s="31" t="s">
        <v>34</v>
      </c>
      <c r="F211" s="31" t="s">
        <v>565</v>
      </c>
      <c r="G211" s="31" t="s">
        <v>23</v>
      </c>
      <c r="H211" s="17" t="n">
        <v>4579</v>
      </c>
      <c r="I211" s="32" t="n">
        <v>0.7</v>
      </c>
      <c r="J211" s="33" t="n">
        <v>0.83</v>
      </c>
      <c r="K211" s="33" t="n">
        <v>0.78</v>
      </c>
      <c r="L211" s="33" t="n">
        <v>0.94</v>
      </c>
      <c r="M211" s="33" t="n">
        <v>0.78</v>
      </c>
      <c r="N211" s="11" t="n">
        <v>3</v>
      </c>
      <c r="O211" s="19"/>
      <c r="P211" s="11"/>
      <c r="Q211" s="8"/>
      <c r="R211" s="8"/>
      <c r="S211" s="8"/>
      <c r="T211" s="8"/>
      <c r="U211" s="8"/>
      <c r="V211" s="8"/>
      <c r="W211" s="8"/>
      <c r="X211" s="8"/>
      <c r="Y211" s="8"/>
      <c r="Z211" s="8"/>
      <c r="AA211" s="35"/>
      <c r="AB211" s="35"/>
      <c r="AC211" s="35"/>
      <c r="AD211" s="35"/>
      <c r="AE211" s="8"/>
      <c r="AF211" s="8"/>
      <c r="AG211" s="8"/>
      <c r="AH211" s="8"/>
      <c r="AI211" s="8"/>
      <c r="AJ211" s="8"/>
      <c r="AK211" s="8"/>
      <c r="AL211" s="8"/>
      <c r="AM211" s="8"/>
    </row>
    <row r="212" customFormat="false" ht="15.75" hidden="false" customHeight="true" outlineLevel="0" collapsed="false">
      <c r="A212" s="30" t="n">
        <v>46303</v>
      </c>
      <c r="B212" s="31" t="s">
        <v>325</v>
      </c>
      <c r="C212" s="31" t="str">
        <f aca="false" t="array" ref="C212:C212">IF(B212="","",IFERROR(INDEX('CLM &amp; IM Mapping'!$B$2:$B$270,MATCH(TRIM(B212),'CLM &amp; IM Mapping'!$A$2:$A$270,0)),"Not Mapped"))</f>
        <v>Santhosha M</v>
      </c>
      <c r="D212" s="31" t="str">
        <f aca="false" t="array" ref="D212:D212">IF(B212="","",IFERROR(INDEX('CLM &amp; IM Mapping'!$C$2:$C$270,MATCH(TRIM(B212),'CLM &amp; IM Mapping'!$A$2:$A$270,0)),"Not Mapped"))</f>
        <v>Aravind S</v>
      </c>
      <c r="E212" s="31" t="s">
        <v>34</v>
      </c>
      <c r="F212" s="31" t="s">
        <v>562</v>
      </c>
      <c r="G212" s="31" t="s">
        <v>276</v>
      </c>
      <c r="H212" s="17" t="n">
        <v>7140</v>
      </c>
      <c r="I212" s="32" t="n">
        <v>0.7</v>
      </c>
      <c r="J212" s="33" t="n">
        <v>0.83</v>
      </c>
      <c r="K212" s="33" t="n">
        <v>0.94</v>
      </c>
      <c r="L212" s="33" t="n">
        <v>0.98</v>
      </c>
      <c r="M212" s="33" t="n">
        <v>0.94</v>
      </c>
      <c r="N212" s="11" t="n">
        <v>2</v>
      </c>
      <c r="O212" s="19"/>
      <c r="P212" s="11"/>
      <c r="Q212" s="8"/>
      <c r="R212" s="8"/>
      <c r="S212" s="8"/>
      <c r="T212" s="8"/>
      <c r="U212" s="8"/>
      <c r="V212" s="8"/>
      <c r="W212" s="8"/>
      <c r="X212" s="8"/>
      <c r="Y212" s="8"/>
      <c r="Z212" s="8"/>
      <c r="AA212" s="35"/>
      <c r="AB212" s="35"/>
      <c r="AC212" s="35"/>
      <c r="AD212" s="35"/>
      <c r="AE212" s="8"/>
      <c r="AF212" s="8"/>
      <c r="AG212" s="8"/>
      <c r="AH212" s="8"/>
      <c r="AI212" s="8"/>
      <c r="AJ212" s="8"/>
      <c r="AK212" s="8"/>
      <c r="AL212" s="8"/>
      <c r="AM212" s="8"/>
    </row>
    <row r="213" customFormat="false" ht="15.75" hidden="false" customHeight="true" outlineLevel="0" collapsed="false">
      <c r="A213" s="30" t="n">
        <v>46303</v>
      </c>
      <c r="B213" s="31" t="s">
        <v>449</v>
      </c>
      <c r="C213" s="31" t="str">
        <f aca="false" t="array" ref="C213:C213">IF(B213="","",IFERROR(INDEX('CLM &amp; IM Mapping'!$B$2:$B$270,MATCH(TRIM(B213),'CLM &amp; IM Mapping'!$A$2:$A$270,0)),"Not Mapped"))</f>
        <v>Manjunatha V</v>
      </c>
      <c r="D213" s="31" t="str">
        <f aca="false" t="array" ref="D213:D213">IF(B213="","",IFERROR(INDEX('CLM &amp; IM Mapping'!$C$2:$C$270,MATCH(TRIM(B213),'CLM &amp; IM Mapping'!$A$2:$A$270,0)),"Not Mapped"))</f>
        <v>Un Mapped</v>
      </c>
      <c r="E213" s="31" t="s">
        <v>34</v>
      </c>
      <c r="F213" s="31" t="s">
        <v>562</v>
      </c>
      <c r="G213" s="31" t="s">
        <v>23</v>
      </c>
      <c r="H213" s="17" t="n">
        <v>6969</v>
      </c>
      <c r="I213" s="32" t="n">
        <v>0.7</v>
      </c>
      <c r="J213" s="33" t="n">
        <v>0.84</v>
      </c>
      <c r="K213" s="33" t="n">
        <v>0.94</v>
      </c>
      <c r="L213" s="33" t="n">
        <v>0.98</v>
      </c>
      <c r="M213" s="33" t="n">
        <v>0.94</v>
      </c>
      <c r="N213" s="11" t="n">
        <v>5</v>
      </c>
      <c r="O213" s="19"/>
      <c r="P213" s="11"/>
      <c r="Q213" s="8"/>
      <c r="R213" s="8"/>
      <c r="S213" s="8"/>
      <c r="T213" s="8"/>
      <c r="U213" s="8"/>
      <c r="V213" s="8"/>
      <c r="W213" s="8"/>
      <c r="X213" s="8"/>
      <c r="Y213" s="8"/>
      <c r="Z213" s="8"/>
      <c r="AA213" s="35"/>
      <c r="AB213" s="35"/>
      <c r="AC213" s="35"/>
      <c r="AD213" s="35"/>
      <c r="AE213" s="8"/>
      <c r="AF213" s="8"/>
      <c r="AG213" s="8"/>
      <c r="AH213" s="8"/>
      <c r="AI213" s="8"/>
      <c r="AJ213" s="8"/>
      <c r="AK213" s="8"/>
      <c r="AL213" s="8"/>
      <c r="AM213" s="8"/>
    </row>
    <row r="214" customFormat="false" ht="15.75" hidden="false" customHeight="true" outlineLevel="0" collapsed="false">
      <c r="A214" s="30" t="n">
        <v>46303</v>
      </c>
      <c r="B214" s="31" t="s">
        <v>429</v>
      </c>
      <c r="C214" s="31" t="str">
        <f aca="false" t="array" ref="C214:C214">IF(B214="","",IFERROR(INDEX('CLM &amp; IM Mapping'!$B$2:$B$270,MATCH(TRIM(B214),'CLM &amp; IM Mapping'!$A$2:$A$270,0)),"Not Mapped"))</f>
        <v>Manjunatha V</v>
      </c>
      <c r="D214" s="31" t="str">
        <f aca="false" t="array" ref="D214:D214">IF(B214="","",IFERROR(INDEX('CLM &amp; IM Mapping'!$C$2:$C$270,MATCH(TRIM(B214),'CLM &amp; IM Mapping'!$A$2:$A$270,0)),"Not Mapped"))</f>
        <v>Un Mapped</v>
      </c>
      <c r="E214" s="31" t="s">
        <v>34</v>
      </c>
      <c r="F214" s="31" t="s">
        <v>565</v>
      </c>
      <c r="G214" s="31" t="s">
        <v>23</v>
      </c>
      <c r="H214" s="17" t="n">
        <v>5669</v>
      </c>
      <c r="I214" s="32" t="n">
        <v>0.7</v>
      </c>
      <c r="J214" s="33" t="n">
        <v>0.85</v>
      </c>
      <c r="K214" s="33" t="n">
        <v>0.93</v>
      </c>
      <c r="L214" s="33" t="n">
        <v>0.99</v>
      </c>
      <c r="M214" s="33" t="n">
        <v>0.93</v>
      </c>
      <c r="N214" s="11" t="n">
        <v>2</v>
      </c>
      <c r="O214" s="19"/>
      <c r="P214" s="11"/>
      <c r="Q214" s="8"/>
      <c r="R214" s="8"/>
      <c r="S214" s="8"/>
      <c r="T214" s="8"/>
      <c r="U214" s="8"/>
      <c r="V214" s="8"/>
      <c r="W214" s="8"/>
      <c r="X214" s="8"/>
      <c r="Y214" s="8"/>
      <c r="Z214" s="8"/>
      <c r="AA214" s="35"/>
      <c r="AB214" s="35"/>
      <c r="AC214" s="35"/>
      <c r="AD214" s="8"/>
      <c r="AE214" s="8"/>
      <c r="AF214" s="8"/>
      <c r="AG214" s="8"/>
      <c r="AH214" s="8"/>
      <c r="AI214" s="8"/>
      <c r="AJ214" s="8"/>
      <c r="AK214" s="8"/>
      <c r="AL214" s="8"/>
      <c r="AM214" s="8"/>
    </row>
    <row r="215" customFormat="false" ht="15.75" hidden="false" customHeight="true" outlineLevel="0" collapsed="false">
      <c r="A215" s="30" t="n">
        <v>46303</v>
      </c>
      <c r="B215" s="31" t="s">
        <v>290</v>
      </c>
      <c r="C215" s="31" t="str">
        <f aca="false" t="array" ref="C215:C215">IF(B215="","",IFERROR(INDEX('CLM &amp; IM Mapping'!$B$2:$B$270,MATCH(TRIM(B215),'CLM &amp; IM Mapping'!$A$2:$A$270,0)),"Not Mapped"))</f>
        <v>Akshay P</v>
      </c>
      <c r="D215" s="31" t="str">
        <f aca="false" t="array" ref="D215:D215">IF(B215="","",IFERROR(INDEX('CLM &amp; IM Mapping'!$C$2:$C$270,MATCH(TRIM(B215),'CLM &amp; IM Mapping'!$A$2:$A$270,0)),"Not Mapped"))</f>
        <v>Srittam Dhal</v>
      </c>
      <c r="E215" s="31" t="s">
        <v>34</v>
      </c>
      <c r="F215" s="31" t="s">
        <v>562</v>
      </c>
      <c r="G215" s="31" t="s">
        <v>23</v>
      </c>
      <c r="H215" s="17" t="n">
        <v>4636</v>
      </c>
      <c r="I215" s="32" t="n">
        <v>0.7</v>
      </c>
      <c r="J215" s="33" t="n">
        <v>0.86</v>
      </c>
      <c r="K215" s="33" t="n">
        <v>0.79</v>
      </c>
      <c r="L215" s="33" t="n">
        <v>1</v>
      </c>
      <c r="M215" s="33" t="n">
        <v>0.79</v>
      </c>
      <c r="N215" s="11" t="n">
        <v>3</v>
      </c>
      <c r="O215" s="19"/>
      <c r="P215" s="11"/>
      <c r="Q215" s="8"/>
      <c r="R215" s="8"/>
      <c r="S215" s="8"/>
      <c r="T215" s="8"/>
      <c r="U215" s="8"/>
      <c r="V215" s="8"/>
      <c r="W215" s="8"/>
      <c r="X215" s="8"/>
      <c r="Y215" s="8"/>
      <c r="Z215" s="8"/>
      <c r="AA215" s="35"/>
      <c r="AB215" s="35"/>
      <c r="AC215" s="35"/>
      <c r="AD215" s="35"/>
      <c r="AE215" s="8"/>
      <c r="AF215" s="8"/>
      <c r="AG215" s="8"/>
      <c r="AH215" s="8"/>
      <c r="AI215" s="8"/>
      <c r="AJ215" s="8"/>
      <c r="AK215" s="8"/>
      <c r="AL215" s="8"/>
      <c r="AM215" s="8"/>
    </row>
    <row r="216" customFormat="false" ht="15.75" hidden="false" customHeight="true" outlineLevel="0" collapsed="false">
      <c r="A216" s="30" t="n">
        <v>46303</v>
      </c>
      <c r="B216" s="31" t="s">
        <v>168</v>
      </c>
      <c r="C216" s="31" t="str">
        <f aca="false" t="array" ref="C216:C216">IF(B216="","",IFERROR(INDEX('CLM &amp; IM Mapping'!$B$2:$B$270,MATCH(TRIM(B216),'CLM &amp; IM Mapping'!$A$2:$A$270,0)),"Not Mapped"))</f>
        <v>Vijay M</v>
      </c>
      <c r="D216" s="31" t="str">
        <f aca="false" t="array" ref="D216:D216">IF(B216="","",IFERROR(INDEX('CLM &amp; IM Mapping'!$C$2:$C$270,MATCH(TRIM(B216),'CLM &amp; IM Mapping'!$A$2:$A$270,0)),"Not Mapped"))</f>
        <v>Kantha Kumar</v>
      </c>
      <c r="E216" s="31" t="s">
        <v>34</v>
      </c>
      <c r="F216" s="31" t="s">
        <v>565</v>
      </c>
      <c r="G216" s="31" t="s">
        <v>23</v>
      </c>
      <c r="H216" s="17" t="n">
        <v>6121</v>
      </c>
      <c r="I216" s="32" t="n">
        <v>0.7</v>
      </c>
      <c r="J216" s="33" t="n">
        <v>0.86</v>
      </c>
      <c r="K216" s="33" t="n">
        <v>0.93</v>
      </c>
      <c r="L216" s="33" t="n">
        <v>0.97</v>
      </c>
      <c r="M216" s="33" t="n">
        <v>0.93</v>
      </c>
      <c r="N216" s="11" t="n">
        <v>4</v>
      </c>
      <c r="O216" s="19"/>
      <c r="P216" s="11"/>
      <c r="Q216" s="8"/>
      <c r="R216" s="8"/>
      <c r="S216" s="8"/>
      <c r="T216" s="8"/>
      <c r="U216" s="8"/>
      <c r="V216" s="8"/>
      <c r="W216" s="8"/>
      <c r="X216" s="8"/>
      <c r="Y216" s="8"/>
      <c r="Z216" s="8"/>
      <c r="AA216" s="35"/>
      <c r="AB216" s="35"/>
      <c r="AC216" s="35"/>
      <c r="AD216" s="35"/>
      <c r="AE216" s="8"/>
      <c r="AF216" s="8"/>
      <c r="AG216" s="8"/>
      <c r="AH216" s="8"/>
      <c r="AI216" s="8"/>
      <c r="AJ216" s="8"/>
      <c r="AK216" s="8"/>
      <c r="AL216" s="8"/>
      <c r="AM216" s="8"/>
    </row>
    <row r="217" customFormat="false" ht="15.75" hidden="false" customHeight="true" outlineLevel="0" collapsed="false">
      <c r="A217" s="30" t="n">
        <v>46303</v>
      </c>
      <c r="B217" s="31" t="s">
        <v>312</v>
      </c>
      <c r="C217" s="31" t="str">
        <f aca="false" t="array" ref="C217:C217">IF(B217="","",IFERROR(INDEX('CLM &amp; IM Mapping'!$B$2:$B$270,MATCH(TRIM(B217),'CLM &amp; IM Mapping'!$A$2:$A$270,0)),"Not Mapped"))</f>
        <v>Manoj Kj</v>
      </c>
      <c r="D217" s="31" t="str">
        <f aca="false" t="array" ref="D217:D217">IF(B217="","",IFERROR(INDEX('CLM &amp; IM Mapping'!$C$2:$C$270,MATCH(TRIM(B217),'CLM &amp; IM Mapping'!$A$2:$A$270,0)),"Not Mapped"))</f>
        <v>Srittam Dhal</v>
      </c>
      <c r="E217" s="31" t="s">
        <v>34</v>
      </c>
      <c r="F217" s="31" t="s">
        <v>565</v>
      </c>
      <c r="G217" s="31" t="s">
        <v>23</v>
      </c>
      <c r="H217" s="17" t="n">
        <v>4962</v>
      </c>
      <c r="I217" s="32" t="n">
        <v>0.7</v>
      </c>
      <c r="J217" s="33" t="n">
        <v>0.86</v>
      </c>
      <c r="K217" s="33" t="n">
        <v>0.89</v>
      </c>
      <c r="L217" s="33" t="n">
        <v>0.97</v>
      </c>
      <c r="M217" s="33" t="n">
        <v>0.89</v>
      </c>
      <c r="N217" s="11" t="n">
        <v>6</v>
      </c>
      <c r="O217" s="19"/>
      <c r="P217" s="11"/>
      <c r="Q217" s="8"/>
      <c r="R217" s="8"/>
      <c r="S217" s="8"/>
      <c r="T217" s="8"/>
      <c r="U217" s="8"/>
      <c r="V217" s="8"/>
      <c r="W217" s="8"/>
      <c r="X217" s="8"/>
      <c r="Y217" s="8"/>
      <c r="Z217" s="8"/>
      <c r="AA217" s="35"/>
      <c r="AB217" s="35"/>
      <c r="AC217" s="35"/>
      <c r="AD217" s="35"/>
      <c r="AE217" s="8"/>
      <c r="AF217" s="8"/>
      <c r="AG217" s="8"/>
      <c r="AH217" s="8"/>
      <c r="AI217" s="8"/>
      <c r="AJ217" s="8"/>
      <c r="AK217" s="8"/>
      <c r="AL217" s="8"/>
      <c r="AM217" s="8"/>
    </row>
    <row r="218" customFormat="false" ht="15.75" hidden="false" customHeight="true" outlineLevel="0" collapsed="false">
      <c r="A218" s="30" t="n">
        <v>46303</v>
      </c>
      <c r="B218" s="31" t="s">
        <v>333</v>
      </c>
      <c r="C218" s="31" t="str">
        <f aca="false" t="array" ref="C218:C218">IF(B218="","",IFERROR(INDEX('CLM &amp; IM Mapping'!$B$2:$B$270,MATCH(TRIM(B218),'CLM &amp; IM Mapping'!$A$2:$A$270,0)),"Not Mapped"))</f>
        <v>Basil Scariya</v>
      </c>
      <c r="D218" s="31" t="str">
        <f aca="false" t="array" ref="D218:D218">IF(B218="","",IFERROR(INDEX('CLM &amp; IM Mapping'!$C$2:$C$270,MATCH(TRIM(B218),'CLM &amp; IM Mapping'!$A$2:$A$270,0)),"Not Mapped"))</f>
        <v>Prakash BS</v>
      </c>
      <c r="E218" s="31" t="s">
        <v>34</v>
      </c>
      <c r="F218" s="31" t="s">
        <v>562</v>
      </c>
      <c r="G218" s="31" t="s">
        <v>23</v>
      </c>
      <c r="H218" s="17" t="n">
        <v>5290</v>
      </c>
      <c r="I218" s="32" t="n">
        <v>0.7</v>
      </c>
      <c r="J218" s="33" t="n">
        <v>0.86</v>
      </c>
      <c r="K218" s="33" t="n">
        <v>0.9</v>
      </c>
      <c r="L218" s="33" t="n">
        <v>0.97</v>
      </c>
      <c r="M218" s="33" t="n">
        <v>0.9</v>
      </c>
      <c r="N218" s="11" t="n">
        <v>4</v>
      </c>
      <c r="O218" s="12" t="s">
        <v>649</v>
      </c>
      <c r="P218" s="37" t="n">
        <v>46366</v>
      </c>
      <c r="Q218" s="8"/>
      <c r="R218" s="8"/>
      <c r="S218" s="8"/>
      <c r="T218" s="8"/>
      <c r="U218" s="8"/>
      <c r="V218" s="8"/>
      <c r="W218" s="8"/>
      <c r="X218" s="8"/>
      <c r="Y218" s="8"/>
      <c r="Z218" s="8"/>
      <c r="AA218" s="35"/>
      <c r="AB218" s="35"/>
      <c r="AC218" s="35"/>
      <c r="AD218" s="35"/>
      <c r="AE218" s="8"/>
      <c r="AF218" s="8"/>
      <c r="AG218" s="8"/>
      <c r="AH218" s="8"/>
      <c r="AI218" s="8"/>
      <c r="AJ218" s="8"/>
      <c r="AK218" s="8"/>
      <c r="AL218" s="8"/>
      <c r="AM218" s="8"/>
    </row>
    <row r="219" customFormat="false" ht="15.75" hidden="false" customHeight="true" outlineLevel="0" collapsed="false">
      <c r="A219" s="30" t="n">
        <v>46303</v>
      </c>
      <c r="B219" s="31" t="s">
        <v>317</v>
      </c>
      <c r="C219" s="31" t="str">
        <f aca="false" t="array" ref="C219:C219">IF(B219="","",IFERROR(INDEX('CLM &amp; IM Mapping'!$B$2:$B$270,MATCH(TRIM(B219),'CLM &amp; IM Mapping'!$A$2:$A$270,0)),"Not Mapped"))</f>
        <v>Akshay P</v>
      </c>
      <c r="D219" s="31" t="str">
        <f aca="false" t="array" ref="D219:D219">IF(B219="","",IFERROR(INDEX('CLM &amp; IM Mapping'!$C$2:$C$270,MATCH(TRIM(B219),'CLM &amp; IM Mapping'!$A$2:$A$270,0)),"Not Mapped"))</f>
        <v>Srittam Dhal</v>
      </c>
      <c r="E219" s="31" t="s">
        <v>34</v>
      </c>
      <c r="F219" s="31" t="s">
        <v>562</v>
      </c>
      <c r="G219" s="31" t="s">
        <v>23</v>
      </c>
      <c r="H219" s="17" t="n">
        <v>5293</v>
      </c>
      <c r="I219" s="32" t="n">
        <v>0.7</v>
      </c>
      <c r="J219" s="33" t="n">
        <v>0.87</v>
      </c>
      <c r="K219" s="33" t="n">
        <v>0.88</v>
      </c>
      <c r="L219" s="33" t="n">
        <v>0.95</v>
      </c>
      <c r="M219" s="33" t="n">
        <v>0.88</v>
      </c>
      <c r="N219" s="11" t="n">
        <v>4</v>
      </c>
      <c r="O219" s="19"/>
      <c r="P219" s="11"/>
      <c r="Q219" s="8"/>
      <c r="R219" s="8"/>
      <c r="S219" s="8"/>
      <c r="T219" s="8"/>
      <c r="U219" s="8"/>
      <c r="V219" s="8"/>
      <c r="W219" s="8"/>
      <c r="X219" s="8"/>
      <c r="Y219" s="8"/>
      <c r="Z219" s="8"/>
      <c r="AA219" s="35"/>
      <c r="AB219" s="35"/>
      <c r="AC219" s="35"/>
      <c r="AD219" s="35"/>
      <c r="AE219" s="8"/>
      <c r="AF219" s="8"/>
      <c r="AG219" s="8"/>
      <c r="AH219" s="8"/>
      <c r="AI219" s="8"/>
      <c r="AJ219" s="8"/>
      <c r="AK219" s="8"/>
      <c r="AL219" s="8"/>
      <c r="AM219" s="8"/>
    </row>
    <row r="220" customFormat="false" ht="15.75" hidden="false" customHeight="true" outlineLevel="0" collapsed="false">
      <c r="A220" s="30" t="n">
        <v>46303</v>
      </c>
      <c r="B220" s="31" t="s">
        <v>527</v>
      </c>
      <c r="C220" s="31" t="str">
        <f aca="false" t="array" ref="C220:C220">IF(B220="","",IFERROR(INDEX('CLM &amp; IM Mapping'!$B$2:$B$270,MATCH(TRIM(B220),'CLM &amp; IM Mapping'!$A$2:$A$270,0)),"Not Mapped"))</f>
        <v>Suhas N</v>
      </c>
      <c r="D220" s="31" t="str">
        <f aca="false" t="array" ref="D220:D220">IF(B220="","",IFERROR(INDEX('CLM &amp; IM Mapping'!$C$2:$C$270,MATCH(TRIM(B220),'CLM &amp; IM Mapping'!$A$2:$A$270,0)),"Not Mapped"))</f>
        <v>Aravind S</v>
      </c>
      <c r="E220" s="31" t="s">
        <v>34</v>
      </c>
      <c r="F220" s="31" t="s">
        <v>565</v>
      </c>
      <c r="G220" s="31" t="s">
        <v>23</v>
      </c>
      <c r="H220" s="17" t="n">
        <v>6999</v>
      </c>
      <c r="I220" s="32" t="n">
        <v>0.7</v>
      </c>
      <c r="J220" s="33" t="n">
        <v>0.88</v>
      </c>
      <c r="K220" s="33" t="n">
        <v>0.87</v>
      </c>
      <c r="L220" s="33" t="n">
        <v>0.95</v>
      </c>
      <c r="M220" s="33" t="n">
        <v>0.87</v>
      </c>
      <c r="N220" s="11" t="n">
        <v>3</v>
      </c>
      <c r="O220" s="19"/>
      <c r="P220" s="11"/>
      <c r="Q220" s="8"/>
      <c r="R220" s="8"/>
      <c r="S220" s="8"/>
      <c r="T220" s="8"/>
      <c r="U220" s="8"/>
      <c r="V220" s="8"/>
      <c r="W220" s="8"/>
      <c r="X220" s="8"/>
      <c r="Y220" s="8"/>
      <c r="Z220" s="8"/>
      <c r="AA220" s="35"/>
      <c r="AB220" s="35"/>
      <c r="AC220" s="35"/>
      <c r="AD220" s="35"/>
      <c r="AE220" s="8"/>
      <c r="AF220" s="8"/>
      <c r="AG220" s="8"/>
      <c r="AH220" s="8"/>
      <c r="AI220" s="8"/>
      <c r="AJ220" s="8"/>
      <c r="AK220" s="8"/>
      <c r="AL220" s="8"/>
      <c r="AM220" s="8"/>
    </row>
    <row r="221" customFormat="false" ht="15.75" hidden="false" customHeight="true" outlineLevel="0" collapsed="false">
      <c r="A221" s="30" t="n">
        <v>46303</v>
      </c>
      <c r="B221" s="31" t="s">
        <v>497</v>
      </c>
      <c r="C221" s="31" t="str">
        <f aca="false" t="array" ref="C221:C221">IF(B221="","",IFERROR(INDEX('CLM &amp; IM Mapping'!$B$2:$B$270,MATCH(TRIM(B221),'CLM &amp; IM Mapping'!$A$2:$A$270,0)),"Not Mapped"))</f>
        <v>Narasimhamurthy R</v>
      </c>
      <c r="D221" s="31" t="str">
        <f aca="false" t="array" ref="D221:D221">IF(B221="","",IFERROR(INDEX('CLM &amp; IM Mapping'!$C$2:$C$270,MATCH(TRIM(B221),'CLM &amp; IM Mapping'!$A$2:$A$270,0)),"Not Mapped"))</f>
        <v>Kishor K</v>
      </c>
      <c r="E221" s="31" t="s">
        <v>34</v>
      </c>
      <c r="F221" s="31" t="s">
        <v>562</v>
      </c>
      <c r="G221" s="31" t="s">
        <v>23</v>
      </c>
      <c r="H221" s="17" t="n">
        <v>5589</v>
      </c>
      <c r="I221" s="32" t="n">
        <v>0.7</v>
      </c>
      <c r="J221" s="33" t="n">
        <v>0.88</v>
      </c>
      <c r="K221" s="33" t="n">
        <v>0.91</v>
      </c>
      <c r="L221" s="33" t="n">
        <v>0.97</v>
      </c>
      <c r="M221" s="33" t="n">
        <v>0.91</v>
      </c>
      <c r="N221" s="11" t="n">
        <v>3</v>
      </c>
      <c r="O221" s="12" t="s">
        <v>631</v>
      </c>
      <c r="P221" s="12" t="s">
        <v>623</v>
      </c>
      <c r="Q221" s="8"/>
      <c r="R221" s="8"/>
      <c r="S221" s="8"/>
      <c r="T221" s="8"/>
      <c r="U221" s="8"/>
      <c r="V221" s="8"/>
      <c r="W221" s="8"/>
      <c r="X221" s="8"/>
      <c r="Y221" s="8"/>
      <c r="Z221" s="8"/>
      <c r="AA221" s="35"/>
      <c r="AB221" s="35"/>
      <c r="AC221" s="35"/>
      <c r="AD221" s="35"/>
      <c r="AE221" s="8"/>
      <c r="AF221" s="8"/>
      <c r="AG221" s="8"/>
      <c r="AH221" s="8"/>
      <c r="AI221" s="8"/>
      <c r="AJ221" s="8"/>
      <c r="AK221" s="8"/>
      <c r="AL221" s="8"/>
      <c r="AM221" s="8"/>
    </row>
    <row r="222" customFormat="false" ht="15.75" hidden="false" customHeight="true" outlineLevel="0" collapsed="false">
      <c r="A222" s="30" t="n">
        <v>46303</v>
      </c>
      <c r="B222" s="31" t="s">
        <v>44</v>
      </c>
      <c r="C222" s="31" t="str">
        <f aca="false" t="array" ref="C222:C222">IF(B222="","",IFERROR(INDEX('CLM &amp; IM Mapping'!$B$2:$B$270,MATCH(TRIM(B222),'CLM &amp; IM Mapping'!$A$2:$A$270,0)),"Not Mapped"))</f>
        <v>Rizwan Ahmed</v>
      </c>
      <c r="D222" s="31" t="str">
        <f aca="false" t="array" ref="D222:D222">IF(B222="","",IFERROR(INDEX('CLM &amp; IM Mapping'!$C$2:$C$270,MATCH(TRIM(B222),'CLM &amp; IM Mapping'!$A$2:$A$270,0)),"Not Mapped"))</f>
        <v>Un Mapped</v>
      </c>
      <c r="E222" s="31" t="s">
        <v>34</v>
      </c>
      <c r="F222" s="31" t="s">
        <v>562</v>
      </c>
      <c r="G222" s="31" t="s">
        <v>23</v>
      </c>
      <c r="H222" s="17" t="n">
        <v>5862</v>
      </c>
      <c r="I222" s="32" t="n">
        <v>0.7</v>
      </c>
      <c r="J222" s="33" t="n">
        <v>0.88</v>
      </c>
      <c r="K222" s="33" t="n">
        <v>0.86</v>
      </c>
      <c r="L222" s="33" t="n">
        <v>0.95</v>
      </c>
      <c r="M222" s="33" t="n">
        <v>0.86</v>
      </c>
      <c r="N222" s="11" t="n">
        <v>3</v>
      </c>
      <c r="O222" s="19"/>
      <c r="P222" s="11"/>
      <c r="Q222" s="8"/>
      <c r="R222" s="8"/>
      <c r="S222" s="8"/>
      <c r="T222" s="8"/>
      <c r="U222" s="8"/>
      <c r="V222" s="8"/>
      <c r="W222" s="8"/>
      <c r="X222" s="8"/>
      <c r="Y222" s="8"/>
      <c r="Z222" s="8"/>
      <c r="AA222" s="35"/>
      <c r="AB222" s="35"/>
      <c r="AC222" s="35"/>
      <c r="AD222" s="35"/>
      <c r="AE222" s="8"/>
      <c r="AF222" s="8"/>
      <c r="AG222" s="8"/>
      <c r="AH222" s="8"/>
      <c r="AI222" s="8"/>
      <c r="AJ222" s="8"/>
      <c r="AK222" s="8"/>
      <c r="AL222" s="8"/>
      <c r="AM222" s="8"/>
    </row>
    <row r="223" customFormat="false" ht="15.75" hidden="false" customHeight="true" outlineLevel="0" collapsed="false">
      <c r="A223" s="30" t="n">
        <v>46303</v>
      </c>
      <c r="B223" s="31" t="s">
        <v>309</v>
      </c>
      <c r="C223" s="31" t="str">
        <f aca="false" t="array" ref="C223:C223">IF(B223="","",IFERROR(INDEX('CLM &amp; IM Mapping'!$B$2:$B$270,MATCH(TRIM(B223),'CLM &amp; IM Mapping'!$A$2:$A$270,0)),"Not Mapped"))</f>
        <v>Ashwath S</v>
      </c>
      <c r="D223" s="31" t="str">
        <f aca="false" t="array" ref="D223:D223">IF(B223="","",IFERROR(INDEX('CLM &amp; IM Mapping'!$C$2:$C$270,MATCH(TRIM(B223),'CLM &amp; IM Mapping'!$A$2:$A$270,0)),"Not Mapped"))</f>
        <v>Kantha Kumar</v>
      </c>
      <c r="E223" s="31" t="s">
        <v>34</v>
      </c>
      <c r="F223" s="31" t="s">
        <v>562</v>
      </c>
      <c r="G223" s="31" t="s">
        <v>23</v>
      </c>
      <c r="H223" s="17" t="n">
        <v>5663</v>
      </c>
      <c r="I223" s="32" t="n">
        <v>0.7</v>
      </c>
      <c r="J223" s="33" t="n">
        <v>0.88</v>
      </c>
      <c r="K223" s="33" t="n">
        <v>0.9</v>
      </c>
      <c r="L223" s="33" t="n">
        <v>0.97</v>
      </c>
      <c r="M223" s="33" t="n">
        <v>0.9</v>
      </c>
      <c r="N223" s="11" t="n">
        <v>4</v>
      </c>
      <c r="O223" s="19"/>
      <c r="P223" s="11"/>
      <c r="Q223" s="8"/>
      <c r="R223" s="8"/>
      <c r="S223" s="8"/>
      <c r="T223" s="8"/>
      <c r="U223" s="8"/>
      <c r="V223" s="8"/>
      <c r="W223" s="8"/>
      <c r="X223" s="8"/>
      <c r="Y223" s="8"/>
      <c r="Z223" s="8"/>
      <c r="AA223" s="35"/>
      <c r="AB223" s="35"/>
      <c r="AC223" s="35"/>
      <c r="AD223" s="35"/>
      <c r="AE223" s="8"/>
      <c r="AF223" s="8"/>
      <c r="AG223" s="8"/>
      <c r="AH223" s="8"/>
      <c r="AI223" s="8"/>
      <c r="AJ223" s="8"/>
      <c r="AK223" s="8"/>
      <c r="AL223" s="8"/>
      <c r="AM223" s="8"/>
    </row>
    <row r="224" customFormat="false" ht="15.75" hidden="false" customHeight="true" outlineLevel="0" collapsed="false">
      <c r="A224" s="30" t="n">
        <v>46303</v>
      </c>
      <c r="B224" s="31" t="s">
        <v>451</v>
      </c>
      <c r="C224" s="31" t="str">
        <f aca="false" t="array" ref="C224:C224">IF(B224="","",IFERROR(INDEX('CLM &amp; IM Mapping'!$B$2:$B$270,MATCH(TRIM(B224),'CLM &amp; IM Mapping'!$A$2:$A$270,0)),"Not Mapped"))</f>
        <v>Ashwath S</v>
      </c>
      <c r="D224" s="31" t="str">
        <f aca="false" t="array" ref="D224:D224">IF(B224="","",IFERROR(INDEX('CLM &amp; IM Mapping'!$C$2:$C$270,MATCH(TRIM(B224),'CLM &amp; IM Mapping'!$A$2:$A$270,0)),"Not Mapped"))</f>
        <v>Kantha Kumar</v>
      </c>
      <c r="E224" s="31" t="s">
        <v>34</v>
      </c>
      <c r="F224" s="31" t="s">
        <v>562</v>
      </c>
      <c r="G224" s="31" t="s">
        <v>23</v>
      </c>
      <c r="H224" s="17" t="n">
        <v>5788</v>
      </c>
      <c r="I224" s="32" t="n">
        <v>0.7</v>
      </c>
      <c r="J224" s="33" t="n">
        <v>0.88</v>
      </c>
      <c r="K224" s="33" t="n">
        <v>0.94</v>
      </c>
      <c r="L224" s="33" t="n">
        <v>0.99</v>
      </c>
      <c r="M224" s="33" t="n">
        <v>0.94</v>
      </c>
      <c r="N224" s="11" t="n">
        <v>6</v>
      </c>
      <c r="O224" s="19"/>
      <c r="P224" s="11"/>
      <c r="Q224" s="8"/>
      <c r="R224" s="8"/>
      <c r="S224" s="8"/>
      <c r="T224" s="8"/>
      <c r="U224" s="8"/>
      <c r="V224" s="8"/>
      <c r="W224" s="8"/>
      <c r="X224" s="8"/>
      <c r="Y224" s="8"/>
      <c r="Z224" s="8"/>
      <c r="AA224" s="35"/>
      <c r="AB224" s="35"/>
      <c r="AC224" s="35"/>
      <c r="AD224" s="35"/>
      <c r="AE224" s="8"/>
      <c r="AF224" s="8"/>
      <c r="AG224" s="8"/>
      <c r="AH224" s="8"/>
      <c r="AI224" s="8"/>
      <c r="AJ224" s="8"/>
      <c r="AK224" s="8"/>
      <c r="AL224" s="8"/>
      <c r="AM224" s="8"/>
    </row>
    <row r="225" customFormat="false" ht="15.75" hidden="false" customHeight="true" outlineLevel="0" collapsed="false">
      <c r="A225" s="30" t="n">
        <v>46303</v>
      </c>
      <c r="B225" s="31" t="s">
        <v>322</v>
      </c>
      <c r="C225" s="31" t="str">
        <f aca="false" t="array" ref="C225:C225">IF(B225="","",IFERROR(INDEX('CLM &amp; IM Mapping'!$B$2:$B$270,MATCH(TRIM(B225),'CLM &amp; IM Mapping'!$A$2:$A$270,0)),"Not Mapped"))</f>
        <v>Ashwath S</v>
      </c>
      <c r="D225" s="31" t="str">
        <f aca="false" t="array" ref="D225:D225">IF(B225="","",IFERROR(INDEX('CLM &amp; IM Mapping'!$C$2:$C$270,MATCH(TRIM(B225),'CLM &amp; IM Mapping'!$A$2:$A$270,0)),"Not Mapped"))</f>
        <v>Kantha Kumar</v>
      </c>
      <c r="E225" s="31" t="s">
        <v>34</v>
      </c>
      <c r="F225" s="31" t="s">
        <v>565</v>
      </c>
      <c r="G225" s="31" t="s">
        <v>23</v>
      </c>
      <c r="H225" s="17" t="n">
        <v>4660</v>
      </c>
      <c r="I225" s="32" t="n">
        <v>0.7</v>
      </c>
      <c r="J225" s="33" t="n">
        <v>0.9</v>
      </c>
      <c r="K225" s="33" t="n">
        <v>0.88</v>
      </c>
      <c r="L225" s="33" t="n">
        <v>0.98</v>
      </c>
      <c r="M225" s="33" t="n">
        <v>0.88</v>
      </c>
      <c r="N225" s="11" t="n">
        <v>5</v>
      </c>
      <c r="O225" s="19"/>
      <c r="P225" s="11"/>
      <c r="Q225" s="8"/>
      <c r="R225" s="8"/>
      <c r="S225" s="8"/>
      <c r="T225" s="8"/>
      <c r="U225" s="8"/>
      <c r="V225" s="8"/>
      <c r="W225" s="8"/>
      <c r="X225" s="8"/>
      <c r="Y225" s="8"/>
      <c r="Z225" s="8"/>
      <c r="AA225" s="35"/>
      <c r="AB225" s="35"/>
      <c r="AC225" s="35"/>
      <c r="AD225" s="8"/>
      <c r="AE225" s="8"/>
      <c r="AF225" s="8"/>
      <c r="AG225" s="8"/>
      <c r="AH225" s="8"/>
      <c r="AI225" s="8"/>
      <c r="AJ225" s="8"/>
      <c r="AK225" s="8"/>
      <c r="AL225" s="8"/>
      <c r="AM225" s="8"/>
    </row>
    <row r="226" customFormat="false" ht="15.75" hidden="false" customHeight="true" outlineLevel="0" collapsed="false">
      <c r="A226" s="30" t="n">
        <v>46303</v>
      </c>
      <c r="B226" s="31" t="s">
        <v>463</v>
      </c>
      <c r="C226" s="31" t="str">
        <f aca="false" t="array" ref="C226:C226">IF(B226="","",IFERROR(INDEX('CLM &amp; IM Mapping'!$B$2:$B$270,MATCH(TRIM(B226),'CLM &amp; IM Mapping'!$A$2:$A$270,0)),"Not Mapped"))</f>
        <v>Ashwath S</v>
      </c>
      <c r="D226" s="31" t="str">
        <f aca="false" t="array" ref="D226:D226">IF(B226="","",IFERROR(INDEX('CLM &amp; IM Mapping'!$C$2:$C$270,MATCH(TRIM(B226),'CLM &amp; IM Mapping'!$A$2:$A$270,0)),"Not Mapped"))</f>
        <v>Kantha Kumar</v>
      </c>
      <c r="E226" s="31" t="s">
        <v>34</v>
      </c>
      <c r="F226" s="31" t="s">
        <v>562</v>
      </c>
      <c r="G226" s="31" t="s">
        <v>23</v>
      </c>
      <c r="H226" s="17" t="n">
        <v>6917</v>
      </c>
      <c r="I226" s="32" t="n">
        <v>0.7</v>
      </c>
      <c r="J226" s="33" t="n">
        <v>0.9</v>
      </c>
      <c r="K226" s="33" t="n">
        <v>0.94</v>
      </c>
      <c r="L226" s="33" t="n">
        <v>0.99</v>
      </c>
      <c r="M226" s="33" t="n">
        <v>0.94</v>
      </c>
      <c r="N226" s="11" t="n">
        <v>5</v>
      </c>
      <c r="O226" s="19"/>
      <c r="P226" s="11"/>
      <c r="Q226" s="8"/>
      <c r="R226" s="8"/>
      <c r="S226" s="8"/>
      <c r="T226" s="8"/>
      <c r="U226" s="8"/>
      <c r="V226" s="8"/>
      <c r="W226" s="8"/>
      <c r="X226" s="8"/>
      <c r="Y226" s="8"/>
      <c r="Z226" s="8"/>
      <c r="AA226" s="35"/>
      <c r="AB226" s="35"/>
      <c r="AC226" s="35"/>
      <c r="AD226" s="35"/>
      <c r="AE226" s="8"/>
      <c r="AF226" s="8"/>
      <c r="AG226" s="8"/>
      <c r="AH226" s="8"/>
      <c r="AI226" s="8"/>
      <c r="AJ226" s="8"/>
      <c r="AK226" s="8"/>
      <c r="AL226" s="8"/>
      <c r="AM226" s="8"/>
    </row>
    <row r="227" customFormat="false" ht="15.75" hidden="false" customHeight="true" outlineLevel="0" collapsed="false">
      <c r="A227" s="30" t="n">
        <v>46303</v>
      </c>
      <c r="B227" s="31" t="s">
        <v>513</v>
      </c>
      <c r="C227" s="31" t="str">
        <f aca="false" t="array" ref="C227:C227">IF(B227="","",IFERROR(INDEX('CLM &amp; IM Mapping'!$B$2:$B$270,MATCH(TRIM(B227),'CLM &amp; IM Mapping'!$A$2:$A$270,0)),"Not Mapped"))</f>
        <v>Manoj Kj</v>
      </c>
      <c r="D227" s="31" t="str">
        <f aca="false" t="array" ref="D227:D227">IF(B227="","",IFERROR(INDEX('CLM &amp; IM Mapping'!$C$2:$C$270,MATCH(TRIM(B227),'CLM &amp; IM Mapping'!$A$2:$A$270,0)),"Not Mapped"))</f>
        <v>Srittam Dhal</v>
      </c>
      <c r="E227" s="31" t="s">
        <v>34</v>
      </c>
      <c r="F227" s="31" t="s">
        <v>562</v>
      </c>
      <c r="G227" s="31" t="s">
        <v>23</v>
      </c>
      <c r="H227" s="17" t="n">
        <v>4812</v>
      </c>
      <c r="I227" s="32" t="n">
        <v>0.7</v>
      </c>
      <c r="J227" s="33" t="n">
        <v>0.9</v>
      </c>
      <c r="K227" s="33" t="n">
        <v>0.96</v>
      </c>
      <c r="L227" s="33" t="n">
        <v>0.99</v>
      </c>
      <c r="M227" s="33" t="n">
        <v>0.96</v>
      </c>
      <c r="N227" s="11" t="n">
        <v>3</v>
      </c>
      <c r="O227" s="19"/>
      <c r="P227" s="11"/>
      <c r="Q227" s="8"/>
      <c r="R227" s="8"/>
      <c r="S227" s="8"/>
      <c r="T227" s="8"/>
      <c r="U227" s="8"/>
      <c r="V227" s="8"/>
      <c r="W227" s="8"/>
      <c r="X227" s="8"/>
      <c r="Y227" s="8"/>
      <c r="Z227" s="8"/>
      <c r="AA227" s="35"/>
      <c r="AB227" s="35"/>
      <c r="AC227" s="35"/>
      <c r="AD227" s="35"/>
      <c r="AE227" s="8"/>
      <c r="AF227" s="8"/>
      <c r="AG227" s="8"/>
      <c r="AH227" s="8"/>
      <c r="AI227" s="8"/>
      <c r="AJ227" s="8"/>
      <c r="AK227" s="8"/>
      <c r="AL227" s="8"/>
      <c r="AM227" s="8"/>
    </row>
    <row r="228" customFormat="false" ht="15.75" hidden="false" customHeight="true" outlineLevel="0" collapsed="false">
      <c r="A228" s="30" t="n">
        <v>46303</v>
      </c>
      <c r="B228" s="31" t="s">
        <v>486</v>
      </c>
      <c r="C228" s="31" t="str">
        <f aca="false" t="array" ref="C228:C228">IF(B228="","",IFERROR(INDEX('CLM &amp; IM Mapping'!$B$2:$B$270,MATCH(TRIM(B228),'CLM &amp; IM Mapping'!$A$2:$A$270,0)),"Not Mapped"))</f>
        <v>Balaji G</v>
      </c>
      <c r="D228" s="31" t="str">
        <f aca="false" t="array" ref="D228:D228">IF(B228="","",IFERROR(INDEX('CLM &amp; IM Mapping'!$C$2:$C$270,MATCH(TRIM(B228),'CLM &amp; IM Mapping'!$A$2:$A$270,0)),"Not Mapped"))</f>
        <v>Mohammed Akbar</v>
      </c>
      <c r="E228" s="31" t="s">
        <v>34</v>
      </c>
      <c r="F228" s="31" t="s">
        <v>565</v>
      </c>
      <c r="G228" s="31" t="s">
        <v>23</v>
      </c>
      <c r="H228" s="17" t="n">
        <v>6557</v>
      </c>
      <c r="I228" s="32" t="n">
        <v>0.7</v>
      </c>
      <c r="J228" s="33" t="n">
        <v>0.91</v>
      </c>
      <c r="K228" s="33" t="n">
        <v>0.88</v>
      </c>
      <c r="L228" s="33" t="n">
        <v>0.97</v>
      </c>
      <c r="M228" s="33" t="n">
        <v>0.88</v>
      </c>
      <c r="N228" s="11" t="n">
        <v>4</v>
      </c>
      <c r="O228" s="12" t="s">
        <v>647</v>
      </c>
      <c r="P228" s="12" t="s">
        <v>600</v>
      </c>
      <c r="Q228" s="8"/>
      <c r="R228" s="8"/>
      <c r="S228" s="8"/>
      <c r="T228" s="8"/>
      <c r="U228" s="8"/>
      <c r="V228" s="8"/>
      <c r="W228" s="8"/>
      <c r="X228" s="8"/>
      <c r="Y228" s="8"/>
      <c r="Z228" s="8"/>
      <c r="AA228" s="35"/>
      <c r="AB228" s="35"/>
      <c r="AC228" s="35"/>
      <c r="AD228" s="35"/>
      <c r="AE228" s="8"/>
      <c r="AF228" s="8"/>
      <c r="AG228" s="8"/>
      <c r="AH228" s="8"/>
      <c r="AI228" s="8"/>
      <c r="AJ228" s="8"/>
      <c r="AK228" s="8"/>
      <c r="AL228" s="8"/>
      <c r="AM228" s="8"/>
    </row>
    <row r="229" customFormat="false" ht="15.75" hidden="false" customHeight="true" outlineLevel="0" collapsed="false">
      <c r="A229" s="30" t="n">
        <v>46303</v>
      </c>
      <c r="B229" s="31" t="s">
        <v>454</v>
      </c>
      <c r="C229" s="31" t="str">
        <f aca="false" t="array" ref="C229:C229">IF(B229="","",IFERROR(INDEX('CLM &amp; IM Mapping'!$B$2:$B$270,MATCH(TRIM(B229),'CLM &amp; IM Mapping'!$A$2:$A$270,0)),"Not Mapped"))</f>
        <v>Balaji G</v>
      </c>
      <c r="D229" s="31" t="str">
        <f aca="false" t="array" ref="D229:D229">IF(B229="","",IFERROR(INDEX('CLM &amp; IM Mapping'!$C$2:$C$270,MATCH(TRIM(B229),'CLM &amp; IM Mapping'!$A$2:$A$270,0)),"Not Mapped"))</f>
        <v>Mohammed Akbar</v>
      </c>
      <c r="E229" s="31" t="s">
        <v>34</v>
      </c>
      <c r="F229" s="31" t="s">
        <v>565</v>
      </c>
      <c r="G229" s="31" t="s">
        <v>23</v>
      </c>
      <c r="H229" s="17" t="n">
        <v>4658</v>
      </c>
      <c r="I229" s="32" t="n">
        <v>0.7</v>
      </c>
      <c r="J229" s="33" t="n">
        <v>0.92</v>
      </c>
      <c r="K229" s="33" t="n">
        <v>0.88</v>
      </c>
      <c r="L229" s="33" t="n">
        <v>0.97</v>
      </c>
      <c r="M229" s="33" t="n">
        <v>0.88</v>
      </c>
      <c r="N229" s="11" t="n">
        <v>2</v>
      </c>
      <c r="O229" s="12" t="s">
        <v>647</v>
      </c>
      <c r="P229" s="12" t="s">
        <v>600</v>
      </c>
      <c r="Q229" s="8"/>
      <c r="R229" s="8"/>
      <c r="S229" s="8"/>
      <c r="T229" s="8"/>
      <c r="U229" s="8"/>
      <c r="V229" s="8"/>
      <c r="W229" s="8"/>
      <c r="X229" s="8"/>
      <c r="Y229" s="8"/>
      <c r="Z229" s="8"/>
      <c r="AA229" s="35"/>
      <c r="AB229" s="35"/>
      <c r="AC229" s="35"/>
      <c r="AD229" s="35"/>
      <c r="AE229" s="8"/>
      <c r="AF229" s="8"/>
      <c r="AG229" s="8"/>
      <c r="AH229" s="8"/>
      <c r="AI229" s="8"/>
      <c r="AJ229" s="8"/>
      <c r="AK229" s="8"/>
      <c r="AL229" s="8"/>
      <c r="AM229" s="8"/>
    </row>
    <row r="230" customFormat="false" ht="15.75" hidden="false" customHeight="true" outlineLevel="0" collapsed="false">
      <c r="A230" s="30" t="n">
        <v>46303</v>
      </c>
      <c r="B230" s="31" t="s">
        <v>517</v>
      </c>
      <c r="C230" s="31" t="str">
        <f aca="false" t="array" ref="C230:C230">IF(B230="","",IFERROR(INDEX('CLM &amp; IM Mapping'!$B$2:$B$270,MATCH(TRIM(B230),'CLM &amp; IM Mapping'!$A$2:$A$270,0)),"Not Mapped"))</f>
        <v>Manoj Kj</v>
      </c>
      <c r="D230" s="31" t="str">
        <f aca="false" t="array" ref="D230:D230">IF(B230="","",IFERROR(INDEX('CLM &amp; IM Mapping'!$C$2:$C$270,MATCH(TRIM(B230),'CLM &amp; IM Mapping'!$A$2:$A$270,0)),"Not Mapped"))</f>
        <v>Srittam Dhal</v>
      </c>
      <c r="E230" s="31" t="s">
        <v>34</v>
      </c>
      <c r="F230" s="31" t="s">
        <v>565</v>
      </c>
      <c r="G230" s="31" t="s">
        <v>23</v>
      </c>
      <c r="H230" s="17" t="n">
        <v>8560</v>
      </c>
      <c r="I230" s="32" t="n">
        <v>0.7</v>
      </c>
      <c r="J230" s="33" t="n">
        <v>0.93</v>
      </c>
      <c r="K230" s="33" t="n">
        <v>0.94</v>
      </c>
      <c r="L230" s="33" t="n">
        <v>0.98</v>
      </c>
      <c r="M230" s="31"/>
      <c r="N230" s="11" t="n">
        <v>7</v>
      </c>
      <c r="O230" s="19"/>
      <c r="P230" s="11"/>
      <c r="Q230" s="8"/>
      <c r="R230" s="8"/>
      <c r="S230" s="8"/>
      <c r="T230" s="8"/>
      <c r="U230" s="8"/>
      <c r="V230" s="8"/>
      <c r="W230" s="8"/>
      <c r="X230" s="8"/>
      <c r="Y230" s="8"/>
      <c r="Z230" s="8"/>
      <c r="AA230" s="35"/>
      <c r="AB230" s="35"/>
      <c r="AC230" s="35"/>
      <c r="AD230" s="35"/>
      <c r="AE230" s="8"/>
      <c r="AF230" s="8"/>
      <c r="AG230" s="8"/>
      <c r="AH230" s="8"/>
      <c r="AI230" s="8"/>
      <c r="AJ230" s="8"/>
      <c r="AK230" s="8"/>
      <c r="AL230" s="8"/>
      <c r="AM230" s="8"/>
    </row>
    <row r="231" customFormat="false" ht="15.75" hidden="false" customHeight="true" outlineLevel="0" collapsed="false">
      <c r="A231" s="30" t="n">
        <v>46303</v>
      </c>
      <c r="B231" s="31" t="s">
        <v>526</v>
      </c>
      <c r="C231" s="31" t="str">
        <f aca="false" t="array" ref="C231:C231">IF(B231="","",IFERROR(INDEX('CLM &amp; IM Mapping'!$B$2:$B$270,MATCH(TRIM(B231),'CLM &amp; IM Mapping'!$A$2:$A$270,0)),"Not Mapped"))</f>
        <v>Sundaresh S</v>
      </c>
      <c r="D231" s="31" t="str">
        <f aca="false" t="array" ref="D231:D231">IF(B231="","",IFERROR(INDEX('CLM &amp; IM Mapping'!$C$2:$C$270,MATCH(TRIM(B231),'CLM &amp; IM Mapping'!$A$2:$A$270,0)),"Not Mapped"))</f>
        <v>Un Mapped</v>
      </c>
      <c r="E231" s="31" t="s">
        <v>34</v>
      </c>
      <c r="F231" s="31" t="s">
        <v>562</v>
      </c>
      <c r="G231" s="31" t="s">
        <v>23</v>
      </c>
      <c r="H231" s="17" t="n">
        <v>5167</v>
      </c>
      <c r="I231" s="32" t="n">
        <v>0.7</v>
      </c>
      <c r="J231" s="33" t="n">
        <v>0.93</v>
      </c>
      <c r="K231" s="33" t="n">
        <v>0.87</v>
      </c>
      <c r="L231" s="33" t="n">
        <v>0.97</v>
      </c>
      <c r="M231" s="33" t="n">
        <v>0.87</v>
      </c>
      <c r="N231" s="11" t="n">
        <v>3</v>
      </c>
      <c r="O231" s="19"/>
      <c r="P231" s="11"/>
      <c r="Q231" s="8"/>
      <c r="R231" s="8"/>
      <c r="S231" s="8"/>
      <c r="T231" s="8"/>
      <c r="U231" s="8"/>
      <c r="V231" s="8"/>
      <c r="W231" s="8"/>
      <c r="X231" s="8"/>
      <c r="Y231" s="8"/>
      <c r="Z231" s="8"/>
      <c r="AA231" s="35"/>
      <c r="AB231" s="35"/>
      <c r="AC231" s="35"/>
      <c r="AD231" s="35"/>
      <c r="AE231" s="8"/>
      <c r="AF231" s="8"/>
      <c r="AG231" s="8"/>
      <c r="AH231" s="8"/>
      <c r="AI231" s="8"/>
      <c r="AJ231" s="8"/>
      <c r="AK231" s="8"/>
      <c r="AL231" s="8"/>
      <c r="AM231" s="8"/>
    </row>
    <row r="232" customFormat="false" ht="15.75" hidden="false" customHeight="true" outlineLevel="0" collapsed="false">
      <c r="A232" s="30" t="n">
        <v>46303</v>
      </c>
      <c r="B232" s="31" t="s">
        <v>481</v>
      </c>
      <c r="C232" s="31" t="str">
        <f aca="false" t="array" ref="C232:C232">IF(B232="","",IFERROR(INDEX('CLM &amp; IM Mapping'!$B$2:$B$270,MATCH(TRIM(B232),'CLM &amp; IM Mapping'!$A$2:$A$270,0)),"Not Mapped"))</f>
        <v>Akshay P</v>
      </c>
      <c r="D232" s="31" t="str">
        <f aca="false" t="array" ref="D232:D232">IF(B232="","",IFERROR(INDEX('CLM &amp; IM Mapping'!$C$2:$C$270,MATCH(TRIM(B232),'CLM &amp; IM Mapping'!$A$2:$A$270,0)),"Not Mapped"))</f>
        <v>Srittam Dhal</v>
      </c>
      <c r="E232" s="31" t="s">
        <v>34</v>
      </c>
      <c r="F232" s="31" t="s">
        <v>562</v>
      </c>
      <c r="G232" s="31" t="s">
        <v>23</v>
      </c>
      <c r="H232" s="17" t="n">
        <v>6102</v>
      </c>
      <c r="I232" s="32" t="n">
        <v>0.7</v>
      </c>
      <c r="J232" s="33" t="n">
        <v>0.93</v>
      </c>
      <c r="K232" s="33" t="n">
        <v>0.95</v>
      </c>
      <c r="L232" s="33" t="n">
        <v>0.99</v>
      </c>
      <c r="M232" s="33" t="n">
        <v>0.95</v>
      </c>
      <c r="N232" s="11" t="n">
        <v>4</v>
      </c>
      <c r="O232" s="19"/>
      <c r="P232" s="11"/>
      <c r="Q232" s="8"/>
      <c r="R232" s="8"/>
      <c r="S232" s="8"/>
      <c r="T232" s="8"/>
      <c r="U232" s="8"/>
      <c r="V232" s="8"/>
      <c r="W232" s="8"/>
      <c r="X232" s="8"/>
      <c r="Y232" s="8"/>
      <c r="Z232" s="8"/>
      <c r="AA232" s="35"/>
      <c r="AB232" s="35"/>
      <c r="AC232" s="35"/>
      <c r="AD232" s="35"/>
      <c r="AE232" s="8"/>
      <c r="AF232" s="8"/>
      <c r="AG232" s="8"/>
      <c r="AH232" s="8"/>
      <c r="AI232" s="8"/>
      <c r="AJ232" s="8"/>
      <c r="AK232" s="8"/>
      <c r="AL232" s="8"/>
      <c r="AM232" s="8"/>
    </row>
    <row r="233" customFormat="false" ht="15.75" hidden="false" customHeight="true" outlineLevel="0" collapsed="false">
      <c r="A233" s="30" t="n">
        <v>46303</v>
      </c>
      <c r="B233" s="31" t="s">
        <v>381</v>
      </c>
      <c r="C233" s="31" t="str">
        <f aca="false" t="array" ref="C233:C233">IF(B233="","",IFERROR(INDEX('CLM &amp; IM Mapping'!$B$2:$B$270,MATCH(TRIM(B233),'CLM &amp; IM Mapping'!$A$2:$A$270,0)),"Not Mapped"))</f>
        <v>Balaji G</v>
      </c>
      <c r="D233" s="31" t="str">
        <f aca="false" t="array" ref="D233:D233">IF(B233="","",IFERROR(INDEX('CLM &amp; IM Mapping'!$C$2:$C$270,MATCH(TRIM(B233),'CLM &amp; IM Mapping'!$A$2:$A$270,0)),"Not Mapped"))</f>
        <v>Mohammed Akbar</v>
      </c>
      <c r="E233" s="31" t="s">
        <v>34</v>
      </c>
      <c r="F233" s="31" t="s">
        <v>565</v>
      </c>
      <c r="G233" s="31" t="s">
        <v>23</v>
      </c>
      <c r="H233" s="17" t="n">
        <v>5262</v>
      </c>
      <c r="I233" s="32" t="n">
        <v>0.7</v>
      </c>
      <c r="J233" s="33" t="n">
        <v>0.93</v>
      </c>
      <c r="K233" s="33" t="n">
        <v>0.96</v>
      </c>
      <c r="L233" s="33" t="n">
        <v>0.76</v>
      </c>
      <c r="M233" s="33" t="n">
        <v>0.96</v>
      </c>
      <c r="N233" s="11" t="n">
        <v>3</v>
      </c>
      <c r="O233" s="12" t="s">
        <v>647</v>
      </c>
      <c r="P233" s="12" t="s">
        <v>600</v>
      </c>
      <c r="Q233" s="8"/>
      <c r="R233" s="8"/>
      <c r="S233" s="8"/>
      <c r="T233" s="8"/>
      <c r="U233" s="8"/>
      <c r="V233" s="8"/>
      <c r="W233" s="8"/>
      <c r="X233" s="8"/>
      <c r="Y233" s="8"/>
      <c r="Z233" s="8"/>
      <c r="AA233" s="35"/>
      <c r="AB233" s="35"/>
      <c r="AC233" s="35"/>
      <c r="AD233" s="35"/>
      <c r="AE233" s="8"/>
      <c r="AF233" s="8"/>
      <c r="AG233" s="8"/>
      <c r="AH233" s="8"/>
      <c r="AI233" s="8"/>
      <c r="AJ233" s="8"/>
      <c r="AK233" s="8"/>
      <c r="AL233" s="8"/>
      <c r="AM233" s="8"/>
    </row>
    <row r="234" customFormat="false" ht="15.75" hidden="false" customHeight="true" outlineLevel="0" collapsed="false">
      <c r="A234" s="30" t="n">
        <v>46303</v>
      </c>
      <c r="B234" s="31" t="s">
        <v>390</v>
      </c>
      <c r="C234" s="31" t="str">
        <f aca="false" t="array" ref="C234:C234">IF(B234="","",IFERROR(INDEX('CLM &amp; IM Mapping'!$B$2:$B$270,MATCH(TRIM(B234),'CLM &amp; IM Mapping'!$A$2:$A$270,0)),"Not Mapped"))</f>
        <v>Sundaresh S</v>
      </c>
      <c r="D234" s="31" t="str">
        <f aca="false" t="array" ref="D234:D234">IF(B234="","",IFERROR(INDEX('CLM &amp; IM Mapping'!$C$2:$C$270,MATCH(TRIM(B234),'CLM &amp; IM Mapping'!$A$2:$A$270,0)),"Not Mapped"))</f>
        <v>Un Mapped</v>
      </c>
      <c r="E234" s="31" t="s">
        <v>34</v>
      </c>
      <c r="F234" s="31" t="s">
        <v>562</v>
      </c>
      <c r="G234" s="31" t="s">
        <v>23</v>
      </c>
      <c r="H234" s="17" t="n">
        <v>5728</v>
      </c>
      <c r="I234" s="32" t="n">
        <v>0.7</v>
      </c>
      <c r="J234" s="33" t="n">
        <v>0.94</v>
      </c>
      <c r="K234" s="33" t="n">
        <v>0.88</v>
      </c>
      <c r="L234" s="33" t="n">
        <v>0.95</v>
      </c>
      <c r="M234" s="31"/>
      <c r="N234" s="11"/>
      <c r="O234" s="19"/>
      <c r="P234" s="11"/>
      <c r="Q234" s="8"/>
      <c r="R234" s="8"/>
      <c r="S234" s="8"/>
      <c r="T234" s="8"/>
      <c r="U234" s="8"/>
      <c r="V234" s="8"/>
      <c r="W234" s="8"/>
      <c r="X234" s="8"/>
      <c r="Y234" s="8"/>
      <c r="Z234" s="8"/>
      <c r="AA234" s="35"/>
      <c r="AB234" s="35"/>
      <c r="AC234" s="35"/>
      <c r="AD234" s="35"/>
      <c r="AE234" s="8"/>
      <c r="AF234" s="8"/>
      <c r="AG234" s="8"/>
      <c r="AH234" s="8"/>
      <c r="AI234" s="8"/>
      <c r="AJ234" s="8"/>
      <c r="AK234" s="8"/>
      <c r="AL234" s="8"/>
      <c r="AM234" s="8"/>
    </row>
    <row r="235" customFormat="false" ht="15.75" hidden="false" customHeight="true" outlineLevel="0" collapsed="false">
      <c r="A235" s="30" t="n">
        <v>46303</v>
      </c>
      <c r="B235" s="31" t="s">
        <v>530</v>
      </c>
      <c r="C235" s="31" t="str">
        <f aca="false" t="array" ref="C235:C235">IF(B235="","",IFERROR(INDEX('CLM &amp; IM Mapping'!$B$2:$B$270,MATCH(TRIM(B235),'CLM &amp; IM Mapping'!$A$2:$A$270,0)),"Not Mapped"))</f>
        <v>Balaji G</v>
      </c>
      <c r="D235" s="31" t="str">
        <f aca="false" t="array" ref="D235:D235">IF(B235="","",IFERROR(INDEX('CLM &amp; IM Mapping'!$C$2:$C$270,MATCH(TRIM(B235),'CLM &amp; IM Mapping'!$A$2:$A$270,0)),"Not Mapped"))</f>
        <v>Mohammed Akbar</v>
      </c>
      <c r="E235" s="31" t="s">
        <v>34</v>
      </c>
      <c r="F235" s="31" t="s">
        <v>562</v>
      </c>
      <c r="G235" s="31" t="s">
        <v>23</v>
      </c>
      <c r="H235" s="17" t="n">
        <v>7445</v>
      </c>
      <c r="I235" s="32" t="n">
        <v>0.7</v>
      </c>
      <c r="J235" s="33" t="n">
        <v>0.95</v>
      </c>
      <c r="K235" s="33" t="n">
        <v>0.94</v>
      </c>
      <c r="L235" s="33" t="n">
        <v>0.97</v>
      </c>
      <c r="M235" s="31"/>
      <c r="N235" s="11" t="n">
        <v>1</v>
      </c>
      <c r="O235" s="12" t="s">
        <v>647</v>
      </c>
      <c r="P235" s="12" t="s">
        <v>600</v>
      </c>
      <c r="Q235" s="8"/>
      <c r="R235" s="8"/>
      <c r="S235" s="8"/>
      <c r="T235" s="8"/>
      <c r="U235" s="8"/>
      <c r="V235" s="8"/>
      <c r="W235" s="8"/>
      <c r="X235" s="8"/>
      <c r="Y235" s="8"/>
      <c r="Z235" s="8"/>
      <c r="AA235" s="35"/>
      <c r="AB235" s="35"/>
      <c r="AC235" s="35"/>
      <c r="AD235" s="35"/>
      <c r="AE235" s="8"/>
      <c r="AF235" s="8"/>
      <c r="AG235" s="8"/>
      <c r="AH235" s="8"/>
      <c r="AI235" s="8"/>
      <c r="AJ235" s="8"/>
      <c r="AK235" s="8"/>
      <c r="AL235" s="8"/>
      <c r="AM235" s="8"/>
    </row>
    <row r="236" customFormat="false" ht="15.75" hidden="false" customHeight="true" outlineLevel="0" collapsed="false">
      <c r="A236" s="30" t="n">
        <v>46303</v>
      </c>
      <c r="B236" s="31" t="s">
        <v>294</v>
      </c>
      <c r="C236" s="31" t="str">
        <f aca="false" t="array" ref="C236:C236">IF(B236="","",IFERROR(INDEX('CLM &amp; IM Mapping'!$B$2:$B$270,MATCH(TRIM(B236),'CLM &amp; IM Mapping'!$A$2:$A$270,0)),"Not Mapped"))</f>
        <v>Manoj Kj</v>
      </c>
      <c r="D236" s="31" t="str">
        <f aca="false" t="array" ref="D236:D236">IF(B236="","",IFERROR(INDEX('CLM &amp; IM Mapping'!$C$2:$C$270,MATCH(TRIM(B236),'CLM &amp; IM Mapping'!$A$2:$A$270,0)),"Not Mapped"))</f>
        <v>Srittam Dhal</v>
      </c>
      <c r="E236" s="31" t="s">
        <v>34</v>
      </c>
      <c r="F236" s="31" t="s">
        <v>562</v>
      </c>
      <c r="G236" s="31" t="s">
        <v>23</v>
      </c>
      <c r="H236" s="17" t="n">
        <v>4048</v>
      </c>
      <c r="I236" s="32" t="n">
        <v>0.7</v>
      </c>
      <c r="J236" s="33" t="n">
        <v>0.95</v>
      </c>
      <c r="K236" s="33" t="n">
        <v>0.87</v>
      </c>
      <c r="L236" s="33" t="n">
        <v>0.96</v>
      </c>
      <c r="M236" s="33" t="n">
        <v>0.87</v>
      </c>
      <c r="N236" s="11" t="n">
        <v>7</v>
      </c>
      <c r="O236" s="19"/>
      <c r="P236" s="11"/>
      <c r="Q236" s="8"/>
      <c r="R236" s="8"/>
      <c r="S236" s="8"/>
      <c r="T236" s="8"/>
      <c r="U236" s="8"/>
      <c r="V236" s="8"/>
      <c r="W236" s="8"/>
      <c r="X236" s="8"/>
      <c r="Y236" s="8"/>
      <c r="Z236" s="8"/>
      <c r="AA236" s="35"/>
      <c r="AB236" s="35"/>
      <c r="AC236" s="35"/>
      <c r="AD236" s="35"/>
      <c r="AE236" s="8"/>
      <c r="AF236" s="8"/>
      <c r="AG236" s="8"/>
      <c r="AH236" s="8"/>
      <c r="AI236" s="8"/>
      <c r="AJ236" s="8"/>
      <c r="AK236" s="8"/>
      <c r="AL236" s="8"/>
      <c r="AM236" s="8"/>
    </row>
    <row r="237" customFormat="false" ht="15.75" hidden="false" customHeight="true" outlineLevel="0" collapsed="false">
      <c r="A237" s="30" t="n">
        <v>46303</v>
      </c>
      <c r="B237" s="31" t="s">
        <v>443</v>
      </c>
      <c r="C237" s="31" t="str">
        <f aca="false" t="array" ref="C237:C237">IF(B237="","",IFERROR(INDEX('CLM &amp; IM Mapping'!$B$2:$B$270,MATCH(TRIM(B237),'CLM &amp; IM Mapping'!$A$2:$A$270,0)),"Not Mapped"))</f>
        <v>Manoj Kj</v>
      </c>
      <c r="D237" s="31" t="str">
        <f aca="false" t="array" ref="D237:D237">IF(B237="","",IFERROR(INDEX('CLM &amp; IM Mapping'!$C$2:$C$270,MATCH(TRIM(B237),'CLM &amp; IM Mapping'!$A$2:$A$270,0)),"Not Mapped"))</f>
        <v>Srittam Dhal</v>
      </c>
      <c r="E237" s="31" t="s">
        <v>34</v>
      </c>
      <c r="F237" s="31" t="s">
        <v>565</v>
      </c>
      <c r="G237" s="31" t="s">
        <v>23</v>
      </c>
      <c r="H237" s="17" t="n">
        <v>4531</v>
      </c>
      <c r="I237" s="32" t="n">
        <v>0.7</v>
      </c>
      <c r="J237" s="33" t="n">
        <v>0.95</v>
      </c>
      <c r="K237" s="33" t="n">
        <v>0.87</v>
      </c>
      <c r="L237" s="33" t="n">
        <v>0.98</v>
      </c>
      <c r="M237" s="33" t="n">
        <v>0.87</v>
      </c>
      <c r="N237" s="11" t="n">
        <v>6</v>
      </c>
      <c r="O237" s="19"/>
      <c r="P237" s="11"/>
      <c r="Q237" s="8"/>
      <c r="R237" s="8"/>
      <c r="S237" s="8"/>
      <c r="T237" s="8"/>
      <c r="U237" s="8"/>
      <c r="V237" s="8"/>
      <c r="W237" s="8"/>
      <c r="X237" s="8"/>
      <c r="Y237" s="8"/>
      <c r="Z237" s="8"/>
      <c r="AA237" s="35"/>
      <c r="AB237" s="35"/>
      <c r="AC237" s="35"/>
      <c r="AD237" s="35"/>
      <c r="AE237" s="8"/>
      <c r="AF237" s="8"/>
      <c r="AG237" s="8"/>
      <c r="AH237" s="8"/>
      <c r="AI237" s="8"/>
      <c r="AJ237" s="8"/>
      <c r="AK237" s="8"/>
      <c r="AL237" s="8"/>
      <c r="AM237" s="8"/>
    </row>
    <row r="238" customFormat="false" ht="15.75" hidden="false" customHeight="true" outlineLevel="0" collapsed="false">
      <c r="A238" s="30" t="n">
        <v>46303</v>
      </c>
      <c r="B238" s="31" t="s">
        <v>460</v>
      </c>
      <c r="C238" s="31" t="str">
        <f aca="false" t="array" ref="C238:C238">IF(B238="","",IFERROR(INDEX('CLM &amp; IM Mapping'!$B$2:$B$270,MATCH(TRIM(B238),'CLM &amp; IM Mapping'!$A$2:$A$270,0)),"Not Mapped"))</f>
        <v>Vijay M</v>
      </c>
      <c r="D238" s="31" t="str">
        <f aca="false" t="array" ref="D238:D238">IF(B238="","",IFERROR(INDEX('CLM &amp; IM Mapping'!$C$2:$C$270,MATCH(TRIM(B238),'CLM &amp; IM Mapping'!$A$2:$A$270,0)),"Not Mapped"))</f>
        <v>Kantha Kumar</v>
      </c>
      <c r="E238" s="31" t="s">
        <v>34</v>
      </c>
      <c r="F238" s="31" t="s">
        <v>562</v>
      </c>
      <c r="G238" s="31" t="s">
        <v>23</v>
      </c>
      <c r="H238" s="17" t="n">
        <v>5762</v>
      </c>
      <c r="I238" s="32" t="n">
        <v>0.7</v>
      </c>
      <c r="J238" s="33" t="n">
        <v>0.95</v>
      </c>
      <c r="K238" s="33" t="n">
        <v>0.88</v>
      </c>
      <c r="L238" s="33" t="n">
        <v>0.95</v>
      </c>
      <c r="M238" s="33" t="n">
        <v>0.88</v>
      </c>
      <c r="N238" s="11" t="n">
        <v>4</v>
      </c>
      <c r="O238" s="19"/>
      <c r="P238" s="11"/>
      <c r="Q238" s="8"/>
      <c r="R238" s="8"/>
      <c r="S238" s="8"/>
      <c r="T238" s="8"/>
      <c r="U238" s="8"/>
      <c r="V238" s="8"/>
      <c r="W238" s="8"/>
      <c r="X238" s="8"/>
      <c r="Y238" s="8"/>
      <c r="Z238" s="8"/>
      <c r="AA238" s="35"/>
      <c r="AB238" s="35"/>
      <c r="AC238" s="35"/>
      <c r="AD238" s="8"/>
      <c r="AE238" s="8"/>
      <c r="AF238" s="8"/>
      <c r="AG238" s="8"/>
      <c r="AH238" s="8"/>
      <c r="AI238" s="8"/>
      <c r="AJ238" s="8"/>
      <c r="AK238" s="8"/>
      <c r="AL238" s="8"/>
      <c r="AM238" s="8"/>
    </row>
    <row r="239" customFormat="false" ht="15.75" hidden="false" customHeight="true" outlineLevel="0" collapsed="false">
      <c r="A239" s="30" t="n">
        <v>46303</v>
      </c>
      <c r="B239" s="31" t="s">
        <v>457</v>
      </c>
      <c r="C239" s="31" t="str">
        <f aca="false" t="array" ref="C239:C239">IF(B239="","",IFERROR(INDEX('CLM &amp; IM Mapping'!$B$2:$B$270,MATCH(TRIM(B239),'CLM &amp; IM Mapping'!$A$2:$A$270,0)),"Not Mapped"))</f>
        <v>Saddam Hussain</v>
      </c>
      <c r="D239" s="31" t="str">
        <f aca="false" t="array" ref="D239:D239">IF(B239="","",IFERROR(INDEX('CLM &amp; IM Mapping'!$C$2:$C$270,MATCH(TRIM(B239),'CLM &amp; IM Mapping'!$A$2:$A$270,0)),"Not Mapped"))</f>
        <v>Un Mapped</v>
      </c>
      <c r="E239" s="31" t="s">
        <v>34</v>
      </c>
      <c r="F239" s="31" t="s">
        <v>562</v>
      </c>
      <c r="G239" s="31" t="s">
        <v>23</v>
      </c>
      <c r="H239" s="17" t="n">
        <v>6286</v>
      </c>
      <c r="I239" s="32" t="n">
        <v>0.7</v>
      </c>
      <c r="J239" s="33" t="n">
        <v>0.95</v>
      </c>
      <c r="K239" s="33" t="n">
        <v>0.97</v>
      </c>
      <c r="L239" s="33" t="n">
        <v>0.99</v>
      </c>
      <c r="M239" s="33" t="n">
        <v>0.97</v>
      </c>
      <c r="N239" s="11" t="n">
        <v>3</v>
      </c>
      <c r="O239" s="19"/>
      <c r="P239" s="11"/>
      <c r="Q239" s="8"/>
      <c r="R239" s="8"/>
      <c r="S239" s="8"/>
      <c r="T239" s="8"/>
      <c r="U239" s="8"/>
      <c r="V239" s="8"/>
      <c r="W239" s="8"/>
      <c r="X239" s="8"/>
      <c r="Y239" s="8"/>
      <c r="Z239" s="8"/>
      <c r="AA239" s="35"/>
      <c r="AB239" s="35"/>
      <c r="AC239" s="35"/>
      <c r="AD239" s="35"/>
      <c r="AE239" s="8"/>
      <c r="AF239" s="8"/>
      <c r="AG239" s="8"/>
      <c r="AH239" s="8"/>
      <c r="AI239" s="8"/>
      <c r="AJ239" s="8"/>
      <c r="AK239" s="8"/>
      <c r="AL239" s="8"/>
      <c r="AM239" s="8"/>
    </row>
    <row r="240" customFormat="false" ht="15.75" hidden="false" customHeight="true" outlineLevel="0" collapsed="false">
      <c r="A240" s="30" t="n">
        <v>46303</v>
      </c>
      <c r="B240" s="31" t="s">
        <v>525</v>
      </c>
      <c r="C240" s="31" t="str">
        <f aca="false" t="array" ref="C240:C240">IF(B240="","",IFERROR(INDEX('CLM &amp; IM Mapping'!$B$2:$B$270,MATCH(TRIM(B240),'CLM &amp; IM Mapping'!$A$2:$A$270,0)),"Not Mapped"))</f>
        <v>Saddam Hussain</v>
      </c>
      <c r="D240" s="31" t="str">
        <f aca="false" t="array" ref="D240:D240">IF(B240="","",IFERROR(INDEX('CLM &amp; IM Mapping'!$C$2:$C$270,MATCH(TRIM(B240),'CLM &amp; IM Mapping'!$A$2:$A$270,0)),"Not Mapped"))</f>
        <v>Un Mapped</v>
      </c>
      <c r="E240" s="31" t="s">
        <v>34</v>
      </c>
      <c r="F240" s="31" t="s">
        <v>562</v>
      </c>
      <c r="G240" s="31" t="s">
        <v>23</v>
      </c>
      <c r="H240" s="17" t="n">
        <v>5194</v>
      </c>
      <c r="I240" s="32" t="n">
        <v>0.7</v>
      </c>
      <c r="J240" s="33" t="n">
        <v>0.96</v>
      </c>
      <c r="K240" s="33" t="n">
        <v>0.95</v>
      </c>
      <c r="L240" s="33" t="n">
        <v>0.99</v>
      </c>
      <c r="M240" s="33" t="n">
        <v>0.95</v>
      </c>
      <c r="N240" s="11" t="n">
        <v>3</v>
      </c>
      <c r="O240" s="19"/>
      <c r="P240" s="11"/>
      <c r="Q240" s="8"/>
      <c r="R240" s="8"/>
      <c r="S240" s="8"/>
      <c r="T240" s="8"/>
      <c r="U240" s="8"/>
      <c r="V240" s="8"/>
      <c r="W240" s="8"/>
      <c r="X240" s="8"/>
      <c r="Y240" s="8"/>
      <c r="Z240" s="8"/>
      <c r="AA240" s="35"/>
      <c r="AB240" s="35"/>
      <c r="AC240" s="35"/>
      <c r="AD240" s="35"/>
      <c r="AE240" s="8"/>
      <c r="AF240" s="8"/>
      <c r="AG240" s="8"/>
      <c r="AH240" s="8"/>
      <c r="AI240" s="8"/>
      <c r="AJ240" s="8"/>
      <c r="AK240" s="8"/>
      <c r="AL240" s="8"/>
      <c r="AM240" s="8"/>
    </row>
    <row r="241" customFormat="false" ht="15.75" hidden="false" customHeight="true" outlineLevel="0" collapsed="false">
      <c r="A241" s="30" t="n">
        <v>46303</v>
      </c>
      <c r="B241" s="31" t="s">
        <v>277</v>
      </c>
      <c r="C241" s="31" t="str">
        <f aca="false" t="array" ref="C241:C241">IF(B241="","",IFERROR(INDEX('CLM &amp; IM Mapping'!$B$2:$B$270,MATCH(TRIM(B241),'CLM &amp; IM Mapping'!$A$2:$A$270,0)),"Not Mapped"))</f>
        <v>Santhosha M</v>
      </c>
      <c r="D241" s="31" t="str">
        <f aca="false" t="array" ref="D241:D241">IF(B241="","",IFERROR(INDEX('CLM &amp; IM Mapping'!$C$2:$C$270,MATCH(TRIM(B241),'CLM &amp; IM Mapping'!$A$2:$A$270,0)),"Not Mapped"))</f>
        <v>Aravind S</v>
      </c>
      <c r="E241" s="31" t="s">
        <v>34</v>
      </c>
      <c r="F241" s="31" t="s">
        <v>565</v>
      </c>
      <c r="G241" s="31" t="s">
        <v>276</v>
      </c>
      <c r="H241" s="17" t="n">
        <v>5519</v>
      </c>
      <c r="I241" s="32" t="n">
        <v>0.7</v>
      </c>
      <c r="J241" s="33" t="n">
        <v>0.96</v>
      </c>
      <c r="K241" s="33" t="n">
        <v>0.86</v>
      </c>
      <c r="L241" s="33" t="n">
        <v>0.96</v>
      </c>
      <c r="M241" s="33" t="n">
        <v>0.86</v>
      </c>
      <c r="N241" s="11" t="n">
        <v>2</v>
      </c>
      <c r="O241" s="19"/>
      <c r="P241" s="11"/>
      <c r="Q241" s="8"/>
      <c r="R241" s="8"/>
      <c r="S241" s="8"/>
      <c r="T241" s="8"/>
      <c r="U241" s="8"/>
      <c r="V241" s="8"/>
      <c r="W241" s="8"/>
      <c r="X241" s="8"/>
      <c r="Y241" s="8"/>
      <c r="Z241" s="8"/>
      <c r="AA241" s="35"/>
      <c r="AB241" s="35"/>
      <c r="AC241" s="35"/>
      <c r="AD241" s="35"/>
      <c r="AE241" s="8"/>
      <c r="AF241" s="8"/>
      <c r="AG241" s="8"/>
      <c r="AH241" s="8"/>
      <c r="AI241" s="8"/>
      <c r="AJ241" s="8"/>
      <c r="AK241" s="8"/>
      <c r="AL241" s="8"/>
      <c r="AM241" s="8"/>
    </row>
    <row r="242" customFormat="false" ht="15.75" hidden="false" customHeight="true" outlineLevel="0" collapsed="false">
      <c r="A242" s="30" t="n">
        <v>46303</v>
      </c>
      <c r="B242" s="31" t="s">
        <v>524</v>
      </c>
      <c r="C242" s="31" t="str">
        <f aca="false" t="array" ref="C242:C242">IF(B242="","",IFERROR(INDEX('CLM &amp; IM Mapping'!$B$2:$B$270,MATCH(TRIM(B242),'CLM &amp; IM Mapping'!$A$2:$A$270,0)),"Not Mapped"))</f>
        <v>Balaji G</v>
      </c>
      <c r="D242" s="31" t="str">
        <f aca="false" t="array" ref="D242:D242">IF(B242="","",IFERROR(INDEX('CLM &amp; IM Mapping'!$C$2:$C$270,MATCH(TRIM(B242),'CLM &amp; IM Mapping'!$A$2:$A$270,0)),"Not Mapped"))</f>
        <v>Mohammed Akbar</v>
      </c>
      <c r="E242" s="31" t="s">
        <v>34</v>
      </c>
      <c r="F242" s="31" t="s">
        <v>562</v>
      </c>
      <c r="G242" s="31" t="s">
        <v>23</v>
      </c>
      <c r="H242" s="17" t="n">
        <v>2473</v>
      </c>
      <c r="I242" s="32" t="n">
        <v>0.7</v>
      </c>
      <c r="J242" s="33" t="n">
        <v>0.97</v>
      </c>
      <c r="K242" s="33" t="n">
        <v>0.83</v>
      </c>
      <c r="L242" s="33" t="n">
        <v>0.97</v>
      </c>
      <c r="M242" s="33" t="n">
        <v>0.83</v>
      </c>
      <c r="N242" s="11" t="n">
        <v>6</v>
      </c>
      <c r="O242" s="12" t="s">
        <v>647</v>
      </c>
      <c r="P242" s="12" t="s">
        <v>600</v>
      </c>
      <c r="Q242" s="8"/>
      <c r="R242" s="8"/>
      <c r="S242" s="8"/>
      <c r="T242" s="8"/>
      <c r="U242" s="8"/>
      <c r="V242" s="8"/>
      <c r="W242" s="8"/>
      <c r="X242" s="8"/>
      <c r="Y242" s="8"/>
      <c r="Z242" s="8"/>
      <c r="AA242" s="35"/>
      <c r="AB242" s="35"/>
      <c r="AC242" s="35"/>
      <c r="AD242" s="35"/>
      <c r="AE242" s="8"/>
      <c r="AF242" s="8"/>
      <c r="AG242" s="8"/>
      <c r="AH242" s="8"/>
      <c r="AI242" s="8"/>
      <c r="AJ242" s="8"/>
      <c r="AK242" s="8"/>
      <c r="AL242" s="8"/>
      <c r="AM242" s="8"/>
    </row>
    <row r="243" customFormat="false" ht="15.75" hidden="false" customHeight="true" outlineLevel="0" collapsed="false">
      <c r="A243" s="30" t="n">
        <v>46303</v>
      </c>
      <c r="B243" s="31" t="s">
        <v>425</v>
      </c>
      <c r="C243" s="31" t="str">
        <f aca="false" t="array" ref="C243:C243">IF(B243="","",IFERROR(INDEX('CLM &amp; IM Mapping'!$B$2:$B$270,MATCH(TRIM(B243),'CLM &amp; IM Mapping'!$A$2:$A$270,0)),"Not Mapped"))</f>
        <v>Santhosha M</v>
      </c>
      <c r="D243" s="31" t="str">
        <f aca="false" t="array" ref="D243:D243">IF(B243="","",IFERROR(INDEX('CLM &amp; IM Mapping'!$C$2:$C$270,MATCH(TRIM(B243),'CLM &amp; IM Mapping'!$A$2:$A$270,0)),"Not Mapped"))</f>
        <v>Aravind S</v>
      </c>
      <c r="E243" s="31" t="s">
        <v>34</v>
      </c>
      <c r="F243" s="31" t="s">
        <v>565</v>
      </c>
      <c r="G243" s="31" t="s">
        <v>276</v>
      </c>
      <c r="H243" s="17" t="n">
        <v>7259</v>
      </c>
      <c r="I243" s="32" t="n">
        <v>0.7</v>
      </c>
      <c r="J243" s="33" t="n">
        <v>0.97</v>
      </c>
      <c r="K243" s="33" t="n">
        <v>0.96</v>
      </c>
      <c r="L243" s="33" t="n">
        <v>0.98</v>
      </c>
      <c r="M243" s="33" t="n">
        <v>0.96</v>
      </c>
      <c r="N243" s="11" t="n">
        <v>2</v>
      </c>
      <c r="O243" s="19"/>
      <c r="P243" s="11"/>
      <c r="Q243" s="8"/>
      <c r="R243" s="8"/>
      <c r="S243" s="8"/>
      <c r="T243" s="8"/>
      <c r="U243" s="8"/>
      <c r="V243" s="8"/>
      <c r="W243" s="8"/>
      <c r="X243" s="8"/>
      <c r="Y243" s="8"/>
      <c r="Z243" s="8"/>
      <c r="AA243" s="35"/>
      <c r="AB243" s="35"/>
      <c r="AC243" s="35"/>
      <c r="AD243" s="35"/>
      <c r="AE243" s="8"/>
      <c r="AF243" s="8"/>
      <c r="AG243" s="8"/>
      <c r="AH243" s="8"/>
      <c r="AI243" s="8"/>
      <c r="AJ243" s="8"/>
      <c r="AK243" s="8"/>
      <c r="AL243" s="8"/>
      <c r="AM243" s="8"/>
    </row>
    <row r="244" customFormat="false" ht="15.75" hidden="false" customHeight="true" outlineLevel="0" collapsed="false">
      <c r="A244" s="30" t="n">
        <v>46303</v>
      </c>
      <c r="B244" s="31" t="s">
        <v>450</v>
      </c>
      <c r="C244" s="31" t="str">
        <f aca="false" t="array" ref="C244:C244">IF(B244="","",IFERROR(INDEX('CLM &amp; IM Mapping'!$B$2:$B$270,MATCH(TRIM(B244),'CLM &amp; IM Mapping'!$A$2:$A$270,0)),"Not Mapped"))</f>
        <v>Santhosha M</v>
      </c>
      <c r="D244" s="31" t="str">
        <f aca="false" t="array" ref="D244:D244">IF(B244="","",IFERROR(INDEX('CLM &amp; IM Mapping'!$C$2:$C$270,MATCH(TRIM(B244),'CLM &amp; IM Mapping'!$A$2:$A$270,0)),"Not Mapped"))</f>
        <v>Aravind S</v>
      </c>
      <c r="E244" s="31" t="s">
        <v>34</v>
      </c>
      <c r="F244" s="31" t="s">
        <v>562</v>
      </c>
      <c r="G244" s="31" t="s">
        <v>276</v>
      </c>
      <c r="H244" s="17" t="n">
        <v>4633</v>
      </c>
      <c r="I244" s="32" t="n">
        <v>0.7</v>
      </c>
      <c r="J244" s="33" t="n">
        <v>0.98</v>
      </c>
      <c r="K244" s="33" t="n">
        <v>0.95</v>
      </c>
      <c r="L244" s="33" t="n">
        <v>0.98</v>
      </c>
      <c r="M244" s="33" t="n">
        <v>0.95</v>
      </c>
      <c r="N244" s="11" t="n">
        <v>2</v>
      </c>
      <c r="O244" s="19"/>
      <c r="P244" s="11"/>
      <c r="Q244" s="8"/>
      <c r="R244" s="8"/>
      <c r="S244" s="8"/>
      <c r="T244" s="8"/>
      <c r="U244" s="8"/>
      <c r="V244" s="8"/>
      <c r="W244" s="8"/>
      <c r="X244" s="8"/>
      <c r="Y244" s="8"/>
      <c r="Z244" s="8"/>
      <c r="AA244" s="35"/>
      <c r="AB244" s="35"/>
      <c r="AC244" s="35"/>
      <c r="AD244" s="35"/>
      <c r="AE244" s="8"/>
      <c r="AF244" s="8"/>
      <c r="AG244" s="8"/>
      <c r="AH244" s="8"/>
      <c r="AI244" s="8"/>
      <c r="AJ244" s="8"/>
      <c r="AK244" s="8"/>
      <c r="AL244" s="8"/>
      <c r="AM244" s="8"/>
    </row>
    <row r="245" customFormat="false" ht="15.75" hidden="false" customHeight="true" outlineLevel="0" collapsed="false">
      <c r="A245" s="30" t="n">
        <v>46303</v>
      </c>
      <c r="B245" s="31" t="s">
        <v>473</v>
      </c>
      <c r="C245" s="31" t="str">
        <f aca="false" t="array" ref="C245:C245">IF(B245="","",IFERROR(INDEX('CLM &amp; IM Mapping'!$B$2:$B$270,MATCH(TRIM(B245),'CLM &amp; IM Mapping'!$A$2:$A$270,0)),"Not Mapped"))</f>
        <v>Raghavendra Vernekar</v>
      </c>
      <c r="D245" s="31" t="str">
        <f aca="false" t="array" ref="D245:D245">IF(B245="","",IFERROR(INDEX('CLM &amp; IM Mapping'!$C$2:$C$270,MATCH(TRIM(B245),'CLM &amp; IM Mapping'!$A$2:$A$270,0)),"Not Mapped"))</f>
        <v>Prakash BS</v>
      </c>
      <c r="E245" s="31" t="s">
        <v>34</v>
      </c>
      <c r="F245" s="31" t="s">
        <v>565</v>
      </c>
      <c r="G245" s="31" t="s">
        <v>23</v>
      </c>
      <c r="H245" s="17" t="n">
        <v>4755</v>
      </c>
      <c r="I245" s="32" t="n">
        <v>0.7</v>
      </c>
      <c r="J245" s="33" t="n">
        <v>0.99</v>
      </c>
      <c r="K245" s="33" t="n">
        <v>0.94</v>
      </c>
      <c r="L245" s="33" t="n">
        <v>0.99</v>
      </c>
      <c r="M245" s="33" t="n">
        <v>0.94</v>
      </c>
      <c r="N245" s="11" t="n">
        <v>4</v>
      </c>
      <c r="O245" s="12" t="s">
        <v>649</v>
      </c>
      <c r="P245" s="37"/>
      <c r="Q245" s="8"/>
      <c r="R245" s="8"/>
      <c r="S245" s="8"/>
      <c r="T245" s="8"/>
      <c r="U245" s="8"/>
      <c r="V245" s="8"/>
      <c r="W245" s="8"/>
      <c r="X245" s="8"/>
      <c r="Y245" s="8"/>
      <c r="Z245" s="8"/>
      <c r="AA245" s="35"/>
      <c r="AB245" s="35"/>
      <c r="AC245" s="35"/>
      <c r="AD245" s="35"/>
      <c r="AE245" s="8"/>
      <c r="AF245" s="8"/>
      <c r="AG245" s="8"/>
      <c r="AH245" s="8"/>
      <c r="AI245" s="8"/>
      <c r="AJ245" s="8"/>
      <c r="AK245" s="8"/>
      <c r="AL245" s="8"/>
      <c r="AM245" s="8"/>
    </row>
    <row r="246" customFormat="false" ht="15.75" hidden="false" customHeight="true" outlineLevel="0" collapsed="false">
      <c r="A246" s="30" t="n">
        <v>46303</v>
      </c>
      <c r="B246" s="31" t="s">
        <v>507</v>
      </c>
      <c r="C246" s="31" t="str">
        <f aca="false" t="array" ref="C246:C246">IF(B246="","",IFERROR(INDEX('CLM &amp; IM Mapping'!$B$2:$B$270,MATCH(TRIM(B246),'CLM &amp; IM Mapping'!$A$2:$A$270,0)),"Not Mapped"))</f>
        <v>Raghavendra Vernekar</v>
      </c>
      <c r="D246" s="31" t="str">
        <f aca="false" t="array" ref="D246:D246">IF(B246="","",IFERROR(INDEX('CLM &amp; IM Mapping'!$C$2:$C$270,MATCH(TRIM(B246),'CLM &amp; IM Mapping'!$A$2:$A$270,0)),"Not Mapped"))</f>
        <v>Prakash BS</v>
      </c>
      <c r="E246" s="31" t="s">
        <v>34</v>
      </c>
      <c r="F246" s="31" t="s">
        <v>562</v>
      </c>
      <c r="G246" s="31" t="s">
        <v>23</v>
      </c>
      <c r="H246" s="17" t="n">
        <v>5768</v>
      </c>
      <c r="I246" s="32" t="n">
        <v>0.7</v>
      </c>
      <c r="J246" s="33" t="n">
        <v>0.99</v>
      </c>
      <c r="K246" s="33" t="n">
        <v>0.95</v>
      </c>
      <c r="L246" s="33" t="n">
        <v>0.99</v>
      </c>
      <c r="M246" s="31"/>
      <c r="N246" s="11" t="n">
        <v>6</v>
      </c>
      <c r="O246" s="12" t="s">
        <v>649</v>
      </c>
      <c r="P246" s="37"/>
      <c r="Q246" s="8"/>
      <c r="R246" s="8"/>
      <c r="S246" s="8"/>
      <c r="T246" s="8"/>
      <c r="U246" s="8"/>
      <c r="V246" s="8"/>
      <c r="W246" s="8"/>
      <c r="X246" s="8"/>
      <c r="Y246" s="8"/>
      <c r="Z246" s="8"/>
      <c r="AA246" s="35"/>
      <c r="AB246" s="35"/>
      <c r="AC246" s="35"/>
      <c r="AD246" s="35"/>
      <c r="AE246" s="8"/>
      <c r="AF246" s="8"/>
      <c r="AG246" s="8"/>
      <c r="AH246" s="8"/>
      <c r="AI246" s="8"/>
      <c r="AJ246" s="8"/>
      <c r="AK246" s="8"/>
      <c r="AL246" s="8"/>
      <c r="AM246" s="8"/>
    </row>
    <row r="247" customFormat="false" ht="15.75" hidden="false" customHeight="true" outlineLevel="0" collapsed="false">
      <c r="A247" s="30" t="n">
        <v>46303</v>
      </c>
      <c r="B247" s="31" t="s">
        <v>492</v>
      </c>
      <c r="C247" s="31" t="str">
        <f aca="false" t="array" ref="C247:C247">IF(B247="","",IFERROR(INDEX('CLM &amp; IM Mapping'!$B$2:$B$270,MATCH(TRIM(B247),'CLM &amp; IM Mapping'!$A$2:$A$270,0)),"Not Mapped"))</f>
        <v>Balaji G</v>
      </c>
      <c r="D247" s="31" t="str">
        <f aca="false" t="array" ref="D247:D247">IF(B247="","",IFERROR(INDEX('CLM &amp; IM Mapping'!$C$2:$C$270,MATCH(TRIM(B247),'CLM &amp; IM Mapping'!$A$2:$A$270,0)),"Not Mapped"))</f>
        <v>Mohammed Akbar</v>
      </c>
      <c r="E247" s="31" t="s">
        <v>34</v>
      </c>
      <c r="F247" s="31" t="s">
        <v>562</v>
      </c>
      <c r="G247" s="31" t="s">
        <v>23</v>
      </c>
      <c r="H247" s="17" t="n">
        <v>5005</v>
      </c>
      <c r="I247" s="32" t="n">
        <v>0.7</v>
      </c>
      <c r="J247" s="33" t="n">
        <v>0.99</v>
      </c>
      <c r="K247" s="33" t="n">
        <v>0.95</v>
      </c>
      <c r="L247" s="33" t="n">
        <v>0.99</v>
      </c>
      <c r="M247" s="31"/>
      <c r="N247" s="11" t="n">
        <v>3</v>
      </c>
      <c r="O247" s="12" t="s">
        <v>647</v>
      </c>
      <c r="P247" s="12" t="s">
        <v>600</v>
      </c>
      <c r="Q247" s="8"/>
      <c r="R247" s="8"/>
      <c r="S247" s="8"/>
      <c r="T247" s="8"/>
      <c r="U247" s="8"/>
      <c r="V247" s="8"/>
      <c r="W247" s="8"/>
      <c r="X247" s="8"/>
      <c r="Y247" s="8"/>
      <c r="Z247" s="8"/>
      <c r="AA247" s="35"/>
      <c r="AB247" s="35"/>
      <c r="AC247" s="35"/>
      <c r="AD247" s="35"/>
      <c r="AE247" s="8"/>
      <c r="AF247" s="8"/>
      <c r="AG247" s="8"/>
      <c r="AH247" s="8"/>
      <c r="AI247" s="8"/>
      <c r="AJ247" s="8"/>
      <c r="AK247" s="8"/>
      <c r="AL247" s="8"/>
      <c r="AM247" s="8"/>
    </row>
    <row r="248" customFormat="false" ht="15.75" hidden="false" customHeight="true" outlineLevel="0" collapsed="false">
      <c r="A248" s="30" t="n">
        <v>46303</v>
      </c>
      <c r="B248" s="31" t="s">
        <v>521</v>
      </c>
      <c r="C248" s="31" t="str">
        <f aca="false" t="array" ref="C248:C248">IF(B248="","",IFERROR(INDEX('CLM &amp; IM Mapping'!$B$2:$B$270,MATCH(TRIM(B248),'CLM &amp; IM Mapping'!$A$2:$A$270,0)),"Not Mapped"))</f>
        <v>Mohaideen DH</v>
      </c>
      <c r="D248" s="31" t="str">
        <f aca="false" t="array" ref="D248:D248">IF(B248="","",IFERROR(INDEX('CLM &amp; IM Mapping'!$C$2:$C$270,MATCH(TRIM(B248),'CLM &amp; IM Mapping'!$A$2:$A$270,0)),"Not Mapped"))</f>
        <v>Mohammed Akbar</v>
      </c>
      <c r="E248" s="31" t="s">
        <v>34</v>
      </c>
      <c r="F248" s="31" t="s">
        <v>562</v>
      </c>
      <c r="G248" s="31" t="s">
        <v>23</v>
      </c>
      <c r="H248" s="17" t="n">
        <v>4463</v>
      </c>
      <c r="I248" s="32" t="n">
        <v>0.7</v>
      </c>
      <c r="J248" s="33" t="n">
        <v>1</v>
      </c>
      <c r="K248" s="33" t="n">
        <v>0.93</v>
      </c>
      <c r="L248" s="33" t="n">
        <v>0.99</v>
      </c>
      <c r="M248" s="33" t="n">
        <v>0.93</v>
      </c>
      <c r="N248" s="11" t="n">
        <v>4</v>
      </c>
      <c r="O248" s="12" t="s">
        <v>649</v>
      </c>
      <c r="P248" s="11"/>
      <c r="Q248" s="8"/>
      <c r="R248" s="8"/>
      <c r="S248" s="8"/>
      <c r="T248" s="8"/>
      <c r="U248" s="8"/>
      <c r="V248" s="8"/>
      <c r="W248" s="8"/>
      <c r="X248" s="8"/>
      <c r="Y248" s="8"/>
      <c r="Z248" s="8"/>
      <c r="AA248" s="35"/>
      <c r="AB248" s="35"/>
      <c r="AC248" s="35"/>
      <c r="AD248" s="35"/>
      <c r="AE248" s="8"/>
      <c r="AF248" s="8"/>
      <c r="AG248" s="8"/>
      <c r="AH248" s="8"/>
      <c r="AI248" s="8"/>
      <c r="AJ248" s="8"/>
      <c r="AK248" s="8"/>
      <c r="AL248" s="8"/>
      <c r="AM248" s="8"/>
    </row>
    <row r="249" customFormat="false" ht="15.75" hidden="false" customHeight="true" outlineLevel="0" collapsed="false">
      <c r="A249" s="30" t="n">
        <v>46303</v>
      </c>
      <c r="B249" s="31" t="s">
        <v>515</v>
      </c>
      <c r="C249" s="31" t="str">
        <f aca="false" t="array" ref="C249:C249">IF(B249="","",IFERROR(INDEX('CLM &amp; IM Mapping'!$B$2:$B$270,MATCH(TRIM(B249),'CLM &amp; IM Mapping'!$A$2:$A$270,0)),"Not Mapped"))</f>
        <v>Balaji G</v>
      </c>
      <c r="D249" s="31" t="str">
        <f aca="false" t="array" ref="D249:D249">IF(B249="","",IFERROR(INDEX('CLM &amp; IM Mapping'!$C$2:$C$270,MATCH(TRIM(B249),'CLM &amp; IM Mapping'!$A$2:$A$270,0)),"Not Mapped"))</f>
        <v>Mohammed Akbar</v>
      </c>
      <c r="E249" s="31" t="s">
        <v>34</v>
      </c>
      <c r="F249" s="31" t="s">
        <v>562</v>
      </c>
      <c r="G249" s="31" t="s">
        <v>23</v>
      </c>
      <c r="H249" s="17" t="n">
        <v>5077</v>
      </c>
      <c r="I249" s="32" t="n">
        <v>0.7</v>
      </c>
      <c r="J249" s="33" t="n">
        <v>1</v>
      </c>
      <c r="K249" s="33" t="n">
        <v>0.94</v>
      </c>
      <c r="L249" s="33" t="n">
        <v>0.99</v>
      </c>
      <c r="M249" s="33" t="n">
        <v>0.94</v>
      </c>
      <c r="N249" s="11" t="n">
        <v>5</v>
      </c>
      <c r="O249" s="12" t="s">
        <v>647</v>
      </c>
      <c r="P249" s="12" t="s">
        <v>600</v>
      </c>
      <c r="Q249" s="8"/>
      <c r="R249" s="8"/>
      <c r="S249" s="8"/>
      <c r="T249" s="8"/>
      <c r="U249" s="8"/>
      <c r="V249" s="8"/>
      <c r="W249" s="8"/>
      <c r="X249" s="8"/>
      <c r="Y249" s="8"/>
      <c r="Z249" s="8"/>
      <c r="AA249" s="35"/>
      <c r="AB249" s="35"/>
      <c r="AC249" s="35"/>
      <c r="AD249" s="35"/>
      <c r="AE249" s="8"/>
      <c r="AF249" s="8"/>
      <c r="AG249" s="8"/>
      <c r="AH249" s="8"/>
      <c r="AI249" s="8"/>
      <c r="AJ249" s="8"/>
      <c r="AK249" s="8"/>
      <c r="AL249" s="8"/>
      <c r="AM249" s="8"/>
    </row>
    <row r="250" customFormat="false" ht="15.75" hidden="false" customHeight="true" outlineLevel="0" collapsed="false">
      <c r="A250" s="30" t="n">
        <v>46303</v>
      </c>
      <c r="B250" s="31" t="s">
        <v>493</v>
      </c>
      <c r="C250" s="31" t="str">
        <f aca="false" t="array" ref="C250:C250">IF(B250="","",IFERROR(INDEX('CLM &amp; IM Mapping'!$B$2:$B$270,MATCH(TRIM(B250),'CLM &amp; IM Mapping'!$A$2:$A$270,0)),"Not Mapped"))</f>
        <v>Santhosha M</v>
      </c>
      <c r="D250" s="31" t="str">
        <f aca="false" t="array" ref="D250:D250">IF(B250="","",IFERROR(INDEX('CLM &amp; IM Mapping'!$C$2:$C$270,MATCH(TRIM(B250),'CLM &amp; IM Mapping'!$A$2:$A$270,0)),"Not Mapped"))</f>
        <v>Aravind S</v>
      </c>
      <c r="E250" s="31" t="s">
        <v>34</v>
      </c>
      <c r="F250" s="31" t="s">
        <v>565</v>
      </c>
      <c r="G250" s="31" t="s">
        <v>276</v>
      </c>
      <c r="H250" s="17" t="n">
        <v>6590</v>
      </c>
      <c r="I250" s="32" t="n">
        <v>0.7</v>
      </c>
      <c r="J250" s="33" t="n">
        <v>1</v>
      </c>
      <c r="K250" s="33" t="n">
        <v>0.9</v>
      </c>
      <c r="L250" s="33" t="n">
        <v>0.97</v>
      </c>
      <c r="M250" s="33" t="n">
        <v>0.9</v>
      </c>
      <c r="N250" s="11" t="n">
        <v>3</v>
      </c>
      <c r="O250" s="19"/>
      <c r="P250" s="11"/>
      <c r="Q250" s="8"/>
      <c r="R250" s="8"/>
      <c r="S250" s="8"/>
      <c r="T250" s="8"/>
      <c r="U250" s="8"/>
      <c r="V250" s="8"/>
      <c r="W250" s="8"/>
      <c r="X250" s="8"/>
      <c r="Y250" s="8"/>
      <c r="Z250" s="8"/>
      <c r="AA250" s="35"/>
      <c r="AB250" s="35"/>
      <c r="AC250" s="35"/>
      <c r="AD250" s="35"/>
      <c r="AE250" s="8"/>
      <c r="AF250" s="8"/>
      <c r="AG250" s="8"/>
      <c r="AH250" s="8"/>
      <c r="AI250" s="8"/>
      <c r="AJ250" s="8"/>
      <c r="AK250" s="8"/>
      <c r="AL250" s="8"/>
      <c r="AM250" s="8"/>
    </row>
    <row r="251" customFormat="false" ht="15.75" hidden="false" customHeight="true" outlineLevel="0" collapsed="false">
      <c r="A251" s="30" t="n">
        <v>46303</v>
      </c>
      <c r="B251" s="31" t="s">
        <v>503</v>
      </c>
      <c r="C251" s="31" t="str">
        <f aca="false" t="array" ref="C251:C251">IF(B251="","",IFERROR(INDEX('CLM &amp; IM Mapping'!$B$2:$B$270,MATCH(TRIM(B251),'CLM &amp; IM Mapping'!$A$2:$A$270,0)),"Not Mapped"))</f>
        <v>Santhosha M</v>
      </c>
      <c r="D251" s="31" t="str">
        <f aca="false" t="array" ref="D251:D251">IF(B251="","",IFERROR(INDEX('CLM &amp; IM Mapping'!$C$2:$C$270,MATCH(TRIM(B251),'CLM &amp; IM Mapping'!$A$2:$A$270,0)),"Not Mapped"))</f>
        <v>Aravind S</v>
      </c>
      <c r="E251" s="31" t="s">
        <v>34</v>
      </c>
      <c r="F251" s="31" t="s">
        <v>562</v>
      </c>
      <c r="G251" s="31" t="s">
        <v>276</v>
      </c>
      <c r="H251" s="17" t="n">
        <v>4856</v>
      </c>
      <c r="I251" s="32" t="n">
        <v>0.7</v>
      </c>
      <c r="J251" s="33" t="n">
        <v>1</v>
      </c>
      <c r="K251" s="33" t="n">
        <v>0.95</v>
      </c>
      <c r="L251" s="33" t="n">
        <v>0.99</v>
      </c>
      <c r="M251" s="33" t="n">
        <v>0.95</v>
      </c>
      <c r="N251" s="11" t="n">
        <v>2</v>
      </c>
      <c r="O251" s="19"/>
      <c r="P251" s="11"/>
      <c r="Q251" s="8"/>
      <c r="R251" s="8"/>
      <c r="S251" s="8"/>
      <c r="T251" s="8"/>
      <c r="U251" s="8"/>
      <c r="V251" s="8"/>
      <c r="W251" s="8"/>
      <c r="X251" s="8"/>
      <c r="Y251" s="8"/>
      <c r="Z251" s="8"/>
      <c r="AA251" s="35"/>
      <c r="AB251" s="35"/>
      <c r="AC251" s="35"/>
      <c r="AD251" s="35"/>
      <c r="AE251" s="8"/>
      <c r="AF251" s="8"/>
      <c r="AG251" s="8"/>
      <c r="AH251" s="8"/>
      <c r="AI251" s="8"/>
      <c r="AJ251" s="8"/>
      <c r="AK251" s="8"/>
      <c r="AL251" s="8"/>
      <c r="AM251" s="8"/>
    </row>
    <row r="252" customFormat="false" ht="15.75" hidden="false" customHeight="true" outlineLevel="0" collapsed="false">
      <c r="A252" s="30" t="n">
        <v>46303</v>
      </c>
      <c r="B252" s="31" t="s">
        <v>421</v>
      </c>
      <c r="C252" s="31" t="str">
        <f aca="false" t="array" ref="C252:C252">IF(B252="","",IFERROR(INDEX('CLM &amp; IM Mapping'!$B$2:$B$270,MATCH(TRIM(B252),'CLM &amp; IM Mapping'!$A$2:$A$270,0)),"Not Mapped"))</f>
        <v>Santhosha M</v>
      </c>
      <c r="D252" s="31" t="str">
        <f aca="false" t="array" ref="D252:D252">IF(B252="","",IFERROR(INDEX('CLM &amp; IM Mapping'!$C$2:$C$270,MATCH(TRIM(B252),'CLM &amp; IM Mapping'!$A$2:$A$270,0)),"Not Mapped"))</f>
        <v>Aravind S</v>
      </c>
      <c r="E252" s="31" t="s">
        <v>34</v>
      </c>
      <c r="F252" s="31" t="s">
        <v>562</v>
      </c>
      <c r="G252" s="31" t="s">
        <v>276</v>
      </c>
      <c r="H252" s="17" t="n">
        <v>5344</v>
      </c>
      <c r="I252" s="32" t="n">
        <v>0.7</v>
      </c>
      <c r="J252" s="33" t="n">
        <v>1</v>
      </c>
      <c r="K252" s="33" t="n">
        <v>0.97</v>
      </c>
      <c r="L252" s="33" t="n">
        <v>0.99</v>
      </c>
      <c r="M252" s="33" t="n">
        <v>0.97</v>
      </c>
      <c r="N252" s="11" t="n">
        <v>2</v>
      </c>
      <c r="O252" s="19"/>
      <c r="P252" s="11"/>
      <c r="Q252" s="8"/>
      <c r="R252" s="8"/>
      <c r="S252" s="8"/>
      <c r="T252" s="8"/>
      <c r="U252" s="8"/>
      <c r="V252" s="8"/>
      <c r="W252" s="8"/>
      <c r="X252" s="8"/>
      <c r="Y252" s="8"/>
      <c r="Z252" s="8"/>
      <c r="AA252" s="35"/>
      <c r="AB252" s="35"/>
      <c r="AC252" s="35"/>
      <c r="AD252" s="35"/>
      <c r="AE252" s="8"/>
      <c r="AF252" s="8"/>
      <c r="AG252" s="8"/>
      <c r="AH252" s="8"/>
      <c r="AI252" s="8"/>
      <c r="AJ252" s="8"/>
      <c r="AK252" s="8"/>
      <c r="AL252" s="8"/>
      <c r="AM252" s="8"/>
    </row>
    <row r="253" customFormat="false" ht="15.75" hidden="false" customHeight="true" outlineLevel="0" collapsed="false">
      <c r="A253" s="30" t="n">
        <v>46304</v>
      </c>
      <c r="B253" s="31" t="s">
        <v>564</v>
      </c>
      <c r="C253" s="31" t="str">
        <f aca="false" t="array" ref="C253:C253">IF(B253="","",IFERROR(INDEX('CLM &amp; IM Mapping'!$B$2:$B$270,MATCH(TRIM(B253),'CLM &amp; IM Mapping'!$A$2:$A$270,0)),"Not Mapped"))</f>
        <v>Basil Scariya</v>
      </c>
      <c r="D253" s="31" t="str">
        <f aca="false" t="array" ref="D253:D253">IF(B253="","",IFERROR(INDEX('CLM &amp; IM Mapping'!$C$2:$C$270,MATCH(TRIM(B253),'CLM &amp; IM Mapping'!$A$2:$A$270,0)),"Not Mapped"))</f>
        <v>Prakash BS</v>
      </c>
      <c r="E253" s="31" t="s">
        <v>34</v>
      </c>
      <c r="F253" s="31" t="s">
        <v>562</v>
      </c>
      <c r="G253" s="31" t="s">
        <v>23</v>
      </c>
      <c r="H253" s="17" t="n">
        <v>7849</v>
      </c>
      <c r="I253" s="32" t="n">
        <v>0.7</v>
      </c>
      <c r="J253" s="33" t="n">
        <v>0</v>
      </c>
      <c r="K253" s="34"/>
      <c r="L253" s="31"/>
      <c r="M253" s="31"/>
      <c r="N253" s="11"/>
      <c r="O253" s="12" t="s">
        <v>563</v>
      </c>
      <c r="P253" s="11"/>
      <c r="Q253" s="8"/>
      <c r="R253" s="8"/>
      <c r="S253" s="8"/>
      <c r="T253" s="8"/>
      <c r="U253" s="8"/>
      <c r="V253" s="8"/>
      <c r="W253" s="8"/>
      <c r="X253" s="8"/>
      <c r="Y253" s="8"/>
      <c r="Z253" s="8"/>
      <c r="AA253" s="35"/>
      <c r="AB253" s="35"/>
      <c r="AC253" s="35"/>
      <c r="AD253" s="35"/>
      <c r="AE253" s="8"/>
      <c r="AF253" s="8"/>
      <c r="AG253" s="8"/>
      <c r="AH253" s="8"/>
      <c r="AI253" s="8"/>
      <c r="AJ253" s="8"/>
      <c r="AK253" s="8"/>
      <c r="AL253" s="8"/>
      <c r="AM253" s="8"/>
    </row>
    <row r="254" customFormat="false" ht="15.75" hidden="false" customHeight="true" outlineLevel="0" collapsed="false">
      <c r="A254" s="30" t="n">
        <v>46304</v>
      </c>
      <c r="B254" s="31" t="s">
        <v>477</v>
      </c>
      <c r="C254" s="31" t="str">
        <f aca="false" t="array" ref="C254:C254">IF(B254="","",IFERROR(INDEX('CLM &amp; IM Mapping'!$B$2:$B$270,MATCH(TRIM(B254),'CLM &amp; IM Mapping'!$A$2:$A$270,0)),"Not Mapped"))</f>
        <v>MH</v>
      </c>
      <c r="D254" s="31" t="str">
        <f aca="false" t="array" ref="D254:D254">IF(B254="","",IFERROR(INDEX('CLM &amp; IM Mapping'!$C$2:$C$270,MATCH(TRIM(B254),'CLM &amp; IM Mapping'!$A$2:$A$270,0)),"Not Mapped"))</f>
        <v>MH</v>
      </c>
      <c r="E254" s="31" t="s">
        <v>34</v>
      </c>
      <c r="F254" s="31" t="s">
        <v>565</v>
      </c>
      <c r="G254" s="31" t="s">
        <v>23</v>
      </c>
      <c r="H254" s="17" t="n">
        <v>13</v>
      </c>
      <c r="I254" s="32" t="n">
        <v>0.7</v>
      </c>
      <c r="J254" s="33" t="n">
        <v>0</v>
      </c>
      <c r="K254" s="34"/>
      <c r="L254" s="31"/>
      <c r="M254" s="31"/>
      <c r="N254" s="11"/>
      <c r="O254" s="12"/>
      <c r="P254" s="11"/>
      <c r="Q254" s="8"/>
      <c r="R254" s="8"/>
      <c r="S254" s="8"/>
      <c r="T254" s="8"/>
      <c r="U254" s="8"/>
      <c r="V254" s="8"/>
      <c r="W254" s="8"/>
      <c r="X254" s="8"/>
      <c r="Y254" s="8"/>
      <c r="Z254" s="8"/>
      <c r="AA254" s="8"/>
      <c r="AB254" s="8"/>
      <c r="AC254" s="8"/>
      <c r="AD254" s="8"/>
      <c r="AE254" s="8"/>
      <c r="AF254" s="8"/>
      <c r="AG254" s="8"/>
      <c r="AH254" s="8"/>
      <c r="AI254" s="8"/>
      <c r="AJ254" s="8"/>
      <c r="AK254" s="8"/>
      <c r="AL254" s="8"/>
      <c r="AM254" s="8"/>
    </row>
    <row r="255" customFormat="false" ht="15.75" hidden="false" customHeight="true" outlineLevel="0" collapsed="false">
      <c r="A255" s="30" t="n">
        <v>46304</v>
      </c>
      <c r="B255" s="31" t="s">
        <v>367</v>
      </c>
      <c r="C255" s="31" t="str">
        <f aca="false" t="array" ref="C255:C255">IF(B255="","",IFERROR(INDEX('CLM &amp; IM Mapping'!$B$2:$B$270,MATCH(TRIM(B255),'CLM &amp; IM Mapping'!$A$2:$A$270,0)),"Not Mapped"))</f>
        <v>Akshay P</v>
      </c>
      <c r="D255" s="31" t="str">
        <f aca="false" t="array" ref="D255:D255">IF(B255="","",IFERROR(INDEX('CLM &amp; IM Mapping'!$C$2:$C$270,MATCH(TRIM(B255),'CLM &amp; IM Mapping'!$A$2:$A$270,0)),"Not Mapped"))</f>
        <v>Srittam Dhal</v>
      </c>
      <c r="E255" s="31" t="s">
        <v>34</v>
      </c>
      <c r="F255" s="31" t="s">
        <v>562</v>
      </c>
      <c r="G255" s="31" t="s">
        <v>23</v>
      </c>
      <c r="H255" s="17" t="n">
        <v>5212</v>
      </c>
      <c r="I255" s="32" t="n">
        <v>0.7</v>
      </c>
      <c r="J255" s="33" t="n">
        <v>0</v>
      </c>
      <c r="K255" s="34"/>
      <c r="L255" s="31"/>
      <c r="M255" s="31"/>
      <c r="N255" s="11" t="n">
        <v>1</v>
      </c>
      <c r="O255" s="12" t="s">
        <v>654</v>
      </c>
      <c r="P255" s="11" t="s">
        <v>655</v>
      </c>
      <c r="Q255" s="8"/>
      <c r="R255" s="8"/>
      <c r="S255" s="8"/>
      <c r="T255" s="8"/>
      <c r="U255" s="8"/>
      <c r="V255" s="8"/>
      <c r="W255" s="8"/>
      <c r="X255" s="8"/>
      <c r="Y255" s="8"/>
      <c r="Z255" s="8"/>
      <c r="AA255" s="8"/>
      <c r="AB255" s="8"/>
      <c r="AC255" s="8"/>
      <c r="AD255" s="8"/>
      <c r="AE255" s="8"/>
      <c r="AF255" s="8"/>
      <c r="AG255" s="8"/>
      <c r="AH255" s="8"/>
      <c r="AI255" s="8"/>
      <c r="AJ255" s="8"/>
      <c r="AK255" s="8"/>
      <c r="AL255" s="8"/>
      <c r="AM255" s="8"/>
    </row>
    <row r="256" customFormat="false" ht="15.75" hidden="false" customHeight="true" outlineLevel="0" collapsed="false">
      <c r="A256" s="30" t="n">
        <v>46304</v>
      </c>
      <c r="B256" s="31" t="s">
        <v>368</v>
      </c>
      <c r="C256" s="31" t="str">
        <f aca="false" t="array" ref="C256:C256">IF(B256="","",IFERROR(INDEX('CLM &amp; IM Mapping'!$B$2:$B$270,MATCH(TRIM(B256),'CLM &amp; IM Mapping'!$A$2:$A$270,0)),"Not Mapped"))</f>
        <v>Arun Raj</v>
      </c>
      <c r="D256" s="31" t="str">
        <f aca="false" t="array" ref="D256:D256">IF(B256="","",IFERROR(INDEX('CLM &amp; IM Mapping'!$C$2:$C$270,MATCH(TRIM(B256),'CLM &amp; IM Mapping'!$A$2:$A$270,0)),"Not Mapped"))</f>
        <v>Simon Manoharan</v>
      </c>
      <c r="E256" s="31" t="s">
        <v>25</v>
      </c>
      <c r="F256" s="31" t="s">
        <v>565</v>
      </c>
      <c r="G256" s="31" t="s">
        <v>23</v>
      </c>
      <c r="H256" s="17" t="n">
        <v>12051</v>
      </c>
      <c r="I256" s="32" t="n">
        <v>0.7</v>
      </c>
      <c r="J256" s="33" t="n">
        <v>0</v>
      </c>
      <c r="K256" s="34"/>
      <c r="L256" s="31"/>
      <c r="M256" s="31"/>
      <c r="N256" s="11"/>
      <c r="O256" s="12"/>
      <c r="P256" s="11"/>
      <c r="Q256" s="8"/>
      <c r="R256" s="8"/>
      <c r="S256" s="8"/>
      <c r="T256" s="8"/>
      <c r="U256" s="8"/>
      <c r="V256" s="8"/>
      <c r="W256" s="8"/>
      <c r="X256" s="8"/>
      <c r="Y256" s="8"/>
      <c r="Z256" s="8"/>
      <c r="AA256" s="8"/>
      <c r="AB256" s="8"/>
      <c r="AC256" s="8"/>
      <c r="AD256" s="8"/>
      <c r="AE256" s="8"/>
      <c r="AF256" s="8"/>
      <c r="AG256" s="8"/>
      <c r="AH256" s="8"/>
      <c r="AI256" s="8"/>
      <c r="AJ256" s="8"/>
      <c r="AK256" s="8"/>
      <c r="AL256" s="8"/>
      <c r="AM256" s="8"/>
    </row>
    <row r="257" customFormat="false" ht="15.75" hidden="false" customHeight="true" outlineLevel="0" collapsed="false">
      <c r="A257" s="30" t="n">
        <v>46304</v>
      </c>
      <c r="B257" s="31" t="s">
        <v>226</v>
      </c>
      <c r="C257" s="31" t="str">
        <f aca="false" t="array" ref="C257:C257">IF(B257="","",IFERROR(INDEX('CLM &amp; IM Mapping'!$B$2:$B$270,MATCH(TRIM(B257),'CLM &amp; IM Mapping'!$A$2:$A$270,0)),"Not Mapped"))</f>
        <v>Manoj Kj</v>
      </c>
      <c r="D257" s="31" t="str">
        <f aca="false" t="array" ref="D257:D257">IF(B257="","",IFERROR(INDEX('CLM &amp; IM Mapping'!$C$2:$C$270,MATCH(TRIM(B257),'CLM &amp; IM Mapping'!$A$2:$A$270,0)),"Not Mapped"))</f>
        <v>Srittam Dhal</v>
      </c>
      <c r="E257" s="31" t="s">
        <v>34</v>
      </c>
      <c r="F257" s="31" t="s">
        <v>562</v>
      </c>
      <c r="G257" s="31" t="s">
        <v>23</v>
      </c>
      <c r="H257" s="17" t="n">
        <v>5421</v>
      </c>
      <c r="I257" s="32" t="n">
        <v>0.7</v>
      </c>
      <c r="J257" s="33" t="n">
        <v>0.01</v>
      </c>
      <c r="K257" s="34" t="n">
        <v>0.97</v>
      </c>
      <c r="L257" s="31" t="n">
        <v>0.99</v>
      </c>
      <c r="M257" s="31" t="n">
        <v>0.05</v>
      </c>
      <c r="N257" s="11" t="n">
        <v>5</v>
      </c>
      <c r="O257" s="12" t="s">
        <v>654</v>
      </c>
      <c r="P257" s="11" t="s">
        <v>655</v>
      </c>
      <c r="Q257" s="8"/>
      <c r="R257" s="8"/>
      <c r="S257" s="8"/>
      <c r="T257" s="8"/>
      <c r="U257" s="8"/>
      <c r="V257" s="8"/>
      <c r="W257" s="8"/>
      <c r="X257" s="8"/>
      <c r="Y257" s="8"/>
      <c r="Z257" s="8"/>
      <c r="AA257" s="8"/>
      <c r="AB257" s="8"/>
      <c r="AC257" s="8"/>
      <c r="AD257" s="8"/>
      <c r="AE257" s="8"/>
      <c r="AF257" s="8"/>
      <c r="AG257" s="8"/>
      <c r="AH257" s="8"/>
      <c r="AI257" s="8"/>
      <c r="AJ257" s="8"/>
      <c r="AK257" s="8"/>
      <c r="AL257" s="8"/>
      <c r="AM257" s="8"/>
    </row>
    <row r="258" customFormat="false" ht="15.75" hidden="false" customHeight="true" outlineLevel="0" collapsed="false">
      <c r="A258" s="30" t="n">
        <v>46304</v>
      </c>
      <c r="B258" s="31" t="s">
        <v>532</v>
      </c>
      <c r="C258" s="31" t="str">
        <f aca="false" t="array" ref="C258:C258">IF(B258="","",IFERROR(INDEX('CLM &amp; IM Mapping'!$B$2:$B$270,MATCH(TRIM(B258),'CLM &amp; IM Mapping'!$A$2:$A$270,0)),"Not Mapped"))</f>
        <v>Arun Raj</v>
      </c>
      <c r="D258" s="31" t="str">
        <f aca="false" t="array" ref="D258:D258">IF(B258="","",IFERROR(INDEX('CLM &amp; IM Mapping'!$C$2:$C$270,MATCH(TRIM(B258),'CLM &amp; IM Mapping'!$A$2:$A$270,0)),"Not Mapped"))</f>
        <v>Simon Manoharan</v>
      </c>
      <c r="E258" s="31" t="s">
        <v>25</v>
      </c>
      <c r="F258" s="31" t="s">
        <v>565</v>
      </c>
      <c r="G258" s="31" t="s">
        <v>23</v>
      </c>
      <c r="H258" s="17" t="n">
        <v>10619</v>
      </c>
      <c r="I258" s="32" t="n">
        <v>0.7</v>
      </c>
      <c r="J258" s="33" t="n">
        <v>0.02</v>
      </c>
      <c r="K258" s="34" t="n">
        <v>0</v>
      </c>
      <c r="L258" s="31" t="n">
        <v>-0.43</v>
      </c>
      <c r="M258" s="31" t="n">
        <v>0</v>
      </c>
      <c r="N258" s="11"/>
      <c r="O258" s="12"/>
      <c r="P258" s="11"/>
      <c r="Q258" s="8"/>
      <c r="R258" s="8"/>
      <c r="S258" s="8"/>
      <c r="T258" s="8"/>
      <c r="U258" s="8"/>
      <c r="V258" s="8"/>
      <c r="W258" s="8"/>
      <c r="X258" s="8"/>
      <c r="Y258" s="8"/>
      <c r="Z258" s="8"/>
      <c r="AA258" s="8"/>
      <c r="AB258" s="8"/>
      <c r="AC258" s="8"/>
      <c r="AD258" s="8"/>
      <c r="AE258" s="8"/>
      <c r="AF258" s="8"/>
      <c r="AG258" s="8"/>
      <c r="AH258" s="8"/>
      <c r="AI258" s="8"/>
      <c r="AJ258" s="8"/>
      <c r="AK258" s="8"/>
      <c r="AL258" s="8"/>
      <c r="AM258" s="8"/>
    </row>
    <row r="259" customFormat="false" ht="15.75" hidden="false" customHeight="true" outlineLevel="0" collapsed="false">
      <c r="A259" s="30" t="n">
        <v>46304</v>
      </c>
      <c r="B259" s="31" t="s">
        <v>479</v>
      </c>
      <c r="C259" s="31" t="str">
        <f aca="false" t="array" ref="C259:C259">IF(B259="","",IFERROR(INDEX('CLM &amp; IM Mapping'!$B$2:$B$270,MATCH(TRIM(B259),'CLM &amp; IM Mapping'!$A$2:$A$270,0)),"Not Mapped"))</f>
        <v>Arun Raj</v>
      </c>
      <c r="D259" s="31" t="str">
        <f aca="false" t="array" ref="D259:D259">IF(B259="","",IFERROR(INDEX('CLM &amp; IM Mapping'!$C$2:$C$270,MATCH(TRIM(B259),'CLM &amp; IM Mapping'!$A$2:$A$270,0)),"Not Mapped"))</f>
        <v>Simon Manoharan</v>
      </c>
      <c r="E259" s="31" t="s">
        <v>25</v>
      </c>
      <c r="F259" s="31" t="s">
        <v>565</v>
      </c>
      <c r="G259" s="31" t="s">
        <v>23</v>
      </c>
      <c r="H259" s="17" t="n">
        <v>13730</v>
      </c>
      <c r="I259" s="32" t="n">
        <v>0.7</v>
      </c>
      <c r="J259" s="33" t="n">
        <v>0.06</v>
      </c>
      <c r="K259" s="34" t="n">
        <v>0.96</v>
      </c>
      <c r="L259" s="31" t="n">
        <v>0.98</v>
      </c>
      <c r="M259" s="31" t="n">
        <v>0.23</v>
      </c>
      <c r="N259" s="11" t="n">
        <v>1</v>
      </c>
      <c r="O259" s="12"/>
      <c r="P259" s="11"/>
      <c r="Q259" s="8"/>
      <c r="R259" s="8"/>
      <c r="S259" s="8"/>
      <c r="T259" s="8"/>
      <c r="U259" s="8"/>
      <c r="V259" s="8"/>
      <c r="W259" s="8"/>
      <c r="X259" s="8"/>
      <c r="Y259" s="8"/>
      <c r="Z259" s="8"/>
      <c r="AA259" s="8"/>
      <c r="AB259" s="8"/>
      <c r="AC259" s="8"/>
      <c r="AD259" s="8"/>
      <c r="AE259" s="8"/>
      <c r="AF259" s="8"/>
      <c r="AG259" s="8"/>
      <c r="AH259" s="8"/>
      <c r="AI259" s="8"/>
      <c r="AJ259" s="8"/>
      <c r="AK259" s="8"/>
      <c r="AL259" s="8"/>
      <c r="AM259" s="8"/>
    </row>
    <row r="260" customFormat="false" ht="15.75" hidden="false" customHeight="true" outlineLevel="0" collapsed="false">
      <c r="A260" s="30" t="n">
        <v>46304</v>
      </c>
      <c r="B260" s="31" t="s">
        <v>391</v>
      </c>
      <c r="C260" s="31" t="str">
        <f aca="false" t="array" ref="C260:C260">IF(B260="","",IFERROR(INDEX('CLM &amp; IM Mapping'!$B$2:$B$270,MATCH(TRIM(B260),'CLM &amp; IM Mapping'!$A$2:$A$270,0)),"Not Mapped"))</f>
        <v>John Britto</v>
      </c>
      <c r="D260" s="31" t="str">
        <f aca="false" t="array" ref="D260:D260">IF(B260="","",IFERROR(INDEX('CLM &amp; IM Mapping'!$C$2:$C$270,MATCH(TRIM(B260),'CLM &amp; IM Mapping'!$A$2:$A$270,0)),"Not Mapped"))</f>
        <v>Aravind S</v>
      </c>
      <c r="E260" s="31" t="s">
        <v>34</v>
      </c>
      <c r="F260" s="31" t="s">
        <v>562</v>
      </c>
      <c r="G260" s="31" t="s">
        <v>303</v>
      </c>
      <c r="H260" s="17" t="n">
        <v>5114</v>
      </c>
      <c r="I260" s="32" t="n">
        <v>0.7</v>
      </c>
      <c r="J260" s="33" t="n">
        <v>0.07</v>
      </c>
      <c r="K260" s="34" t="n">
        <v>0.92</v>
      </c>
      <c r="L260" s="31" t="n">
        <v>0.94</v>
      </c>
      <c r="M260" s="31" t="n">
        <v>0.27</v>
      </c>
      <c r="N260" s="11" t="n">
        <v>1</v>
      </c>
      <c r="O260" s="12" t="s">
        <v>568</v>
      </c>
      <c r="P260" s="12" t="s">
        <v>567</v>
      </c>
      <c r="Q260" s="8"/>
      <c r="R260" s="8"/>
      <c r="S260" s="8"/>
      <c r="T260" s="8"/>
      <c r="U260" s="8"/>
      <c r="V260" s="8"/>
      <c r="W260" s="8"/>
      <c r="X260" s="8"/>
      <c r="Y260" s="8"/>
      <c r="Z260" s="8"/>
      <c r="AA260" s="8"/>
      <c r="AB260" s="8"/>
      <c r="AC260" s="8"/>
      <c r="AD260" s="8"/>
      <c r="AE260" s="8"/>
      <c r="AF260" s="8"/>
      <c r="AG260" s="8"/>
      <c r="AH260" s="8"/>
      <c r="AI260" s="8"/>
      <c r="AJ260" s="8"/>
      <c r="AK260" s="8"/>
      <c r="AL260" s="8"/>
      <c r="AM260" s="8"/>
    </row>
    <row r="261" customFormat="false" ht="15.75" hidden="false" customHeight="true" outlineLevel="0" collapsed="false">
      <c r="A261" s="30" t="n">
        <v>46304</v>
      </c>
      <c r="B261" s="31" t="s">
        <v>405</v>
      </c>
      <c r="C261" s="31" t="str">
        <f aca="false" t="array" ref="C261:C261">IF(B261="","",IFERROR(INDEX('CLM &amp; IM Mapping'!$B$2:$B$270,MATCH(TRIM(B261),'CLM &amp; IM Mapping'!$A$2:$A$270,0)),"Not Mapped"))</f>
        <v>Adhavan Subramani</v>
      </c>
      <c r="D261" s="31" t="str">
        <f aca="false" t="array" ref="D261:D261">IF(B261="","",IFERROR(INDEX('CLM &amp; IM Mapping'!$C$2:$C$270,MATCH(TRIM(B261),'CLM &amp; IM Mapping'!$A$2:$A$270,0)),"Not Mapped"))</f>
        <v>Mohammed Akbar</v>
      </c>
      <c r="E261" s="31" t="s">
        <v>34</v>
      </c>
      <c r="F261" s="31" t="s">
        <v>562</v>
      </c>
      <c r="G261" s="31" t="s">
        <v>23</v>
      </c>
      <c r="H261" s="17" t="n">
        <v>5759</v>
      </c>
      <c r="I261" s="32" t="n">
        <v>0.7</v>
      </c>
      <c r="J261" s="33" t="n">
        <v>0.08</v>
      </c>
      <c r="K261" s="34" t="n">
        <v>0.85</v>
      </c>
      <c r="L261" s="31" t="n">
        <v>0.89</v>
      </c>
      <c r="M261" s="31"/>
      <c r="N261" s="11"/>
      <c r="O261" s="12"/>
      <c r="P261" s="11"/>
      <c r="Q261" s="8"/>
      <c r="R261" s="8"/>
      <c r="S261" s="8"/>
      <c r="T261" s="8"/>
      <c r="U261" s="8"/>
      <c r="V261" s="8"/>
      <c r="W261" s="8"/>
      <c r="X261" s="8"/>
      <c r="Y261" s="8"/>
      <c r="Z261" s="8"/>
      <c r="AA261" s="8"/>
      <c r="AB261" s="8"/>
      <c r="AC261" s="8"/>
      <c r="AD261" s="8"/>
      <c r="AE261" s="8"/>
      <c r="AF261" s="8"/>
      <c r="AG261" s="8"/>
      <c r="AH261" s="8"/>
      <c r="AI261" s="8"/>
      <c r="AJ261" s="8"/>
      <c r="AK261" s="8"/>
      <c r="AL261" s="8"/>
      <c r="AM261" s="8"/>
    </row>
    <row r="262" customFormat="false" ht="15.75" hidden="false" customHeight="true" outlineLevel="0" collapsed="false">
      <c r="A262" s="30" t="n">
        <v>46304</v>
      </c>
      <c r="B262" s="31" t="s">
        <v>345</v>
      </c>
      <c r="C262" s="31" t="str">
        <f aca="false" t="array" ref="C262:C262">IF(B262="","",IFERROR(INDEX('CLM &amp; IM Mapping'!$B$2:$B$270,MATCH(TRIM(B262),'CLM &amp; IM Mapping'!$A$2:$A$270,0)),"Not Mapped"))</f>
        <v>John Britto</v>
      </c>
      <c r="D262" s="31" t="str">
        <f aca="false" t="array" ref="D262:D262">IF(B262="","",IFERROR(INDEX('CLM &amp; IM Mapping'!$C$2:$C$270,MATCH(TRIM(B262),'CLM &amp; IM Mapping'!$A$2:$A$270,0)),"Not Mapped"))</f>
        <v>Aravind S</v>
      </c>
      <c r="E262" s="31" t="s">
        <v>34</v>
      </c>
      <c r="F262" s="31" t="s">
        <v>562</v>
      </c>
      <c r="G262" s="31" t="s">
        <v>303</v>
      </c>
      <c r="H262" s="17" t="n">
        <v>6188</v>
      </c>
      <c r="I262" s="32" t="n">
        <v>0.7</v>
      </c>
      <c r="J262" s="33" t="n">
        <v>0.11</v>
      </c>
      <c r="K262" s="34" t="n">
        <v>0.8</v>
      </c>
      <c r="L262" s="31" t="n">
        <v>0.98</v>
      </c>
      <c r="M262" s="31" t="n">
        <v>0.33</v>
      </c>
      <c r="N262" s="11" t="n">
        <v>3</v>
      </c>
      <c r="O262" s="12" t="s">
        <v>569</v>
      </c>
      <c r="P262" s="12" t="s">
        <v>567</v>
      </c>
      <c r="Q262" s="8"/>
      <c r="R262" s="8"/>
      <c r="S262" s="8"/>
      <c r="T262" s="8"/>
      <c r="U262" s="8"/>
      <c r="V262" s="8"/>
      <c r="W262" s="8"/>
      <c r="X262" s="8"/>
      <c r="Y262" s="8"/>
      <c r="Z262" s="8"/>
      <c r="AA262" s="8"/>
      <c r="AB262" s="8"/>
      <c r="AC262" s="8"/>
      <c r="AD262" s="8"/>
      <c r="AE262" s="8"/>
      <c r="AF262" s="8"/>
      <c r="AG262" s="8"/>
      <c r="AH262" s="8"/>
      <c r="AI262" s="8"/>
      <c r="AJ262" s="8"/>
      <c r="AK262" s="8"/>
      <c r="AL262" s="8"/>
      <c r="AM262" s="8"/>
    </row>
    <row r="263" customFormat="false" ht="15.75" hidden="false" customHeight="true" outlineLevel="0" collapsed="false">
      <c r="A263" s="30" t="n">
        <v>46304</v>
      </c>
      <c r="B263" s="31" t="s">
        <v>224</v>
      </c>
      <c r="C263" s="31" t="str">
        <f aca="false" t="array" ref="C263:C263">IF(B263="","",IFERROR(INDEX('CLM &amp; IM Mapping'!$B$2:$B$270,MATCH(TRIM(B263),'CLM &amp; IM Mapping'!$A$2:$A$270,0)),"Not Mapped"))</f>
        <v>Vishnu V</v>
      </c>
      <c r="D263" s="31" t="str">
        <f aca="false" t="array" ref="D263:D263">IF(B263="","",IFERROR(INDEX('CLM &amp; IM Mapping'!$C$2:$C$270,MATCH(TRIM(B263),'CLM &amp; IM Mapping'!$A$2:$A$270,0)),"Not Mapped"))</f>
        <v>Arivind S</v>
      </c>
      <c r="E263" s="31" t="s">
        <v>25</v>
      </c>
      <c r="F263" s="31" t="s">
        <v>565</v>
      </c>
      <c r="G263" s="31" t="s">
        <v>221</v>
      </c>
      <c r="H263" s="17" t="n">
        <v>6058</v>
      </c>
      <c r="I263" s="32" t="n">
        <v>0.7</v>
      </c>
      <c r="J263" s="33" t="n">
        <v>0.14</v>
      </c>
      <c r="K263" s="34" t="n">
        <v>0.99</v>
      </c>
      <c r="L263" s="31" t="n">
        <v>1</v>
      </c>
      <c r="M263" s="31" t="n">
        <v>0.53</v>
      </c>
      <c r="N263" s="11" t="n">
        <v>1</v>
      </c>
      <c r="O263" s="12" t="s">
        <v>570</v>
      </c>
      <c r="P263" s="12" t="s">
        <v>571</v>
      </c>
      <c r="Q263" s="8"/>
      <c r="R263" s="8"/>
      <c r="S263" s="8"/>
      <c r="T263" s="8"/>
      <c r="U263" s="8"/>
      <c r="V263" s="8"/>
      <c r="W263" s="8"/>
      <c r="X263" s="8"/>
      <c r="Y263" s="8"/>
      <c r="Z263" s="8"/>
      <c r="AA263" s="8"/>
      <c r="AB263" s="8"/>
      <c r="AC263" s="8"/>
      <c r="AD263" s="8"/>
      <c r="AE263" s="8"/>
      <c r="AF263" s="8"/>
      <c r="AG263" s="8"/>
      <c r="AH263" s="8"/>
      <c r="AI263" s="8"/>
      <c r="AJ263" s="8"/>
      <c r="AK263" s="8"/>
      <c r="AL263" s="8"/>
      <c r="AM263" s="8"/>
    </row>
    <row r="264" customFormat="false" ht="15.75" hidden="false" customHeight="true" outlineLevel="0" collapsed="false">
      <c r="A264" s="30" t="n">
        <v>46304</v>
      </c>
      <c r="B264" s="31" t="s">
        <v>50</v>
      </c>
      <c r="C264" s="31" t="str">
        <f aca="false" t="array" ref="C264:C264">IF(B264="","",IFERROR(INDEX('CLM &amp; IM Mapping'!$B$2:$B$270,MATCH(TRIM(B264),'CLM &amp; IM Mapping'!$A$2:$A$270,0)),"Not Mapped"))</f>
        <v>Arun Raj</v>
      </c>
      <c r="D264" s="31" t="str">
        <f aca="false" t="array" ref="D264:D264">IF(B264="","",IFERROR(INDEX('CLM &amp; IM Mapping'!$C$2:$C$270,MATCH(TRIM(B264),'CLM &amp; IM Mapping'!$A$2:$A$270,0)),"Not Mapped"))</f>
        <v>Simon Manoharan</v>
      </c>
      <c r="E264" s="31" t="s">
        <v>25</v>
      </c>
      <c r="F264" s="31" t="s">
        <v>565</v>
      </c>
      <c r="G264" s="31" t="s">
        <v>23</v>
      </c>
      <c r="H264" s="17" t="n">
        <v>7680</v>
      </c>
      <c r="I264" s="32" t="n">
        <v>0.7</v>
      </c>
      <c r="J264" s="33" t="n">
        <v>0.16</v>
      </c>
      <c r="K264" s="34" t="n">
        <v>0.73</v>
      </c>
      <c r="L264" s="31" t="n">
        <v>0.96</v>
      </c>
      <c r="M264" s="31" t="n">
        <v>0.44</v>
      </c>
      <c r="N264" s="11" t="n">
        <v>1</v>
      </c>
      <c r="O264" s="12"/>
      <c r="P264" s="11"/>
      <c r="Q264" s="8"/>
      <c r="R264" s="8"/>
      <c r="S264" s="8"/>
      <c r="T264" s="8"/>
      <c r="U264" s="8"/>
      <c r="V264" s="8"/>
      <c r="W264" s="8"/>
      <c r="X264" s="8"/>
      <c r="Y264" s="8"/>
      <c r="Z264" s="8"/>
      <c r="AA264" s="8"/>
      <c r="AB264" s="8"/>
      <c r="AC264" s="8"/>
      <c r="AD264" s="8"/>
      <c r="AE264" s="8"/>
      <c r="AF264" s="8"/>
      <c r="AG264" s="8"/>
      <c r="AH264" s="8"/>
      <c r="AI264" s="8"/>
      <c r="AJ264" s="8"/>
      <c r="AK264" s="8"/>
      <c r="AL264" s="8"/>
      <c r="AM264" s="8"/>
    </row>
    <row r="265" customFormat="false" ht="15.75" hidden="false" customHeight="true" outlineLevel="0" collapsed="false">
      <c r="A265" s="30" t="n">
        <v>46304</v>
      </c>
      <c r="B265" s="31" t="s">
        <v>319</v>
      </c>
      <c r="C265" s="31" t="str">
        <f aca="false" t="array" ref="C265:C265">IF(B265="","",IFERROR(INDEX('CLM &amp; IM Mapping'!$B$2:$B$270,MATCH(TRIM(B265),'CLM &amp; IM Mapping'!$A$2:$A$270,0)),"Not Mapped"))</f>
        <v>John Britto</v>
      </c>
      <c r="D265" s="31" t="str">
        <f aca="false" t="array" ref="D265:D265">IF(B265="","",IFERROR(INDEX('CLM &amp; IM Mapping'!$C$2:$C$270,MATCH(TRIM(B265),'CLM &amp; IM Mapping'!$A$2:$A$270,0)),"Not Mapped"))</f>
        <v>Aravind S</v>
      </c>
      <c r="E265" s="31" t="s">
        <v>34</v>
      </c>
      <c r="F265" s="31" t="s">
        <v>562</v>
      </c>
      <c r="G265" s="31" t="s">
        <v>303</v>
      </c>
      <c r="H265" s="17" t="n">
        <v>6277</v>
      </c>
      <c r="I265" s="32" t="n">
        <v>0.7</v>
      </c>
      <c r="J265" s="33" t="n">
        <v>0.16</v>
      </c>
      <c r="K265" s="34" t="n">
        <v>0.84</v>
      </c>
      <c r="L265" s="31" t="n">
        <v>0.97</v>
      </c>
      <c r="M265" s="31" t="n">
        <v>0.52</v>
      </c>
      <c r="N265" s="11" t="n">
        <v>2</v>
      </c>
      <c r="O265" s="12" t="s">
        <v>569</v>
      </c>
      <c r="P265" s="12" t="s">
        <v>567</v>
      </c>
      <c r="Q265" s="8"/>
      <c r="R265" s="8"/>
      <c r="S265" s="8"/>
      <c r="T265" s="8"/>
      <c r="U265" s="8"/>
      <c r="V265" s="8"/>
      <c r="W265" s="8"/>
      <c r="X265" s="8"/>
      <c r="Y265" s="8"/>
      <c r="Z265" s="8"/>
      <c r="AA265" s="8"/>
      <c r="AB265" s="8"/>
      <c r="AC265" s="8"/>
      <c r="AD265" s="8"/>
      <c r="AE265" s="8"/>
      <c r="AF265" s="8"/>
      <c r="AG265" s="8"/>
      <c r="AH265" s="8"/>
      <c r="AI265" s="8"/>
      <c r="AJ265" s="8"/>
      <c r="AK265" s="8"/>
      <c r="AL265" s="8"/>
      <c r="AM265" s="8"/>
    </row>
    <row r="266" customFormat="false" ht="15.75" hidden="false" customHeight="true" outlineLevel="0" collapsed="false">
      <c r="A266" s="30" t="n">
        <v>46304</v>
      </c>
      <c r="B266" s="31" t="s">
        <v>382</v>
      </c>
      <c r="C266" s="31" t="str">
        <f aca="false" t="array" ref="C266:C266">IF(B266="","",IFERROR(INDEX('CLM &amp; IM Mapping'!$B$2:$B$270,MATCH(TRIM(B266),'CLM &amp; IM Mapping'!$A$2:$A$270,0)),"Not Mapped"))</f>
        <v>Arun Raj</v>
      </c>
      <c r="D266" s="31" t="str">
        <f aca="false" t="array" ref="D266:D266">IF(B266="","",IFERROR(INDEX('CLM &amp; IM Mapping'!$C$2:$C$270,MATCH(TRIM(B266),'CLM &amp; IM Mapping'!$A$2:$A$270,0)),"Not Mapped"))</f>
        <v>Simon Manoharan</v>
      </c>
      <c r="E266" s="31" t="s">
        <v>25</v>
      </c>
      <c r="F266" s="31" t="s">
        <v>565</v>
      </c>
      <c r="G266" s="31" t="s">
        <v>23</v>
      </c>
      <c r="H266" s="17" t="n">
        <v>11984</v>
      </c>
      <c r="I266" s="32" t="n">
        <v>0.7</v>
      </c>
      <c r="J266" s="33" t="n">
        <v>0.17</v>
      </c>
      <c r="K266" s="34" t="n">
        <v>0.95</v>
      </c>
      <c r="L266" s="31" t="n">
        <v>0.99</v>
      </c>
      <c r="M266" s="31" t="n">
        <v>0.61</v>
      </c>
      <c r="N266" s="11"/>
      <c r="O266" s="12"/>
      <c r="P266" s="11"/>
      <c r="Q266" s="8"/>
      <c r="R266" s="8"/>
      <c r="S266" s="8"/>
      <c r="T266" s="8"/>
      <c r="U266" s="8"/>
      <c r="V266" s="8"/>
      <c r="W266" s="8"/>
      <c r="X266" s="8"/>
      <c r="Y266" s="8"/>
      <c r="Z266" s="8"/>
      <c r="AA266" s="8"/>
      <c r="AB266" s="8"/>
      <c r="AC266" s="8"/>
      <c r="AD266" s="8"/>
      <c r="AE266" s="8"/>
      <c r="AF266" s="8"/>
      <c r="AG266" s="8"/>
      <c r="AH266" s="8"/>
      <c r="AI266" s="8"/>
      <c r="AJ266" s="8"/>
      <c r="AK266" s="8"/>
      <c r="AL266" s="8"/>
      <c r="AM266" s="8"/>
    </row>
    <row r="267" customFormat="false" ht="15.75" hidden="false" customHeight="true" outlineLevel="0" collapsed="false">
      <c r="A267" s="30" t="n">
        <v>46304</v>
      </c>
      <c r="B267" s="31" t="s">
        <v>29</v>
      </c>
      <c r="C267" s="31" t="str">
        <f aca="false" t="array" ref="C267:C267">IF(B267="","",IFERROR(INDEX('CLM &amp; IM Mapping'!$B$2:$B$270,MATCH(TRIM(B267),'CLM &amp; IM Mapping'!$A$2:$A$270,0)),"Not Mapped"))</f>
        <v>Arun Raj</v>
      </c>
      <c r="D267" s="31" t="str">
        <f aca="false" t="array" ref="D267:D267">IF(B267="","",IFERROR(INDEX('CLM &amp; IM Mapping'!$C$2:$C$270,MATCH(TRIM(B267),'CLM &amp; IM Mapping'!$A$2:$A$270,0)),"Not Mapped"))</f>
        <v>Simon Manoharan</v>
      </c>
      <c r="E267" s="31" t="s">
        <v>25</v>
      </c>
      <c r="F267" s="31" t="s">
        <v>565</v>
      </c>
      <c r="G267" s="31" t="s">
        <v>23</v>
      </c>
      <c r="H267" s="17" t="n">
        <v>12938</v>
      </c>
      <c r="I267" s="32" t="n">
        <v>0.7</v>
      </c>
      <c r="J267" s="33" t="n">
        <v>0.2</v>
      </c>
      <c r="K267" s="34" t="n">
        <v>0.81</v>
      </c>
      <c r="L267" s="31" t="n">
        <v>0.93</v>
      </c>
      <c r="M267" s="31" t="n">
        <v>0.64</v>
      </c>
      <c r="N267" s="11" t="n">
        <v>4</v>
      </c>
      <c r="O267" s="12"/>
      <c r="P267" s="11"/>
      <c r="Q267" s="8"/>
      <c r="R267" s="8"/>
      <c r="S267" s="8"/>
      <c r="T267" s="8"/>
      <c r="U267" s="8"/>
      <c r="V267" s="8"/>
      <c r="W267" s="8"/>
      <c r="X267" s="8"/>
      <c r="Y267" s="8"/>
      <c r="Z267" s="8"/>
      <c r="AA267" s="8"/>
      <c r="AB267" s="8"/>
      <c r="AC267" s="8"/>
      <c r="AD267" s="8"/>
      <c r="AE267" s="8"/>
      <c r="AF267" s="8"/>
      <c r="AG267" s="8"/>
      <c r="AH267" s="8"/>
      <c r="AI267" s="8"/>
      <c r="AJ267" s="8"/>
      <c r="AK267" s="8"/>
      <c r="AL267" s="8"/>
      <c r="AM267" s="8"/>
    </row>
    <row r="268" customFormat="false" ht="15.75" hidden="false" customHeight="true" outlineLevel="0" collapsed="false">
      <c r="A268" s="30" t="n">
        <v>46304</v>
      </c>
      <c r="B268" s="31" t="s">
        <v>111</v>
      </c>
      <c r="C268" s="31" t="str">
        <f aca="false" t="array" ref="C268:C268">IF(B268="","",IFERROR(INDEX('CLM &amp; IM Mapping'!$B$2:$B$270,MATCH(TRIM(B268),'CLM &amp; IM Mapping'!$A$2:$A$270,0)),"Not Mapped"))</f>
        <v>Narasimhamurthy R</v>
      </c>
      <c r="D268" s="31" t="str">
        <f aca="false" t="array" ref="D268:D268">IF(B268="","",IFERROR(INDEX('CLM &amp; IM Mapping'!$C$2:$C$270,MATCH(TRIM(B268),'CLM &amp; IM Mapping'!$A$2:$A$270,0)),"Not Mapped"))</f>
        <v>Kishor K</v>
      </c>
      <c r="E268" s="31" t="s">
        <v>34</v>
      </c>
      <c r="F268" s="31" t="s">
        <v>565</v>
      </c>
      <c r="G268" s="31" t="s">
        <v>23</v>
      </c>
      <c r="H268" s="17" t="n">
        <v>5482</v>
      </c>
      <c r="I268" s="32" t="n">
        <v>0.7</v>
      </c>
      <c r="J268" s="33" t="n">
        <v>0.21</v>
      </c>
      <c r="K268" s="34" t="n">
        <v>0.56</v>
      </c>
      <c r="L268" s="31" t="n">
        <v>0.86</v>
      </c>
      <c r="M268" s="31" t="n">
        <v>0.45</v>
      </c>
      <c r="N268" s="11" t="n">
        <v>5</v>
      </c>
      <c r="O268" s="12" t="s">
        <v>582</v>
      </c>
      <c r="P268" s="12" t="s">
        <v>571</v>
      </c>
      <c r="Q268" s="8"/>
      <c r="R268" s="8"/>
      <c r="S268" s="8"/>
      <c r="T268" s="8"/>
      <c r="U268" s="8"/>
      <c r="V268" s="8"/>
      <c r="W268" s="8"/>
      <c r="X268" s="8"/>
      <c r="Y268" s="8"/>
      <c r="Z268" s="8"/>
      <c r="AA268" s="8"/>
      <c r="AB268" s="8"/>
      <c r="AC268" s="8"/>
      <c r="AD268" s="8"/>
      <c r="AE268" s="8"/>
      <c r="AF268" s="8"/>
      <c r="AG268" s="8"/>
      <c r="AH268" s="8"/>
      <c r="AI268" s="8"/>
      <c r="AJ268" s="8"/>
      <c r="AK268" s="8"/>
      <c r="AL268" s="8"/>
      <c r="AM268" s="8"/>
    </row>
    <row r="269" customFormat="false" ht="15.75" hidden="false" customHeight="true" outlineLevel="0" collapsed="false">
      <c r="A269" s="30" t="n">
        <v>46304</v>
      </c>
      <c r="B269" s="31" t="s">
        <v>323</v>
      </c>
      <c r="C269" s="31" t="str">
        <f aca="false" t="array" ref="C269:C269">IF(B269="","",IFERROR(INDEX('CLM &amp; IM Mapping'!$B$2:$B$270,MATCH(TRIM(B269),'CLM &amp; IM Mapping'!$A$2:$A$270,0)),"Not Mapped"))</f>
        <v>Vishnu V</v>
      </c>
      <c r="D269" s="31" t="str">
        <f aca="false" t="array" ref="D269:D269">IF(B269="","",IFERROR(INDEX('CLM &amp; IM Mapping'!$C$2:$C$270,MATCH(TRIM(B269),'CLM &amp; IM Mapping'!$A$2:$A$270,0)),"Not Mapped"))</f>
        <v>Arivind S</v>
      </c>
      <c r="E269" s="31" t="s">
        <v>34</v>
      </c>
      <c r="F269" s="31" t="s">
        <v>562</v>
      </c>
      <c r="G269" s="31" t="s">
        <v>221</v>
      </c>
      <c r="H269" s="17" t="n">
        <v>5139</v>
      </c>
      <c r="I269" s="32" t="n">
        <v>0.7</v>
      </c>
      <c r="J269" s="33" t="n">
        <v>0.21</v>
      </c>
      <c r="K269" s="34" t="n">
        <v>0.71</v>
      </c>
      <c r="L269" s="31" t="n">
        <v>0.92</v>
      </c>
      <c r="M269" s="31" t="n">
        <v>0.58</v>
      </c>
      <c r="N269" s="11" t="n">
        <v>1</v>
      </c>
      <c r="O269" s="12" t="s">
        <v>581</v>
      </c>
      <c r="P269" s="12" t="s">
        <v>571</v>
      </c>
      <c r="Q269" s="8"/>
      <c r="R269" s="8"/>
      <c r="S269" s="8"/>
      <c r="T269" s="8"/>
      <c r="U269" s="8"/>
      <c r="V269" s="8"/>
      <c r="W269" s="8"/>
      <c r="X269" s="8"/>
      <c r="Y269" s="8"/>
      <c r="Z269" s="8"/>
      <c r="AA269" s="8"/>
      <c r="AB269" s="8"/>
      <c r="AC269" s="8"/>
      <c r="AD269" s="8"/>
      <c r="AE269" s="8"/>
      <c r="AF269" s="8"/>
      <c r="AG269" s="8"/>
      <c r="AH269" s="8"/>
      <c r="AI269" s="8"/>
      <c r="AJ269" s="8"/>
      <c r="AK269" s="8"/>
      <c r="AL269" s="8"/>
      <c r="AM269" s="8"/>
    </row>
    <row r="270" customFormat="false" ht="15.75" hidden="false" customHeight="true" outlineLevel="0" collapsed="false">
      <c r="A270" s="30" t="n">
        <v>46304</v>
      </c>
      <c r="B270" s="31" t="s">
        <v>447</v>
      </c>
      <c r="C270" s="31" t="str">
        <f aca="false" t="array" ref="C270:C270">IF(B270="","",IFERROR(INDEX('CLM &amp; IM Mapping'!$B$2:$B$270,MATCH(TRIM(B270),'CLM &amp; IM Mapping'!$A$2:$A$270,0)),"Not Mapped"))</f>
        <v>John Britto</v>
      </c>
      <c r="D270" s="31" t="str">
        <f aca="false" t="array" ref="D270:D270">IF(B270="","",IFERROR(INDEX('CLM &amp; IM Mapping'!$C$2:$C$270,MATCH(TRIM(B270),'CLM &amp; IM Mapping'!$A$2:$A$270,0)),"Not Mapped"))</f>
        <v>Aravind S</v>
      </c>
      <c r="E270" s="31" t="s">
        <v>34</v>
      </c>
      <c r="F270" s="31" t="s">
        <v>562</v>
      </c>
      <c r="G270" s="31" t="s">
        <v>303</v>
      </c>
      <c r="H270" s="17" t="n">
        <v>6791</v>
      </c>
      <c r="I270" s="32" t="n">
        <v>0.7</v>
      </c>
      <c r="J270" s="33" t="n">
        <v>0.22</v>
      </c>
      <c r="K270" s="34" t="n">
        <v>0.98</v>
      </c>
      <c r="L270" s="31" t="n">
        <v>1</v>
      </c>
      <c r="M270" s="31"/>
      <c r="N270" s="11"/>
      <c r="O270" s="12" t="s">
        <v>577</v>
      </c>
      <c r="P270" s="12" t="s">
        <v>567</v>
      </c>
      <c r="Q270" s="8"/>
      <c r="R270" s="8"/>
      <c r="S270" s="8"/>
      <c r="T270" s="8"/>
      <c r="U270" s="8"/>
      <c r="V270" s="8"/>
      <c r="W270" s="8"/>
      <c r="X270" s="8"/>
      <c r="Y270" s="8"/>
      <c r="Z270" s="8"/>
      <c r="AA270" s="8"/>
      <c r="AB270" s="8"/>
      <c r="AC270" s="8"/>
      <c r="AD270" s="8"/>
      <c r="AE270" s="8"/>
      <c r="AF270" s="8"/>
      <c r="AG270" s="8"/>
      <c r="AH270" s="8"/>
      <c r="AI270" s="8"/>
      <c r="AJ270" s="8"/>
      <c r="AK270" s="8"/>
      <c r="AL270" s="8"/>
      <c r="AM270" s="8"/>
    </row>
    <row r="271" customFormat="false" ht="15.75" hidden="false" customHeight="true" outlineLevel="0" collapsed="false">
      <c r="A271" s="30" t="n">
        <v>46304</v>
      </c>
      <c r="B271" s="31" t="s">
        <v>458</v>
      </c>
      <c r="C271" s="31" t="str">
        <f aca="false" t="array" ref="C271:C271">IF(B271="","",IFERROR(INDEX('CLM &amp; IM Mapping'!$B$2:$B$270,MATCH(TRIM(B271),'CLM &amp; IM Mapping'!$A$2:$A$270,0)),"Not Mapped"))</f>
        <v>John Britto</v>
      </c>
      <c r="D271" s="31" t="str">
        <f aca="false" t="array" ref="D271:D271">IF(B271="","",IFERROR(INDEX('CLM &amp; IM Mapping'!$C$2:$C$270,MATCH(TRIM(B271),'CLM &amp; IM Mapping'!$A$2:$A$270,0)),"Not Mapped"))</f>
        <v>Aravind S</v>
      </c>
      <c r="E271" s="31" t="s">
        <v>34</v>
      </c>
      <c r="F271" s="31" t="s">
        <v>562</v>
      </c>
      <c r="G271" s="31" t="s">
        <v>303</v>
      </c>
      <c r="H271" s="17" t="n">
        <v>7163</v>
      </c>
      <c r="I271" s="32" t="n">
        <v>0.7</v>
      </c>
      <c r="J271" s="33" t="n">
        <v>0.23</v>
      </c>
      <c r="K271" s="34" t="n">
        <v>0.92</v>
      </c>
      <c r="L271" s="31" t="n">
        <v>0.97</v>
      </c>
      <c r="M271" s="31" t="n">
        <v>0.83</v>
      </c>
      <c r="N271" s="11" t="n">
        <v>1</v>
      </c>
      <c r="O271" s="12" t="s">
        <v>580</v>
      </c>
      <c r="P271" s="12" t="s">
        <v>567</v>
      </c>
      <c r="Q271" s="8"/>
      <c r="R271" s="8"/>
      <c r="S271" s="8"/>
      <c r="T271" s="8"/>
      <c r="U271" s="8"/>
      <c r="V271" s="8"/>
      <c r="W271" s="8"/>
      <c r="X271" s="8"/>
      <c r="Y271" s="8"/>
      <c r="Z271" s="8"/>
      <c r="AA271" s="8"/>
      <c r="AB271" s="8"/>
      <c r="AC271" s="8"/>
      <c r="AD271" s="8"/>
      <c r="AE271" s="8"/>
      <c r="AF271" s="8"/>
      <c r="AG271" s="8"/>
      <c r="AH271" s="8"/>
      <c r="AI271" s="8"/>
      <c r="AJ271" s="8"/>
      <c r="AK271" s="8"/>
      <c r="AL271" s="8"/>
      <c r="AM271" s="8"/>
    </row>
    <row r="272" customFormat="false" ht="15.75" hidden="false" customHeight="true" outlineLevel="0" collapsed="false">
      <c r="A272" s="30" t="n">
        <v>46304</v>
      </c>
      <c r="B272" s="31" t="s">
        <v>175</v>
      </c>
      <c r="C272" s="31" t="str">
        <f aca="false" t="array" ref="C272:C272">IF(B272="","",IFERROR(INDEX('CLM &amp; IM Mapping'!$B$2:$B$270,MATCH(TRIM(B272),'CLM &amp; IM Mapping'!$A$2:$A$270,0)),"Not Mapped"))</f>
        <v>Arun Raj</v>
      </c>
      <c r="D272" s="31" t="str">
        <f aca="false" t="array" ref="D272:D272">IF(B272="","",IFERROR(INDEX('CLM &amp; IM Mapping'!$C$2:$C$270,MATCH(TRIM(B272),'CLM &amp; IM Mapping'!$A$2:$A$270,0)),"Not Mapped"))</f>
        <v>Simon Manoharan</v>
      </c>
      <c r="E272" s="31" t="s">
        <v>25</v>
      </c>
      <c r="F272" s="31" t="s">
        <v>565</v>
      </c>
      <c r="G272" s="31" t="s">
        <v>23</v>
      </c>
      <c r="H272" s="17" t="n">
        <v>12201</v>
      </c>
      <c r="I272" s="32" t="n">
        <v>0.7</v>
      </c>
      <c r="J272" s="33" t="n">
        <v>0.24</v>
      </c>
      <c r="K272" s="34" t="n">
        <v>0.92</v>
      </c>
      <c r="L272" s="31" t="n">
        <v>0.97</v>
      </c>
      <c r="M272" s="31" t="n">
        <v>0.85</v>
      </c>
      <c r="N272" s="11" t="n">
        <v>3</v>
      </c>
      <c r="O272" s="12"/>
      <c r="P272" s="11"/>
      <c r="Q272" s="8"/>
      <c r="R272" s="8"/>
      <c r="S272" s="8"/>
      <c r="T272" s="8"/>
      <c r="U272" s="8"/>
      <c r="V272" s="8"/>
      <c r="W272" s="8"/>
      <c r="X272" s="8"/>
      <c r="Y272" s="8"/>
      <c r="Z272" s="8"/>
      <c r="AA272" s="8"/>
      <c r="AB272" s="8"/>
      <c r="AC272" s="8"/>
      <c r="AD272" s="8"/>
      <c r="AE272" s="8"/>
      <c r="AF272" s="8"/>
      <c r="AG272" s="8"/>
      <c r="AH272" s="8"/>
      <c r="AI272" s="8"/>
      <c r="AJ272" s="8"/>
      <c r="AK272" s="8"/>
      <c r="AL272" s="8"/>
      <c r="AM272" s="8"/>
    </row>
    <row r="273" customFormat="false" ht="15.75" hidden="false" customHeight="true" outlineLevel="0" collapsed="false">
      <c r="A273" s="30" t="n">
        <v>46304</v>
      </c>
      <c r="B273" s="31" t="s">
        <v>184</v>
      </c>
      <c r="C273" s="31" t="str">
        <f aca="false" t="array" ref="C273:C273">IF(B273="","",IFERROR(INDEX('CLM &amp; IM Mapping'!$B$2:$B$270,MATCH(TRIM(B273),'CLM &amp; IM Mapping'!$A$2:$A$270,0)),"Not Mapped"))</f>
        <v>Richard Harris</v>
      </c>
      <c r="D273" s="31" t="str">
        <f aca="false" t="array" ref="D273:D273">IF(B273="","",IFERROR(INDEX('CLM &amp; IM Mapping'!$C$2:$C$270,MATCH(TRIM(B273),'CLM &amp; IM Mapping'!$A$2:$A$270,0)),"Not Mapped"))</f>
        <v>Kantha Kumar</v>
      </c>
      <c r="E273" s="31" t="s">
        <v>34</v>
      </c>
      <c r="F273" s="31" t="s">
        <v>562</v>
      </c>
      <c r="G273" s="31" t="s">
        <v>23</v>
      </c>
      <c r="H273" s="17" t="n">
        <v>4538</v>
      </c>
      <c r="I273" s="32" t="n">
        <v>0.7</v>
      </c>
      <c r="J273" s="33" t="n">
        <v>0.24</v>
      </c>
      <c r="K273" s="34" t="n">
        <v>0.39</v>
      </c>
      <c r="L273" s="31" t="n">
        <v>0.83</v>
      </c>
      <c r="M273" s="31" t="n">
        <v>0.37</v>
      </c>
      <c r="N273" s="11" t="n">
        <v>3</v>
      </c>
      <c r="O273" s="12"/>
      <c r="P273" s="11"/>
      <c r="Q273" s="8"/>
      <c r="R273" s="8"/>
      <c r="S273" s="8"/>
      <c r="T273" s="8"/>
      <c r="U273" s="8"/>
      <c r="V273" s="8"/>
      <c r="W273" s="8"/>
      <c r="X273" s="8"/>
      <c r="Y273" s="8"/>
      <c r="Z273" s="8"/>
      <c r="AA273" s="8"/>
      <c r="AB273" s="8"/>
      <c r="AC273" s="8"/>
      <c r="AD273" s="8"/>
      <c r="AE273" s="8"/>
      <c r="AF273" s="8"/>
      <c r="AG273" s="8"/>
      <c r="AH273" s="8"/>
      <c r="AI273" s="8"/>
      <c r="AJ273" s="8"/>
      <c r="AK273" s="8"/>
      <c r="AL273" s="8"/>
      <c r="AM273" s="8"/>
    </row>
    <row r="274" customFormat="false" ht="15.75" hidden="false" customHeight="true" outlineLevel="0" collapsed="false">
      <c r="A274" s="30" t="n">
        <v>46304</v>
      </c>
      <c r="B274" s="31" t="s">
        <v>399</v>
      </c>
      <c r="C274" s="31" t="str">
        <f aca="false" t="array" ref="C274:C274">IF(B274="","",IFERROR(INDEX('CLM &amp; IM Mapping'!$B$2:$B$270,MATCH(TRIM(B274),'CLM &amp; IM Mapping'!$A$2:$A$270,0)),"Not Mapped"))</f>
        <v>John Britto</v>
      </c>
      <c r="D274" s="31" t="str">
        <f aca="false" t="array" ref="D274:D274">IF(B274="","",IFERROR(INDEX('CLM &amp; IM Mapping'!$C$2:$C$270,MATCH(TRIM(B274),'CLM &amp; IM Mapping'!$A$2:$A$270,0)),"Not Mapped"))</f>
        <v>Aravind S</v>
      </c>
      <c r="E274" s="31" t="s">
        <v>34</v>
      </c>
      <c r="F274" s="31" t="s">
        <v>562</v>
      </c>
      <c r="G274" s="31" t="s">
        <v>303</v>
      </c>
      <c r="H274" s="17" t="n">
        <v>7099</v>
      </c>
      <c r="I274" s="32" t="n">
        <v>0.7</v>
      </c>
      <c r="J274" s="33" t="n">
        <v>0.25</v>
      </c>
      <c r="K274" s="34" t="n">
        <v>0.96</v>
      </c>
      <c r="L274" s="31" t="n">
        <v>0.97</v>
      </c>
      <c r="M274" s="31" t="n">
        <v>0.95</v>
      </c>
      <c r="N274" s="11" t="n">
        <v>1</v>
      </c>
      <c r="O274" s="12" t="s">
        <v>584</v>
      </c>
      <c r="P274" s="12" t="s">
        <v>567</v>
      </c>
      <c r="Q274" s="8"/>
      <c r="R274" s="8"/>
      <c r="S274" s="8"/>
      <c r="T274" s="8"/>
      <c r="U274" s="8"/>
      <c r="V274" s="8"/>
      <c r="W274" s="8"/>
      <c r="X274" s="8"/>
      <c r="Y274" s="8"/>
      <c r="Z274" s="8"/>
      <c r="AA274" s="8"/>
      <c r="AB274" s="8"/>
      <c r="AC274" s="8"/>
      <c r="AD274" s="8"/>
      <c r="AE274" s="8"/>
      <c r="AF274" s="8"/>
      <c r="AG274" s="8"/>
      <c r="AH274" s="8"/>
      <c r="AI274" s="8"/>
      <c r="AJ274" s="8"/>
      <c r="AK274" s="8"/>
      <c r="AL274" s="8"/>
      <c r="AM274" s="8"/>
    </row>
    <row r="275" customFormat="false" ht="15.75" hidden="false" customHeight="true" outlineLevel="0" collapsed="false">
      <c r="A275" s="30" t="n">
        <v>46304</v>
      </c>
      <c r="B275" s="31" t="s">
        <v>56</v>
      </c>
      <c r="C275" s="31" t="str">
        <f aca="false" t="array" ref="C275:C275">IF(B275="","",IFERROR(INDEX('CLM &amp; IM Mapping'!$B$2:$B$270,MATCH(TRIM(B275),'CLM &amp; IM Mapping'!$A$2:$A$270,0)),"Not Mapped"))</f>
        <v>Keshav G</v>
      </c>
      <c r="D275" s="31" t="str">
        <f aca="false" t="array" ref="D275:D275">IF(B275="","",IFERROR(INDEX('CLM &amp; IM Mapping'!$C$2:$C$270,MATCH(TRIM(B275),'CLM &amp; IM Mapping'!$A$2:$A$270,0)),"Not Mapped"))</f>
        <v>Un Mapped</v>
      </c>
      <c r="E275" s="31" t="s">
        <v>34</v>
      </c>
      <c r="F275" s="31" t="s">
        <v>562</v>
      </c>
      <c r="G275" s="31" t="s">
        <v>23</v>
      </c>
      <c r="H275" s="17" t="n">
        <v>5873</v>
      </c>
      <c r="I275" s="32" t="n">
        <v>0.7</v>
      </c>
      <c r="J275" s="33" t="n">
        <v>0.26</v>
      </c>
      <c r="K275" s="34" t="n">
        <v>0.71</v>
      </c>
      <c r="L275" s="31" t="n">
        <v>0.95</v>
      </c>
      <c r="M275" s="31" t="n">
        <v>0.71</v>
      </c>
      <c r="N275" s="11" t="n">
        <v>6</v>
      </c>
      <c r="O275" s="12"/>
      <c r="P275" s="11"/>
      <c r="Q275" s="8"/>
      <c r="R275" s="8"/>
      <c r="S275" s="8"/>
      <c r="T275" s="8"/>
      <c r="U275" s="8"/>
      <c r="V275" s="8"/>
      <c r="W275" s="8"/>
      <c r="X275" s="8"/>
      <c r="Y275" s="8"/>
      <c r="Z275" s="8"/>
      <c r="AA275" s="8"/>
      <c r="AB275" s="8"/>
      <c r="AC275" s="8"/>
      <c r="AD275" s="8"/>
      <c r="AE275" s="8"/>
      <c r="AF275" s="8"/>
      <c r="AG275" s="8"/>
      <c r="AH275" s="8"/>
      <c r="AI275" s="8"/>
      <c r="AJ275" s="8"/>
      <c r="AK275" s="8"/>
      <c r="AL275" s="8"/>
      <c r="AM275" s="8"/>
    </row>
    <row r="276" customFormat="false" ht="15.75" hidden="false" customHeight="true" outlineLevel="0" collapsed="false">
      <c r="A276" s="30" t="n">
        <v>46304</v>
      </c>
      <c r="B276" s="31" t="s">
        <v>59</v>
      </c>
      <c r="C276" s="31" t="str">
        <f aca="false" t="array" ref="C276:C276">IF(B276="","",IFERROR(INDEX('CLM &amp; IM Mapping'!$B$2:$B$270,MATCH(TRIM(B276),'CLM &amp; IM Mapping'!$A$2:$A$270,0)),"Not Mapped"))</f>
        <v>Saddam Hussain</v>
      </c>
      <c r="D276" s="31" t="str">
        <f aca="false" t="array" ref="D276:D276">IF(B276="","",IFERROR(INDEX('CLM &amp; IM Mapping'!$C$2:$C$270,MATCH(TRIM(B276),'CLM &amp; IM Mapping'!$A$2:$A$270,0)),"Not Mapped"))</f>
        <v>Un Mapped</v>
      </c>
      <c r="E276" s="31" t="s">
        <v>34</v>
      </c>
      <c r="F276" s="31" t="s">
        <v>562</v>
      </c>
      <c r="G276" s="31" t="s">
        <v>23</v>
      </c>
      <c r="H276" s="17" t="n">
        <v>6691</v>
      </c>
      <c r="I276" s="32" t="n">
        <v>0.7</v>
      </c>
      <c r="J276" s="33" t="n">
        <v>0.26</v>
      </c>
      <c r="K276" s="34" t="n">
        <v>0.72</v>
      </c>
      <c r="L276" s="31" t="n">
        <v>0.87</v>
      </c>
      <c r="M276" s="31" t="n">
        <v>0.72</v>
      </c>
      <c r="N276" s="11" t="n">
        <v>3</v>
      </c>
      <c r="O276" s="12"/>
      <c r="P276" s="11"/>
      <c r="Q276" s="8"/>
      <c r="R276" s="8"/>
      <c r="S276" s="8"/>
      <c r="T276" s="8"/>
      <c r="U276" s="8"/>
      <c r="V276" s="8"/>
      <c r="W276" s="8"/>
      <c r="X276" s="8"/>
      <c r="Y276" s="8"/>
      <c r="Z276" s="8"/>
      <c r="AA276" s="8"/>
      <c r="AB276" s="8"/>
      <c r="AC276" s="8"/>
      <c r="AD276" s="8"/>
      <c r="AE276" s="8"/>
      <c r="AF276" s="8"/>
      <c r="AG276" s="8"/>
      <c r="AH276" s="8"/>
      <c r="AI276" s="8"/>
      <c r="AJ276" s="8"/>
      <c r="AK276" s="8"/>
      <c r="AL276" s="8"/>
      <c r="AM276" s="8"/>
    </row>
    <row r="277" customFormat="false" ht="15.75" hidden="false" customHeight="true" outlineLevel="0" collapsed="false">
      <c r="A277" s="30" t="n">
        <v>46304</v>
      </c>
      <c r="B277" s="31" t="s">
        <v>357</v>
      </c>
      <c r="C277" s="31" t="str">
        <f aca="false" t="array" ref="C277:C277">IF(B277="","",IFERROR(INDEX('CLM &amp; IM Mapping'!$B$2:$B$270,MATCH(TRIM(B277),'CLM &amp; IM Mapping'!$A$2:$A$270,0)),"Not Mapped"))</f>
        <v>Arun Raj</v>
      </c>
      <c r="D277" s="31" t="str">
        <f aca="false" t="array" ref="D277:D277">IF(B277="","",IFERROR(INDEX('CLM &amp; IM Mapping'!$C$2:$C$270,MATCH(TRIM(B277),'CLM &amp; IM Mapping'!$A$2:$A$270,0)),"Not Mapped"))</f>
        <v>Simon Manoharan</v>
      </c>
      <c r="E277" s="31" t="s">
        <v>25</v>
      </c>
      <c r="F277" s="31" t="s">
        <v>565</v>
      </c>
      <c r="G277" s="31" t="s">
        <v>23</v>
      </c>
      <c r="H277" s="17" t="n">
        <v>11048</v>
      </c>
      <c r="I277" s="32" t="n">
        <v>0.7</v>
      </c>
      <c r="J277" s="33" t="n">
        <v>0.26</v>
      </c>
      <c r="K277" s="34" t="n">
        <v>0.97</v>
      </c>
      <c r="L277" s="31" t="n">
        <v>0.99</v>
      </c>
      <c r="M277" s="31" t="n">
        <v>0.97</v>
      </c>
      <c r="N277" s="11" t="n">
        <v>1</v>
      </c>
      <c r="O277" s="12"/>
      <c r="P277" s="11"/>
      <c r="Q277" s="8"/>
      <c r="R277" s="8"/>
      <c r="S277" s="8"/>
      <c r="T277" s="8"/>
      <c r="U277" s="8"/>
      <c r="V277" s="8"/>
      <c r="W277" s="8"/>
      <c r="X277" s="8"/>
      <c r="Y277" s="8"/>
      <c r="Z277" s="8"/>
      <c r="AA277" s="8"/>
      <c r="AB277" s="8"/>
      <c r="AC277" s="8"/>
      <c r="AD277" s="8"/>
      <c r="AE277" s="8"/>
      <c r="AF277" s="8"/>
      <c r="AG277" s="8"/>
      <c r="AH277" s="8"/>
      <c r="AI277" s="8"/>
      <c r="AJ277" s="8"/>
      <c r="AK277" s="8"/>
      <c r="AL277" s="8"/>
      <c r="AM277" s="8"/>
    </row>
    <row r="278" customFormat="false" ht="15.75" hidden="false" customHeight="true" outlineLevel="0" collapsed="false">
      <c r="A278" s="30" t="n">
        <v>46304</v>
      </c>
      <c r="B278" s="31" t="s">
        <v>348</v>
      </c>
      <c r="C278" s="31" t="str">
        <f aca="false" t="array" ref="C278:C278">IF(B278="","",IFERROR(INDEX('CLM &amp; IM Mapping'!$B$2:$B$270,MATCH(TRIM(B278),'CLM &amp; IM Mapping'!$A$2:$A$270,0)),"Not Mapped"))</f>
        <v>Arun Raj</v>
      </c>
      <c r="D278" s="31" t="str">
        <f aca="false" t="array" ref="D278:D278">IF(B278="","",IFERROR(INDEX('CLM &amp; IM Mapping'!$C$2:$C$270,MATCH(TRIM(B278),'CLM &amp; IM Mapping'!$A$2:$A$270,0)),"Not Mapped"))</f>
        <v>Simon Manoharan</v>
      </c>
      <c r="E278" s="31" t="s">
        <v>25</v>
      </c>
      <c r="F278" s="31" t="s">
        <v>565</v>
      </c>
      <c r="G278" s="31" t="s">
        <v>23</v>
      </c>
      <c r="H278" s="17" t="n">
        <v>10796</v>
      </c>
      <c r="I278" s="32" t="n">
        <v>0.7</v>
      </c>
      <c r="J278" s="33" t="n">
        <v>0.26</v>
      </c>
      <c r="K278" s="34" t="n">
        <v>0.96</v>
      </c>
      <c r="L278" s="31" t="n">
        <v>0.99</v>
      </c>
      <c r="M278" s="31" t="n">
        <v>0.96</v>
      </c>
      <c r="N278" s="11" t="n">
        <v>1</v>
      </c>
      <c r="O278" s="12"/>
      <c r="P278" s="11"/>
      <c r="Q278" s="8"/>
      <c r="R278" s="8"/>
      <c r="S278" s="8"/>
      <c r="T278" s="8"/>
      <c r="U278" s="8"/>
      <c r="V278" s="8"/>
      <c r="W278" s="8"/>
      <c r="X278" s="8"/>
      <c r="Y278" s="8"/>
      <c r="Z278" s="8"/>
      <c r="AA278" s="8"/>
      <c r="AB278" s="8"/>
      <c r="AC278" s="8"/>
      <c r="AD278" s="8"/>
      <c r="AE278" s="8"/>
      <c r="AF278" s="8"/>
      <c r="AG278" s="8"/>
      <c r="AH278" s="8"/>
      <c r="AI278" s="8"/>
      <c r="AJ278" s="8"/>
      <c r="AK278" s="8"/>
      <c r="AL278" s="8"/>
      <c r="AM278" s="8"/>
    </row>
    <row r="279" customFormat="false" ht="15.75" hidden="false" customHeight="true" outlineLevel="0" collapsed="false">
      <c r="A279" s="30" t="n">
        <v>46304</v>
      </c>
      <c r="B279" s="31" t="s">
        <v>134</v>
      </c>
      <c r="C279" s="31" t="str">
        <f aca="false" t="array" ref="C279:C279">IF(B279="","",IFERROR(INDEX('CLM &amp; IM Mapping'!$B$2:$B$270,MATCH(TRIM(B279),'CLM &amp; IM Mapping'!$A$2:$A$270,0)),"Not Mapped"))</f>
        <v>Raghavendra Vernekar</v>
      </c>
      <c r="D279" s="31" t="str">
        <f aca="false" t="array" ref="D279:D279">IF(B279="","",IFERROR(INDEX('CLM &amp; IM Mapping'!$C$2:$C$270,MATCH(TRIM(B279),'CLM &amp; IM Mapping'!$A$2:$A$270,0)),"Not Mapped"))</f>
        <v>Prakash BS</v>
      </c>
      <c r="E279" s="31" t="s">
        <v>34</v>
      </c>
      <c r="F279" s="31" t="s">
        <v>562</v>
      </c>
      <c r="G279" s="31" t="s">
        <v>23</v>
      </c>
      <c r="H279" s="17" t="n">
        <v>5574</v>
      </c>
      <c r="I279" s="32" t="n">
        <v>0.7</v>
      </c>
      <c r="J279" s="33" t="n">
        <v>0.27</v>
      </c>
      <c r="K279" s="34" t="n">
        <v>0.77</v>
      </c>
      <c r="L279" s="31" t="n">
        <v>0.95</v>
      </c>
      <c r="M279" s="31" t="n">
        <v>0.77</v>
      </c>
      <c r="N279" s="11" t="n">
        <v>3</v>
      </c>
      <c r="O279" s="12" t="s">
        <v>588</v>
      </c>
      <c r="P279" s="36" t="s">
        <v>589</v>
      </c>
      <c r="Q279" s="8"/>
      <c r="R279" s="8"/>
      <c r="S279" s="8"/>
      <c r="T279" s="8"/>
      <c r="U279" s="8"/>
      <c r="V279" s="8"/>
      <c r="W279" s="8"/>
      <c r="X279" s="8"/>
      <c r="Y279" s="8"/>
      <c r="Z279" s="8"/>
      <c r="AA279" s="8"/>
      <c r="AB279" s="8"/>
      <c r="AC279" s="8"/>
      <c r="AD279" s="8"/>
      <c r="AE279" s="8"/>
      <c r="AF279" s="8"/>
      <c r="AG279" s="8"/>
      <c r="AH279" s="8"/>
      <c r="AI279" s="8"/>
      <c r="AJ279" s="8"/>
      <c r="AK279" s="8"/>
      <c r="AL279" s="8"/>
      <c r="AM279" s="8"/>
    </row>
    <row r="280" customFormat="false" ht="15.75" hidden="false" customHeight="true" outlineLevel="0" collapsed="false">
      <c r="A280" s="30" t="n">
        <v>46304</v>
      </c>
      <c r="B280" s="31" t="s">
        <v>103</v>
      </c>
      <c r="C280" s="31" t="str">
        <f aca="false" t="array" ref="C280:C280">IF(B280="","",IFERROR(INDEX('CLM &amp; IM Mapping'!$B$2:$B$270,MATCH(TRIM(B280),'CLM &amp; IM Mapping'!$A$2:$A$270,0)),"Not Mapped"))</f>
        <v>Girish N</v>
      </c>
      <c r="D280" s="31" t="str">
        <f aca="false" t="array" ref="D280:D280">IF(B280="","",IFERROR(INDEX('CLM &amp; IM Mapping'!$C$2:$C$270,MATCH(TRIM(B280),'CLM &amp; IM Mapping'!$A$2:$A$270,0)),"Not Mapped"))</f>
        <v>Un Mapped</v>
      </c>
      <c r="E280" s="31" t="s">
        <v>34</v>
      </c>
      <c r="F280" s="31" t="s">
        <v>562</v>
      </c>
      <c r="G280" s="31" t="s">
        <v>23</v>
      </c>
      <c r="H280" s="17" t="n">
        <v>4928</v>
      </c>
      <c r="I280" s="32" t="n">
        <v>0.7</v>
      </c>
      <c r="J280" s="33" t="n">
        <v>0.28</v>
      </c>
      <c r="K280" s="34" t="n">
        <v>0.69</v>
      </c>
      <c r="L280" s="31" t="n">
        <v>0.97</v>
      </c>
      <c r="M280" s="31" t="n">
        <v>0.69</v>
      </c>
      <c r="N280" s="11" t="n">
        <v>3</v>
      </c>
      <c r="O280" s="12"/>
      <c r="P280" s="11"/>
      <c r="Q280" s="8"/>
      <c r="R280" s="8"/>
      <c r="S280" s="8"/>
      <c r="T280" s="8"/>
      <c r="U280" s="8"/>
      <c r="V280" s="8"/>
      <c r="W280" s="8"/>
      <c r="X280" s="8"/>
      <c r="Y280" s="8"/>
      <c r="Z280" s="8"/>
      <c r="AA280" s="8"/>
      <c r="AB280" s="8"/>
      <c r="AC280" s="8"/>
      <c r="AD280" s="8"/>
      <c r="AE280" s="8"/>
      <c r="AF280" s="8"/>
      <c r="AG280" s="8"/>
      <c r="AH280" s="8"/>
      <c r="AI280" s="8"/>
      <c r="AJ280" s="8"/>
      <c r="AK280" s="8"/>
      <c r="AL280" s="8"/>
      <c r="AM280" s="8"/>
    </row>
    <row r="281" customFormat="false" ht="15.75" hidden="false" customHeight="true" outlineLevel="0" collapsed="false">
      <c r="A281" s="30" t="n">
        <v>46304</v>
      </c>
      <c r="B281" s="31" t="s">
        <v>439</v>
      </c>
      <c r="C281" s="31" t="str">
        <f aca="false" t="array" ref="C281:C281">IF(B281="","",IFERROR(INDEX('CLM &amp; IM Mapping'!$B$2:$B$270,MATCH(TRIM(B281),'CLM &amp; IM Mapping'!$A$2:$A$270,0)),"Not Mapped"))</f>
        <v>Vishnu V</v>
      </c>
      <c r="D281" s="31" t="str">
        <f aca="false" t="array" ref="D281:D281">IF(B281="","",IFERROR(INDEX('CLM &amp; IM Mapping'!$C$2:$C$270,MATCH(TRIM(B281),'CLM &amp; IM Mapping'!$A$2:$A$270,0)),"Not Mapped"))</f>
        <v>Arivind S</v>
      </c>
      <c r="E281" s="31" t="s">
        <v>34</v>
      </c>
      <c r="F281" s="31" t="s">
        <v>562</v>
      </c>
      <c r="G281" s="31" t="s">
        <v>417</v>
      </c>
      <c r="H281" s="17" t="n">
        <v>5121</v>
      </c>
      <c r="I281" s="32" t="n">
        <v>0.7</v>
      </c>
      <c r="J281" s="33" t="n">
        <v>0.29</v>
      </c>
      <c r="K281" s="34" t="n">
        <v>0.94</v>
      </c>
      <c r="L281" s="31" t="n">
        <v>0.99</v>
      </c>
      <c r="M281" s="31" t="n">
        <v>0.94</v>
      </c>
      <c r="N281" s="11" t="n">
        <v>1</v>
      </c>
      <c r="O281" s="12" t="s">
        <v>593</v>
      </c>
      <c r="P281" s="12" t="s">
        <v>594</v>
      </c>
      <c r="Q281" s="8"/>
      <c r="R281" s="8"/>
      <c r="S281" s="8"/>
      <c r="T281" s="8"/>
      <c r="U281" s="8"/>
      <c r="V281" s="8"/>
      <c r="W281" s="8"/>
      <c r="X281" s="8"/>
      <c r="Y281" s="8"/>
      <c r="Z281" s="8"/>
      <c r="AA281" s="8"/>
      <c r="AB281" s="8"/>
      <c r="AC281" s="8"/>
      <c r="AD281" s="8"/>
      <c r="AE281" s="8"/>
      <c r="AF281" s="8"/>
      <c r="AG281" s="8"/>
      <c r="AH281" s="8"/>
      <c r="AI281" s="8"/>
      <c r="AJ281" s="8"/>
      <c r="AK281" s="8"/>
      <c r="AL281" s="8"/>
      <c r="AM281" s="8"/>
    </row>
    <row r="282" customFormat="false" ht="15.75" hidden="false" customHeight="true" outlineLevel="0" collapsed="false">
      <c r="A282" s="30" t="n">
        <v>46304</v>
      </c>
      <c r="B282" s="31" t="s">
        <v>252</v>
      </c>
      <c r="C282" s="31" t="str">
        <f aca="false" t="array" ref="C282:C282">IF(B282="","",IFERROR(INDEX('CLM &amp; IM Mapping'!$B$2:$B$270,MATCH(TRIM(B282),'CLM &amp; IM Mapping'!$A$2:$A$270,0)),"Not Mapped"))</f>
        <v>Vishnu V</v>
      </c>
      <c r="D282" s="31" t="str">
        <f aca="false" t="array" ref="D282:D282">IF(B282="","",IFERROR(INDEX('CLM &amp; IM Mapping'!$C$2:$C$270,MATCH(TRIM(B282),'CLM &amp; IM Mapping'!$A$2:$A$270,0)),"Not Mapped"))</f>
        <v>Arivind S</v>
      </c>
      <c r="E282" s="31" t="s">
        <v>34</v>
      </c>
      <c r="F282" s="31" t="s">
        <v>562</v>
      </c>
      <c r="G282" s="31" t="s">
        <v>221</v>
      </c>
      <c r="H282" s="17" t="n">
        <v>6097</v>
      </c>
      <c r="I282" s="32" t="n">
        <v>0.7</v>
      </c>
      <c r="J282" s="33" t="n">
        <v>0.3</v>
      </c>
      <c r="K282" s="34" t="n">
        <v>0.89</v>
      </c>
      <c r="L282" s="31" t="n">
        <v>0.93</v>
      </c>
      <c r="M282" s="31" t="n">
        <v>0.89</v>
      </c>
      <c r="N282" s="11" t="n">
        <v>1</v>
      </c>
      <c r="O282" s="12" t="s">
        <v>595</v>
      </c>
      <c r="P282" s="12" t="s">
        <v>567</v>
      </c>
      <c r="Q282" s="8"/>
      <c r="R282" s="8"/>
      <c r="S282" s="8"/>
      <c r="T282" s="8"/>
      <c r="U282" s="8"/>
      <c r="V282" s="8"/>
      <c r="W282" s="8"/>
      <c r="X282" s="8"/>
      <c r="Y282" s="8"/>
      <c r="Z282" s="8"/>
      <c r="AA282" s="8"/>
      <c r="AB282" s="8"/>
      <c r="AC282" s="8"/>
      <c r="AD282" s="8"/>
      <c r="AE282" s="8"/>
      <c r="AF282" s="8"/>
      <c r="AG282" s="8"/>
      <c r="AH282" s="8"/>
      <c r="AI282" s="8"/>
      <c r="AJ282" s="8"/>
      <c r="AK282" s="8"/>
      <c r="AL282" s="8"/>
      <c r="AM282" s="8"/>
    </row>
    <row r="283" customFormat="false" ht="15.75" hidden="false" customHeight="true" outlineLevel="0" collapsed="false">
      <c r="A283" s="30" t="n">
        <v>46304</v>
      </c>
      <c r="B283" s="31" t="s">
        <v>355</v>
      </c>
      <c r="C283" s="31" t="str">
        <f aca="false" t="array" ref="C283:C283">IF(B283="","",IFERROR(INDEX('CLM &amp; IM Mapping'!$B$2:$B$270,MATCH(TRIM(B283),'CLM &amp; IM Mapping'!$A$2:$A$270,0)),"Not Mapped"))</f>
        <v>Arun Raj</v>
      </c>
      <c r="D283" s="31" t="str">
        <f aca="false" t="array" ref="D283:D283">IF(B283="","",IFERROR(INDEX('CLM &amp; IM Mapping'!$C$2:$C$270,MATCH(TRIM(B283),'CLM &amp; IM Mapping'!$A$2:$A$270,0)),"Not Mapped"))</f>
        <v>Simon Manoharan</v>
      </c>
      <c r="E283" s="31" t="s">
        <v>25</v>
      </c>
      <c r="F283" s="31" t="s">
        <v>562</v>
      </c>
      <c r="G283" s="31" t="s">
        <v>23</v>
      </c>
      <c r="H283" s="17" t="n">
        <v>10893</v>
      </c>
      <c r="I283" s="32" t="n">
        <v>0.7</v>
      </c>
      <c r="J283" s="33" t="n">
        <v>0.31</v>
      </c>
      <c r="K283" s="34" t="n">
        <v>0.97</v>
      </c>
      <c r="L283" s="31" t="n">
        <v>0.99</v>
      </c>
      <c r="M283" s="31" t="n">
        <v>0.97</v>
      </c>
      <c r="N283" s="11"/>
      <c r="O283" s="12"/>
      <c r="P283" s="11"/>
      <c r="Q283" s="8"/>
      <c r="R283" s="8"/>
      <c r="S283" s="8"/>
      <c r="T283" s="8"/>
      <c r="U283" s="8"/>
      <c r="V283" s="8"/>
      <c r="W283" s="8"/>
      <c r="X283" s="8"/>
      <c r="Y283" s="8"/>
      <c r="Z283" s="8"/>
      <c r="AA283" s="8"/>
      <c r="AB283" s="8"/>
      <c r="AC283" s="8"/>
      <c r="AD283" s="8"/>
      <c r="AE283" s="8"/>
      <c r="AF283" s="8"/>
      <c r="AG283" s="8"/>
      <c r="AH283" s="8"/>
      <c r="AI283" s="8"/>
      <c r="AJ283" s="8"/>
      <c r="AK283" s="8"/>
      <c r="AL283" s="8"/>
      <c r="AM283" s="8"/>
    </row>
    <row r="284" customFormat="false" ht="15.75" hidden="false" customHeight="true" outlineLevel="0" collapsed="false">
      <c r="A284" s="30" t="n">
        <v>46304</v>
      </c>
      <c r="B284" s="31" t="s">
        <v>233</v>
      </c>
      <c r="C284" s="31" t="str">
        <f aca="false" t="array" ref="C284:C284">IF(B284="","",IFERROR(INDEX('CLM &amp; IM Mapping'!$B$2:$B$270,MATCH(TRIM(B284),'CLM &amp; IM Mapping'!$A$2:$A$270,0)),"Not Mapped"))</f>
        <v>Suhas N</v>
      </c>
      <c r="D284" s="31" t="str">
        <f aca="false" t="array" ref="D284:D284">IF(B284="","",IFERROR(INDEX('CLM &amp; IM Mapping'!$C$2:$C$270,MATCH(TRIM(B284),'CLM &amp; IM Mapping'!$A$2:$A$270,0)),"Not Mapped"))</f>
        <v>Aravind S</v>
      </c>
      <c r="E284" s="31" t="s">
        <v>34</v>
      </c>
      <c r="F284" s="31" t="s">
        <v>562</v>
      </c>
      <c r="G284" s="31" t="s">
        <v>23</v>
      </c>
      <c r="H284" s="17" t="n">
        <v>6396</v>
      </c>
      <c r="I284" s="32" t="n">
        <v>0.7</v>
      </c>
      <c r="J284" s="33" t="n">
        <v>0.32</v>
      </c>
      <c r="K284" s="34" t="n">
        <v>0.74</v>
      </c>
      <c r="L284" s="31" t="n">
        <v>0.85</v>
      </c>
      <c r="M284" s="31" t="n">
        <v>0.74</v>
      </c>
      <c r="N284" s="11" t="n">
        <v>4</v>
      </c>
      <c r="O284" s="12" t="s">
        <v>590</v>
      </c>
      <c r="P284" s="12" t="s">
        <v>591</v>
      </c>
      <c r="Q284" s="8"/>
      <c r="R284" s="8"/>
      <c r="S284" s="8"/>
      <c r="T284" s="8"/>
      <c r="U284" s="8"/>
      <c r="V284" s="8"/>
      <c r="W284" s="8"/>
      <c r="X284" s="8"/>
      <c r="Y284" s="8"/>
      <c r="Z284" s="8"/>
      <c r="AA284" s="8"/>
      <c r="AB284" s="8"/>
      <c r="AC284" s="8"/>
      <c r="AD284" s="8"/>
      <c r="AE284" s="8"/>
      <c r="AF284" s="8"/>
      <c r="AG284" s="8"/>
      <c r="AH284" s="8"/>
      <c r="AI284" s="8"/>
      <c r="AJ284" s="8"/>
      <c r="AK284" s="8"/>
      <c r="AL284" s="8"/>
      <c r="AM284" s="8"/>
    </row>
    <row r="285" customFormat="false" ht="15.75" hidden="false" customHeight="true" outlineLevel="0" collapsed="false">
      <c r="A285" s="30" t="n">
        <v>46304</v>
      </c>
      <c r="B285" s="31" t="s">
        <v>298</v>
      </c>
      <c r="C285" s="31" t="str">
        <f aca="false" t="array" ref="C285:C285">IF(B285="","",IFERROR(INDEX('CLM &amp; IM Mapping'!$B$2:$B$270,MATCH(TRIM(B285),'CLM &amp; IM Mapping'!$A$2:$A$270,0)),"Not Mapped"))</f>
        <v>Ravishankar gowda</v>
      </c>
      <c r="D285" s="31" t="str">
        <f aca="false" t="array" ref="D285:D285">IF(B285="","",IFERROR(INDEX('CLM &amp; IM Mapping'!$C$2:$C$270,MATCH(TRIM(B285),'CLM &amp; IM Mapping'!$A$2:$A$270,0)),"Not Mapped"))</f>
        <v>Kishor K</v>
      </c>
      <c r="E285" s="31" t="s">
        <v>34</v>
      </c>
      <c r="F285" s="31" t="s">
        <v>562</v>
      </c>
      <c r="G285" s="31" t="s">
        <v>23</v>
      </c>
      <c r="H285" s="17" t="n">
        <v>5765</v>
      </c>
      <c r="I285" s="32" t="n">
        <v>0.7</v>
      </c>
      <c r="J285" s="33" t="n">
        <v>0.32</v>
      </c>
      <c r="K285" s="34" t="n">
        <v>0.84</v>
      </c>
      <c r="L285" s="31" t="n">
        <v>0.95</v>
      </c>
      <c r="M285" s="31" t="n">
        <v>0.84</v>
      </c>
      <c r="N285" s="11" t="n">
        <v>4</v>
      </c>
      <c r="O285" s="12" t="s">
        <v>592</v>
      </c>
      <c r="P285" s="12" t="s">
        <v>571</v>
      </c>
      <c r="Q285" s="8"/>
      <c r="R285" s="8"/>
      <c r="S285" s="8"/>
      <c r="T285" s="8"/>
      <c r="U285" s="8"/>
      <c r="V285" s="8"/>
      <c r="W285" s="8"/>
      <c r="X285" s="8"/>
      <c r="Y285" s="8"/>
      <c r="Z285" s="8"/>
      <c r="AA285" s="8"/>
      <c r="AB285" s="8"/>
      <c r="AC285" s="8"/>
      <c r="AD285" s="8"/>
      <c r="AE285" s="8"/>
      <c r="AF285" s="8"/>
      <c r="AG285" s="8"/>
      <c r="AH285" s="8"/>
      <c r="AI285" s="8"/>
      <c r="AJ285" s="8"/>
      <c r="AK285" s="8"/>
      <c r="AL285" s="8"/>
      <c r="AM285" s="8"/>
    </row>
    <row r="286" customFormat="false" ht="15.75" hidden="false" customHeight="true" outlineLevel="0" collapsed="false">
      <c r="A286" s="30" t="n">
        <v>46304</v>
      </c>
      <c r="B286" s="31" t="s">
        <v>305</v>
      </c>
      <c r="C286" s="31" t="str">
        <f aca="false" t="array" ref="C286:C286">IF(B286="","",IFERROR(INDEX('CLM &amp; IM Mapping'!$B$2:$B$270,MATCH(TRIM(B286),'CLM &amp; IM Mapping'!$A$2:$A$270,0)),"Not Mapped"))</f>
        <v>Manjunatha V</v>
      </c>
      <c r="D286" s="31" t="str">
        <f aca="false" t="array" ref="D286:D286">IF(B286="","",IFERROR(INDEX('CLM &amp; IM Mapping'!$C$2:$C$270,MATCH(TRIM(B286),'CLM &amp; IM Mapping'!$A$2:$A$270,0)),"Not Mapped"))</f>
        <v>Un Mapped</v>
      </c>
      <c r="E286" s="31" t="s">
        <v>34</v>
      </c>
      <c r="F286" s="31" t="s">
        <v>562</v>
      </c>
      <c r="G286" s="31" t="s">
        <v>23</v>
      </c>
      <c r="H286" s="17" t="n">
        <v>5639</v>
      </c>
      <c r="I286" s="32" t="n">
        <v>0.7</v>
      </c>
      <c r="J286" s="33" t="n">
        <v>0.32</v>
      </c>
      <c r="K286" s="34" t="n">
        <v>0.86</v>
      </c>
      <c r="L286" s="31" t="n">
        <v>0.96</v>
      </c>
      <c r="M286" s="31" t="n">
        <v>0.86</v>
      </c>
      <c r="N286" s="11" t="n">
        <v>3</v>
      </c>
      <c r="O286" s="12"/>
      <c r="P286" s="11"/>
      <c r="Q286" s="8"/>
      <c r="R286" s="8"/>
      <c r="S286" s="8"/>
      <c r="T286" s="8"/>
      <c r="U286" s="8"/>
      <c r="V286" s="8"/>
      <c r="W286" s="8"/>
      <c r="X286" s="8"/>
      <c r="Y286" s="8"/>
      <c r="Z286" s="8"/>
      <c r="AA286" s="8"/>
      <c r="AB286" s="8"/>
      <c r="AC286" s="8"/>
      <c r="AD286" s="8"/>
      <c r="AE286" s="8"/>
      <c r="AF286" s="8"/>
      <c r="AG286" s="8"/>
      <c r="AH286" s="8"/>
      <c r="AI286" s="8"/>
      <c r="AJ286" s="8"/>
      <c r="AK286" s="8"/>
      <c r="AL286" s="8"/>
      <c r="AM286" s="8"/>
    </row>
    <row r="287" customFormat="false" ht="15.75" hidden="false" customHeight="true" outlineLevel="0" collapsed="false">
      <c r="A287" s="30" t="n">
        <v>46304</v>
      </c>
      <c r="B287" s="31" t="s">
        <v>388</v>
      </c>
      <c r="C287" s="31" t="str">
        <f aca="false" t="array" ref="C287:C287">IF(B287="","",IFERROR(INDEX('CLM &amp; IM Mapping'!$B$2:$B$270,MATCH(TRIM(B287),'CLM &amp; IM Mapping'!$A$2:$A$270,0)),"Not Mapped"))</f>
        <v>Arun Raj</v>
      </c>
      <c r="D287" s="31" t="str">
        <f aca="false" t="array" ref="D287:D287">IF(B287="","",IFERROR(INDEX('CLM &amp; IM Mapping'!$C$2:$C$270,MATCH(TRIM(B287),'CLM &amp; IM Mapping'!$A$2:$A$270,0)),"Not Mapped"))</f>
        <v>Simon Manoharan</v>
      </c>
      <c r="E287" s="31" t="s">
        <v>25</v>
      </c>
      <c r="F287" s="31" t="s">
        <v>565</v>
      </c>
      <c r="G287" s="31" t="s">
        <v>23</v>
      </c>
      <c r="H287" s="17" t="n">
        <v>12271</v>
      </c>
      <c r="I287" s="32" t="n">
        <v>0.7</v>
      </c>
      <c r="J287" s="33" t="n">
        <v>0.32</v>
      </c>
      <c r="K287" s="34" t="n">
        <v>0.99</v>
      </c>
      <c r="L287" s="31" t="n">
        <v>1</v>
      </c>
      <c r="M287" s="31" t="n">
        <v>0.99</v>
      </c>
      <c r="N287" s="11" t="n">
        <v>2</v>
      </c>
      <c r="O287" s="12"/>
      <c r="P287" s="11"/>
      <c r="Q287" s="8"/>
      <c r="R287" s="8"/>
      <c r="S287" s="8"/>
      <c r="T287" s="8"/>
      <c r="U287" s="8"/>
      <c r="V287" s="8"/>
      <c r="W287" s="8"/>
      <c r="X287" s="8"/>
      <c r="Y287" s="8"/>
      <c r="Z287" s="8"/>
      <c r="AA287" s="8"/>
      <c r="AB287" s="8"/>
      <c r="AC287" s="8"/>
      <c r="AD287" s="8"/>
      <c r="AE287" s="8"/>
      <c r="AF287" s="8"/>
      <c r="AG287" s="8"/>
      <c r="AH287" s="8"/>
      <c r="AI287" s="8"/>
      <c r="AJ287" s="8"/>
      <c r="AK287" s="8"/>
      <c r="AL287" s="8"/>
      <c r="AM287" s="8"/>
    </row>
    <row r="288" customFormat="false" ht="15.75" hidden="false" customHeight="true" outlineLevel="0" collapsed="false">
      <c r="A288" s="30" t="n">
        <v>46304</v>
      </c>
      <c r="B288" s="31" t="s">
        <v>100</v>
      </c>
      <c r="C288" s="31" t="str">
        <f aca="false" t="array" ref="C288:C288">IF(B288="","",IFERROR(INDEX('CLM &amp; IM Mapping'!$B$2:$B$270,MATCH(TRIM(B288),'CLM &amp; IM Mapping'!$A$2:$A$270,0)),"Not Mapped"))</f>
        <v>Sundaresh S</v>
      </c>
      <c r="D288" s="31" t="str">
        <f aca="false" t="array" ref="D288:D288">IF(B288="","",IFERROR(INDEX('CLM &amp; IM Mapping'!$C$2:$C$270,MATCH(TRIM(B288),'CLM &amp; IM Mapping'!$A$2:$A$270,0)),"Not Mapped"))</f>
        <v>Un Mapped</v>
      </c>
      <c r="E288" s="31" t="s">
        <v>34</v>
      </c>
      <c r="F288" s="31" t="s">
        <v>562</v>
      </c>
      <c r="G288" s="31" t="s">
        <v>23</v>
      </c>
      <c r="H288" s="17" t="n">
        <v>6352</v>
      </c>
      <c r="I288" s="32" t="n">
        <v>0.7</v>
      </c>
      <c r="J288" s="33" t="n">
        <v>0.32</v>
      </c>
      <c r="K288" s="34" t="n">
        <v>0.7</v>
      </c>
      <c r="L288" s="31" t="n">
        <v>0.93</v>
      </c>
      <c r="M288" s="31" t="n">
        <v>0.7</v>
      </c>
      <c r="N288" s="11" t="n">
        <v>4</v>
      </c>
      <c r="O288" s="12"/>
      <c r="P288" s="11"/>
      <c r="Q288" s="8"/>
      <c r="R288" s="8"/>
      <c r="S288" s="8"/>
      <c r="T288" s="8"/>
      <c r="U288" s="8"/>
      <c r="V288" s="8"/>
      <c r="W288" s="8"/>
      <c r="X288" s="8"/>
      <c r="Y288" s="8"/>
      <c r="Z288" s="8"/>
      <c r="AA288" s="8"/>
      <c r="AB288" s="8"/>
      <c r="AC288" s="8"/>
      <c r="AD288" s="8"/>
      <c r="AE288" s="8"/>
      <c r="AF288" s="8"/>
      <c r="AG288" s="8"/>
      <c r="AH288" s="8"/>
      <c r="AI288" s="8"/>
      <c r="AJ288" s="8"/>
      <c r="AK288" s="8"/>
      <c r="AL288" s="8"/>
      <c r="AM288" s="8"/>
    </row>
    <row r="289" customFormat="false" ht="15.75" hidden="false" customHeight="true" outlineLevel="0" collapsed="false">
      <c r="A289" s="30" t="n">
        <v>46304</v>
      </c>
      <c r="B289" s="31" t="s">
        <v>229</v>
      </c>
      <c r="C289" s="31" t="str">
        <f aca="false" t="array" ref="C289:C289">IF(B289="","",IFERROR(INDEX('CLM &amp; IM Mapping'!$B$2:$B$270,MATCH(TRIM(B289),'CLM &amp; IM Mapping'!$A$2:$A$270,0)),"Not Mapped"))</f>
        <v>Arun Raj</v>
      </c>
      <c r="D289" s="31" t="str">
        <f aca="false" t="array" ref="D289:D289">IF(B289="","",IFERROR(INDEX('CLM &amp; IM Mapping'!$C$2:$C$270,MATCH(TRIM(B289),'CLM &amp; IM Mapping'!$A$2:$A$270,0)),"Not Mapped"))</f>
        <v>Simon Manoharan</v>
      </c>
      <c r="E289" s="31" t="s">
        <v>25</v>
      </c>
      <c r="F289" s="31" t="s">
        <v>565</v>
      </c>
      <c r="G289" s="31" t="s">
        <v>23</v>
      </c>
      <c r="H289" s="17" t="n">
        <v>13736</v>
      </c>
      <c r="I289" s="32" t="n">
        <v>0.7</v>
      </c>
      <c r="J289" s="33" t="n">
        <v>0.33</v>
      </c>
      <c r="K289" s="34" t="n">
        <v>0.97</v>
      </c>
      <c r="L289" s="31" t="n">
        <v>0.99</v>
      </c>
      <c r="M289" s="31" t="n">
        <v>0.97</v>
      </c>
      <c r="N289" s="11" t="n">
        <v>1</v>
      </c>
      <c r="O289" s="12"/>
      <c r="P289" s="11"/>
      <c r="Q289" s="8"/>
      <c r="R289" s="8"/>
      <c r="S289" s="8"/>
      <c r="T289" s="8"/>
      <c r="U289" s="8"/>
      <c r="V289" s="8"/>
      <c r="W289" s="8"/>
      <c r="X289" s="8"/>
      <c r="Y289" s="8"/>
      <c r="Z289" s="8"/>
      <c r="AA289" s="8"/>
      <c r="AB289" s="8"/>
      <c r="AC289" s="8"/>
      <c r="AD289" s="8"/>
      <c r="AE289" s="8"/>
      <c r="AF289" s="8"/>
      <c r="AG289" s="8"/>
      <c r="AH289" s="8"/>
      <c r="AI289" s="8"/>
      <c r="AJ289" s="8"/>
      <c r="AK289" s="8"/>
      <c r="AL289" s="8"/>
      <c r="AM289" s="8"/>
    </row>
    <row r="290" customFormat="false" ht="15.75" hidden="false" customHeight="true" outlineLevel="0" collapsed="false">
      <c r="A290" s="30" t="n">
        <v>46304</v>
      </c>
      <c r="B290" s="31" t="s">
        <v>231</v>
      </c>
      <c r="C290" s="31" t="str">
        <f aca="false" t="array" ref="C290:C290">IF(B290="","",IFERROR(INDEX('CLM &amp; IM Mapping'!$B$2:$B$270,MATCH(TRIM(B290),'CLM &amp; IM Mapping'!$A$2:$A$270,0)),"Not Mapped"))</f>
        <v>Arun Raj</v>
      </c>
      <c r="D290" s="31" t="str">
        <f aca="false" t="array" ref="D290:D290">IF(B290="","",IFERROR(INDEX('CLM &amp; IM Mapping'!$C$2:$C$270,MATCH(TRIM(B290),'CLM &amp; IM Mapping'!$A$2:$A$270,0)),"Not Mapped"))</f>
        <v>Simon Manoharan</v>
      </c>
      <c r="E290" s="31" t="s">
        <v>25</v>
      </c>
      <c r="F290" s="31" t="s">
        <v>565</v>
      </c>
      <c r="G290" s="31" t="s">
        <v>23</v>
      </c>
      <c r="H290" s="17" t="n">
        <v>13152</v>
      </c>
      <c r="I290" s="32" t="n">
        <v>0.7</v>
      </c>
      <c r="J290" s="33" t="n">
        <v>0.33</v>
      </c>
      <c r="K290" s="34" t="n">
        <v>0.97</v>
      </c>
      <c r="L290" s="31" t="n">
        <v>0.99</v>
      </c>
      <c r="M290" s="31" t="n">
        <v>0.97</v>
      </c>
      <c r="N290" s="11" t="n">
        <v>2</v>
      </c>
      <c r="O290" s="12"/>
      <c r="P290" s="11"/>
      <c r="Q290" s="8"/>
      <c r="R290" s="8"/>
      <c r="S290" s="8"/>
      <c r="T290" s="8"/>
      <c r="U290" s="8"/>
      <c r="V290" s="8"/>
      <c r="W290" s="8"/>
      <c r="X290" s="8"/>
      <c r="Y290" s="8"/>
      <c r="Z290" s="8"/>
      <c r="AA290" s="8"/>
      <c r="AB290" s="8"/>
      <c r="AC290" s="8"/>
      <c r="AD290" s="8"/>
      <c r="AE290" s="8"/>
      <c r="AF290" s="8"/>
      <c r="AG290" s="8"/>
      <c r="AH290" s="8"/>
      <c r="AI290" s="8"/>
      <c r="AJ290" s="8"/>
      <c r="AK290" s="8"/>
      <c r="AL290" s="8"/>
      <c r="AM290" s="8"/>
    </row>
    <row r="291" customFormat="false" ht="15.75" hidden="false" customHeight="true" outlineLevel="0" collapsed="false">
      <c r="A291" s="30" t="n">
        <v>46304</v>
      </c>
      <c r="B291" s="31" t="s">
        <v>132</v>
      </c>
      <c r="C291" s="31" t="str">
        <f aca="false" t="array" ref="C291:C291">IF(B291="","",IFERROR(INDEX('CLM &amp; IM Mapping'!$B$2:$B$270,MATCH(TRIM(B291),'CLM &amp; IM Mapping'!$A$2:$A$270,0)),"Not Mapped"))</f>
        <v>Saddam Hussain</v>
      </c>
      <c r="D291" s="31" t="str">
        <f aca="false" t="array" ref="D291:D291">IF(B291="","",IFERROR(INDEX('CLM &amp; IM Mapping'!$C$2:$C$270,MATCH(TRIM(B291),'CLM &amp; IM Mapping'!$A$2:$A$270,0)),"Not Mapped"))</f>
        <v>Un Mapped</v>
      </c>
      <c r="E291" s="31" t="s">
        <v>34</v>
      </c>
      <c r="F291" s="31" t="s">
        <v>565</v>
      </c>
      <c r="G291" s="31" t="s">
        <v>23</v>
      </c>
      <c r="H291" s="17" t="n">
        <v>5314</v>
      </c>
      <c r="I291" s="32" t="n">
        <v>0.7</v>
      </c>
      <c r="J291" s="33" t="n">
        <v>0.35</v>
      </c>
      <c r="K291" s="34" t="n">
        <v>0.76</v>
      </c>
      <c r="L291" s="31" t="n">
        <v>0.97</v>
      </c>
      <c r="M291" s="31" t="n">
        <v>0.76</v>
      </c>
      <c r="N291" s="11" t="n">
        <v>4</v>
      </c>
      <c r="O291" s="12"/>
      <c r="P291" s="11"/>
      <c r="Q291" s="8"/>
      <c r="R291" s="8"/>
      <c r="S291" s="8"/>
      <c r="T291" s="8"/>
      <c r="U291" s="8"/>
      <c r="V291" s="8"/>
      <c r="W291" s="8"/>
      <c r="X291" s="8"/>
      <c r="Y291" s="8"/>
      <c r="Z291" s="8"/>
      <c r="AA291" s="8"/>
      <c r="AB291" s="8"/>
      <c r="AC291" s="8"/>
      <c r="AD291" s="8"/>
      <c r="AE291" s="8"/>
      <c r="AF291" s="8"/>
      <c r="AG291" s="8"/>
      <c r="AH291" s="8"/>
      <c r="AI291" s="8"/>
      <c r="AJ291" s="8"/>
      <c r="AK291" s="8"/>
      <c r="AL291" s="8"/>
      <c r="AM291" s="8"/>
    </row>
    <row r="292" customFormat="false" ht="15.75" hidden="false" customHeight="true" outlineLevel="0" collapsed="false">
      <c r="A292" s="30" t="n">
        <v>46304</v>
      </c>
      <c r="B292" s="31" t="s">
        <v>288</v>
      </c>
      <c r="C292" s="31" t="str">
        <f aca="false" t="array" ref="C292:C292">IF(B292="","",IFERROR(INDEX('CLM &amp; IM Mapping'!$B$2:$B$270,MATCH(TRIM(B292),'CLM &amp; IM Mapping'!$A$2:$A$270,0)),"Not Mapped"))</f>
        <v>Arun Raj</v>
      </c>
      <c r="D292" s="31" t="str">
        <f aca="false" t="array" ref="D292:D292">IF(B292="","",IFERROR(INDEX('CLM &amp; IM Mapping'!$C$2:$C$270,MATCH(TRIM(B292),'CLM &amp; IM Mapping'!$A$2:$A$270,0)),"Not Mapped"))</f>
        <v>Simon Manoharan</v>
      </c>
      <c r="E292" s="31" t="s">
        <v>25</v>
      </c>
      <c r="F292" s="31" t="s">
        <v>565</v>
      </c>
      <c r="G292" s="31" t="s">
        <v>23</v>
      </c>
      <c r="H292" s="17" t="n">
        <v>10225</v>
      </c>
      <c r="I292" s="32" t="n">
        <v>0.7</v>
      </c>
      <c r="J292" s="33" t="n">
        <v>0.35</v>
      </c>
      <c r="K292" s="34" t="n">
        <v>0.97</v>
      </c>
      <c r="L292" s="31" t="n">
        <v>0.99</v>
      </c>
      <c r="M292" s="31" t="n">
        <v>0.97</v>
      </c>
      <c r="N292" s="11" t="n">
        <v>2</v>
      </c>
      <c r="O292" s="12"/>
      <c r="P292" s="11"/>
      <c r="Q292" s="8"/>
      <c r="R292" s="8"/>
      <c r="S292" s="8"/>
      <c r="T292" s="8"/>
      <c r="U292" s="8"/>
      <c r="V292" s="8"/>
      <c r="W292" s="8"/>
      <c r="X292" s="8"/>
      <c r="Y292" s="8"/>
      <c r="Z292" s="8"/>
      <c r="AA292" s="8"/>
      <c r="AB292" s="8"/>
      <c r="AC292" s="8"/>
      <c r="AD292" s="8"/>
      <c r="AE292" s="8"/>
      <c r="AF292" s="8"/>
      <c r="AG292" s="8"/>
      <c r="AH292" s="8"/>
      <c r="AI292" s="8"/>
      <c r="AJ292" s="8"/>
      <c r="AK292" s="8"/>
      <c r="AL292" s="8"/>
      <c r="AM292" s="8"/>
    </row>
    <row r="293" customFormat="false" ht="15.75" hidden="false" customHeight="true" outlineLevel="0" collapsed="false">
      <c r="A293" s="30" t="n">
        <v>46304</v>
      </c>
      <c r="B293" s="31" t="s">
        <v>188</v>
      </c>
      <c r="C293" s="31" t="str">
        <f aca="false" t="array" ref="C293:C293">IF(B293="","",IFERROR(INDEX('CLM &amp; IM Mapping'!$B$2:$B$270,MATCH(TRIM(B293),'CLM &amp; IM Mapping'!$A$2:$A$270,0)),"Not Mapped"))</f>
        <v>Richard Harris</v>
      </c>
      <c r="D293" s="31" t="str">
        <f aca="false" t="array" ref="D293:D293">IF(B293="","",IFERROR(INDEX('CLM &amp; IM Mapping'!$C$2:$C$270,MATCH(TRIM(B293),'CLM &amp; IM Mapping'!$A$2:$A$270,0)),"Not Mapped"))</f>
        <v>Kantha Kumar</v>
      </c>
      <c r="E293" s="31" t="s">
        <v>34</v>
      </c>
      <c r="F293" s="31" t="s">
        <v>562</v>
      </c>
      <c r="G293" s="31" t="s">
        <v>23</v>
      </c>
      <c r="H293" s="17" t="n">
        <v>6404</v>
      </c>
      <c r="I293" s="32" t="n">
        <v>0.7</v>
      </c>
      <c r="J293" s="33" t="n">
        <v>0.35</v>
      </c>
      <c r="K293" s="34" t="n">
        <v>0.82</v>
      </c>
      <c r="L293" s="31" t="n">
        <v>0.94</v>
      </c>
      <c r="M293" s="31" t="n">
        <v>0.82</v>
      </c>
      <c r="N293" s="11" t="n">
        <v>4</v>
      </c>
      <c r="O293" s="12"/>
      <c r="P293" s="11"/>
      <c r="Q293" s="8"/>
      <c r="R293" s="8"/>
      <c r="S293" s="8"/>
      <c r="T293" s="8"/>
      <c r="U293" s="8"/>
      <c r="V293" s="8"/>
      <c r="W293" s="8"/>
      <c r="X293" s="8"/>
      <c r="Y293" s="8"/>
      <c r="Z293" s="8"/>
      <c r="AA293" s="8"/>
      <c r="AB293" s="8"/>
      <c r="AC293" s="8"/>
      <c r="AD293" s="8"/>
      <c r="AE293" s="8"/>
      <c r="AF293" s="8"/>
      <c r="AG293" s="8"/>
      <c r="AH293" s="8"/>
      <c r="AI293" s="8"/>
      <c r="AJ293" s="8"/>
      <c r="AK293" s="8"/>
      <c r="AL293" s="8"/>
      <c r="AM293" s="8"/>
    </row>
    <row r="294" customFormat="false" ht="15.75" hidden="false" customHeight="true" outlineLevel="0" collapsed="false">
      <c r="A294" s="30" t="n">
        <v>46304</v>
      </c>
      <c r="B294" s="31" t="s">
        <v>404</v>
      </c>
      <c r="C294" s="31" t="str">
        <f aca="false" t="array" ref="C294:C294">IF(B294="","",IFERROR(INDEX('CLM &amp; IM Mapping'!$B$2:$B$270,MATCH(TRIM(B294),'CLM &amp; IM Mapping'!$A$2:$A$270,0)),"Not Mapped"))</f>
        <v>Arun Raj</v>
      </c>
      <c r="D294" s="31" t="str">
        <f aca="false" t="array" ref="D294:D294">IF(B294="","",IFERROR(INDEX('CLM &amp; IM Mapping'!$C$2:$C$270,MATCH(TRIM(B294),'CLM &amp; IM Mapping'!$A$2:$A$270,0)),"Not Mapped"))</f>
        <v>Simon Manoharan</v>
      </c>
      <c r="E294" s="31" t="s">
        <v>25</v>
      </c>
      <c r="F294" s="31" t="s">
        <v>565</v>
      </c>
      <c r="G294" s="31" t="s">
        <v>23</v>
      </c>
      <c r="H294" s="17" t="n">
        <v>11768</v>
      </c>
      <c r="I294" s="32" t="n">
        <v>0.7</v>
      </c>
      <c r="J294" s="33" t="n">
        <v>0.36</v>
      </c>
      <c r="K294" s="34" t="n">
        <v>0.96</v>
      </c>
      <c r="L294" s="31" t="n">
        <v>0.99</v>
      </c>
      <c r="M294" s="31" t="n">
        <v>0.96</v>
      </c>
      <c r="N294" s="11" t="n">
        <v>3</v>
      </c>
      <c r="O294" s="12"/>
      <c r="P294" s="11"/>
      <c r="Q294" s="8"/>
      <c r="R294" s="8"/>
      <c r="S294" s="8"/>
      <c r="T294" s="8"/>
      <c r="U294" s="8"/>
      <c r="V294" s="8"/>
      <c r="W294" s="8"/>
      <c r="X294" s="8"/>
      <c r="Y294" s="8"/>
      <c r="Z294" s="8"/>
      <c r="AA294" s="8"/>
      <c r="AB294" s="8"/>
      <c r="AC294" s="8"/>
      <c r="AD294" s="8"/>
      <c r="AE294" s="8"/>
      <c r="AF294" s="8"/>
      <c r="AG294" s="8"/>
      <c r="AH294" s="8"/>
      <c r="AI294" s="8"/>
      <c r="AJ294" s="8"/>
      <c r="AK294" s="8"/>
      <c r="AL294" s="8"/>
      <c r="AM294" s="8"/>
    </row>
    <row r="295" customFormat="false" ht="15.75" hidden="false" customHeight="true" outlineLevel="0" collapsed="false">
      <c r="A295" s="30" t="n">
        <v>46304</v>
      </c>
      <c r="B295" s="31" t="s">
        <v>200</v>
      </c>
      <c r="C295" s="31" t="str">
        <f aca="false" t="array" ref="C295:C295">IF(B295="","",IFERROR(INDEX('CLM &amp; IM Mapping'!$B$2:$B$270,MATCH(TRIM(B295),'CLM &amp; IM Mapping'!$A$2:$A$270,0)),"Not Mapped"))</f>
        <v>Adhavan Subramani</v>
      </c>
      <c r="D295" s="31" t="str">
        <f aca="false" t="array" ref="D295:D295">IF(B295="","",IFERROR(INDEX('CLM &amp; IM Mapping'!$C$2:$C$270,MATCH(TRIM(B295),'CLM &amp; IM Mapping'!$A$2:$A$270,0)),"Not Mapped"))</f>
        <v>Mohammed Akbar</v>
      </c>
      <c r="E295" s="31" t="s">
        <v>34</v>
      </c>
      <c r="F295" s="31" t="s">
        <v>562</v>
      </c>
      <c r="G295" s="31" t="s">
        <v>23</v>
      </c>
      <c r="H295" s="17" t="n">
        <v>6332</v>
      </c>
      <c r="I295" s="32" t="n">
        <v>0.7</v>
      </c>
      <c r="J295" s="33" t="n">
        <v>0.36</v>
      </c>
      <c r="K295" s="34" t="n">
        <v>0.69</v>
      </c>
      <c r="L295" s="31" t="n">
        <v>0.84</v>
      </c>
      <c r="M295" s="31" t="n">
        <v>0.69</v>
      </c>
      <c r="N295" s="11" t="n">
        <v>3</v>
      </c>
      <c r="O295" s="12"/>
      <c r="P295" s="11"/>
      <c r="Q295" s="8"/>
      <c r="R295" s="8"/>
      <c r="S295" s="8"/>
      <c r="T295" s="8"/>
      <c r="U295" s="8"/>
      <c r="V295" s="8"/>
      <c r="W295" s="8"/>
      <c r="X295" s="8"/>
      <c r="Y295" s="8"/>
      <c r="Z295" s="8"/>
      <c r="AA295" s="8"/>
      <c r="AB295" s="8"/>
      <c r="AC295" s="8"/>
      <c r="AD295" s="8"/>
      <c r="AE295" s="8"/>
      <c r="AF295" s="8"/>
      <c r="AG295" s="8"/>
      <c r="AH295" s="8"/>
      <c r="AI295" s="8"/>
      <c r="AJ295" s="8"/>
      <c r="AK295" s="8"/>
      <c r="AL295" s="8"/>
      <c r="AM295" s="8"/>
    </row>
    <row r="296" customFormat="false" ht="15.75" hidden="false" customHeight="true" outlineLevel="0" collapsed="false">
      <c r="A296" s="30" t="n">
        <v>46304</v>
      </c>
      <c r="B296" s="31" t="s">
        <v>461</v>
      </c>
      <c r="C296" s="31" t="str">
        <f aca="false" t="array" ref="C296:C296">IF(B296="","",IFERROR(INDEX('CLM &amp; IM Mapping'!$B$2:$B$270,MATCH(TRIM(B296),'CLM &amp; IM Mapping'!$A$2:$A$270,0)),"Not Mapped"))</f>
        <v>Arun Raj</v>
      </c>
      <c r="D296" s="31" t="str">
        <f aca="false" t="array" ref="D296:D296">IF(B296="","",IFERROR(INDEX('CLM &amp; IM Mapping'!$C$2:$C$270,MATCH(TRIM(B296),'CLM &amp; IM Mapping'!$A$2:$A$270,0)),"Not Mapped"))</f>
        <v>Simon Manoharan</v>
      </c>
      <c r="E296" s="31" t="s">
        <v>25</v>
      </c>
      <c r="F296" s="31" t="s">
        <v>565</v>
      </c>
      <c r="G296" s="31" t="s">
        <v>23</v>
      </c>
      <c r="H296" s="17" t="n">
        <v>12050</v>
      </c>
      <c r="I296" s="32" t="n">
        <v>0.7</v>
      </c>
      <c r="J296" s="33" t="n">
        <v>0.37</v>
      </c>
      <c r="K296" s="34" t="n">
        <v>0.98</v>
      </c>
      <c r="L296" s="31" t="n">
        <v>1</v>
      </c>
      <c r="M296" s="31" t="n">
        <v>0.98</v>
      </c>
      <c r="N296" s="11" t="n">
        <v>2</v>
      </c>
      <c r="O296" s="12"/>
      <c r="P296" s="11"/>
      <c r="Q296" s="8"/>
      <c r="R296" s="8"/>
      <c r="S296" s="8"/>
      <c r="T296" s="8"/>
      <c r="U296" s="8"/>
      <c r="V296" s="8"/>
      <c r="W296" s="8"/>
      <c r="X296" s="8"/>
      <c r="Y296" s="8"/>
      <c r="Z296" s="8"/>
      <c r="AA296" s="8"/>
      <c r="AB296" s="8"/>
      <c r="AC296" s="8"/>
      <c r="AD296" s="8"/>
      <c r="AE296" s="8"/>
      <c r="AF296" s="8"/>
      <c r="AG296" s="8"/>
      <c r="AH296" s="8"/>
      <c r="AI296" s="8"/>
      <c r="AJ296" s="8"/>
      <c r="AK296" s="8"/>
      <c r="AL296" s="8"/>
      <c r="AM296" s="8"/>
    </row>
    <row r="297" customFormat="false" ht="15.75" hidden="false" customHeight="true" outlineLevel="0" collapsed="false">
      <c r="A297" s="30" t="n">
        <v>46304</v>
      </c>
      <c r="B297" s="31" t="s">
        <v>80</v>
      </c>
      <c r="C297" s="31" t="str">
        <f aca="false" t="array" ref="C297:C297">IF(B297="","",IFERROR(INDEX('CLM &amp; IM Mapping'!$B$2:$B$270,MATCH(TRIM(B297),'CLM &amp; IM Mapping'!$A$2:$A$270,0)),"Not Mapped"))</f>
        <v>Sundaresh S</v>
      </c>
      <c r="D297" s="31" t="str">
        <f aca="false" t="array" ref="D297:D297">IF(B297="","",IFERROR(INDEX('CLM &amp; IM Mapping'!$C$2:$C$270,MATCH(TRIM(B297),'CLM &amp; IM Mapping'!$A$2:$A$270,0)),"Not Mapped"))</f>
        <v>Un Mapped</v>
      </c>
      <c r="E297" s="31" t="s">
        <v>34</v>
      </c>
      <c r="F297" s="31" t="s">
        <v>562</v>
      </c>
      <c r="G297" s="31" t="s">
        <v>23</v>
      </c>
      <c r="H297" s="17" t="n">
        <v>4836</v>
      </c>
      <c r="I297" s="32" t="n">
        <v>0.7</v>
      </c>
      <c r="J297" s="33" t="n">
        <v>0.37</v>
      </c>
      <c r="K297" s="34" t="n">
        <v>0.77</v>
      </c>
      <c r="L297" s="31" t="n">
        <v>0.96</v>
      </c>
      <c r="M297" s="31" t="n">
        <v>0.77</v>
      </c>
      <c r="N297" s="11" t="n">
        <v>4</v>
      </c>
      <c r="O297" s="12"/>
      <c r="P297" s="11"/>
      <c r="Q297" s="8"/>
      <c r="R297" s="8"/>
      <c r="S297" s="8"/>
      <c r="T297" s="8"/>
      <c r="U297" s="8"/>
      <c r="V297" s="8"/>
      <c r="W297" s="8"/>
      <c r="X297" s="8"/>
      <c r="Y297" s="8"/>
      <c r="Z297" s="8"/>
      <c r="AA297" s="8"/>
      <c r="AB297" s="8"/>
      <c r="AC297" s="8"/>
      <c r="AD297" s="8"/>
      <c r="AE297" s="8"/>
      <c r="AF297" s="8"/>
      <c r="AG297" s="8"/>
      <c r="AH297" s="8"/>
      <c r="AI297" s="8"/>
      <c r="AJ297" s="8"/>
      <c r="AK297" s="8"/>
      <c r="AL297" s="8"/>
      <c r="AM297" s="8"/>
    </row>
    <row r="298" customFormat="false" ht="15.75" hidden="false" customHeight="true" outlineLevel="0" collapsed="false">
      <c r="A298" s="30" t="n">
        <v>46304</v>
      </c>
      <c r="B298" s="31" t="s">
        <v>24</v>
      </c>
      <c r="C298" s="31" t="str">
        <f aca="false" t="array" ref="C298:C298">IF(B298="","",IFERROR(INDEX('CLM &amp; IM Mapping'!$B$2:$B$270,MATCH(TRIM(B298),'CLM &amp; IM Mapping'!$A$2:$A$270,0)),"Not Mapped"))</f>
        <v>Arun Raj</v>
      </c>
      <c r="D298" s="31" t="str">
        <f aca="false" t="array" ref="D298:D298">IF(B298="","",IFERROR(INDEX('CLM &amp; IM Mapping'!$C$2:$C$270,MATCH(TRIM(B298),'CLM &amp; IM Mapping'!$A$2:$A$270,0)),"Not Mapped"))</f>
        <v>Simon Manoharan</v>
      </c>
      <c r="E298" s="31" t="s">
        <v>25</v>
      </c>
      <c r="F298" s="31" t="s">
        <v>565</v>
      </c>
      <c r="G298" s="31" t="s">
        <v>23</v>
      </c>
      <c r="H298" s="17" t="n">
        <v>10881</v>
      </c>
      <c r="I298" s="32" t="n">
        <v>0.7</v>
      </c>
      <c r="J298" s="33" t="n">
        <v>0.37</v>
      </c>
      <c r="K298" s="34" t="n">
        <v>0.86</v>
      </c>
      <c r="L298" s="31" t="n">
        <v>0.97</v>
      </c>
      <c r="M298" s="31" t="n">
        <v>0.86</v>
      </c>
      <c r="N298" s="11" t="n">
        <v>4</v>
      </c>
      <c r="O298" s="12"/>
      <c r="P298" s="11"/>
      <c r="Q298" s="8"/>
      <c r="R298" s="8"/>
      <c r="S298" s="8"/>
      <c r="T298" s="8"/>
      <c r="U298" s="8"/>
      <c r="V298" s="8"/>
      <c r="W298" s="8"/>
      <c r="X298" s="8"/>
      <c r="Y298" s="8"/>
      <c r="Z298" s="8"/>
      <c r="AA298" s="8"/>
      <c r="AB298" s="8"/>
      <c r="AC298" s="8"/>
      <c r="AD298" s="8"/>
      <c r="AE298" s="8"/>
      <c r="AF298" s="8"/>
      <c r="AG298" s="8"/>
      <c r="AH298" s="8"/>
      <c r="AI298" s="8"/>
      <c r="AJ298" s="8"/>
      <c r="AK298" s="8"/>
      <c r="AL298" s="8"/>
      <c r="AM298" s="8"/>
    </row>
    <row r="299" customFormat="false" ht="15.75" hidden="false" customHeight="true" outlineLevel="0" collapsed="false">
      <c r="A299" s="30" t="n">
        <v>46304</v>
      </c>
      <c r="B299" s="31" t="s">
        <v>408</v>
      </c>
      <c r="C299" s="31" t="str">
        <f aca="false" t="array" ref="C299:C299">IF(B299="","",IFERROR(INDEX('CLM &amp; IM Mapping'!$B$2:$B$270,MATCH(TRIM(B299),'CLM &amp; IM Mapping'!$A$2:$A$270,0)),"Not Mapped"))</f>
        <v>Ravishankar gowda</v>
      </c>
      <c r="D299" s="31" t="str">
        <f aca="false" t="array" ref="D299:D299">IF(B299="","",IFERROR(INDEX('CLM &amp; IM Mapping'!$C$2:$C$270,MATCH(TRIM(B299),'CLM &amp; IM Mapping'!$A$2:$A$270,0)),"Not Mapped"))</f>
        <v>Kishor K</v>
      </c>
      <c r="E299" s="31" t="s">
        <v>34</v>
      </c>
      <c r="F299" s="31" t="s">
        <v>562</v>
      </c>
      <c r="G299" s="31" t="s">
        <v>23</v>
      </c>
      <c r="H299" s="17" t="n">
        <v>6071</v>
      </c>
      <c r="I299" s="32" t="n">
        <v>0.7</v>
      </c>
      <c r="J299" s="33" t="n">
        <v>0.37</v>
      </c>
      <c r="K299" s="34" t="n">
        <v>0.93</v>
      </c>
      <c r="L299" s="31" t="n">
        <v>0.96</v>
      </c>
      <c r="M299" s="31" t="n">
        <v>0.93</v>
      </c>
      <c r="N299" s="11" t="n">
        <v>2</v>
      </c>
      <c r="O299" s="12" t="s">
        <v>602</v>
      </c>
      <c r="P299" s="12" t="s">
        <v>603</v>
      </c>
      <c r="Q299" s="8"/>
      <c r="R299" s="8"/>
      <c r="S299" s="8"/>
      <c r="T299" s="8"/>
      <c r="U299" s="8"/>
      <c r="V299" s="8"/>
      <c r="W299" s="8"/>
      <c r="X299" s="8"/>
      <c r="Y299" s="8"/>
      <c r="Z299" s="8"/>
      <c r="AA299" s="8"/>
      <c r="AB299" s="8"/>
      <c r="AC299" s="8"/>
      <c r="AD299" s="8"/>
      <c r="AE299" s="8"/>
      <c r="AF299" s="8"/>
      <c r="AG299" s="8"/>
      <c r="AH299" s="8"/>
      <c r="AI299" s="8"/>
      <c r="AJ299" s="8"/>
      <c r="AK299" s="8"/>
      <c r="AL299" s="8"/>
      <c r="AM299" s="8"/>
    </row>
    <row r="300" customFormat="false" ht="15.75" hidden="false" customHeight="true" outlineLevel="0" collapsed="false">
      <c r="A300" s="30" t="n">
        <v>46304</v>
      </c>
      <c r="B300" s="31" t="s">
        <v>272</v>
      </c>
      <c r="C300" s="31" t="str">
        <f aca="false" t="array" ref="C300:C300">IF(B300="","",IFERROR(INDEX('CLM &amp; IM Mapping'!$B$2:$B$270,MATCH(TRIM(B300),'CLM &amp; IM Mapping'!$A$2:$A$270,0)),"Not Mapped"))</f>
        <v>Arun Raj</v>
      </c>
      <c r="D300" s="31" t="str">
        <f aca="false" t="array" ref="D300:D300">IF(B300="","",IFERROR(INDEX('CLM &amp; IM Mapping'!$C$2:$C$270,MATCH(TRIM(B300),'CLM &amp; IM Mapping'!$A$2:$A$270,0)),"Not Mapped"))</f>
        <v>Simon Manoharan</v>
      </c>
      <c r="E300" s="31" t="s">
        <v>25</v>
      </c>
      <c r="F300" s="31" t="s">
        <v>565</v>
      </c>
      <c r="G300" s="31" t="s">
        <v>23</v>
      </c>
      <c r="H300" s="17" t="n">
        <v>13860</v>
      </c>
      <c r="I300" s="32" t="n">
        <v>0.7</v>
      </c>
      <c r="J300" s="33" t="n">
        <v>0.37</v>
      </c>
      <c r="K300" s="34" t="n">
        <v>0.97</v>
      </c>
      <c r="L300" s="31" t="n">
        <v>0.99</v>
      </c>
      <c r="M300" s="31" t="n">
        <v>0.97</v>
      </c>
      <c r="N300" s="11" t="n">
        <v>2</v>
      </c>
      <c r="O300" s="12"/>
      <c r="P300" s="11"/>
      <c r="Q300" s="8"/>
      <c r="R300" s="8"/>
      <c r="S300" s="8"/>
      <c r="T300" s="8"/>
      <c r="U300" s="8"/>
      <c r="V300" s="8"/>
      <c r="W300" s="8"/>
      <c r="X300" s="8"/>
      <c r="Y300" s="8"/>
      <c r="Z300" s="8"/>
      <c r="AA300" s="8"/>
      <c r="AB300" s="8"/>
      <c r="AC300" s="8"/>
      <c r="AD300" s="8"/>
      <c r="AE300" s="8"/>
      <c r="AF300" s="8"/>
      <c r="AG300" s="8"/>
      <c r="AH300" s="8"/>
      <c r="AI300" s="8"/>
      <c r="AJ300" s="8"/>
      <c r="AK300" s="8"/>
      <c r="AL300" s="8"/>
      <c r="AM300" s="8"/>
    </row>
    <row r="301" customFormat="false" ht="15.75" hidden="false" customHeight="true" outlineLevel="0" collapsed="false">
      <c r="A301" s="30" t="n">
        <v>46304</v>
      </c>
      <c r="B301" s="31" t="s">
        <v>427</v>
      </c>
      <c r="C301" s="31" t="str">
        <f aca="false" t="array" ref="C301:C301">IF(B301="","",IFERROR(INDEX('CLM &amp; IM Mapping'!$B$2:$B$270,MATCH(TRIM(B301),'CLM &amp; IM Mapping'!$A$2:$A$270,0)),"Not Mapped"))</f>
        <v>John Britto</v>
      </c>
      <c r="D301" s="31" t="str">
        <f aca="false" t="array" ref="D301:D301">IF(B301="","",IFERROR(INDEX('CLM &amp; IM Mapping'!$C$2:$C$270,MATCH(TRIM(B301),'CLM &amp; IM Mapping'!$A$2:$A$270,0)),"Not Mapped"))</f>
        <v>Aravind S</v>
      </c>
      <c r="E301" s="31" t="s">
        <v>34</v>
      </c>
      <c r="F301" s="31" t="s">
        <v>562</v>
      </c>
      <c r="G301" s="31" t="s">
        <v>303</v>
      </c>
      <c r="H301" s="17" t="n">
        <v>6707</v>
      </c>
      <c r="I301" s="32" t="n">
        <v>0.7</v>
      </c>
      <c r="J301" s="33" t="n">
        <v>0.38</v>
      </c>
      <c r="K301" s="34" t="n">
        <v>0.83</v>
      </c>
      <c r="L301" s="31" t="n">
        <v>0.95</v>
      </c>
      <c r="M301" s="31" t="n">
        <v>0.83</v>
      </c>
      <c r="N301" s="11" t="n">
        <v>3</v>
      </c>
      <c r="O301" s="12" t="s">
        <v>569</v>
      </c>
      <c r="P301" s="12" t="s">
        <v>591</v>
      </c>
      <c r="Q301" s="8"/>
      <c r="R301" s="8"/>
      <c r="S301" s="8"/>
      <c r="T301" s="8"/>
      <c r="U301" s="8"/>
      <c r="V301" s="8"/>
      <c r="W301" s="8"/>
      <c r="X301" s="8"/>
      <c r="Y301" s="8"/>
      <c r="Z301" s="8"/>
      <c r="AA301" s="8"/>
      <c r="AB301" s="8"/>
      <c r="AC301" s="8"/>
      <c r="AD301" s="8"/>
      <c r="AE301" s="8"/>
      <c r="AF301" s="8"/>
      <c r="AG301" s="8"/>
      <c r="AH301" s="8"/>
      <c r="AI301" s="8"/>
      <c r="AJ301" s="8"/>
      <c r="AK301" s="8"/>
      <c r="AL301" s="8"/>
      <c r="AM301" s="8"/>
    </row>
    <row r="302" customFormat="false" ht="15.75" hidden="false" customHeight="true" outlineLevel="0" collapsed="false">
      <c r="A302" s="30" t="n">
        <v>46304</v>
      </c>
      <c r="B302" s="31" t="s">
        <v>118</v>
      </c>
      <c r="C302" s="31" t="str">
        <f aca="false" t="array" ref="C302:C302">IF(B302="","",IFERROR(INDEX('CLM &amp; IM Mapping'!$B$2:$B$270,MATCH(TRIM(B302),'CLM &amp; IM Mapping'!$A$2:$A$270,0)),"Not Mapped"))</f>
        <v>Adhavan Subramani</v>
      </c>
      <c r="D302" s="31" t="str">
        <f aca="false" t="array" ref="D302:D302">IF(B302="","",IFERROR(INDEX('CLM &amp; IM Mapping'!$C$2:$C$270,MATCH(TRIM(B302),'CLM &amp; IM Mapping'!$A$2:$A$270,0)),"Not Mapped"))</f>
        <v>Mohammed Akbar</v>
      </c>
      <c r="E302" s="31" t="s">
        <v>34</v>
      </c>
      <c r="F302" s="31" t="s">
        <v>562</v>
      </c>
      <c r="G302" s="31" t="s">
        <v>23</v>
      </c>
      <c r="H302" s="17" t="n">
        <v>6065</v>
      </c>
      <c r="I302" s="32" t="n">
        <v>0.7</v>
      </c>
      <c r="J302" s="33" t="n">
        <v>0.38</v>
      </c>
      <c r="K302" s="34" t="n">
        <v>0.77</v>
      </c>
      <c r="L302" s="31" t="n">
        <v>0.92</v>
      </c>
      <c r="M302" s="31" t="n">
        <v>0.77</v>
      </c>
      <c r="N302" s="11" t="n">
        <v>3</v>
      </c>
      <c r="O302" s="12"/>
      <c r="P302" s="11"/>
      <c r="Q302" s="8"/>
      <c r="R302" s="8"/>
      <c r="S302" s="8"/>
      <c r="T302" s="8"/>
      <c r="U302" s="8"/>
      <c r="V302" s="8"/>
      <c r="W302" s="8"/>
      <c r="X302" s="8"/>
      <c r="Y302" s="8"/>
      <c r="Z302" s="8"/>
      <c r="AA302" s="8"/>
      <c r="AB302" s="8"/>
      <c r="AC302" s="8"/>
      <c r="AD302" s="8"/>
      <c r="AE302" s="8"/>
      <c r="AF302" s="8"/>
      <c r="AG302" s="8"/>
      <c r="AH302" s="8"/>
      <c r="AI302" s="8"/>
      <c r="AJ302" s="8"/>
      <c r="AK302" s="8"/>
      <c r="AL302" s="8"/>
      <c r="AM302" s="8"/>
    </row>
    <row r="303" customFormat="false" ht="15.75" hidden="false" customHeight="true" outlineLevel="0" collapsed="false">
      <c r="A303" s="30" t="n">
        <v>46304</v>
      </c>
      <c r="B303" s="31" t="s">
        <v>488</v>
      </c>
      <c r="C303" s="31" t="str">
        <f aca="false" t="array" ref="C303:C303">IF(B303="","",IFERROR(INDEX('CLM &amp; IM Mapping'!$B$2:$B$270,MATCH(TRIM(B303),'CLM &amp; IM Mapping'!$A$2:$A$270,0)),"Not Mapped"))</f>
        <v>Sundaresh S</v>
      </c>
      <c r="D303" s="31" t="str">
        <f aca="false" t="array" ref="D303:D303">IF(B303="","",IFERROR(INDEX('CLM &amp; IM Mapping'!$C$2:$C$270,MATCH(TRIM(B303),'CLM &amp; IM Mapping'!$A$2:$A$270,0)),"Not Mapped"))</f>
        <v>Un Mapped</v>
      </c>
      <c r="E303" s="31" t="s">
        <v>34</v>
      </c>
      <c r="F303" s="31" t="s">
        <v>562</v>
      </c>
      <c r="G303" s="31" t="s">
        <v>23</v>
      </c>
      <c r="H303" s="17" t="n">
        <v>5933</v>
      </c>
      <c r="I303" s="32" t="n">
        <v>0.7</v>
      </c>
      <c r="J303" s="33" t="n">
        <v>0.38</v>
      </c>
      <c r="K303" s="34" t="n">
        <v>0.86</v>
      </c>
      <c r="L303" s="31" t="n">
        <v>0.97</v>
      </c>
      <c r="M303" s="31" t="n">
        <v>0.86</v>
      </c>
      <c r="N303" s="11" t="n">
        <v>3</v>
      </c>
      <c r="O303" s="12"/>
      <c r="P303" s="11"/>
      <c r="Q303" s="8"/>
      <c r="R303" s="8"/>
      <c r="S303" s="8"/>
      <c r="T303" s="8"/>
      <c r="U303" s="8"/>
      <c r="V303" s="8"/>
      <c r="W303" s="8"/>
      <c r="X303" s="8"/>
      <c r="Y303" s="8"/>
      <c r="Z303" s="8"/>
      <c r="AA303" s="8"/>
      <c r="AB303" s="8"/>
      <c r="AC303" s="8"/>
      <c r="AD303" s="8"/>
      <c r="AE303" s="8"/>
      <c r="AF303" s="8"/>
      <c r="AG303" s="8"/>
      <c r="AH303" s="8"/>
      <c r="AI303" s="8"/>
      <c r="AJ303" s="8"/>
      <c r="AK303" s="8"/>
      <c r="AL303" s="8"/>
      <c r="AM303" s="8"/>
    </row>
    <row r="304" customFormat="false" ht="15.75" hidden="false" customHeight="true" outlineLevel="0" collapsed="false">
      <c r="A304" s="30" t="n">
        <v>46304</v>
      </c>
      <c r="B304" s="31" t="s">
        <v>498</v>
      </c>
      <c r="C304" s="31" t="str">
        <f aca="false" t="array" ref="C304:C304">IF(B304="","",IFERROR(INDEX('CLM &amp; IM Mapping'!$B$2:$B$270,MATCH(TRIM(B304),'CLM &amp; IM Mapping'!$A$2:$A$270,0)),"Not Mapped"))</f>
        <v>Adhavan Subramani</v>
      </c>
      <c r="D304" s="31" t="str">
        <f aca="false" t="array" ref="D304:D304">IF(B304="","",IFERROR(INDEX('CLM &amp; IM Mapping'!$C$2:$C$270,MATCH(TRIM(B304),'CLM &amp; IM Mapping'!$A$2:$A$270,0)),"Not Mapped"))</f>
        <v>Mohammed Akbar</v>
      </c>
      <c r="E304" s="31" t="s">
        <v>34</v>
      </c>
      <c r="F304" s="31" t="s">
        <v>562</v>
      </c>
      <c r="G304" s="31" t="s">
        <v>23</v>
      </c>
      <c r="H304" s="17" t="n">
        <v>5790</v>
      </c>
      <c r="I304" s="32" t="n">
        <v>0.7</v>
      </c>
      <c r="J304" s="33" t="n">
        <v>0.38</v>
      </c>
      <c r="K304" s="34" t="n">
        <v>0.96</v>
      </c>
      <c r="L304" s="31" t="n">
        <v>0.81</v>
      </c>
      <c r="M304" s="31"/>
      <c r="N304" s="11"/>
      <c r="O304" s="12"/>
      <c r="P304" s="11"/>
      <c r="Q304" s="8"/>
      <c r="R304" s="8"/>
      <c r="S304" s="8"/>
      <c r="T304" s="8"/>
      <c r="U304" s="8"/>
      <c r="V304" s="8"/>
      <c r="W304" s="8"/>
      <c r="X304" s="8"/>
      <c r="Y304" s="8"/>
      <c r="Z304" s="8"/>
      <c r="AA304" s="8"/>
      <c r="AB304" s="8"/>
      <c r="AC304" s="8"/>
      <c r="AD304" s="8"/>
      <c r="AE304" s="8"/>
      <c r="AF304" s="8"/>
      <c r="AG304" s="8"/>
      <c r="AH304" s="8"/>
      <c r="AI304" s="8"/>
      <c r="AJ304" s="8"/>
      <c r="AK304" s="8"/>
      <c r="AL304" s="8"/>
      <c r="AM304" s="8"/>
    </row>
    <row r="305" customFormat="false" ht="15.75" hidden="false" customHeight="true" outlineLevel="0" collapsed="false">
      <c r="A305" s="30" t="n">
        <v>46304</v>
      </c>
      <c r="B305" s="31" t="s">
        <v>274</v>
      </c>
      <c r="C305" s="31" t="str">
        <f aca="false" t="array" ref="C305:C305">IF(B305="","",IFERROR(INDEX('CLM &amp; IM Mapping'!$B$2:$B$270,MATCH(TRIM(B305),'CLM &amp; IM Mapping'!$A$2:$A$270,0)),"Not Mapped"))</f>
        <v>Vishnu V</v>
      </c>
      <c r="D305" s="31" t="str">
        <f aca="false" t="array" ref="D305:D305">IF(B305="","",IFERROR(INDEX('CLM &amp; IM Mapping'!$C$2:$C$270,MATCH(TRIM(B305),'CLM &amp; IM Mapping'!$A$2:$A$270,0)),"Not Mapped"))</f>
        <v>Arivind S</v>
      </c>
      <c r="E305" s="31" t="s">
        <v>34</v>
      </c>
      <c r="F305" s="31" t="s">
        <v>562</v>
      </c>
      <c r="G305" s="31" t="s">
        <v>221</v>
      </c>
      <c r="H305" s="17" t="n">
        <v>5822</v>
      </c>
      <c r="I305" s="32" t="n">
        <v>0.7</v>
      </c>
      <c r="J305" s="33" t="n">
        <v>0.38</v>
      </c>
      <c r="K305" s="34" t="n">
        <v>0.81</v>
      </c>
      <c r="L305" s="31" t="n">
        <v>0.96</v>
      </c>
      <c r="M305" s="31" t="n">
        <v>0.81</v>
      </c>
      <c r="N305" s="11" t="n">
        <v>2</v>
      </c>
      <c r="O305" s="12" t="s">
        <v>606</v>
      </c>
      <c r="P305" s="12" t="s">
        <v>567</v>
      </c>
      <c r="Q305" s="8"/>
      <c r="R305" s="8"/>
      <c r="S305" s="8"/>
      <c r="T305" s="8"/>
      <c r="U305" s="8"/>
      <c r="V305" s="8"/>
      <c r="W305" s="8"/>
      <c r="X305" s="8"/>
      <c r="Y305" s="8"/>
      <c r="Z305" s="8"/>
      <c r="AA305" s="8"/>
      <c r="AB305" s="8"/>
      <c r="AC305" s="8"/>
      <c r="AD305" s="8"/>
      <c r="AE305" s="8"/>
      <c r="AF305" s="8"/>
      <c r="AG305" s="8"/>
      <c r="AH305" s="8"/>
      <c r="AI305" s="8"/>
      <c r="AJ305" s="8"/>
      <c r="AK305" s="8"/>
      <c r="AL305" s="8"/>
      <c r="AM305" s="8"/>
    </row>
    <row r="306" customFormat="false" ht="15.75" hidden="false" customHeight="true" outlineLevel="0" collapsed="false">
      <c r="A306" s="30" t="n">
        <v>46304</v>
      </c>
      <c r="B306" s="31" t="s">
        <v>371</v>
      </c>
      <c r="C306" s="31" t="str">
        <f aca="false" t="array" ref="C306:C306">IF(B306="","",IFERROR(INDEX('CLM &amp; IM Mapping'!$B$2:$B$270,MATCH(TRIM(B306),'CLM &amp; IM Mapping'!$A$2:$A$270,0)),"Not Mapped"))</f>
        <v>Akshay P</v>
      </c>
      <c r="D306" s="31" t="str">
        <f aca="false" t="array" ref="D306:D306">IF(B306="","",IFERROR(INDEX('CLM &amp; IM Mapping'!$C$2:$C$270,MATCH(TRIM(B306),'CLM &amp; IM Mapping'!$A$2:$A$270,0)),"Not Mapped"))</f>
        <v>Srittam Dhal</v>
      </c>
      <c r="E306" s="31" t="s">
        <v>34</v>
      </c>
      <c r="F306" s="31" t="s">
        <v>565</v>
      </c>
      <c r="G306" s="31" t="s">
        <v>23</v>
      </c>
      <c r="H306" s="17" t="n">
        <v>6949</v>
      </c>
      <c r="I306" s="32" t="n">
        <v>0.7</v>
      </c>
      <c r="J306" s="33" t="n">
        <v>0.38</v>
      </c>
      <c r="K306" s="34" t="n">
        <v>0.95</v>
      </c>
      <c r="L306" s="31" t="n">
        <v>0.98</v>
      </c>
      <c r="M306" s="31"/>
      <c r="N306" s="11" t="n">
        <v>1</v>
      </c>
      <c r="O306" s="12" t="s">
        <v>656</v>
      </c>
      <c r="P306" s="11" t="s">
        <v>603</v>
      </c>
      <c r="Q306" s="8"/>
      <c r="R306" s="8"/>
      <c r="S306" s="8"/>
      <c r="T306" s="8"/>
      <c r="U306" s="8"/>
      <c r="V306" s="8"/>
      <c r="W306" s="8"/>
      <c r="X306" s="8"/>
      <c r="Y306" s="8"/>
      <c r="Z306" s="8"/>
      <c r="AA306" s="8"/>
      <c r="AB306" s="8"/>
      <c r="AC306" s="8"/>
      <c r="AD306" s="8"/>
      <c r="AE306" s="8"/>
      <c r="AF306" s="8"/>
      <c r="AG306" s="8"/>
      <c r="AH306" s="8"/>
      <c r="AI306" s="8"/>
      <c r="AJ306" s="8"/>
      <c r="AK306" s="8"/>
      <c r="AL306" s="8"/>
      <c r="AM306" s="8"/>
    </row>
    <row r="307" customFormat="false" ht="15.75" hidden="false" customHeight="true" outlineLevel="0" collapsed="false">
      <c r="A307" s="30" t="n">
        <v>46304</v>
      </c>
      <c r="B307" s="31" t="s">
        <v>126</v>
      </c>
      <c r="C307" s="31" t="str">
        <f aca="false" t="array" ref="C307:C307">IF(B307="","",IFERROR(INDEX('CLM &amp; IM Mapping'!$B$2:$B$270,MATCH(TRIM(B307),'CLM &amp; IM Mapping'!$A$2:$A$270,0)),"Not Mapped"))</f>
        <v>Girish N</v>
      </c>
      <c r="D307" s="31" t="str">
        <f aca="false" t="array" ref="D307:D307">IF(B307="","",IFERROR(INDEX('CLM &amp; IM Mapping'!$C$2:$C$270,MATCH(TRIM(B307),'CLM &amp; IM Mapping'!$A$2:$A$270,0)),"Not Mapped"))</f>
        <v>Un Mapped</v>
      </c>
      <c r="E307" s="31" t="s">
        <v>34</v>
      </c>
      <c r="F307" s="31" t="s">
        <v>562</v>
      </c>
      <c r="G307" s="31" t="s">
        <v>23</v>
      </c>
      <c r="H307" s="17" t="n">
        <v>6163</v>
      </c>
      <c r="I307" s="32" t="n">
        <v>0.7</v>
      </c>
      <c r="J307" s="33" t="n">
        <v>0.38</v>
      </c>
      <c r="K307" s="34" t="n">
        <v>0.73</v>
      </c>
      <c r="L307" s="31" t="n">
        <v>0.87</v>
      </c>
      <c r="M307" s="31" t="n">
        <v>0.73</v>
      </c>
      <c r="N307" s="11" t="n">
        <v>3</v>
      </c>
      <c r="O307" s="12"/>
      <c r="P307" s="11"/>
      <c r="Q307" s="8"/>
      <c r="R307" s="8"/>
      <c r="S307" s="8"/>
      <c r="T307" s="8"/>
      <c r="U307" s="8"/>
      <c r="V307" s="8"/>
      <c r="W307" s="8"/>
      <c r="X307" s="8"/>
      <c r="Y307" s="8"/>
      <c r="Z307" s="8"/>
      <c r="AA307" s="8"/>
      <c r="AB307" s="8"/>
      <c r="AC307" s="8"/>
      <c r="AD307" s="8"/>
      <c r="AE307" s="8"/>
      <c r="AF307" s="8"/>
      <c r="AG307" s="8"/>
      <c r="AH307" s="8"/>
      <c r="AI307" s="8"/>
      <c r="AJ307" s="8"/>
      <c r="AK307" s="8"/>
      <c r="AL307" s="8"/>
      <c r="AM307" s="8"/>
    </row>
    <row r="308" customFormat="false" ht="15.75" hidden="false" customHeight="true" outlineLevel="0" collapsed="false">
      <c r="A308" s="30" t="n">
        <v>46304</v>
      </c>
      <c r="B308" s="31" t="s">
        <v>490</v>
      </c>
      <c r="C308" s="31" t="str">
        <f aca="false" t="array" ref="C308:C308">IF(B308="","",IFERROR(INDEX('CLM &amp; IM Mapping'!$B$2:$B$270,MATCH(TRIM(B308),'CLM &amp; IM Mapping'!$A$2:$A$270,0)),"Not Mapped"))</f>
        <v>Arun Raj</v>
      </c>
      <c r="D308" s="31" t="str">
        <f aca="false" t="array" ref="D308:D308">IF(B308="","",IFERROR(INDEX('CLM &amp; IM Mapping'!$C$2:$C$270,MATCH(TRIM(B308),'CLM &amp; IM Mapping'!$A$2:$A$270,0)),"Not Mapped"))</f>
        <v>Simon Manoharan</v>
      </c>
      <c r="E308" s="31" t="s">
        <v>25</v>
      </c>
      <c r="F308" s="31" t="s">
        <v>565</v>
      </c>
      <c r="G308" s="31" t="s">
        <v>23</v>
      </c>
      <c r="H308" s="17" t="n">
        <v>9572</v>
      </c>
      <c r="I308" s="32" t="n">
        <v>0.7</v>
      </c>
      <c r="J308" s="33" t="n">
        <v>0.39</v>
      </c>
      <c r="K308" s="34" t="n">
        <v>0.96</v>
      </c>
      <c r="L308" s="31" t="n">
        <v>0.99</v>
      </c>
      <c r="M308" s="31" t="n">
        <v>0.96</v>
      </c>
      <c r="N308" s="11" t="n">
        <v>3</v>
      </c>
      <c r="O308" s="12"/>
      <c r="P308" s="11"/>
      <c r="Q308" s="8"/>
      <c r="R308" s="8"/>
      <c r="S308" s="8"/>
      <c r="T308" s="8"/>
      <c r="U308" s="8"/>
      <c r="V308" s="8"/>
      <c r="W308" s="8"/>
      <c r="X308" s="8"/>
      <c r="Y308" s="8"/>
      <c r="Z308" s="8"/>
      <c r="AA308" s="8"/>
      <c r="AB308" s="8"/>
      <c r="AC308" s="8"/>
      <c r="AD308" s="8"/>
      <c r="AE308" s="8"/>
      <c r="AF308" s="8"/>
      <c r="AG308" s="8"/>
      <c r="AH308" s="8"/>
      <c r="AI308" s="8"/>
      <c r="AJ308" s="8"/>
      <c r="AK308" s="8"/>
      <c r="AL308" s="8"/>
      <c r="AM308" s="8"/>
    </row>
    <row r="309" customFormat="false" ht="15.75" hidden="false" customHeight="true" outlineLevel="0" collapsed="false">
      <c r="A309" s="30" t="n">
        <v>46304</v>
      </c>
      <c r="B309" s="31" t="s">
        <v>262</v>
      </c>
      <c r="C309" s="31" t="str">
        <f aca="false" t="array" ref="C309:C309">IF(B309="","",IFERROR(INDEX('CLM &amp; IM Mapping'!$B$2:$B$270,MATCH(TRIM(B309),'CLM &amp; IM Mapping'!$A$2:$A$270,0)),"Not Mapped"))</f>
        <v>Majid Kakatikar</v>
      </c>
      <c r="D309" s="31" t="str">
        <f aca="false" t="array" ref="D309:D309">IF(B309="","",IFERROR(INDEX('CLM &amp; IM Mapping'!$C$2:$C$270,MATCH(TRIM(B309),'CLM &amp; IM Mapping'!$A$2:$A$270,0)),"Not Mapped"))</f>
        <v>Kishor K</v>
      </c>
      <c r="E309" s="31" t="s">
        <v>34</v>
      </c>
      <c r="F309" s="31" t="s">
        <v>565</v>
      </c>
      <c r="G309" s="31" t="s">
        <v>261</v>
      </c>
      <c r="H309" s="17" t="n">
        <v>6826</v>
      </c>
      <c r="I309" s="32" t="n">
        <v>0.7</v>
      </c>
      <c r="J309" s="33" t="n">
        <v>0.39</v>
      </c>
      <c r="K309" s="34" t="n">
        <v>0.94</v>
      </c>
      <c r="L309" s="31" t="n">
        <v>0.97</v>
      </c>
      <c r="M309" s="31" t="n">
        <v>0.94</v>
      </c>
      <c r="N309" s="11" t="n">
        <v>2</v>
      </c>
      <c r="O309" s="12" t="s">
        <v>607</v>
      </c>
      <c r="P309" s="12" t="s">
        <v>603</v>
      </c>
      <c r="Q309" s="8"/>
      <c r="R309" s="8"/>
      <c r="S309" s="8"/>
      <c r="T309" s="8"/>
      <c r="U309" s="8"/>
      <c r="V309" s="8"/>
      <c r="W309" s="8"/>
      <c r="X309" s="8"/>
      <c r="Y309" s="8"/>
      <c r="Z309" s="8"/>
      <c r="AA309" s="8"/>
      <c r="AB309" s="8"/>
      <c r="AC309" s="8"/>
      <c r="AD309" s="8"/>
      <c r="AE309" s="8"/>
      <c r="AF309" s="8"/>
      <c r="AG309" s="8"/>
      <c r="AH309" s="8"/>
      <c r="AI309" s="8"/>
      <c r="AJ309" s="8"/>
      <c r="AK309" s="8"/>
      <c r="AL309" s="8"/>
      <c r="AM309" s="8"/>
    </row>
    <row r="310" customFormat="false" ht="15.75" hidden="false" customHeight="true" outlineLevel="0" collapsed="false">
      <c r="A310" s="30" t="n">
        <v>46304</v>
      </c>
      <c r="B310" s="31" t="s">
        <v>218</v>
      </c>
      <c r="C310" s="31" t="str">
        <f aca="false" t="array" ref="C310:C310">IF(B310="","",IFERROR(INDEX('CLM &amp; IM Mapping'!$B$2:$B$270,MATCH(TRIM(B310),'CLM &amp; IM Mapping'!$A$2:$A$270,0)),"Not Mapped"))</f>
        <v>Ashwath S</v>
      </c>
      <c r="D310" s="31" t="str">
        <f aca="false" t="array" ref="D310:D310">IF(B310="","",IFERROR(INDEX('CLM &amp; IM Mapping'!$C$2:$C$270,MATCH(TRIM(B310),'CLM &amp; IM Mapping'!$A$2:$A$270,0)),"Not Mapped"))</f>
        <v>Kantha Kumar</v>
      </c>
      <c r="E310" s="31" t="s">
        <v>34</v>
      </c>
      <c r="F310" s="31" t="s">
        <v>562</v>
      </c>
      <c r="G310" s="31" t="s">
        <v>23</v>
      </c>
      <c r="H310" s="17" t="n">
        <v>7376</v>
      </c>
      <c r="I310" s="32" t="n">
        <v>0.7</v>
      </c>
      <c r="J310" s="33" t="n">
        <v>0.39</v>
      </c>
      <c r="K310" s="34" t="n">
        <v>0.81</v>
      </c>
      <c r="L310" s="31" t="n">
        <v>0.63</v>
      </c>
      <c r="M310" s="31" t="n">
        <v>0.81</v>
      </c>
      <c r="N310" s="11" t="n">
        <v>4</v>
      </c>
      <c r="O310" s="12"/>
      <c r="P310" s="11"/>
      <c r="Q310" s="8"/>
      <c r="R310" s="8"/>
      <c r="S310" s="8"/>
      <c r="T310" s="8"/>
      <c r="U310" s="8"/>
      <c r="V310" s="8"/>
      <c r="W310" s="8"/>
      <c r="X310" s="8"/>
      <c r="Y310" s="8"/>
      <c r="Z310" s="8"/>
      <c r="AA310" s="8"/>
      <c r="AB310" s="8"/>
      <c r="AC310" s="8"/>
      <c r="AD310" s="8"/>
      <c r="AE310" s="8"/>
      <c r="AF310" s="8"/>
      <c r="AG310" s="8"/>
      <c r="AH310" s="8"/>
      <c r="AI310" s="8"/>
      <c r="AJ310" s="8"/>
      <c r="AK310" s="8"/>
      <c r="AL310" s="8"/>
      <c r="AM310" s="8"/>
    </row>
    <row r="311" customFormat="false" ht="15.75" hidden="false" customHeight="true" outlineLevel="0" collapsed="false">
      <c r="A311" s="30" t="n">
        <v>46304</v>
      </c>
      <c r="B311" s="31" t="s">
        <v>173</v>
      </c>
      <c r="C311" s="31" t="str">
        <f aca="false" t="array" ref="C311:C311">IF(B311="","",IFERROR(INDEX('CLM &amp; IM Mapping'!$B$2:$B$270,MATCH(TRIM(B311),'CLM &amp; IM Mapping'!$A$2:$A$270,0)),"Not Mapped"))</f>
        <v>Akshay P</v>
      </c>
      <c r="D311" s="31" t="str">
        <f aca="false" t="array" ref="D311:D311">IF(B311="","",IFERROR(INDEX('CLM &amp; IM Mapping'!$C$2:$C$270,MATCH(TRIM(B311),'CLM &amp; IM Mapping'!$A$2:$A$270,0)),"Not Mapped"))</f>
        <v>Srittam Dhal</v>
      </c>
      <c r="E311" s="31" t="s">
        <v>34</v>
      </c>
      <c r="F311" s="31" t="s">
        <v>562</v>
      </c>
      <c r="G311" s="31" t="s">
        <v>23</v>
      </c>
      <c r="H311" s="17" t="n">
        <v>7531</v>
      </c>
      <c r="I311" s="32" t="n">
        <v>0.7</v>
      </c>
      <c r="J311" s="33" t="n">
        <v>0.4</v>
      </c>
      <c r="K311" s="34" t="n">
        <v>0.81</v>
      </c>
      <c r="L311" s="31" t="n">
        <v>0.9</v>
      </c>
      <c r="M311" s="31" t="n">
        <v>0.81</v>
      </c>
      <c r="N311" s="11" t="n">
        <v>4</v>
      </c>
      <c r="O311" s="12" t="s">
        <v>657</v>
      </c>
      <c r="P311" s="11" t="s">
        <v>603</v>
      </c>
      <c r="Q311" s="8"/>
      <c r="R311" s="8"/>
      <c r="S311" s="8"/>
      <c r="T311" s="8"/>
      <c r="U311" s="8"/>
      <c r="V311" s="8"/>
      <c r="W311" s="8"/>
      <c r="X311" s="8"/>
      <c r="Y311" s="8"/>
      <c r="Z311" s="8"/>
      <c r="AA311" s="8"/>
      <c r="AB311" s="8"/>
      <c r="AC311" s="8"/>
      <c r="AD311" s="8"/>
      <c r="AE311" s="8"/>
      <c r="AF311" s="8"/>
      <c r="AG311" s="8"/>
      <c r="AH311" s="8"/>
      <c r="AI311" s="8"/>
      <c r="AJ311" s="8"/>
      <c r="AK311" s="8"/>
      <c r="AL311" s="8"/>
      <c r="AM311" s="8"/>
    </row>
    <row r="312" customFormat="false" ht="15.75" hidden="false" customHeight="true" outlineLevel="0" collapsed="false">
      <c r="A312" s="30" t="n">
        <v>46304</v>
      </c>
      <c r="B312" s="31" t="s">
        <v>300</v>
      </c>
      <c r="C312" s="31" t="str">
        <f aca="false" t="array" ref="C312:C312">IF(B312="","",IFERROR(INDEX('CLM &amp; IM Mapping'!$B$2:$B$270,MATCH(TRIM(B312),'CLM &amp; IM Mapping'!$A$2:$A$270,0)),"Not Mapped"))</f>
        <v>Bangareppa CS</v>
      </c>
      <c r="D312" s="31" t="str">
        <f aca="false" t="array" ref="D312:D312">IF(B312="","",IFERROR(INDEX('CLM &amp; IM Mapping'!$C$2:$C$270,MATCH(TRIM(B312),'CLM &amp; IM Mapping'!$A$2:$A$270,0)),"Not Mapped"))</f>
        <v>Kishor K</v>
      </c>
      <c r="E312" s="31" t="s">
        <v>34</v>
      </c>
      <c r="F312" s="31" t="s">
        <v>565</v>
      </c>
      <c r="G312" s="31" t="s">
        <v>212</v>
      </c>
      <c r="H312" s="17" t="n">
        <v>5252</v>
      </c>
      <c r="I312" s="32" t="n">
        <v>0.7</v>
      </c>
      <c r="J312" s="33" t="n">
        <v>0.4</v>
      </c>
      <c r="K312" s="34" t="n">
        <v>0.9</v>
      </c>
      <c r="L312" s="31" t="n">
        <v>0.97</v>
      </c>
      <c r="M312" s="31" t="n">
        <v>0.9</v>
      </c>
      <c r="N312" s="11" t="n">
        <v>2</v>
      </c>
      <c r="O312" s="12" t="s">
        <v>604</v>
      </c>
      <c r="P312" s="20" t="s">
        <v>605</v>
      </c>
      <c r="Q312" s="8"/>
      <c r="R312" s="8"/>
      <c r="S312" s="8"/>
      <c r="T312" s="8"/>
      <c r="U312" s="8"/>
      <c r="V312" s="8"/>
      <c r="W312" s="8"/>
      <c r="X312" s="8"/>
      <c r="Y312" s="8"/>
      <c r="Z312" s="8"/>
      <c r="AA312" s="8"/>
      <c r="AB312" s="8"/>
      <c r="AC312" s="8"/>
      <c r="AD312" s="8"/>
      <c r="AE312" s="8"/>
      <c r="AF312" s="8"/>
      <c r="AG312" s="8"/>
      <c r="AH312" s="8"/>
      <c r="AI312" s="8"/>
      <c r="AJ312" s="8"/>
      <c r="AK312" s="8"/>
      <c r="AL312" s="8"/>
      <c r="AM312" s="8"/>
    </row>
    <row r="313" customFormat="false" ht="15.75" hidden="false" customHeight="true" outlineLevel="0" collapsed="false">
      <c r="A313" s="30" t="n">
        <v>46304</v>
      </c>
      <c r="B313" s="31" t="s">
        <v>171</v>
      </c>
      <c r="C313" s="31" t="str">
        <f aca="false" t="array" ref="C313:C313">IF(B313="","",IFERROR(INDEX('CLM &amp; IM Mapping'!$B$2:$B$270,MATCH(TRIM(B313),'CLM &amp; IM Mapping'!$A$2:$A$270,0)),"Not Mapped"))</f>
        <v>Ashwath S</v>
      </c>
      <c r="D313" s="31" t="str">
        <f aca="false" t="array" ref="D313:D313">IF(B313="","",IFERROR(INDEX('CLM &amp; IM Mapping'!$C$2:$C$270,MATCH(TRIM(B313),'CLM &amp; IM Mapping'!$A$2:$A$270,0)),"Not Mapped"))</f>
        <v>Kantha Kumar</v>
      </c>
      <c r="E313" s="31" t="s">
        <v>34</v>
      </c>
      <c r="F313" s="31" t="s">
        <v>562</v>
      </c>
      <c r="G313" s="31" t="s">
        <v>23</v>
      </c>
      <c r="H313" s="17" t="n">
        <v>7436</v>
      </c>
      <c r="I313" s="32" t="n">
        <v>0.7</v>
      </c>
      <c r="J313" s="33" t="n">
        <v>0.41</v>
      </c>
      <c r="K313" s="34" t="n">
        <v>0.77</v>
      </c>
      <c r="L313" s="31" t="n">
        <v>0.95</v>
      </c>
      <c r="M313" s="31" t="n">
        <v>0.77</v>
      </c>
      <c r="N313" s="11" t="n">
        <v>4</v>
      </c>
      <c r="O313" s="12"/>
      <c r="P313" s="11"/>
      <c r="Q313" s="8"/>
      <c r="R313" s="8"/>
      <c r="S313" s="8"/>
      <c r="T313" s="8"/>
      <c r="U313" s="8"/>
      <c r="V313" s="8"/>
      <c r="W313" s="8"/>
      <c r="X313" s="8"/>
      <c r="Y313" s="8"/>
      <c r="Z313" s="8"/>
      <c r="AA313" s="8"/>
      <c r="AB313" s="8"/>
      <c r="AC313" s="8"/>
      <c r="AD313" s="8"/>
      <c r="AE313" s="8"/>
      <c r="AF313" s="8"/>
      <c r="AG313" s="8"/>
      <c r="AH313" s="8"/>
      <c r="AI313" s="8"/>
      <c r="AJ313" s="8"/>
      <c r="AK313" s="8"/>
      <c r="AL313" s="8"/>
      <c r="AM313" s="8"/>
    </row>
    <row r="314" customFormat="false" ht="15.75" hidden="false" customHeight="true" outlineLevel="0" collapsed="false">
      <c r="A314" s="30" t="n">
        <v>46304</v>
      </c>
      <c r="B314" s="31" t="s">
        <v>89</v>
      </c>
      <c r="C314" s="31" t="str">
        <f aca="false" t="array" ref="C314:C314">IF(B314="","",IFERROR(INDEX('CLM &amp; IM Mapping'!$B$2:$B$270,MATCH(TRIM(B314),'CLM &amp; IM Mapping'!$A$2:$A$270,0)),"Not Mapped"))</f>
        <v>Raghavendra Vernekar</v>
      </c>
      <c r="D314" s="31" t="str">
        <f aca="false" t="array" ref="D314:D314">IF(B314="","",IFERROR(INDEX('CLM &amp; IM Mapping'!$C$2:$C$270,MATCH(TRIM(B314),'CLM &amp; IM Mapping'!$A$2:$A$270,0)),"Not Mapped"))</f>
        <v>Prakash BS</v>
      </c>
      <c r="E314" s="31" t="s">
        <v>34</v>
      </c>
      <c r="F314" s="31" t="s">
        <v>565</v>
      </c>
      <c r="G314" s="31" t="s">
        <v>23</v>
      </c>
      <c r="H314" s="17" t="n">
        <v>10820</v>
      </c>
      <c r="I314" s="32" t="n">
        <v>0.7</v>
      </c>
      <c r="J314" s="33" t="n">
        <v>0.41</v>
      </c>
      <c r="K314" s="34" t="n">
        <v>0.94</v>
      </c>
      <c r="L314" s="31" t="n">
        <v>0.95</v>
      </c>
      <c r="M314" s="31"/>
      <c r="N314" s="11"/>
      <c r="O314" s="12" t="s">
        <v>609</v>
      </c>
      <c r="P314" s="11"/>
      <c r="Q314" s="8"/>
      <c r="R314" s="8"/>
      <c r="S314" s="8"/>
      <c r="T314" s="8"/>
      <c r="U314" s="8"/>
      <c r="V314" s="8"/>
      <c r="W314" s="8"/>
      <c r="X314" s="8"/>
      <c r="Y314" s="8"/>
      <c r="Z314" s="8"/>
      <c r="AA314" s="8"/>
      <c r="AB314" s="8"/>
      <c r="AC314" s="8"/>
      <c r="AD314" s="8"/>
      <c r="AE314" s="8"/>
      <c r="AF314" s="8"/>
      <c r="AG314" s="8"/>
      <c r="AH314" s="8"/>
      <c r="AI314" s="8"/>
      <c r="AJ314" s="8"/>
      <c r="AK314" s="8"/>
      <c r="AL314" s="8"/>
      <c r="AM314" s="8"/>
    </row>
    <row r="315" customFormat="false" ht="15.75" hidden="false" customHeight="true" outlineLevel="0" collapsed="false">
      <c r="A315" s="30" t="n">
        <v>46304</v>
      </c>
      <c r="B315" s="31" t="s">
        <v>238</v>
      </c>
      <c r="C315" s="31" t="str">
        <f aca="false" t="array" ref="C315:C315">IF(B315="","",IFERROR(INDEX('CLM &amp; IM Mapping'!$B$2:$B$270,MATCH(TRIM(B315),'CLM &amp; IM Mapping'!$A$2:$A$270,0)),"Not Mapped"))</f>
        <v>Suhas N</v>
      </c>
      <c r="D315" s="31" t="str">
        <f aca="false" t="array" ref="D315:D315">IF(B315="","",IFERROR(INDEX('CLM &amp; IM Mapping'!$C$2:$C$270,MATCH(TRIM(B315),'CLM &amp; IM Mapping'!$A$2:$A$270,0)),"Not Mapped"))</f>
        <v>Aravind S</v>
      </c>
      <c r="E315" s="31" t="s">
        <v>34</v>
      </c>
      <c r="F315" s="31" t="s">
        <v>562</v>
      </c>
      <c r="G315" s="31" t="s">
        <v>23</v>
      </c>
      <c r="H315" s="17" t="n">
        <v>5627</v>
      </c>
      <c r="I315" s="32" t="n">
        <v>0.7</v>
      </c>
      <c r="J315" s="33" t="n">
        <v>0.41</v>
      </c>
      <c r="K315" s="34" t="n">
        <v>0.81</v>
      </c>
      <c r="L315" s="31" t="n">
        <v>0.95</v>
      </c>
      <c r="M315" s="31" t="n">
        <v>0.81</v>
      </c>
      <c r="N315" s="11" t="n">
        <v>5</v>
      </c>
      <c r="O315" s="12"/>
      <c r="P315" s="11"/>
      <c r="Q315" s="8"/>
      <c r="R315" s="8"/>
      <c r="S315" s="8"/>
      <c r="T315" s="8"/>
      <c r="U315" s="8"/>
      <c r="V315" s="8"/>
      <c r="W315" s="8"/>
      <c r="X315" s="8"/>
      <c r="Y315" s="8"/>
      <c r="Z315" s="8"/>
      <c r="AA315" s="8"/>
      <c r="AB315" s="8"/>
      <c r="AC315" s="8"/>
      <c r="AD315" s="8"/>
      <c r="AE315" s="8"/>
      <c r="AF315" s="8"/>
      <c r="AG315" s="8"/>
      <c r="AH315" s="8"/>
      <c r="AI315" s="8"/>
      <c r="AJ315" s="8"/>
      <c r="AK315" s="8"/>
      <c r="AL315" s="8"/>
      <c r="AM315" s="8"/>
    </row>
    <row r="316" customFormat="false" ht="15.75" hidden="false" customHeight="true" outlineLevel="0" collapsed="false">
      <c r="A316" s="30" t="n">
        <v>46304</v>
      </c>
      <c r="B316" s="31" t="s">
        <v>441</v>
      </c>
      <c r="C316" s="31" t="str">
        <f aca="false" t="array" ref="C316:C316">IF(B316="","",IFERROR(INDEX('CLM &amp; IM Mapping'!$B$2:$B$270,MATCH(TRIM(B316),'CLM &amp; IM Mapping'!$A$2:$A$270,0)),"Not Mapped"))</f>
        <v>Vijay M</v>
      </c>
      <c r="D316" s="31" t="str">
        <f aca="false" t="array" ref="D316:D316">IF(B316="","",IFERROR(INDEX('CLM &amp; IM Mapping'!$C$2:$C$270,MATCH(TRIM(B316),'CLM &amp; IM Mapping'!$A$2:$A$270,0)),"Not Mapped"))</f>
        <v>Kantha Kumar</v>
      </c>
      <c r="E316" s="31" t="s">
        <v>34</v>
      </c>
      <c r="F316" s="31" t="s">
        <v>562</v>
      </c>
      <c r="G316" s="31" t="s">
        <v>23</v>
      </c>
      <c r="H316" s="17" t="n">
        <v>4480</v>
      </c>
      <c r="I316" s="32" t="n">
        <v>0.7</v>
      </c>
      <c r="J316" s="33" t="n">
        <v>0.41</v>
      </c>
      <c r="K316" s="34" t="n">
        <v>0.81</v>
      </c>
      <c r="L316" s="31" t="n">
        <v>0.94</v>
      </c>
      <c r="M316" s="31" t="n">
        <v>0.81</v>
      </c>
      <c r="N316" s="11" t="n">
        <v>4</v>
      </c>
      <c r="O316" s="12"/>
      <c r="P316" s="11"/>
      <c r="Q316" s="8"/>
      <c r="R316" s="8"/>
      <c r="S316" s="8"/>
      <c r="T316" s="8"/>
      <c r="U316" s="8"/>
      <c r="V316" s="8"/>
      <c r="W316" s="8"/>
      <c r="X316" s="8"/>
      <c r="Y316" s="8"/>
      <c r="Z316" s="8"/>
      <c r="AA316" s="8"/>
      <c r="AB316" s="8"/>
      <c r="AC316" s="8"/>
      <c r="AD316" s="8"/>
      <c r="AE316" s="8"/>
      <c r="AF316" s="8"/>
      <c r="AG316" s="8"/>
      <c r="AH316" s="8"/>
      <c r="AI316" s="8"/>
      <c r="AJ316" s="8"/>
      <c r="AK316" s="8"/>
      <c r="AL316" s="8"/>
      <c r="AM316" s="8"/>
    </row>
    <row r="317" customFormat="false" ht="15.75" hidden="false" customHeight="true" outlineLevel="0" collapsed="false">
      <c r="A317" s="30" t="n">
        <v>46304</v>
      </c>
      <c r="B317" s="31" t="s">
        <v>265</v>
      </c>
      <c r="C317" s="31" t="str">
        <f aca="false" t="array" ref="C317:C317">IF(B317="","",IFERROR(INDEX('CLM &amp; IM Mapping'!$B$2:$B$270,MATCH(TRIM(B317),'CLM &amp; IM Mapping'!$A$2:$A$270,0)),"Not Mapped"))</f>
        <v>Adhavan Subramani</v>
      </c>
      <c r="D317" s="31" t="str">
        <f aca="false" t="array" ref="D317:D317">IF(B317="","",IFERROR(INDEX('CLM &amp; IM Mapping'!$C$2:$C$270,MATCH(TRIM(B317),'CLM &amp; IM Mapping'!$A$2:$A$270,0)),"Not Mapped"))</f>
        <v>Mohammed Akbar</v>
      </c>
      <c r="E317" s="31" t="s">
        <v>34</v>
      </c>
      <c r="F317" s="31" t="s">
        <v>565</v>
      </c>
      <c r="G317" s="31" t="s">
        <v>23</v>
      </c>
      <c r="H317" s="17" t="n">
        <v>12257</v>
      </c>
      <c r="I317" s="32" t="n">
        <v>0.7</v>
      </c>
      <c r="J317" s="33" t="n">
        <v>0.42</v>
      </c>
      <c r="K317" s="34" t="n">
        <v>0.97</v>
      </c>
      <c r="L317" s="31" t="n">
        <v>0.99</v>
      </c>
      <c r="M317" s="31"/>
      <c r="N317" s="11" t="n">
        <v>2</v>
      </c>
      <c r="O317" s="12"/>
      <c r="P317" s="11"/>
      <c r="Q317" s="8"/>
      <c r="R317" s="8"/>
      <c r="S317" s="8"/>
      <c r="T317" s="8"/>
      <c r="U317" s="8"/>
      <c r="V317" s="8"/>
      <c r="W317" s="8"/>
      <c r="X317" s="8"/>
      <c r="Y317" s="8"/>
      <c r="Z317" s="8"/>
      <c r="AA317" s="8"/>
      <c r="AB317" s="8"/>
      <c r="AC317" s="8"/>
      <c r="AD317" s="8"/>
      <c r="AE317" s="8"/>
      <c r="AF317" s="8"/>
      <c r="AG317" s="8"/>
      <c r="AH317" s="8"/>
      <c r="AI317" s="8"/>
      <c r="AJ317" s="8"/>
      <c r="AK317" s="8"/>
      <c r="AL317" s="8"/>
      <c r="AM317" s="8"/>
    </row>
    <row r="318" customFormat="false" ht="15.75" hidden="false" customHeight="true" outlineLevel="0" collapsed="false">
      <c r="A318" s="30" t="n">
        <v>46304</v>
      </c>
      <c r="B318" s="31" t="s">
        <v>444</v>
      </c>
      <c r="C318" s="31" t="str">
        <f aca="false" t="array" ref="C318:C318">IF(B318="","",IFERROR(INDEX('CLM &amp; IM Mapping'!$B$2:$B$270,MATCH(TRIM(B318),'CLM &amp; IM Mapping'!$A$2:$A$270,0)),"Not Mapped"))</f>
        <v>Narasimhamurthy R</v>
      </c>
      <c r="D318" s="31" t="str">
        <f aca="false" t="array" ref="D318:D318">IF(B318="","",IFERROR(INDEX('CLM &amp; IM Mapping'!$C$2:$C$270,MATCH(TRIM(B318),'CLM &amp; IM Mapping'!$A$2:$A$270,0)),"Not Mapped"))</f>
        <v>Kishor K</v>
      </c>
      <c r="E318" s="31" t="s">
        <v>34</v>
      </c>
      <c r="F318" s="31" t="s">
        <v>562</v>
      </c>
      <c r="G318" s="31" t="s">
        <v>23</v>
      </c>
      <c r="H318" s="17" t="n">
        <v>5305</v>
      </c>
      <c r="I318" s="32" t="n">
        <v>0.7</v>
      </c>
      <c r="J318" s="33" t="n">
        <v>0.42</v>
      </c>
      <c r="K318" s="34" t="n">
        <v>0.99</v>
      </c>
      <c r="L318" s="31" t="n">
        <v>0.98</v>
      </c>
      <c r="M318" s="31" t="n">
        <v>0.99</v>
      </c>
      <c r="N318" s="11" t="n">
        <v>2</v>
      </c>
      <c r="O318" s="12" t="s">
        <v>622</v>
      </c>
      <c r="P318" s="12" t="s">
        <v>605</v>
      </c>
      <c r="Q318" s="8"/>
      <c r="R318" s="8"/>
      <c r="S318" s="8"/>
      <c r="T318" s="8"/>
      <c r="U318" s="8"/>
      <c r="V318" s="8"/>
      <c r="W318" s="8"/>
      <c r="X318" s="8"/>
      <c r="Y318" s="8"/>
      <c r="Z318" s="8"/>
      <c r="AA318" s="8"/>
      <c r="AB318" s="8"/>
      <c r="AC318" s="8"/>
      <c r="AD318" s="8"/>
      <c r="AE318" s="8"/>
      <c r="AF318" s="8"/>
      <c r="AG318" s="8"/>
      <c r="AH318" s="8"/>
      <c r="AI318" s="8"/>
      <c r="AJ318" s="8"/>
      <c r="AK318" s="8"/>
      <c r="AL318" s="8"/>
      <c r="AM318" s="8"/>
    </row>
    <row r="319" customFormat="false" ht="15.75" hidden="false" customHeight="true" outlineLevel="0" collapsed="false">
      <c r="A319" s="30" t="n">
        <v>46304</v>
      </c>
      <c r="B319" s="31" t="s">
        <v>379</v>
      </c>
      <c r="C319" s="31" t="str">
        <f aca="false" t="array" ref="C319:C319">IF(B319="","",IFERROR(INDEX('CLM &amp; IM Mapping'!$B$2:$B$270,MATCH(TRIM(B319),'CLM &amp; IM Mapping'!$A$2:$A$270,0)),"Not Mapped"))</f>
        <v>Richard Harris</v>
      </c>
      <c r="D319" s="31" t="str">
        <f aca="false" t="array" ref="D319:D319">IF(B319="","",IFERROR(INDEX('CLM &amp; IM Mapping'!$C$2:$C$270,MATCH(TRIM(B319),'CLM &amp; IM Mapping'!$A$2:$A$270,0)),"Not Mapped"))</f>
        <v>Kantha Kumar</v>
      </c>
      <c r="E319" s="31" t="s">
        <v>34</v>
      </c>
      <c r="F319" s="31" t="s">
        <v>565</v>
      </c>
      <c r="G319" s="31" t="s">
        <v>23</v>
      </c>
      <c r="H319" s="17" t="n">
        <v>5086</v>
      </c>
      <c r="I319" s="32" t="n">
        <v>0.7</v>
      </c>
      <c r="J319" s="33" t="n">
        <v>0.42</v>
      </c>
      <c r="K319" s="34" t="n">
        <v>0.83</v>
      </c>
      <c r="L319" s="31" t="n">
        <v>0.99</v>
      </c>
      <c r="M319" s="31" t="n">
        <v>0.83</v>
      </c>
      <c r="N319" s="11" t="n">
        <v>2</v>
      </c>
      <c r="O319" s="12"/>
      <c r="P319" s="11"/>
      <c r="Q319" s="8"/>
      <c r="R319" s="8"/>
      <c r="S319" s="8"/>
      <c r="T319" s="8"/>
      <c r="U319" s="8"/>
      <c r="V319" s="8"/>
      <c r="W319" s="8"/>
      <c r="X319" s="8"/>
      <c r="Y319" s="8"/>
      <c r="Z319" s="8"/>
      <c r="AA319" s="8"/>
      <c r="AB319" s="8"/>
      <c r="AC319" s="8"/>
      <c r="AD319" s="8"/>
      <c r="AE319" s="8"/>
      <c r="AF319" s="8"/>
      <c r="AG319" s="8"/>
      <c r="AH319" s="8"/>
      <c r="AI319" s="8"/>
      <c r="AJ319" s="8"/>
      <c r="AK319" s="8"/>
      <c r="AL319" s="8"/>
      <c r="AM319" s="8"/>
    </row>
    <row r="320" customFormat="false" ht="15.75" hidden="false" customHeight="true" outlineLevel="0" collapsed="false">
      <c r="A320" s="30" t="n">
        <v>46304</v>
      </c>
      <c r="B320" s="31" t="s">
        <v>291</v>
      </c>
      <c r="C320" s="31" t="str">
        <f aca="false" t="array" ref="C320:C320">IF(B320="","",IFERROR(INDEX('CLM &amp; IM Mapping'!$B$2:$B$270,MATCH(TRIM(B320),'CLM &amp; IM Mapping'!$A$2:$A$270,0)),"Not Mapped"))</f>
        <v>Ashwath S</v>
      </c>
      <c r="D320" s="31" t="str">
        <f aca="false" t="array" ref="D320:D320">IF(B320="","",IFERROR(INDEX('CLM &amp; IM Mapping'!$C$2:$C$270,MATCH(TRIM(B320),'CLM &amp; IM Mapping'!$A$2:$A$270,0)),"Not Mapped"))</f>
        <v>Kantha Kumar</v>
      </c>
      <c r="E320" s="31" t="s">
        <v>34</v>
      </c>
      <c r="F320" s="31" t="s">
        <v>565</v>
      </c>
      <c r="G320" s="31" t="s">
        <v>23</v>
      </c>
      <c r="H320" s="17" t="n">
        <v>5484</v>
      </c>
      <c r="I320" s="32" t="n">
        <v>0.7</v>
      </c>
      <c r="J320" s="33" t="n">
        <v>0.42</v>
      </c>
      <c r="K320" s="34" t="n">
        <v>0.87</v>
      </c>
      <c r="L320" s="31" t="n">
        <v>0.94</v>
      </c>
      <c r="M320" s="31" t="n">
        <v>0.87</v>
      </c>
      <c r="N320" s="11" t="n">
        <v>3</v>
      </c>
      <c r="O320" s="12"/>
      <c r="P320" s="11"/>
      <c r="Q320" s="8"/>
      <c r="R320" s="8"/>
      <c r="S320" s="8"/>
      <c r="T320" s="8"/>
      <c r="U320" s="8"/>
      <c r="V320" s="8"/>
      <c r="W320" s="8"/>
      <c r="X320" s="8"/>
      <c r="Y320" s="8"/>
      <c r="Z320" s="8"/>
      <c r="AA320" s="8"/>
      <c r="AB320" s="8"/>
      <c r="AC320" s="8"/>
      <c r="AD320" s="8"/>
      <c r="AE320" s="8"/>
      <c r="AF320" s="8"/>
      <c r="AG320" s="8"/>
      <c r="AH320" s="8"/>
      <c r="AI320" s="8"/>
      <c r="AJ320" s="8"/>
      <c r="AK320" s="8"/>
      <c r="AL320" s="8"/>
      <c r="AM320" s="8"/>
    </row>
    <row r="321" customFormat="false" ht="15.75" hidden="false" customHeight="true" outlineLevel="0" collapsed="false">
      <c r="A321" s="30" t="n">
        <v>46304</v>
      </c>
      <c r="B321" s="31" t="s">
        <v>375</v>
      </c>
      <c r="C321" s="31" t="str">
        <f aca="false" t="array" ref="C321:C321">IF(B321="","",IFERROR(INDEX('CLM &amp; IM Mapping'!$B$2:$B$270,MATCH(TRIM(B321),'CLM &amp; IM Mapping'!$A$2:$A$270,0)),"Not Mapped"))</f>
        <v>Saddam Hussain</v>
      </c>
      <c r="D321" s="31" t="str">
        <f aca="false" t="array" ref="D321:D321">IF(B321="","",IFERROR(INDEX('CLM &amp; IM Mapping'!$C$2:$C$270,MATCH(TRIM(B321),'CLM &amp; IM Mapping'!$A$2:$A$270,0)),"Not Mapped"))</f>
        <v>Un Mapped</v>
      </c>
      <c r="E321" s="31" t="s">
        <v>34</v>
      </c>
      <c r="F321" s="31" t="s">
        <v>562</v>
      </c>
      <c r="G321" s="31" t="s">
        <v>23</v>
      </c>
      <c r="H321" s="17" t="n">
        <v>4890</v>
      </c>
      <c r="I321" s="32" t="n">
        <v>0.7</v>
      </c>
      <c r="J321" s="33" t="n">
        <v>0.43</v>
      </c>
      <c r="K321" s="34" t="n">
        <v>0.93</v>
      </c>
      <c r="L321" s="31" t="n">
        <v>0.98</v>
      </c>
      <c r="M321" s="31" t="n">
        <v>0.93</v>
      </c>
      <c r="N321" s="11" t="n">
        <v>3</v>
      </c>
      <c r="O321" s="12"/>
      <c r="P321" s="11"/>
      <c r="Q321" s="8"/>
      <c r="R321" s="8"/>
      <c r="S321" s="8"/>
      <c r="T321" s="8"/>
      <c r="U321" s="8"/>
      <c r="V321" s="8"/>
      <c r="W321" s="8"/>
      <c r="X321" s="8"/>
      <c r="Y321" s="8"/>
      <c r="Z321" s="8"/>
      <c r="AA321" s="8"/>
      <c r="AB321" s="8"/>
      <c r="AC321" s="8"/>
      <c r="AD321" s="8"/>
      <c r="AE321" s="8"/>
      <c r="AF321" s="8"/>
      <c r="AG321" s="8"/>
      <c r="AH321" s="8"/>
      <c r="AI321" s="8"/>
      <c r="AJ321" s="8"/>
      <c r="AK321" s="8"/>
      <c r="AL321" s="8"/>
      <c r="AM321" s="8"/>
    </row>
    <row r="322" customFormat="false" ht="15.75" hidden="false" customHeight="true" outlineLevel="0" collapsed="false">
      <c r="A322" s="30" t="n">
        <v>46304</v>
      </c>
      <c r="B322" s="31" t="s">
        <v>159</v>
      </c>
      <c r="C322" s="31" t="str">
        <f aca="false" t="array" ref="C322:C322">IF(B322="","",IFERROR(INDEX('CLM &amp; IM Mapping'!$B$2:$B$270,MATCH(TRIM(B322),'CLM &amp; IM Mapping'!$A$2:$A$270,0)),"Not Mapped"))</f>
        <v>Rizwan Ahmed</v>
      </c>
      <c r="D322" s="31" t="str">
        <f aca="false" t="array" ref="D322:D322">IF(B322="","",IFERROR(INDEX('CLM &amp; IM Mapping'!$C$2:$C$270,MATCH(TRIM(B322),'CLM &amp; IM Mapping'!$A$2:$A$270,0)),"Not Mapped"))</f>
        <v>Un Mapped</v>
      </c>
      <c r="E322" s="31" t="s">
        <v>34</v>
      </c>
      <c r="F322" s="31" t="s">
        <v>562</v>
      </c>
      <c r="G322" s="31" t="s">
        <v>23</v>
      </c>
      <c r="H322" s="17" t="n">
        <v>5959</v>
      </c>
      <c r="I322" s="32" t="n">
        <v>0.7</v>
      </c>
      <c r="J322" s="33" t="n">
        <v>0.43</v>
      </c>
      <c r="K322" s="34" t="n">
        <v>0.82</v>
      </c>
      <c r="L322" s="31" t="n">
        <v>0.96</v>
      </c>
      <c r="M322" s="31" t="n">
        <v>0.82</v>
      </c>
      <c r="N322" s="11" t="n">
        <v>3</v>
      </c>
      <c r="O322" s="12"/>
      <c r="P322" s="11"/>
      <c r="Q322" s="8"/>
      <c r="R322" s="8"/>
      <c r="S322" s="8"/>
      <c r="T322" s="8"/>
      <c r="U322" s="8"/>
      <c r="V322" s="8"/>
      <c r="W322" s="8"/>
      <c r="X322" s="8"/>
      <c r="Y322" s="8"/>
      <c r="Z322" s="8"/>
      <c r="AA322" s="8"/>
      <c r="AB322" s="8"/>
      <c r="AC322" s="8"/>
      <c r="AD322" s="8"/>
      <c r="AE322" s="8"/>
      <c r="AF322" s="8"/>
      <c r="AG322" s="8"/>
      <c r="AH322" s="8"/>
      <c r="AI322" s="8"/>
      <c r="AJ322" s="8"/>
      <c r="AK322" s="8"/>
      <c r="AL322" s="8"/>
      <c r="AM322" s="8"/>
    </row>
    <row r="323" customFormat="false" ht="15.75" hidden="false" customHeight="true" outlineLevel="0" collapsed="false">
      <c r="A323" s="30" t="n">
        <v>46304</v>
      </c>
      <c r="B323" s="31" t="s">
        <v>129</v>
      </c>
      <c r="C323" s="31" t="str">
        <f aca="false" t="array" ref="C323:C323">IF(B323="","",IFERROR(INDEX('CLM &amp; IM Mapping'!$B$2:$B$270,MATCH(TRIM(B323),'CLM &amp; IM Mapping'!$A$2:$A$270,0)),"Not Mapped"))</f>
        <v>Ashwath S</v>
      </c>
      <c r="D323" s="31" t="str">
        <f aca="false" t="array" ref="D323:D323">IF(B323="","",IFERROR(INDEX('CLM &amp; IM Mapping'!$C$2:$C$270,MATCH(TRIM(B323),'CLM &amp; IM Mapping'!$A$2:$A$270,0)),"Not Mapped"))</f>
        <v>Kantha Kumar</v>
      </c>
      <c r="E323" s="31" t="s">
        <v>34</v>
      </c>
      <c r="F323" s="31" t="s">
        <v>565</v>
      </c>
      <c r="G323" s="31" t="s">
        <v>23</v>
      </c>
      <c r="H323" s="17" t="n">
        <v>5785</v>
      </c>
      <c r="I323" s="32" t="n">
        <v>0.7</v>
      </c>
      <c r="J323" s="33" t="n">
        <v>0.43</v>
      </c>
      <c r="K323" s="34" t="n">
        <v>0.77</v>
      </c>
      <c r="L323" s="31" t="n">
        <v>0.9</v>
      </c>
      <c r="M323" s="31" t="n">
        <v>0.77</v>
      </c>
      <c r="N323" s="11" t="n">
        <v>2</v>
      </c>
      <c r="O323" s="12"/>
      <c r="P323" s="11"/>
      <c r="Q323" s="8"/>
      <c r="R323" s="8"/>
      <c r="S323" s="8"/>
      <c r="T323" s="8"/>
      <c r="U323" s="8"/>
      <c r="V323" s="8"/>
      <c r="W323" s="8"/>
      <c r="X323" s="8"/>
      <c r="Y323" s="8"/>
      <c r="Z323" s="8"/>
      <c r="AA323" s="8"/>
      <c r="AB323" s="8"/>
      <c r="AC323" s="8"/>
      <c r="AD323" s="8"/>
      <c r="AE323" s="8"/>
      <c r="AF323" s="8"/>
      <c r="AG323" s="8"/>
      <c r="AH323" s="8"/>
      <c r="AI323" s="8"/>
      <c r="AJ323" s="8"/>
      <c r="AK323" s="8"/>
      <c r="AL323" s="8"/>
      <c r="AM323" s="8"/>
    </row>
    <row r="324" customFormat="false" ht="15.75" hidden="false" customHeight="true" outlineLevel="0" collapsed="false">
      <c r="A324" s="30" t="n">
        <v>46304</v>
      </c>
      <c r="B324" s="31" t="s">
        <v>189</v>
      </c>
      <c r="C324" s="31" t="str">
        <f aca="false" t="array" ref="C324:C324">IF(B324="","",IFERROR(INDEX('CLM &amp; IM Mapping'!$B$2:$B$270,MATCH(TRIM(B324),'CLM &amp; IM Mapping'!$A$2:$A$270,0)),"Not Mapped"))</f>
        <v>Girish N</v>
      </c>
      <c r="D324" s="31" t="str">
        <f aca="false" t="array" ref="D324:D324">IF(B324="","",IFERROR(INDEX('CLM &amp; IM Mapping'!$C$2:$C$270,MATCH(TRIM(B324),'CLM &amp; IM Mapping'!$A$2:$A$270,0)),"Not Mapped"))</f>
        <v>Un Mapped</v>
      </c>
      <c r="E324" s="31" t="s">
        <v>34</v>
      </c>
      <c r="F324" s="31" t="s">
        <v>562</v>
      </c>
      <c r="G324" s="31" t="s">
        <v>23</v>
      </c>
      <c r="H324" s="17" t="n">
        <v>5124</v>
      </c>
      <c r="I324" s="32" t="n">
        <v>0.7</v>
      </c>
      <c r="J324" s="33" t="n">
        <v>0.43</v>
      </c>
      <c r="K324" s="34" t="n">
        <v>0.84</v>
      </c>
      <c r="L324" s="31" t="n">
        <v>0.9</v>
      </c>
      <c r="M324" s="31" t="n">
        <v>0.84</v>
      </c>
      <c r="N324" s="11" t="n">
        <v>3</v>
      </c>
      <c r="O324" s="12"/>
      <c r="P324" s="11"/>
      <c r="Q324" s="8"/>
      <c r="R324" s="8"/>
      <c r="S324" s="8"/>
      <c r="T324" s="8"/>
      <c r="U324" s="8"/>
      <c r="V324" s="8"/>
      <c r="W324" s="8"/>
      <c r="X324" s="8"/>
      <c r="Y324" s="8"/>
      <c r="Z324" s="8"/>
      <c r="AA324" s="8"/>
      <c r="AB324" s="8"/>
      <c r="AC324" s="8"/>
      <c r="AD324" s="8"/>
      <c r="AE324" s="8"/>
      <c r="AF324" s="8"/>
      <c r="AG324" s="8"/>
      <c r="AH324" s="8"/>
      <c r="AI324" s="8"/>
      <c r="AJ324" s="8"/>
      <c r="AK324" s="8"/>
      <c r="AL324" s="8"/>
      <c r="AM324" s="8"/>
    </row>
    <row r="325" customFormat="false" ht="15.75" hidden="false" customHeight="true" outlineLevel="0" collapsed="false">
      <c r="A325" s="30" t="n">
        <v>46304</v>
      </c>
      <c r="B325" s="31" t="s">
        <v>523</v>
      </c>
      <c r="C325" s="31" t="str">
        <f aca="false" t="array" ref="C325:C325">IF(B325="","",IFERROR(INDEX('CLM &amp; IM Mapping'!$B$2:$B$270,MATCH(TRIM(B325),'CLM &amp; IM Mapping'!$A$2:$A$270,0)),"Not Mapped"))</f>
        <v>Sundaresh S</v>
      </c>
      <c r="D325" s="31" t="str">
        <f aca="false" t="array" ref="D325:D325">IF(B325="","",IFERROR(INDEX('CLM &amp; IM Mapping'!$C$2:$C$270,MATCH(TRIM(B325),'CLM &amp; IM Mapping'!$A$2:$A$270,0)),"Not Mapped"))</f>
        <v>Un Mapped</v>
      </c>
      <c r="E325" s="31" t="s">
        <v>34</v>
      </c>
      <c r="F325" s="31" t="s">
        <v>562</v>
      </c>
      <c r="G325" s="31" t="s">
        <v>23</v>
      </c>
      <c r="H325" s="17" t="n">
        <v>6860</v>
      </c>
      <c r="I325" s="32" t="n">
        <v>0.7</v>
      </c>
      <c r="J325" s="33" t="n">
        <v>0.43</v>
      </c>
      <c r="K325" s="34" t="n">
        <v>0.85</v>
      </c>
      <c r="L325" s="31" t="n">
        <v>0.93</v>
      </c>
      <c r="M325" s="31" t="n">
        <v>0.85</v>
      </c>
      <c r="N325" s="11" t="n">
        <v>4</v>
      </c>
      <c r="O325" s="12"/>
      <c r="P325" s="11"/>
      <c r="Q325" s="8"/>
      <c r="R325" s="8"/>
      <c r="S325" s="8"/>
      <c r="T325" s="8"/>
      <c r="U325" s="8"/>
      <c r="V325" s="8"/>
      <c r="W325" s="8"/>
      <c r="X325" s="8"/>
      <c r="Y325" s="8"/>
      <c r="Z325" s="8"/>
      <c r="AA325" s="8"/>
      <c r="AB325" s="8"/>
      <c r="AC325" s="8"/>
      <c r="AD325" s="8"/>
      <c r="AE325" s="8"/>
      <c r="AF325" s="8"/>
      <c r="AG325" s="8"/>
      <c r="AH325" s="8"/>
      <c r="AI325" s="8"/>
      <c r="AJ325" s="8"/>
      <c r="AK325" s="8"/>
      <c r="AL325" s="8"/>
      <c r="AM325" s="8"/>
    </row>
    <row r="326" customFormat="false" ht="15.75" hidden="false" customHeight="true" outlineLevel="0" collapsed="false">
      <c r="A326" s="30" t="n">
        <v>46304</v>
      </c>
      <c r="B326" s="31" t="s">
        <v>147</v>
      </c>
      <c r="C326" s="31" t="str">
        <f aca="false" t="array" ref="C326:C326">IF(B326="","",IFERROR(INDEX('CLM &amp; IM Mapping'!$B$2:$B$270,MATCH(TRIM(B326),'CLM &amp; IM Mapping'!$A$2:$A$270,0)),"Not Mapped"))</f>
        <v>Manjunatha V</v>
      </c>
      <c r="D326" s="31" t="str">
        <f aca="false" t="array" ref="D326:D326">IF(B326="","",IFERROR(INDEX('CLM &amp; IM Mapping'!$C$2:$C$270,MATCH(TRIM(B326),'CLM &amp; IM Mapping'!$A$2:$A$270,0)),"Not Mapped"))</f>
        <v>Un Mapped</v>
      </c>
      <c r="E326" s="31" t="s">
        <v>34</v>
      </c>
      <c r="F326" s="31" t="s">
        <v>562</v>
      </c>
      <c r="G326" s="31" t="s">
        <v>23</v>
      </c>
      <c r="H326" s="17" t="n">
        <v>5714</v>
      </c>
      <c r="I326" s="32" t="n">
        <v>0.7</v>
      </c>
      <c r="J326" s="33" t="n">
        <v>0.43</v>
      </c>
      <c r="K326" s="34" t="n">
        <v>0.83</v>
      </c>
      <c r="L326" s="31" t="n">
        <v>0.97</v>
      </c>
      <c r="M326" s="31" t="n">
        <v>0.83</v>
      </c>
      <c r="N326" s="11" t="n">
        <v>4</v>
      </c>
      <c r="O326" s="12"/>
      <c r="P326" s="11"/>
      <c r="Q326" s="8"/>
      <c r="R326" s="8"/>
      <c r="S326" s="8"/>
      <c r="T326" s="8"/>
      <c r="U326" s="8"/>
      <c r="V326" s="8"/>
      <c r="W326" s="8"/>
      <c r="X326" s="8"/>
      <c r="Y326" s="8"/>
      <c r="Z326" s="8"/>
      <c r="AA326" s="8"/>
      <c r="AB326" s="8"/>
      <c r="AC326" s="8"/>
      <c r="AD326" s="8"/>
      <c r="AE326" s="8"/>
      <c r="AF326" s="8"/>
      <c r="AG326" s="8"/>
      <c r="AH326" s="8"/>
      <c r="AI326" s="8"/>
      <c r="AJ326" s="8"/>
      <c r="AK326" s="8"/>
      <c r="AL326" s="8"/>
      <c r="AM326" s="8"/>
    </row>
    <row r="327" customFormat="false" ht="15.75" hidden="false" customHeight="true" outlineLevel="0" collapsed="false">
      <c r="A327" s="30" t="n">
        <v>46304</v>
      </c>
      <c r="B327" s="31" t="s">
        <v>53</v>
      </c>
      <c r="C327" s="31" t="str">
        <f aca="false" t="array" ref="C327:C327">IF(B327="","",IFERROR(INDEX('CLM &amp; IM Mapping'!$B$2:$B$270,MATCH(TRIM(B327),'CLM &amp; IM Mapping'!$A$2:$A$270,0)),"Not Mapped"))</f>
        <v>Richard Harris</v>
      </c>
      <c r="D327" s="31" t="str">
        <f aca="false" t="array" ref="D327:D327">IF(B327="","",IFERROR(INDEX('CLM &amp; IM Mapping'!$C$2:$C$270,MATCH(TRIM(B327),'CLM &amp; IM Mapping'!$A$2:$A$270,0)),"Not Mapped"))</f>
        <v>Kantha Kumar</v>
      </c>
      <c r="E327" s="31" t="s">
        <v>34</v>
      </c>
      <c r="F327" s="31" t="s">
        <v>562</v>
      </c>
      <c r="G327" s="31" t="s">
        <v>23</v>
      </c>
      <c r="H327" s="17" t="n">
        <v>5302</v>
      </c>
      <c r="I327" s="32" t="n">
        <v>0.7</v>
      </c>
      <c r="J327" s="33" t="n">
        <v>0.44</v>
      </c>
      <c r="K327" s="34" t="n">
        <v>0.77</v>
      </c>
      <c r="L327" s="31" t="n">
        <v>0.94</v>
      </c>
      <c r="M327" s="31" t="n">
        <v>0.77</v>
      </c>
      <c r="N327" s="11" t="n">
        <v>3</v>
      </c>
      <c r="O327" s="12"/>
      <c r="P327" s="11"/>
      <c r="Q327" s="8"/>
      <c r="R327" s="8"/>
      <c r="S327" s="8"/>
      <c r="T327" s="8"/>
      <c r="U327" s="8"/>
      <c r="V327" s="8"/>
      <c r="W327" s="8"/>
      <c r="X327" s="8"/>
      <c r="Y327" s="8"/>
      <c r="Z327" s="8"/>
      <c r="AA327" s="8"/>
      <c r="AB327" s="8"/>
      <c r="AC327" s="8"/>
      <c r="AD327" s="8"/>
      <c r="AE327" s="8"/>
      <c r="AF327" s="8"/>
      <c r="AG327" s="8"/>
      <c r="AH327" s="8"/>
      <c r="AI327" s="8"/>
      <c r="AJ327" s="8"/>
      <c r="AK327" s="8"/>
      <c r="AL327" s="8"/>
      <c r="AM327" s="8"/>
    </row>
    <row r="328" customFormat="false" ht="15.75" hidden="false" customHeight="true" outlineLevel="0" collapsed="false">
      <c r="A328" s="30" t="n">
        <v>46304</v>
      </c>
      <c r="B328" s="31" t="s">
        <v>213</v>
      </c>
      <c r="C328" s="31" t="str">
        <f aca="false" t="array" ref="C328:C328">IF(B328="","",IFERROR(INDEX('CLM &amp; IM Mapping'!$B$2:$B$270,MATCH(TRIM(B328),'CLM &amp; IM Mapping'!$A$2:$A$270,0)),"Not Mapped"))</f>
        <v>Bangareppa CS</v>
      </c>
      <c r="D328" s="31" t="str">
        <f aca="false" t="array" ref="D328:D328">IF(B328="","",IFERROR(INDEX('CLM &amp; IM Mapping'!$C$2:$C$270,MATCH(TRIM(B328),'CLM &amp; IM Mapping'!$A$2:$A$270,0)),"Not Mapped"))</f>
        <v>Kishor K</v>
      </c>
      <c r="E328" s="31" t="s">
        <v>34</v>
      </c>
      <c r="F328" s="31" t="s">
        <v>565</v>
      </c>
      <c r="G328" s="31" t="s">
        <v>212</v>
      </c>
      <c r="H328" s="17" t="n">
        <v>6805</v>
      </c>
      <c r="I328" s="32" t="n">
        <v>0.7</v>
      </c>
      <c r="J328" s="33" t="n">
        <v>0.44</v>
      </c>
      <c r="K328" s="34" t="n">
        <v>0.92</v>
      </c>
      <c r="L328" s="31" t="n">
        <v>0.98</v>
      </c>
      <c r="M328" s="31" t="n">
        <v>0.92</v>
      </c>
      <c r="N328" s="11" t="n">
        <v>2</v>
      </c>
      <c r="O328" s="12" t="s">
        <v>611</v>
      </c>
      <c r="P328" s="12" t="s">
        <v>603</v>
      </c>
      <c r="Q328" s="8"/>
      <c r="R328" s="8"/>
      <c r="S328" s="8"/>
      <c r="T328" s="8"/>
      <c r="U328" s="8"/>
      <c r="V328" s="8"/>
      <c r="W328" s="8"/>
      <c r="X328" s="8"/>
      <c r="Y328" s="8"/>
      <c r="Z328" s="8"/>
      <c r="AA328" s="8"/>
      <c r="AB328" s="8"/>
      <c r="AC328" s="8"/>
      <c r="AD328" s="8"/>
      <c r="AE328" s="8"/>
      <c r="AF328" s="8"/>
      <c r="AG328" s="8"/>
      <c r="AH328" s="8"/>
      <c r="AI328" s="8"/>
      <c r="AJ328" s="8"/>
      <c r="AK328" s="8"/>
      <c r="AL328" s="8"/>
      <c r="AM328" s="8"/>
    </row>
    <row r="329" customFormat="false" ht="15.75" hidden="false" customHeight="true" outlineLevel="0" collapsed="false">
      <c r="A329" s="30" t="n">
        <v>46304</v>
      </c>
      <c r="B329" s="31" t="s">
        <v>248</v>
      </c>
      <c r="C329" s="31" t="str">
        <f aca="false" t="array" ref="C329:C329">IF(B329="","",IFERROR(INDEX('CLM &amp; IM Mapping'!$B$2:$B$270,MATCH(TRIM(B329),'CLM &amp; IM Mapping'!$A$2:$A$270,0)),"Not Mapped"))</f>
        <v>Arun Raj</v>
      </c>
      <c r="D329" s="31" t="str">
        <f aca="false" t="array" ref="D329:D329">IF(B329="","",IFERROR(INDEX('CLM &amp; IM Mapping'!$C$2:$C$270,MATCH(TRIM(B329),'CLM &amp; IM Mapping'!$A$2:$A$270,0)),"Not Mapped"))</f>
        <v>Simon Manoharan</v>
      </c>
      <c r="E329" s="31" t="s">
        <v>25</v>
      </c>
      <c r="F329" s="31" t="s">
        <v>565</v>
      </c>
      <c r="G329" s="31" t="s">
        <v>23</v>
      </c>
      <c r="H329" s="17" t="n">
        <v>12266</v>
      </c>
      <c r="I329" s="32" t="n">
        <v>0.7</v>
      </c>
      <c r="J329" s="33" t="n">
        <v>0.44</v>
      </c>
      <c r="K329" s="34" t="n">
        <v>0.97</v>
      </c>
      <c r="L329" s="31" t="n">
        <v>0.99</v>
      </c>
      <c r="M329" s="31" t="n">
        <v>0.97</v>
      </c>
      <c r="N329" s="11" t="n">
        <v>1</v>
      </c>
      <c r="O329" s="12"/>
      <c r="P329" s="11"/>
      <c r="Q329" s="8"/>
      <c r="R329" s="8"/>
      <c r="S329" s="8"/>
      <c r="T329" s="8"/>
      <c r="U329" s="8"/>
      <c r="V329" s="8"/>
      <c r="W329" s="8"/>
      <c r="X329" s="8"/>
      <c r="Y329" s="8"/>
      <c r="Z329" s="8"/>
      <c r="AA329" s="8"/>
      <c r="AB329" s="8"/>
      <c r="AC329" s="8"/>
      <c r="AD329" s="8"/>
      <c r="AE329" s="8"/>
      <c r="AF329" s="8"/>
      <c r="AG329" s="8"/>
      <c r="AH329" s="8"/>
      <c r="AI329" s="8"/>
      <c r="AJ329" s="8"/>
      <c r="AK329" s="8"/>
      <c r="AL329" s="8"/>
      <c r="AM329" s="8"/>
    </row>
    <row r="330" customFormat="false" ht="15.75" hidden="false" customHeight="true" outlineLevel="0" collapsed="false">
      <c r="A330" s="30" t="n">
        <v>46304</v>
      </c>
      <c r="B330" s="31" t="s">
        <v>292</v>
      </c>
      <c r="C330" s="31" t="str">
        <f aca="false" t="array" ref="C330:C330">IF(B330="","",IFERROR(INDEX('CLM &amp; IM Mapping'!$B$2:$B$270,MATCH(TRIM(B330),'CLM &amp; IM Mapping'!$A$2:$A$270,0)),"Not Mapped"))</f>
        <v>Mohaideen DH</v>
      </c>
      <c r="D330" s="31" t="str">
        <f aca="false" t="array" ref="D330:D330">IF(B330="","",IFERROR(INDEX('CLM &amp; IM Mapping'!$C$2:$C$270,MATCH(TRIM(B330),'CLM &amp; IM Mapping'!$A$2:$A$270,0)),"Not Mapped"))</f>
        <v>Mohammed Akbar</v>
      </c>
      <c r="E330" s="31" t="s">
        <v>34</v>
      </c>
      <c r="F330" s="31" t="s">
        <v>562</v>
      </c>
      <c r="G330" s="31" t="s">
        <v>23</v>
      </c>
      <c r="H330" s="17" t="n">
        <v>5619</v>
      </c>
      <c r="I330" s="32" t="n">
        <v>0.7</v>
      </c>
      <c r="J330" s="33" t="n">
        <v>0.44</v>
      </c>
      <c r="K330" s="34" t="n">
        <v>0.84</v>
      </c>
      <c r="L330" s="31" t="n">
        <v>0.93</v>
      </c>
      <c r="M330" s="31"/>
      <c r="N330" s="11" t="n">
        <v>2</v>
      </c>
      <c r="O330" s="12"/>
      <c r="P330" s="11"/>
      <c r="Q330" s="8"/>
      <c r="R330" s="8"/>
      <c r="S330" s="8"/>
      <c r="T330" s="8"/>
      <c r="U330" s="8"/>
      <c r="V330" s="8"/>
      <c r="W330" s="8"/>
      <c r="X330" s="8"/>
      <c r="Y330" s="8"/>
      <c r="Z330" s="8"/>
      <c r="AA330" s="8"/>
      <c r="AB330" s="8"/>
      <c r="AC330" s="8"/>
      <c r="AD330" s="8"/>
      <c r="AE330" s="8"/>
      <c r="AF330" s="8"/>
      <c r="AG330" s="8"/>
      <c r="AH330" s="8"/>
      <c r="AI330" s="8"/>
      <c r="AJ330" s="8"/>
      <c r="AK330" s="8"/>
      <c r="AL330" s="8"/>
      <c r="AM330" s="8"/>
    </row>
    <row r="331" customFormat="false" ht="15.75" hidden="false" customHeight="true" outlineLevel="0" collapsed="false">
      <c r="A331" s="30" t="n">
        <v>46304</v>
      </c>
      <c r="B331" s="31" t="s">
        <v>153</v>
      </c>
      <c r="C331" s="31" t="str">
        <f aca="false" t="array" ref="C331:C331">IF(B331="","",IFERROR(INDEX('CLM &amp; IM Mapping'!$B$2:$B$270,MATCH(TRIM(B331),'CLM &amp; IM Mapping'!$A$2:$A$270,0)),"Not Mapped"))</f>
        <v>Ashwath S</v>
      </c>
      <c r="D331" s="31" t="str">
        <f aca="false" t="array" ref="D331:D331">IF(B331="","",IFERROR(INDEX('CLM &amp; IM Mapping'!$C$2:$C$270,MATCH(TRIM(B331),'CLM &amp; IM Mapping'!$A$2:$A$270,0)),"Not Mapped"))</f>
        <v>Kantha Kumar</v>
      </c>
      <c r="E331" s="31" t="s">
        <v>34</v>
      </c>
      <c r="F331" s="31" t="s">
        <v>562</v>
      </c>
      <c r="G331" s="31" t="s">
        <v>23</v>
      </c>
      <c r="H331" s="17" t="n">
        <v>5551</v>
      </c>
      <c r="I331" s="32" t="n">
        <v>0.7</v>
      </c>
      <c r="J331" s="33" t="n">
        <v>0.44</v>
      </c>
      <c r="K331" s="34" t="n">
        <v>0.82</v>
      </c>
      <c r="L331" s="31" t="n">
        <v>0.94</v>
      </c>
      <c r="M331" s="31" t="n">
        <v>0.82</v>
      </c>
      <c r="N331" s="11" t="n">
        <v>4</v>
      </c>
      <c r="O331" s="12"/>
      <c r="P331" s="11"/>
      <c r="Q331" s="8"/>
      <c r="R331" s="8"/>
      <c r="S331" s="8"/>
      <c r="T331" s="8"/>
      <c r="U331" s="8"/>
      <c r="V331" s="8"/>
      <c r="W331" s="8"/>
      <c r="X331" s="8"/>
      <c r="Y331" s="8"/>
      <c r="Z331" s="8"/>
      <c r="AA331" s="8"/>
      <c r="AB331" s="8"/>
      <c r="AC331" s="8"/>
      <c r="AD331" s="8"/>
      <c r="AE331" s="8"/>
      <c r="AF331" s="8"/>
      <c r="AG331" s="8"/>
      <c r="AH331" s="8"/>
      <c r="AI331" s="8"/>
      <c r="AJ331" s="8"/>
      <c r="AK331" s="8"/>
      <c r="AL331" s="8"/>
      <c r="AM331" s="8"/>
    </row>
    <row r="332" customFormat="false" ht="15.75" hidden="false" customHeight="true" outlineLevel="0" collapsed="false">
      <c r="A332" s="30" t="n">
        <v>46304</v>
      </c>
      <c r="B332" s="31" t="s">
        <v>181</v>
      </c>
      <c r="C332" s="31" t="str">
        <f aca="false" t="array" ref="C332:C332">IF(B332="","",IFERROR(INDEX('CLM &amp; IM Mapping'!$B$2:$B$270,MATCH(TRIM(B332),'CLM &amp; IM Mapping'!$A$2:$A$270,0)),"Not Mapped"))</f>
        <v>Silambarasan E</v>
      </c>
      <c r="D332" s="31" t="str">
        <f aca="false" t="array" ref="D332:D332">IF(B332="","",IFERROR(INDEX('CLM &amp; IM Mapping'!$C$2:$C$270,MATCH(TRIM(B332),'CLM &amp; IM Mapping'!$A$2:$A$270,0)),"Not Mapped"))</f>
        <v>Arivind S</v>
      </c>
      <c r="E332" s="31" t="s">
        <v>34</v>
      </c>
      <c r="F332" s="31" t="s">
        <v>562</v>
      </c>
      <c r="G332" s="31" t="s">
        <v>23</v>
      </c>
      <c r="H332" s="17" t="n">
        <v>6001</v>
      </c>
      <c r="I332" s="32" t="n">
        <v>0.7</v>
      </c>
      <c r="J332" s="33" t="n">
        <v>0.44</v>
      </c>
      <c r="K332" s="34" t="n">
        <v>0.79</v>
      </c>
      <c r="L332" s="31" t="n">
        <v>0.93</v>
      </c>
      <c r="M332" s="31" t="n">
        <v>0.79</v>
      </c>
      <c r="N332" s="11" t="n">
        <v>5</v>
      </c>
      <c r="O332" s="12" t="s">
        <v>618</v>
      </c>
      <c r="P332" s="12" t="s">
        <v>567</v>
      </c>
      <c r="Q332" s="8"/>
      <c r="R332" s="8"/>
      <c r="S332" s="8"/>
      <c r="T332" s="8"/>
      <c r="U332" s="8"/>
      <c r="V332" s="8"/>
      <c r="W332" s="8"/>
      <c r="X332" s="8"/>
      <c r="Y332" s="8"/>
      <c r="Z332" s="8"/>
      <c r="AA332" s="8"/>
      <c r="AB332" s="8"/>
      <c r="AC332" s="8"/>
      <c r="AD332" s="8"/>
      <c r="AE332" s="8"/>
      <c r="AF332" s="8"/>
      <c r="AG332" s="8"/>
      <c r="AH332" s="8"/>
      <c r="AI332" s="8"/>
      <c r="AJ332" s="8"/>
      <c r="AK332" s="8"/>
      <c r="AL332" s="8"/>
      <c r="AM332" s="8"/>
    </row>
    <row r="333" customFormat="false" ht="15.75" hidden="false" customHeight="true" outlineLevel="0" collapsed="false">
      <c r="A333" s="30" t="n">
        <v>46304</v>
      </c>
      <c r="B333" s="31" t="s">
        <v>293</v>
      </c>
      <c r="C333" s="31" t="str">
        <f aca="false" t="array" ref="C333:C333">IF(B333="","",IFERROR(INDEX('CLM &amp; IM Mapping'!$B$2:$B$270,MATCH(TRIM(B333),'CLM &amp; IM Mapping'!$A$2:$A$270,0)),"Not Mapped"))</f>
        <v>Suhas N</v>
      </c>
      <c r="D333" s="31" t="str">
        <f aca="false" t="array" ref="D333:D333">IF(B333="","",IFERROR(INDEX('CLM &amp; IM Mapping'!$C$2:$C$270,MATCH(TRIM(B333),'CLM &amp; IM Mapping'!$A$2:$A$270,0)),"Not Mapped"))</f>
        <v>Aravind S</v>
      </c>
      <c r="E333" s="31" t="s">
        <v>34</v>
      </c>
      <c r="F333" s="31" t="s">
        <v>562</v>
      </c>
      <c r="G333" s="31" t="s">
        <v>23</v>
      </c>
      <c r="H333" s="17" t="n">
        <v>4834</v>
      </c>
      <c r="I333" s="32" t="n">
        <v>0.7</v>
      </c>
      <c r="J333" s="33" t="n">
        <v>0.44</v>
      </c>
      <c r="K333" s="34" t="n">
        <v>0.74</v>
      </c>
      <c r="L333" s="31" t="n">
        <v>0.91</v>
      </c>
      <c r="M333" s="31" t="n">
        <v>0.74</v>
      </c>
      <c r="N333" s="11" t="n">
        <v>2</v>
      </c>
      <c r="O333" s="12"/>
      <c r="P333" s="11"/>
      <c r="Q333" s="8"/>
      <c r="R333" s="8"/>
      <c r="S333" s="8"/>
      <c r="T333" s="8"/>
      <c r="U333" s="8"/>
      <c r="V333" s="8"/>
      <c r="W333" s="8"/>
      <c r="X333" s="8"/>
      <c r="Y333" s="8"/>
      <c r="Z333" s="8"/>
      <c r="AA333" s="8"/>
      <c r="AB333" s="8"/>
      <c r="AC333" s="8"/>
      <c r="AD333" s="8"/>
      <c r="AE333" s="8"/>
      <c r="AF333" s="8"/>
      <c r="AG333" s="8"/>
      <c r="AH333" s="8"/>
      <c r="AI333" s="8"/>
      <c r="AJ333" s="8"/>
      <c r="AK333" s="8"/>
      <c r="AL333" s="8"/>
      <c r="AM333" s="8"/>
    </row>
    <row r="334" customFormat="false" ht="15.75" hidden="false" customHeight="true" outlineLevel="0" collapsed="false">
      <c r="A334" s="30" t="n">
        <v>46304</v>
      </c>
      <c r="B334" s="31" t="s">
        <v>344</v>
      </c>
      <c r="C334" s="31" t="str">
        <f aca="false" t="array" ref="C334:C334">IF(B334="","",IFERROR(INDEX('CLM &amp; IM Mapping'!$B$2:$B$270,MATCH(TRIM(B334),'CLM &amp; IM Mapping'!$A$2:$A$270,0)),"Not Mapped"))</f>
        <v>Arun Raj</v>
      </c>
      <c r="D334" s="31" t="str">
        <f aca="false" t="array" ref="D334:D334">IF(B334="","",IFERROR(INDEX('CLM &amp; IM Mapping'!$C$2:$C$270,MATCH(TRIM(B334),'CLM &amp; IM Mapping'!$A$2:$A$270,0)),"Not Mapped"))</f>
        <v>Simon Manoharan</v>
      </c>
      <c r="E334" s="31" t="s">
        <v>25</v>
      </c>
      <c r="F334" s="31" t="s">
        <v>565</v>
      </c>
      <c r="G334" s="31" t="s">
        <v>23</v>
      </c>
      <c r="H334" s="17" t="n">
        <v>11819</v>
      </c>
      <c r="I334" s="32" t="n">
        <v>0.7</v>
      </c>
      <c r="J334" s="33" t="n">
        <v>0.45</v>
      </c>
      <c r="K334" s="34" t="n">
        <v>0.93</v>
      </c>
      <c r="L334" s="31" t="n">
        <v>0.98</v>
      </c>
      <c r="M334" s="31" t="n">
        <v>0.93</v>
      </c>
      <c r="N334" s="11" t="n">
        <v>2</v>
      </c>
      <c r="O334" s="12"/>
      <c r="P334" s="11"/>
      <c r="Q334" s="8"/>
      <c r="R334" s="8"/>
      <c r="S334" s="8"/>
      <c r="T334" s="8"/>
      <c r="U334" s="8"/>
      <c r="V334" s="8"/>
      <c r="W334" s="8"/>
      <c r="X334" s="8"/>
      <c r="Y334" s="8"/>
      <c r="Z334" s="8"/>
      <c r="AA334" s="8"/>
      <c r="AB334" s="8"/>
      <c r="AC334" s="8"/>
      <c r="AD334" s="8"/>
      <c r="AE334" s="8"/>
      <c r="AF334" s="8"/>
      <c r="AG334" s="8"/>
      <c r="AH334" s="8"/>
      <c r="AI334" s="8"/>
      <c r="AJ334" s="8"/>
      <c r="AK334" s="8"/>
      <c r="AL334" s="8"/>
      <c r="AM334" s="8"/>
    </row>
    <row r="335" customFormat="false" ht="15.75" hidden="false" customHeight="true" outlineLevel="0" collapsed="false">
      <c r="A335" s="30" t="n">
        <v>46304</v>
      </c>
      <c r="B335" s="31" t="s">
        <v>219</v>
      </c>
      <c r="C335" s="31" t="str">
        <f aca="false" t="array" ref="C335:C335">IF(B335="","",IFERROR(INDEX('CLM &amp; IM Mapping'!$B$2:$B$270,MATCH(TRIM(B335),'CLM &amp; IM Mapping'!$A$2:$A$270,0)),"Not Mapped"))</f>
        <v>Arun Raj</v>
      </c>
      <c r="D335" s="31" t="str">
        <f aca="false" t="array" ref="D335:D335">IF(B335="","",IFERROR(INDEX('CLM &amp; IM Mapping'!$C$2:$C$270,MATCH(TRIM(B335),'CLM &amp; IM Mapping'!$A$2:$A$270,0)),"Not Mapped"))</f>
        <v>Simon Manoharan</v>
      </c>
      <c r="E335" s="31" t="s">
        <v>25</v>
      </c>
      <c r="F335" s="31" t="s">
        <v>565</v>
      </c>
      <c r="G335" s="31" t="s">
        <v>23</v>
      </c>
      <c r="H335" s="17" t="n">
        <v>13185</v>
      </c>
      <c r="I335" s="32" t="n">
        <v>0.7</v>
      </c>
      <c r="J335" s="33" t="n">
        <v>0.45</v>
      </c>
      <c r="K335" s="34" t="n">
        <v>1</v>
      </c>
      <c r="L335" s="31" t="n">
        <v>1</v>
      </c>
      <c r="M335" s="31" t="n">
        <v>1</v>
      </c>
      <c r="N335" s="11" t="n">
        <v>4</v>
      </c>
      <c r="O335" s="12"/>
      <c r="P335" s="11"/>
      <c r="Q335" s="8"/>
      <c r="R335" s="8"/>
      <c r="S335" s="8"/>
      <c r="T335" s="8"/>
      <c r="U335" s="8"/>
      <c r="V335" s="8"/>
      <c r="W335" s="8"/>
      <c r="X335" s="8"/>
      <c r="Y335" s="8"/>
      <c r="Z335" s="8"/>
      <c r="AA335" s="8"/>
      <c r="AB335" s="8"/>
      <c r="AC335" s="8"/>
      <c r="AD335" s="8"/>
      <c r="AE335" s="8"/>
      <c r="AF335" s="8"/>
      <c r="AG335" s="8"/>
      <c r="AH335" s="8"/>
      <c r="AI335" s="8"/>
      <c r="AJ335" s="8"/>
      <c r="AK335" s="8"/>
      <c r="AL335" s="8"/>
      <c r="AM335" s="8"/>
    </row>
    <row r="336" customFormat="false" ht="15.75" hidden="false" customHeight="true" outlineLevel="0" collapsed="false">
      <c r="A336" s="30" t="n">
        <v>46304</v>
      </c>
      <c r="B336" s="31" t="s">
        <v>386</v>
      </c>
      <c r="C336" s="31" t="str">
        <f aca="false" t="array" ref="C336:C336">IF(B336="","",IFERROR(INDEX('CLM &amp; IM Mapping'!$B$2:$B$270,MATCH(TRIM(B336),'CLM &amp; IM Mapping'!$A$2:$A$270,0)),"Not Mapped"))</f>
        <v>Arun Raj</v>
      </c>
      <c r="D336" s="31" t="str">
        <f aca="false" t="array" ref="D336:D336">IF(B336="","",IFERROR(INDEX('CLM &amp; IM Mapping'!$C$2:$C$270,MATCH(TRIM(B336),'CLM &amp; IM Mapping'!$A$2:$A$270,0)),"Not Mapped"))</f>
        <v>Simon Manoharan</v>
      </c>
      <c r="E336" s="31" t="s">
        <v>25</v>
      </c>
      <c r="F336" s="31" t="s">
        <v>565</v>
      </c>
      <c r="G336" s="31" t="s">
        <v>23</v>
      </c>
      <c r="H336" s="17" t="n">
        <v>12736</v>
      </c>
      <c r="I336" s="32" t="n">
        <v>0.7</v>
      </c>
      <c r="J336" s="33" t="n">
        <v>0.46</v>
      </c>
      <c r="K336" s="34" t="n">
        <v>0.99</v>
      </c>
      <c r="L336" s="31" t="n">
        <v>1</v>
      </c>
      <c r="M336" s="31" t="n">
        <v>0.99</v>
      </c>
      <c r="N336" s="11" t="n">
        <v>1</v>
      </c>
      <c r="O336" s="12"/>
      <c r="P336" s="11"/>
      <c r="Q336" s="8"/>
      <c r="R336" s="8"/>
      <c r="S336" s="8"/>
      <c r="T336" s="8"/>
      <c r="U336" s="8"/>
      <c r="V336" s="8"/>
      <c r="W336" s="8"/>
      <c r="X336" s="8"/>
      <c r="Y336" s="8"/>
      <c r="Z336" s="8"/>
      <c r="AA336" s="8"/>
      <c r="AB336" s="8"/>
      <c r="AC336" s="8"/>
      <c r="AD336" s="8"/>
      <c r="AE336" s="8"/>
      <c r="AF336" s="8"/>
      <c r="AG336" s="8"/>
      <c r="AH336" s="8"/>
      <c r="AI336" s="8"/>
      <c r="AJ336" s="8"/>
      <c r="AK336" s="8"/>
      <c r="AL336" s="8"/>
      <c r="AM336" s="8"/>
    </row>
    <row r="337" customFormat="false" ht="15.75" hidden="false" customHeight="true" outlineLevel="0" collapsed="false">
      <c r="A337" s="30" t="n">
        <v>46304</v>
      </c>
      <c r="B337" s="31" t="s">
        <v>339</v>
      </c>
      <c r="C337" s="31" t="str">
        <f aca="false" t="array" ref="C337:C337">IF(B337="","",IFERROR(INDEX('CLM &amp; IM Mapping'!$B$2:$B$270,MATCH(TRIM(B337),'CLM &amp; IM Mapping'!$A$2:$A$270,0)),"Not Mapped"))</f>
        <v>Ravishankar gowda</v>
      </c>
      <c r="D337" s="31" t="str">
        <f aca="false" t="array" ref="D337:D337">IF(B337="","",IFERROR(INDEX('CLM &amp; IM Mapping'!$C$2:$C$270,MATCH(TRIM(B337),'CLM &amp; IM Mapping'!$A$2:$A$270,0)),"Not Mapped"))</f>
        <v>Kishor K</v>
      </c>
      <c r="E337" s="31" t="s">
        <v>34</v>
      </c>
      <c r="F337" s="31" t="s">
        <v>565</v>
      </c>
      <c r="G337" s="31" t="s">
        <v>23</v>
      </c>
      <c r="H337" s="17" t="n">
        <v>5717</v>
      </c>
      <c r="I337" s="32" t="n">
        <v>0.7</v>
      </c>
      <c r="J337" s="33" t="n">
        <v>0.47</v>
      </c>
      <c r="K337" s="34" t="n">
        <v>0.94</v>
      </c>
      <c r="L337" s="31" t="n">
        <v>0.96</v>
      </c>
      <c r="M337" s="31" t="n">
        <v>0.94</v>
      </c>
      <c r="N337" s="11" t="n">
        <v>3</v>
      </c>
      <c r="O337" s="12" t="s">
        <v>616</v>
      </c>
      <c r="P337" s="12" t="s">
        <v>605</v>
      </c>
      <c r="Q337" s="8"/>
      <c r="R337" s="8"/>
      <c r="S337" s="8"/>
      <c r="T337" s="8"/>
      <c r="U337" s="8"/>
      <c r="V337" s="8"/>
      <c r="W337" s="8"/>
      <c r="X337" s="8"/>
      <c r="Y337" s="8"/>
      <c r="Z337" s="8"/>
      <c r="AA337" s="8"/>
      <c r="AB337" s="8"/>
      <c r="AC337" s="8"/>
      <c r="AD337" s="8"/>
      <c r="AE337" s="8"/>
      <c r="AF337" s="8"/>
      <c r="AG337" s="8"/>
      <c r="AH337" s="8"/>
      <c r="AI337" s="8"/>
      <c r="AJ337" s="8"/>
      <c r="AK337" s="8"/>
      <c r="AL337" s="8"/>
      <c r="AM337" s="8"/>
    </row>
    <row r="338" customFormat="false" ht="15.75" hidden="false" customHeight="true" outlineLevel="0" collapsed="false">
      <c r="A338" s="30" t="n">
        <v>46304</v>
      </c>
      <c r="B338" s="31" t="s">
        <v>407</v>
      </c>
      <c r="C338" s="31" t="str">
        <f aca="false" t="array" ref="C338:C338">IF(B338="","",IFERROR(INDEX('CLM &amp; IM Mapping'!$B$2:$B$270,MATCH(TRIM(B338),'CLM &amp; IM Mapping'!$A$2:$A$270,0)),"Not Mapped"))</f>
        <v>Rizwan Ahmed</v>
      </c>
      <c r="D338" s="31" t="str">
        <f aca="false" t="array" ref="D338:D338">IF(B338="","",IFERROR(INDEX('CLM &amp; IM Mapping'!$C$2:$C$270,MATCH(TRIM(B338),'CLM &amp; IM Mapping'!$A$2:$A$270,0)),"Not Mapped"))</f>
        <v>Un Mapped</v>
      </c>
      <c r="E338" s="31" t="s">
        <v>34</v>
      </c>
      <c r="F338" s="31" t="s">
        <v>565</v>
      </c>
      <c r="G338" s="31" t="s">
        <v>23</v>
      </c>
      <c r="H338" s="17" t="n">
        <v>4945</v>
      </c>
      <c r="I338" s="32" t="n">
        <v>0.7</v>
      </c>
      <c r="J338" s="33" t="n">
        <v>0.47</v>
      </c>
      <c r="K338" s="34" t="n">
        <v>0.92</v>
      </c>
      <c r="L338" s="31" t="n">
        <v>0.99</v>
      </c>
      <c r="M338" s="31" t="n">
        <v>0.92</v>
      </c>
      <c r="N338" s="11" t="n">
        <v>1</v>
      </c>
      <c r="O338" s="12"/>
      <c r="P338" s="11"/>
      <c r="Q338" s="8"/>
      <c r="R338" s="8"/>
      <c r="S338" s="8"/>
      <c r="T338" s="8"/>
      <c r="U338" s="8"/>
      <c r="V338" s="8"/>
      <c r="W338" s="8"/>
      <c r="X338" s="8"/>
      <c r="Y338" s="8"/>
      <c r="Z338" s="8"/>
      <c r="AA338" s="8"/>
      <c r="AB338" s="8"/>
      <c r="AC338" s="8"/>
      <c r="AD338" s="8"/>
      <c r="AE338" s="8"/>
      <c r="AF338" s="8"/>
      <c r="AG338" s="8"/>
      <c r="AH338" s="8"/>
      <c r="AI338" s="8"/>
      <c r="AJ338" s="8"/>
      <c r="AK338" s="8"/>
      <c r="AL338" s="8"/>
      <c r="AM338" s="8"/>
    </row>
    <row r="339" customFormat="false" ht="15.75" hidden="false" customHeight="true" outlineLevel="0" collapsed="false">
      <c r="A339" s="30" t="n">
        <v>46304</v>
      </c>
      <c r="B339" s="31" t="s">
        <v>418</v>
      </c>
      <c r="C339" s="31" t="str">
        <f aca="false" t="array" ref="C339:C339">IF(B339="","",IFERROR(INDEX('CLM &amp; IM Mapping'!$B$2:$B$270,MATCH(TRIM(B339),'CLM &amp; IM Mapping'!$A$2:$A$270,0)),"Not Mapped"))</f>
        <v>Vishnu V</v>
      </c>
      <c r="D339" s="31" t="str">
        <f aca="false" t="array" ref="D339:D339">IF(B339="","",IFERROR(INDEX('CLM &amp; IM Mapping'!$C$2:$C$270,MATCH(TRIM(B339),'CLM &amp; IM Mapping'!$A$2:$A$270,0)),"Not Mapped"))</f>
        <v>Arivind S</v>
      </c>
      <c r="E339" s="31" t="s">
        <v>34</v>
      </c>
      <c r="F339" s="31" t="s">
        <v>562</v>
      </c>
      <c r="G339" s="31" t="s">
        <v>417</v>
      </c>
      <c r="H339" s="17" t="n">
        <v>6776</v>
      </c>
      <c r="I339" s="32" t="n">
        <v>0.7</v>
      </c>
      <c r="J339" s="33" t="n">
        <v>0.49</v>
      </c>
      <c r="K339" s="34" t="n">
        <v>0.98</v>
      </c>
      <c r="L339" s="31" t="n">
        <v>0.99</v>
      </c>
      <c r="M339" s="31" t="n">
        <v>0.98</v>
      </c>
      <c r="N339" s="11" t="n">
        <v>2</v>
      </c>
      <c r="O339" s="12" t="s">
        <v>619</v>
      </c>
      <c r="P339" s="12" t="s">
        <v>620</v>
      </c>
      <c r="Q339" s="8"/>
      <c r="R339" s="8"/>
      <c r="S339" s="8"/>
      <c r="T339" s="8"/>
      <c r="U339" s="8"/>
      <c r="V339" s="8"/>
      <c r="W339" s="8"/>
      <c r="X339" s="8"/>
      <c r="Y339" s="8"/>
      <c r="Z339" s="8"/>
      <c r="AA339" s="8"/>
      <c r="AB339" s="8"/>
      <c r="AC339" s="8"/>
      <c r="AD339" s="8"/>
      <c r="AE339" s="8"/>
      <c r="AF339" s="8"/>
      <c r="AG339" s="8"/>
      <c r="AH339" s="8"/>
      <c r="AI339" s="8"/>
      <c r="AJ339" s="8"/>
      <c r="AK339" s="8"/>
      <c r="AL339" s="8"/>
      <c r="AM339" s="8"/>
    </row>
    <row r="340" customFormat="false" ht="15.75" hidden="false" customHeight="true" outlineLevel="0" collapsed="false">
      <c r="A340" s="30" t="n">
        <v>46304</v>
      </c>
      <c r="B340" s="31" t="s">
        <v>426</v>
      </c>
      <c r="C340" s="31" t="str">
        <f aca="false" t="array" ref="C340:C340">IF(B340="","",IFERROR(INDEX('CLM &amp; IM Mapping'!$B$2:$B$270,MATCH(TRIM(B340),'CLM &amp; IM Mapping'!$A$2:$A$270,0)),"Not Mapped"))</f>
        <v>Silambarasan E</v>
      </c>
      <c r="D340" s="31" t="str">
        <f aca="false" t="array" ref="D340:D340">IF(B340="","",IFERROR(INDEX('CLM &amp; IM Mapping'!$C$2:$C$270,MATCH(TRIM(B340),'CLM &amp; IM Mapping'!$A$2:$A$270,0)),"Not Mapped"))</f>
        <v>Arivind S</v>
      </c>
      <c r="E340" s="31" t="s">
        <v>34</v>
      </c>
      <c r="F340" s="31" t="s">
        <v>562</v>
      </c>
      <c r="G340" s="31" t="s">
        <v>23</v>
      </c>
      <c r="H340" s="17" t="n">
        <v>5558</v>
      </c>
      <c r="I340" s="32" t="n">
        <v>0.7</v>
      </c>
      <c r="J340" s="33" t="n">
        <v>0.49</v>
      </c>
      <c r="K340" s="34" t="n">
        <v>0.84</v>
      </c>
      <c r="L340" s="31" t="n">
        <v>0.96</v>
      </c>
      <c r="M340" s="31" t="n">
        <v>0.84</v>
      </c>
      <c r="N340" s="11" t="n">
        <v>3</v>
      </c>
      <c r="O340" s="12" t="s">
        <v>625</v>
      </c>
      <c r="P340" s="12" t="s">
        <v>615</v>
      </c>
      <c r="Q340" s="8"/>
      <c r="R340" s="8"/>
      <c r="S340" s="8"/>
      <c r="T340" s="8"/>
      <c r="U340" s="8"/>
      <c r="V340" s="8"/>
      <c r="W340" s="8"/>
      <c r="X340" s="8"/>
      <c r="Y340" s="8"/>
      <c r="Z340" s="8"/>
      <c r="AA340" s="8"/>
      <c r="AB340" s="8"/>
      <c r="AC340" s="8"/>
      <c r="AD340" s="8"/>
      <c r="AE340" s="8"/>
      <c r="AF340" s="8"/>
      <c r="AG340" s="8"/>
      <c r="AH340" s="8"/>
      <c r="AI340" s="8"/>
      <c r="AJ340" s="8"/>
      <c r="AK340" s="8"/>
      <c r="AL340" s="8"/>
      <c r="AM340" s="8"/>
    </row>
    <row r="341" customFormat="false" ht="15.75" hidden="false" customHeight="true" outlineLevel="0" collapsed="false">
      <c r="A341" s="30" t="n">
        <v>46304</v>
      </c>
      <c r="B341" s="31" t="s">
        <v>142</v>
      </c>
      <c r="C341" s="31" t="str">
        <f aca="false" t="array" ref="C341:C341">IF(B341="","",IFERROR(INDEX('CLM &amp; IM Mapping'!$B$2:$B$270,MATCH(TRIM(B341),'CLM &amp; IM Mapping'!$A$2:$A$270,0)),"Not Mapped"))</f>
        <v>Sundaresh S</v>
      </c>
      <c r="D341" s="31" t="str">
        <f aca="false" t="array" ref="D341:D341">IF(B341="","",IFERROR(INDEX('CLM &amp; IM Mapping'!$C$2:$C$270,MATCH(TRIM(B341),'CLM &amp; IM Mapping'!$A$2:$A$270,0)),"Not Mapped"))</f>
        <v>Un Mapped</v>
      </c>
      <c r="E341" s="31" t="s">
        <v>34</v>
      </c>
      <c r="F341" s="31" t="s">
        <v>562</v>
      </c>
      <c r="G341" s="31" t="s">
        <v>23</v>
      </c>
      <c r="H341" s="17" t="n">
        <v>4675</v>
      </c>
      <c r="I341" s="32" t="n">
        <v>0.7</v>
      </c>
      <c r="J341" s="33" t="n">
        <v>0.5</v>
      </c>
      <c r="K341" s="34" t="n">
        <v>0.75</v>
      </c>
      <c r="L341" s="31" t="n">
        <v>0.94</v>
      </c>
      <c r="M341" s="31" t="n">
        <v>0.75</v>
      </c>
      <c r="N341" s="11" t="n">
        <v>9</v>
      </c>
      <c r="O341" s="12"/>
      <c r="P341" s="11"/>
      <c r="Q341" s="8"/>
      <c r="R341" s="8"/>
      <c r="S341" s="8"/>
      <c r="T341" s="8"/>
      <c r="U341" s="8"/>
      <c r="V341" s="8"/>
      <c r="W341" s="8"/>
      <c r="X341" s="8"/>
      <c r="Y341" s="8"/>
      <c r="Z341" s="8"/>
      <c r="AA341" s="8"/>
      <c r="AB341" s="8"/>
      <c r="AC341" s="8"/>
      <c r="AD341" s="8"/>
      <c r="AE341" s="8"/>
      <c r="AF341" s="8"/>
      <c r="AG341" s="8"/>
      <c r="AH341" s="8"/>
      <c r="AI341" s="8"/>
      <c r="AJ341" s="8"/>
      <c r="AK341" s="8"/>
      <c r="AL341" s="8"/>
      <c r="AM341" s="8"/>
    </row>
    <row r="342" customFormat="false" ht="15.75" hidden="false" customHeight="true" outlineLevel="0" collapsed="false">
      <c r="A342" s="30" t="n">
        <v>46304</v>
      </c>
      <c r="B342" s="31" t="s">
        <v>105</v>
      </c>
      <c r="C342" s="31" t="str">
        <f aca="false" t="array" ref="C342:C342">IF(B342="","",IFERROR(INDEX('CLM &amp; IM Mapping'!$B$2:$B$270,MATCH(TRIM(B342),'CLM &amp; IM Mapping'!$A$2:$A$270,0)),"Not Mapped"))</f>
        <v>Suhas N</v>
      </c>
      <c r="D342" s="31" t="str">
        <f aca="false" t="array" ref="D342:D342">IF(B342="","",IFERROR(INDEX('CLM &amp; IM Mapping'!$C$2:$C$270,MATCH(TRIM(B342),'CLM &amp; IM Mapping'!$A$2:$A$270,0)),"Not Mapped"))</f>
        <v>Aravind S</v>
      </c>
      <c r="E342" s="31" t="s">
        <v>34</v>
      </c>
      <c r="F342" s="31" t="s">
        <v>562</v>
      </c>
      <c r="G342" s="31" t="s">
        <v>23</v>
      </c>
      <c r="H342" s="17" t="n">
        <v>6444</v>
      </c>
      <c r="I342" s="32" t="n">
        <v>0.7</v>
      </c>
      <c r="J342" s="33" t="n">
        <v>0.5</v>
      </c>
      <c r="K342" s="34" t="n">
        <v>0.81</v>
      </c>
      <c r="L342" s="31" t="n">
        <v>0.96</v>
      </c>
      <c r="M342" s="31" t="n">
        <v>0.81</v>
      </c>
      <c r="N342" s="11" t="n">
        <v>4</v>
      </c>
      <c r="O342" s="12"/>
      <c r="P342" s="11"/>
      <c r="Q342" s="8"/>
      <c r="R342" s="8"/>
      <c r="S342" s="8"/>
      <c r="T342" s="8"/>
      <c r="U342" s="8"/>
      <c r="V342" s="8"/>
      <c r="W342" s="8"/>
      <c r="X342" s="8"/>
      <c r="Y342" s="8"/>
      <c r="Z342" s="8"/>
      <c r="AA342" s="8"/>
      <c r="AB342" s="8"/>
      <c r="AC342" s="8"/>
      <c r="AD342" s="8"/>
      <c r="AE342" s="8"/>
      <c r="AF342" s="8"/>
      <c r="AG342" s="8"/>
      <c r="AH342" s="8"/>
      <c r="AI342" s="8"/>
      <c r="AJ342" s="8"/>
      <c r="AK342" s="8"/>
      <c r="AL342" s="8"/>
      <c r="AM342" s="8"/>
    </row>
    <row r="343" customFormat="false" ht="15.75" hidden="false" customHeight="true" outlineLevel="0" collapsed="false">
      <c r="A343" s="30" t="n">
        <v>46304</v>
      </c>
      <c r="B343" s="31" t="s">
        <v>123</v>
      </c>
      <c r="C343" s="31" t="str">
        <f aca="false" t="array" ref="C343:C343">IF(B343="","",IFERROR(INDEX('CLM &amp; IM Mapping'!$B$2:$B$270,MATCH(TRIM(B343),'CLM &amp; IM Mapping'!$A$2:$A$270,0)),"Not Mapped"))</f>
        <v>Silambarasan E</v>
      </c>
      <c r="D343" s="31" t="str">
        <f aca="false" t="array" ref="D343:D343">IF(B343="","",IFERROR(INDEX('CLM &amp; IM Mapping'!$C$2:$C$270,MATCH(TRIM(B343),'CLM &amp; IM Mapping'!$A$2:$A$270,0)),"Not Mapped"))</f>
        <v>Arivind S</v>
      </c>
      <c r="E343" s="31" t="s">
        <v>34</v>
      </c>
      <c r="F343" s="31" t="s">
        <v>562</v>
      </c>
      <c r="G343" s="31" t="s">
        <v>23</v>
      </c>
      <c r="H343" s="17" t="n">
        <v>6034</v>
      </c>
      <c r="I343" s="32" t="n">
        <v>0.7</v>
      </c>
      <c r="J343" s="33" t="n">
        <v>0.51</v>
      </c>
      <c r="K343" s="34" t="n">
        <v>0.84</v>
      </c>
      <c r="L343" s="31" t="n">
        <v>0.94</v>
      </c>
      <c r="M343" s="31" t="n">
        <v>0.84</v>
      </c>
      <c r="N343" s="11" t="n">
        <v>6</v>
      </c>
      <c r="O343" s="12" t="s">
        <v>625</v>
      </c>
      <c r="P343" s="12" t="s">
        <v>603</v>
      </c>
      <c r="Q343" s="8"/>
      <c r="R343" s="8"/>
      <c r="S343" s="8"/>
      <c r="T343" s="8"/>
      <c r="U343" s="8"/>
      <c r="V343" s="8"/>
      <c r="W343" s="8"/>
      <c r="X343" s="8"/>
      <c r="Y343" s="8"/>
      <c r="Z343" s="8"/>
      <c r="AA343" s="8"/>
      <c r="AB343" s="8"/>
      <c r="AC343" s="8"/>
      <c r="AD343" s="8"/>
      <c r="AE343" s="8"/>
      <c r="AF343" s="8"/>
      <c r="AG343" s="8"/>
      <c r="AH343" s="8"/>
      <c r="AI343" s="8"/>
      <c r="AJ343" s="8"/>
      <c r="AK343" s="8"/>
      <c r="AL343" s="8"/>
      <c r="AM343" s="8"/>
    </row>
    <row r="344" customFormat="false" ht="15.75" hidden="false" customHeight="true" outlineLevel="0" collapsed="false">
      <c r="A344" s="30" t="n">
        <v>46304</v>
      </c>
      <c r="B344" s="31" t="s">
        <v>304</v>
      </c>
      <c r="C344" s="31" t="str">
        <f aca="false" t="array" ref="C344:C344">IF(B344="","",IFERROR(INDEX('CLM &amp; IM Mapping'!$B$2:$B$270,MATCH(TRIM(B344),'CLM &amp; IM Mapping'!$A$2:$A$270,0)),"Not Mapped"))</f>
        <v>John Britto</v>
      </c>
      <c r="D344" s="31" t="str">
        <f aca="false" t="array" ref="D344:D344">IF(B344="","",IFERROR(INDEX('CLM &amp; IM Mapping'!$C$2:$C$270,MATCH(TRIM(B344),'CLM &amp; IM Mapping'!$A$2:$A$270,0)),"Not Mapped"))</f>
        <v>Aravind S</v>
      </c>
      <c r="E344" s="31" t="s">
        <v>34</v>
      </c>
      <c r="F344" s="31" t="s">
        <v>562</v>
      </c>
      <c r="G344" s="31" t="s">
        <v>303</v>
      </c>
      <c r="H344" s="17" t="n">
        <v>5441</v>
      </c>
      <c r="I344" s="32" t="n">
        <v>0.7</v>
      </c>
      <c r="J344" s="33" t="n">
        <v>0.52</v>
      </c>
      <c r="K344" s="34" t="n">
        <v>0.84</v>
      </c>
      <c r="L344" s="31" t="n">
        <v>0.96</v>
      </c>
      <c r="M344" s="31" t="n">
        <v>0.84</v>
      </c>
      <c r="N344" s="11" t="n">
        <v>2</v>
      </c>
      <c r="O344" s="12"/>
      <c r="P344" s="11"/>
      <c r="Q344" s="8"/>
      <c r="R344" s="8"/>
      <c r="S344" s="8"/>
      <c r="T344" s="8"/>
      <c r="U344" s="8"/>
      <c r="V344" s="8"/>
      <c r="W344" s="8"/>
      <c r="X344" s="8"/>
      <c r="Y344" s="8"/>
      <c r="Z344" s="8"/>
      <c r="AA344" s="8"/>
      <c r="AB344" s="8"/>
      <c r="AC344" s="8"/>
      <c r="AD344" s="8"/>
      <c r="AE344" s="8"/>
      <c r="AF344" s="8"/>
      <c r="AG344" s="8"/>
      <c r="AH344" s="8"/>
      <c r="AI344" s="8"/>
      <c r="AJ344" s="8"/>
      <c r="AK344" s="8"/>
      <c r="AL344" s="8"/>
      <c r="AM344" s="8"/>
    </row>
    <row r="345" customFormat="false" ht="15.75" hidden="false" customHeight="true" outlineLevel="0" collapsed="false">
      <c r="A345" s="30" t="n">
        <v>46304</v>
      </c>
      <c r="B345" s="31" t="s">
        <v>478</v>
      </c>
      <c r="C345" s="31" t="str">
        <f aca="false" t="array" ref="C345:C345">IF(B345="","",IFERROR(INDEX('CLM &amp; IM Mapping'!$B$2:$B$270,MATCH(TRIM(B345),'CLM &amp; IM Mapping'!$A$2:$A$270,0)),"Not Mapped"))</f>
        <v>Vishnu V</v>
      </c>
      <c r="D345" s="31" t="str">
        <f aca="false" t="array" ref="D345:D345">IF(B345="","",IFERROR(INDEX('CLM &amp; IM Mapping'!$C$2:$C$270,MATCH(TRIM(B345),'CLM &amp; IM Mapping'!$A$2:$A$270,0)),"Not Mapped"))</f>
        <v>Arivind S</v>
      </c>
      <c r="E345" s="31" t="s">
        <v>34</v>
      </c>
      <c r="F345" s="31" t="s">
        <v>562</v>
      </c>
      <c r="G345" s="31" t="s">
        <v>221</v>
      </c>
      <c r="H345" s="17" t="n">
        <v>7790</v>
      </c>
      <c r="I345" s="32" t="n">
        <v>0.7</v>
      </c>
      <c r="J345" s="33" t="n">
        <v>0.52</v>
      </c>
      <c r="K345" s="34" t="n">
        <v>0.88</v>
      </c>
      <c r="L345" s="31" t="n">
        <v>0.97</v>
      </c>
      <c r="M345" s="31" t="n">
        <v>0.88</v>
      </c>
      <c r="N345" s="11" t="n">
        <v>3</v>
      </c>
      <c r="O345" s="12"/>
      <c r="P345" s="11"/>
      <c r="Q345" s="8"/>
      <c r="R345" s="8"/>
      <c r="S345" s="8"/>
      <c r="T345" s="8"/>
      <c r="U345" s="8"/>
      <c r="V345" s="8"/>
      <c r="W345" s="8"/>
      <c r="X345" s="8"/>
      <c r="Y345" s="8"/>
      <c r="Z345" s="8"/>
      <c r="AA345" s="8"/>
      <c r="AB345" s="8"/>
      <c r="AC345" s="8"/>
      <c r="AD345" s="8"/>
      <c r="AE345" s="8"/>
      <c r="AF345" s="8"/>
      <c r="AG345" s="8"/>
      <c r="AH345" s="8"/>
      <c r="AI345" s="8"/>
      <c r="AJ345" s="8"/>
      <c r="AK345" s="8"/>
      <c r="AL345" s="8"/>
      <c r="AM345" s="8"/>
    </row>
    <row r="346" customFormat="false" ht="15.75" hidden="false" customHeight="true" outlineLevel="0" collapsed="false">
      <c r="A346" s="30" t="n">
        <v>46304</v>
      </c>
      <c r="B346" s="31" t="s">
        <v>433</v>
      </c>
      <c r="C346" s="31" t="str">
        <f aca="false" t="array" ref="C346:C346">IF(B346="","",IFERROR(INDEX('CLM &amp; IM Mapping'!$B$2:$B$270,MATCH(TRIM(B346),'CLM &amp; IM Mapping'!$A$2:$A$270,0)),"Not Mapped"))</f>
        <v>Silambarasan E</v>
      </c>
      <c r="D346" s="31" t="str">
        <f aca="false" t="array" ref="D346:D346">IF(B346="","",IFERROR(INDEX('CLM &amp; IM Mapping'!$C$2:$C$270,MATCH(TRIM(B346),'CLM &amp; IM Mapping'!$A$2:$A$270,0)),"Not Mapped"))</f>
        <v>Arivind S</v>
      </c>
      <c r="E346" s="31" t="s">
        <v>34</v>
      </c>
      <c r="F346" s="31" t="s">
        <v>562</v>
      </c>
      <c r="G346" s="31" t="s">
        <v>23</v>
      </c>
      <c r="H346" s="17" t="n">
        <v>6145</v>
      </c>
      <c r="I346" s="32" t="n">
        <v>0.7</v>
      </c>
      <c r="J346" s="33" t="n">
        <v>0.52</v>
      </c>
      <c r="K346" s="34" t="n">
        <v>0.85</v>
      </c>
      <c r="L346" s="31" t="n">
        <v>0.96</v>
      </c>
      <c r="M346" s="31" t="n">
        <v>0.85</v>
      </c>
      <c r="N346" s="11" t="n">
        <v>3</v>
      </c>
      <c r="O346" s="12"/>
      <c r="P346" s="11"/>
      <c r="Q346" s="8"/>
      <c r="R346" s="8"/>
      <c r="S346" s="8"/>
      <c r="T346" s="8"/>
      <c r="U346" s="8"/>
      <c r="V346" s="8"/>
      <c r="W346" s="8"/>
      <c r="X346" s="8"/>
      <c r="Y346" s="8"/>
      <c r="Z346" s="8"/>
      <c r="AA346" s="8"/>
      <c r="AB346" s="8"/>
      <c r="AC346" s="8"/>
      <c r="AD346" s="8"/>
      <c r="AE346" s="8"/>
      <c r="AF346" s="8"/>
      <c r="AG346" s="8"/>
      <c r="AH346" s="8"/>
      <c r="AI346" s="8"/>
      <c r="AJ346" s="8"/>
      <c r="AK346" s="8"/>
      <c r="AL346" s="8"/>
      <c r="AM346" s="8"/>
    </row>
    <row r="347" customFormat="false" ht="15.75" hidden="false" customHeight="true" outlineLevel="0" collapsed="false">
      <c r="A347" s="30" t="n">
        <v>46304</v>
      </c>
      <c r="B347" s="31" t="s">
        <v>491</v>
      </c>
      <c r="C347" s="31" t="str">
        <f aca="false" t="array" ref="C347:C347">IF(B347="","",IFERROR(INDEX('CLM &amp; IM Mapping'!$B$2:$B$270,MATCH(TRIM(B347),'CLM &amp; IM Mapping'!$A$2:$A$270,0)),"Not Mapped"))</f>
        <v>Manjunatha V</v>
      </c>
      <c r="D347" s="31" t="str">
        <f aca="false" t="array" ref="D347:D347">IF(B347="","",IFERROR(INDEX('CLM &amp; IM Mapping'!$C$2:$C$270,MATCH(TRIM(B347),'CLM &amp; IM Mapping'!$A$2:$A$270,0)),"Not Mapped"))</f>
        <v>Un Mapped</v>
      </c>
      <c r="E347" s="31" t="s">
        <v>34</v>
      </c>
      <c r="F347" s="31" t="s">
        <v>565</v>
      </c>
      <c r="G347" s="31" t="s">
        <v>23</v>
      </c>
      <c r="H347" s="17" t="n">
        <v>5022</v>
      </c>
      <c r="I347" s="32" t="n">
        <v>0.7</v>
      </c>
      <c r="J347" s="33" t="n">
        <v>0.52</v>
      </c>
      <c r="K347" s="34" t="n">
        <v>0.78</v>
      </c>
      <c r="L347" s="31" t="n">
        <v>0.92</v>
      </c>
      <c r="M347" s="31" t="n">
        <v>0.78</v>
      </c>
      <c r="N347" s="11" t="n">
        <v>4</v>
      </c>
      <c r="O347" s="12"/>
      <c r="P347" s="11"/>
      <c r="Q347" s="8"/>
      <c r="R347" s="8"/>
      <c r="S347" s="8"/>
      <c r="T347" s="8"/>
      <c r="U347" s="8"/>
      <c r="V347" s="8"/>
      <c r="W347" s="8"/>
      <c r="X347" s="8"/>
      <c r="Y347" s="8"/>
      <c r="Z347" s="8"/>
      <c r="AA347" s="8"/>
      <c r="AB347" s="8"/>
      <c r="AC347" s="8"/>
      <c r="AD347" s="8"/>
      <c r="AE347" s="8"/>
      <c r="AF347" s="8"/>
      <c r="AG347" s="8"/>
      <c r="AH347" s="8"/>
      <c r="AI347" s="8"/>
      <c r="AJ347" s="8"/>
      <c r="AK347" s="8"/>
      <c r="AL347" s="8"/>
      <c r="AM347" s="8"/>
    </row>
    <row r="348" customFormat="false" ht="15.75" hidden="false" customHeight="true" outlineLevel="0" collapsed="false">
      <c r="A348" s="30" t="n">
        <v>46304</v>
      </c>
      <c r="B348" s="31" t="s">
        <v>92</v>
      </c>
      <c r="C348" s="31" t="str">
        <f aca="false" t="array" ref="C348:C348">IF(B348="","",IFERROR(INDEX('CLM &amp; IM Mapping'!$B$2:$B$270,MATCH(TRIM(B348),'CLM &amp; IM Mapping'!$A$2:$A$270,0)),"Not Mapped"))</f>
        <v>Balaji G</v>
      </c>
      <c r="D348" s="31" t="str">
        <f aca="false" t="array" ref="D348:D348">IF(B348="","",IFERROR(INDEX('CLM &amp; IM Mapping'!$C$2:$C$270,MATCH(TRIM(B348),'CLM &amp; IM Mapping'!$A$2:$A$270,0)),"Not Mapped"))</f>
        <v>Mohammed Akbar</v>
      </c>
      <c r="E348" s="31" t="s">
        <v>34</v>
      </c>
      <c r="F348" s="31" t="s">
        <v>562</v>
      </c>
      <c r="G348" s="31" t="s">
        <v>23</v>
      </c>
      <c r="H348" s="17" t="n">
        <v>5336</v>
      </c>
      <c r="I348" s="32" t="n">
        <v>0.7</v>
      </c>
      <c r="J348" s="33" t="n">
        <v>0.53</v>
      </c>
      <c r="K348" s="34" t="n">
        <v>0.77</v>
      </c>
      <c r="L348" s="31" t="n">
        <v>0.95</v>
      </c>
      <c r="M348" s="31" t="n">
        <v>0.77</v>
      </c>
      <c r="N348" s="11" t="n">
        <v>5</v>
      </c>
      <c r="O348" s="12"/>
      <c r="P348" s="11"/>
      <c r="Q348" s="8"/>
      <c r="R348" s="8"/>
      <c r="S348" s="8"/>
      <c r="T348" s="8"/>
      <c r="U348" s="8"/>
      <c r="V348" s="8"/>
      <c r="W348" s="8"/>
      <c r="X348" s="8"/>
      <c r="Y348" s="8"/>
      <c r="Z348" s="8"/>
      <c r="AA348" s="8"/>
      <c r="AB348" s="8"/>
      <c r="AC348" s="8"/>
      <c r="AD348" s="8"/>
      <c r="AE348" s="8"/>
      <c r="AF348" s="8"/>
      <c r="AG348" s="8"/>
      <c r="AH348" s="8"/>
      <c r="AI348" s="8"/>
      <c r="AJ348" s="8"/>
      <c r="AK348" s="8"/>
      <c r="AL348" s="8"/>
      <c r="AM348" s="8"/>
    </row>
    <row r="349" customFormat="false" ht="15.75" hidden="false" customHeight="true" outlineLevel="0" collapsed="false">
      <c r="A349" s="30" t="n">
        <v>46304</v>
      </c>
      <c r="B349" s="31" t="s">
        <v>73</v>
      </c>
      <c r="C349" s="31" t="str">
        <f aca="false" t="array" ref="C349:C349">IF(B349="","",IFERROR(INDEX('CLM &amp; IM Mapping'!$B$2:$B$270,MATCH(TRIM(B349),'CLM &amp; IM Mapping'!$A$2:$A$270,0)),"Not Mapped"))</f>
        <v>Narasimhamurthy R</v>
      </c>
      <c r="D349" s="31" t="str">
        <f aca="false" t="array" ref="D349:D349">IF(B349="","",IFERROR(INDEX('CLM &amp; IM Mapping'!$C$2:$C$270,MATCH(TRIM(B349),'CLM &amp; IM Mapping'!$A$2:$A$270,0)),"Not Mapped"))</f>
        <v>Kishor K</v>
      </c>
      <c r="E349" s="31" t="s">
        <v>34</v>
      </c>
      <c r="F349" s="31" t="s">
        <v>562</v>
      </c>
      <c r="G349" s="31" t="s">
        <v>23</v>
      </c>
      <c r="H349" s="17" t="n">
        <v>6939</v>
      </c>
      <c r="I349" s="32" t="n">
        <v>0.7</v>
      </c>
      <c r="J349" s="33" t="n">
        <v>0.54</v>
      </c>
      <c r="K349" s="34" t="n">
        <v>0.79</v>
      </c>
      <c r="L349" s="31" t="n">
        <v>0.94</v>
      </c>
      <c r="M349" s="31" t="n">
        <v>0.79</v>
      </c>
      <c r="N349" s="11" t="n">
        <v>4</v>
      </c>
      <c r="O349" s="12" t="s">
        <v>631</v>
      </c>
      <c r="P349" s="12" t="s">
        <v>605</v>
      </c>
      <c r="Q349" s="8"/>
      <c r="R349" s="8"/>
      <c r="S349" s="8"/>
      <c r="T349" s="8"/>
      <c r="U349" s="8"/>
      <c r="V349" s="8"/>
      <c r="W349" s="8"/>
      <c r="X349" s="8"/>
      <c r="Y349" s="8"/>
      <c r="Z349" s="8"/>
      <c r="AA349" s="8"/>
      <c r="AB349" s="8"/>
      <c r="AC349" s="8"/>
      <c r="AD349" s="8"/>
      <c r="AE349" s="8"/>
      <c r="AF349" s="8"/>
      <c r="AG349" s="8"/>
      <c r="AH349" s="8"/>
      <c r="AI349" s="8"/>
      <c r="AJ349" s="8"/>
      <c r="AK349" s="8"/>
      <c r="AL349" s="8"/>
      <c r="AM349" s="8"/>
    </row>
    <row r="350" customFormat="false" ht="15.75" hidden="false" customHeight="true" outlineLevel="0" collapsed="false">
      <c r="A350" s="30" t="n">
        <v>46304</v>
      </c>
      <c r="B350" s="31" t="s">
        <v>114</v>
      </c>
      <c r="C350" s="31" t="str">
        <f aca="false" t="array" ref="C350:C350">IF(B350="","",IFERROR(INDEX('CLM &amp; IM Mapping'!$B$2:$B$270,MATCH(TRIM(B350),'CLM &amp; IM Mapping'!$A$2:$A$270,0)),"Not Mapped"))</f>
        <v>Adhavan Subramani</v>
      </c>
      <c r="D350" s="31" t="str">
        <f aca="false" t="array" ref="D350:D350">IF(B350="","",IFERROR(INDEX('CLM &amp; IM Mapping'!$C$2:$C$270,MATCH(TRIM(B350),'CLM &amp; IM Mapping'!$A$2:$A$270,0)),"Not Mapped"))</f>
        <v>Mohammed Akbar</v>
      </c>
      <c r="E350" s="31" t="s">
        <v>34</v>
      </c>
      <c r="F350" s="31" t="s">
        <v>562</v>
      </c>
      <c r="G350" s="31" t="s">
        <v>23</v>
      </c>
      <c r="H350" s="17" t="n">
        <v>5657</v>
      </c>
      <c r="I350" s="32" t="n">
        <v>0.7</v>
      </c>
      <c r="J350" s="33" t="n">
        <v>0.54</v>
      </c>
      <c r="K350" s="34" t="n">
        <v>0.71</v>
      </c>
      <c r="L350" s="31" t="n">
        <v>0.92</v>
      </c>
      <c r="M350" s="31" t="n">
        <v>0.71</v>
      </c>
      <c r="N350" s="11" t="n">
        <v>4</v>
      </c>
      <c r="O350" s="12"/>
      <c r="P350" s="11"/>
      <c r="Q350" s="8"/>
      <c r="R350" s="8"/>
      <c r="S350" s="8"/>
      <c r="T350" s="8"/>
      <c r="U350" s="8"/>
      <c r="V350" s="8"/>
      <c r="W350" s="8"/>
      <c r="X350" s="8"/>
      <c r="Y350" s="8"/>
      <c r="Z350" s="8"/>
      <c r="AA350" s="8"/>
      <c r="AB350" s="8"/>
      <c r="AC350" s="8"/>
      <c r="AD350" s="8"/>
      <c r="AE350" s="8"/>
      <c r="AF350" s="8"/>
      <c r="AG350" s="8"/>
      <c r="AH350" s="8"/>
      <c r="AI350" s="8"/>
      <c r="AJ350" s="8"/>
      <c r="AK350" s="8"/>
      <c r="AL350" s="8"/>
      <c r="AM350" s="8"/>
    </row>
    <row r="351" customFormat="false" ht="15.75" hidden="false" customHeight="true" outlineLevel="0" collapsed="false">
      <c r="A351" s="30" t="n">
        <v>46304</v>
      </c>
      <c r="B351" s="31" t="s">
        <v>203</v>
      </c>
      <c r="C351" s="31" t="str">
        <f aca="false" t="array" ref="C351:C351">IF(B351="","",IFERROR(INDEX('CLM &amp; IM Mapping'!$B$2:$B$270,MATCH(TRIM(B351),'CLM &amp; IM Mapping'!$A$2:$A$270,0)),"Not Mapped"))</f>
        <v>Suhas N</v>
      </c>
      <c r="D351" s="31" t="str">
        <f aca="false" t="array" ref="D351:D351">IF(B351="","",IFERROR(INDEX('CLM &amp; IM Mapping'!$C$2:$C$270,MATCH(TRIM(B351),'CLM &amp; IM Mapping'!$A$2:$A$270,0)),"Not Mapped"))</f>
        <v>Aravind S</v>
      </c>
      <c r="E351" s="31" t="s">
        <v>34</v>
      </c>
      <c r="F351" s="31" t="s">
        <v>565</v>
      </c>
      <c r="G351" s="31" t="s">
        <v>23</v>
      </c>
      <c r="H351" s="17" t="n">
        <v>4848</v>
      </c>
      <c r="I351" s="32" t="n">
        <v>0.7</v>
      </c>
      <c r="J351" s="33" t="n">
        <v>0.54</v>
      </c>
      <c r="K351" s="34" t="n">
        <v>0.86</v>
      </c>
      <c r="L351" s="31" t="n">
        <v>0.95</v>
      </c>
      <c r="M351" s="31" t="n">
        <v>0.86</v>
      </c>
      <c r="N351" s="11" t="n">
        <v>3</v>
      </c>
      <c r="O351" s="12"/>
      <c r="P351" s="11"/>
      <c r="Q351" s="8"/>
      <c r="R351" s="8"/>
      <c r="S351" s="8"/>
      <c r="T351" s="8"/>
      <c r="U351" s="8"/>
      <c r="V351" s="8"/>
      <c r="W351" s="8"/>
      <c r="X351" s="8"/>
      <c r="Y351" s="8"/>
      <c r="Z351" s="8"/>
      <c r="AA351" s="8"/>
      <c r="AB351" s="8"/>
      <c r="AC351" s="8"/>
      <c r="AD351" s="8"/>
      <c r="AE351" s="8"/>
      <c r="AF351" s="8"/>
      <c r="AG351" s="8"/>
      <c r="AH351" s="8"/>
      <c r="AI351" s="8"/>
      <c r="AJ351" s="8"/>
      <c r="AK351" s="8"/>
      <c r="AL351" s="8"/>
      <c r="AM351" s="8"/>
    </row>
    <row r="352" customFormat="false" ht="15.75" hidden="false" customHeight="true" outlineLevel="0" collapsed="false">
      <c r="A352" s="30" t="n">
        <v>46304</v>
      </c>
      <c r="B352" s="31" t="s">
        <v>518</v>
      </c>
      <c r="C352" s="31" t="str">
        <f aca="false" t="array" ref="C352:C352">IF(B352="","",IFERROR(INDEX('CLM &amp; IM Mapping'!$B$2:$B$270,MATCH(TRIM(B352),'CLM &amp; IM Mapping'!$A$2:$A$270,0)),"Not Mapped"))</f>
        <v>Basil Scariya</v>
      </c>
      <c r="D352" s="31" t="str">
        <f aca="false" t="array" ref="D352:D352">IF(B352="","",IFERROR(INDEX('CLM &amp; IM Mapping'!$C$2:$C$270,MATCH(TRIM(B352),'CLM &amp; IM Mapping'!$A$2:$A$270,0)),"Not Mapped"))</f>
        <v>Prakash BS</v>
      </c>
      <c r="E352" s="31" t="s">
        <v>34</v>
      </c>
      <c r="F352" s="31" t="s">
        <v>562</v>
      </c>
      <c r="G352" s="31" t="s">
        <v>23</v>
      </c>
      <c r="H352" s="17" t="n">
        <v>5311</v>
      </c>
      <c r="I352" s="32" t="n">
        <v>0.7</v>
      </c>
      <c r="J352" s="33" t="n">
        <v>0.55</v>
      </c>
      <c r="K352" s="34" t="n">
        <v>0.85</v>
      </c>
      <c r="L352" s="31" t="n">
        <v>0.96</v>
      </c>
      <c r="M352" s="31" t="n">
        <v>0.85</v>
      </c>
      <c r="N352" s="11" t="n">
        <v>3</v>
      </c>
      <c r="O352" s="12" t="s">
        <v>628</v>
      </c>
      <c r="P352" s="37" t="n">
        <v>46366</v>
      </c>
      <c r="Q352" s="8"/>
      <c r="R352" s="8"/>
      <c r="S352" s="8"/>
      <c r="T352" s="8"/>
      <c r="U352" s="8"/>
      <c r="V352" s="8"/>
      <c r="W352" s="8"/>
      <c r="X352" s="8"/>
      <c r="Y352" s="8"/>
      <c r="Z352" s="8"/>
      <c r="AA352" s="8"/>
      <c r="AB352" s="8"/>
      <c r="AC352" s="8"/>
      <c r="AD352" s="8"/>
      <c r="AE352" s="8"/>
      <c r="AF352" s="8"/>
      <c r="AG352" s="8"/>
      <c r="AH352" s="8"/>
      <c r="AI352" s="8"/>
      <c r="AJ352" s="8"/>
      <c r="AK352" s="8"/>
      <c r="AL352" s="8"/>
      <c r="AM352" s="8"/>
    </row>
    <row r="353" customFormat="false" ht="15.75" hidden="false" customHeight="true" outlineLevel="0" collapsed="false">
      <c r="A353" s="30" t="n">
        <v>46304</v>
      </c>
      <c r="B353" s="31" t="s">
        <v>205</v>
      </c>
      <c r="C353" s="31" t="str">
        <f aca="false" t="array" ref="C353:C353">IF(B353="","",IFERROR(INDEX('CLM &amp; IM Mapping'!$B$2:$B$270,MATCH(TRIM(B353),'CLM &amp; IM Mapping'!$A$2:$A$270,0)),"Not Mapped"))</f>
        <v>Akshay P</v>
      </c>
      <c r="D353" s="31" t="str">
        <f aca="false" t="array" ref="D353:D353">IF(B353="","",IFERROR(INDEX('CLM &amp; IM Mapping'!$C$2:$C$270,MATCH(TRIM(B353),'CLM &amp; IM Mapping'!$A$2:$A$270,0)),"Not Mapped"))</f>
        <v>Srittam Dhal</v>
      </c>
      <c r="E353" s="31" t="s">
        <v>34</v>
      </c>
      <c r="F353" s="31" t="s">
        <v>565</v>
      </c>
      <c r="G353" s="31" t="s">
        <v>23</v>
      </c>
      <c r="H353" s="17" t="n">
        <v>6639</v>
      </c>
      <c r="I353" s="32" t="n">
        <v>0.7</v>
      </c>
      <c r="J353" s="33" t="n">
        <v>0.55</v>
      </c>
      <c r="K353" s="34" t="n">
        <v>0.89</v>
      </c>
      <c r="L353" s="31" t="n">
        <v>0.97</v>
      </c>
      <c r="M353" s="31" t="n">
        <v>0.89</v>
      </c>
      <c r="N353" s="11" t="n">
        <v>5</v>
      </c>
      <c r="O353" s="12" t="s">
        <v>658</v>
      </c>
      <c r="P353" s="11" t="s">
        <v>603</v>
      </c>
      <c r="Q353" s="8"/>
      <c r="R353" s="8"/>
      <c r="S353" s="8"/>
      <c r="T353" s="8"/>
      <c r="U353" s="8"/>
      <c r="V353" s="8"/>
      <c r="W353" s="8"/>
      <c r="X353" s="8"/>
      <c r="Y353" s="8"/>
      <c r="Z353" s="8"/>
      <c r="AA353" s="8"/>
      <c r="AB353" s="8"/>
      <c r="AC353" s="8"/>
      <c r="AD353" s="8"/>
      <c r="AE353" s="8"/>
      <c r="AF353" s="8"/>
      <c r="AG353" s="8"/>
      <c r="AH353" s="8"/>
      <c r="AI353" s="8"/>
      <c r="AJ353" s="8"/>
      <c r="AK353" s="8"/>
      <c r="AL353" s="8"/>
      <c r="AM353" s="8"/>
    </row>
    <row r="354" customFormat="false" ht="15.75" hidden="false" customHeight="true" outlineLevel="0" collapsed="false">
      <c r="A354" s="30" t="n">
        <v>46304</v>
      </c>
      <c r="B354" s="31" t="s">
        <v>362</v>
      </c>
      <c r="C354" s="31" t="str">
        <f aca="false" t="array" ref="C354:C354">IF(B354="","",IFERROR(INDEX('CLM &amp; IM Mapping'!$B$2:$B$270,MATCH(TRIM(B354),'CLM &amp; IM Mapping'!$A$2:$A$270,0)),"Not Mapped"))</f>
        <v>Ashwath S</v>
      </c>
      <c r="D354" s="31" t="str">
        <f aca="false" t="array" ref="D354:D354">IF(B354="","",IFERROR(INDEX('CLM &amp; IM Mapping'!$C$2:$C$270,MATCH(TRIM(B354),'CLM &amp; IM Mapping'!$A$2:$A$270,0)),"Not Mapped"))</f>
        <v>Kantha Kumar</v>
      </c>
      <c r="E354" s="31" t="s">
        <v>34</v>
      </c>
      <c r="F354" s="31" t="s">
        <v>562</v>
      </c>
      <c r="G354" s="31" t="s">
        <v>23</v>
      </c>
      <c r="H354" s="17" t="n">
        <v>5883</v>
      </c>
      <c r="I354" s="32" t="n">
        <v>0.7</v>
      </c>
      <c r="J354" s="33" t="n">
        <v>0.55</v>
      </c>
      <c r="K354" s="34" t="n">
        <v>0.88</v>
      </c>
      <c r="L354" s="31" t="n">
        <v>0.95</v>
      </c>
      <c r="M354" s="31" t="n">
        <v>0.88</v>
      </c>
      <c r="N354" s="11" t="n">
        <v>2</v>
      </c>
      <c r="O354" s="12"/>
      <c r="P354" s="11"/>
      <c r="Q354" s="8"/>
      <c r="R354" s="8"/>
      <c r="S354" s="8"/>
      <c r="T354" s="8"/>
      <c r="U354" s="8"/>
      <c r="V354" s="8"/>
      <c r="W354" s="8"/>
      <c r="X354" s="8"/>
      <c r="Y354" s="8"/>
      <c r="Z354" s="8"/>
      <c r="AA354" s="8"/>
      <c r="AB354" s="8"/>
      <c r="AC354" s="8"/>
      <c r="AD354" s="8"/>
      <c r="AE354" s="8"/>
      <c r="AF354" s="8"/>
      <c r="AG354" s="8"/>
      <c r="AH354" s="8"/>
      <c r="AI354" s="8"/>
      <c r="AJ354" s="8"/>
      <c r="AK354" s="8"/>
      <c r="AL354" s="8"/>
      <c r="AM354" s="8"/>
    </row>
    <row r="355" customFormat="false" ht="15.75" hidden="false" customHeight="true" outlineLevel="0" collapsed="false">
      <c r="A355" s="30" t="n">
        <v>46304</v>
      </c>
      <c r="B355" s="31" t="s">
        <v>94</v>
      </c>
      <c r="C355" s="31" t="str">
        <f aca="false" t="array" ref="C355:C355">IF(B355="","",IFERROR(INDEX('CLM &amp; IM Mapping'!$B$2:$B$270,MATCH(TRIM(B355),'CLM &amp; IM Mapping'!$A$2:$A$270,0)),"Not Mapped"))</f>
        <v>Ashwath S</v>
      </c>
      <c r="D355" s="31" t="str">
        <f aca="false" t="array" ref="D355:D355">IF(B355="","",IFERROR(INDEX('CLM &amp; IM Mapping'!$C$2:$C$270,MATCH(TRIM(B355),'CLM &amp; IM Mapping'!$A$2:$A$270,0)),"Not Mapped"))</f>
        <v>Kantha Kumar</v>
      </c>
      <c r="E355" s="31" t="s">
        <v>34</v>
      </c>
      <c r="F355" s="31" t="s">
        <v>562</v>
      </c>
      <c r="G355" s="31" t="s">
        <v>23</v>
      </c>
      <c r="H355" s="17" t="n">
        <v>5334</v>
      </c>
      <c r="I355" s="32" t="n">
        <v>0.7</v>
      </c>
      <c r="J355" s="33" t="n">
        <v>0.55</v>
      </c>
      <c r="K355" s="34" t="n">
        <v>0.85</v>
      </c>
      <c r="L355" s="31" t="n">
        <v>0.96</v>
      </c>
      <c r="M355" s="31" t="n">
        <v>0.85</v>
      </c>
      <c r="N355" s="11" t="n">
        <v>4</v>
      </c>
      <c r="O355" s="12"/>
      <c r="P355" s="11"/>
      <c r="Q355" s="8"/>
      <c r="R355" s="8"/>
      <c r="S355" s="8"/>
      <c r="T355" s="8"/>
      <c r="U355" s="8"/>
      <c r="V355" s="8"/>
      <c r="W355" s="8"/>
      <c r="X355" s="8"/>
      <c r="Y355" s="8"/>
      <c r="Z355" s="8"/>
      <c r="AA355" s="8"/>
      <c r="AB355" s="8"/>
      <c r="AC355" s="8"/>
      <c r="AD355" s="8"/>
      <c r="AE355" s="8"/>
      <c r="AF355" s="8"/>
      <c r="AG355" s="8"/>
      <c r="AH355" s="8"/>
      <c r="AI355" s="8"/>
      <c r="AJ355" s="8"/>
      <c r="AK355" s="8"/>
      <c r="AL355" s="8"/>
      <c r="AM355" s="8"/>
    </row>
    <row r="356" customFormat="false" ht="15.75" hidden="false" customHeight="true" outlineLevel="0" collapsed="false">
      <c r="A356" s="30" t="n">
        <v>46304</v>
      </c>
      <c r="B356" s="31" t="s">
        <v>150</v>
      </c>
      <c r="C356" s="31" t="str">
        <f aca="false" t="array" ref="C356:C356">IF(B356="","",IFERROR(INDEX('CLM &amp; IM Mapping'!$B$2:$B$270,MATCH(TRIM(B356),'CLM &amp; IM Mapping'!$A$2:$A$270,0)),"Not Mapped"))</f>
        <v>Akshay P</v>
      </c>
      <c r="D356" s="31" t="str">
        <f aca="false" t="array" ref="D356:D356">IF(B356="","",IFERROR(INDEX('CLM &amp; IM Mapping'!$C$2:$C$270,MATCH(TRIM(B356),'CLM &amp; IM Mapping'!$A$2:$A$270,0)),"Not Mapped"))</f>
        <v>Srittam Dhal</v>
      </c>
      <c r="E356" s="31" t="s">
        <v>34</v>
      </c>
      <c r="F356" s="31" t="s">
        <v>562</v>
      </c>
      <c r="G356" s="31" t="s">
        <v>23</v>
      </c>
      <c r="H356" s="17" t="n">
        <v>6948</v>
      </c>
      <c r="I356" s="32" t="n">
        <v>0.7</v>
      </c>
      <c r="J356" s="33" t="n">
        <v>0.55</v>
      </c>
      <c r="K356" s="34" t="n">
        <v>0.89</v>
      </c>
      <c r="L356" s="31" t="n">
        <v>0.96</v>
      </c>
      <c r="M356" s="31" t="n">
        <v>0.89</v>
      </c>
      <c r="N356" s="11" t="n">
        <v>5</v>
      </c>
      <c r="O356" s="12" t="s">
        <v>659</v>
      </c>
      <c r="P356" s="11" t="s">
        <v>603</v>
      </c>
      <c r="Q356" s="8"/>
      <c r="R356" s="8"/>
      <c r="S356" s="8"/>
      <c r="T356" s="8"/>
      <c r="U356" s="8"/>
      <c r="V356" s="8"/>
      <c r="W356" s="8"/>
      <c r="X356" s="8"/>
      <c r="Y356" s="8"/>
      <c r="Z356" s="8"/>
      <c r="AA356" s="8"/>
      <c r="AB356" s="8"/>
      <c r="AC356" s="8"/>
      <c r="AD356" s="8"/>
      <c r="AE356" s="8"/>
      <c r="AF356" s="8"/>
      <c r="AG356" s="8"/>
      <c r="AH356" s="8"/>
      <c r="AI356" s="8"/>
      <c r="AJ356" s="8"/>
      <c r="AK356" s="8"/>
      <c r="AL356" s="8"/>
      <c r="AM356" s="8"/>
    </row>
    <row r="357" customFormat="false" ht="15.75" hidden="false" customHeight="true" outlineLevel="0" collapsed="false">
      <c r="A357" s="30" t="n">
        <v>46304</v>
      </c>
      <c r="B357" s="31" t="s">
        <v>528</v>
      </c>
      <c r="C357" s="31" t="str">
        <f aca="false" t="array" ref="C357:C357">IF(B357="","",IFERROR(INDEX('CLM &amp; IM Mapping'!$B$2:$B$270,MATCH(TRIM(B357),'CLM &amp; IM Mapping'!$A$2:$A$270,0)),"Not Mapped"))</f>
        <v>Saddam Hussain</v>
      </c>
      <c r="D357" s="31" t="str">
        <f aca="false" t="array" ref="D357:D357">IF(B357="","",IFERROR(INDEX('CLM &amp; IM Mapping'!$C$2:$C$270,MATCH(TRIM(B357),'CLM &amp; IM Mapping'!$A$2:$A$270,0)),"Not Mapped"))</f>
        <v>Un Mapped</v>
      </c>
      <c r="E357" s="31" t="s">
        <v>34</v>
      </c>
      <c r="F357" s="31" t="s">
        <v>562</v>
      </c>
      <c r="G357" s="31" t="s">
        <v>23</v>
      </c>
      <c r="H357" s="17" t="n">
        <v>6238</v>
      </c>
      <c r="I357" s="32" t="n">
        <v>0.7</v>
      </c>
      <c r="J357" s="33" t="n">
        <v>0.56</v>
      </c>
      <c r="K357" s="34" t="n">
        <v>0.87</v>
      </c>
      <c r="L357" s="31" t="n">
        <v>0.95</v>
      </c>
      <c r="M357" s="31" t="n">
        <v>0.87</v>
      </c>
      <c r="N357" s="11" t="n">
        <v>4</v>
      </c>
      <c r="O357" s="12"/>
      <c r="P357" s="11"/>
      <c r="Q357" s="8"/>
      <c r="R357" s="8"/>
      <c r="S357" s="8"/>
      <c r="T357" s="8"/>
      <c r="U357" s="8"/>
      <c r="V357" s="8"/>
      <c r="W357" s="8"/>
      <c r="X357" s="8"/>
      <c r="Y357" s="8"/>
      <c r="Z357" s="8"/>
      <c r="AA357" s="8"/>
      <c r="AB357" s="8"/>
      <c r="AC357" s="8"/>
      <c r="AD357" s="8"/>
      <c r="AE357" s="8"/>
      <c r="AF357" s="8"/>
      <c r="AG357" s="8"/>
      <c r="AH357" s="8"/>
      <c r="AI357" s="8"/>
      <c r="AJ357" s="8"/>
      <c r="AK357" s="8"/>
      <c r="AL357" s="8"/>
      <c r="AM357" s="8"/>
    </row>
    <row r="358" customFormat="false" ht="15.75" hidden="false" customHeight="true" outlineLevel="0" collapsed="false">
      <c r="A358" s="30" t="n">
        <v>46304</v>
      </c>
      <c r="B358" s="31" t="s">
        <v>216</v>
      </c>
      <c r="C358" s="31" t="str">
        <f aca="false" t="array" ref="C358:C358">IF(B358="","",IFERROR(INDEX('CLM &amp; IM Mapping'!$B$2:$B$270,MATCH(TRIM(B358),'CLM &amp; IM Mapping'!$A$2:$A$270,0)),"Not Mapped"))</f>
        <v>Silambarasan E</v>
      </c>
      <c r="D358" s="31" t="str">
        <f aca="false" t="array" ref="D358:D358">IF(B358="","",IFERROR(INDEX('CLM &amp; IM Mapping'!$C$2:$C$270,MATCH(TRIM(B358),'CLM &amp; IM Mapping'!$A$2:$A$270,0)),"Not Mapped"))</f>
        <v>Arivind S</v>
      </c>
      <c r="E358" s="31" t="s">
        <v>34</v>
      </c>
      <c r="F358" s="31" t="s">
        <v>562</v>
      </c>
      <c r="G358" s="31" t="s">
        <v>23</v>
      </c>
      <c r="H358" s="17" t="n">
        <v>8268</v>
      </c>
      <c r="I358" s="32" t="n">
        <v>0.7</v>
      </c>
      <c r="J358" s="33" t="n">
        <v>0.56</v>
      </c>
      <c r="K358" s="34" t="n">
        <v>0.86</v>
      </c>
      <c r="L358" s="31" t="n">
        <v>0.91</v>
      </c>
      <c r="M358" s="31" t="n">
        <v>0.86</v>
      </c>
      <c r="N358" s="11" t="n">
        <v>4</v>
      </c>
      <c r="O358" s="12"/>
      <c r="P358" s="11"/>
      <c r="Q358" s="8"/>
      <c r="R358" s="8"/>
      <c r="S358" s="8"/>
      <c r="T358" s="8"/>
      <c r="U358" s="8"/>
      <c r="V358" s="8"/>
      <c r="W358" s="8"/>
      <c r="X358" s="8"/>
      <c r="Y358" s="8"/>
      <c r="Z358" s="8"/>
      <c r="AA358" s="8"/>
      <c r="AB358" s="8"/>
      <c r="AC358" s="8"/>
      <c r="AD358" s="8"/>
      <c r="AE358" s="8"/>
      <c r="AF358" s="8"/>
      <c r="AG358" s="8"/>
      <c r="AH358" s="8"/>
      <c r="AI358" s="8"/>
      <c r="AJ358" s="8"/>
      <c r="AK358" s="8"/>
      <c r="AL358" s="8"/>
      <c r="AM358" s="8"/>
    </row>
    <row r="359" customFormat="false" ht="15.75" hidden="false" customHeight="true" outlineLevel="0" collapsed="false">
      <c r="A359" s="30" t="n">
        <v>46304</v>
      </c>
      <c r="B359" s="31" t="s">
        <v>41</v>
      </c>
      <c r="C359" s="31" t="str">
        <f aca="false" t="array" ref="C359:C359">IF(B359="","",IFERROR(INDEX('CLM &amp; IM Mapping'!$B$2:$B$270,MATCH(TRIM(B359),'CLM &amp; IM Mapping'!$A$2:$A$270,0)),"Not Mapped"))</f>
        <v>Rizwan Ahmed</v>
      </c>
      <c r="D359" s="31" t="str">
        <f aca="false" t="array" ref="D359:D359">IF(B359="","",IFERROR(INDEX('CLM &amp; IM Mapping'!$C$2:$C$270,MATCH(TRIM(B359),'CLM &amp; IM Mapping'!$A$2:$A$270,0)),"Not Mapped"))</f>
        <v>Un Mapped</v>
      </c>
      <c r="E359" s="31" t="s">
        <v>34</v>
      </c>
      <c r="F359" s="31" t="s">
        <v>562</v>
      </c>
      <c r="G359" s="31" t="s">
        <v>23</v>
      </c>
      <c r="H359" s="17" t="n">
        <v>5704</v>
      </c>
      <c r="I359" s="32" t="n">
        <v>0.7</v>
      </c>
      <c r="J359" s="33" t="n">
        <v>0.56</v>
      </c>
      <c r="K359" s="34" t="n">
        <v>0.74</v>
      </c>
      <c r="L359" s="31" t="n">
        <v>0.94</v>
      </c>
      <c r="M359" s="31" t="n">
        <v>0.74</v>
      </c>
      <c r="N359" s="11" t="n">
        <v>5</v>
      </c>
      <c r="O359" s="12"/>
      <c r="P359" s="11"/>
      <c r="Q359" s="8"/>
      <c r="R359" s="8"/>
      <c r="S359" s="8"/>
      <c r="T359" s="8"/>
      <c r="U359" s="8"/>
      <c r="V359" s="8"/>
      <c r="W359" s="8"/>
      <c r="X359" s="8"/>
      <c r="Y359" s="8"/>
      <c r="Z359" s="8"/>
      <c r="AA359" s="8"/>
      <c r="AB359" s="8"/>
      <c r="AC359" s="8"/>
      <c r="AD359" s="8"/>
      <c r="AE359" s="8"/>
      <c r="AF359" s="8"/>
      <c r="AG359" s="8"/>
      <c r="AH359" s="8"/>
      <c r="AI359" s="8"/>
      <c r="AJ359" s="8"/>
      <c r="AK359" s="8"/>
      <c r="AL359" s="8"/>
      <c r="AM359" s="8"/>
    </row>
    <row r="360" customFormat="false" ht="15.75" hidden="false" customHeight="true" outlineLevel="0" collapsed="false">
      <c r="A360" s="30" t="n">
        <v>46304</v>
      </c>
      <c r="B360" s="31" t="s">
        <v>474</v>
      </c>
      <c r="C360" s="31" t="str">
        <f aca="false" t="array" ref="C360:C360">IF(B360="","",IFERROR(INDEX('CLM &amp; IM Mapping'!$B$2:$B$270,MATCH(TRIM(B360),'CLM &amp; IM Mapping'!$A$2:$A$270,0)),"Not Mapped"))</f>
        <v>Silambarasan E</v>
      </c>
      <c r="D360" s="31" t="str">
        <f aca="false" t="array" ref="D360:D360">IF(B360="","",IFERROR(INDEX('CLM &amp; IM Mapping'!$C$2:$C$270,MATCH(TRIM(B360),'CLM &amp; IM Mapping'!$A$2:$A$270,0)),"Not Mapped"))</f>
        <v>Arivind S</v>
      </c>
      <c r="E360" s="31" t="s">
        <v>34</v>
      </c>
      <c r="F360" s="31" t="s">
        <v>562</v>
      </c>
      <c r="G360" s="31" t="s">
        <v>23</v>
      </c>
      <c r="H360" s="17" t="n">
        <v>5228</v>
      </c>
      <c r="I360" s="32" t="n">
        <v>0.7</v>
      </c>
      <c r="J360" s="33" t="n">
        <v>0.56</v>
      </c>
      <c r="K360" s="34" t="n">
        <v>0.86</v>
      </c>
      <c r="L360" s="31" t="n">
        <v>0.96</v>
      </c>
      <c r="M360" s="31" t="n">
        <v>0.86</v>
      </c>
      <c r="N360" s="11" t="n">
        <v>5</v>
      </c>
      <c r="O360" s="12"/>
      <c r="P360" s="11"/>
      <c r="Q360" s="8"/>
      <c r="R360" s="8"/>
      <c r="S360" s="8"/>
      <c r="T360" s="8"/>
      <c r="U360" s="8"/>
      <c r="V360" s="8"/>
      <c r="W360" s="8"/>
      <c r="X360" s="8"/>
      <c r="Y360" s="8"/>
      <c r="Z360" s="8"/>
      <c r="AA360" s="8"/>
      <c r="AB360" s="8"/>
      <c r="AC360" s="8"/>
      <c r="AD360" s="8"/>
      <c r="AE360" s="8"/>
      <c r="AF360" s="8"/>
      <c r="AG360" s="8"/>
      <c r="AH360" s="8"/>
      <c r="AI360" s="8"/>
      <c r="AJ360" s="8"/>
      <c r="AK360" s="8"/>
      <c r="AL360" s="8"/>
      <c r="AM360" s="8"/>
    </row>
    <row r="361" customFormat="false" ht="15.75" hidden="false" customHeight="true" outlineLevel="0" collapsed="false">
      <c r="A361" s="30" t="n">
        <v>46304</v>
      </c>
      <c r="B361" s="31" t="s">
        <v>254</v>
      </c>
      <c r="C361" s="31" t="str">
        <f aca="false" t="array" ref="C361:C361">IF(B361="","",IFERROR(INDEX('CLM &amp; IM Mapping'!$B$2:$B$270,MATCH(TRIM(B361),'CLM &amp; IM Mapping'!$A$2:$A$270,0)),"Not Mapped"))</f>
        <v>Basil Scariya</v>
      </c>
      <c r="D361" s="31" t="str">
        <f aca="false" t="array" ref="D361:D361">IF(B361="","",IFERROR(INDEX('CLM &amp; IM Mapping'!$C$2:$C$270,MATCH(TRIM(B361),'CLM &amp; IM Mapping'!$A$2:$A$270,0)),"Not Mapped"))</f>
        <v>Prakash BS</v>
      </c>
      <c r="E361" s="31" t="s">
        <v>34</v>
      </c>
      <c r="F361" s="31" t="s">
        <v>562</v>
      </c>
      <c r="G361" s="31" t="s">
        <v>23</v>
      </c>
      <c r="H361" s="17" t="n">
        <v>4912</v>
      </c>
      <c r="I361" s="32" t="n">
        <v>0.7</v>
      </c>
      <c r="J361" s="33" t="n">
        <v>0.57</v>
      </c>
      <c r="K361" s="34" t="n">
        <v>0.66</v>
      </c>
      <c r="L361" s="31" t="n">
        <v>0.89</v>
      </c>
      <c r="M361" s="31" t="n">
        <v>0.66</v>
      </c>
      <c r="N361" s="11" t="n">
        <v>4</v>
      </c>
      <c r="O361" s="12" t="s">
        <v>632</v>
      </c>
      <c r="P361" s="36" t="s">
        <v>633</v>
      </c>
      <c r="Q361" s="8"/>
      <c r="R361" s="8"/>
      <c r="S361" s="8"/>
      <c r="T361" s="8"/>
      <c r="U361" s="8"/>
      <c r="V361" s="8"/>
      <c r="W361" s="8"/>
      <c r="X361" s="8"/>
      <c r="Y361" s="8"/>
      <c r="Z361" s="8"/>
      <c r="AA361" s="8"/>
      <c r="AB361" s="8"/>
      <c r="AC361" s="8"/>
      <c r="AD361" s="8"/>
      <c r="AE361" s="8"/>
      <c r="AF361" s="8"/>
      <c r="AG361" s="8"/>
      <c r="AH361" s="8"/>
      <c r="AI361" s="8"/>
      <c r="AJ361" s="8"/>
      <c r="AK361" s="8"/>
      <c r="AL361" s="8"/>
      <c r="AM361" s="8"/>
    </row>
    <row r="362" customFormat="false" ht="15.75" hidden="false" customHeight="true" outlineLevel="0" collapsed="false">
      <c r="A362" s="30" t="n">
        <v>46304</v>
      </c>
      <c r="B362" s="31" t="s">
        <v>195</v>
      </c>
      <c r="C362" s="31" t="str">
        <f aca="false" t="array" ref="C362:C362">IF(B362="","",IFERROR(INDEX('CLM &amp; IM Mapping'!$B$2:$B$270,MATCH(TRIM(B362),'CLM &amp; IM Mapping'!$A$2:$A$270,0)),"Not Mapped"))</f>
        <v>Adhavan Subramani</v>
      </c>
      <c r="D362" s="31" t="str">
        <f aca="false" t="array" ref="D362:D362">IF(B362="","",IFERROR(INDEX('CLM &amp; IM Mapping'!$C$2:$C$270,MATCH(TRIM(B362),'CLM &amp; IM Mapping'!$A$2:$A$270,0)),"Not Mapped"))</f>
        <v>Mohammed Akbar</v>
      </c>
      <c r="E362" s="31" t="s">
        <v>34</v>
      </c>
      <c r="F362" s="31" t="s">
        <v>562</v>
      </c>
      <c r="G362" s="31" t="s">
        <v>23</v>
      </c>
      <c r="H362" s="17" t="n">
        <v>5573</v>
      </c>
      <c r="I362" s="32" t="n">
        <v>0.7</v>
      </c>
      <c r="J362" s="33" t="n">
        <v>0.58</v>
      </c>
      <c r="K362" s="34" t="n">
        <v>0.86</v>
      </c>
      <c r="L362" s="31" t="n">
        <v>0.94</v>
      </c>
      <c r="M362" s="31" t="n">
        <v>0.86</v>
      </c>
      <c r="N362" s="11" t="n">
        <v>4</v>
      </c>
      <c r="O362" s="12"/>
      <c r="P362" s="11"/>
      <c r="Q362" s="8"/>
      <c r="R362" s="8"/>
      <c r="S362" s="8"/>
      <c r="T362" s="8"/>
      <c r="U362" s="8"/>
      <c r="V362" s="8"/>
      <c r="W362" s="8"/>
      <c r="X362" s="8"/>
      <c r="Y362" s="8"/>
      <c r="Z362" s="8"/>
      <c r="AA362" s="8"/>
      <c r="AB362" s="8"/>
      <c r="AC362" s="8"/>
      <c r="AD362" s="8"/>
      <c r="AE362" s="8"/>
      <c r="AF362" s="8"/>
      <c r="AG362" s="8"/>
      <c r="AH362" s="8"/>
      <c r="AI362" s="8"/>
      <c r="AJ362" s="8"/>
      <c r="AK362" s="8"/>
      <c r="AL362" s="8"/>
      <c r="AM362" s="8"/>
    </row>
    <row r="363" customFormat="false" ht="15.75" hidden="false" customHeight="true" outlineLevel="0" collapsed="false">
      <c r="A363" s="30" t="n">
        <v>46304</v>
      </c>
      <c r="B363" s="31" t="s">
        <v>97</v>
      </c>
      <c r="C363" s="31" t="str">
        <f aca="false" t="array" ref="C363:C363">IF(B363="","",IFERROR(INDEX('CLM &amp; IM Mapping'!$B$2:$B$270,MATCH(TRIM(B363),'CLM &amp; IM Mapping'!$A$2:$A$270,0)),"Not Mapped"))</f>
        <v>Raghavendra Vernekar</v>
      </c>
      <c r="D363" s="31" t="str">
        <f aca="false" t="array" ref="D363:D363">IF(B363="","",IFERROR(INDEX('CLM &amp; IM Mapping'!$C$2:$C$270,MATCH(TRIM(B363),'CLM &amp; IM Mapping'!$A$2:$A$270,0)),"Not Mapped"))</f>
        <v>Prakash BS</v>
      </c>
      <c r="E363" s="31" t="s">
        <v>34</v>
      </c>
      <c r="F363" s="31" t="s">
        <v>562</v>
      </c>
      <c r="G363" s="31" t="s">
        <v>23</v>
      </c>
      <c r="H363" s="17" t="n">
        <v>8294</v>
      </c>
      <c r="I363" s="32" t="n">
        <v>0.7</v>
      </c>
      <c r="J363" s="33" t="n">
        <v>0.58</v>
      </c>
      <c r="K363" s="34" t="n">
        <v>0.79</v>
      </c>
      <c r="L363" s="31" t="n">
        <v>0.93</v>
      </c>
      <c r="M363" s="31" t="n">
        <v>0.79</v>
      </c>
      <c r="N363" s="11" t="n">
        <v>6</v>
      </c>
      <c r="O363" s="12" t="s">
        <v>638</v>
      </c>
      <c r="P363" s="11"/>
      <c r="Q363" s="8"/>
      <c r="R363" s="8"/>
      <c r="S363" s="8"/>
      <c r="T363" s="8"/>
      <c r="U363" s="8"/>
      <c r="V363" s="8"/>
      <c r="W363" s="8"/>
      <c r="X363" s="8"/>
      <c r="Y363" s="8"/>
      <c r="Z363" s="8"/>
      <c r="AA363" s="8"/>
      <c r="AB363" s="8"/>
      <c r="AC363" s="8"/>
      <c r="AD363" s="8"/>
      <c r="AE363" s="8"/>
      <c r="AF363" s="8"/>
      <c r="AG363" s="8"/>
      <c r="AH363" s="8"/>
      <c r="AI363" s="8"/>
      <c r="AJ363" s="8"/>
      <c r="AK363" s="8"/>
      <c r="AL363" s="8"/>
      <c r="AM363" s="8"/>
    </row>
    <row r="364" customFormat="false" ht="15.75" hidden="false" customHeight="true" outlineLevel="0" collapsed="false">
      <c r="A364" s="30" t="n">
        <v>46304</v>
      </c>
      <c r="B364" s="31" t="s">
        <v>68</v>
      </c>
      <c r="C364" s="31" t="str">
        <f aca="false" t="array" ref="C364:C364">IF(B364="","",IFERROR(INDEX('CLM &amp; IM Mapping'!$B$2:$B$270,MATCH(TRIM(B364),'CLM &amp; IM Mapping'!$A$2:$A$270,0)),"Not Mapped"))</f>
        <v>Girish N</v>
      </c>
      <c r="D364" s="31" t="str">
        <f aca="false" t="array" ref="D364:D364">IF(B364="","",IFERROR(INDEX('CLM &amp; IM Mapping'!$C$2:$C$270,MATCH(TRIM(B364),'CLM &amp; IM Mapping'!$A$2:$A$270,0)),"Not Mapped"))</f>
        <v>Un Mapped</v>
      </c>
      <c r="E364" s="31" t="s">
        <v>34</v>
      </c>
      <c r="F364" s="31" t="s">
        <v>562</v>
      </c>
      <c r="G364" s="31" t="s">
        <v>23</v>
      </c>
      <c r="H364" s="17" t="n">
        <v>6292</v>
      </c>
      <c r="I364" s="32" t="n">
        <v>0.7</v>
      </c>
      <c r="J364" s="33" t="n">
        <v>0.58</v>
      </c>
      <c r="K364" s="34" t="n">
        <v>0.85</v>
      </c>
      <c r="L364" s="31" t="n">
        <v>0.94</v>
      </c>
      <c r="M364" s="31" t="n">
        <v>0.85</v>
      </c>
      <c r="N364" s="11" t="n">
        <v>4</v>
      </c>
      <c r="O364" s="12"/>
      <c r="P364" s="11"/>
      <c r="Q364" s="8"/>
      <c r="R364" s="8"/>
      <c r="S364" s="8"/>
      <c r="T364" s="8"/>
      <c r="U364" s="8"/>
      <c r="V364" s="8"/>
      <c r="W364" s="8"/>
      <c r="X364" s="8"/>
      <c r="Y364" s="8"/>
      <c r="Z364" s="8"/>
      <c r="AA364" s="8"/>
      <c r="AB364" s="8"/>
      <c r="AC364" s="8"/>
      <c r="AD364" s="8"/>
      <c r="AE364" s="8"/>
      <c r="AF364" s="8"/>
      <c r="AG364" s="8"/>
      <c r="AH364" s="8"/>
      <c r="AI364" s="8"/>
      <c r="AJ364" s="8"/>
      <c r="AK364" s="8"/>
      <c r="AL364" s="8"/>
      <c r="AM364" s="8"/>
    </row>
    <row r="365" customFormat="false" ht="15.75" hidden="false" customHeight="true" outlineLevel="0" collapsed="false">
      <c r="A365" s="30" t="n">
        <v>46304</v>
      </c>
      <c r="B365" s="31" t="s">
        <v>350</v>
      </c>
      <c r="C365" s="31" t="str">
        <f aca="false" t="array" ref="C365:C365">IF(B365="","",IFERROR(INDEX('CLM &amp; IM Mapping'!$B$2:$B$270,MATCH(TRIM(B365),'CLM &amp; IM Mapping'!$A$2:$A$270,0)),"Not Mapped"))</f>
        <v>Vishnu V</v>
      </c>
      <c r="D365" s="31" t="str">
        <f aca="false" t="array" ref="D365:D365">IF(B365="","",IFERROR(INDEX('CLM &amp; IM Mapping'!$C$2:$C$270,MATCH(TRIM(B365),'CLM &amp; IM Mapping'!$A$2:$A$270,0)),"Not Mapped"))</f>
        <v>Arivind S</v>
      </c>
      <c r="E365" s="31" t="s">
        <v>34</v>
      </c>
      <c r="F365" s="31" t="s">
        <v>565</v>
      </c>
      <c r="G365" s="31" t="s">
        <v>221</v>
      </c>
      <c r="H365" s="17" t="n">
        <v>5845</v>
      </c>
      <c r="I365" s="32" t="n">
        <v>0.7</v>
      </c>
      <c r="J365" s="33" t="n">
        <v>0.58</v>
      </c>
      <c r="K365" s="34" t="n">
        <v>0.9</v>
      </c>
      <c r="L365" s="31" t="n">
        <v>0.97</v>
      </c>
      <c r="M365" s="31"/>
      <c r="N365" s="11"/>
      <c r="O365" s="12"/>
      <c r="P365" s="11"/>
      <c r="Q365" s="8"/>
      <c r="R365" s="8"/>
      <c r="S365" s="8"/>
      <c r="T365" s="8"/>
      <c r="U365" s="8"/>
      <c r="V365" s="8"/>
      <c r="W365" s="8"/>
      <c r="X365" s="8"/>
      <c r="Y365" s="8"/>
      <c r="Z365" s="8"/>
      <c r="AA365" s="8"/>
      <c r="AB365" s="8"/>
      <c r="AC365" s="8"/>
      <c r="AD365" s="8"/>
      <c r="AE365" s="8"/>
      <c r="AF365" s="8"/>
      <c r="AG365" s="8"/>
      <c r="AH365" s="8"/>
      <c r="AI365" s="8"/>
      <c r="AJ365" s="8"/>
      <c r="AK365" s="8"/>
      <c r="AL365" s="8"/>
      <c r="AM365" s="8"/>
    </row>
    <row r="366" customFormat="false" ht="15.75" hidden="false" customHeight="true" outlineLevel="0" collapsed="false">
      <c r="A366" s="30" t="n">
        <v>46304</v>
      </c>
      <c r="B366" s="31" t="s">
        <v>242</v>
      </c>
      <c r="C366" s="31" t="str">
        <f aca="false" t="array" ref="C366:C366">IF(B366="","",IFERROR(INDEX('CLM &amp; IM Mapping'!$B$2:$B$270,MATCH(TRIM(B366),'CLM &amp; IM Mapping'!$A$2:$A$270,0)),"Not Mapped"))</f>
        <v>Suhas N</v>
      </c>
      <c r="D366" s="31" t="str">
        <f aca="false" t="array" ref="D366:D366">IF(B366="","",IFERROR(INDEX('CLM &amp; IM Mapping'!$C$2:$C$270,MATCH(TRIM(B366),'CLM &amp; IM Mapping'!$A$2:$A$270,0)),"Not Mapped"))</f>
        <v>Aravind S</v>
      </c>
      <c r="E366" s="31" t="s">
        <v>34</v>
      </c>
      <c r="F366" s="31" t="s">
        <v>562</v>
      </c>
      <c r="G366" s="31" t="s">
        <v>23</v>
      </c>
      <c r="H366" s="17" t="n">
        <v>5165</v>
      </c>
      <c r="I366" s="32" t="n">
        <v>0.7</v>
      </c>
      <c r="J366" s="33" t="n">
        <v>0.59</v>
      </c>
      <c r="K366" s="34" t="n">
        <v>0.9</v>
      </c>
      <c r="L366" s="31" t="n">
        <v>0.97</v>
      </c>
      <c r="M366" s="31" t="n">
        <v>0.9</v>
      </c>
      <c r="N366" s="11"/>
      <c r="O366" s="12"/>
      <c r="P366" s="11"/>
      <c r="Q366" s="8"/>
      <c r="R366" s="8"/>
      <c r="S366" s="8"/>
      <c r="T366" s="8"/>
      <c r="U366" s="8"/>
      <c r="V366" s="8"/>
      <c r="W366" s="8"/>
      <c r="X366" s="8"/>
      <c r="Y366" s="8"/>
      <c r="Z366" s="8"/>
      <c r="AA366" s="8"/>
      <c r="AB366" s="8"/>
      <c r="AC366" s="8"/>
      <c r="AD366" s="8"/>
      <c r="AE366" s="8"/>
      <c r="AF366" s="8"/>
      <c r="AG366" s="8"/>
      <c r="AH366" s="8"/>
      <c r="AI366" s="8"/>
      <c r="AJ366" s="8"/>
      <c r="AK366" s="8"/>
      <c r="AL366" s="8"/>
      <c r="AM366" s="8"/>
    </row>
    <row r="367" customFormat="false" ht="15.75" hidden="false" customHeight="true" outlineLevel="0" collapsed="false">
      <c r="A367" s="30" t="n">
        <v>46304</v>
      </c>
      <c r="B367" s="31" t="s">
        <v>422</v>
      </c>
      <c r="C367" s="31" t="str">
        <f aca="false" t="array" ref="C367:C367">IF(B367="","",IFERROR(INDEX('CLM &amp; IM Mapping'!$B$2:$B$270,MATCH(TRIM(B367),'CLM &amp; IM Mapping'!$A$2:$A$270,0)),"Not Mapped"))</f>
        <v>Manjunatha V</v>
      </c>
      <c r="D367" s="31" t="str">
        <f aca="false" t="array" ref="D367:D367">IF(B367="","",IFERROR(INDEX('CLM &amp; IM Mapping'!$C$2:$C$270,MATCH(TRIM(B367),'CLM &amp; IM Mapping'!$A$2:$A$270,0)),"Not Mapped"))</f>
        <v>Un Mapped</v>
      </c>
      <c r="E367" s="31" t="s">
        <v>34</v>
      </c>
      <c r="F367" s="31" t="s">
        <v>562</v>
      </c>
      <c r="G367" s="31" t="s">
        <v>23</v>
      </c>
      <c r="H367" s="17" t="n">
        <v>5330</v>
      </c>
      <c r="I367" s="32" t="n">
        <v>0.7</v>
      </c>
      <c r="J367" s="33" t="n">
        <v>0.59</v>
      </c>
      <c r="K367" s="34" t="n">
        <v>0.87</v>
      </c>
      <c r="L367" s="31" t="n">
        <v>0.97</v>
      </c>
      <c r="M367" s="31" t="n">
        <v>0.87</v>
      </c>
      <c r="N367" s="11" t="n">
        <v>4</v>
      </c>
      <c r="O367" s="12"/>
      <c r="P367" s="11"/>
      <c r="Q367" s="8"/>
      <c r="R367" s="8"/>
      <c r="S367" s="8"/>
      <c r="T367" s="8"/>
      <c r="U367" s="8"/>
      <c r="V367" s="8"/>
      <c r="W367" s="8"/>
      <c r="X367" s="8"/>
      <c r="Y367" s="8"/>
      <c r="Z367" s="8"/>
      <c r="AA367" s="8"/>
      <c r="AB367" s="8"/>
      <c r="AC367" s="8"/>
      <c r="AD367" s="8"/>
      <c r="AE367" s="8"/>
      <c r="AF367" s="8"/>
      <c r="AG367" s="8"/>
      <c r="AH367" s="8"/>
      <c r="AI367" s="8"/>
      <c r="AJ367" s="8"/>
      <c r="AK367" s="8"/>
      <c r="AL367" s="8"/>
      <c r="AM367" s="8"/>
    </row>
    <row r="368" customFormat="false" ht="15.75" hidden="false" customHeight="true" outlineLevel="0" collapsed="false">
      <c r="A368" s="30" t="n">
        <v>46304</v>
      </c>
      <c r="B368" s="31" t="s">
        <v>496</v>
      </c>
      <c r="C368" s="31" t="str">
        <f aca="false" t="array" ref="C368:C368">IF(B368="","",IFERROR(INDEX('CLM &amp; IM Mapping'!$B$2:$B$270,MATCH(TRIM(B368),'CLM &amp; IM Mapping'!$A$2:$A$270,0)),"Not Mapped"))</f>
        <v>Keshav G</v>
      </c>
      <c r="D368" s="31" t="str">
        <f aca="false" t="array" ref="D368:D368">IF(B368="","",IFERROR(INDEX('CLM &amp; IM Mapping'!$C$2:$C$270,MATCH(TRIM(B368),'CLM &amp; IM Mapping'!$A$2:$A$270,0)),"Not Mapped"))</f>
        <v>Un Mapped</v>
      </c>
      <c r="E368" s="31" t="s">
        <v>34</v>
      </c>
      <c r="F368" s="31" t="s">
        <v>565</v>
      </c>
      <c r="G368" s="31" t="s">
        <v>23</v>
      </c>
      <c r="H368" s="17" t="n">
        <v>5152</v>
      </c>
      <c r="I368" s="32" t="n">
        <v>0.7</v>
      </c>
      <c r="J368" s="33" t="n">
        <v>0.59</v>
      </c>
      <c r="K368" s="34" t="n">
        <v>0.93</v>
      </c>
      <c r="L368" s="31" t="n">
        <v>0.98</v>
      </c>
      <c r="M368" s="31" t="n">
        <v>0.93</v>
      </c>
      <c r="N368" s="11" t="n">
        <v>3</v>
      </c>
      <c r="O368" s="12"/>
      <c r="P368" s="11"/>
      <c r="Q368" s="8"/>
      <c r="R368" s="8"/>
      <c r="S368" s="8"/>
      <c r="T368" s="8"/>
      <c r="U368" s="8"/>
      <c r="V368" s="8"/>
      <c r="W368" s="8"/>
      <c r="X368" s="8"/>
      <c r="Y368" s="8"/>
      <c r="Z368" s="8"/>
      <c r="AA368" s="8"/>
      <c r="AB368" s="8"/>
      <c r="AC368" s="8"/>
      <c r="AD368" s="8"/>
      <c r="AE368" s="8"/>
      <c r="AF368" s="8"/>
      <c r="AG368" s="8"/>
      <c r="AH368" s="8"/>
      <c r="AI368" s="8"/>
      <c r="AJ368" s="8"/>
      <c r="AK368" s="8"/>
      <c r="AL368" s="8"/>
      <c r="AM368" s="8"/>
    </row>
    <row r="369" customFormat="false" ht="15.75" hidden="false" customHeight="true" outlineLevel="0" collapsed="false">
      <c r="A369" s="30" t="n">
        <v>46304</v>
      </c>
      <c r="B369" s="31" t="s">
        <v>436</v>
      </c>
      <c r="C369" s="31" t="str">
        <f aca="false" t="array" ref="C369:C369">IF(B369="","",IFERROR(INDEX('CLM &amp; IM Mapping'!$B$2:$B$270,MATCH(TRIM(B369),'CLM &amp; IM Mapping'!$A$2:$A$270,0)),"Not Mapped"))</f>
        <v>Narasimhamurthy R</v>
      </c>
      <c r="D369" s="31" t="str">
        <f aca="false" t="array" ref="D369:D369">IF(B369="","",IFERROR(INDEX('CLM &amp; IM Mapping'!$C$2:$C$270,MATCH(TRIM(B369),'CLM &amp; IM Mapping'!$A$2:$A$270,0)),"Not Mapped"))</f>
        <v>Kishor K</v>
      </c>
      <c r="E369" s="31" t="s">
        <v>34</v>
      </c>
      <c r="F369" s="31" t="s">
        <v>562</v>
      </c>
      <c r="G369" s="31" t="s">
        <v>23</v>
      </c>
      <c r="H369" s="17" t="n">
        <v>12313</v>
      </c>
      <c r="I369" s="32" t="n">
        <v>0.7</v>
      </c>
      <c r="J369" s="33" t="n">
        <v>0.59</v>
      </c>
      <c r="K369" s="34" t="n">
        <v>0.92</v>
      </c>
      <c r="L369" s="31" t="n">
        <v>0.98</v>
      </c>
      <c r="M369" s="31" t="n">
        <v>0.92</v>
      </c>
      <c r="N369" s="11" t="n">
        <v>4</v>
      </c>
      <c r="O369" s="12" t="s">
        <v>631</v>
      </c>
      <c r="P369" s="38" t="s">
        <v>603</v>
      </c>
      <c r="Q369" s="8"/>
      <c r="R369" s="8"/>
      <c r="S369" s="8"/>
      <c r="T369" s="8"/>
      <c r="U369" s="8"/>
      <c r="V369" s="8"/>
      <c r="W369" s="8"/>
      <c r="X369" s="8"/>
      <c r="Y369" s="8"/>
      <c r="Z369" s="8"/>
      <c r="AA369" s="8"/>
      <c r="AB369" s="8"/>
      <c r="AC369" s="8"/>
      <c r="AD369" s="8"/>
      <c r="AE369" s="8"/>
      <c r="AF369" s="8"/>
      <c r="AG369" s="8"/>
      <c r="AH369" s="8"/>
      <c r="AI369" s="8"/>
      <c r="AJ369" s="8"/>
      <c r="AK369" s="8"/>
      <c r="AL369" s="8"/>
      <c r="AM369" s="8"/>
    </row>
    <row r="370" customFormat="false" ht="15.75" hidden="false" customHeight="true" outlineLevel="0" collapsed="false">
      <c r="A370" s="30" t="n">
        <v>46304</v>
      </c>
      <c r="B370" s="31" t="s">
        <v>412</v>
      </c>
      <c r="C370" s="31" t="str">
        <f aca="false" t="array" ref="C370:C370">IF(B370="","",IFERROR(INDEX('CLM &amp; IM Mapping'!$B$2:$B$270,MATCH(TRIM(B370),'CLM &amp; IM Mapping'!$A$2:$A$270,0)),"Not Mapped"))</f>
        <v>Richard Harris</v>
      </c>
      <c r="D370" s="31" t="str">
        <f aca="false" t="array" ref="D370:D370">IF(B370="","",IFERROR(INDEX('CLM &amp; IM Mapping'!$C$2:$C$270,MATCH(TRIM(B370),'CLM &amp; IM Mapping'!$A$2:$A$270,0)),"Not Mapped"))</f>
        <v>Kantha Kumar</v>
      </c>
      <c r="E370" s="31" t="s">
        <v>34</v>
      </c>
      <c r="F370" s="31" t="s">
        <v>562</v>
      </c>
      <c r="G370" s="31" t="s">
        <v>23</v>
      </c>
      <c r="H370" s="17" t="n">
        <v>7642</v>
      </c>
      <c r="I370" s="32" t="n">
        <v>0.7</v>
      </c>
      <c r="J370" s="33" t="n">
        <v>0.59</v>
      </c>
      <c r="K370" s="34" t="n">
        <v>0.86</v>
      </c>
      <c r="L370" s="31" t="n">
        <v>0.97</v>
      </c>
      <c r="M370" s="31" t="n">
        <v>0.86</v>
      </c>
      <c r="N370" s="11" t="n">
        <v>5</v>
      </c>
      <c r="O370" s="12"/>
      <c r="P370" s="11"/>
      <c r="Q370" s="8"/>
      <c r="R370" s="8"/>
      <c r="S370" s="8"/>
      <c r="T370" s="8"/>
      <c r="U370" s="8"/>
      <c r="V370" s="8"/>
      <c r="W370" s="8"/>
      <c r="X370" s="8"/>
      <c r="Y370" s="8"/>
      <c r="Z370" s="8"/>
      <c r="AA370" s="8"/>
      <c r="AB370" s="8"/>
      <c r="AC370" s="8"/>
      <c r="AD370" s="8"/>
      <c r="AE370" s="8"/>
      <c r="AF370" s="8"/>
      <c r="AG370" s="8"/>
      <c r="AH370" s="8"/>
      <c r="AI370" s="8"/>
      <c r="AJ370" s="8"/>
      <c r="AK370" s="8"/>
      <c r="AL370" s="8"/>
      <c r="AM370" s="8"/>
    </row>
    <row r="371" customFormat="false" ht="15.75" hidden="false" customHeight="true" outlineLevel="0" collapsed="false">
      <c r="A371" s="30" t="n">
        <v>46304</v>
      </c>
      <c r="B371" s="31" t="s">
        <v>494</v>
      </c>
      <c r="C371" s="31" t="str">
        <f aca="false" t="array" ref="C371:C371">IF(B371="","",IFERROR(INDEX('CLM &amp; IM Mapping'!$B$2:$B$270,MATCH(TRIM(B371),'CLM &amp; IM Mapping'!$A$2:$A$270,0)),"Not Mapped"))</f>
        <v>Arun Raj</v>
      </c>
      <c r="D371" s="31" t="str">
        <f aca="false" t="array" ref="D371:D371">IF(B371="","",IFERROR(INDEX('CLM &amp; IM Mapping'!$C$2:$C$270,MATCH(TRIM(B371),'CLM &amp; IM Mapping'!$A$2:$A$270,0)),"Not Mapped"))</f>
        <v>Simon Manoharan</v>
      </c>
      <c r="E371" s="31" t="s">
        <v>25</v>
      </c>
      <c r="F371" s="31" t="s">
        <v>565</v>
      </c>
      <c r="G371" s="31" t="s">
        <v>23</v>
      </c>
      <c r="H371" s="17" t="n">
        <v>12700</v>
      </c>
      <c r="I371" s="32" t="n">
        <v>0.7</v>
      </c>
      <c r="J371" s="33" t="n">
        <v>0.6</v>
      </c>
      <c r="K371" s="34" t="n">
        <v>0.97</v>
      </c>
      <c r="L371" s="31" t="n">
        <v>0.99</v>
      </c>
      <c r="M371" s="31" t="n">
        <v>0.97</v>
      </c>
      <c r="N371" s="11" t="n">
        <v>3</v>
      </c>
      <c r="O371" s="12"/>
      <c r="P371" s="11"/>
      <c r="Q371" s="8"/>
      <c r="R371" s="8"/>
      <c r="S371" s="8"/>
      <c r="T371" s="8"/>
      <c r="U371" s="8"/>
      <c r="V371" s="8"/>
      <c r="W371" s="8"/>
      <c r="X371" s="8"/>
      <c r="Y371" s="8"/>
      <c r="Z371" s="8"/>
      <c r="AA371" s="8"/>
      <c r="AB371" s="8"/>
      <c r="AC371" s="8"/>
      <c r="AD371" s="8"/>
      <c r="AE371" s="8"/>
      <c r="AF371" s="8"/>
      <c r="AG371" s="8"/>
      <c r="AH371" s="8"/>
      <c r="AI371" s="8"/>
      <c r="AJ371" s="8"/>
      <c r="AK371" s="8"/>
      <c r="AL371" s="8"/>
      <c r="AM371" s="8"/>
    </row>
    <row r="372" customFormat="false" ht="15.75" hidden="false" customHeight="true" outlineLevel="0" collapsed="false">
      <c r="A372" s="30" t="n">
        <v>46304</v>
      </c>
      <c r="B372" s="31" t="s">
        <v>186</v>
      </c>
      <c r="C372" s="31" t="str">
        <f aca="false" t="array" ref="C372:C372">IF(B372="","",IFERROR(INDEX('CLM &amp; IM Mapping'!$B$2:$B$270,MATCH(TRIM(B372),'CLM &amp; IM Mapping'!$A$2:$A$270,0)),"Not Mapped"))</f>
        <v>Silambarasan E</v>
      </c>
      <c r="D372" s="31" t="str">
        <f aca="false" t="array" ref="D372:D372">IF(B372="","",IFERROR(INDEX('CLM &amp; IM Mapping'!$C$2:$C$270,MATCH(TRIM(B372),'CLM &amp; IM Mapping'!$A$2:$A$270,0)),"Not Mapped"))</f>
        <v>Arivind S</v>
      </c>
      <c r="E372" s="31" t="s">
        <v>34</v>
      </c>
      <c r="F372" s="31" t="s">
        <v>565</v>
      </c>
      <c r="G372" s="31" t="s">
        <v>23</v>
      </c>
      <c r="H372" s="17" t="n">
        <v>5395</v>
      </c>
      <c r="I372" s="32" t="n">
        <v>0.7</v>
      </c>
      <c r="J372" s="33" t="n">
        <v>0.6</v>
      </c>
      <c r="K372" s="34" t="n">
        <v>0.82</v>
      </c>
      <c r="L372" s="31" t="n">
        <v>0.98</v>
      </c>
      <c r="M372" s="31" t="n">
        <v>0.82</v>
      </c>
      <c r="N372" s="11" t="n">
        <v>4</v>
      </c>
      <c r="O372" s="12"/>
      <c r="P372" s="11"/>
      <c r="Q372" s="8"/>
      <c r="R372" s="8"/>
      <c r="S372" s="8"/>
      <c r="T372" s="8"/>
      <c r="U372" s="8"/>
      <c r="V372" s="8"/>
      <c r="W372" s="8"/>
      <c r="X372" s="8"/>
      <c r="Y372" s="8"/>
      <c r="Z372" s="8"/>
      <c r="AA372" s="8"/>
      <c r="AB372" s="8"/>
      <c r="AC372" s="8"/>
      <c r="AD372" s="8"/>
      <c r="AE372" s="8"/>
      <c r="AF372" s="8"/>
      <c r="AG372" s="8"/>
      <c r="AH372" s="8"/>
      <c r="AI372" s="8"/>
      <c r="AJ372" s="8"/>
      <c r="AK372" s="8"/>
      <c r="AL372" s="8"/>
      <c r="AM372" s="8"/>
    </row>
    <row r="373" customFormat="false" ht="15.75" hidden="false" customHeight="true" outlineLevel="0" collapsed="false">
      <c r="A373" s="30" t="n">
        <v>46304</v>
      </c>
      <c r="B373" s="31" t="s">
        <v>327</v>
      </c>
      <c r="C373" s="31" t="str">
        <f aca="false" t="array" ref="C373:C373">IF(B373="","",IFERROR(INDEX('CLM &amp; IM Mapping'!$B$2:$B$270,MATCH(TRIM(B373),'CLM &amp; IM Mapping'!$A$2:$A$270,0)),"Not Mapped"))</f>
        <v>Suhas N</v>
      </c>
      <c r="D373" s="31" t="str">
        <f aca="false" t="array" ref="D373:D373">IF(B373="","",IFERROR(INDEX('CLM &amp; IM Mapping'!$C$2:$C$270,MATCH(TRIM(B373),'CLM &amp; IM Mapping'!$A$2:$A$270,0)),"Not Mapped"))</f>
        <v>Aravind S</v>
      </c>
      <c r="E373" s="31" t="s">
        <v>34</v>
      </c>
      <c r="F373" s="31" t="s">
        <v>562</v>
      </c>
      <c r="G373" s="31" t="s">
        <v>23</v>
      </c>
      <c r="H373" s="17" t="n">
        <v>7332</v>
      </c>
      <c r="I373" s="32" t="n">
        <v>0.7</v>
      </c>
      <c r="J373" s="33" t="n">
        <v>0.6</v>
      </c>
      <c r="K373" s="34" t="n">
        <v>0.97</v>
      </c>
      <c r="L373" s="31" t="n">
        <v>0.99</v>
      </c>
      <c r="M373" s="31" t="n">
        <v>0.97</v>
      </c>
      <c r="N373" s="11" t="n">
        <v>1</v>
      </c>
      <c r="O373" s="12"/>
      <c r="P373" s="11"/>
      <c r="Q373" s="8"/>
      <c r="R373" s="8"/>
      <c r="S373" s="8"/>
      <c r="T373" s="8"/>
      <c r="U373" s="8"/>
      <c r="V373" s="8"/>
      <c r="W373" s="8"/>
      <c r="X373" s="8"/>
      <c r="Y373" s="8"/>
      <c r="Z373" s="8"/>
      <c r="AA373" s="8"/>
      <c r="AB373" s="8"/>
      <c r="AC373" s="8"/>
      <c r="AD373" s="8"/>
      <c r="AE373" s="8"/>
      <c r="AF373" s="8"/>
      <c r="AG373" s="8"/>
      <c r="AH373" s="8"/>
      <c r="AI373" s="8"/>
      <c r="AJ373" s="8"/>
      <c r="AK373" s="8"/>
      <c r="AL373" s="8"/>
      <c r="AM373" s="8"/>
    </row>
    <row r="374" customFormat="false" ht="15.75" hidden="false" customHeight="true" outlineLevel="0" collapsed="false">
      <c r="A374" s="30" t="n">
        <v>46304</v>
      </c>
      <c r="B374" s="31" t="s">
        <v>62</v>
      </c>
      <c r="C374" s="31" t="str">
        <f aca="false" t="array" ref="C374:C374">IF(B374="","",IFERROR(INDEX('CLM &amp; IM Mapping'!$B$2:$B$270,MATCH(TRIM(B374),'CLM &amp; IM Mapping'!$A$2:$A$270,0)),"Not Mapped"))</f>
        <v>Basil Scariya</v>
      </c>
      <c r="D374" s="31" t="str">
        <f aca="false" t="array" ref="D374:D374">IF(B374="","",IFERROR(INDEX('CLM &amp; IM Mapping'!$C$2:$C$270,MATCH(TRIM(B374),'CLM &amp; IM Mapping'!$A$2:$A$270,0)),"Not Mapped"))</f>
        <v>Prakash BS</v>
      </c>
      <c r="E374" s="31" t="s">
        <v>34</v>
      </c>
      <c r="F374" s="31" t="s">
        <v>562</v>
      </c>
      <c r="G374" s="31" t="s">
        <v>23</v>
      </c>
      <c r="H374" s="17" t="n">
        <v>6170</v>
      </c>
      <c r="I374" s="32" t="n">
        <v>0.7</v>
      </c>
      <c r="J374" s="33" t="n">
        <v>0.6</v>
      </c>
      <c r="K374" s="34" t="n">
        <v>0.86</v>
      </c>
      <c r="L374" s="31" t="n">
        <v>0.95</v>
      </c>
      <c r="M374" s="31" t="n">
        <v>0.86</v>
      </c>
      <c r="N374" s="11" t="n">
        <v>2</v>
      </c>
      <c r="O374" s="12" t="s">
        <v>636</v>
      </c>
      <c r="P374" s="36" t="s">
        <v>633</v>
      </c>
      <c r="Q374" s="8"/>
      <c r="R374" s="8"/>
      <c r="S374" s="8"/>
      <c r="T374" s="8"/>
      <c r="U374" s="8"/>
      <c r="V374" s="8"/>
      <c r="W374" s="8"/>
      <c r="X374" s="8"/>
      <c r="Y374" s="8"/>
      <c r="Z374" s="8"/>
      <c r="AA374" s="8"/>
      <c r="AB374" s="8"/>
      <c r="AC374" s="8"/>
      <c r="AD374" s="8"/>
      <c r="AE374" s="8"/>
      <c r="AF374" s="8"/>
      <c r="AG374" s="8"/>
      <c r="AH374" s="8"/>
      <c r="AI374" s="8"/>
      <c r="AJ374" s="8"/>
      <c r="AK374" s="8"/>
      <c r="AL374" s="8"/>
      <c r="AM374" s="8"/>
    </row>
    <row r="375" customFormat="false" ht="15.75" hidden="false" customHeight="true" outlineLevel="0" collapsed="false">
      <c r="A375" s="30" t="n">
        <v>46304</v>
      </c>
      <c r="B375" s="31" t="s">
        <v>472</v>
      </c>
      <c r="C375" s="31" t="str">
        <f aca="false" t="array" ref="C375:C375">IF(B375="","",IFERROR(INDEX('CLM &amp; IM Mapping'!$B$2:$B$270,MATCH(TRIM(B375),'CLM &amp; IM Mapping'!$A$2:$A$270,0)),"Not Mapped"))</f>
        <v>Bangareppa CS</v>
      </c>
      <c r="D375" s="31" t="str">
        <f aca="false" t="array" ref="D375:D375">IF(B375="","",IFERROR(INDEX('CLM &amp; IM Mapping'!$C$2:$C$270,MATCH(TRIM(B375),'CLM &amp; IM Mapping'!$A$2:$A$270,0)),"Not Mapped"))</f>
        <v>Kishor K</v>
      </c>
      <c r="E375" s="31" t="s">
        <v>34</v>
      </c>
      <c r="F375" s="31" t="s">
        <v>562</v>
      </c>
      <c r="G375" s="31" t="s">
        <v>212</v>
      </c>
      <c r="H375" s="17" t="n">
        <v>5711</v>
      </c>
      <c r="I375" s="32" t="n">
        <v>0.7</v>
      </c>
      <c r="J375" s="33" t="n">
        <v>0.61</v>
      </c>
      <c r="K375" s="34" t="n">
        <v>0.86</v>
      </c>
      <c r="L375" s="31" t="n">
        <v>0.97</v>
      </c>
      <c r="M375" s="31" t="n">
        <v>0.86</v>
      </c>
      <c r="N375" s="11" t="n">
        <v>3</v>
      </c>
      <c r="O375" s="12" t="s">
        <v>631</v>
      </c>
      <c r="P375" s="38" t="s">
        <v>623</v>
      </c>
      <c r="Q375" s="8"/>
      <c r="R375" s="8"/>
      <c r="S375" s="8"/>
      <c r="T375" s="8"/>
      <c r="U375" s="8"/>
      <c r="V375" s="8"/>
      <c r="W375" s="8"/>
      <c r="X375" s="8"/>
      <c r="Y375" s="8"/>
      <c r="Z375" s="8"/>
      <c r="AA375" s="8"/>
      <c r="AB375" s="8"/>
      <c r="AC375" s="8"/>
      <c r="AD375" s="8"/>
      <c r="AE375" s="8"/>
      <c r="AF375" s="8"/>
      <c r="AG375" s="8"/>
      <c r="AH375" s="8"/>
      <c r="AI375" s="8"/>
      <c r="AJ375" s="8"/>
      <c r="AK375" s="8"/>
      <c r="AL375" s="8"/>
      <c r="AM375" s="8"/>
    </row>
    <row r="376" customFormat="false" ht="15.75" hidden="false" customHeight="true" outlineLevel="0" collapsed="false">
      <c r="A376" s="30" t="n">
        <v>46304</v>
      </c>
      <c r="B376" s="31" t="s">
        <v>38</v>
      </c>
      <c r="C376" s="31" t="str">
        <f aca="false" t="array" ref="C376:C376">IF(B376="","",IFERROR(INDEX('CLM &amp; IM Mapping'!$B$2:$B$270,MATCH(TRIM(B376),'CLM &amp; IM Mapping'!$A$2:$A$270,0)),"Not Mapped"))</f>
        <v>Vijay M</v>
      </c>
      <c r="D376" s="31" t="str">
        <f aca="false" t="array" ref="D376:D376">IF(B376="","",IFERROR(INDEX('CLM &amp; IM Mapping'!$C$2:$C$270,MATCH(TRIM(B376),'CLM &amp; IM Mapping'!$A$2:$A$270,0)),"Not Mapped"))</f>
        <v>Kantha Kumar</v>
      </c>
      <c r="E376" s="31" t="s">
        <v>34</v>
      </c>
      <c r="F376" s="31" t="s">
        <v>562</v>
      </c>
      <c r="G376" s="31" t="s">
        <v>23</v>
      </c>
      <c r="H376" s="17" t="n">
        <v>5355</v>
      </c>
      <c r="I376" s="32" t="n">
        <v>0.7</v>
      </c>
      <c r="J376" s="33" t="n">
        <v>0.61</v>
      </c>
      <c r="K376" s="34" t="n">
        <v>0.69</v>
      </c>
      <c r="L376" s="31" t="n">
        <v>0.93</v>
      </c>
      <c r="M376" s="31" t="n">
        <v>0.69</v>
      </c>
      <c r="N376" s="11" t="n">
        <v>5</v>
      </c>
      <c r="O376" s="12"/>
      <c r="P376" s="11"/>
      <c r="Q376" s="8"/>
      <c r="R376" s="8"/>
      <c r="S376" s="8"/>
      <c r="T376" s="8"/>
      <c r="U376" s="8"/>
      <c r="V376" s="8"/>
      <c r="W376" s="8"/>
      <c r="X376" s="8"/>
      <c r="Y376" s="8"/>
      <c r="Z376" s="8"/>
      <c r="AA376" s="8"/>
      <c r="AB376" s="8"/>
      <c r="AC376" s="8"/>
      <c r="AD376" s="8"/>
      <c r="AE376" s="8"/>
      <c r="AF376" s="8"/>
      <c r="AG376" s="8"/>
      <c r="AH376" s="8"/>
      <c r="AI376" s="8"/>
      <c r="AJ376" s="8"/>
      <c r="AK376" s="8"/>
      <c r="AL376" s="8"/>
      <c r="AM376" s="8"/>
    </row>
    <row r="377" customFormat="false" ht="15.75" hidden="false" customHeight="true" outlineLevel="0" collapsed="false">
      <c r="A377" s="30" t="n">
        <v>46304</v>
      </c>
      <c r="B377" s="31" t="s">
        <v>505</v>
      </c>
      <c r="C377" s="31" t="str">
        <f aca="false" t="array" ref="C377:C377">IF(B377="","",IFERROR(INDEX('CLM &amp; IM Mapping'!$B$2:$B$270,MATCH(TRIM(B377),'CLM &amp; IM Mapping'!$A$2:$A$270,0)),"Not Mapped"))</f>
        <v>Basil Scariya</v>
      </c>
      <c r="D377" s="31" t="str">
        <f aca="false" t="array" ref="D377:D377">IF(B377="","",IFERROR(INDEX('CLM &amp; IM Mapping'!$C$2:$C$270,MATCH(TRIM(B377),'CLM &amp; IM Mapping'!$A$2:$A$270,0)),"Not Mapped"))</f>
        <v>Prakash BS</v>
      </c>
      <c r="E377" s="31" t="s">
        <v>34</v>
      </c>
      <c r="F377" s="31" t="s">
        <v>562</v>
      </c>
      <c r="G377" s="31" t="s">
        <v>23</v>
      </c>
      <c r="H377" s="17" t="n">
        <v>6955</v>
      </c>
      <c r="I377" s="32" t="n">
        <v>0.7</v>
      </c>
      <c r="J377" s="33" t="n">
        <v>0.61</v>
      </c>
      <c r="K377" s="34" t="n">
        <v>0.93</v>
      </c>
      <c r="L377" s="31" t="n">
        <v>0.98</v>
      </c>
      <c r="M377" s="31" t="n">
        <v>0.93</v>
      </c>
      <c r="N377" s="11" t="n">
        <v>5</v>
      </c>
      <c r="O377" s="12" t="s">
        <v>642</v>
      </c>
      <c r="P377" s="36" t="s">
        <v>633</v>
      </c>
      <c r="Q377" s="8"/>
      <c r="R377" s="8"/>
      <c r="S377" s="8"/>
      <c r="T377" s="8"/>
      <c r="U377" s="8"/>
      <c r="V377" s="8"/>
      <c r="W377" s="8"/>
      <c r="X377" s="8"/>
      <c r="Y377" s="8"/>
      <c r="Z377" s="8"/>
      <c r="AA377" s="8"/>
      <c r="AB377" s="8"/>
      <c r="AC377" s="8"/>
      <c r="AD377" s="8"/>
      <c r="AE377" s="8"/>
      <c r="AF377" s="8"/>
      <c r="AG377" s="8"/>
      <c r="AH377" s="8"/>
      <c r="AI377" s="8"/>
      <c r="AJ377" s="8"/>
      <c r="AK377" s="8"/>
      <c r="AL377" s="8"/>
      <c r="AM377" s="8"/>
    </row>
    <row r="378" customFormat="false" ht="15.75" hidden="false" customHeight="true" outlineLevel="0" collapsed="false">
      <c r="A378" s="30" t="n">
        <v>46304</v>
      </c>
      <c r="B378" s="31" t="s">
        <v>413</v>
      </c>
      <c r="C378" s="31" t="str">
        <f aca="false" t="array" ref="C378:C378">IF(B378="","",IFERROR(INDEX('CLM &amp; IM Mapping'!$B$2:$B$270,MATCH(TRIM(B378),'CLM &amp; IM Mapping'!$A$2:$A$270,0)),"Not Mapped"))</f>
        <v>Arun Raj</v>
      </c>
      <c r="D378" s="31" t="str">
        <f aca="false" t="array" ref="D378:D378">IF(B378="","",IFERROR(INDEX('CLM &amp; IM Mapping'!$C$2:$C$270,MATCH(TRIM(B378),'CLM &amp; IM Mapping'!$A$2:$A$270,0)),"Not Mapped"))</f>
        <v>Simon Manoharan</v>
      </c>
      <c r="E378" s="31" t="s">
        <v>25</v>
      </c>
      <c r="F378" s="31" t="s">
        <v>565</v>
      </c>
      <c r="G378" s="31" t="s">
        <v>23</v>
      </c>
      <c r="H378" s="17" t="n">
        <v>11966</v>
      </c>
      <c r="I378" s="32" t="n">
        <v>0.7</v>
      </c>
      <c r="J378" s="33" t="n">
        <v>0.61</v>
      </c>
      <c r="K378" s="34" t="n">
        <v>0.98</v>
      </c>
      <c r="L378" s="31" t="n">
        <v>1</v>
      </c>
      <c r="M378" s="31" t="n">
        <v>0.98</v>
      </c>
      <c r="N378" s="11" t="n">
        <v>1</v>
      </c>
      <c r="O378" s="12"/>
      <c r="P378" s="11"/>
      <c r="Q378" s="8"/>
      <c r="R378" s="8"/>
      <c r="S378" s="8"/>
      <c r="T378" s="8"/>
      <c r="U378" s="8"/>
      <c r="V378" s="8"/>
      <c r="W378" s="8"/>
      <c r="X378" s="8"/>
      <c r="Y378" s="8"/>
      <c r="Z378" s="8"/>
      <c r="AA378" s="8"/>
      <c r="AB378" s="8"/>
      <c r="AC378" s="8"/>
      <c r="AD378" s="8"/>
      <c r="AE378" s="8"/>
      <c r="AF378" s="8"/>
      <c r="AG378" s="8"/>
      <c r="AH378" s="8"/>
      <c r="AI378" s="8"/>
      <c r="AJ378" s="8"/>
      <c r="AK378" s="8"/>
      <c r="AL378" s="8"/>
      <c r="AM378" s="8"/>
    </row>
    <row r="379" customFormat="false" ht="15.75" hidden="false" customHeight="true" outlineLevel="0" collapsed="false">
      <c r="A379" s="30" t="n">
        <v>46304</v>
      </c>
      <c r="B379" s="31" t="s">
        <v>395</v>
      </c>
      <c r="C379" s="31" t="str">
        <f aca="false" t="array" ref="C379:C379">IF(B379="","",IFERROR(INDEX('CLM &amp; IM Mapping'!$B$2:$B$270,MATCH(TRIM(B379),'CLM &amp; IM Mapping'!$A$2:$A$270,0)),"Not Mapped"))</f>
        <v>Bangareppa CS</v>
      </c>
      <c r="D379" s="31" t="str">
        <f aca="false" t="array" ref="D379:D379">IF(B379="","",IFERROR(INDEX('CLM &amp; IM Mapping'!$C$2:$C$270,MATCH(TRIM(B379),'CLM &amp; IM Mapping'!$A$2:$A$270,0)),"Not Mapped"))</f>
        <v>Kishor K</v>
      </c>
      <c r="E379" s="31" t="s">
        <v>34</v>
      </c>
      <c r="F379" s="31" t="s">
        <v>562</v>
      </c>
      <c r="G379" s="31" t="s">
        <v>394</v>
      </c>
      <c r="H379" s="17" t="n">
        <v>5508</v>
      </c>
      <c r="I379" s="32" t="n">
        <v>0.7</v>
      </c>
      <c r="J379" s="33" t="n">
        <v>0.61</v>
      </c>
      <c r="K379" s="34" t="n">
        <v>0.98</v>
      </c>
      <c r="L379" s="31" t="n">
        <v>0.99</v>
      </c>
      <c r="M379" s="31" t="n">
        <v>0.98</v>
      </c>
      <c r="N379" s="11" t="n">
        <v>2</v>
      </c>
      <c r="O379" s="12" t="s">
        <v>631</v>
      </c>
      <c r="P379" s="38" t="s">
        <v>623</v>
      </c>
      <c r="Q379" s="8"/>
      <c r="R379" s="8"/>
      <c r="S379" s="8"/>
      <c r="T379" s="8"/>
      <c r="U379" s="8"/>
      <c r="V379" s="8"/>
      <c r="W379" s="8"/>
      <c r="X379" s="8"/>
      <c r="Y379" s="8"/>
      <c r="Z379" s="8"/>
      <c r="AA379" s="8"/>
      <c r="AB379" s="8"/>
      <c r="AC379" s="8"/>
      <c r="AD379" s="8"/>
      <c r="AE379" s="8"/>
      <c r="AF379" s="8"/>
      <c r="AG379" s="8"/>
      <c r="AH379" s="8"/>
      <c r="AI379" s="8"/>
      <c r="AJ379" s="8"/>
      <c r="AK379" s="8"/>
      <c r="AL379" s="8"/>
      <c r="AM379" s="8"/>
    </row>
    <row r="380" customFormat="false" ht="15.75" hidden="false" customHeight="true" outlineLevel="0" collapsed="false">
      <c r="A380" s="30" t="n">
        <v>46304</v>
      </c>
      <c r="B380" s="31" t="s">
        <v>306</v>
      </c>
      <c r="C380" s="31" t="str">
        <f aca="false" t="array" ref="C380:C380">IF(B380="","",IFERROR(INDEX('CLM &amp; IM Mapping'!$B$2:$B$270,MATCH(TRIM(B380),'CLM &amp; IM Mapping'!$A$2:$A$270,0)),"Not Mapped"))</f>
        <v>Narasimhamurthy R</v>
      </c>
      <c r="D380" s="31" t="str">
        <f aca="false" t="array" ref="D380:D380">IF(B380="","",IFERROR(INDEX('CLM &amp; IM Mapping'!$C$2:$C$270,MATCH(TRIM(B380),'CLM &amp; IM Mapping'!$A$2:$A$270,0)),"Not Mapped"))</f>
        <v>Kishor K</v>
      </c>
      <c r="E380" s="31" t="s">
        <v>34</v>
      </c>
      <c r="F380" s="31" t="s">
        <v>565</v>
      </c>
      <c r="G380" s="31" t="s">
        <v>23</v>
      </c>
      <c r="H380" s="17" t="n">
        <v>5477</v>
      </c>
      <c r="I380" s="32" t="n">
        <v>0.7</v>
      </c>
      <c r="J380" s="33" t="n">
        <v>0.61</v>
      </c>
      <c r="K380" s="34" t="n">
        <v>0.9</v>
      </c>
      <c r="L380" s="31" t="n">
        <v>0.96</v>
      </c>
      <c r="M380" s="31" t="n">
        <v>0.9</v>
      </c>
      <c r="N380" s="11" t="n">
        <v>3</v>
      </c>
      <c r="O380" s="12" t="s">
        <v>631</v>
      </c>
      <c r="P380" s="38" t="s">
        <v>623</v>
      </c>
      <c r="Q380" s="8"/>
      <c r="R380" s="8"/>
      <c r="S380" s="8"/>
      <c r="T380" s="8"/>
      <c r="U380" s="8"/>
      <c r="V380" s="8"/>
      <c r="W380" s="8"/>
      <c r="X380" s="8"/>
      <c r="Y380" s="8"/>
      <c r="Z380" s="8"/>
      <c r="AA380" s="8"/>
      <c r="AB380" s="8"/>
      <c r="AC380" s="8"/>
      <c r="AD380" s="8"/>
      <c r="AE380" s="8"/>
      <c r="AF380" s="8"/>
      <c r="AG380" s="8"/>
      <c r="AH380" s="8"/>
      <c r="AI380" s="8"/>
      <c r="AJ380" s="8"/>
      <c r="AK380" s="8"/>
      <c r="AL380" s="8"/>
      <c r="AM380" s="8"/>
    </row>
    <row r="381" customFormat="false" ht="15.75" hidden="false" customHeight="true" outlineLevel="0" collapsed="false">
      <c r="A381" s="30" t="n">
        <v>46304</v>
      </c>
      <c r="B381" s="31" t="s">
        <v>337</v>
      </c>
      <c r="C381" s="31" t="str">
        <f aca="false" t="array" ref="C381:C381">IF(B381="","",IFERROR(INDEX('CLM &amp; IM Mapping'!$B$2:$B$270,MATCH(TRIM(B381),'CLM &amp; IM Mapping'!$A$2:$A$270,0)),"Not Mapped"))</f>
        <v>Akshay P</v>
      </c>
      <c r="D381" s="31" t="str">
        <f aca="false" t="array" ref="D381:D381">IF(B381="","",IFERROR(INDEX('CLM &amp; IM Mapping'!$C$2:$C$270,MATCH(TRIM(B381),'CLM &amp; IM Mapping'!$A$2:$A$270,0)),"Not Mapped"))</f>
        <v>Srittam Dhal</v>
      </c>
      <c r="E381" s="31" t="s">
        <v>34</v>
      </c>
      <c r="F381" s="31" t="s">
        <v>565</v>
      </c>
      <c r="G381" s="31" t="s">
        <v>336</v>
      </c>
      <c r="H381" s="17" t="n">
        <v>7007</v>
      </c>
      <c r="I381" s="32" t="n">
        <v>0.7</v>
      </c>
      <c r="J381" s="33" t="n">
        <v>0.61</v>
      </c>
      <c r="K381" s="34" t="n">
        <v>0.97</v>
      </c>
      <c r="L381" s="31" t="n">
        <v>0.98</v>
      </c>
      <c r="M381" s="31" t="n">
        <v>0.97</v>
      </c>
      <c r="N381" s="11" t="n">
        <v>1</v>
      </c>
      <c r="O381" s="12" t="s">
        <v>660</v>
      </c>
      <c r="P381" s="11" t="s">
        <v>623</v>
      </c>
      <c r="Q381" s="8"/>
      <c r="R381" s="8"/>
      <c r="S381" s="8"/>
      <c r="T381" s="8"/>
      <c r="U381" s="8"/>
      <c r="V381" s="8"/>
      <c r="W381" s="8"/>
      <c r="X381" s="8"/>
      <c r="Y381" s="8"/>
      <c r="Z381" s="8"/>
      <c r="AA381" s="8"/>
      <c r="AB381" s="8"/>
      <c r="AC381" s="8"/>
      <c r="AD381" s="8"/>
      <c r="AE381" s="8"/>
      <c r="AF381" s="8"/>
      <c r="AG381" s="8"/>
      <c r="AH381" s="8"/>
      <c r="AI381" s="8"/>
      <c r="AJ381" s="8"/>
      <c r="AK381" s="8"/>
      <c r="AL381" s="8"/>
      <c r="AM381" s="8"/>
    </row>
    <row r="382" customFormat="false" ht="15.75" hidden="false" customHeight="true" outlineLevel="0" collapsed="false">
      <c r="A382" s="30" t="n">
        <v>46304</v>
      </c>
      <c r="B382" s="31" t="s">
        <v>470</v>
      </c>
      <c r="C382" s="31" t="str">
        <f aca="false" t="array" ref="C382:C382">IF(B382="","",IFERROR(INDEX('CLM &amp; IM Mapping'!$B$2:$B$270,MATCH(TRIM(B382),'CLM &amp; IM Mapping'!$A$2:$A$270,0)),"Not Mapped"))</f>
        <v>Vishnu V</v>
      </c>
      <c r="D382" s="31" t="str">
        <f aca="false" t="array" ref="D382:D382">IF(B382="","",IFERROR(INDEX('CLM &amp; IM Mapping'!$C$2:$C$270,MATCH(TRIM(B382),'CLM &amp; IM Mapping'!$A$2:$A$270,0)),"Not Mapped"))</f>
        <v>Arivind S</v>
      </c>
      <c r="E382" s="31" t="s">
        <v>34</v>
      </c>
      <c r="F382" s="31" t="s">
        <v>565</v>
      </c>
      <c r="G382" s="31" t="s">
        <v>221</v>
      </c>
      <c r="H382" s="17" t="n">
        <v>6661</v>
      </c>
      <c r="I382" s="32" t="n">
        <v>0.7</v>
      </c>
      <c r="J382" s="33" t="n">
        <v>0.62</v>
      </c>
      <c r="K382" s="34" t="n">
        <v>0.96</v>
      </c>
      <c r="L382" s="31" t="n">
        <v>0.99</v>
      </c>
      <c r="M382" s="31" t="n">
        <v>0.96</v>
      </c>
      <c r="N382" s="11" t="n">
        <v>1</v>
      </c>
      <c r="O382" s="12"/>
      <c r="P382" s="11"/>
      <c r="Q382" s="8"/>
      <c r="R382" s="8"/>
      <c r="S382" s="8"/>
      <c r="T382" s="8"/>
      <c r="U382" s="8"/>
      <c r="V382" s="8"/>
      <c r="W382" s="8"/>
      <c r="X382" s="8"/>
      <c r="Y382" s="8"/>
      <c r="Z382" s="8"/>
      <c r="AA382" s="8"/>
      <c r="AB382" s="8"/>
      <c r="AC382" s="8"/>
      <c r="AD382" s="8"/>
      <c r="AE382" s="8"/>
      <c r="AF382" s="8"/>
      <c r="AG382" s="8"/>
      <c r="AH382" s="8"/>
      <c r="AI382" s="8"/>
      <c r="AJ382" s="8"/>
      <c r="AK382" s="8"/>
      <c r="AL382" s="8"/>
      <c r="AM382" s="8"/>
    </row>
    <row r="383" customFormat="false" ht="15.75" hidden="false" customHeight="true" outlineLevel="0" collapsed="false">
      <c r="A383" s="30" t="n">
        <v>46304</v>
      </c>
      <c r="B383" s="31" t="s">
        <v>397</v>
      </c>
      <c r="C383" s="31" t="str">
        <f aca="false" t="array" ref="C383:C383">IF(B383="","",IFERROR(INDEX('CLM &amp; IM Mapping'!$B$2:$B$270,MATCH(TRIM(B383),'CLM &amp; IM Mapping'!$A$2:$A$270,0)),"Not Mapped"))</f>
        <v>Akshay P</v>
      </c>
      <c r="D383" s="31" t="str">
        <f aca="false" t="array" ref="D383:D383">IF(B383="","",IFERROR(INDEX('CLM &amp; IM Mapping'!$C$2:$C$270,MATCH(TRIM(B383),'CLM &amp; IM Mapping'!$A$2:$A$270,0)),"Not Mapped"))</f>
        <v>Srittam Dhal</v>
      </c>
      <c r="E383" s="31" t="s">
        <v>34</v>
      </c>
      <c r="F383" s="31" t="s">
        <v>562</v>
      </c>
      <c r="G383" s="31" t="s">
        <v>23</v>
      </c>
      <c r="H383" s="17" t="n">
        <v>5173</v>
      </c>
      <c r="I383" s="32" t="n">
        <v>0.7</v>
      </c>
      <c r="J383" s="33" t="n">
        <v>0.62</v>
      </c>
      <c r="K383" s="34" t="n">
        <v>0.88</v>
      </c>
      <c r="L383" s="31" t="n">
        <v>0.96</v>
      </c>
      <c r="M383" s="31" t="n">
        <v>0.88</v>
      </c>
      <c r="N383" s="11" t="n">
        <v>2</v>
      </c>
      <c r="O383" s="12" t="s">
        <v>661</v>
      </c>
      <c r="P383" s="11" t="s">
        <v>603</v>
      </c>
      <c r="Q383" s="8"/>
      <c r="R383" s="8"/>
      <c r="S383" s="8"/>
      <c r="T383" s="8"/>
      <c r="U383" s="8"/>
      <c r="V383" s="8"/>
      <c r="W383" s="8"/>
      <c r="X383" s="8"/>
      <c r="Y383" s="8"/>
      <c r="Z383" s="8"/>
      <c r="AA383" s="8"/>
      <c r="AB383" s="8"/>
      <c r="AC383" s="8"/>
      <c r="AD383" s="8"/>
      <c r="AE383" s="8"/>
      <c r="AF383" s="8"/>
      <c r="AG383" s="8"/>
      <c r="AH383" s="8"/>
      <c r="AI383" s="8"/>
      <c r="AJ383" s="8"/>
      <c r="AK383" s="8"/>
      <c r="AL383" s="8"/>
      <c r="AM383" s="8"/>
    </row>
    <row r="384" customFormat="false" ht="15.75" hidden="false" customHeight="true" outlineLevel="0" collapsed="false">
      <c r="A384" s="30" t="n">
        <v>46304</v>
      </c>
      <c r="B384" s="31" t="s">
        <v>500</v>
      </c>
      <c r="C384" s="31" t="str">
        <f aca="false" t="array" ref="C384:C384">IF(B384="","",IFERROR(INDEX('CLM &amp; IM Mapping'!$B$2:$B$270,MATCH(TRIM(B384),'CLM &amp; IM Mapping'!$A$2:$A$270,0)),"Not Mapped"))</f>
        <v>Ravishankar gowda</v>
      </c>
      <c r="D384" s="31" t="str">
        <f aca="false" t="array" ref="D384:D384">IF(B384="","",IFERROR(INDEX('CLM &amp; IM Mapping'!$C$2:$C$270,MATCH(TRIM(B384),'CLM &amp; IM Mapping'!$A$2:$A$270,0)),"Not Mapped"))</f>
        <v>Kishor K</v>
      </c>
      <c r="E384" s="31" t="s">
        <v>34</v>
      </c>
      <c r="F384" s="31" t="s">
        <v>562</v>
      </c>
      <c r="G384" s="31" t="s">
        <v>23</v>
      </c>
      <c r="H384" s="17" t="n">
        <v>4147</v>
      </c>
      <c r="I384" s="32" t="n">
        <v>0.7</v>
      </c>
      <c r="J384" s="33" t="n">
        <v>0.62</v>
      </c>
      <c r="K384" s="34" t="n">
        <v>0.92</v>
      </c>
      <c r="L384" s="31" t="n">
        <v>0.95</v>
      </c>
      <c r="M384" s="31" t="n">
        <v>0.92</v>
      </c>
      <c r="N384" s="11" t="n">
        <v>2</v>
      </c>
      <c r="O384" s="12" t="s">
        <v>631</v>
      </c>
      <c r="P384" s="38" t="s">
        <v>623</v>
      </c>
      <c r="Q384" s="8"/>
      <c r="R384" s="8"/>
      <c r="S384" s="8"/>
      <c r="T384" s="8"/>
      <c r="U384" s="8"/>
      <c r="V384" s="8"/>
      <c r="W384" s="8"/>
      <c r="X384" s="8"/>
      <c r="Y384" s="8"/>
      <c r="Z384" s="8"/>
      <c r="AA384" s="8"/>
      <c r="AB384" s="8"/>
      <c r="AC384" s="8"/>
      <c r="AD384" s="8"/>
      <c r="AE384" s="8"/>
      <c r="AF384" s="8"/>
      <c r="AG384" s="8"/>
      <c r="AH384" s="8"/>
      <c r="AI384" s="8"/>
      <c r="AJ384" s="8"/>
      <c r="AK384" s="8"/>
      <c r="AL384" s="8"/>
      <c r="AM384" s="8"/>
    </row>
    <row r="385" customFormat="false" ht="15.75" hidden="false" customHeight="true" outlineLevel="0" collapsed="false">
      <c r="A385" s="30" t="n">
        <v>46304</v>
      </c>
      <c r="B385" s="31" t="s">
        <v>445</v>
      </c>
      <c r="C385" s="31" t="str">
        <f aca="false" t="array" ref="C385:C385">IF(B385="","",IFERROR(INDEX('CLM &amp; IM Mapping'!$B$2:$B$270,MATCH(TRIM(B385),'CLM &amp; IM Mapping'!$A$2:$A$270,0)),"Not Mapped"))</f>
        <v>Sundaresh S</v>
      </c>
      <c r="D385" s="31" t="str">
        <f aca="false" t="array" ref="D385:D385">IF(B385="","",IFERROR(INDEX('CLM &amp; IM Mapping'!$C$2:$C$270,MATCH(TRIM(B385),'CLM &amp; IM Mapping'!$A$2:$A$270,0)),"Not Mapped"))</f>
        <v>Un Mapped</v>
      </c>
      <c r="E385" s="31" t="s">
        <v>34</v>
      </c>
      <c r="F385" s="31" t="s">
        <v>562</v>
      </c>
      <c r="G385" s="31" t="s">
        <v>23</v>
      </c>
      <c r="H385" s="17" t="n">
        <v>7106</v>
      </c>
      <c r="I385" s="32" t="n">
        <v>0.7</v>
      </c>
      <c r="J385" s="33" t="n">
        <v>0.62</v>
      </c>
      <c r="K385" s="34" t="n">
        <v>0.97</v>
      </c>
      <c r="L385" s="31" t="n">
        <v>0.99</v>
      </c>
      <c r="M385" s="31"/>
      <c r="N385" s="11" t="n">
        <v>2</v>
      </c>
      <c r="O385" s="12"/>
      <c r="P385" s="11"/>
      <c r="Q385" s="8"/>
      <c r="R385" s="8"/>
      <c r="S385" s="8"/>
      <c r="T385" s="8"/>
      <c r="U385" s="8"/>
      <c r="V385" s="8"/>
      <c r="W385" s="8"/>
      <c r="X385" s="8"/>
      <c r="Y385" s="8"/>
      <c r="Z385" s="8"/>
      <c r="AA385" s="8"/>
      <c r="AB385" s="8"/>
      <c r="AC385" s="8"/>
      <c r="AD385" s="8"/>
      <c r="AE385" s="8"/>
      <c r="AF385" s="8"/>
      <c r="AG385" s="8"/>
      <c r="AH385" s="8"/>
      <c r="AI385" s="8"/>
      <c r="AJ385" s="8"/>
      <c r="AK385" s="8"/>
      <c r="AL385" s="8"/>
      <c r="AM385" s="8"/>
    </row>
    <row r="386" customFormat="false" ht="15.75" hidden="false" customHeight="true" outlineLevel="0" collapsed="false">
      <c r="A386" s="30" t="n">
        <v>46304</v>
      </c>
      <c r="B386" s="31" t="s">
        <v>284</v>
      </c>
      <c r="C386" s="31" t="str">
        <f aca="false" t="array" ref="C386:C386">IF(B386="","",IFERROR(INDEX('CLM &amp; IM Mapping'!$B$2:$B$270,MATCH(TRIM(B386),'CLM &amp; IM Mapping'!$A$2:$A$270,0)),"Not Mapped"))</f>
        <v>Balaji G</v>
      </c>
      <c r="D386" s="31" t="str">
        <f aca="false" t="array" ref="D386:D386">IF(B386="","",IFERROR(INDEX('CLM &amp; IM Mapping'!$C$2:$C$270,MATCH(TRIM(B386),'CLM &amp; IM Mapping'!$A$2:$A$270,0)),"Not Mapped"))</f>
        <v>Mohammed Akbar</v>
      </c>
      <c r="E386" s="31" t="s">
        <v>34</v>
      </c>
      <c r="F386" s="31" t="s">
        <v>562</v>
      </c>
      <c r="G386" s="31" t="s">
        <v>23</v>
      </c>
      <c r="H386" s="17" t="n">
        <v>6333</v>
      </c>
      <c r="I386" s="32" t="n">
        <v>0.7</v>
      </c>
      <c r="J386" s="33" t="n">
        <v>0.62</v>
      </c>
      <c r="K386" s="34" t="n">
        <v>0.89</v>
      </c>
      <c r="L386" s="31" t="n">
        <v>0.97</v>
      </c>
      <c r="M386" s="31" t="n">
        <v>0.89</v>
      </c>
      <c r="N386" s="11" t="n">
        <v>4</v>
      </c>
      <c r="O386" s="12"/>
      <c r="P386" s="11"/>
      <c r="Q386" s="8"/>
      <c r="R386" s="8"/>
      <c r="S386" s="8"/>
      <c r="T386" s="8"/>
      <c r="U386" s="8"/>
      <c r="V386" s="8"/>
      <c r="W386" s="8"/>
      <c r="X386" s="8"/>
      <c r="Y386" s="8"/>
      <c r="Z386" s="8"/>
      <c r="AA386" s="8"/>
      <c r="AB386" s="8"/>
      <c r="AC386" s="8"/>
      <c r="AD386" s="8"/>
      <c r="AE386" s="8"/>
      <c r="AF386" s="8"/>
      <c r="AG386" s="8"/>
      <c r="AH386" s="8"/>
      <c r="AI386" s="8"/>
      <c r="AJ386" s="8"/>
      <c r="AK386" s="8"/>
      <c r="AL386" s="8"/>
      <c r="AM386" s="8"/>
    </row>
    <row r="387" customFormat="false" ht="15.75" hidden="false" customHeight="true" outlineLevel="0" collapsed="false">
      <c r="A387" s="30" t="n">
        <v>46304</v>
      </c>
      <c r="B387" s="31" t="s">
        <v>222</v>
      </c>
      <c r="C387" s="31" t="str">
        <f aca="false" t="array" ref="C387:C387">IF(B387="","",IFERROR(INDEX('CLM &amp; IM Mapping'!$B$2:$B$270,MATCH(TRIM(B387),'CLM &amp; IM Mapping'!$A$2:$A$270,0)),"Not Mapped"))</f>
        <v>Vishnu V</v>
      </c>
      <c r="D387" s="31" t="str">
        <f aca="false" t="array" ref="D387:D387">IF(B387="","",IFERROR(INDEX('CLM &amp; IM Mapping'!$C$2:$C$270,MATCH(TRIM(B387),'CLM &amp; IM Mapping'!$A$2:$A$270,0)),"Not Mapped"))</f>
        <v>Arivind S</v>
      </c>
      <c r="E387" s="31" t="s">
        <v>34</v>
      </c>
      <c r="F387" s="31" t="s">
        <v>562</v>
      </c>
      <c r="G387" s="31" t="s">
        <v>221</v>
      </c>
      <c r="H387" s="17" t="n">
        <v>6377</v>
      </c>
      <c r="I387" s="32" t="n">
        <v>0.7</v>
      </c>
      <c r="J387" s="33" t="n">
        <v>0.62</v>
      </c>
      <c r="K387" s="34" t="n">
        <v>0.92</v>
      </c>
      <c r="L387" s="31" t="n">
        <v>0.98</v>
      </c>
      <c r="M387" s="31" t="n">
        <v>0.92</v>
      </c>
      <c r="N387" s="11" t="n">
        <v>3</v>
      </c>
      <c r="O387" s="12"/>
      <c r="P387" s="11"/>
      <c r="Q387" s="8"/>
      <c r="R387" s="8"/>
      <c r="S387" s="8"/>
      <c r="T387" s="8"/>
      <c r="U387" s="8"/>
      <c r="V387" s="8"/>
      <c r="W387" s="8"/>
      <c r="X387" s="8"/>
      <c r="Y387" s="8"/>
      <c r="Z387" s="8"/>
      <c r="AA387" s="8"/>
      <c r="AB387" s="8"/>
      <c r="AC387" s="8"/>
      <c r="AD387" s="8"/>
      <c r="AE387" s="8"/>
      <c r="AF387" s="8"/>
      <c r="AG387" s="8"/>
      <c r="AH387" s="8"/>
      <c r="AI387" s="8"/>
      <c r="AJ387" s="8"/>
      <c r="AK387" s="8"/>
      <c r="AL387" s="8"/>
      <c r="AM387" s="8"/>
    </row>
    <row r="388" customFormat="false" ht="15.75" hidden="false" customHeight="true" outlineLevel="0" collapsed="false">
      <c r="A388" s="30" t="n">
        <v>46304</v>
      </c>
      <c r="B388" s="31" t="s">
        <v>455</v>
      </c>
      <c r="C388" s="31" t="str">
        <f aca="false" t="array" ref="C388:C388">IF(B388="","",IFERROR(INDEX('CLM &amp; IM Mapping'!$B$2:$B$270,MATCH(TRIM(B388),'CLM &amp; IM Mapping'!$A$2:$A$270,0)),"Not Mapped"))</f>
        <v>Rizwan Ahmed</v>
      </c>
      <c r="D388" s="31" t="str">
        <f aca="false" t="array" ref="D388:D388">IF(B388="","",IFERROR(INDEX('CLM &amp; IM Mapping'!$C$2:$C$270,MATCH(TRIM(B388),'CLM &amp; IM Mapping'!$A$2:$A$270,0)),"Not Mapped"))</f>
        <v>Un Mapped</v>
      </c>
      <c r="E388" s="31" t="s">
        <v>34</v>
      </c>
      <c r="F388" s="31" t="s">
        <v>562</v>
      </c>
      <c r="G388" s="31" t="s">
        <v>23</v>
      </c>
      <c r="H388" s="17" t="n">
        <v>6360</v>
      </c>
      <c r="I388" s="32" t="n">
        <v>0.7</v>
      </c>
      <c r="J388" s="33" t="n">
        <v>0.63</v>
      </c>
      <c r="K388" s="34" t="n">
        <v>0.89</v>
      </c>
      <c r="L388" s="31" t="n">
        <v>0.96</v>
      </c>
      <c r="M388" s="31" t="n">
        <v>0.89</v>
      </c>
      <c r="N388" s="11" t="n">
        <v>3</v>
      </c>
      <c r="O388" s="12"/>
      <c r="P388" s="11"/>
      <c r="Q388" s="8"/>
      <c r="R388" s="8"/>
      <c r="S388" s="8"/>
      <c r="T388" s="8"/>
      <c r="U388" s="8"/>
      <c r="V388" s="8"/>
      <c r="W388" s="8"/>
      <c r="X388" s="8"/>
      <c r="Y388" s="8"/>
      <c r="Z388" s="8"/>
      <c r="AA388" s="8"/>
      <c r="AB388" s="8"/>
      <c r="AC388" s="8"/>
      <c r="AD388" s="8"/>
      <c r="AE388" s="8"/>
      <c r="AF388" s="8"/>
      <c r="AG388" s="8"/>
      <c r="AH388" s="8"/>
      <c r="AI388" s="8"/>
      <c r="AJ388" s="8"/>
      <c r="AK388" s="8"/>
      <c r="AL388" s="8"/>
      <c r="AM388" s="8"/>
    </row>
    <row r="389" customFormat="false" ht="15.75" hidden="false" customHeight="true" outlineLevel="0" collapsed="false">
      <c r="A389" s="30" t="n">
        <v>46304</v>
      </c>
      <c r="B389" s="31" t="s">
        <v>257</v>
      </c>
      <c r="C389" s="31" t="str">
        <f aca="false" t="array" ref="C389:C389">IF(B389="","",IFERROR(INDEX('CLM &amp; IM Mapping'!$B$2:$B$270,MATCH(TRIM(B389),'CLM &amp; IM Mapping'!$A$2:$A$270,0)),"Not Mapped"))</f>
        <v>Raghavendra Vernekar</v>
      </c>
      <c r="D389" s="31" t="str">
        <f aca="false" t="array" ref="D389:D389">IF(B389="","",IFERROR(INDEX('CLM &amp; IM Mapping'!$C$2:$C$270,MATCH(TRIM(B389),'CLM &amp; IM Mapping'!$A$2:$A$270,0)),"Not Mapped"))</f>
        <v>Prakash BS</v>
      </c>
      <c r="E389" s="31" t="s">
        <v>34</v>
      </c>
      <c r="F389" s="31" t="s">
        <v>562</v>
      </c>
      <c r="G389" s="31" t="s">
        <v>23</v>
      </c>
      <c r="H389" s="17" t="n">
        <v>5155</v>
      </c>
      <c r="I389" s="32" t="n">
        <v>0.7</v>
      </c>
      <c r="J389" s="33" t="n">
        <v>0.63</v>
      </c>
      <c r="K389" s="34" t="n">
        <v>0.87</v>
      </c>
      <c r="L389" s="31" t="n">
        <v>0.97</v>
      </c>
      <c r="M389" s="31" t="n">
        <v>0.87</v>
      </c>
      <c r="N389" s="11" t="n">
        <v>4</v>
      </c>
      <c r="O389" s="12" t="s">
        <v>643</v>
      </c>
      <c r="P389" s="37" t="n">
        <v>46305</v>
      </c>
      <c r="Q389" s="8"/>
      <c r="R389" s="8"/>
      <c r="S389" s="8"/>
      <c r="T389" s="8"/>
      <c r="U389" s="8"/>
      <c r="V389" s="8"/>
      <c r="W389" s="8"/>
      <c r="X389" s="8"/>
      <c r="Y389" s="8"/>
      <c r="Z389" s="8"/>
      <c r="AA389" s="8"/>
      <c r="AB389" s="8"/>
      <c r="AC389" s="8"/>
      <c r="AD389" s="8"/>
      <c r="AE389" s="8"/>
      <c r="AF389" s="8"/>
      <c r="AG389" s="8"/>
      <c r="AH389" s="8"/>
      <c r="AI389" s="8"/>
      <c r="AJ389" s="8"/>
      <c r="AK389" s="8"/>
      <c r="AL389" s="8"/>
      <c r="AM389" s="8"/>
    </row>
    <row r="390" customFormat="false" ht="15.75" hidden="false" customHeight="true" outlineLevel="0" collapsed="false">
      <c r="A390" s="30" t="n">
        <v>46304</v>
      </c>
      <c r="B390" s="31" t="s">
        <v>279</v>
      </c>
      <c r="C390" s="31" t="str">
        <f aca="false" t="array" ref="C390:C390">IF(B390="","",IFERROR(INDEX('CLM &amp; IM Mapping'!$B$2:$B$270,MATCH(TRIM(B390),'CLM &amp; IM Mapping'!$A$2:$A$270,0)),"Not Mapped"))</f>
        <v>Rizwan Ahmed</v>
      </c>
      <c r="D390" s="31" t="str">
        <f aca="false" t="array" ref="D390:D390">IF(B390="","",IFERROR(INDEX('CLM &amp; IM Mapping'!$C$2:$C$270,MATCH(TRIM(B390),'CLM &amp; IM Mapping'!$A$2:$A$270,0)),"Not Mapped"))</f>
        <v>Un Mapped</v>
      </c>
      <c r="E390" s="31" t="s">
        <v>34</v>
      </c>
      <c r="F390" s="31" t="s">
        <v>565</v>
      </c>
      <c r="G390" s="31" t="s">
        <v>23</v>
      </c>
      <c r="H390" s="17" t="n">
        <v>5449</v>
      </c>
      <c r="I390" s="32" t="n">
        <v>0.7</v>
      </c>
      <c r="J390" s="33" t="n">
        <v>0.64</v>
      </c>
      <c r="K390" s="34" t="n">
        <v>0.93</v>
      </c>
      <c r="L390" s="31" t="n">
        <v>0.98</v>
      </c>
      <c r="M390" s="31" t="n">
        <v>0.93</v>
      </c>
      <c r="N390" s="11" t="n">
        <v>3</v>
      </c>
      <c r="O390" s="12"/>
      <c r="P390" s="11"/>
      <c r="Q390" s="8"/>
      <c r="R390" s="8"/>
      <c r="S390" s="8"/>
      <c r="T390" s="8"/>
      <c r="U390" s="8"/>
      <c r="V390" s="8"/>
      <c r="W390" s="8"/>
      <c r="X390" s="8"/>
      <c r="Y390" s="8"/>
      <c r="Z390" s="8"/>
      <c r="AA390" s="8"/>
      <c r="AB390" s="8"/>
      <c r="AC390" s="8"/>
      <c r="AD390" s="8"/>
      <c r="AE390" s="8"/>
      <c r="AF390" s="8"/>
      <c r="AG390" s="8"/>
      <c r="AH390" s="8"/>
      <c r="AI390" s="8"/>
      <c r="AJ390" s="8"/>
      <c r="AK390" s="8"/>
      <c r="AL390" s="8"/>
      <c r="AM390" s="8"/>
    </row>
    <row r="391" customFormat="false" ht="15.75" hidden="false" customHeight="true" outlineLevel="0" collapsed="false">
      <c r="A391" s="30" t="n">
        <v>46304</v>
      </c>
      <c r="B391" s="31" t="s">
        <v>296</v>
      </c>
      <c r="C391" s="31" t="str">
        <f aca="false" t="array" ref="C391:C391">IF(B391="","",IFERROR(INDEX('CLM &amp; IM Mapping'!$B$2:$B$270,MATCH(TRIM(B391),'CLM &amp; IM Mapping'!$A$2:$A$270,0)),"Not Mapped"))</f>
        <v>Balaji G</v>
      </c>
      <c r="D391" s="31" t="str">
        <f aca="false" t="array" ref="D391:D391">IF(B391="","",IFERROR(INDEX('CLM &amp; IM Mapping'!$C$2:$C$270,MATCH(TRIM(B391),'CLM &amp; IM Mapping'!$A$2:$A$270,0)),"Not Mapped"))</f>
        <v>Mohammed Akbar</v>
      </c>
      <c r="E391" s="31" t="s">
        <v>34</v>
      </c>
      <c r="F391" s="31" t="s">
        <v>562</v>
      </c>
      <c r="G391" s="31" t="s">
        <v>23</v>
      </c>
      <c r="H391" s="17" t="n">
        <v>4674</v>
      </c>
      <c r="I391" s="32" t="n">
        <v>0.7</v>
      </c>
      <c r="J391" s="33" t="n">
        <v>0.64</v>
      </c>
      <c r="K391" s="34" t="n">
        <v>0.87</v>
      </c>
      <c r="L391" s="31" t="n">
        <v>0.97</v>
      </c>
      <c r="M391" s="31" t="n">
        <v>0.87</v>
      </c>
      <c r="N391" s="11" t="n">
        <v>2</v>
      </c>
      <c r="O391" s="12"/>
      <c r="P391" s="11"/>
      <c r="Q391" s="8"/>
      <c r="R391" s="8"/>
      <c r="S391" s="8"/>
      <c r="T391" s="8"/>
      <c r="U391" s="8"/>
      <c r="V391" s="8"/>
      <c r="W391" s="8"/>
      <c r="X391" s="8"/>
      <c r="Y391" s="8"/>
      <c r="Z391" s="8"/>
      <c r="AA391" s="8"/>
      <c r="AB391" s="8"/>
      <c r="AC391" s="8"/>
      <c r="AD391" s="8"/>
      <c r="AE391" s="8"/>
      <c r="AF391" s="8"/>
      <c r="AG391" s="8"/>
      <c r="AH391" s="8"/>
      <c r="AI391" s="8"/>
      <c r="AJ391" s="8"/>
      <c r="AK391" s="8"/>
      <c r="AL391" s="8"/>
      <c r="AM391" s="8"/>
    </row>
    <row r="392" customFormat="false" ht="15.75" hidden="false" customHeight="true" outlineLevel="0" collapsed="false">
      <c r="A392" s="30" t="n">
        <v>46304</v>
      </c>
      <c r="B392" s="31" t="s">
        <v>403</v>
      </c>
      <c r="C392" s="31" t="str">
        <f aca="false" t="array" ref="C392:C392">IF(B392="","",IFERROR(INDEX('CLM &amp; IM Mapping'!$B$2:$B$270,MATCH(TRIM(B392),'CLM &amp; IM Mapping'!$A$2:$A$270,0)),"Not Mapped"))</f>
        <v>Narasimhamurthy R</v>
      </c>
      <c r="D392" s="31" t="str">
        <f aca="false" t="array" ref="D392:D392">IF(B392="","",IFERROR(INDEX('CLM &amp; IM Mapping'!$C$2:$C$270,MATCH(TRIM(B392),'CLM &amp; IM Mapping'!$A$2:$A$270,0)),"Not Mapped"))</f>
        <v>Kishor K</v>
      </c>
      <c r="E392" s="31" t="s">
        <v>34</v>
      </c>
      <c r="F392" s="31" t="s">
        <v>562</v>
      </c>
      <c r="G392" s="31" t="s">
        <v>23</v>
      </c>
      <c r="H392" s="17" t="n">
        <v>5783</v>
      </c>
      <c r="I392" s="32" t="n">
        <v>0.7</v>
      </c>
      <c r="J392" s="33" t="n">
        <v>0.64</v>
      </c>
      <c r="K392" s="34" t="n">
        <v>0.86</v>
      </c>
      <c r="L392" s="31" t="n">
        <v>0.96</v>
      </c>
      <c r="M392" s="31" t="n">
        <v>0.86</v>
      </c>
      <c r="N392" s="11" t="n">
        <v>3</v>
      </c>
      <c r="O392" s="12" t="s">
        <v>631</v>
      </c>
      <c r="P392" s="38" t="s">
        <v>623</v>
      </c>
      <c r="Q392" s="8"/>
      <c r="R392" s="8"/>
      <c r="S392" s="8"/>
      <c r="T392" s="8"/>
      <c r="U392" s="8"/>
      <c r="V392" s="8"/>
      <c r="W392" s="8"/>
      <c r="X392" s="8"/>
      <c r="Y392" s="8"/>
      <c r="Z392" s="8"/>
      <c r="AA392" s="8"/>
      <c r="AB392" s="8"/>
      <c r="AC392" s="8"/>
      <c r="AD392" s="8"/>
      <c r="AE392" s="8"/>
      <c r="AF392" s="8"/>
      <c r="AG392" s="8"/>
      <c r="AH392" s="8"/>
      <c r="AI392" s="8"/>
      <c r="AJ392" s="8"/>
      <c r="AK392" s="8"/>
      <c r="AL392" s="8"/>
      <c r="AM392" s="8"/>
    </row>
    <row r="393" customFormat="false" ht="15.75" hidden="false" customHeight="true" outlineLevel="0" collapsed="false">
      <c r="A393" s="30" t="n">
        <v>46304</v>
      </c>
      <c r="B393" s="31" t="s">
        <v>314</v>
      </c>
      <c r="C393" s="31" t="str">
        <f aca="false" t="array" ref="C393:C393">IF(B393="","",IFERROR(INDEX('CLM &amp; IM Mapping'!$B$2:$B$270,MATCH(TRIM(B393),'CLM &amp; IM Mapping'!$A$2:$A$270,0)),"Not Mapped"))</f>
        <v>Basil Scariya</v>
      </c>
      <c r="D393" s="31" t="str">
        <f aca="false" t="array" ref="D393:D393">IF(B393="","",IFERROR(INDEX('CLM &amp; IM Mapping'!$C$2:$C$270,MATCH(TRIM(B393),'CLM &amp; IM Mapping'!$A$2:$A$270,0)),"Not Mapped"))</f>
        <v>Prakash BS</v>
      </c>
      <c r="E393" s="31" t="s">
        <v>34</v>
      </c>
      <c r="F393" s="31" t="s">
        <v>562</v>
      </c>
      <c r="G393" s="31" t="s">
        <v>23</v>
      </c>
      <c r="H393" s="17" t="n">
        <v>6269</v>
      </c>
      <c r="I393" s="32" t="n">
        <v>0.7</v>
      </c>
      <c r="J393" s="33" t="n">
        <v>0.64</v>
      </c>
      <c r="K393" s="34" t="n">
        <v>0.87</v>
      </c>
      <c r="L393" s="31" t="n">
        <v>0.96</v>
      </c>
      <c r="M393" s="31" t="n">
        <v>0.87</v>
      </c>
      <c r="N393" s="11" t="n">
        <v>4</v>
      </c>
      <c r="O393" s="12" t="s">
        <v>645</v>
      </c>
      <c r="P393" s="37" t="n">
        <v>46366</v>
      </c>
      <c r="Q393" s="8"/>
      <c r="R393" s="8"/>
      <c r="S393" s="8"/>
      <c r="T393" s="8"/>
      <c r="U393" s="8"/>
      <c r="V393" s="8"/>
      <c r="W393" s="8"/>
      <c r="X393" s="8"/>
      <c r="Y393" s="8"/>
      <c r="Z393" s="8"/>
      <c r="AA393" s="8"/>
      <c r="AB393" s="8"/>
      <c r="AC393" s="8"/>
      <c r="AD393" s="8"/>
      <c r="AE393" s="8"/>
      <c r="AF393" s="8"/>
      <c r="AG393" s="8"/>
      <c r="AH393" s="8"/>
      <c r="AI393" s="8"/>
      <c r="AJ393" s="8"/>
      <c r="AK393" s="8"/>
      <c r="AL393" s="8"/>
      <c r="AM393" s="8"/>
    </row>
    <row r="394" customFormat="false" ht="15.75" hidden="false" customHeight="true" outlineLevel="0" collapsed="false">
      <c r="A394" s="30" t="n">
        <v>46304</v>
      </c>
      <c r="B394" s="31" t="s">
        <v>465</v>
      </c>
      <c r="C394" s="31" t="str">
        <f aca="false" t="array" ref="C394:C394">IF(B394="","",IFERROR(INDEX('CLM &amp; IM Mapping'!$B$2:$B$270,MATCH(TRIM(B394),'CLM &amp; IM Mapping'!$A$2:$A$270,0)),"Not Mapped"))</f>
        <v>Suhas N</v>
      </c>
      <c r="D394" s="31" t="str">
        <f aca="false" t="array" ref="D394:D394">IF(B394="","",IFERROR(INDEX('CLM &amp; IM Mapping'!$C$2:$C$270,MATCH(TRIM(B394),'CLM &amp; IM Mapping'!$A$2:$A$270,0)),"Not Mapped"))</f>
        <v>Aravind S</v>
      </c>
      <c r="E394" s="31" t="s">
        <v>34</v>
      </c>
      <c r="F394" s="31" t="s">
        <v>562</v>
      </c>
      <c r="G394" s="31" t="s">
        <v>23</v>
      </c>
      <c r="H394" s="17" t="n">
        <v>4895</v>
      </c>
      <c r="I394" s="32" t="n">
        <v>0.7</v>
      </c>
      <c r="J394" s="33" t="n">
        <v>0.64</v>
      </c>
      <c r="K394" s="34" t="n">
        <v>0.93</v>
      </c>
      <c r="L394" s="31" t="n">
        <v>0.98</v>
      </c>
      <c r="M394" s="31" t="n">
        <v>0.93</v>
      </c>
      <c r="N394" s="11" t="n">
        <v>4</v>
      </c>
      <c r="O394" s="12"/>
      <c r="P394" s="11"/>
      <c r="Q394" s="8"/>
      <c r="R394" s="8"/>
      <c r="S394" s="8"/>
      <c r="T394" s="8"/>
      <c r="U394" s="8"/>
      <c r="V394" s="8"/>
      <c r="W394" s="8"/>
      <c r="X394" s="8"/>
      <c r="Y394" s="8"/>
      <c r="Z394" s="8"/>
      <c r="AA394" s="8"/>
      <c r="AB394" s="8"/>
      <c r="AC394" s="8"/>
      <c r="AD394" s="8"/>
      <c r="AE394" s="8"/>
      <c r="AF394" s="8"/>
      <c r="AG394" s="8"/>
      <c r="AH394" s="8"/>
      <c r="AI394" s="8"/>
      <c r="AJ394" s="8"/>
      <c r="AK394" s="8"/>
      <c r="AL394" s="8"/>
      <c r="AM394" s="8"/>
    </row>
    <row r="395" customFormat="false" ht="15.75" hidden="false" customHeight="true" outlineLevel="0" collapsed="false">
      <c r="A395" s="30" t="n">
        <v>46304</v>
      </c>
      <c r="B395" s="31" t="s">
        <v>311</v>
      </c>
      <c r="C395" s="31" t="str">
        <f aca="false" t="array" ref="C395:C395">IF(B395="","",IFERROR(INDEX('CLM &amp; IM Mapping'!$B$2:$B$270,MATCH(TRIM(B395),'CLM &amp; IM Mapping'!$A$2:$A$270,0)),"Not Mapped"))</f>
        <v>Manjunatha V</v>
      </c>
      <c r="D395" s="31" t="str">
        <f aca="false" t="array" ref="D395:D395">IF(B395="","",IFERROR(INDEX('CLM &amp; IM Mapping'!$C$2:$C$270,MATCH(TRIM(B395),'CLM &amp; IM Mapping'!$A$2:$A$270,0)),"Not Mapped"))</f>
        <v>Un Mapped</v>
      </c>
      <c r="E395" s="31" t="s">
        <v>34</v>
      </c>
      <c r="F395" s="31" t="s">
        <v>565</v>
      </c>
      <c r="G395" s="31" t="s">
        <v>23</v>
      </c>
      <c r="H395" s="17" t="n">
        <v>5222</v>
      </c>
      <c r="I395" s="32" t="n">
        <v>0.7</v>
      </c>
      <c r="J395" s="33" t="n">
        <v>0.65</v>
      </c>
      <c r="K395" s="34" t="n">
        <v>0.81</v>
      </c>
      <c r="L395" s="31" t="n">
        <v>0.96</v>
      </c>
      <c r="M395" s="31" t="n">
        <v>0.81</v>
      </c>
      <c r="N395" s="11" t="n">
        <v>4</v>
      </c>
      <c r="O395" s="12"/>
      <c r="P395" s="11"/>
      <c r="Q395" s="8"/>
      <c r="R395" s="8"/>
      <c r="S395" s="8"/>
      <c r="T395" s="8"/>
      <c r="U395" s="8"/>
      <c r="V395" s="8"/>
      <c r="W395" s="8"/>
      <c r="X395" s="8"/>
      <c r="Y395" s="8"/>
      <c r="Z395" s="8"/>
      <c r="AA395" s="8"/>
      <c r="AB395" s="8"/>
      <c r="AC395" s="8"/>
      <c r="AD395" s="8"/>
      <c r="AE395" s="8"/>
      <c r="AF395" s="8"/>
      <c r="AG395" s="8"/>
      <c r="AH395" s="8"/>
      <c r="AI395" s="8"/>
      <c r="AJ395" s="8"/>
      <c r="AK395" s="8"/>
      <c r="AL395" s="8"/>
      <c r="AM395" s="8"/>
    </row>
    <row r="396" customFormat="false" ht="15.75" hidden="false" customHeight="true" outlineLevel="0" collapsed="false">
      <c r="A396" s="30" t="n">
        <v>46304</v>
      </c>
      <c r="B396" s="31" t="s">
        <v>271</v>
      </c>
      <c r="C396" s="31" t="str">
        <f aca="false" t="array" ref="C396:C396">IF(B396="","",IFERROR(INDEX('CLM &amp; IM Mapping'!$B$2:$B$270,MATCH(TRIM(B396),'CLM &amp; IM Mapping'!$A$2:$A$270,0)),"Not Mapped"))</f>
        <v>Rizwan Ahmed</v>
      </c>
      <c r="D396" s="31" t="str">
        <f aca="false" t="array" ref="D396:D396">IF(B396="","",IFERROR(INDEX('CLM &amp; IM Mapping'!$C$2:$C$270,MATCH(TRIM(B396),'CLM &amp; IM Mapping'!$A$2:$A$270,0)),"Not Mapped"))</f>
        <v>Prakash BS</v>
      </c>
      <c r="E396" s="31" t="s">
        <v>34</v>
      </c>
      <c r="F396" s="31" t="s">
        <v>562</v>
      </c>
      <c r="G396" s="31" t="s">
        <v>23</v>
      </c>
      <c r="H396" s="17" t="n">
        <v>7382</v>
      </c>
      <c r="I396" s="32" t="n">
        <v>0.7</v>
      </c>
      <c r="J396" s="33" t="n">
        <v>0.65</v>
      </c>
      <c r="K396" s="34" t="n">
        <v>0.88</v>
      </c>
      <c r="L396" s="31" t="n">
        <v>0.97</v>
      </c>
      <c r="M396" s="31" t="n">
        <v>0.88</v>
      </c>
      <c r="N396" s="11" t="n">
        <v>6</v>
      </c>
      <c r="O396" s="12" t="s">
        <v>644</v>
      </c>
      <c r="P396" s="37" t="n">
        <v>46366</v>
      </c>
      <c r="Q396" s="8"/>
      <c r="R396" s="8"/>
      <c r="S396" s="8"/>
      <c r="T396" s="8"/>
      <c r="U396" s="8"/>
      <c r="V396" s="8"/>
      <c r="W396" s="8"/>
      <c r="X396" s="8"/>
      <c r="Y396" s="8"/>
      <c r="Z396" s="8"/>
      <c r="AA396" s="8"/>
      <c r="AB396" s="8"/>
      <c r="AC396" s="8"/>
      <c r="AD396" s="8"/>
      <c r="AE396" s="8"/>
      <c r="AF396" s="8"/>
      <c r="AG396" s="8"/>
      <c r="AH396" s="8"/>
      <c r="AI396" s="8"/>
      <c r="AJ396" s="8"/>
      <c r="AK396" s="8"/>
      <c r="AL396" s="8"/>
      <c r="AM396" s="8"/>
    </row>
    <row r="397" customFormat="false" ht="15.75" hidden="false" customHeight="true" outlineLevel="0" collapsed="false">
      <c r="A397" s="30" t="n">
        <v>46304</v>
      </c>
      <c r="B397" s="31" t="s">
        <v>423</v>
      </c>
      <c r="C397" s="31" t="str">
        <f aca="false" t="array" ref="C397:C397">IF(B397="","",IFERROR(INDEX('CLM &amp; IM Mapping'!$B$2:$B$270,MATCH(TRIM(B397),'CLM &amp; IM Mapping'!$A$2:$A$270,0)),"Not Mapped"))</f>
        <v>Ashwath S</v>
      </c>
      <c r="D397" s="31" t="str">
        <f aca="false" t="array" ref="D397:D397">IF(B397="","",IFERROR(INDEX('CLM &amp; IM Mapping'!$C$2:$C$270,MATCH(TRIM(B397),'CLM &amp; IM Mapping'!$A$2:$A$270,0)),"Not Mapped"))</f>
        <v>Kantha Kumar</v>
      </c>
      <c r="E397" s="31" t="s">
        <v>34</v>
      </c>
      <c r="F397" s="31" t="s">
        <v>562</v>
      </c>
      <c r="G397" s="31" t="s">
        <v>23</v>
      </c>
      <c r="H397" s="17" t="n">
        <v>6865</v>
      </c>
      <c r="I397" s="32" t="n">
        <v>0.7</v>
      </c>
      <c r="J397" s="33" t="n">
        <v>0.65</v>
      </c>
      <c r="K397" s="34" t="n">
        <v>0.95</v>
      </c>
      <c r="L397" s="31" t="n">
        <v>0.98</v>
      </c>
      <c r="M397" s="31"/>
      <c r="N397" s="11" t="n">
        <v>2</v>
      </c>
      <c r="O397" s="12"/>
      <c r="P397" s="11"/>
      <c r="Q397" s="8"/>
      <c r="R397" s="8"/>
      <c r="S397" s="8"/>
      <c r="T397" s="8"/>
      <c r="U397" s="8"/>
      <c r="V397" s="8"/>
      <c r="W397" s="8"/>
      <c r="X397" s="8"/>
      <c r="Y397" s="8"/>
      <c r="Z397" s="8"/>
      <c r="AA397" s="8"/>
      <c r="AB397" s="8"/>
      <c r="AC397" s="8"/>
      <c r="AD397" s="8"/>
      <c r="AE397" s="8"/>
      <c r="AF397" s="8"/>
      <c r="AG397" s="8"/>
      <c r="AH397" s="8"/>
      <c r="AI397" s="8"/>
      <c r="AJ397" s="8"/>
      <c r="AK397" s="8"/>
      <c r="AL397" s="8"/>
      <c r="AM397" s="8"/>
    </row>
    <row r="398" customFormat="false" ht="15.75" hidden="false" customHeight="true" outlineLevel="0" collapsed="false">
      <c r="A398" s="30" t="n">
        <v>46304</v>
      </c>
      <c r="B398" s="31" t="s">
        <v>416</v>
      </c>
      <c r="C398" s="31" t="str">
        <f aca="false" t="array" ref="C398:C398">IF(B398="","",IFERROR(INDEX('CLM &amp; IM Mapping'!$B$2:$B$270,MATCH(TRIM(B398),'CLM &amp; IM Mapping'!$A$2:$A$270,0)),"Not Mapped"))</f>
        <v>Girish N</v>
      </c>
      <c r="D398" s="31" t="str">
        <f aca="false" t="array" ref="D398:D398">IF(B398="","",IFERROR(INDEX('CLM &amp; IM Mapping'!$C$2:$C$270,MATCH(TRIM(B398),'CLM &amp; IM Mapping'!$A$2:$A$270,0)),"Not Mapped"))</f>
        <v>Un Mapped</v>
      </c>
      <c r="E398" s="31" t="s">
        <v>34</v>
      </c>
      <c r="F398" s="31" t="s">
        <v>562</v>
      </c>
      <c r="G398" s="31" t="s">
        <v>23</v>
      </c>
      <c r="H398" s="17" t="n">
        <v>5859</v>
      </c>
      <c r="I398" s="32" t="n">
        <v>0.7</v>
      </c>
      <c r="J398" s="33" t="n">
        <v>0.66</v>
      </c>
      <c r="K398" s="34" t="n">
        <v>0.84</v>
      </c>
      <c r="L398" s="31" t="n">
        <v>0.94</v>
      </c>
      <c r="M398" s="31" t="n">
        <v>0.84</v>
      </c>
      <c r="N398" s="11" t="n">
        <v>4</v>
      </c>
      <c r="O398" s="12"/>
      <c r="P398" s="11"/>
      <c r="Q398" s="8"/>
      <c r="R398" s="8"/>
      <c r="S398" s="8"/>
      <c r="T398" s="8"/>
      <c r="U398" s="8"/>
      <c r="V398" s="8"/>
      <c r="W398" s="8"/>
      <c r="X398" s="8"/>
      <c r="Y398" s="8"/>
      <c r="Z398" s="8"/>
      <c r="AA398" s="8"/>
      <c r="AB398" s="8"/>
      <c r="AC398" s="8"/>
      <c r="AD398" s="8"/>
      <c r="AE398" s="8"/>
      <c r="AF398" s="8"/>
      <c r="AG398" s="8"/>
      <c r="AH398" s="8"/>
      <c r="AI398" s="8"/>
      <c r="AJ398" s="8"/>
      <c r="AK398" s="8"/>
      <c r="AL398" s="8"/>
      <c r="AM398" s="8"/>
    </row>
    <row r="399" customFormat="false" ht="15.75" hidden="false" customHeight="true" outlineLevel="0" collapsed="false">
      <c r="A399" s="30" t="n">
        <v>46304</v>
      </c>
      <c r="B399" s="31" t="s">
        <v>334</v>
      </c>
      <c r="C399" s="31" t="str">
        <f aca="false" t="array" ref="C399:C399">IF(B399="","",IFERROR(INDEX('CLM &amp; IM Mapping'!$B$2:$B$270,MATCH(TRIM(B399),'CLM &amp; IM Mapping'!$A$2:$A$270,0)),"Not Mapped"))</f>
        <v>Akshay P</v>
      </c>
      <c r="D399" s="31" t="str">
        <f aca="false" t="array" ref="D399:D399">IF(B399="","",IFERROR(INDEX('CLM &amp; IM Mapping'!$C$2:$C$270,MATCH(TRIM(B399),'CLM &amp; IM Mapping'!$A$2:$A$270,0)),"Not Mapped"))</f>
        <v>Srittam Dhal</v>
      </c>
      <c r="E399" s="31" t="s">
        <v>34</v>
      </c>
      <c r="F399" s="31" t="s">
        <v>562</v>
      </c>
      <c r="G399" s="31" t="s">
        <v>23</v>
      </c>
      <c r="H399" s="17" t="n">
        <v>6002</v>
      </c>
      <c r="I399" s="32" t="n">
        <v>0.7</v>
      </c>
      <c r="J399" s="33" t="n">
        <v>0.67</v>
      </c>
      <c r="K399" s="34" t="n">
        <v>0.93</v>
      </c>
      <c r="L399" s="31" t="n">
        <v>0.97</v>
      </c>
      <c r="M399" s="31" t="n">
        <v>0.93</v>
      </c>
      <c r="N399" s="11" t="n">
        <v>3</v>
      </c>
      <c r="O399" s="12" t="s">
        <v>662</v>
      </c>
      <c r="P399" s="11" t="s">
        <v>603</v>
      </c>
      <c r="Q399" s="8"/>
      <c r="R399" s="8"/>
      <c r="S399" s="8"/>
      <c r="T399" s="8"/>
      <c r="U399" s="8"/>
      <c r="V399" s="8"/>
      <c r="W399" s="8"/>
      <c r="X399" s="8"/>
      <c r="Y399" s="8"/>
      <c r="Z399" s="8"/>
      <c r="AA399" s="8"/>
      <c r="AB399" s="8"/>
      <c r="AC399" s="8"/>
      <c r="AD399" s="8"/>
      <c r="AE399" s="8"/>
      <c r="AF399" s="8"/>
      <c r="AG399" s="8"/>
      <c r="AH399" s="8"/>
      <c r="AI399" s="8"/>
      <c r="AJ399" s="8"/>
      <c r="AK399" s="8"/>
      <c r="AL399" s="8"/>
      <c r="AM399" s="8"/>
    </row>
    <row r="400" customFormat="false" ht="15.75" hidden="false" customHeight="true" outlineLevel="0" collapsed="false">
      <c r="A400" s="30" t="n">
        <v>46304</v>
      </c>
      <c r="B400" s="31" t="s">
        <v>241</v>
      </c>
      <c r="C400" s="31" t="str">
        <f aca="false" t="array" ref="C400:C400">IF(B400="","",IFERROR(INDEX('CLM &amp; IM Mapping'!$B$2:$B$270,MATCH(TRIM(B400),'CLM &amp; IM Mapping'!$A$2:$A$270,0)),"Not Mapped"))</f>
        <v>Sundaresh S</v>
      </c>
      <c r="D400" s="31" t="str">
        <f aca="false" t="array" ref="D400:D400">IF(B400="","",IFERROR(INDEX('CLM &amp; IM Mapping'!$C$2:$C$270,MATCH(TRIM(B400),'CLM &amp; IM Mapping'!$A$2:$A$270,0)),"Not Mapped"))</f>
        <v>Un Mapped</v>
      </c>
      <c r="E400" s="31" t="s">
        <v>34</v>
      </c>
      <c r="F400" s="31" t="s">
        <v>562</v>
      </c>
      <c r="G400" s="31" t="s">
        <v>23</v>
      </c>
      <c r="H400" s="17" t="n">
        <v>5757</v>
      </c>
      <c r="I400" s="32" t="n">
        <v>0.7</v>
      </c>
      <c r="J400" s="33" t="n">
        <v>0.67</v>
      </c>
      <c r="K400" s="34" t="n">
        <v>0.88</v>
      </c>
      <c r="L400" s="31" t="n">
        <v>0.95</v>
      </c>
      <c r="M400" s="31" t="n">
        <v>0.88</v>
      </c>
      <c r="N400" s="11" t="n">
        <v>3</v>
      </c>
      <c r="O400" s="12"/>
      <c r="P400" s="11"/>
      <c r="Q400" s="8"/>
      <c r="R400" s="8"/>
      <c r="S400" s="8"/>
      <c r="T400" s="8"/>
      <c r="U400" s="8"/>
      <c r="V400" s="8"/>
      <c r="W400" s="8"/>
      <c r="X400" s="8"/>
      <c r="Y400" s="8"/>
      <c r="Z400" s="8"/>
      <c r="AA400" s="8"/>
      <c r="AB400" s="8"/>
      <c r="AC400" s="8"/>
      <c r="AD400" s="8"/>
      <c r="AE400" s="8"/>
      <c r="AF400" s="8"/>
      <c r="AG400" s="8"/>
      <c r="AH400" s="8"/>
      <c r="AI400" s="8"/>
      <c r="AJ400" s="8"/>
      <c r="AK400" s="8"/>
      <c r="AL400" s="8"/>
      <c r="AM400" s="8"/>
    </row>
    <row r="401" customFormat="false" ht="15.75" hidden="false" customHeight="true" outlineLevel="0" collapsed="false">
      <c r="A401" s="30" t="n">
        <v>46304</v>
      </c>
      <c r="B401" s="31" t="s">
        <v>183</v>
      </c>
      <c r="C401" s="31" t="str">
        <f aca="false" t="array" ref="C401:C401">IF(B401="","",IFERROR(INDEX('CLM &amp; IM Mapping'!$B$2:$B$270,MATCH(TRIM(B401),'CLM &amp; IM Mapping'!$A$2:$A$270,0)),"Not Mapped"))</f>
        <v>Saddam Hussain</v>
      </c>
      <c r="D401" s="31" t="str">
        <f aca="false" t="array" ref="D401:D401">IF(B401="","",IFERROR(INDEX('CLM &amp; IM Mapping'!$C$2:$C$270,MATCH(TRIM(B401),'CLM &amp; IM Mapping'!$A$2:$A$270,0)),"Not Mapped"))</f>
        <v>Un Mapped</v>
      </c>
      <c r="E401" s="31" t="s">
        <v>34</v>
      </c>
      <c r="F401" s="31" t="s">
        <v>562</v>
      </c>
      <c r="G401" s="31" t="s">
        <v>23</v>
      </c>
      <c r="H401" s="17" t="n">
        <v>6002</v>
      </c>
      <c r="I401" s="32" t="n">
        <v>0.7</v>
      </c>
      <c r="J401" s="33" t="n">
        <v>0.67</v>
      </c>
      <c r="K401" s="34" t="n">
        <v>0.74</v>
      </c>
      <c r="L401" s="31" t="n">
        <v>0.92</v>
      </c>
      <c r="M401" s="31" t="n">
        <v>0.74</v>
      </c>
      <c r="N401" s="11" t="n">
        <v>6</v>
      </c>
      <c r="O401" s="12"/>
      <c r="P401" s="11"/>
      <c r="Q401" s="8"/>
      <c r="R401" s="8"/>
      <c r="S401" s="8"/>
      <c r="T401" s="8"/>
      <c r="U401" s="8"/>
      <c r="V401" s="8"/>
      <c r="W401" s="8"/>
      <c r="X401" s="8"/>
      <c r="Y401" s="8"/>
      <c r="Z401" s="8"/>
      <c r="AA401" s="8"/>
      <c r="AB401" s="8"/>
      <c r="AC401" s="8"/>
      <c r="AD401" s="8"/>
      <c r="AE401" s="8"/>
      <c r="AF401" s="8"/>
      <c r="AG401" s="8"/>
      <c r="AH401" s="8"/>
      <c r="AI401" s="8"/>
      <c r="AJ401" s="8"/>
      <c r="AK401" s="8"/>
      <c r="AL401" s="8"/>
      <c r="AM401" s="8"/>
    </row>
    <row r="402" customFormat="false" ht="15.75" hidden="false" customHeight="true" outlineLevel="0" collapsed="false">
      <c r="A402" s="30" t="n">
        <v>46304</v>
      </c>
      <c r="B402" s="31" t="s">
        <v>352</v>
      </c>
      <c r="C402" s="31" t="str">
        <f aca="false" t="array" ref="C402:C402">IF(B402="","",IFERROR(INDEX('CLM &amp; IM Mapping'!$B$2:$B$270,MATCH(TRIM(B402),'CLM &amp; IM Mapping'!$A$2:$A$270,0)),"Not Mapped"))</f>
        <v>Raghavendra Vernekar</v>
      </c>
      <c r="D402" s="31" t="str">
        <f aca="false" t="array" ref="D402:D402">IF(B402="","",IFERROR(INDEX('CLM &amp; IM Mapping'!$C$2:$C$270,MATCH(TRIM(B402),'CLM &amp; IM Mapping'!$A$2:$A$270,0)),"Not Mapped"))</f>
        <v>Prakash BS</v>
      </c>
      <c r="E402" s="31" t="s">
        <v>34</v>
      </c>
      <c r="F402" s="31" t="s">
        <v>562</v>
      </c>
      <c r="G402" s="31" t="s">
        <v>23</v>
      </c>
      <c r="H402" s="17" t="n">
        <v>5732</v>
      </c>
      <c r="I402" s="32" t="n">
        <v>0.7</v>
      </c>
      <c r="J402" s="33" t="n">
        <v>0.68</v>
      </c>
      <c r="K402" s="34" t="n">
        <v>0.95</v>
      </c>
      <c r="L402" s="31" t="n">
        <v>0.99</v>
      </c>
      <c r="M402" s="31" t="n">
        <v>0.95</v>
      </c>
      <c r="N402" s="11" t="n">
        <v>3</v>
      </c>
      <c r="O402" s="12" t="s">
        <v>635</v>
      </c>
      <c r="P402" s="36" t="s">
        <v>589</v>
      </c>
      <c r="Q402" s="8"/>
      <c r="R402" s="8"/>
      <c r="S402" s="8"/>
      <c r="T402" s="8"/>
      <c r="U402" s="8"/>
      <c r="V402" s="8"/>
      <c r="W402" s="8"/>
      <c r="X402" s="8"/>
      <c r="Y402" s="8"/>
      <c r="Z402" s="8"/>
      <c r="AA402" s="8"/>
      <c r="AB402" s="8"/>
      <c r="AC402" s="8"/>
      <c r="AD402" s="8"/>
      <c r="AE402" s="8"/>
      <c r="AF402" s="8"/>
      <c r="AG402" s="8"/>
      <c r="AH402" s="8"/>
      <c r="AI402" s="8"/>
      <c r="AJ402" s="8"/>
      <c r="AK402" s="8"/>
      <c r="AL402" s="8"/>
      <c r="AM402" s="8"/>
    </row>
    <row r="403" customFormat="false" ht="15.75" hidden="false" customHeight="true" outlineLevel="0" collapsed="false">
      <c r="A403" s="30" t="n">
        <v>46304</v>
      </c>
      <c r="B403" s="31" t="s">
        <v>398</v>
      </c>
      <c r="C403" s="31" t="str">
        <f aca="false" t="array" ref="C403:C403">IF(B403="","",IFERROR(INDEX('CLM &amp; IM Mapping'!$B$2:$B$270,MATCH(TRIM(B403),'CLM &amp; IM Mapping'!$A$2:$A$270,0)),"Not Mapped"))</f>
        <v>Raghavendra Vernekar</v>
      </c>
      <c r="D403" s="31" t="str">
        <f aca="false" t="array" ref="D403:D403">IF(B403="","",IFERROR(INDEX('CLM &amp; IM Mapping'!$C$2:$C$270,MATCH(TRIM(B403),'CLM &amp; IM Mapping'!$A$2:$A$270,0)),"Not Mapped"))</f>
        <v>Prakash BS</v>
      </c>
      <c r="E403" s="31" t="s">
        <v>34</v>
      </c>
      <c r="F403" s="31" t="s">
        <v>562</v>
      </c>
      <c r="G403" s="31" t="s">
        <v>23</v>
      </c>
      <c r="H403" s="17" t="n">
        <v>5097</v>
      </c>
      <c r="I403" s="32" t="n">
        <v>0.7</v>
      </c>
      <c r="J403" s="33" t="n">
        <v>0.68</v>
      </c>
      <c r="K403" s="34" t="n">
        <v>0.78</v>
      </c>
      <c r="L403" s="31" t="n">
        <v>0.94</v>
      </c>
      <c r="M403" s="31" t="n">
        <v>0.78</v>
      </c>
      <c r="N403" s="11" t="n">
        <v>6</v>
      </c>
      <c r="O403" s="12" t="s">
        <v>646</v>
      </c>
      <c r="P403" s="37" t="n">
        <v>46366</v>
      </c>
      <c r="Q403" s="8"/>
      <c r="R403" s="8"/>
      <c r="S403" s="8"/>
      <c r="T403" s="8"/>
      <c r="U403" s="8"/>
      <c r="V403" s="8"/>
      <c r="W403" s="8"/>
      <c r="X403" s="8"/>
      <c r="Y403" s="8"/>
      <c r="Z403" s="8"/>
      <c r="AA403" s="8"/>
      <c r="AB403" s="8"/>
      <c r="AC403" s="8"/>
      <c r="AD403" s="8"/>
      <c r="AE403" s="8"/>
      <c r="AF403" s="8"/>
      <c r="AG403" s="8"/>
      <c r="AH403" s="8"/>
      <c r="AI403" s="8"/>
      <c r="AJ403" s="8"/>
      <c r="AK403" s="8"/>
      <c r="AL403" s="8"/>
      <c r="AM403" s="8"/>
    </row>
    <row r="404" customFormat="false" ht="15.75" hidden="false" customHeight="true" outlineLevel="0" collapsed="false">
      <c r="A404" s="30" t="n">
        <v>46304</v>
      </c>
      <c r="B404" s="31" t="s">
        <v>483</v>
      </c>
      <c r="C404" s="31" t="str">
        <f aca="false" t="array" ref="C404:C404">IF(B404="","",IFERROR(INDEX('CLM &amp; IM Mapping'!$B$2:$B$270,MATCH(TRIM(B404),'CLM &amp; IM Mapping'!$A$2:$A$270,0)),"Not Mapped"))</f>
        <v>Sundaresh S</v>
      </c>
      <c r="D404" s="31" t="str">
        <f aca="false" t="array" ref="D404:D404">IF(B404="","",IFERROR(INDEX('CLM &amp; IM Mapping'!$C$2:$C$270,MATCH(TRIM(B404),'CLM &amp; IM Mapping'!$A$2:$A$270,0)),"Not Mapped"))</f>
        <v>Un Mapped</v>
      </c>
      <c r="E404" s="31" t="s">
        <v>34</v>
      </c>
      <c r="F404" s="31" t="s">
        <v>562</v>
      </c>
      <c r="G404" s="31" t="s">
        <v>23</v>
      </c>
      <c r="H404" s="17" t="n">
        <v>4445</v>
      </c>
      <c r="I404" s="32" t="n">
        <v>0.7</v>
      </c>
      <c r="J404" s="33" t="n">
        <v>0.69</v>
      </c>
      <c r="K404" s="34" t="n">
        <v>0.83</v>
      </c>
      <c r="L404" s="31" t="n">
        <v>0.95</v>
      </c>
      <c r="M404" s="31" t="n">
        <v>0.83</v>
      </c>
      <c r="N404" s="11" t="n">
        <v>5</v>
      </c>
      <c r="O404" s="12"/>
      <c r="P404" s="11"/>
      <c r="Q404" s="8"/>
      <c r="R404" s="8"/>
      <c r="S404" s="8"/>
      <c r="T404" s="8"/>
      <c r="U404" s="8"/>
      <c r="V404" s="8"/>
      <c r="W404" s="8"/>
      <c r="X404" s="8"/>
      <c r="Y404" s="8"/>
      <c r="Z404" s="8"/>
      <c r="AA404" s="8"/>
      <c r="AB404" s="8"/>
      <c r="AC404" s="8"/>
      <c r="AD404" s="8"/>
      <c r="AE404" s="8"/>
      <c r="AF404" s="8"/>
      <c r="AG404" s="8"/>
      <c r="AH404" s="8"/>
      <c r="AI404" s="8"/>
      <c r="AJ404" s="8"/>
      <c r="AK404" s="8"/>
      <c r="AL404" s="8"/>
      <c r="AM404" s="8"/>
    </row>
    <row r="405" customFormat="false" ht="15.75" hidden="false" customHeight="true" outlineLevel="0" collapsed="false">
      <c r="A405" s="30" t="n">
        <v>46304</v>
      </c>
      <c r="B405" s="31" t="s">
        <v>331</v>
      </c>
      <c r="C405" s="31" t="str">
        <f aca="false" t="array" ref="C405:C405">IF(B405="","",IFERROR(INDEX('CLM &amp; IM Mapping'!$B$2:$B$270,MATCH(TRIM(B405),'CLM &amp; IM Mapping'!$A$2:$A$270,0)),"Not Mapped"))</f>
        <v>Vijay M</v>
      </c>
      <c r="D405" s="31" t="str">
        <f aca="false" t="array" ref="D405:D405">IF(B405="","",IFERROR(INDEX('CLM &amp; IM Mapping'!$C$2:$C$270,MATCH(TRIM(B405),'CLM &amp; IM Mapping'!$A$2:$A$270,0)),"Not Mapped"))</f>
        <v>Kantha Kumar</v>
      </c>
      <c r="E405" s="31" t="s">
        <v>34</v>
      </c>
      <c r="F405" s="31" t="s">
        <v>562</v>
      </c>
      <c r="G405" s="31" t="s">
        <v>23</v>
      </c>
      <c r="H405" s="17" t="n">
        <v>5034</v>
      </c>
      <c r="I405" s="32" t="n">
        <v>0.7</v>
      </c>
      <c r="J405" s="33" t="n">
        <v>0.69</v>
      </c>
      <c r="K405" s="34" t="n">
        <v>0.8</v>
      </c>
      <c r="L405" s="31" t="n">
        <v>0.96</v>
      </c>
      <c r="M405" s="31" t="n">
        <v>0.8</v>
      </c>
      <c r="N405" s="11" t="n">
        <v>6</v>
      </c>
      <c r="O405" s="12"/>
      <c r="P405" s="11"/>
      <c r="Q405" s="8"/>
      <c r="R405" s="8"/>
      <c r="S405" s="8"/>
      <c r="T405" s="8"/>
      <c r="U405" s="8"/>
      <c r="V405" s="8"/>
      <c r="W405" s="8"/>
      <c r="X405" s="8"/>
      <c r="Y405" s="8"/>
      <c r="Z405" s="8"/>
      <c r="AA405" s="8"/>
      <c r="AB405" s="8"/>
      <c r="AC405" s="8"/>
      <c r="AD405" s="8"/>
      <c r="AE405" s="8"/>
      <c r="AF405" s="8"/>
      <c r="AG405" s="8"/>
      <c r="AH405" s="8"/>
      <c r="AI405" s="8"/>
      <c r="AJ405" s="8"/>
      <c r="AK405" s="8"/>
      <c r="AL405" s="8"/>
      <c r="AM405" s="8"/>
    </row>
    <row r="406" customFormat="false" ht="15.75" hidden="false" customHeight="true" outlineLevel="0" collapsed="false">
      <c r="A406" s="30" t="n">
        <v>46304</v>
      </c>
      <c r="B406" s="31" t="s">
        <v>361</v>
      </c>
      <c r="C406" s="31" t="str">
        <f aca="false" t="array" ref="C406:C406">IF(B406="","",IFERROR(INDEX('CLM &amp; IM Mapping'!$B$2:$B$270,MATCH(TRIM(B406),'CLM &amp; IM Mapping'!$A$2:$A$270,0)),"Not Mapped"))</f>
        <v>Santhosha M</v>
      </c>
      <c r="D406" s="31" t="str">
        <f aca="false" t="array" ref="D406:D406">IF(B406="","",IFERROR(INDEX('CLM &amp; IM Mapping'!$C$2:$C$270,MATCH(TRIM(B406),'CLM &amp; IM Mapping'!$A$2:$A$270,0)),"Not Mapped"))</f>
        <v>Aravind S</v>
      </c>
      <c r="E406" s="31" t="s">
        <v>34</v>
      </c>
      <c r="F406" s="31" t="s">
        <v>565</v>
      </c>
      <c r="G406" s="31" t="s">
        <v>276</v>
      </c>
      <c r="H406" s="17" t="n">
        <v>7361</v>
      </c>
      <c r="I406" s="32" t="n">
        <v>0.7</v>
      </c>
      <c r="J406" s="33" t="n">
        <v>0.69</v>
      </c>
      <c r="K406" s="34" t="n">
        <v>0.96</v>
      </c>
      <c r="L406" s="31" t="n">
        <v>0.98</v>
      </c>
      <c r="M406" s="31" t="n">
        <v>0.96</v>
      </c>
      <c r="N406" s="11" t="n">
        <v>1</v>
      </c>
      <c r="O406" s="12"/>
      <c r="P406" s="11"/>
      <c r="Q406" s="8"/>
      <c r="R406" s="8"/>
      <c r="S406" s="8"/>
      <c r="T406" s="8"/>
      <c r="U406" s="8"/>
      <c r="V406" s="8"/>
      <c r="W406" s="8"/>
      <c r="X406" s="8"/>
      <c r="Y406" s="8"/>
      <c r="Z406" s="8"/>
      <c r="AA406" s="8"/>
      <c r="AB406" s="8"/>
      <c r="AC406" s="8"/>
      <c r="AD406" s="8"/>
      <c r="AE406" s="8"/>
      <c r="AF406" s="8"/>
      <c r="AG406" s="8"/>
      <c r="AH406" s="8"/>
      <c r="AI406" s="8"/>
      <c r="AJ406" s="8"/>
      <c r="AK406" s="8"/>
      <c r="AL406" s="8"/>
      <c r="AM406" s="8"/>
    </row>
    <row r="407" customFormat="false" ht="15.75" hidden="false" customHeight="true" outlineLevel="0" collapsed="false">
      <c r="A407" s="30" t="n">
        <v>46304</v>
      </c>
      <c r="B407" s="31" t="s">
        <v>47</v>
      </c>
      <c r="C407" s="31" t="str">
        <f aca="false" t="array" ref="C407:C407">IF(B407="","",IFERROR(INDEX('CLM &amp; IM Mapping'!$B$2:$B$270,MATCH(TRIM(B407),'CLM &amp; IM Mapping'!$A$2:$A$270,0)),"Not Mapped"))</f>
        <v>Saddam Hussain</v>
      </c>
      <c r="D407" s="31" t="str">
        <f aca="false" t="array" ref="D407:D407">IF(B407="","",IFERROR(INDEX('CLM &amp; IM Mapping'!$C$2:$C$270,MATCH(TRIM(B407),'CLM &amp; IM Mapping'!$A$2:$A$270,0)),"Not Mapped"))</f>
        <v>Un Mapped</v>
      </c>
      <c r="E407" s="31" t="s">
        <v>34</v>
      </c>
      <c r="F407" s="31" t="s">
        <v>562</v>
      </c>
      <c r="G407" s="31" t="s">
        <v>23</v>
      </c>
      <c r="H407" s="17" t="n">
        <v>8449</v>
      </c>
      <c r="I407" s="32" t="n">
        <v>0.7</v>
      </c>
      <c r="J407" s="33" t="n">
        <v>0.7</v>
      </c>
      <c r="K407" s="34" t="n">
        <v>0.84</v>
      </c>
      <c r="L407" s="31" t="n">
        <v>0.95</v>
      </c>
      <c r="M407" s="31" t="n">
        <v>0.84</v>
      </c>
      <c r="N407" s="11" t="n">
        <v>8</v>
      </c>
      <c r="O407" s="12"/>
      <c r="P407" s="11"/>
      <c r="Q407" s="8"/>
      <c r="R407" s="8"/>
      <c r="S407" s="8"/>
      <c r="T407" s="8"/>
      <c r="U407" s="8"/>
      <c r="V407" s="8"/>
      <c r="W407" s="8"/>
      <c r="X407" s="8"/>
      <c r="Y407" s="8"/>
      <c r="Z407" s="8"/>
      <c r="AA407" s="8"/>
      <c r="AB407" s="8"/>
      <c r="AC407" s="8"/>
      <c r="AD407" s="8"/>
      <c r="AE407" s="8"/>
      <c r="AF407" s="8"/>
      <c r="AG407" s="8"/>
      <c r="AH407" s="8"/>
      <c r="AI407" s="8"/>
      <c r="AJ407" s="8"/>
      <c r="AK407" s="8"/>
      <c r="AL407" s="8"/>
      <c r="AM407" s="8"/>
    </row>
    <row r="408" customFormat="false" ht="15.75" hidden="false" customHeight="true" outlineLevel="0" collapsed="false">
      <c r="A408" s="30" t="n">
        <v>46304</v>
      </c>
      <c r="B408" s="31" t="s">
        <v>235</v>
      </c>
      <c r="C408" s="31" t="str">
        <f aca="false" t="array" ref="C408:C408">IF(B408="","",IFERROR(INDEX('CLM &amp; IM Mapping'!$B$2:$B$270,MATCH(TRIM(B408),'CLM &amp; IM Mapping'!$A$2:$A$270,0)),"Not Mapped"))</f>
        <v>Akshay P</v>
      </c>
      <c r="D408" s="31" t="str">
        <f aca="false" t="array" ref="D408:D408">IF(B408="","",IFERROR(INDEX('CLM &amp; IM Mapping'!$C$2:$C$270,MATCH(TRIM(B408),'CLM &amp; IM Mapping'!$A$2:$A$270,0)),"Not Mapped"))</f>
        <v>Srittam Dhal</v>
      </c>
      <c r="E408" s="31" t="s">
        <v>34</v>
      </c>
      <c r="F408" s="31" t="s">
        <v>562</v>
      </c>
      <c r="G408" s="31" t="s">
        <v>23</v>
      </c>
      <c r="H408" s="17" t="n">
        <v>5212</v>
      </c>
      <c r="I408" s="32" t="n">
        <v>0.7</v>
      </c>
      <c r="J408" s="33" t="n">
        <v>0.7</v>
      </c>
      <c r="K408" s="34" t="n">
        <v>0.9</v>
      </c>
      <c r="L408" s="31" t="n">
        <v>0.97</v>
      </c>
      <c r="M408" s="31" t="n">
        <v>0.9</v>
      </c>
      <c r="N408" s="11" t="n">
        <v>3</v>
      </c>
      <c r="O408" s="12"/>
      <c r="P408" s="11"/>
      <c r="Q408" s="8"/>
      <c r="R408" s="8"/>
      <c r="S408" s="8"/>
      <c r="T408" s="8"/>
      <c r="U408" s="8"/>
      <c r="V408" s="8"/>
      <c r="W408" s="8"/>
      <c r="X408" s="8"/>
      <c r="Y408" s="8"/>
      <c r="Z408" s="8"/>
      <c r="AA408" s="8"/>
      <c r="AB408" s="8"/>
      <c r="AC408" s="8"/>
      <c r="AD408" s="8"/>
      <c r="AE408" s="8"/>
      <c r="AF408" s="8"/>
      <c r="AG408" s="8"/>
      <c r="AH408" s="8"/>
      <c r="AI408" s="8"/>
      <c r="AJ408" s="8"/>
      <c r="AK408" s="8"/>
      <c r="AL408" s="8"/>
      <c r="AM408" s="8"/>
    </row>
    <row r="409" customFormat="false" ht="15.75" hidden="false" customHeight="true" outlineLevel="0" collapsed="false">
      <c r="A409" s="30" t="n">
        <v>46304</v>
      </c>
      <c r="B409" s="31" t="s">
        <v>76</v>
      </c>
      <c r="C409" s="31" t="str">
        <f aca="false" t="array" ref="C409:C409">IF(B409="","",IFERROR(INDEX('CLM &amp; IM Mapping'!$B$2:$B$270,MATCH(TRIM(B409),'CLM &amp; IM Mapping'!$A$2:$A$270,0)),"Not Mapped"))</f>
        <v>Silambarasan E</v>
      </c>
      <c r="D409" s="31" t="str">
        <f aca="false" t="array" ref="D409:D409">IF(B409="","",IFERROR(INDEX('CLM &amp; IM Mapping'!$C$2:$C$270,MATCH(TRIM(B409),'CLM &amp; IM Mapping'!$A$2:$A$270,0)),"Not Mapped"))</f>
        <v>Arivind S</v>
      </c>
      <c r="E409" s="31" t="s">
        <v>34</v>
      </c>
      <c r="F409" s="31" t="s">
        <v>565</v>
      </c>
      <c r="G409" s="31" t="s">
        <v>23</v>
      </c>
      <c r="H409" s="17" t="n">
        <v>6316</v>
      </c>
      <c r="I409" s="32" t="n">
        <v>0.7</v>
      </c>
      <c r="J409" s="33" t="n">
        <v>0.71</v>
      </c>
      <c r="K409" s="34" t="n">
        <v>0.82</v>
      </c>
      <c r="L409" s="31" t="n">
        <v>0.92</v>
      </c>
      <c r="M409" s="31" t="n">
        <v>0.82</v>
      </c>
      <c r="N409" s="11" t="n">
        <v>2</v>
      </c>
      <c r="O409" s="12"/>
      <c r="P409" s="11"/>
      <c r="Q409" s="8"/>
      <c r="R409" s="8"/>
      <c r="S409" s="8"/>
      <c r="T409" s="8"/>
      <c r="U409" s="8"/>
      <c r="V409" s="8"/>
      <c r="W409" s="8"/>
      <c r="X409" s="8"/>
      <c r="Y409" s="8"/>
      <c r="Z409" s="8"/>
      <c r="AA409" s="8"/>
      <c r="AB409" s="8"/>
      <c r="AC409" s="8"/>
      <c r="AD409" s="8"/>
      <c r="AE409" s="8"/>
      <c r="AF409" s="8"/>
      <c r="AG409" s="8"/>
      <c r="AH409" s="8"/>
      <c r="AI409" s="8"/>
      <c r="AJ409" s="8"/>
      <c r="AK409" s="8"/>
      <c r="AL409" s="8"/>
      <c r="AM409" s="8"/>
    </row>
    <row r="410" customFormat="false" ht="15.75" hidden="false" customHeight="true" outlineLevel="0" collapsed="false">
      <c r="A410" s="30" t="n">
        <v>46304</v>
      </c>
      <c r="B410" s="31" t="s">
        <v>193</v>
      </c>
      <c r="C410" s="31" t="str">
        <f aca="false" t="array" ref="C410:C410">IF(B410="","",IFERROR(INDEX('CLM &amp; IM Mapping'!$B$2:$B$270,MATCH(TRIM(B410),'CLM &amp; IM Mapping'!$A$2:$A$270,0)),"Not Mapped"))</f>
        <v>Girish N</v>
      </c>
      <c r="D410" s="31" t="str">
        <f aca="false" t="array" ref="D410:D410">IF(B410="","",IFERROR(INDEX('CLM &amp; IM Mapping'!$C$2:$C$270,MATCH(TRIM(B410),'CLM &amp; IM Mapping'!$A$2:$A$270,0)),"Not Mapped"))</f>
        <v>Un Mapped</v>
      </c>
      <c r="E410" s="31" t="s">
        <v>34</v>
      </c>
      <c r="F410" s="31" t="s">
        <v>565</v>
      </c>
      <c r="G410" s="31" t="s">
        <v>23</v>
      </c>
      <c r="H410" s="17" t="n">
        <v>7468</v>
      </c>
      <c r="I410" s="32" t="n">
        <v>0.7</v>
      </c>
      <c r="J410" s="33" t="n">
        <v>0.71</v>
      </c>
      <c r="K410" s="34" t="n">
        <v>0.92</v>
      </c>
      <c r="L410" s="31" t="n">
        <v>0.98</v>
      </c>
      <c r="M410" s="31" t="n">
        <v>0.92</v>
      </c>
      <c r="N410" s="11" t="n">
        <v>4</v>
      </c>
      <c r="O410" s="12"/>
      <c r="P410" s="11"/>
      <c r="Q410" s="8"/>
      <c r="R410" s="8"/>
      <c r="S410" s="8"/>
      <c r="T410" s="8"/>
      <c r="U410" s="8"/>
      <c r="V410" s="8"/>
      <c r="W410" s="8"/>
      <c r="X410" s="8"/>
      <c r="Y410" s="8"/>
      <c r="Z410" s="8"/>
      <c r="AA410" s="8"/>
      <c r="AB410" s="8"/>
      <c r="AC410" s="8"/>
      <c r="AD410" s="8"/>
      <c r="AE410" s="8"/>
      <c r="AF410" s="8"/>
      <c r="AG410" s="8"/>
      <c r="AH410" s="8"/>
      <c r="AI410" s="8"/>
      <c r="AJ410" s="8"/>
      <c r="AK410" s="8"/>
      <c r="AL410" s="8"/>
      <c r="AM410" s="8"/>
    </row>
    <row r="411" customFormat="false" ht="15.75" hidden="false" customHeight="true" outlineLevel="0" collapsed="false">
      <c r="A411" s="30" t="n">
        <v>46304</v>
      </c>
      <c r="B411" s="31" t="s">
        <v>136</v>
      </c>
      <c r="C411" s="31" t="str">
        <f aca="false" t="array" ref="C411:C411">IF(B411="","",IFERROR(INDEX('CLM &amp; IM Mapping'!$B$2:$B$270,MATCH(TRIM(B411),'CLM &amp; IM Mapping'!$A$2:$A$270,0)),"Not Mapped"))</f>
        <v>Arun Raj</v>
      </c>
      <c r="D411" s="31" t="str">
        <f aca="false" t="array" ref="D411:D411">IF(B411="","",IFERROR(INDEX('CLM &amp; IM Mapping'!$C$2:$C$270,MATCH(TRIM(B411),'CLM &amp; IM Mapping'!$A$2:$A$270,0)),"Not Mapped"))</f>
        <v>Simon Manoharan</v>
      </c>
      <c r="E411" s="31" t="s">
        <v>25</v>
      </c>
      <c r="F411" s="31" t="s">
        <v>565</v>
      </c>
      <c r="G411" s="31" t="s">
        <v>23</v>
      </c>
      <c r="H411" s="17" t="n">
        <v>14855</v>
      </c>
      <c r="I411" s="32" t="n">
        <v>0.7</v>
      </c>
      <c r="J411" s="33" t="n">
        <v>0.71</v>
      </c>
      <c r="K411" s="34" t="n">
        <v>0.95</v>
      </c>
      <c r="L411" s="31" t="n">
        <v>0.98</v>
      </c>
      <c r="M411" s="31" t="n">
        <v>0.95</v>
      </c>
      <c r="N411" s="11" t="n">
        <v>6</v>
      </c>
      <c r="O411" s="12"/>
      <c r="P411" s="11"/>
      <c r="Q411" s="8"/>
      <c r="R411" s="8"/>
      <c r="S411" s="8"/>
      <c r="T411" s="8"/>
      <c r="U411" s="8"/>
      <c r="V411" s="8"/>
      <c r="W411" s="8"/>
      <c r="X411" s="8"/>
      <c r="Y411" s="8"/>
      <c r="Z411" s="8"/>
      <c r="AA411" s="8"/>
      <c r="AB411" s="8"/>
      <c r="AC411" s="8"/>
      <c r="AD411" s="8"/>
      <c r="AE411" s="8"/>
      <c r="AF411" s="8"/>
      <c r="AG411" s="8"/>
      <c r="AH411" s="8"/>
      <c r="AI411" s="8"/>
      <c r="AJ411" s="8"/>
      <c r="AK411" s="8"/>
      <c r="AL411" s="8"/>
      <c r="AM411" s="8"/>
    </row>
    <row r="412" customFormat="false" ht="15.75" hidden="false" customHeight="true" outlineLevel="0" collapsed="false">
      <c r="A412" s="30" t="n">
        <v>46304</v>
      </c>
      <c r="B412" s="31" t="s">
        <v>86</v>
      </c>
      <c r="C412" s="31" t="str">
        <f aca="false" t="array" ref="C412:C412">IF(B412="","",IFERROR(INDEX('CLM &amp; IM Mapping'!$B$2:$B$270,MATCH(TRIM(B412),'CLM &amp; IM Mapping'!$A$2:$A$270,0)),"Not Mapped"))</f>
        <v>Raghavendra Vernekar</v>
      </c>
      <c r="D412" s="31" t="str">
        <f aca="false" t="array" ref="D412:D412">IF(B412="","",IFERROR(INDEX('CLM &amp; IM Mapping'!$C$2:$C$270,MATCH(TRIM(B412),'CLM &amp; IM Mapping'!$A$2:$A$270,0)),"Not Mapped"))</f>
        <v>Prakash BS</v>
      </c>
      <c r="E412" s="31" t="s">
        <v>34</v>
      </c>
      <c r="F412" s="31" t="s">
        <v>562</v>
      </c>
      <c r="G412" s="31" t="s">
        <v>23</v>
      </c>
      <c r="H412" s="17" t="n">
        <v>6895</v>
      </c>
      <c r="I412" s="32" t="n">
        <v>0.7</v>
      </c>
      <c r="J412" s="33" t="n">
        <v>0.71</v>
      </c>
      <c r="K412" s="34" t="n">
        <v>0.79</v>
      </c>
      <c r="L412" s="31" t="n">
        <v>0.95</v>
      </c>
      <c r="M412" s="31" t="n">
        <v>0.79</v>
      </c>
      <c r="N412" s="11" t="n">
        <v>4</v>
      </c>
      <c r="O412" s="12" t="s">
        <v>649</v>
      </c>
      <c r="P412" s="11"/>
      <c r="Q412" s="8"/>
      <c r="R412" s="8"/>
      <c r="S412" s="8"/>
      <c r="T412" s="8"/>
      <c r="U412" s="8"/>
      <c r="V412" s="8"/>
      <c r="W412" s="8"/>
      <c r="X412" s="8"/>
      <c r="Y412" s="8"/>
      <c r="Z412" s="8"/>
      <c r="AA412" s="8"/>
      <c r="AB412" s="8"/>
      <c r="AC412" s="8"/>
      <c r="AD412" s="8"/>
      <c r="AE412" s="8"/>
      <c r="AF412" s="8"/>
      <c r="AG412" s="8"/>
      <c r="AH412" s="8"/>
      <c r="AI412" s="8"/>
      <c r="AJ412" s="8"/>
      <c r="AK412" s="8"/>
      <c r="AL412" s="8"/>
      <c r="AM412" s="8"/>
    </row>
    <row r="413" customFormat="false" ht="15.75" hidden="false" customHeight="true" outlineLevel="0" collapsed="false">
      <c r="A413" s="30" t="n">
        <v>46304</v>
      </c>
      <c r="B413" s="31" t="s">
        <v>484</v>
      </c>
      <c r="C413" s="31" t="str">
        <f aca="false" t="array" ref="C413:C413">IF(B413="","",IFERROR(INDEX('CLM &amp; IM Mapping'!$B$2:$B$270,MATCH(TRIM(B413),'CLM &amp; IM Mapping'!$A$2:$A$270,0)),"Not Mapped"))</f>
        <v>Raghavendra Vernekar</v>
      </c>
      <c r="D413" s="31" t="str">
        <f aca="false" t="array" ref="D413:D413">IF(B413="","",IFERROR(INDEX('CLM &amp; IM Mapping'!$C$2:$C$270,MATCH(TRIM(B413),'CLM &amp; IM Mapping'!$A$2:$A$270,0)),"Not Mapped"))</f>
        <v>Prakash BS</v>
      </c>
      <c r="E413" s="31" t="s">
        <v>34</v>
      </c>
      <c r="F413" s="31" t="s">
        <v>562</v>
      </c>
      <c r="G413" s="31" t="s">
        <v>23</v>
      </c>
      <c r="H413" s="17" t="n">
        <v>2978</v>
      </c>
      <c r="I413" s="32" t="n">
        <v>0.7</v>
      </c>
      <c r="J413" s="33" t="n">
        <v>0.72</v>
      </c>
      <c r="K413" s="34" t="n">
        <v>0.86</v>
      </c>
      <c r="L413" s="31" t="n">
        <v>0.97</v>
      </c>
      <c r="M413" s="31" t="n">
        <v>0.86</v>
      </c>
      <c r="N413" s="11" t="n">
        <v>4</v>
      </c>
      <c r="O413" s="12" t="s">
        <v>648</v>
      </c>
      <c r="P413" s="37" t="n">
        <v>46366</v>
      </c>
      <c r="Q413" s="8"/>
      <c r="R413" s="8"/>
      <c r="S413" s="8"/>
      <c r="T413" s="8"/>
      <c r="U413" s="8"/>
      <c r="V413" s="8"/>
      <c r="W413" s="8"/>
      <c r="X413" s="8"/>
      <c r="Y413" s="8"/>
      <c r="Z413" s="8"/>
      <c r="AA413" s="8"/>
      <c r="AB413" s="8"/>
      <c r="AC413" s="8"/>
      <c r="AD413" s="8"/>
      <c r="AE413" s="8"/>
      <c r="AF413" s="8"/>
      <c r="AG413" s="8"/>
      <c r="AH413" s="8"/>
      <c r="AI413" s="8"/>
      <c r="AJ413" s="8"/>
      <c r="AK413" s="8"/>
      <c r="AL413" s="8"/>
      <c r="AM413" s="8"/>
    </row>
    <row r="414" customFormat="false" ht="15.75" hidden="false" customHeight="true" outlineLevel="0" collapsed="false">
      <c r="A414" s="30" t="n">
        <v>46304</v>
      </c>
      <c r="B414" s="31" t="s">
        <v>468</v>
      </c>
      <c r="C414" s="31" t="str">
        <f aca="false" t="array" ref="C414:C414">IF(B414="","",IFERROR(INDEX('CLM &amp; IM Mapping'!$B$2:$B$270,MATCH(TRIM(B414),'CLM &amp; IM Mapping'!$A$2:$A$270,0)),"Not Mapped"))</f>
        <v>Suhas N</v>
      </c>
      <c r="D414" s="31" t="str">
        <f aca="false" t="array" ref="D414:D414">IF(B414="","",IFERROR(INDEX('CLM &amp; IM Mapping'!$C$2:$C$270,MATCH(TRIM(B414),'CLM &amp; IM Mapping'!$A$2:$A$270,0)),"Not Mapped"))</f>
        <v>Aravind S</v>
      </c>
      <c r="E414" s="31" t="s">
        <v>34</v>
      </c>
      <c r="F414" s="31" t="s">
        <v>562</v>
      </c>
      <c r="G414" s="31" t="s">
        <v>23</v>
      </c>
      <c r="H414" s="17" t="n">
        <v>6272</v>
      </c>
      <c r="I414" s="32" t="n">
        <v>0.7</v>
      </c>
      <c r="J414" s="33" t="n">
        <v>0.72</v>
      </c>
      <c r="K414" s="34" t="n">
        <v>0.88</v>
      </c>
      <c r="L414" s="31" t="n">
        <v>0.97</v>
      </c>
      <c r="M414" s="31" t="n">
        <v>0.88</v>
      </c>
      <c r="N414" s="11" t="n">
        <v>2</v>
      </c>
      <c r="O414" s="12"/>
      <c r="P414" s="11"/>
      <c r="Q414" s="8"/>
      <c r="R414" s="8"/>
      <c r="S414" s="8"/>
      <c r="T414" s="8"/>
      <c r="U414" s="8"/>
      <c r="V414" s="8"/>
      <c r="W414" s="8"/>
      <c r="X414" s="8"/>
      <c r="Y414" s="8"/>
      <c r="Z414" s="8"/>
      <c r="AA414" s="8"/>
      <c r="AB414" s="8"/>
      <c r="AC414" s="8"/>
      <c r="AD414" s="8"/>
      <c r="AE414" s="8"/>
      <c r="AF414" s="8"/>
      <c r="AG414" s="8"/>
      <c r="AH414" s="8"/>
      <c r="AI414" s="8"/>
      <c r="AJ414" s="8"/>
      <c r="AK414" s="8"/>
      <c r="AL414" s="8"/>
      <c r="AM414" s="8"/>
    </row>
    <row r="415" customFormat="false" ht="15.75" hidden="false" customHeight="true" outlineLevel="0" collapsed="false">
      <c r="A415" s="30" t="n">
        <v>46304</v>
      </c>
      <c r="B415" s="31" t="s">
        <v>376</v>
      </c>
      <c r="C415" s="31" t="str">
        <f aca="false" t="array" ref="C415:C415">IF(B415="","",IFERROR(INDEX('CLM &amp; IM Mapping'!$B$2:$B$270,MATCH(TRIM(B415),'CLM &amp; IM Mapping'!$A$2:$A$270,0)),"Not Mapped"))</f>
        <v>Sundaresh S</v>
      </c>
      <c r="D415" s="31" t="str">
        <f aca="false" t="array" ref="D415:D415">IF(B415="","",IFERROR(INDEX('CLM &amp; IM Mapping'!$C$2:$C$270,MATCH(TRIM(B415),'CLM &amp; IM Mapping'!$A$2:$A$270,0)),"Not Mapped"))</f>
        <v>Un Mapped</v>
      </c>
      <c r="E415" s="31" t="s">
        <v>34</v>
      </c>
      <c r="F415" s="31" t="s">
        <v>562</v>
      </c>
      <c r="G415" s="31" t="s">
        <v>23</v>
      </c>
      <c r="H415" s="17" t="n">
        <v>6559</v>
      </c>
      <c r="I415" s="32" t="n">
        <v>0.7</v>
      </c>
      <c r="J415" s="33" t="n">
        <v>0.72</v>
      </c>
      <c r="K415" s="34" t="n">
        <v>0.94</v>
      </c>
      <c r="L415" s="31" t="n">
        <v>0.99</v>
      </c>
      <c r="M415" s="31" t="n">
        <v>0.94</v>
      </c>
      <c r="N415" s="11" t="n">
        <v>5</v>
      </c>
      <c r="O415" s="12"/>
      <c r="P415" s="11"/>
      <c r="Q415" s="8"/>
      <c r="R415" s="8"/>
      <c r="S415" s="8"/>
      <c r="T415" s="8"/>
      <c r="U415" s="8"/>
      <c r="V415" s="8"/>
      <c r="W415" s="8"/>
      <c r="X415" s="8"/>
      <c r="Y415" s="8"/>
      <c r="Z415" s="8"/>
      <c r="AA415" s="8"/>
      <c r="AB415" s="8"/>
      <c r="AC415" s="8"/>
      <c r="AD415" s="8"/>
      <c r="AE415" s="8"/>
      <c r="AF415" s="8"/>
      <c r="AG415" s="8"/>
      <c r="AH415" s="8"/>
      <c r="AI415" s="8"/>
      <c r="AJ415" s="8"/>
      <c r="AK415" s="8"/>
      <c r="AL415" s="8"/>
      <c r="AM415" s="8"/>
    </row>
    <row r="416" customFormat="false" ht="15.75" hidden="false" customHeight="true" outlineLevel="0" collapsed="false">
      <c r="A416" s="30" t="n">
        <v>46304</v>
      </c>
      <c r="B416" s="31" t="s">
        <v>245</v>
      </c>
      <c r="C416" s="31" t="str">
        <f aca="false" t="array" ref="C416:C416">IF(B416="","",IFERROR(INDEX('CLM &amp; IM Mapping'!$B$2:$B$270,MATCH(TRIM(B416),'CLM &amp; IM Mapping'!$A$2:$A$270,0)),"Not Mapped"))</f>
        <v>Adhavan Subramani</v>
      </c>
      <c r="D416" s="31" t="str">
        <f aca="false" t="array" ref="D416:D416">IF(B416="","",IFERROR(INDEX('CLM &amp; IM Mapping'!$C$2:$C$270,MATCH(TRIM(B416),'CLM &amp; IM Mapping'!$A$2:$A$270,0)),"Not Mapped"))</f>
        <v>Mohammed Akbar</v>
      </c>
      <c r="E416" s="31" t="s">
        <v>34</v>
      </c>
      <c r="F416" s="31" t="s">
        <v>562</v>
      </c>
      <c r="G416" s="31" t="s">
        <v>23</v>
      </c>
      <c r="H416" s="17" t="n">
        <v>5516</v>
      </c>
      <c r="I416" s="32" t="n">
        <v>0.7</v>
      </c>
      <c r="J416" s="33" t="n">
        <v>0.72</v>
      </c>
      <c r="K416" s="34" t="n">
        <v>0.79</v>
      </c>
      <c r="L416" s="31" t="n">
        <v>0.95</v>
      </c>
      <c r="M416" s="31" t="n">
        <v>0.79</v>
      </c>
      <c r="N416" s="11" t="n">
        <v>4</v>
      </c>
      <c r="O416" s="12"/>
      <c r="P416" s="11"/>
      <c r="Q416" s="8"/>
      <c r="R416" s="8"/>
      <c r="S416" s="8"/>
      <c r="T416" s="8"/>
      <c r="U416" s="8"/>
      <c r="V416" s="8"/>
      <c r="W416" s="8"/>
      <c r="X416" s="8"/>
      <c r="Y416" s="8"/>
      <c r="Z416" s="8"/>
      <c r="AA416" s="8"/>
      <c r="AB416" s="8"/>
      <c r="AC416" s="8"/>
      <c r="AD416" s="8"/>
      <c r="AE416" s="8"/>
      <c r="AF416" s="8"/>
      <c r="AG416" s="8"/>
      <c r="AH416" s="8"/>
      <c r="AI416" s="8"/>
      <c r="AJ416" s="8"/>
      <c r="AK416" s="8"/>
      <c r="AL416" s="8"/>
      <c r="AM416" s="8"/>
    </row>
    <row r="417" customFormat="false" ht="15.75" hidden="false" customHeight="true" outlineLevel="0" collapsed="false">
      <c r="A417" s="30" t="n">
        <v>46304</v>
      </c>
      <c r="B417" s="31" t="s">
        <v>452</v>
      </c>
      <c r="C417" s="31" t="str">
        <f aca="false" t="array" ref="C417:C417">IF(B417="","",IFERROR(INDEX('CLM &amp; IM Mapping'!$B$2:$B$270,MATCH(TRIM(B417),'CLM &amp; IM Mapping'!$A$2:$A$270,0)),"Not Mapped"))</f>
        <v>Vishnu V</v>
      </c>
      <c r="D417" s="31" t="str">
        <f aca="false" t="array" ref="D417:D417">IF(B417="","",IFERROR(INDEX('CLM &amp; IM Mapping'!$C$2:$C$270,MATCH(TRIM(B417),'CLM &amp; IM Mapping'!$A$2:$A$270,0)),"Not Mapped"))</f>
        <v>Arivind S</v>
      </c>
      <c r="E417" s="31" t="s">
        <v>34</v>
      </c>
      <c r="F417" s="31" t="s">
        <v>565</v>
      </c>
      <c r="G417" s="31" t="s">
        <v>417</v>
      </c>
      <c r="H417" s="17" t="n">
        <v>5099</v>
      </c>
      <c r="I417" s="32" t="n">
        <v>0.7</v>
      </c>
      <c r="J417" s="33" t="n">
        <v>0.72</v>
      </c>
      <c r="K417" s="34" t="n">
        <v>0.99</v>
      </c>
      <c r="L417" s="31" t="n">
        <v>1</v>
      </c>
      <c r="M417" s="31" t="n">
        <v>0.99</v>
      </c>
      <c r="N417" s="11" t="n">
        <v>1</v>
      </c>
      <c r="O417" s="12"/>
      <c r="P417" s="11"/>
      <c r="Q417" s="8"/>
      <c r="R417" s="8"/>
      <c r="S417" s="8"/>
      <c r="T417" s="8"/>
      <c r="U417" s="8"/>
      <c r="V417" s="8"/>
      <c r="W417" s="8"/>
      <c r="X417" s="8"/>
      <c r="Y417" s="8"/>
      <c r="Z417" s="8"/>
      <c r="AA417" s="8"/>
      <c r="AB417" s="8"/>
      <c r="AC417" s="8"/>
      <c r="AD417" s="8"/>
      <c r="AE417" s="8"/>
      <c r="AF417" s="8"/>
      <c r="AG417" s="8"/>
      <c r="AH417" s="8"/>
      <c r="AI417" s="8"/>
      <c r="AJ417" s="8"/>
      <c r="AK417" s="8"/>
      <c r="AL417" s="8"/>
      <c r="AM417" s="8"/>
    </row>
    <row r="418" customFormat="false" ht="15.75" hidden="false" customHeight="true" outlineLevel="0" collapsed="false">
      <c r="A418" s="30" t="n">
        <v>46304</v>
      </c>
      <c r="B418" s="31" t="s">
        <v>510</v>
      </c>
      <c r="C418" s="31" t="str">
        <f aca="false" t="array" ref="C418:C418">IF(B418="","",IFERROR(INDEX('CLM &amp; IM Mapping'!$B$2:$B$270,MATCH(TRIM(B418),'CLM &amp; IM Mapping'!$A$2:$A$270,0)),"Not Mapped"))</f>
        <v>Manjunatha V</v>
      </c>
      <c r="D418" s="31" t="str">
        <f aca="false" t="array" ref="D418:D418">IF(B418="","",IFERROR(INDEX('CLM &amp; IM Mapping'!$C$2:$C$270,MATCH(TRIM(B418),'CLM &amp; IM Mapping'!$A$2:$A$270,0)),"Not Mapped"))</f>
        <v>Un Mapped</v>
      </c>
      <c r="E418" s="31" t="s">
        <v>34</v>
      </c>
      <c r="F418" s="31" t="s">
        <v>565</v>
      </c>
      <c r="G418" s="31" t="s">
        <v>23</v>
      </c>
      <c r="H418" s="17" t="n">
        <v>5780</v>
      </c>
      <c r="I418" s="32" t="n">
        <v>0.7</v>
      </c>
      <c r="J418" s="33" t="n">
        <v>0.73</v>
      </c>
      <c r="K418" s="34" t="n">
        <v>0.93</v>
      </c>
      <c r="L418" s="31" t="n">
        <v>0.99</v>
      </c>
      <c r="M418" s="31" t="n">
        <v>0.93</v>
      </c>
      <c r="N418" s="11" t="n">
        <v>3</v>
      </c>
      <c r="O418" s="12"/>
      <c r="P418" s="11"/>
      <c r="Q418" s="8"/>
      <c r="R418" s="8"/>
      <c r="S418" s="8"/>
      <c r="T418" s="8"/>
      <c r="U418" s="8"/>
      <c r="V418" s="8"/>
      <c r="W418" s="8"/>
      <c r="X418" s="8"/>
      <c r="Y418" s="8"/>
      <c r="Z418" s="8"/>
      <c r="AA418" s="8"/>
      <c r="AB418" s="8"/>
      <c r="AC418" s="8"/>
      <c r="AD418" s="8"/>
      <c r="AE418" s="8"/>
      <c r="AF418" s="8"/>
      <c r="AG418" s="8"/>
      <c r="AH418" s="8"/>
      <c r="AI418" s="8"/>
      <c r="AJ418" s="8"/>
      <c r="AK418" s="8"/>
      <c r="AL418" s="8"/>
      <c r="AM418" s="8"/>
    </row>
    <row r="419" customFormat="false" ht="15.75" hidden="false" customHeight="true" outlineLevel="0" collapsed="false">
      <c r="A419" s="30" t="n">
        <v>46304</v>
      </c>
      <c r="B419" s="31" t="s">
        <v>65</v>
      </c>
      <c r="C419" s="31" t="str">
        <f aca="false" t="array" ref="C419:C419">IF(B419="","",IFERROR(INDEX('CLM &amp; IM Mapping'!$B$2:$B$270,MATCH(TRIM(B419),'CLM &amp; IM Mapping'!$A$2:$A$270,0)),"Not Mapped"))</f>
        <v>Adhavan Subramani</v>
      </c>
      <c r="D419" s="31" t="str">
        <f aca="false" t="array" ref="D419:D419">IF(B419="","",IFERROR(INDEX('CLM &amp; IM Mapping'!$C$2:$C$270,MATCH(TRIM(B419),'CLM &amp; IM Mapping'!$A$2:$A$270,0)),"Not Mapped"))</f>
        <v>Mohammed Akbar</v>
      </c>
      <c r="E419" s="31" t="s">
        <v>34</v>
      </c>
      <c r="F419" s="31" t="s">
        <v>562</v>
      </c>
      <c r="G419" s="31" t="s">
        <v>23</v>
      </c>
      <c r="H419" s="17" t="n">
        <v>5572</v>
      </c>
      <c r="I419" s="32" t="n">
        <v>0.7</v>
      </c>
      <c r="J419" s="33" t="n">
        <v>0.74</v>
      </c>
      <c r="K419" s="34" t="n">
        <v>0.85</v>
      </c>
      <c r="L419" s="31" t="n">
        <v>0.95</v>
      </c>
      <c r="M419" s="31" t="n">
        <v>0.85</v>
      </c>
      <c r="N419" s="11" t="n">
        <v>4</v>
      </c>
      <c r="O419" s="12"/>
      <c r="P419" s="11"/>
      <c r="Q419" s="8"/>
      <c r="R419" s="8"/>
      <c r="S419" s="8"/>
      <c r="T419" s="8"/>
      <c r="U419" s="8"/>
      <c r="V419" s="8"/>
      <c r="W419" s="8"/>
      <c r="X419" s="8"/>
      <c r="Y419" s="8"/>
      <c r="Z419" s="8"/>
      <c r="AA419" s="8"/>
      <c r="AB419" s="8"/>
      <c r="AC419" s="8"/>
      <c r="AD419" s="8"/>
      <c r="AE419" s="8"/>
      <c r="AF419" s="8"/>
      <c r="AG419" s="8"/>
      <c r="AH419" s="8"/>
      <c r="AI419" s="8"/>
      <c r="AJ419" s="8"/>
      <c r="AK419" s="8"/>
      <c r="AL419" s="8"/>
      <c r="AM419" s="8"/>
    </row>
    <row r="420" customFormat="false" ht="15.75" hidden="false" customHeight="true" outlineLevel="0" collapsed="false">
      <c r="A420" s="30" t="n">
        <v>46304</v>
      </c>
      <c r="B420" s="31" t="s">
        <v>402</v>
      </c>
      <c r="C420" s="31" t="str">
        <f aca="false" t="array" ref="C420:C420">IF(B420="","",IFERROR(INDEX('CLM &amp; IM Mapping'!$B$2:$B$270,MATCH(TRIM(B420),'CLM &amp; IM Mapping'!$A$2:$A$270,0)),"Not Mapped"))</f>
        <v>Narasimhamurthy R</v>
      </c>
      <c r="D420" s="31" t="str">
        <f aca="false" t="array" ref="D420:D420">IF(B420="","",IFERROR(INDEX('CLM &amp; IM Mapping'!$C$2:$C$270,MATCH(TRIM(B420),'CLM &amp; IM Mapping'!$A$2:$A$270,0)),"Not Mapped"))</f>
        <v>Kishor K</v>
      </c>
      <c r="E420" s="31" t="s">
        <v>34</v>
      </c>
      <c r="F420" s="31" t="s">
        <v>562</v>
      </c>
      <c r="G420" s="31" t="s">
        <v>23</v>
      </c>
      <c r="H420" s="17" t="n">
        <v>6286</v>
      </c>
      <c r="I420" s="32" t="n">
        <v>0.7</v>
      </c>
      <c r="J420" s="33" t="n">
        <v>0.74</v>
      </c>
      <c r="K420" s="34" t="n">
        <v>0.85</v>
      </c>
      <c r="L420" s="31" t="n">
        <v>0.94</v>
      </c>
      <c r="M420" s="31" t="n">
        <v>0.85</v>
      </c>
      <c r="N420" s="11" t="n">
        <v>3</v>
      </c>
      <c r="O420" s="12" t="s">
        <v>631</v>
      </c>
      <c r="P420" s="38" t="s">
        <v>623</v>
      </c>
      <c r="Q420" s="8"/>
      <c r="R420" s="8"/>
      <c r="S420" s="8"/>
      <c r="T420" s="8"/>
      <c r="U420" s="8"/>
      <c r="V420" s="8"/>
      <c r="W420" s="8"/>
      <c r="X420" s="8"/>
      <c r="Y420" s="8"/>
      <c r="Z420" s="8"/>
      <c r="AA420" s="8"/>
      <c r="AB420" s="8"/>
      <c r="AC420" s="8"/>
      <c r="AD420" s="8"/>
      <c r="AE420" s="8"/>
      <c r="AF420" s="8"/>
      <c r="AG420" s="8"/>
      <c r="AH420" s="8"/>
      <c r="AI420" s="8"/>
      <c r="AJ420" s="8"/>
      <c r="AK420" s="8"/>
      <c r="AL420" s="8"/>
      <c r="AM420" s="8"/>
    </row>
    <row r="421" customFormat="false" ht="15.75" hidden="false" customHeight="true" outlineLevel="0" collapsed="false">
      <c r="A421" s="30" t="n">
        <v>46304</v>
      </c>
      <c r="B421" s="31" t="s">
        <v>342</v>
      </c>
      <c r="C421" s="31" t="str">
        <f aca="false" t="array" ref="C421:C421">IF(B421="","",IFERROR(INDEX('CLM &amp; IM Mapping'!$B$2:$B$270,MATCH(TRIM(B421),'CLM &amp; IM Mapping'!$A$2:$A$270,0)),"Not Mapped"))</f>
        <v>Saddam Hussain</v>
      </c>
      <c r="D421" s="31" t="str">
        <f aca="false" t="array" ref="D421:D421">IF(B421="","",IFERROR(INDEX('CLM &amp; IM Mapping'!$C$2:$C$270,MATCH(TRIM(B421),'CLM &amp; IM Mapping'!$A$2:$A$270,0)),"Not Mapped"))</f>
        <v>Un Mapped</v>
      </c>
      <c r="E421" s="31" t="s">
        <v>34</v>
      </c>
      <c r="F421" s="31" t="s">
        <v>562</v>
      </c>
      <c r="G421" s="31" t="s">
        <v>23</v>
      </c>
      <c r="H421" s="17" t="n">
        <v>6537</v>
      </c>
      <c r="I421" s="32" t="n">
        <v>0.7</v>
      </c>
      <c r="J421" s="33" t="n">
        <v>0.74</v>
      </c>
      <c r="K421" s="34" t="n">
        <v>0.91</v>
      </c>
      <c r="L421" s="31" t="n">
        <v>0.97</v>
      </c>
      <c r="M421" s="31" t="n">
        <v>0.91</v>
      </c>
      <c r="N421" s="11" t="n">
        <v>3</v>
      </c>
      <c r="O421" s="12"/>
      <c r="P421" s="11"/>
      <c r="Q421" s="8"/>
      <c r="R421" s="8"/>
      <c r="S421" s="8"/>
      <c r="T421" s="8"/>
      <c r="U421" s="8"/>
      <c r="V421" s="8"/>
      <c r="W421" s="8"/>
      <c r="X421" s="8"/>
      <c r="Y421" s="8"/>
      <c r="Z421" s="8"/>
      <c r="AA421" s="8"/>
      <c r="AB421" s="8"/>
      <c r="AC421" s="8"/>
      <c r="AD421" s="8"/>
      <c r="AE421" s="8"/>
      <c r="AF421" s="8"/>
      <c r="AG421" s="8"/>
      <c r="AH421" s="8"/>
      <c r="AI421" s="8"/>
      <c r="AJ421" s="8"/>
      <c r="AK421" s="8"/>
      <c r="AL421" s="8"/>
      <c r="AM421" s="8"/>
    </row>
    <row r="422" customFormat="false" ht="15.75" hidden="false" customHeight="true" outlineLevel="0" collapsed="false">
      <c r="A422" s="30" t="n">
        <v>46304</v>
      </c>
      <c r="B422" s="31" t="s">
        <v>178</v>
      </c>
      <c r="C422" s="31" t="str">
        <f aca="false" t="array" ref="C422:C422">IF(B422="","",IFERROR(INDEX('CLM &amp; IM Mapping'!$B$2:$B$270,MATCH(TRIM(B422),'CLM &amp; IM Mapping'!$A$2:$A$270,0)),"Not Mapped"))</f>
        <v>Balaji G</v>
      </c>
      <c r="D422" s="31" t="str">
        <f aca="false" t="array" ref="D422:D422">IF(B422="","",IFERROR(INDEX('CLM &amp; IM Mapping'!$C$2:$C$270,MATCH(TRIM(B422),'CLM &amp; IM Mapping'!$A$2:$A$270,0)),"Not Mapped"))</f>
        <v>Mohammed Akbar</v>
      </c>
      <c r="E422" s="31" t="s">
        <v>34</v>
      </c>
      <c r="F422" s="31" t="s">
        <v>562</v>
      </c>
      <c r="G422" s="31" t="s">
        <v>177</v>
      </c>
      <c r="H422" s="17" t="n">
        <v>4841</v>
      </c>
      <c r="I422" s="32" t="n">
        <v>0.7</v>
      </c>
      <c r="J422" s="33" t="n">
        <v>0.74</v>
      </c>
      <c r="K422" s="34" t="n">
        <v>0.85</v>
      </c>
      <c r="L422" s="31" t="n">
        <v>0.96</v>
      </c>
      <c r="M422" s="31" t="n">
        <v>0.85</v>
      </c>
      <c r="N422" s="11" t="n">
        <v>3</v>
      </c>
      <c r="O422" s="12"/>
      <c r="P422" s="11"/>
      <c r="Q422" s="8"/>
      <c r="R422" s="8"/>
      <c r="S422" s="8"/>
      <c r="T422" s="8"/>
      <c r="U422" s="8"/>
      <c r="V422" s="8"/>
      <c r="W422" s="8"/>
      <c r="X422" s="8"/>
      <c r="Y422" s="8"/>
      <c r="Z422" s="8"/>
      <c r="AA422" s="8"/>
      <c r="AB422" s="8"/>
      <c r="AC422" s="8"/>
      <c r="AD422" s="8"/>
      <c r="AE422" s="8"/>
      <c r="AF422" s="8"/>
      <c r="AG422" s="8"/>
      <c r="AH422" s="8"/>
      <c r="AI422" s="8"/>
      <c r="AJ422" s="8"/>
      <c r="AK422" s="8"/>
      <c r="AL422" s="8"/>
      <c r="AM422" s="8"/>
    </row>
    <row r="423" customFormat="false" ht="15.75" hidden="false" customHeight="true" outlineLevel="0" collapsed="false">
      <c r="A423" s="30" t="n">
        <v>46304</v>
      </c>
      <c r="B423" s="31" t="s">
        <v>373</v>
      </c>
      <c r="C423" s="31" t="str">
        <f aca="false" t="array" ref="C423:C423">IF(B423="","",IFERROR(INDEX('CLM &amp; IM Mapping'!$B$2:$B$270,MATCH(TRIM(B423),'CLM &amp; IM Mapping'!$A$2:$A$270,0)),"Not Mapped"))</f>
        <v>Majid Kakatikar</v>
      </c>
      <c r="D423" s="31" t="str">
        <f aca="false" t="array" ref="D423:D423">IF(B423="","",IFERROR(INDEX('CLM &amp; IM Mapping'!$C$2:$C$270,MATCH(TRIM(B423),'CLM &amp; IM Mapping'!$A$2:$A$270,0)),"Not Mapped"))</f>
        <v>Kishor K</v>
      </c>
      <c r="E423" s="31" t="s">
        <v>34</v>
      </c>
      <c r="F423" s="31" t="s">
        <v>565</v>
      </c>
      <c r="G423" s="31" t="s">
        <v>261</v>
      </c>
      <c r="H423" s="17" t="n">
        <v>6127</v>
      </c>
      <c r="I423" s="32" t="n">
        <v>0.7</v>
      </c>
      <c r="J423" s="33" t="n">
        <v>0.75</v>
      </c>
      <c r="K423" s="34" t="n">
        <v>0.99</v>
      </c>
      <c r="L423" s="31" t="n">
        <v>1</v>
      </c>
      <c r="M423" s="31" t="n">
        <v>0.99</v>
      </c>
      <c r="N423" s="11" t="n">
        <v>3</v>
      </c>
      <c r="O423" s="12" t="s">
        <v>631</v>
      </c>
      <c r="P423" s="38" t="s">
        <v>623</v>
      </c>
      <c r="Q423" s="8"/>
      <c r="R423" s="8"/>
      <c r="S423" s="8"/>
      <c r="T423" s="8"/>
      <c r="U423" s="8"/>
      <c r="V423" s="8"/>
      <c r="W423" s="8"/>
      <c r="X423" s="8"/>
      <c r="Y423" s="8"/>
      <c r="Z423" s="8"/>
      <c r="AA423" s="8"/>
      <c r="AB423" s="8"/>
      <c r="AC423" s="8"/>
      <c r="AD423" s="8"/>
      <c r="AE423" s="8"/>
      <c r="AF423" s="8"/>
      <c r="AG423" s="8"/>
      <c r="AH423" s="8"/>
      <c r="AI423" s="8"/>
      <c r="AJ423" s="8"/>
      <c r="AK423" s="8"/>
      <c r="AL423" s="8"/>
      <c r="AM423" s="8"/>
    </row>
    <row r="424" customFormat="false" ht="15.75" hidden="false" customHeight="true" outlineLevel="0" collapsed="false">
      <c r="A424" s="30" t="n">
        <v>46304</v>
      </c>
      <c r="B424" s="31" t="s">
        <v>144</v>
      </c>
      <c r="C424" s="31" t="str">
        <f aca="false" t="array" ref="C424:C424">IF(B424="","",IFERROR(INDEX('CLM &amp; IM Mapping'!$B$2:$B$270,MATCH(TRIM(B424),'CLM &amp; IM Mapping'!$A$2:$A$270,0)),"Not Mapped"))</f>
        <v>Mohaideen DH</v>
      </c>
      <c r="D424" s="31" t="str">
        <f aca="false" t="array" ref="D424:D424">IF(B424="","",IFERROR(INDEX('CLM &amp; IM Mapping'!$C$2:$C$270,MATCH(TRIM(B424),'CLM &amp; IM Mapping'!$A$2:$A$270,0)),"Not Mapped"))</f>
        <v>Mohammed Akbar</v>
      </c>
      <c r="E424" s="31" t="s">
        <v>34</v>
      </c>
      <c r="F424" s="31" t="s">
        <v>562</v>
      </c>
      <c r="G424" s="31" t="s">
        <v>23</v>
      </c>
      <c r="H424" s="17" t="n">
        <v>6324</v>
      </c>
      <c r="I424" s="32" t="n">
        <v>0.7</v>
      </c>
      <c r="J424" s="33" t="n">
        <v>0.75</v>
      </c>
      <c r="K424" s="34" t="n">
        <v>0.79</v>
      </c>
      <c r="L424" s="31" t="n">
        <v>0.83</v>
      </c>
      <c r="M424" s="31" t="n">
        <v>0.79</v>
      </c>
      <c r="N424" s="11" t="n">
        <v>3</v>
      </c>
      <c r="O424" s="12"/>
      <c r="P424" s="11"/>
      <c r="Q424" s="8"/>
      <c r="R424" s="8"/>
      <c r="S424" s="8"/>
      <c r="T424" s="8"/>
      <c r="U424" s="8"/>
      <c r="V424" s="8"/>
      <c r="W424" s="8"/>
      <c r="X424" s="8"/>
      <c r="Y424" s="8"/>
      <c r="Z424" s="8"/>
      <c r="AA424" s="8"/>
      <c r="AB424" s="8"/>
      <c r="AC424" s="8"/>
      <c r="AD424" s="8"/>
      <c r="AE424" s="8"/>
      <c r="AF424" s="8"/>
      <c r="AG424" s="8"/>
      <c r="AH424" s="8"/>
      <c r="AI424" s="8"/>
      <c r="AJ424" s="8"/>
      <c r="AK424" s="8"/>
      <c r="AL424" s="8"/>
      <c r="AM424" s="8"/>
    </row>
    <row r="425" customFormat="false" ht="15.75" hidden="false" customHeight="true" outlineLevel="0" collapsed="false">
      <c r="A425" s="30" t="n">
        <v>46304</v>
      </c>
      <c r="B425" s="31" t="s">
        <v>165</v>
      </c>
      <c r="C425" s="31" t="str">
        <f aca="false" t="array" ref="C425:C425">IF(B425="","",IFERROR(INDEX('CLM &amp; IM Mapping'!$B$2:$B$270,MATCH(TRIM(B425),'CLM &amp; IM Mapping'!$A$2:$A$270,0)),"Not Mapped"))</f>
        <v>Akshay P</v>
      </c>
      <c r="D425" s="31" t="str">
        <f aca="false" t="array" ref="D425:D425">IF(B425="","",IFERROR(INDEX('CLM &amp; IM Mapping'!$C$2:$C$270,MATCH(TRIM(B425),'CLM &amp; IM Mapping'!$A$2:$A$270,0)),"Not Mapped"))</f>
        <v>Srittam Dhal</v>
      </c>
      <c r="E425" s="31" t="s">
        <v>34</v>
      </c>
      <c r="F425" s="31" t="s">
        <v>562</v>
      </c>
      <c r="G425" s="31" t="s">
        <v>23</v>
      </c>
      <c r="H425" s="17" t="n">
        <v>5379</v>
      </c>
      <c r="I425" s="32" t="n">
        <v>0.7</v>
      </c>
      <c r="J425" s="33" t="n">
        <v>0.76</v>
      </c>
      <c r="K425" s="34" t="n">
        <v>0.81</v>
      </c>
      <c r="L425" s="31" t="n">
        <v>0.95</v>
      </c>
      <c r="M425" s="31" t="n">
        <v>0.81</v>
      </c>
      <c r="N425" s="11" t="n">
        <v>3</v>
      </c>
      <c r="O425" s="12" t="s">
        <v>663</v>
      </c>
      <c r="P425" s="11" t="s">
        <v>603</v>
      </c>
      <c r="Q425" s="8"/>
      <c r="R425" s="8"/>
      <c r="S425" s="8"/>
      <c r="T425" s="8"/>
      <c r="U425" s="8"/>
      <c r="V425" s="8"/>
      <c r="W425" s="8"/>
      <c r="X425" s="8"/>
      <c r="Y425" s="8"/>
      <c r="Z425" s="8"/>
      <c r="AA425" s="8"/>
      <c r="AB425" s="8"/>
      <c r="AC425" s="8"/>
      <c r="AD425" s="8"/>
      <c r="AE425" s="8"/>
      <c r="AF425" s="8"/>
      <c r="AG425" s="8"/>
      <c r="AH425" s="8"/>
      <c r="AI425" s="8"/>
      <c r="AJ425" s="8"/>
      <c r="AK425" s="8"/>
      <c r="AL425" s="8"/>
      <c r="AM425" s="8"/>
    </row>
    <row r="426" customFormat="false" ht="15.75" hidden="false" customHeight="true" outlineLevel="0" collapsed="false">
      <c r="A426" s="30" t="n">
        <v>46304</v>
      </c>
      <c r="B426" s="31" t="s">
        <v>139</v>
      </c>
      <c r="C426" s="31" t="str">
        <f aca="false" t="array" ref="C426:C426">IF(B426="","",IFERROR(INDEX('CLM &amp; IM Mapping'!$B$2:$B$270,MATCH(TRIM(B426),'CLM &amp; IM Mapping'!$A$2:$A$270,0)),"Not Mapped"))</f>
        <v>Mohaideen DH</v>
      </c>
      <c r="D426" s="31" t="str">
        <f aca="false" t="array" ref="D426:D426">IF(B426="","",IFERROR(INDEX('CLM &amp; IM Mapping'!$C$2:$C$270,MATCH(TRIM(B426),'CLM &amp; IM Mapping'!$A$2:$A$270,0)),"Not Mapped"))</f>
        <v>Mohammed Akbar</v>
      </c>
      <c r="E426" s="31" t="s">
        <v>34</v>
      </c>
      <c r="F426" s="31" t="s">
        <v>562</v>
      </c>
      <c r="G426" s="31" t="s">
        <v>23</v>
      </c>
      <c r="H426" s="17" t="n">
        <v>4964</v>
      </c>
      <c r="I426" s="32" t="n">
        <v>0.7</v>
      </c>
      <c r="J426" s="33" t="n">
        <v>0.76</v>
      </c>
      <c r="K426" s="34" t="n">
        <v>0.83</v>
      </c>
      <c r="L426" s="31" t="n">
        <v>0.96</v>
      </c>
      <c r="M426" s="31" t="n">
        <v>0.83</v>
      </c>
      <c r="N426" s="11" t="n">
        <v>4</v>
      </c>
      <c r="O426" s="12"/>
      <c r="P426" s="11"/>
      <c r="Q426" s="8"/>
      <c r="R426" s="8"/>
      <c r="S426" s="8"/>
      <c r="T426" s="8"/>
      <c r="U426" s="8"/>
      <c r="V426" s="8"/>
      <c r="W426" s="8"/>
      <c r="X426" s="8"/>
      <c r="Y426" s="8"/>
      <c r="Z426" s="8"/>
      <c r="AA426" s="8"/>
      <c r="AB426" s="8"/>
      <c r="AC426" s="8"/>
      <c r="AD426" s="8"/>
      <c r="AE426" s="8"/>
      <c r="AF426" s="8"/>
      <c r="AG426" s="8"/>
      <c r="AH426" s="8"/>
      <c r="AI426" s="8"/>
      <c r="AJ426" s="8"/>
      <c r="AK426" s="8"/>
      <c r="AL426" s="8"/>
      <c r="AM426" s="8"/>
    </row>
    <row r="427" customFormat="false" ht="15.75" hidden="false" customHeight="true" outlineLevel="0" collapsed="false">
      <c r="A427" s="30" t="n">
        <v>46304</v>
      </c>
      <c r="B427" s="31" t="s">
        <v>346</v>
      </c>
      <c r="C427" s="31" t="str">
        <f aca="false" t="array" ref="C427:C427">IF(B427="","",IFERROR(INDEX('CLM &amp; IM Mapping'!$B$2:$B$270,MATCH(TRIM(B427),'CLM &amp; IM Mapping'!$A$2:$A$270,0)),"Not Mapped"))</f>
        <v>Saddam Hussain</v>
      </c>
      <c r="D427" s="31" t="str">
        <f aca="false" t="array" ref="D427:D427">IF(B427="","",IFERROR(INDEX('CLM &amp; IM Mapping'!$C$2:$C$270,MATCH(TRIM(B427),'CLM &amp; IM Mapping'!$A$2:$A$270,0)),"Not Mapped"))</f>
        <v>Un Mapped</v>
      </c>
      <c r="E427" s="31" t="s">
        <v>34</v>
      </c>
      <c r="F427" s="31" t="s">
        <v>562</v>
      </c>
      <c r="G427" s="31" t="s">
        <v>23</v>
      </c>
      <c r="H427" s="17" t="n">
        <v>5663</v>
      </c>
      <c r="I427" s="32" t="n">
        <v>0.7</v>
      </c>
      <c r="J427" s="33" t="n">
        <v>0.76</v>
      </c>
      <c r="K427" s="34" t="n">
        <v>0.94</v>
      </c>
      <c r="L427" s="31" t="n">
        <v>0.99</v>
      </c>
      <c r="M427" s="31" t="n">
        <v>0.94</v>
      </c>
      <c r="N427" s="11" t="n">
        <v>4</v>
      </c>
      <c r="O427" s="12"/>
      <c r="P427" s="11"/>
      <c r="Q427" s="8"/>
      <c r="R427" s="8"/>
      <c r="S427" s="8"/>
      <c r="T427" s="8"/>
      <c r="U427" s="8"/>
      <c r="V427" s="8"/>
      <c r="W427" s="8"/>
      <c r="X427" s="8"/>
      <c r="Y427" s="8"/>
      <c r="Z427" s="8"/>
      <c r="AA427" s="8"/>
      <c r="AB427" s="8"/>
      <c r="AC427" s="8"/>
      <c r="AD427" s="8"/>
      <c r="AE427" s="8"/>
      <c r="AF427" s="8"/>
      <c r="AG427" s="8"/>
      <c r="AH427" s="8"/>
      <c r="AI427" s="8"/>
      <c r="AJ427" s="8"/>
      <c r="AK427" s="8"/>
      <c r="AL427" s="8"/>
      <c r="AM427" s="8"/>
    </row>
    <row r="428" customFormat="false" ht="15.75" hidden="false" customHeight="true" outlineLevel="0" collapsed="false">
      <c r="A428" s="30" t="n">
        <v>46304</v>
      </c>
      <c r="B428" s="31" t="s">
        <v>259</v>
      </c>
      <c r="C428" s="31" t="str">
        <f aca="false" t="array" ref="C428:C428">IF(B428="","",IFERROR(INDEX('CLM &amp; IM Mapping'!$B$2:$B$270,MATCH(TRIM(B428),'CLM &amp; IM Mapping'!$A$2:$A$270,0)),"Not Mapped"))</f>
        <v>Raghavendra Vernekar</v>
      </c>
      <c r="D428" s="31" t="str">
        <f aca="false" t="array" ref="D428:D428">IF(B428="","",IFERROR(INDEX('CLM &amp; IM Mapping'!$C$2:$C$270,MATCH(TRIM(B428),'CLM &amp; IM Mapping'!$A$2:$A$270,0)),"Not Mapped"))</f>
        <v>Prakash BS</v>
      </c>
      <c r="E428" s="31" t="s">
        <v>34</v>
      </c>
      <c r="F428" s="31" t="s">
        <v>562</v>
      </c>
      <c r="G428" s="31" t="s">
        <v>23</v>
      </c>
      <c r="H428" s="17" t="n">
        <v>7036</v>
      </c>
      <c r="I428" s="32" t="n">
        <v>0.7</v>
      </c>
      <c r="J428" s="33" t="n">
        <v>0.77</v>
      </c>
      <c r="K428" s="34" t="n">
        <v>0.87</v>
      </c>
      <c r="L428" s="31" t="n">
        <v>0.94</v>
      </c>
      <c r="M428" s="31" t="n">
        <v>0.87</v>
      </c>
      <c r="N428" s="11" t="n">
        <v>4</v>
      </c>
      <c r="O428" s="12" t="s">
        <v>649</v>
      </c>
      <c r="P428" s="37" t="n">
        <v>46366</v>
      </c>
      <c r="Q428" s="8"/>
      <c r="R428" s="8"/>
      <c r="S428" s="8"/>
      <c r="T428" s="8"/>
      <c r="U428" s="8"/>
      <c r="V428" s="8"/>
      <c r="W428" s="8"/>
      <c r="X428" s="8"/>
      <c r="Y428" s="8"/>
      <c r="Z428" s="8"/>
      <c r="AA428" s="8"/>
      <c r="AB428" s="8"/>
      <c r="AC428" s="8"/>
      <c r="AD428" s="8"/>
      <c r="AE428" s="8"/>
      <c r="AF428" s="8"/>
      <c r="AG428" s="8"/>
      <c r="AH428" s="8"/>
      <c r="AI428" s="8"/>
      <c r="AJ428" s="8"/>
      <c r="AK428" s="8"/>
      <c r="AL428" s="8"/>
      <c r="AM428" s="8"/>
    </row>
    <row r="429" customFormat="false" ht="15.75" hidden="false" customHeight="true" outlineLevel="0" collapsed="false">
      <c r="A429" s="30" t="n">
        <v>46304</v>
      </c>
      <c r="B429" s="31" t="s">
        <v>384</v>
      </c>
      <c r="C429" s="31" t="str">
        <f aca="false" t="array" ref="C429:C429">IF(B429="","",IFERROR(INDEX('CLM &amp; IM Mapping'!$B$2:$B$270,MATCH(TRIM(B429),'CLM &amp; IM Mapping'!$A$2:$A$270,0)),"Not Mapped"))</f>
        <v>Saddam Hussain</v>
      </c>
      <c r="D429" s="31" t="str">
        <f aca="false" t="array" ref="D429:D429">IF(B429="","",IFERROR(INDEX('CLM &amp; IM Mapping'!$C$2:$C$270,MATCH(TRIM(B429),'CLM &amp; IM Mapping'!$A$2:$A$270,0)),"Not Mapped"))</f>
        <v>Un Mapped</v>
      </c>
      <c r="E429" s="31" t="s">
        <v>34</v>
      </c>
      <c r="F429" s="31" t="s">
        <v>565</v>
      </c>
      <c r="G429" s="31" t="s">
        <v>23</v>
      </c>
      <c r="H429" s="17" t="n">
        <v>4901</v>
      </c>
      <c r="I429" s="32" t="n">
        <v>0.7</v>
      </c>
      <c r="J429" s="33" t="n">
        <v>0.77</v>
      </c>
      <c r="K429" s="34" t="n">
        <v>0.9</v>
      </c>
      <c r="L429" s="31" t="n">
        <v>0.98</v>
      </c>
      <c r="M429" s="31" t="n">
        <v>0.9</v>
      </c>
      <c r="N429" s="11" t="n">
        <v>5</v>
      </c>
      <c r="O429" s="12"/>
      <c r="P429" s="11"/>
      <c r="Q429" s="8"/>
      <c r="R429" s="8"/>
      <c r="S429" s="8"/>
      <c r="T429" s="8"/>
      <c r="U429" s="8"/>
      <c r="V429" s="8"/>
      <c r="W429" s="8"/>
      <c r="X429" s="8"/>
      <c r="Y429" s="8"/>
      <c r="Z429" s="8"/>
      <c r="AA429" s="8"/>
      <c r="AB429" s="8"/>
      <c r="AC429" s="8"/>
      <c r="AD429" s="8"/>
      <c r="AE429" s="8"/>
      <c r="AF429" s="8"/>
      <c r="AG429" s="8"/>
      <c r="AH429" s="8"/>
      <c r="AI429" s="8"/>
      <c r="AJ429" s="8"/>
      <c r="AK429" s="8"/>
      <c r="AL429" s="8"/>
      <c r="AM429" s="8"/>
    </row>
    <row r="430" customFormat="false" ht="15.75" hidden="false" customHeight="true" outlineLevel="0" collapsed="false">
      <c r="A430" s="30" t="n">
        <v>46304</v>
      </c>
      <c r="B430" s="31" t="s">
        <v>512</v>
      </c>
      <c r="C430" s="31" t="str">
        <f aca="false" t="array" ref="C430:C430">IF(B430="","",IFERROR(INDEX('CLM &amp; IM Mapping'!$B$2:$B$270,MATCH(TRIM(B430),'CLM &amp; IM Mapping'!$A$2:$A$270,0)),"Not Mapped"))</f>
        <v>Saddam Hussain</v>
      </c>
      <c r="D430" s="31" t="str">
        <f aca="false" t="array" ref="D430:D430">IF(B430="","",IFERROR(INDEX('CLM &amp; IM Mapping'!$C$2:$C$270,MATCH(TRIM(B430),'CLM &amp; IM Mapping'!$A$2:$A$270,0)),"Not Mapped"))</f>
        <v>Un Mapped</v>
      </c>
      <c r="E430" s="31" t="s">
        <v>34</v>
      </c>
      <c r="F430" s="31" t="s">
        <v>565</v>
      </c>
      <c r="G430" s="31" t="s">
        <v>23</v>
      </c>
      <c r="H430" s="17" t="n">
        <v>4212</v>
      </c>
      <c r="I430" s="32" t="n">
        <v>0.7</v>
      </c>
      <c r="J430" s="33" t="n">
        <v>0.77</v>
      </c>
      <c r="K430" s="34" t="n">
        <v>0.81</v>
      </c>
      <c r="L430" s="31" t="n">
        <v>0.98</v>
      </c>
      <c r="M430" s="31" t="n">
        <v>0.81</v>
      </c>
      <c r="N430" s="11" t="n">
        <v>3</v>
      </c>
      <c r="O430" s="12"/>
      <c r="P430" s="11"/>
      <c r="Q430" s="8"/>
      <c r="R430" s="8"/>
      <c r="S430" s="8"/>
      <c r="T430" s="8"/>
      <c r="U430" s="8"/>
      <c r="V430" s="8"/>
      <c r="W430" s="8"/>
      <c r="X430" s="8"/>
      <c r="Y430" s="8"/>
      <c r="Z430" s="8"/>
      <c r="AA430" s="8"/>
      <c r="AB430" s="8"/>
      <c r="AC430" s="8"/>
      <c r="AD430" s="8"/>
      <c r="AE430" s="8"/>
      <c r="AF430" s="8"/>
      <c r="AG430" s="8"/>
      <c r="AH430" s="8"/>
      <c r="AI430" s="8"/>
      <c r="AJ430" s="8"/>
      <c r="AK430" s="8"/>
      <c r="AL430" s="8"/>
      <c r="AM430" s="8"/>
    </row>
    <row r="431" customFormat="false" ht="15.75" hidden="false" customHeight="true" outlineLevel="0" collapsed="false">
      <c r="A431" s="30" t="n">
        <v>46304</v>
      </c>
      <c r="B431" s="31" t="s">
        <v>162</v>
      </c>
      <c r="C431" s="31" t="str">
        <f aca="false" t="array" ref="C431:C431">IF(B431="","",IFERROR(INDEX('CLM &amp; IM Mapping'!$B$2:$B$270,MATCH(TRIM(B431),'CLM &amp; IM Mapping'!$A$2:$A$270,0)),"Not Mapped"))</f>
        <v>Ashwath S</v>
      </c>
      <c r="D431" s="31" t="str">
        <f aca="false" t="array" ref="D431:D431">IF(B431="","",IFERROR(INDEX('CLM &amp; IM Mapping'!$C$2:$C$270,MATCH(TRIM(B431),'CLM &amp; IM Mapping'!$A$2:$A$270,0)),"Not Mapped"))</f>
        <v>Kantha Kumar</v>
      </c>
      <c r="E431" s="31" t="s">
        <v>34</v>
      </c>
      <c r="F431" s="31" t="s">
        <v>562</v>
      </c>
      <c r="G431" s="31" t="s">
        <v>23</v>
      </c>
      <c r="H431" s="17" t="n">
        <v>6158</v>
      </c>
      <c r="I431" s="32" t="n">
        <v>0.7</v>
      </c>
      <c r="J431" s="33" t="n">
        <v>0.77</v>
      </c>
      <c r="K431" s="34" t="n">
        <v>0.83</v>
      </c>
      <c r="L431" s="31" t="n">
        <v>0.95</v>
      </c>
      <c r="M431" s="31" t="n">
        <v>0.83</v>
      </c>
      <c r="N431" s="11" t="n">
        <v>4</v>
      </c>
      <c r="O431" s="12"/>
      <c r="P431" s="11"/>
      <c r="Q431" s="8"/>
      <c r="R431" s="8"/>
      <c r="S431" s="8"/>
      <c r="T431" s="8"/>
      <c r="U431" s="8"/>
      <c r="V431" s="8"/>
      <c r="W431" s="8"/>
      <c r="X431" s="8"/>
      <c r="Y431" s="8"/>
      <c r="Z431" s="8"/>
      <c r="AA431" s="8"/>
      <c r="AB431" s="8"/>
      <c r="AC431" s="8"/>
      <c r="AD431" s="8"/>
      <c r="AE431" s="8"/>
      <c r="AF431" s="8"/>
      <c r="AG431" s="8"/>
      <c r="AH431" s="8"/>
      <c r="AI431" s="8"/>
      <c r="AJ431" s="8"/>
      <c r="AK431" s="8"/>
      <c r="AL431" s="8"/>
      <c r="AM431" s="8"/>
    </row>
    <row r="432" customFormat="false" ht="15.75" hidden="false" customHeight="true" outlineLevel="0" collapsed="false">
      <c r="A432" s="30" t="n">
        <v>46304</v>
      </c>
      <c r="B432" s="31" t="s">
        <v>411</v>
      </c>
      <c r="C432" s="31" t="str">
        <f aca="false" t="array" ref="C432:C432">IF(B432="","",IFERROR(INDEX('CLM &amp; IM Mapping'!$B$2:$B$270,MATCH(TRIM(B432),'CLM &amp; IM Mapping'!$A$2:$A$270,0)),"Not Mapped"))</f>
        <v>Vishnu V</v>
      </c>
      <c r="D432" s="31" t="str">
        <f aca="false" t="array" ref="D432:D432">IF(B432="","",IFERROR(INDEX('CLM &amp; IM Mapping'!$C$2:$C$270,MATCH(TRIM(B432),'CLM &amp; IM Mapping'!$A$2:$A$270,0)),"Not Mapped"))</f>
        <v>Arivind S</v>
      </c>
      <c r="E432" s="31" t="s">
        <v>34</v>
      </c>
      <c r="F432" s="31" t="s">
        <v>562</v>
      </c>
      <c r="G432" s="31" t="s">
        <v>221</v>
      </c>
      <c r="H432" s="17" t="n">
        <v>5170</v>
      </c>
      <c r="I432" s="32" t="n">
        <v>0.7</v>
      </c>
      <c r="J432" s="33" t="n">
        <v>0.77</v>
      </c>
      <c r="K432" s="34" t="n">
        <v>0.98</v>
      </c>
      <c r="L432" s="31" t="n">
        <v>0.99</v>
      </c>
      <c r="M432" s="31" t="n">
        <v>0.98</v>
      </c>
      <c r="N432" s="11" t="n">
        <v>1</v>
      </c>
      <c r="O432" s="12"/>
      <c r="P432" s="11"/>
      <c r="Q432" s="8"/>
      <c r="R432" s="8"/>
      <c r="S432" s="8"/>
      <c r="T432" s="8"/>
      <c r="U432" s="8"/>
      <c r="V432" s="8"/>
      <c r="W432" s="8"/>
      <c r="X432" s="8"/>
      <c r="Y432" s="8"/>
      <c r="Z432" s="8"/>
      <c r="AA432" s="8"/>
      <c r="AB432" s="8"/>
      <c r="AC432" s="8"/>
      <c r="AD432" s="8"/>
      <c r="AE432" s="8"/>
      <c r="AF432" s="8"/>
      <c r="AG432" s="8"/>
      <c r="AH432" s="8"/>
      <c r="AI432" s="8"/>
      <c r="AJ432" s="8"/>
      <c r="AK432" s="8"/>
      <c r="AL432" s="8"/>
      <c r="AM432" s="8"/>
    </row>
    <row r="433" customFormat="false" ht="15.75" hidden="false" customHeight="true" outlineLevel="0" collapsed="false">
      <c r="A433" s="30" t="n">
        <v>46304</v>
      </c>
      <c r="B433" s="31" t="s">
        <v>400</v>
      </c>
      <c r="C433" s="31" t="str">
        <f aca="false" t="array" ref="C433:C433">IF(B433="","",IFERROR(INDEX('CLM &amp; IM Mapping'!$B$2:$B$270,MATCH(TRIM(B433),'CLM &amp; IM Mapping'!$A$2:$A$270,0)),"Not Mapped"))</f>
        <v>Bangareppa CS</v>
      </c>
      <c r="D433" s="31" t="str">
        <f aca="false" t="array" ref="D433:D433">IF(B433="","",IFERROR(INDEX('CLM &amp; IM Mapping'!$C$2:$C$270,MATCH(TRIM(B433),'CLM &amp; IM Mapping'!$A$2:$A$270,0)),"Not Mapped"))</f>
        <v>Kishor K</v>
      </c>
      <c r="E433" s="31" t="s">
        <v>34</v>
      </c>
      <c r="F433" s="31" t="s">
        <v>562</v>
      </c>
      <c r="G433" s="31" t="s">
        <v>394</v>
      </c>
      <c r="H433" s="17" t="n">
        <v>6112</v>
      </c>
      <c r="I433" s="32" t="n">
        <v>0.7</v>
      </c>
      <c r="J433" s="33" t="n">
        <v>0.78</v>
      </c>
      <c r="K433" s="34" t="n">
        <v>0.96</v>
      </c>
      <c r="L433" s="31" t="n">
        <v>0.98</v>
      </c>
      <c r="M433" s="31" t="n">
        <v>0.96</v>
      </c>
      <c r="N433" s="11" t="n">
        <v>2</v>
      </c>
      <c r="O433" s="12" t="s">
        <v>631</v>
      </c>
      <c r="P433" s="38" t="s">
        <v>623</v>
      </c>
      <c r="Q433" s="8"/>
      <c r="R433" s="8"/>
      <c r="S433" s="8"/>
      <c r="T433" s="8"/>
      <c r="U433" s="8"/>
      <c r="V433" s="8"/>
      <c r="W433" s="8"/>
      <c r="X433" s="8"/>
      <c r="Y433" s="8"/>
      <c r="Z433" s="8"/>
      <c r="AA433" s="8"/>
      <c r="AB433" s="8"/>
      <c r="AC433" s="8"/>
      <c r="AD433" s="8"/>
      <c r="AE433" s="8"/>
      <c r="AF433" s="8"/>
      <c r="AG433" s="8"/>
      <c r="AH433" s="8"/>
      <c r="AI433" s="8"/>
      <c r="AJ433" s="8"/>
      <c r="AK433" s="8"/>
      <c r="AL433" s="8"/>
      <c r="AM433" s="8"/>
    </row>
    <row r="434" customFormat="false" ht="15.75" hidden="false" customHeight="true" outlineLevel="0" collapsed="false">
      <c r="A434" s="30" t="n">
        <v>46304</v>
      </c>
      <c r="B434" s="31" t="s">
        <v>364</v>
      </c>
      <c r="C434" s="31" t="str">
        <f aca="false" t="array" ref="C434:C434">IF(B434="","",IFERROR(INDEX('CLM &amp; IM Mapping'!$B$2:$B$270,MATCH(TRIM(B434),'CLM &amp; IM Mapping'!$A$2:$A$270,0)),"Not Mapped"))</f>
        <v>Raghavendra Vernekar</v>
      </c>
      <c r="D434" s="31" t="str">
        <f aca="false" t="array" ref="D434:D434">IF(B434="","",IFERROR(INDEX('CLM &amp; IM Mapping'!$C$2:$C$270,MATCH(TRIM(B434),'CLM &amp; IM Mapping'!$A$2:$A$270,0)),"Not Mapped"))</f>
        <v>Prakash BS</v>
      </c>
      <c r="E434" s="31" t="s">
        <v>34</v>
      </c>
      <c r="F434" s="31" t="s">
        <v>565</v>
      </c>
      <c r="G434" s="31" t="s">
        <v>23</v>
      </c>
      <c r="H434" s="17" t="n">
        <v>6976</v>
      </c>
      <c r="I434" s="32" t="n">
        <v>0.7</v>
      </c>
      <c r="J434" s="33" t="n">
        <v>0.78</v>
      </c>
      <c r="K434" s="34" t="n">
        <v>0.85</v>
      </c>
      <c r="L434" s="31" t="n">
        <v>0.96</v>
      </c>
      <c r="M434" s="31" t="n">
        <v>0.85</v>
      </c>
      <c r="N434" s="11" t="n">
        <v>7</v>
      </c>
      <c r="O434" s="12" t="s">
        <v>649</v>
      </c>
      <c r="P434" s="37" t="n">
        <v>46366</v>
      </c>
      <c r="Q434" s="8"/>
      <c r="R434" s="8"/>
      <c r="S434" s="8"/>
      <c r="T434" s="8"/>
      <c r="U434" s="8"/>
      <c r="V434" s="8"/>
      <c r="W434" s="8"/>
      <c r="X434" s="8"/>
      <c r="Y434" s="8"/>
      <c r="Z434" s="8"/>
      <c r="AA434" s="8"/>
      <c r="AB434" s="8"/>
      <c r="AC434" s="8"/>
      <c r="AD434" s="8"/>
      <c r="AE434" s="8"/>
      <c r="AF434" s="8"/>
      <c r="AG434" s="8"/>
      <c r="AH434" s="8"/>
      <c r="AI434" s="8"/>
      <c r="AJ434" s="8"/>
      <c r="AK434" s="8"/>
      <c r="AL434" s="8"/>
      <c r="AM434" s="8"/>
    </row>
    <row r="435" customFormat="false" ht="15.75" hidden="false" customHeight="true" outlineLevel="0" collapsed="false">
      <c r="A435" s="30" t="n">
        <v>46304</v>
      </c>
      <c r="B435" s="31" t="s">
        <v>70</v>
      </c>
      <c r="C435" s="31" t="str">
        <f aca="false" t="array" ref="C435:C435">IF(B435="","",IFERROR(INDEX('CLM &amp; IM Mapping'!$B$2:$B$270,MATCH(TRIM(B435),'CLM &amp; IM Mapping'!$A$2:$A$270,0)),"Not Mapped"))</f>
        <v>Rizwan Ahmed</v>
      </c>
      <c r="D435" s="31" t="str">
        <f aca="false" t="array" ref="D435:D435">IF(B435="","",IFERROR(INDEX('CLM &amp; IM Mapping'!$C$2:$C$270,MATCH(TRIM(B435),'CLM &amp; IM Mapping'!$A$2:$A$270,0)),"Not Mapped"))</f>
        <v>Un Mapped</v>
      </c>
      <c r="E435" s="31" t="s">
        <v>34</v>
      </c>
      <c r="F435" s="31" t="s">
        <v>562</v>
      </c>
      <c r="G435" s="31" t="s">
        <v>23</v>
      </c>
      <c r="H435" s="17" t="n">
        <v>7186</v>
      </c>
      <c r="I435" s="32" t="n">
        <v>0.7</v>
      </c>
      <c r="J435" s="33" t="n">
        <v>0.79</v>
      </c>
      <c r="K435" s="34" t="n">
        <v>0.85</v>
      </c>
      <c r="L435" s="31" t="n">
        <v>0.93</v>
      </c>
      <c r="M435" s="31" t="n">
        <v>0.85</v>
      </c>
      <c r="N435" s="11" t="n">
        <v>2</v>
      </c>
      <c r="O435" s="12"/>
      <c r="P435" s="11"/>
      <c r="Q435" s="8"/>
      <c r="R435" s="8"/>
      <c r="S435" s="8"/>
      <c r="T435" s="8"/>
      <c r="U435" s="8"/>
      <c r="V435" s="8"/>
      <c r="W435" s="8"/>
      <c r="X435" s="8"/>
      <c r="Y435" s="8"/>
      <c r="Z435" s="8"/>
      <c r="AA435" s="8"/>
      <c r="AB435" s="8"/>
      <c r="AC435" s="8"/>
      <c r="AD435" s="8"/>
      <c r="AE435" s="8"/>
      <c r="AF435" s="8"/>
      <c r="AG435" s="8"/>
      <c r="AH435" s="8"/>
      <c r="AI435" s="8"/>
      <c r="AJ435" s="8"/>
      <c r="AK435" s="8"/>
      <c r="AL435" s="8"/>
      <c r="AM435" s="8"/>
    </row>
    <row r="436" customFormat="false" ht="15.75" hidden="false" customHeight="true" outlineLevel="0" collapsed="false">
      <c r="A436" s="30" t="n">
        <v>46304</v>
      </c>
      <c r="B436" s="31" t="s">
        <v>227</v>
      </c>
      <c r="C436" s="31" t="str">
        <f aca="false" t="array" ref="C436:C436">IF(B436="","",IFERROR(INDEX('CLM &amp; IM Mapping'!$B$2:$B$270,MATCH(TRIM(B436),'CLM &amp; IM Mapping'!$A$2:$A$270,0)),"Not Mapped"))</f>
        <v>Vijay M</v>
      </c>
      <c r="D436" s="31" t="str">
        <f aca="false" t="array" ref="D436:D436">IF(B436="","",IFERROR(INDEX('CLM &amp; IM Mapping'!$C$2:$C$270,MATCH(TRIM(B436),'CLM &amp; IM Mapping'!$A$2:$A$270,0)),"Not Mapped"))</f>
        <v>Kantha Kumar</v>
      </c>
      <c r="E436" s="31" t="s">
        <v>34</v>
      </c>
      <c r="F436" s="31" t="s">
        <v>562</v>
      </c>
      <c r="G436" s="31" t="s">
        <v>23</v>
      </c>
      <c r="H436" s="17" t="n">
        <v>5085</v>
      </c>
      <c r="I436" s="32" t="n">
        <v>0.7</v>
      </c>
      <c r="J436" s="33" t="n">
        <v>0.79</v>
      </c>
      <c r="K436" s="34" t="n">
        <v>0.85</v>
      </c>
      <c r="L436" s="31" t="n">
        <v>0.92</v>
      </c>
      <c r="M436" s="31" t="n">
        <v>0.85</v>
      </c>
      <c r="N436" s="11" t="n">
        <v>1</v>
      </c>
      <c r="O436" s="12"/>
      <c r="P436" s="11"/>
      <c r="Q436" s="8"/>
      <c r="R436" s="8"/>
      <c r="S436" s="8"/>
      <c r="T436" s="8"/>
      <c r="U436" s="8"/>
      <c r="V436" s="8"/>
      <c r="W436" s="8"/>
      <c r="X436" s="8"/>
      <c r="Y436" s="8"/>
      <c r="Z436" s="8"/>
      <c r="AA436" s="8"/>
      <c r="AB436" s="8"/>
      <c r="AC436" s="8"/>
      <c r="AD436" s="8"/>
      <c r="AE436" s="8"/>
      <c r="AF436" s="8"/>
      <c r="AG436" s="8"/>
      <c r="AH436" s="8"/>
      <c r="AI436" s="8"/>
      <c r="AJ436" s="8"/>
      <c r="AK436" s="8"/>
      <c r="AL436" s="8"/>
      <c r="AM436" s="8"/>
    </row>
    <row r="437" customFormat="false" ht="15.75" hidden="false" customHeight="true" outlineLevel="0" collapsed="false">
      <c r="A437" s="30" t="n">
        <v>46304</v>
      </c>
      <c r="B437" s="31" t="s">
        <v>520</v>
      </c>
      <c r="C437" s="31" t="str">
        <f aca="false" t="array" ref="C437:C437">IF(B437="","",IFERROR(INDEX('CLM &amp; IM Mapping'!$B$2:$B$270,MATCH(TRIM(B437),'CLM &amp; IM Mapping'!$A$2:$A$270,0)),"Not Mapped"))</f>
        <v>John Britto</v>
      </c>
      <c r="D437" s="31" t="str">
        <f aca="false" t="array" ref="D437:D437">IF(B437="","",IFERROR(INDEX('CLM &amp; IM Mapping'!$C$2:$C$270,MATCH(TRIM(B437),'CLM &amp; IM Mapping'!$A$2:$A$270,0)),"Not Mapped"))</f>
        <v>Aravind S</v>
      </c>
      <c r="E437" s="31" t="s">
        <v>34</v>
      </c>
      <c r="F437" s="31" t="s">
        <v>562</v>
      </c>
      <c r="G437" s="31" t="s">
        <v>303</v>
      </c>
      <c r="H437" s="17" t="n">
        <v>5602</v>
      </c>
      <c r="I437" s="32" t="n">
        <v>0.7</v>
      </c>
      <c r="J437" s="33" t="n">
        <v>0.79</v>
      </c>
      <c r="K437" s="34" t="n">
        <v>0.88</v>
      </c>
      <c r="L437" s="31" t="n">
        <v>0.97</v>
      </c>
      <c r="M437" s="31" t="n">
        <v>0.88</v>
      </c>
      <c r="N437" s="11" t="n">
        <v>3</v>
      </c>
      <c r="O437" s="12"/>
      <c r="P437" s="11"/>
      <c r="Q437" s="8"/>
      <c r="R437" s="8"/>
      <c r="S437" s="8"/>
      <c r="T437" s="8"/>
      <c r="U437" s="8"/>
      <c r="V437" s="8"/>
      <c r="W437" s="8"/>
      <c r="X437" s="8"/>
      <c r="Y437" s="8"/>
      <c r="Z437" s="8"/>
      <c r="AA437" s="8"/>
      <c r="AB437" s="8"/>
      <c r="AC437" s="8"/>
      <c r="AD437" s="8"/>
      <c r="AE437" s="8"/>
      <c r="AF437" s="8"/>
      <c r="AG437" s="8"/>
      <c r="AH437" s="8"/>
      <c r="AI437" s="8"/>
      <c r="AJ437" s="8"/>
      <c r="AK437" s="8"/>
      <c r="AL437" s="8"/>
      <c r="AM437" s="8"/>
    </row>
    <row r="438" customFormat="false" ht="15.75" hidden="false" customHeight="true" outlineLevel="0" collapsed="false">
      <c r="A438" s="30" t="n">
        <v>46304</v>
      </c>
      <c r="B438" s="31" t="s">
        <v>198</v>
      </c>
      <c r="C438" s="31" t="str">
        <f aca="false" t="array" ref="C438:C438">IF(B438="","",IFERROR(INDEX('CLM &amp; IM Mapping'!$B$2:$B$270,MATCH(TRIM(B438),'CLM &amp; IM Mapping'!$A$2:$A$270,0)),"Not Mapped"))</f>
        <v>Manjunatha V</v>
      </c>
      <c r="D438" s="31" t="str">
        <f aca="false" t="array" ref="D438:D438">IF(B438="","",IFERROR(INDEX('CLM &amp; IM Mapping'!$C$2:$C$270,MATCH(TRIM(B438),'CLM &amp; IM Mapping'!$A$2:$A$270,0)),"Not Mapped"))</f>
        <v>Un Mapped</v>
      </c>
      <c r="E438" s="31" t="s">
        <v>34</v>
      </c>
      <c r="F438" s="31" t="s">
        <v>562</v>
      </c>
      <c r="G438" s="31" t="s">
        <v>23</v>
      </c>
      <c r="H438" s="17" t="n">
        <v>6055</v>
      </c>
      <c r="I438" s="32" t="n">
        <v>0.7</v>
      </c>
      <c r="J438" s="33" t="n">
        <v>0.8</v>
      </c>
      <c r="K438" s="34" t="n">
        <v>0.81</v>
      </c>
      <c r="L438" s="31" t="n">
        <v>0.94</v>
      </c>
      <c r="M438" s="31" t="n">
        <v>0.81</v>
      </c>
      <c r="N438" s="11" t="n">
        <v>5</v>
      </c>
      <c r="O438" s="12"/>
      <c r="P438" s="11"/>
      <c r="Q438" s="8"/>
      <c r="R438" s="8"/>
      <c r="S438" s="8"/>
      <c r="T438" s="8"/>
      <c r="U438" s="8"/>
      <c r="V438" s="8"/>
      <c r="W438" s="8"/>
      <c r="X438" s="8"/>
      <c r="Y438" s="8"/>
      <c r="Z438" s="8"/>
      <c r="AA438" s="8"/>
      <c r="AB438" s="8"/>
      <c r="AC438" s="8"/>
      <c r="AD438" s="8"/>
      <c r="AE438" s="8"/>
      <c r="AF438" s="8"/>
      <c r="AG438" s="8"/>
      <c r="AH438" s="8"/>
      <c r="AI438" s="8"/>
      <c r="AJ438" s="8"/>
      <c r="AK438" s="8"/>
      <c r="AL438" s="8"/>
      <c r="AM438" s="8"/>
    </row>
    <row r="439" customFormat="false" ht="15.75" hidden="false" customHeight="true" outlineLevel="0" collapsed="false">
      <c r="A439" s="30" t="n">
        <v>46304</v>
      </c>
      <c r="B439" s="31" t="s">
        <v>156</v>
      </c>
      <c r="C439" s="31" t="str">
        <f aca="false" t="array" ref="C439:C439">IF(B439="","",IFERROR(INDEX('CLM &amp; IM Mapping'!$B$2:$B$270,MATCH(TRIM(B439),'CLM &amp; IM Mapping'!$A$2:$A$270,0)),"Not Mapped"))</f>
        <v>Manoj Kj</v>
      </c>
      <c r="D439" s="31" t="str">
        <f aca="false" t="array" ref="D439:D439">IF(B439="","",IFERROR(INDEX('CLM &amp; IM Mapping'!$C$2:$C$270,MATCH(TRIM(B439),'CLM &amp; IM Mapping'!$A$2:$A$270,0)),"Not Mapped"))</f>
        <v>Srittam Dhal</v>
      </c>
      <c r="E439" s="31" t="s">
        <v>34</v>
      </c>
      <c r="F439" s="31" t="s">
        <v>562</v>
      </c>
      <c r="G439" s="31" t="s">
        <v>23</v>
      </c>
      <c r="H439" s="17" t="n">
        <v>6275</v>
      </c>
      <c r="I439" s="32" t="n">
        <v>0.7</v>
      </c>
      <c r="J439" s="33" t="n">
        <v>0.8</v>
      </c>
      <c r="K439" s="34" t="n">
        <v>0.82</v>
      </c>
      <c r="L439" s="31" t="n">
        <v>0.93</v>
      </c>
      <c r="M439" s="31" t="n">
        <v>0.82</v>
      </c>
      <c r="N439" s="11" t="n">
        <v>4</v>
      </c>
      <c r="O439" s="12" t="s">
        <v>664</v>
      </c>
      <c r="P439" s="11" t="s">
        <v>623</v>
      </c>
      <c r="Q439" s="8"/>
      <c r="R439" s="8"/>
      <c r="S439" s="8"/>
      <c r="T439" s="8"/>
      <c r="U439" s="8"/>
      <c r="V439" s="8"/>
      <c r="W439" s="8"/>
      <c r="X439" s="8"/>
      <c r="Y439" s="8"/>
      <c r="Z439" s="8"/>
      <c r="AA439" s="8"/>
      <c r="AB439" s="8"/>
      <c r="AC439" s="8"/>
      <c r="AD439" s="8"/>
      <c r="AE439" s="8"/>
      <c r="AF439" s="8"/>
      <c r="AG439" s="8"/>
      <c r="AH439" s="8"/>
      <c r="AI439" s="8"/>
      <c r="AJ439" s="8"/>
      <c r="AK439" s="8"/>
      <c r="AL439" s="8"/>
      <c r="AM439" s="8"/>
    </row>
    <row r="440" customFormat="false" ht="15.75" hidden="false" customHeight="true" outlineLevel="0" collapsed="false">
      <c r="A440" s="30" t="n">
        <v>46304</v>
      </c>
      <c r="B440" s="31" t="s">
        <v>396</v>
      </c>
      <c r="C440" s="31" t="str">
        <f aca="false" t="array" ref="C440:C440">IF(B440="","",IFERROR(INDEX('CLM &amp; IM Mapping'!$B$2:$B$270,MATCH(TRIM(B440),'CLM &amp; IM Mapping'!$A$2:$A$270,0)),"Not Mapped"))</f>
        <v>Ravishankar gowda</v>
      </c>
      <c r="D440" s="31" t="str">
        <f aca="false" t="array" ref="D440:D440">IF(B440="","",IFERROR(INDEX('CLM &amp; IM Mapping'!$C$2:$C$270,MATCH(TRIM(B440),'CLM &amp; IM Mapping'!$A$2:$A$270,0)),"Not Mapped"))</f>
        <v>Kishor K</v>
      </c>
      <c r="E440" s="31" t="s">
        <v>34</v>
      </c>
      <c r="F440" s="31" t="s">
        <v>562</v>
      </c>
      <c r="G440" s="31" t="s">
        <v>23</v>
      </c>
      <c r="H440" s="17" t="n">
        <v>5893</v>
      </c>
      <c r="I440" s="32" t="n">
        <v>0.7</v>
      </c>
      <c r="J440" s="33" t="n">
        <v>0.8</v>
      </c>
      <c r="K440" s="34" t="n">
        <v>0.88</v>
      </c>
      <c r="L440" s="31" t="n">
        <v>0.97</v>
      </c>
      <c r="M440" s="31" t="n">
        <v>0.88</v>
      </c>
      <c r="N440" s="11" t="n">
        <v>7</v>
      </c>
      <c r="O440" s="12" t="s">
        <v>631</v>
      </c>
      <c r="P440" s="38" t="s">
        <v>623</v>
      </c>
      <c r="Q440" s="8"/>
      <c r="R440" s="8"/>
      <c r="S440" s="8"/>
      <c r="T440" s="8"/>
      <c r="U440" s="8"/>
      <c r="V440" s="8"/>
      <c r="W440" s="8"/>
      <c r="X440" s="8"/>
      <c r="Y440" s="8"/>
      <c r="Z440" s="8"/>
      <c r="AA440" s="8"/>
      <c r="AB440" s="8"/>
      <c r="AC440" s="8"/>
      <c r="AD440" s="8"/>
      <c r="AE440" s="8"/>
      <c r="AF440" s="8"/>
      <c r="AG440" s="8"/>
      <c r="AH440" s="8"/>
      <c r="AI440" s="8"/>
      <c r="AJ440" s="8"/>
      <c r="AK440" s="8"/>
      <c r="AL440" s="8"/>
      <c r="AM440" s="8"/>
    </row>
    <row r="441" customFormat="false" ht="15.75" hidden="false" customHeight="true" outlineLevel="0" collapsed="false">
      <c r="A441" s="30" t="n">
        <v>46304</v>
      </c>
      <c r="B441" s="31" t="s">
        <v>329</v>
      </c>
      <c r="C441" s="31" t="str">
        <f aca="false" t="array" ref="C441:C441">IF(B441="","",IFERROR(INDEX('CLM &amp; IM Mapping'!$B$2:$B$270,MATCH(TRIM(B441),'CLM &amp; IM Mapping'!$A$2:$A$270,0)),"Not Mapped"))</f>
        <v>Ashwath S</v>
      </c>
      <c r="D441" s="31" t="str">
        <f aca="false" t="array" ref="D441:D441">IF(B441="","",IFERROR(INDEX('CLM &amp; IM Mapping'!$C$2:$C$270,MATCH(TRIM(B441),'CLM &amp; IM Mapping'!$A$2:$A$270,0)),"Not Mapped"))</f>
        <v>Kantha Kumar</v>
      </c>
      <c r="E441" s="31" t="s">
        <v>34</v>
      </c>
      <c r="F441" s="31" t="s">
        <v>562</v>
      </c>
      <c r="G441" s="31" t="s">
        <v>23</v>
      </c>
      <c r="H441" s="17" t="n">
        <v>6248</v>
      </c>
      <c r="I441" s="32" t="n">
        <v>0.7</v>
      </c>
      <c r="J441" s="33" t="n">
        <v>0.8</v>
      </c>
      <c r="K441" s="34" t="n">
        <v>0.95</v>
      </c>
      <c r="L441" s="31" t="n">
        <v>0.98</v>
      </c>
      <c r="M441" s="31" t="n">
        <v>0.95</v>
      </c>
      <c r="N441" s="11" t="n">
        <v>2</v>
      </c>
      <c r="O441" s="12"/>
      <c r="P441" s="11"/>
      <c r="Q441" s="8"/>
      <c r="R441" s="8"/>
      <c r="S441" s="8"/>
      <c r="T441" s="8"/>
      <c r="U441" s="8"/>
      <c r="V441" s="8"/>
      <c r="W441" s="8"/>
      <c r="X441" s="8"/>
      <c r="Y441" s="8"/>
      <c r="Z441" s="8"/>
      <c r="AA441" s="8"/>
      <c r="AB441" s="8"/>
      <c r="AC441" s="8"/>
      <c r="AD441" s="8"/>
      <c r="AE441" s="8"/>
      <c r="AF441" s="8"/>
      <c r="AG441" s="8"/>
      <c r="AH441" s="8"/>
      <c r="AI441" s="8"/>
      <c r="AJ441" s="8"/>
      <c r="AK441" s="8"/>
      <c r="AL441" s="8"/>
      <c r="AM441" s="8"/>
    </row>
    <row r="442" customFormat="false" ht="15.75" hidden="false" customHeight="true" outlineLevel="0" collapsed="false">
      <c r="A442" s="30" t="n">
        <v>46304</v>
      </c>
      <c r="B442" s="31" t="s">
        <v>431</v>
      </c>
      <c r="C442" s="31" t="str">
        <f aca="false" t="array" ref="C442:C442">IF(B442="","",IFERROR(INDEX('CLM &amp; IM Mapping'!$B$2:$B$270,MATCH(TRIM(B442),'CLM &amp; IM Mapping'!$A$2:$A$270,0)),"Not Mapped"))</f>
        <v>Vishnu V</v>
      </c>
      <c r="D442" s="31" t="str">
        <f aca="false" t="array" ref="D442:D442">IF(B442="","",IFERROR(INDEX('CLM &amp; IM Mapping'!$C$2:$C$270,MATCH(TRIM(B442),'CLM &amp; IM Mapping'!$A$2:$A$270,0)),"Not Mapped"))</f>
        <v>Arivind S</v>
      </c>
      <c r="E442" s="31" t="s">
        <v>34</v>
      </c>
      <c r="F442" s="31" t="s">
        <v>562</v>
      </c>
      <c r="G442" s="31" t="s">
        <v>221</v>
      </c>
      <c r="H442" s="17" t="n">
        <v>5215</v>
      </c>
      <c r="I442" s="32" t="n">
        <v>0.7</v>
      </c>
      <c r="J442" s="33" t="n">
        <v>0.8</v>
      </c>
      <c r="K442" s="34" t="n">
        <v>0.9</v>
      </c>
      <c r="L442" s="31" t="n">
        <v>0.97</v>
      </c>
      <c r="M442" s="31" t="n">
        <v>0.9</v>
      </c>
      <c r="N442" s="11" t="n">
        <v>3</v>
      </c>
      <c r="O442" s="12"/>
      <c r="P442" s="11"/>
      <c r="Q442" s="8"/>
      <c r="R442" s="8"/>
      <c r="S442" s="8"/>
      <c r="T442" s="8"/>
      <c r="U442" s="8"/>
      <c r="V442" s="8"/>
      <c r="W442" s="8"/>
      <c r="X442" s="8"/>
      <c r="Y442" s="8"/>
      <c r="Z442" s="8"/>
      <c r="AA442" s="8"/>
      <c r="AB442" s="8"/>
      <c r="AC442" s="8"/>
      <c r="AD442" s="8"/>
      <c r="AE442" s="8"/>
      <c r="AF442" s="8"/>
      <c r="AG442" s="8"/>
      <c r="AH442" s="8"/>
      <c r="AI442" s="8"/>
      <c r="AJ442" s="8"/>
      <c r="AK442" s="8"/>
      <c r="AL442" s="8"/>
      <c r="AM442" s="8"/>
    </row>
    <row r="443" customFormat="false" ht="15.75" hidden="false" customHeight="true" outlineLevel="0" collapsed="false">
      <c r="A443" s="30" t="n">
        <v>46304</v>
      </c>
      <c r="B443" s="31" t="s">
        <v>420</v>
      </c>
      <c r="C443" s="31" t="str">
        <f aca="false" t="array" ref="C443:C443">IF(B443="","",IFERROR(INDEX('CLM &amp; IM Mapping'!$B$2:$B$270,MATCH(TRIM(B443),'CLM &amp; IM Mapping'!$A$2:$A$270,0)),"Not Mapped"))</f>
        <v>Ravishankar gowda</v>
      </c>
      <c r="D443" s="31" t="str">
        <f aca="false" t="array" ref="D443:D443">IF(B443="","",IFERROR(INDEX('CLM &amp; IM Mapping'!$C$2:$C$270,MATCH(TRIM(B443),'CLM &amp; IM Mapping'!$A$2:$A$270,0)),"Not Mapped"))</f>
        <v>Kishor K</v>
      </c>
      <c r="E443" s="31" t="s">
        <v>34</v>
      </c>
      <c r="F443" s="31" t="s">
        <v>565</v>
      </c>
      <c r="G443" s="31" t="s">
        <v>23</v>
      </c>
      <c r="H443" s="17" t="n">
        <v>6145</v>
      </c>
      <c r="I443" s="32" t="n">
        <v>0.7</v>
      </c>
      <c r="J443" s="33" t="n">
        <v>0.81</v>
      </c>
      <c r="K443" s="34" t="n">
        <v>0.97</v>
      </c>
      <c r="L443" s="31" t="n">
        <v>0.98</v>
      </c>
      <c r="M443" s="31" t="n">
        <v>0.97</v>
      </c>
      <c r="N443" s="11" t="n">
        <v>3</v>
      </c>
      <c r="O443" s="12" t="s">
        <v>631</v>
      </c>
      <c r="P443" s="38" t="s">
        <v>623</v>
      </c>
      <c r="Q443" s="8"/>
      <c r="R443" s="8"/>
      <c r="S443" s="8"/>
      <c r="T443" s="8"/>
      <c r="U443" s="8"/>
      <c r="V443" s="8"/>
      <c r="W443" s="8"/>
      <c r="X443" s="8"/>
      <c r="Y443" s="8"/>
      <c r="Z443" s="8"/>
      <c r="AA443" s="8"/>
      <c r="AB443" s="8"/>
      <c r="AC443" s="8"/>
      <c r="AD443" s="8"/>
      <c r="AE443" s="8"/>
      <c r="AF443" s="8"/>
      <c r="AG443" s="8"/>
      <c r="AH443" s="8"/>
      <c r="AI443" s="8"/>
      <c r="AJ443" s="8"/>
      <c r="AK443" s="8"/>
      <c r="AL443" s="8"/>
      <c r="AM443" s="8"/>
    </row>
    <row r="444" customFormat="false" ht="15.75" hidden="false" customHeight="true" outlineLevel="0" collapsed="false">
      <c r="A444" s="30" t="n">
        <v>46304</v>
      </c>
      <c r="B444" s="31" t="s">
        <v>316</v>
      </c>
      <c r="C444" s="31" t="str">
        <f aca="false" t="array" ref="C444:C444">IF(B444="","",IFERROR(INDEX('CLM &amp; IM Mapping'!$B$2:$B$270,MATCH(TRIM(B444),'CLM &amp; IM Mapping'!$A$2:$A$270,0)),"Not Mapped"))</f>
        <v>Vishnu V</v>
      </c>
      <c r="D444" s="31" t="str">
        <f aca="false" t="array" ref="D444:D444">IF(B444="","",IFERROR(INDEX('CLM &amp; IM Mapping'!$C$2:$C$270,MATCH(TRIM(B444),'CLM &amp; IM Mapping'!$A$2:$A$270,0)),"Not Mapped"))</f>
        <v>Arivind S</v>
      </c>
      <c r="E444" s="31" t="s">
        <v>34</v>
      </c>
      <c r="F444" s="31" t="s">
        <v>562</v>
      </c>
      <c r="G444" s="31" t="s">
        <v>221</v>
      </c>
      <c r="H444" s="17" t="n">
        <v>6083</v>
      </c>
      <c r="I444" s="32" t="n">
        <v>0.7</v>
      </c>
      <c r="J444" s="33" t="n">
        <v>0.81</v>
      </c>
      <c r="K444" s="34" t="n">
        <v>0.89</v>
      </c>
      <c r="L444" s="31" t="n">
        <v>0.97</v>
      </c>
      <c r="M444" s="31" t="n">
        <v>0.89</v>
      </c>
      <c r="N444" s="11" t="n">
        <v>1</v>
      </c>
      <c r="O444" s="12"/>
      <c r="P444" s="11"/>
      <c r="Q444" s="8"/>
      <c r="R444" s="8"/>
      <c r="S444" s="8"/>
      <c r="T444" s="8"/>
      <c r="U444" s="8"/>
      <c r="V444" s="8"/>
      <c r="W444" s="8"/>
      <c r="X444" s="8"/>
      <c r="Y444" s="8"/>
      <c r="Z444" s="8"/>
      <c r="AA444" s="8"/>
      <c r="AB444" s="8"/>
      <c r="AC444" s="8"/>
      <c r="AD444" s="8"/>
      <c r="AE444" s="8"/>
      <c r="AF444" s="8"/>
      <c r="AG444" s="8"/>
      <c r="AH444" s="8"/>
      <c r="AI444" s="8"/>
      <c r="AJ444" s="8"/>
      <c r="AK444" s="8"/>
      <c r="AL444" s="8"/>
      <c r="AM444" s="8"/>
    </row>
    <row r="445" customFormat="false" ht="15.75" hidden="false" customHeight="true" outlineLevel="0" collapsed="false">
      <c r="A445" s="30" t="n">
        <v>46304</v>
      </c>
      <c r="B445" s="31" t="s">
        <v>437</v>
      </c>
      <c r="C445" s="31" t="str">
        <f aca="false" t="array" ref="C445:C445">IF(B445="","",IFERROR(INDEX('CLM &amp; IM Mapping'!$B$2:$B$270,MATCH(TRIM(B445),'CLM &amp; IM Mapping'!$A$2:$A$270,0)),"Not Mapped"))</f>
        <v>Balaji G</v>
      </c>
      <c r="D445" s="31" t="str">
        <f aca="false" t="array" ref="D445:D445">IF(B445="","",IFERROR(INDEX('CLM &amp; IM Mapping'!$C$2:$C$270,MATCH(TRIM(B445),'CLM &amp; IM Mapping'!$A$2:$A$270,0)),"Not Mapped"))</f>
        <v>Mohammed Akbar</v>
      </c>
      <c r="E445" s="31" t="s">
        <v>34</v>
      </c>
      <c r="F445" s="31" t="s">
        <v>562</v>
      </c>
      <c r="G445" s="31" t="s">
        <v>23</v>
      </c>
      <c r="H445" s="17" t="n">
        <v>5689</v>
      </c>
      <c r="I445" s="32" t="n">
        <v>0.7</v>
      </c>
      <c r="J445" s="33" t="n">
        <v>0.81</v>
      </c>
      <c r="K445" s="34" t="n">
        <v>0.89</v>
      </c>
      <c r="L445" s="31" t="n">
        <v>0.96</v>
      </c>
      <c r="M445" s="31" t="n">
        <v>0.89</v>
      </c>
      <c r="N445" s="11" t="n">
        <v>5</v>
      </c>
      <c r="O445" s="12"/>
      <c r="P445" s="11"/>
      <c r="Q445" s="8"/>
      <c r="R445" s="8"/>
      <c r="S445" s="8"/>
      <c r="T445" s="8"/>
      <c r="U445" s="8"/>
      <c r="V445" s="8"/>
      <c r="W445" s="8"/>
      <c r="X445" s="8"/>
      <c r="Y445" s="8"/>
      <c r="Z445" s="8"/>
      <c r="AA445" s="8"/>
      <c r="AB445" s="8"/>
      <c r="AC445" s="8"/>
      <c r="AD445" s="8"/>
      <c r="AE445" s="8"/>
      <c r="AF445" s="8"/>
      <c r="AG445" s="8"/>
      <c r="AH445" s="8"/>
      <c r="AI445" s="8"/>
      <c r="AJ445" s="8"/>
      <c r="AK445" s="8"/>
      <c r="AL445" s="8"/>
      <c r="AM445" s="8"/>
    </row>
    <row r="446" customFormat="false" ht="15.75" hidden="false" customHeight="true" outlineLevel="0" collapsed="false">
      <c r="A446" s="30" t="n">
        <v>46304</v>
      </c>
      <c r="B446" s="31" t="s">
        <v>359</v>
      </c>
      <c r="C446" s="31" t="str">
        <f aca="false" t="array" ref="C446:C446">IF(B446="","",IFERROR(INDEX('CLM &amp; IM Mapping'!$B$2:$B$270,MATCH(TRIM(B446),'CLM &amp; IM Mapping'!$A$2:$A$270,0)),"Not Mapped"))</f>
        <v>Santhosha M</v>
      </c>
      <c r="D446" s="31" t="str">
        <f aca="false" t="array" ref="D446:D446">IF(B446="","",IFERROR(INDEX('CLM &amp; IM Mapping'!$C$2:$C$270,MATCH(TRIM(B446),'CLM &amp; IM Mapping'!$A$2:$A$270,0)),"Not Mapped"))</f>
        <v>Aravind S</v>
      </c>
      <c r="E446" s="31" t="s">
        <v>34</v>
      </c>
      <c r="F446" s="31" t="s">
        <v>562</v>
      </c>
      <c r="G446" s="31" t="s">
        <v>276</v>
      </c>
      <c r="H446" s="17" t="n">
        <v>5543</v>
      </c>
      <c r="I446" s="32" t="n">
        <v>0.7</v>
      </c>
      <c r="J446" s="33" t="n">
        <v>0.82</v>
      </c>
      <c r="K446" s="34" t="n">
        <v>0.98</v>
      </c>
      <c r="L446" s="31" t="n">
        <v>0.99</v>
      </c>
      <c r="M446" s="31" t="n">
        <v>0.98</v>
      </c>
      <c r="N446" s="11" t="n">
        <v>2</v>
      </c>
      <c r="O446" s="12"/>
      <c r="P446" s="11"/>
      <c r="Q446" s="8"/>
      <c r="R446" s="8"/>
      <c r="S446" s="8"/>
      <c r="T446" s="8"/>
      <c r="U446" s="8"/>
      <c r="V446" s="8"/>
      <c r="W446" s="8"/>
      <c r="X446" s="8"/>
      <c r="Y446" s="8"/>
      <c r="Z446" s="8"/>
      <c r="AA446" s="8"/>
      <c r="AB446" s="8"/>
      <c r="AC446" s="8"/>
      <c r="AD446" s="8"/>
      <c r="AE446" s="8"/>
      <c r="AF446" s="8"/>
      <c r="AG446" s="8"/>
      <c r="AH446" s="8"/>
      <c r="AI446" s="8"/>
      <c r="AJ446" s="8"/>
      <c r="AK446" s="8"/>
      <c r="AL446" s="8"/>
      <c r="AM446" s="8"/>
    </row>
    <row r="447" customFormat="false" ht="15.75" hidden="false" customHeight="true" outlineLevel="0" collapsed="false">
      <c r="A447" s="30" t="n">
        <v>46304</v>
      </c>
      <c r="B447" s="31" t="s">
        <v>440</v>
      </c>
      <c r="C447" s="31" t="str">
        <f aca="false" t="array" ref="C447:C447">IF(B447="","",IFERROR(INDEX('CLM &amp; IM Mapping'!$B$2:$B$270,MATCH(TRIM(B447),'CLM &amp; IM Mapping'!$A$2:$A$270,0)),"Not Mapped"))</f>
        <v>Bangareppa CS</v>
      </c>
      <c r="D447" s="31" t="str">
        <f aca="false" t="array" ref="D447:D447">IF(B447="","",IFERROR(INDEX('CLM &amp; IM Mapping'!$C$2:$C$270,MATCH(TRIM(B447),'CLM &amp; IM Mapping'!$A$2:$A$270,0)),"Not Mapped"))</f>
        <v>Kishor K</v>
      </c>
      <c r="E447" s="31" t="s">
        <v>34</v>
      </c>
      <c r="F447" s="31" t="s">
        <v>562</v>
      </c>
      <c r="G447" s="31" t="s">
        <v>212</v>
      </c>
      <c r="H447" s="17" t="n">
        <v>5445</v>
      </c>
      <c r="I447" s="32" t="n">
        <v>0.7</v>
      </c>
      <c r="J447" s="33" t="n">
        <v>0.82</v>
      </c>
      <c r="K447" s="34" t="n">
        <v>0.98</v>
      </c>
      <c r="L447" s="31" t="n">
        <v>0.99</v>
      </c>
      <c r="M447" s="31"/>
      <c r="N447" s="11" t="n">
        <v>1</v>
      </c>
      <c r="O447" s="12" t="s">
        <v>631</v>
      </c>
      <c r="P447" s="38" t="s">
        <v>623</v>
      </c>
      <c r="Q447" s="8"/>
      <c r="R447" s="8"/>
      <c r="S447" s="8"/>
      <c r="T447" s="8"/>
      <c r="U447" s="8"/>
      <c r="V447" s="8"/>
      <c r="W447" s="8"/>
      <c r="X447" s="8"/>
      <c r="Y447" s="8"/>
      <c r="Z447" s="8"/>
      <c r="AA447" s="8"/>
      <c r="AB447" s="8"/>
      <c r="AC447" s="8"/>
      <c r="AD447" s="8"/>
      <c r="AE447" s="8"/>
      <c r="AF447" s="8"/>
      <c r="AG447" s="8"/>
      <c r="AH447" s="8"/>
      <c r="AI447" s="8"/>
      <c r="AJ447" s="8"/>
      <c r="AK447" s="8"/>
      <c r="AL447" s="8"/>
      <c r="AM447" s="8"/>
    </row>
    <row r="448" customFormat="false" ht="15.75" hidden="false" customHeight="true" outlineLevel="0" collapsed="false">
      <c r="A448" s="30" t="n">
        <v>46304</v>
      </c>
      <c r="B448" s="31" t="s">
        <v>83</v>
      </c>
      <c r="C448" s="31" t="str">
        <f aca="false" t="array" ref="C448:C448">IF(B448="","",IFERROR(INDEX('CLM &amp; IM Mapping'!$B$2:$B$270,MATCH(TRIM(B448),'CLM &amp; IM Mapping'!$A$2:$A$270,0)),"Not Mapped"))</f>
        <v>Keshav G</v>
      </c>
      <c r="D448" s="31" t="str">
        <f aca="false" t="array" ref="D448:D448">IF(B448="","",IFERROR(INDEX('CLM &amp; IM Mapping'!$C$2:$C$270,MATCH(TRIM(B448),'CLM &amp; IM Mapping'!$A$2:$A$270,0)),"Not Mapped"))</f>
        <v>Mohammed Akbar</v>
      </c>
      <c r="E448" s="31" t="s">
        <v>34</v>
      </c>
      <c r="F448" s="31" t="s">
        <v>565</v>
      </c>
      <c r="G448" s="31" t="s">
        <v>23</v>
      </c>
      <c r="H448" s="17" t="n">
        <v>12188</v>
      </c>
      <c r="I448" s="32" t="n">
        <v>0.7</v>
      </c>
      <c r="J448" s="33" t="n">
        <v>0.83</v>
      </c>
      <c r="K448" s="34" t="n">
        <v>0.89</v>
      </c>
      <c r="L448" s="31" t="n">
        <v>0.96</v>
      </c>
      <c r="M448" s="31" t="n">
        <v>0.89</v>
      </c>
      <c r="N448" s="11" t="n">
        <v>8</v>
      </c>
      <c r="O448" s="12"/>
      <c r="P448" s="11"/>
      <c r="Q448" s="8"/>
      <c r="R448" s="8"/>
      <c r="S448" s="8"/>
      <c r="T448" s="8"/>
      <c r="U448" s="8"/>
      <c r="V448" s="8"/>
      <c r="W448" s="8"/>
      <c r="X448" s="8"/>
      <c r="Y448" s="8"/>
      <c r="Z448" s="8"/>
      <c r="AA448" s="8"/>
      <c r="AB448" s="8"/>
      <c r="AC448" s="8"/>
      <c r="AD448" s="8"/>
      <c r="AE448" s="8"/>
      <c r="AF448" s="8"/>
      <c r="AG448" s="8"/>
      <c r="AH448" s="8"/>
      <c r="AI448" s="8"/>
      <c r="AJ448" s="8"/>
      <c r="AK448" s="8"/>
      <c r="AL448" s="8"/>
      <c r="AM448" s="8"/>
    </row>
    <row r="449" customFormat="false" ht="15.75" hidden="false" customHeight="true" outlineLevel="0" collapsed="false">
      <c r="A449" s="30" t="n">
        <v>46304</v>
      </c>
      <c r="B449" s="31" t="s">
        <v>392</v>
      </c>
      <c r="C449" s="31" t="str">
        <f aca="false" t="array" ref="C449:C449">IF(B449="","",IFERROR(INDEX('CLM &amp; IM Mapping'!$B$2:$B$270,MATCH(TRIM(B449),'CLM &amp; IM Mapping'!$A$2:$A$270,0)),"Not Mapped"))</f>
        <v>Balaji G</v>
      </c>
      <c r="D449" s="31" t="str">
        <f aca="false" t="array" ref="D449:D449">IF(B449="","",IFERROR(INDEX('CLM &amp; IM Mapping'!$C$2:$C$270,MATCH(TRIM(B449),'CLM &amp; IM Mapping'!$A$2:$A$270,0)),"Not Mapped"))</f>
        <v>Mohammed Akbar</v>
      </c>
      <c r="E449" s="31" t="s">
        <v>34</v>
      </c>
      <c r="F449" s="31" t="s">
        <v>562</v>
      </c>
      <c r="G449" s="31" t="s">
        <v>23</v>
      </c>
      <c r="H449" s="17" t="n">
        <v>6054</v>
      </c>
      <c r="I449" s="32" t="n">
        <v>0.7</v>
      </c>
      <c r="J449" s="33" t="n">
        <v>0.83</v>
      </c>
      <c r="K449" s="34" t="n">
        <v>0.97</v>
      </c>
      <c r="L449" s="31" t="n">
        <v>0.99</v>
      </c>
      <c r="M449" s="31" t="n">
        <v>0.97</v>
      </c>
      <c r="N449" s="11" t="n">
        <v>4</v>
      </c>
      <c r="O449" s="12"/>
      <c r="P449" s="11"/>
      <c r="Q449" s="8"/>
      <c r="R449" s="8"/>
      <c r="S449" s="8"/>
      <c r="T449" s="8"/>
      <c r="U449" s="8"/>
      <c r="V449" s="8"/>
      <c r="W449" s="8"/>
      <c r="X449" s="8"/>
      <c r="Y449" s="8"/>
      <c r="Z449" s="8"/>
      <c r="AA449" s="8"/>
      <c r="AB449" s="8"/>
      <c r="AC449" s="8"/>
      <c r="AD449" s="8"/>
      <c r="AE449" s="8"/>
      <c r="AF449" s="8"/>
      <c r="AG449" s="8"/>
      <c r="AH449" s="8"/>
      <c r="AI449" s="8"/>
      <c r="AJ449" s="8"/>
      <c r="AK449" s="8"/>
      <c r="AL449" s="8"/>
      <c r="AM449" s="8"/>
    </row>
    <row r="450" customFormat="false" ht="15.75" hidden="false" customHeight="true" outlineLevel="0" collapsed="false">
      <c r="A450" s="30" t="n">
        <v>46304</v>
      </c>
      <c r="B450" s="31" t="s">
        <v>466</v>
      </c>
      <c r="C450" s="31" t="str">
        <f aca="false" t="array" ref="C450:C450">IF(B450="","",IFERROR(INDEX('CLM &amp; IM Mapping'!$B$2:$B$270,MATCH(TRIM(B450),'CLM &amp; IM Mapping'!$A$2:$A$270,0)),"Not Mapped"))</f>
        <v>Vishnu V</v>
      </c>
      <c r="D450" s="31" t="str">
        <f aca="false" t="array" ref="D450:D450">IF(B450="","",IFERROR(INDEX('CLM &amp; IM Mapping'!$C$2:$C$270,MATCH(TRIM(B450),'CLM &amp; IM Mapping'!$A$2:$A$270,0)),"Not Mapped"))</f>
        <v>Arivind S</v>
      </c>
      <c r="E450" s="31" t="s">
        <v>34</v>
      </c>
      <c r="F450" s="31" t="s">
        <v>562</v>
      </c>
      <c r="G450" s="31" t="s">
        <v>221</v>
      </c>
      <c r="H450" s="17" t="n">
        <v>5902</v>
      </c>
      <c r="I450" s="32" t="n">
        <v>0.7</v>
      </c>
      <c r="J450" s="33" t="n">
        <v>0.83</v>
      </c>
      <c r="K450" s="34" t="n">
        <v>0.92</v>
      </c>
      <c r="L450" s="31" t="n">
        <v>0.98</v>
      </c>
      <c r="M450" s="31" t="n">
        <v>0.92</v>
      </c>
      <c r="N450" s="11" t="n">
        <v>3</v>
      </c>
      <c r="O450" s="12"/>
      <c r="P450" s="11"/>
      <c r="Q450" s="8"/>
      <c r="R450" s="8"/>
      <c r="S450" s="8"/>
      <c r="T450" s="8"/>
      <c r="U450" s="8"/>
      <c r="V450" s="8"/>
      <c r="W450" s="8"/>
      <c r="X450" s="8"/>
      <c r="Y450" s="8"/>
      <c r="Z450" s="8"/>
      <c r="AA450" s="8"/>
      <c r="AB450" s="8"/>
      <c r="AC450" s="8"/>
      <c r="AD450" s="8"/>
      <c r="AE450" s="8"/>
      <c r="AF450" s="8"/>
      <c r="AG450" s="8"/>
      <c r="AH450" s="8"/>
      <c r="AI450" s="8"/>
      <c r="AJ450" s="8"/>
      <c r="AK450" s="8"/>
      <c r="AL450" s="8"/>
      <c r="AM450" s="8"/>
    </row>
    <row r="451" customFormat="false" ht="15.75" hidden="false" customHeight="true" outlineLevel="0" collapsed="false">
      <c r="A451" s="30" t="n">
        <v>46304</v>
      </c>
      <c r="B451" s="31" t="s">
        <v>208</v>
      </c>
      <c r="C451" s="31" t="str">
        <f aca="false" t="array" ref="C451:C451">IF(B451="","",IFERROR(INDEX('CLM &amp; IM Mapping'!$B$2:$B$270,MATCH(TRIM(B451),'CLM &amp; IM Mapping'!$A$2:$A$270,0)),"Not Mapped"))</f>
        <v>Silambarasan E</v>
      </c>
      <c r="D451" s="31" t="str">
        <f aca="false" t="array" ref="D451:D451">IF(B451="","",IFERROR(INDEX('CLM &amp; IM Mapping'!$C$2:$C$270,MATCH(TRIM(B451),'CLM &amp; IM Mapping'!$A$2:$A$270,0)),"Not Mapped"))</f>
        <v>Arivind S</v>
      </c>
      <c r="E451" s="31" t="s">
        <v>34</v>
      </c>
      <c r="F451" s="31" t="s">
        <v>562</v>
      </c>
      <c r="G451" s="31" t="s">
        <v>23</v>
      </c>
      <c r="H451" s="17" t="n">
        <v>5057</v>
      </c>
      <c r="I451" s="32" t="n">
        <v>0.7</v>
      </c>
      <c r="J451" s="33" t="n">
        <v>0.84</v>
      </c>
      <c r="K451" s="34" t="n">
        <v>0.84</v>
      </c>
      <c r="L451" s="31" t="n">
        <v>0.95</v>
      </c>
      <c r="M451" s="31" t="n">
        <v>0.84</v>
      </c>
      <c r="N451" s="11" t="n">
        <v>4</v>
      </c>
      <c r="O451" s="12"/>
      <c r="P451" s="11"/>
      <c r="Q451" s="8"/>
      <c r="R451" s="8"/>
      <c r="S451" s="8"/>
      <c r="T451" s="8"/>
      <c r="U451" s="8"/>
      <c r="V451" s="8"/>
      <c r="W451" s="8"/>
      <c r="X451" s="8"/>
      <c r="Y451" s="8"/>
      <c r="Z451" s="8"/>
      <c r="AA451" s="8"/>
      <c r="AB451" s="8"/>
      <c r="AC451" s="8"/>
      <c r="AD451" s="8"/>
      <c r="AE451" s="8"/>
      <c r="AF451" s="8"/>
      <c r="AG451" s="8"/>
      <c r="AH451" s="8"/>
      <c r="AI451" s="8"/>
      <c r="AJ451" s="8"/>
      <c r="AK451" s="8"/>
      <c r="AL451" s="8"/>
      <c r="AM451" s="8"/>
    </row>
    <row r="452" customFormat="false" ht="15.75" hidden="false" customHeight="true" outlineLevel="0" collapsed="false">
      <c r="A452" s="30" t="n">
        <v>46304</v>
      </c>
      <c r="B452" s="31" t="s">
        <v>475</v>
      </c>
      <c r="C452" s="31" t="str">
        <f aca="false" t="array" ref="C452:C452">IF(B452="","",IFERROR(INDEX('CLM &amp; IM Mapping'!$B$2:$B$270,MATCH(TRIM(B452),'CLM &amp; IM Mapping'!$A$2:$A$270,0)),"Not Mapped"))</f>
        <v>John Britto</v>
      </c>
      <c r="D452" s="31" t="str">
        <f aca="false" t="array" ref="D452:D452">IF(B452="","",IFERROR(INDEX('CLM &amp; IM Mapping'!$C$2:$C$270,MATCH(TRIM(B452),'CLM &amp; IM Mapping'!$A$2:$A$270,0)),"Not Mapped"))</f>
        <v>Aravind S</v>
      </c>
      <c r="E452" s="31" t="s">
        <v>34</v>
      </c>
      <c r="F452" s="31" t="s">
        <v>562</v>
      </c>
      <c r="G452" s="31" t="s">
        <v>303</v>
      </c>
      <c r="H452" s="17" t="n">
        <v>5043</v>
      </c>
      <c r="I452" s="32" t="n">
        <v>0.7</v>
      </c>
      <c r="J452" s="33" t="n">
        <v>0.84</v>
      </c>
      <c r="K452" s="34" t="n">
        <v>0.85</v>
      </c>
      <c r="L452" s="31" t="n">
        <v>0.96</v>
      </c>
      <c r="M452" s="31" t="n">
        <v>0.85</v>
      </c>
      <c r="N452" s="11" t="n">
        <v>2</v>
      </c>
      <c r="O452" s="12"/>
      <c r="P452" s="11"/>
      <c r="Q452" s="8"/>
      <c r="R452" s="8"/>
      <c r="S452" s="8"/>
      <c r="T452" s="8"/>
      <c r="U452" s="8"/>
      <c r="V452" s="8"/>
      <c r="W452" s="8"/>
      <c r="X452" s="8"/>
      <c r="Y452" s="8"/>
      <c r="Z452" s="8"/>
      <c r="AA452" s="8"/>
      <c r="AB452" s="8"/>
      <c r="AC452" s="8"/>
      <c r="AD452" s="8"/>
      <c r="AE452" s="8"/>
      <c r="AF452" s="8"/>
      <c r="AG452" s="8"/>
      <c r="AH452" s="8"/>
      <c r="AI452" s="8"/>
      <c r="AJ452" s="8"/>
      <c r="AK452" s="8"/>
      <c r="AL452" s="8"/>
      <c r="AM452" s="8"/>
    </row>
    <row r="453" customFormat="false" ht="15.75" hidden="false" customHeight="true" outlineLevel="0" collapsed="false">
      <c r="A453" s="30" t="n">
        <v>46304</v>
      </c>
      <c r="B453" s="31" t="s">
        <v>516</v>
      </c>
      <c r="C453" s="31" t="str">
        <f aca="false" t="array" ref="C453:C453">IF(B453="","",IFERROR(INDEX('CLM &amp; IM Mapping'!$B$2:$B$270,MATCH(TRIM(B453),'CLM &amp; IM Mapping'!$A$2:$A$270,0)),"Not Mapped"))</f>
        <v>Sundaresh S</v>
      </c>
      <c r="D453" s="31" t="str">
        <f aca="false" t="array" ref="D453:D453">IF(B453="","",IFERROR(INDEX('CLM &amp; IM Mapping'!$C$2:$C$270,MATCH(TRIM(B453),'CLM &amp; IM Mapping'!$A$2:$A$270,0)),"Not Mapped"))</f>
        <v>Un Mapped</v>
      </c>
      <c r="E453" s="31" t="s">
        <v>34</v>
      </c>
      <c r="F453" s="31" t="s">
        <v>562</v>
      </c>
      <c r="G453" s="31" t="s">
        <v>23</v>
      </c>
      <c r="H453" s="17" t="n">
        <v>7335</v>
      </c>
      <c r="I453" s="32" t="n">
        <v>0.7</v>
      </c>
      <c r="J453" s="33" t="n">
        <v>0.84</v>
      </c>
      <c r="K453" s="34" t="n">
        <v>0.94</v>
      </c>
      <c r="L453" s="31" t="n">
        <v>0.97</v>
      </c>
      <c r="M453" s="31"/>
      <c r="N453" s="11" t="n">
        <v>2</v>
      </c>
      <c r="O453" s="12"/>
      <c r="P453" s="11"/>
      <c r="Q453" s="8"/>
      <c r="R453" s="8"/>
      <c r="S453" s="8"/>
      <c r="T453" s="8"/>
      <c r="U453" s="8"/>
      <c r="V453" s="8"/>
      <c r="W453" s="8"/>
      <c r="X453" s="8"/>
      <c r="Y453" s="8"/>
      <c r="Z453" s="8"/>
      <c r="AA453" s="8"/>
      <c r="AB453" s="8"/>
      <c r="AC453" s="8"/>
      <c r="AD453" s="8"/>
      <c r="AE453" s="8"/>
      <c r="AF453" s="8"/>
      <c r="AG453" s="8"/>
      <c r="AH453" s="8"/>
      <c r="AI453" s="8"/>
      <c r="AJ453" s="8"/>
      <c r="AK453" s="8"/>
      <c r="AL453" s="8"/>
      <c r="AM453" s="8"/>
    </row>
    <row r="454" customFormat="false" ht="15.75" hidden="false" customHeight="true" outlineLevel="0" collapsed="false">
      <c r="A454" s="30" t="n">
        <v>46304</v>
      </c>
      <c r="B454" s="31" t="s">
        <v>120</v>
      </c>
      <c r="C454" s="31" t="str">
        <f aca="false" t="array" ref="C454:C454">IF(B454="","",IFERROR(INDEX('CLM &amp; IM Mapping'!$B$2:$B$270,MATCH(TRIM(B454),'CLM &amp; IM Mapping'!$A$2:$A$270,0)),"Not Mapped"))</f>
        <v>Balaji G</v>
      </c>
      <c r="D454" s="31" t="str">
        <f aca="false" t="array" ref="D454:D454">IF(B454="","",IFERROR(INDEX('CLM &amp; IM Mapping'!$C$2:$C$270,MATCH(TRIM(B454),'CLM &amp; IM Mapping'!$A$2:$A$270,0)),"Not Mapped"))</f>
        <v>Mohammed Akbar</v>
      </c>
      <c r="E454" s="31" t="s">
        <v>34</v>
      </c>
      <c r="F454" s="31" t="s">
        <v>562</v>
      </c>
      <c r="G454" s="31" t="s">
        <v>23</v>
      </c>
      <c r="H454" s="17" t="n">
        <v>6975</v>
      </c>
      <c r="I454" s="32" t="n">
        <v>0.7</v>
      </c>
      <c r="J454" s="33" t="n">
        <v>0.84</v>
      </c>
      <c r="K454" s="34" t="n">
        <v>0.87</v>
      </c>
      <c r="L454" s="31" t="n">
        <v>0.97</v>
      </c>
      <c r="M454" s="31" t="n">
        <v>0.87</v>
      </c>
      <c r="N454" s="11" t="n">
        <v>9</v>
      </c>
      <c r="O454" s="12"/>
      <c r="P454" s="11"/>
      <c r="Q454" s="8"/>
      <c r="R454" s="8"/>
      <c r="S454" s="8"/>
      <c r="T454" s="8"/>
      <c r="U454" s="8"/>
      <c r="V454" s="8"/>
      <c r="W454" s="8"/>
      <c r="X454" s="8"/>
      <c r="Y454" s="8"/>
      <c r="Z454" s="8"/>
      <c r="AA454" s="8"/>
      <c r="AB454" s="8"/>
      <c r="AC454" s="8"/>
      <c r="AD454" s="8"/>
      <c r="AE454" s="8"/>
      <c r="AF454" s="8"/>
      <c r="AG454" s="8"/>
      <c r="AH454" s="8"/>
      <c r="AI454" s="8"/>
      <c r="AJ454" s="8"/>
      <c r="AK454" s="8"/>
      <c r="AL454" s="8"/>
      <c r="AM454" s="8"/>
    </row>
    <row r="455" customFormat="false" ht="15.75" hidden="false" customHeight="true" outlineLevel="0" collapsed="false">
      <c r="A455" s="30" t="n">
        <v>46304</v>
      </c>
      <c r="B455" s="31" t="s">
        <v>281</v>
      </c>
      <c r="C455" s="31" t="str">
        <f aca="false" t="array" ref="C455:C455">IF(B455="","",IFERROR(INDEX('CLM &amp; IM Mapping'!$B$2:$B$270,MATCH(TRIM(B455),'CLM &amp; IM Mapping'!$A$2:$A$270,0)),"Not Mapped"))</f>
        <v>Balaji G</v>
      </c>
      <c r="D455" s="31" t="str">
        <f aca="false" t="array" ref="D455:D455">IF(B455="","",IFERROR(INDEX('CLM &amp; IM Mapping'!$C$2:$C$270,MATCH(TRIM(B455),'CLM &amp; IM Mapping'!$A$2:$A$270,0)),"Not Mapped"))</f>
        <v>Mohammed Akbar</v>
      </c>
      <c r="E455" s="31" t="s">
        <v>34</v>
      </c>
      <c r="F455" s="31" t="s">
        <v>562</v>
      </c>
      <c r="G455" s="31" t="s">
        <v>23</v>
      </c>
      <c r="H455" s="17" t="n">
        <v>6409</v>
      </c>
      <c r="I455" s="32" t="n">
        <v>0.7</v>
      </c>
      <c r="J455" s="33" t="n">
        <v>0.84</v>
      </c>
      <c r="K455" s="34" t="n">
        <v>0.93</v>
      </c>
      <c r="L455" s="31" t="n">
        <v>0.97</v>
      </c>
      <c r="M455" s="31" t="n">
        <v>0.93</v>
      </c>
      <c r="N455" s="11" t="n">
        <v>5</v>
      </c>
      <c r="O455" s="12"/>
      <c r="P455" s="11"/>
      <c r="Q455" s="8"/>
      <c r="R455" s="8"/>
      <c r="S455" s="8"/>
      <c r="T455" s="8"/>
      <c r="U455" s="8"/>
      <c r="V455" s="8"/>
      <c r="W455" s="8"/>
      <c r="X455" s="8"/>
      <c r="Y455" s="8"/>
      <c r="Z455" s="8"/>
      <c r="AA455" s="8"/>
      <c r="AB455" s="8"/>
      <c r="AC455" s="8"/>
      <c r="AD455" s="8"/>
      <c r="AE455" s="8"/>
      <c r="AF455" s="8"/>
      <c r="AG455" s="8"/>
      <c r="AH455" s="8"/>
      <c r="AI455" s="8"/>
      <c r="AJ455" s="8"/>
      <c r="AK455" s="8"/>
      <c r="AL455" s="8"/>
      <c r="AM455" s="8"/>
    </row>
    <row r="456" customFormat="false" ht="15.75" hidden="false" customHeight="true" outlineLevel="0" collapsed="false">
      <c r="A456" s="30" t="n">
        <v>46304</v>
      </c>
      <c r="B456" s="31" t="s">
        <v>267</v>
      </c>
      <c r="C456" s="31" t="str">
        <f aca="false" t="array" ref="C456:C456">IF(B456="","",IFERROR(INDEX('CLM &amp; IM Mapping'!$B$2:$B$270,MATCH(TRIM(B456),'CLM &amp; IM Mapping'!$A$2:$A$270,0)),"Not Mapped"))</f>
        <v>Balaji G</v>
      </c>
      <c r="D456" s="31" t="str">
        <f aca="false" t="array" ref="D456:D456">IF(B456="","",IFERROR(INDEX('CLM &amp; IM Mapping'!$C$2:$C$270,MATCH(TRIM(B456),'CLM &amp; IM Mapping'!$A$2:$A$270,0)),"Not Mapped"))</f>
        <v>Mohammed Akbar</v>
      </c>
      <c r="E456" s="31" t="s">
        <v>34</v>
      </c>
      <c r="F456" s="31" t="s">
        <v>562</v>
      </c>
      <c r="G456" s="31" t="s">
        <v>23</v>
      </c>
      <c r="H456" s="17" t="n">
        <v>6774</v>
      </c>
      <c r="I456" s="32" t="n">
        <v>0.7</v>
      </c>
      <c r="J456" s="33" t="n">
        <v>0.85</v>
      </c>
      <c r="K456" s="34" t="n">
        <v>0.95</v>
      </c>
      <c r="L456" s="31" t="n">
        <v>0.97</v>
      </c>
      <c r="M456" s="31"/>
      <c r="N456" s="11" t="n">
        <v>3</v>
      </c>
      <c r="O456" s="12"/>
      <c r="P456" s="11"/>
      <c r="Q456" s="8"/>
      <c r="R456" s="8"/>
      <c r="S456" s="8"/>
      <c r="T456" s="8"/>
      <c r="U456" s="8"/>
      <c r="V456" s="8"/>
      <c r="W456" s="8"/>
      <c r="X456" s="8"/>
      <c r="Y456" s="8"/>
      <c r="Z456" s="8"/>
      <c r="AA456" s="8"/>
      <c r="AB456" s="8"/>
      <c r="AC456" s="8"/>
      <c r="AD456" s="8"/>
      <c r="AE456" s="8"/>
      <c r="AF456" s="8"/>
      <c r="AG456" s="8"/>
      <c r="AH456" s="8"/>
      <c r="AI456" s="8"/>
      <c r="AJ456" s="8"/>
      <c r="AK456" s="8"/>
      <c r="AL456" s="8"/>
      <c r="AM456" s="8"/>
    </row>
    <row r="457" customFormat="false" ht="15.75" hidden="false" customHeight="true" outlineLevel="0" collapsed="false">
      <c r="A457" s="30" t="n">
        <v>46304</v>
      </c>
      <c r="B457" s="31" t="s">
        <v>320</v>
      </c>
      <c r="C457" s="31" t="str">
        <f aca="false" t="array" ref="C457:C457">IF(B457="","",IFERROR(INDEX('CLM &amp; IM Mapping'!$B$2:$B$270,MATCH(TRIM(B457),'CLM &amp; IM Mapping'!$A$2:$A$270,0)),"Not Mapped"))</f>
        <v>Ashwath S</v>
      </c>
      <c r="D457" s="31" t="str">
        <f aca="false" t="array" ref="D457:D457">IF(B457="","",IFERROR(INDEX('CLM &amp; IM Mapping'!$C$2:$C$270,MATCH(TRIM(B457),'CLM &amp; IM Mapping'!$A$2:$A$270,0)),"Not Mapped"))</f>
        <v>Kantha Kumar</v>
      </c>
      <c r="E457" s="31" t="s">
        <v>34</v>
      </c>
      <c r="F457" s="31" t="s">
        <v>562</v>
      </c>
      <c r="G457" s="31" t="s">
        <v>23</v>
      </c>
      <c r="H457" s="17" t="n">
        <v>7207</v>
      </c>
      <c r="I457" s="32" t="n">
        <v>0.7</v>
      </c>
      <c r="J457" s="33" t="n">
        <v>0.85</v>
      </c>
      <c r="K457" s="34" t="n">
        <v>0.95</v>
      </c>
      <c r="L457" s="31" t="n">
        <v>0.99</v>
      </c>
      <c r="M457" s="31" t="n">
        <v>0.95</v>
      </c>
      <c r="N457" s="11" t="n">
        <v>5</v>
      </c>
      <c r="O457" s="12"/>
      <c r="P457" s="11"/>
      <c r="Q457" s="8"/>
      <c r="R457" s="8"/>
      <c r="S457" s="8"/>
      <c r="T457" s="8"/>
      <c r="U457" s="8"/>
      <c r="V457" s="8"/>
      <c r="W457" s="8"/>
      <c r="X457" s="8"/>
      <c r="Y457" s="8"/>
      <c r="Z457" s="8"/>
      <c r="AA457" s="8"/>
      <c r="AB457" s="8"/>
      <c r="AC457" s="8"/>
      <c r="AD457" s="8"/>
      <c r="AE457" s="8"/>
      <c r="AF457" s="8"/>
      <c r="AG457" s="8"/>
      <c r="AH457" s="8"/>
      <c r="AI457" s="8"/>
      <c r="AJ457" s="8"/>
      <c r="AK457" s="8"/>
      <c r="AL457" s="8"/>
      <c r="AM457" s="8"/>
    </row>
    <row r="458" customFormat="false" ht="15.75" hidden="false" customHeight="true" outlineLevel="0" collapsed="false">
      <c r="A458" s="30" t="n">
        <v>46304</v>
      </c>
      <c r="B458" s="31" t="s">
        <v>168</v>
      </c>
      <c r="C458" s="31" t="str">
        <f aca="false" t="array" ref="C458:C458">IF(B458="","",IFERROR(INDEX('CLM &amp; IM Mapping'!$B$2:$B$270,MATCH(TRIM(B458),'CLM &amp; IM Mapping'!$A$2:$A$270,0)),"Not Mapped"))</f>
        <v>Vijay M</v>
      </c>
      <c r="D458" s="31" t="str">
        <f aca="false" t="array" ref="D458:D458">IF(B458="","",IFERROR(INDEX('CLM &amp; IM Mapping'!$C$2:$C$270,MATCH(TRIM(B458),'CLM &amp; IM Mapping'!$A$2:$A$270,0)),"Not Mapped"))</f>
        <v>Kantha Kumar</v>
      </c>
      <c r="E458" s="31" t="s">
        <v>34</v>
      </c>
      <c r="F458" s="31" t="s">
        <v>565</v>
      </c>
      <c r="G458" s="31" t="s">
        <v>23</v>
      </c>
      <c r="H458" s="17" t="n">
        <v>6121</v>
      </c>
      <c r="I458" s="32" t="n">
        <v>0.7</v>
      </c>
      <c r="J458" s="33" t="n">
        <v>0.87</v>
      </c>
      <c r="K458" s="34" t="n">
        <v>0.93</v>
      </c>
      <c r="L458" s="31" t="n">
        <v>0.97</v>
      </c>
      <c r="M458" s="31" t="n">
        <v>0.93</v>
      </c>
      <c r="N458" s="11" t="n">
        <v>4</v>
      </c>
      <c r="O458" s="12"/>
      <c r="P458" s="11"/>
      <c r="Q458" s="8"/>
      <c r="R458" s="8"/>
      <c r="S458" s="8"/>
      <c r="T458" s="8"/>
      <c r="U458" s="8"/>
      <c r="V458" s="8"/>
      <c r="W458" s="8"/>
      <c r="X458" s="8"/>
      <c r="Y458" s="8"/>
      <c r="Z458" s="8"/>
      <c r="AA458" s="8"/>
      <c r="AB458" s="8"/>
      <c r="AC458" s="8"/>
      <c r="AD458" s="8"/>
      <c r="AE458" s="8"/>
      <c r="AF458" s="8"/>
      <c r="AG458" s="8"/>
      <c r="AH458" s="8"/>
      <c r="AI458" s="8"/>
      <c r="AJ458" s="8"/>
      <c r="AK458" s="8"/>
      <c r="AL458" s="8"/>
      <c r="AM458" s="8"/>
    </row>
    <row r="459" customFormat="false" ht="15.75" hidden="false" customHeight="true" outlineLevel="0" collapsed="false">
      <c r="A459" s="30" t="n">
        <v>46304</v>
      </c>
      <c r="B459" s="31" t="s">
        <v>250</v>
      </c>
      <c r="C459" s="31" t="str">
        <f aca="false" t="array" ref="C459:C459">IF(B459="","",IFERROR(INDEX('CLM &amp; IM Mapping'!$B$2:$B$270,MATCH(TRIM(B459),'CLM &amp; IM Mapping'!$A$2:$A$270,0)),"Not Mapped"))</f>
        <v>Akshay P</v>
      </c>
      <c r="D459" s="31" t="str">
        <f aca="false" t="array" ref="D459:D459">IF(B459="","",IFERROR(INDEX('CLM &amp; IM Mapping'!$C$2:$C$270,MATCH(TRIM(B459),'CLM &amp; IM Mapping'!$A$2:$A$270,0)),"Not Mapped"))</f>
        <v>Srittam Dhal</v>
      </c>
      <c r="E459" s="31" t="s">
        <v>34</v>
      </c>
      <c r="F459" s="31" t="s">
        <v>565</v>
      </c>
      <c r="G459" s="31" t="s">
        <v>23</v>
      </c>
      <c r="H459" s="17" t="n">
        <v>4579</v>
      </c>
      <c r="I459" s="32" t="n">
        <v>0.7</v>
      </c>
      <c r="J459" s="33" t="n">
        <v>0.87</v>
      </c>
      <c r="K459" s="34" t="n">
        <v>0.77</v>
      </c>
      <c r="L459" s="31" t="n">
        <v>0.94</v>
      </c>
      <c r="M459" s="31" t="n">
        <v>0.77</v>
      </c>
      <c r="N459" s="11" t="n">
        <v>3</v>
      </c>
      <c r="O459" s="12" t="s">
        <v>664</v>
      </c>
      <c r="P459" s="11" t="s">
        <v>623</v>
      </c>
      <c r="Q459" s="8"/>
      <c r="R459" s="8"/>
      <c r="S459" s="8"/>
      <c r="T459" s="8"/>
      <c r="U459" s="8"/>
      <c r="V459" s="8"/>
      <c r="W459" s="8"/>
      <c r="X459" s="8"/>
      <c r="Y459" s="8"/>
      <c r="Z459" s="8"/>
      <c r="AA459" s="8"/>
      <c r="AB459" s="8"/>
      <c r="AC459" s="8"/>
      <c r="AD459" s="8"/>
      <c r="AE459" s="8"/>
      <c r="AF459" s="8"/>
      <c r="AG459" s="8"/>
      <c r="AH459" s="8"/>
      <c r="AI459" s="8"/>
      <c r="AJ459" s="8"/>
      <c r="AK459" s="8"/>
      <c r="AL459" s="8"/>
      <c r="AM459" s="8"/>
    </row>
    <row r="460" customFormat="false" ht="15.75" hidden="false" customHeight="true" outlineLevel="0" collapsed="false">
      <c r="A460" s="30" t="n">
        <v>46304</v>
      </c>
      <c r="B460" s="31" t="s">
        <v>312</v>
      </c>
      <c r="C460" s="31" t="str">
        <f aca="false" t="array" ref="C460:C460">IF(B460="","",IFERROR(INDEX('CLM &amp; IM Mapping'!$B$2:$B$270,MATCH(TRIM(B460),'CLM &amp; IM Mapping'!$A$2:$A$270,0)),"Not Mapped"))</f>
        <v>Manoj Kj</v>
      </c>
      <c r="D460" s="31" t="str">
        <f aca="false" t="array" ref="D460:D460">IF(B460="","",IFERROR(INDEX('CLM &amp; IM Mapping'!$C$2:$C$270,MATCH(TRIM(B460),'CLM &amp; IM Mapping'!$A$2:$A$270,0)),"Not Mapped"))</f>
        <v>Srittam Dhal</v>
      </c>
      <c r="E460" s="31" t="s">
        <v>34</v>
      </c>
      <c r="F460" s="31" t="s">
        <v>565</v>
      </c>
      <c r="G460" s="31" t="s">
        <v>23</v>
      </c>
      <c r="H460" s="17" t="n">
        <v>4962</v>
      </c>
      <c r="I460" s="32" t="n">
        <v>0.7</v>
      </c>
      <c r="J460" s="33" t="n">
        <v>0.87</v>
      </c>
      <c r="K460" s="34" t="n">
        <v>0.89</v>
      </c>
      <c r="L460" s="31" t="n">
        <v>0.97</v>
      </c>
      <c r="M460" s="31" t="n">
        <v>0.89</v>
      </c>
      <c r="N460" s="11" t="n">
        <v>6</v>
      </c>
      <c r="O460" s="12" t="s">
        <v>664</v>
      </c>
      <c r="P460" s="11" t="s">
        <v>623</v>
      </c>
      <c r="Q460" s="8"/>
      <c r="R460" s="8"/>
      <c r="S460" s="8"/>
      <c r="T460" s="8"/>
      <c r="U460" s="8"/>
      <c r="V460" s="8"/>
      <c r="W460" s="8"/>
      <c r="X460" s="8"/>
      <c r="Y460" s="8"/>
      <c r="Z460" s="8"/>
      <c r="AA460" s="8"/>
      <c r="AB460" s="8"/>
      <c r="AC460" s="8"/>
      <c r="AD460" s="8"/>
      <c r="AE460" s="8"/>
      <c r="AF460" s="8"/>
      <c r="AG460" s="8"/>
      <c r="AH460" s="8"/>
      <c r="AI460" s="8"/>
      <c r="AJ460" s="8"/>
      <c r="AK460" s="8"/>
      <c r="AL460" s="8"/>
      <c r="AM460" s="8"/>
    </row>
    <row r="461" customFormat="false" ht="15.75" hidden="false" customHeight="true" outlineLevel="0" collapsed="false">
      <c r="A461" s="30" t="n">
        <v>46304</v>
      </c>
      <c r="B461" s="31" t="s">
        <v>449</v>
      </c>
      <c r="C461" s="31" t="str">
        <f aca="false" t="array" ref="C461:C461">IF(B461="","",IFERROR(INDEX('CLM &amp; IM Mapping'!$B$2:$B$270,MATCH(TRIM(B461),'CLM &amp; IM Mapping'!$A$2:$A$270,0)),"Not Mapped"))</f>
        <v>Manjunatha V</v>
      </c>
      <c r="D461" s="31" t="str">
        <f aca="false" t="array" ref="D461:D461">IF(B461="","",IFERROR(INDEX('CLM &amp; IM Mapping'!$C$2:$C$270,MATCH(TRIM(B461),'CLM &amp; IM Mapping'!$A$2:$A$270,0)),"Not Mapped"))</f>
        <v>Un Mapped</v>
      </c>
      <c r="E461" s="31" t="s">
        <v>34</v>
      </c>
      <c r="F461" s="31" t="s">
        <v>562</v>
      </c>
      <c r="G461" s="31" t="s">
        <v>23</v>
      </c>
      <c r="H461" s="17" t="n">
        <v>6969</v>
      </c>
      <c r="I461" s="32" t="n">
        <v>0.7</v>
      </c>
      <c r="J461" s="33" t="n">
        <v>0.88</v>
      </c>
      <c r="K461" s="34" t="n">
        <v>0.94</v>
      </c>
      <c r="L461" s="31" t="n">
        <v>0.98</v>
      </c>
      <c r="M461" s="31" t="n">
        <v>0.94</v>
      </c>
      <c r="N461" s="11" t="n">
        <v>5</v>
      </c>
      <c r="O461" s="12"/>
      <c r="P461" s="11"/>
      <c r="Q461" s="8"/>
      <c r="R461" s="8"/>
      <c r="S461" s="8"/>
      <c r="T461" s="8"/>
      <c r="U461" s="8"/>
      <c r="V461" s="8"/>
      <c r="W461" s="8"/>
      <c r="X461" s="8"/>
      <c r="Y461" s="8"/>
      <c r="Z461" s="8"/>
      <c r="AA461" s="8"/>
      <c r="AB461" s="8"/>
      <c r="AC461" s="8"/>
      <c r="AD461" s="8"/>
      <c r="AE461" s="8"/>
      <c r="AF461" s="8"/>
      <c r="AG461" s="8"/>
      <c r="AH461" s="8"/>
      <c r="AI461" s="8"/>
      <c r="AJ461" s="8"/>
      <c r="AK461" s="8"/>
      <c r="AL461" s="8"/>
      <c r="AM461" s="8"/>
    </row>
    <row r="462" customFormat="false" ht="15.75" hidden="false" customHeight="true" outlineLevel="0" collapsed="false">
      <c r="A462" s="30" t="n">
        <v>46304</v>
      </c>
      <c r="B462" s="31" t="s">
        <v>287</v>
      </c>
      <c r="C462" s="31" t="str">
        <f aca="false" t="array" ref="C462:C462">IF(B462="","",IFERROR(INDEX('CLM &amp; IM Mapping'!$B$2:$B$270,MATCH(TRIM(B462),'CLM &amp; IM Mapping'!$A$2:$A$270,0)),"Not Mapped"))</f>
        <v>Sundaresh S</v>
      </c>
      <c r="D462" s="31" t="str">
        <f aca="false" t="array" ref="D462:D462">IF(B462="","",IFERROR(INDEX('CLM &amp; IM Mapping'!$C$2:$C$270,MATCH(TRIM(B462),'CLM &amp; IM Mapping'!$A$2:$A$270,0)),"Not Mapped"))</f>
        <v>Un Mapped</v>
      </c>
      <c r="E462" s="31" t="s">
        <v>34</v>
      </c>
      <c r="F462" s="31" t="s">
        <v>565</v>
      </c>
      <c r="G462" s="31" t="s">
        <v>23</v>
      </c>
      <c r="H462" s="17" t="n">
        <v>6302</v>
      </c>
      <c r="I462" s="32" t="n">
        <v>0.7</v>
      </c>
      <c r="J462" s="33" t="n">
        <v>0.88</v>
      </c>
      <c r="K462" s="34" t="n">
        <v>0.92</v>
      </c>
      <c r="L462" s="31" t="n">
        <v>0.98</v>
      </c>
      <c r="M462" s="31" t="n">
        <v>0.92</v>
      </c>
      <c r="N462" s="11" t="n">
        <v>4</v>
      </c>
      <c r="O462" s="12"/>
      <c r="P462" s="11"/>
      <c r="Q462" s="8"/>
      <c r="R462" s="8"/>
      <c r="S462" s="8"/>
      <c r="T462" s="8"/>
      <c r="U462" s="8"/>
      <c r="V462" s="8"/>
      <c r="W462" s="8"/>
      <c r="X462" s="8"/>
      <c r="Y462" s="8"/>
      <c r="Z462" s="8"/>
      <c r="AA462" s="8"/>
      <c r="AB462" s="8"/>
      <c r="AC462" s="8"/>
      <c r="AD462" s="8"/>
      <c r="AE462" s="8"/>
      <c r="AF462" s="8"/>
      <c r="AG462" s="8"/>
      <c r="AH462" s="8"/>
      <c r="AI462" s="8"/>
      <c r="AJ462" s="8"/>
      <c r="AK462" s="8"/>
      <c r="AL462" s="8"/>
      <c r="AM462" s="8"/>
    </row>
    <row r="463" customFormat="false" ht="15.75" hidden="false" customHeight="true" outlineLevel="0" collapsed="false">
      <c r="A463" s="30" t="n">
        <v>46304</v>
      </c>
      <c r="B463" s="31" t="s">
        <v>527</v>
      </c>
      <c r="C463" s="31" t="str">
        <f aca="false" t="array" ref="C463:C463">IF(B463="","",IFERROR(INDEX('CLM &amp; IM Mapping'!$B$2:$B$270,MATCH(TRIM(B463),'CLM &amp; IM Mapping'!$A$2:$A$270,0)),"Not Mapped"))</f>
        <v>Suhas N</v>
      </c>
      <c r="D463" s="31" t="str">
        <f aca="false" t="array" ref="D463:D463">IF(B463="","",IFERROR(INDEX('CLM &amp; IM Mapping'!$C$2:$C$270,MATCH(TRIM(B463),'CLM &amp; IM Mapping'!$A$2:$A$270,0)),"Not Mapped"))</f>
        <v>Aravind S</v>
      </c>
      <c r="E463" s="31" t="s">
        <v>34</v>
      </c>
      <c r="F463" s="31" t="s">
        <v>565</v>
      </c>
      <c r="G463" s="31" t="s">
        <v>23</v>
      </c>
      <c r="H463" s="17" t="n">
        <v>6999</v>
      </c>
      <c r="I463" s="32" t="n">
        <v>0.7</v>
      </c>
      <c r="J463" s="33" t="n">
        <v>0.89</v>
      </c>
      <c r="K463" s="34" t="n">
        <v>0.87</v>
      </c>
      <c r="L463" s="31" t="n">
        <v>0.95</v>
      </c>
      <c r="M463" s="31" t="n">
        <v>0.87</v>
      </c>
      <c r="N463" s="11" t="n">
        <v>3</v>
      </c>
      <c r="O463" s="12"/>
      <c r="P463" s="11"/>
      <c r="Q463" s="8"/>
      <c r="R463" s="8"/>
      <c r="S463" s="8"/>
      <c r="T463" s="8"/>
      <c r="U463" s="8"/>
      <c r="V463" s="8"/>
      <c r="W463" s="8"/>
      <c r="X463" s="8"/>
      <c r="Y463" s="8"/>
      <c r="Z463" s="8"/>
      <c r="AA463" s="8"/>
      <c r="AB463" s="8"/>
      <c r="AC463" s="8"/>
      <c r="AD463" s="8"/>
      <c r="AE463" s="8"/>
      <c r="AF463" s="8"/>
      <c r="AG463" s="8"/>
      <c r="AH463" s="8"/>
      <c r="AI463" s="8"/>
      <c r="AJ463" s="8"/>
      <c r="AK463" s="8"/>
      <c r="AL463" s="8"/>
      <c r="AM463" s="8"/>
    </row>
    <row r="464" customFormat="false" ht="15.75" hidden="false" customHeight="true" outlineLevel="0" collapsed="false">
      <c r="A464" s="30" t="n">
        <v>46304</v>
      </c>
      <c r="B464" s="31" t="s">
        <v>429</v>
      </c>
      <c r="C464" s="31" t="str">
        <f aca="false" t="array" ref="C464:C464">IF(B464="","",IFERROR(INDEX('CLM &amp; IM Mapping'!$B$2:$B$270,MATCH(TRIM(B464),'CLM &amp; IM Mapping'!$A$2:$A$270,0)),"Not Mapped"))</f>
        <v>Manjunatha V</v>
      </c>
      <c r="D464" s="31" t="str">
        <f aca="false" t="array" ref="D464:D464">IF(B464="","",IFERROR(INDEX('CLM &amp; IM Mapping'!$C$2:$C$270,MATCH(TRIM(B464),'CLM &amp; IM Mapping'!$A$2:$A$270,0)),"Not Mapped"))</f>
        <v>Un Mapped</v>
      </c>
      <c r="E464" s="31" t="s">
        <v>34</v>
      </c>
      <c r="F464" s="31" t="s">
        <v>565</v>
      </c>
      <c r="G464" s="31" t="s">
        <v>23</v>
      </c>
      <c r="H464" s="17" t="n">
        <v>5669</v>
      </c>
      <c r="I464" s="32" t="n">
        <v>0.7</v>
      </c>
      <c r="J464" s="33" t="n">
        <v>0.89</v>
      </c>
      <c r="K464" s="34" t="n">
        <v>0.93</v>
      </c>
      <c r="L464" s="31" t="n">
        <v>0.99</v>
      </c>
      <c r="M464" s="31" t="n">
        <v>0.93</v>
      </c>
      <c r="N464" s="11" t="n">
        <v>2</v>
      </c>
      <c r="O464" s="12"/>
      <c r="P464" s="11"/>
      <c r="Q464" s="8"/>
      <c r="R464" s="8"/>
      <c r="S464" s="8"/>
      <c r="T464" s="8"/>
      <c r="U464" s="8"/>
      <c r="V464" s="8"/>
      <c r="W464" s="8"/>
      <c r="X464" s="8"/>
      <c r="Y464" s="8"/>
      <c r="Z464" s="8"/>
      <c r="AA464" s="8"/>
      <c r="AB464" s="8"/>
      <c r="AC464" s="8"/>
      <c r="AD464" s="8"/>
      <c r="AE464" s="8"/>
      <c r="AF464" s="8"/>
      <c r="AG464" s="8"/>
      <c r="AH464" s="8"/>
      <c r="AI464" s="8"/>
      <c r="AJ464" s="8"/>
      <c r="AK464" s="8"/>
      <c r="AL464" s="8"/>
      <c r="AM464" s="8"/>
    </row>
    <row r="465" customFormat="false" ht="15.75" hidden="false" customHeight="true" outlineLevel="0" collapsed="false">
      <c r="A465" s="30" t="n">
        <v>46304</v>
      </c>
      <c r="B465" s="31" t="s">
        <v>410</v>
      </c>
      <c r="C465" s="31" t="str">
        <f aca="false" t="array" ref="C465:C465">IF(B465="","",IFERROR(INDEX('CLM &amp; IM Mapping'!$B$2:$B$270,MATCH(TRIM(B465),'CLM &amp; IM Mapping'!$A$2:$A$270,0)),"Not Mapped"))</f>
        <v>Akshay P</v>
      </c>
      <c r="D465" s="31" t="str">
        <f aca="false" t="array" ref="D465:D465">IF(B465="","",IFERROR(INDEX('CLM &amp; IM Mapping'!$C$2:$C$270,MATCH(TRIM(B465),'CLM &amp; IM Mapping'!$A$2:$A$270,0)),"Not Mapped"))</f>
        <v>Srittam Dhal</v>
      </c>
      <c r="E465" s="31" t="s">
        <v>34</v>
      </c>
      <c r="F465" s="31" t="s">
        <v>565</v>
      </c>
      <c r="G465" s="31" t="s">
        <v>23</v>
      </c>
      <c r="H465" s="17" t="n">
        <v>5754</v>
      </c>
      <c r="I465" s="32" t="n">
        <v>0.7</v>
      </c>
      <c r="J465" s="33" t="n">
        <v>0.89</v>
      </c>
      <c r="K465" s="34" t="n">
        <v>0.94</v>
      </c>
      <c r="L465" s="31" t="n">
        <v>0.99</v>
      </c>
      <c r="M465" s="31" t="n">
        <v>0.94</v>
      </c>
      <c r="N465" s="11" t="n">
        <v>2</v>
      </c>
      <c r="O465" s="12" t="s">
        <v>664</v>
      </c>
      <c r="P465" s="11" t="s">
        <v>623</v>
      </c>
      <c r="Q465" s="8"/>
      <c r="R465" s="8"/>
      <c r="S465" s="8"/>
      <c r="T465" s="8"/>
      <c r="U465" s="8"/>
      <c r="V465" s="8"/>
      <c r="W465" s="8"/>
      <c r="X465" s="8"/>
      <c r="Y465" s="8"/>
      <c r="Z465" s="8"/>
      <c r="AA465" s="8"/>
      <c r="AB465" s="8"/>
      <c r="AC465" s="8"/>
      <c r="AD465" s="8"/>
      <c r="AE465" s="8"/>
      <c r="AF465" s="8"/>
      <c r="AG465" s="8"/>
      <c r="AH465" s="8"/>
      <c r="AI465" s="8"/>
      <c r="AJ465" s="8"/>
      <c r="AK465" s="8"/>
      <c r="AL465" s="8"/>
      <c r="AM465" s="8"/>
    </row>
    <row r="466" customFormat="false" ht="15.75" hidden="false" customHeight="true" outlineLevel="0" collapsed="false">
      <c r="A466" s="30" t="n">
        <v>46304</v>
      </c>
      <c r="B466" s="31" t="s">
        <v>435</v>
      </c>
      <c r="C466" s="31" t="str">
        <f aca="false" t="array" ref="C466:C466">IF(B466="","",IFERROR(INDEX('CLM &amp; IM Mapping'!$B$2:$B$270,MATCH(TRIM(B466),'CLM &amp; IM Mapping'!$A$2:$A$270,0)),"Not Mapped"))</f>
        <v>Balaji G</v>
      </c>
      <c r="D466" s="31" t="str">
        <f aca="false" t="array" ref="D466:D466">IF(B466="","",IFERROR(INDEX('CLM &amp; IM Mapping'!$C$2:$C$270,MATCH(TRIM(B466),'CLM &amp; IM Mapping'!$A$2:$A$270,0)),"Not Mapped"))</f>
        <v>Mohammed Akbar</v>
      </c>
      <c r="E466" s="31" t="s">
        <v>34</v>
      </c>
      <c r="F466" s="31" t="s">
        <v>562</v>
      </c>
      <c r="G466" s="31" t="s">
        <v>23</v>
      </c>
      <c r="H466" s="17" t="n">
        <v>5948</v>
      </c>
      <c r="I466" s="32" t="n">
        <v>0.7</v>
      </c>
      <c r="J466" s="33" t="n">
        <v>0.9</v>
      </c>
      <c r="K466" s="34" t="n">
        <v>0.9</v>
      </c>
      <c r="L466" s="31" t="n">
        <v>0.98</v>
      </c>
      <c r="M466" s="31"/>
      <c r="N466" s="11" t="n">
        <v>3</v>
      </c>
      <c r="O466" s="12"/>
      <c r="P466" s="11"/>
      <c r="Q466" s="8"/>
      <c r="R466" s="8"/>
      <c r="S466" s="8"/>
      <c r="T466" s="8"/>
      <c r="U466" s="8"/>
      <c r="V466" s="8"/>
      <c r="W466" s="8"/>
      <c r="X466" s="8"/>
      <c r="Y466" s="8"/>
      <c r="Z466" s="8"/>
      <c r="AA466" s="8"/>
      <c r="AB466" s="8"/>
      <c r="AC466" s="8"/>
      <c r="AD466" s="8"/>
      <c r="AE466" s="8"/>
      <c r="AF466" s="8"/>
      <c r="AG466" s="8"/>
      <c r="AH466" s="8"/>
      <c r="AI466" s="8"/>
      <c r="AJ466" s="8"/>
      <c r="AK466" s="8"/>
      <c r="AL466" s="8"/>
      <c r="AM466" s="8"/>
    </row>
    <row r="467" customFormat="false" ht="15.75" hidden="false" customHeight="true" outlineLevel="0" collapsed="false">
      <c r="A467" s="30" t="n">
        <v>46304</v>
      </c>
      <c r="B467" s="31" t="s">
        <v>415</v>
      </c>
      <c r="C467" s="31" t="str">
        <f aca="false" t="array" ref="C467:C467">IF(B467="","",IFERROR(INDEX('CLM &amp; IM Mapping'!$B$2:$B$270,MATCH(TRIM(B467),'CLM &amp; IM Mapping'!$A$2:$A$270,0)),"Not Mapped"))</f>
        <v>Vishnu V</v>
      </c>
      <c r="D467" s="31" t="str">
        <f aca="false" t="array" ref="D467:D467">IF(B467="","",IFERROR(INDEX('CLM &amp; IM Mapping'!$C$2:$C$270,MATCH(TRIM(B467),'CLM &amp; IM Mapping'!$A$2:$A$270,0)),"Not Mapped"))</f>
        <v>Arivind S</v>
      </c>
      <c r="E467" s="31" t="s">
        <v>34</v>
      </c>
      <c r="F467" s="31" t="s">
        <v>562</v>
      </c>
      <c r="G467" s="31" t="s">
        <v>221</v>
      </c>
      <c r="H467" s="17" t="n">
        <v>5534</v>
      </c>
      <c r="I467" s="32" t="n">
        <v>0.7</v>
      </c>
      <c r="J467" s="33" t="n">
        <v>0.9</v>
      </c>
      <c r="K467" s="34" t="n">
        <v>0.9</v>
      </c>
      <c r="L467" s="31" t="n">
        <v>0.97</v>
      </c>
      <c r="M467" s="31" t="n">
        <v>0.9</v>
      </c>
      <c r="N467" s="11" t="n">
        <v>2</v>
      </c>
      <c r="O467" s="12"/>
      <c r="P467" s="11"/>
      <c r="Q467" s="8"/>
      <c r="R467" s="8"/>
      <c r="S467" s="8"/>
      <c r="T467" s="8"/>
      <c r="U467" s="8"/>
      <c r="V467" s="8"/>
      <c r="W467" s="8"/>
      <c r="X467" s="8"/>
      <c r="Y467" s="8"/>
      <c r="Z467" s="8"/>
      <c r="AA467" s="8"/>
      <c r="AB467" s="8"/>
      <c r="AC467" s="8"/>
      <c r="AD467" s="8"/>
      <c r="AE467" s="8"/>
      <c r="AF467" s="8"/>
      <c r="AG467" s="8"/>
      <c r="AH467" s="8"/>
      <c r="AI467" s="8"/>
      <c r="AJ467" s="8"/>
      <c r="AK467" s="8"/>
      <c r="AL467" s="8"/>
      <c r="AM467" s="8"/>
    </row>
    <row r="468" customFormat="false" ht="15.75" hidden="false" customHeight="true" outlineLevel="0" collapsed="false">
      <c r="A468" s="30" t="n">
        <v>46304</v>
      </c>
      <c r="B468" s="31" t="s">
        <v>508</v>
      </c>
      <c r="C468" s="31" t="str">
        <f aca="false" t="array" ref="C468:C468">IF(B468="","",IFERROR(INDEX('CLM &amp; IM Mapping'!$B$2:$B$270,MATCH(TRIM(B468),'CLM &amp; IM Mapping'!$A$2:$A$270,0)),"Not Mapped"))</f>
        <v>Ravishankar gowda</v>
      </c>
      <c r="D468" s="31" t="str">
        <f aca="false" t="array" ref="D468:D468">IF(B468="","",IFERROR(INDEX('CLM &amp; IM Mapping'!$C$2:$C$270,MATCH(TRIM(B468),'CLM &amp; IM Mapping'!$A$2:$A$270,0)),"Not Mapped"))</f>
        <v>Kishor K</v>
      </c>
      <c r="E468" s="31" t="s">
        <v>34</v>
      </c>
      <c r="F468" s="31" t="s">
        <v>562</v>
      </c>
      <c r="G468" s="31" t="s">
        <v>23</v>
      </c>
      <c r="H468" s="17" t="n">
        <v>6734</v>
      </c>
      <c r="I468" s="32" t="n">
        <v>0.7</v>
      </c>
      <c r="J468" s="33" t="n">
        <v>0.91</v>
      </c>
      <c r="K468" s="34" t="n">
        <v>0.97</v>
      </c>
      <c r="L468" s="31" t="n">
        <v>0.99</v>
      </c>
      <c r="M468" s="31" t="n">
        <v>0.97</v>
      </c>
      <c r="N468" s="11" t="n">
        <v>4</v>
      </c>
      <c r="O468" s="12" t="s">
        <v>631</v>
      </c>
      <c r="P468" s="38" t="s">
        <v>623</v>
      </c>
      <c r="Q468" s="8"/>
      <c r="R468" s="8"/>
      <c r="S468" s="8"/>
      <c r="T468" s="8"/>
      <c r="U468" s="8"/>
      <c r="V468" s="8"/>
      <c r="W468" s="8"/>
      <c r="X468" s="8"/>
      <c r="Y468" s="8"/>
      <c r="Z468" s="8"/>
      <c r="AA468" s="8"/>
      <c r="AB468" s="8"/>
      <c r="AC468" s="8"/>
      <c r="AD468" s="8"/>
      <c r="AE468" s="8"/>
      <c r="AF468" s="8"/>
      <c r="AG468" s="8"/>
      <c r="AH468" s="8"/>
      <c r="AI468" s="8"/>
      <c r="AJ468" s="8"/>
      <c r="AK468" s="8"/>
      <c r="AL468" s="8"/>
      <c r="AM468" s="8"/>
    </row>
    <row r="469" customFormat="false" ht="15.75" hidden="false" customHeight="true" outlineLevel="0" collapsed="false">
      <c r="A469" s="30" t="n">
        <v>46304</v>
      </c>
      <c r="B469" s="31" t="s">
        <v>309</v>
      </c>
      <c r="C469" s="31" t="str">
        <f aca="false" t="array" ref="C469:C469">IF(B469="","",IFERROR(INDEX('CLM &amp; IM Mapping'!$B$2:$B$270,MATCH(TRIM(B469),'CLM &amp; IM Mapping'!$A$2:$A$270,0)),"Not Mapped"))</f>
        <v>Ashwath S</v>
      </c>
      <c r="D469" s="31" t="str">
        <f aca="false" t="array" ref="D469:D469">IF(B469="","",IFERROR(INDEX('CLM &amp; IM Mapping'!$C$2:$C$270,MATCH(TRIM(B469),'CLM &amp; IM Mapping'!$A$2:$A$270,0)),"Not Mapped"))</f>
        <v>Kantha Kumar</v>
      </c>
      <c r="E469" s="31" t="s">
        <v>34</v>
      </c>
      <c r="F469" s="31" t="s">
        <v>562</v>
      </c>
      <c r="G469" s="31" t="s">
        <v>23</v>
      </c>
      <c r="H469" s="17" t="n">
        <v>5663</v>
      </c>
      <c r="I469" s="32" t="n">
        <v>0.7</v>
      </c>
      <c r="J469" s="33" t="n">
        <v>0.92</v>
      </c>
      <c r="K469" s="34" t="n">
        <v>0.89</v>
      </c>
      <c r="L469" s="31" t="n">
        <v>0.97</v>
      </c>
      <c r="M469" s="31" t="n">
        <v>0.89</v>
      </c>
      <c r="N469" s="11" t="n">
        <v>4</v>
      </c>
      <c r="O469" s="12"/>
      <c r="P469" s="11"/>
      <c r="Q469" s="8"/>
      <c r="R469" s="8"/>
      <c r="S469" s="8"/>
      <c r="T469" s="8"/>
      <c r="U469" s="8"/>
      <c r="V469" s="8"/>
      <c r="W469" s="8"/>
      <c r="X469" s="8"/>
      <c r="Y469" s="8"/>
      <c r="Z469" s="8"/>
      <c r="AA469" s="8"/>
      <c r="AB469" s="8"/>
      <c r="AC469" s="8"/>
      <c r="AD469" s="8"/>
      <c r="AE469" s="8"/>
      <c r="AF469" s="8"/>
      <c r="AG469" s="8"/>
      <c r="AH469" s="8"/>
      <c r="AI469" s="8"/>
      <c r="AJ469" s="8"/>
      <c r="AK469" s="8"/>
      <c r="AL469" s="8"/>
      <c r="AM469" s="8"/>
    </row>
    <row r="470" customFormat="false" ht="15.75" hidden="false" customHeight="true" outlineLevel="0" collapsed="false">
      <c r="A470" s="30" t="n">
        <v>46304</v>
      </c>
      <c r="B470" s="31" t="s">
        <v>497</v>
      </c>
      <c r="C470" s="31" t="str">
        <f aca="false" t="array" ref="C470:C470">IF(B470="","",IFERROR(INDEX('CLM &amp; IM Mapping'!$B$2:$B$270,MATCH(TRIM(B470),'CLM &amp; IM Mapping'!$A$2:$A$270,0)),"Not Mapped"))</f>
        <v>Narasimhamurthy R</v>
      </c>
      <c r="D470" s="31" t="str">
        <f aca="false" t="array" ref="D470:D470">IF(B470="","",IFERROR(INDEX('CLM &amp; IM Mapping'!$C$2:$C$270,MATCH(TRIM(B470),'CLM &amp; IM Mapping'!$A$2:$A$270,0)),"Not Mapped"))</f>
        <v>Kishor K</v>
      </c>
      <c r="E470" s="31" t="s">
        <v>34</v>
      </c>
      <c r="F470" s="31" t="s">
        <v>562</v>
      </c>
      <c r="G470" s="31" t="s">
        <v>23</v>
      </c>
      <c r="H470" s="17" t="n">
        <v>5589</v>
      </c>
      <c r="I470" s="32" t="n">
        <v>0.7</v>
      </c>
      <c r="J470" s="33" t="n">
        <v>0.93</v>
      </c>
      <c r="K470" s="34" t="n">
        <v>0.91</v>
      </c>
      <c r="L470" s="31" t="n">
        <v>0.97</v>
      </c>
      <c r="M470" s="31" t="n">
        <v>0.91</v>
      </c>
      <c r="N470" s="11" t="n">
        <v>3</v>
      </c>
      <c r="O470" s="12" t="s">
        <v>631</v>
      </c>
      <c r="P470" s="38" t="s">
        <v>623</v>
      </c>
      <c r="Q470" s="8"/>
      <c r="R470" s="8"/>
      <c r="S470" s="8"/>
      <c r="T470" s="8"/>
      <c r="U470" s="8"/>
      <c r="V470" s="8"/>
      <c r="W470" s="8"/>
      <c r="X470" s="8"/>
      <c r="Y470" s="8"/>
      <c r="Z470" s="8"/>
      <c r="AA470" s="8"/>
      <c r="AB470" s="8"/>
      <c r="AC470" s="8"/>
      <c r="AD470" s="8"/>
      <c r="AE470" s="8"/>
      <c r="AF470" s="8"/>
      <c r="AG470" s="8"/>
      <c r="AH470" s="8"/>
      <c r="AI470" s="8"/>
      <c r="AJ470" s="8"/>
      <c r="AK470" s="8"/>
      <c r="AL470" s="8"/>
      <c r="AM470" s="8"/>
    </row>
    <row r="471" customFormat="false" ht="15.75" hidden="false" customHeight="true" outlineLevel="0" collapsed="false">
      <c r="A471" s="30" t="n">
        <v>46304</v>
      </c>
      <c r="B471" s="31" t="s">
        <v>325</v>
      </c>
      <c r="C471" s="31" t="str">
        <f aca="false" t="array" ref="C471:C471">IF(B471="","",IFERROR(INDEX('CLM &amp; IM Mapping'!$B$2:$B$270,MATCH(TRIM(B471),'CLM &amp; IM Mapping'!$A$2:$A$270,0)),"Not Mapped"))</f>
        <v>Santhosha M</v>
      </c>
      <c r="D471" s="31" t="str">
        <f aca="false" t="array" ref="D471:D471">IF(B471="","",IFERROR(INDEX('CLM &amp; IM Mapping'!$C$2:$C$270,MATCH(TRIM(B471),'CLM &amp; IM Mapping'!$A$2:$A$270,0)),"Not Mapped"))</f>
        <v>Aravind S</v>
      </c>
      <c r="E471" s="31" t="s">
        <v>34</v>
      </c>
      <c r="F471" s="31" t="s">
        <v>562</v>
      </c>
      <c r="G471" s="31" t="s">
        <v>276</v>
      </c>
      <c r="H471" s="17" t="n">
        <v>7140</v>
      </c>
      <c r="I471" s="32" t="n">
        <v>0.7</v>
      </c>
      <c r="J471" s="33" t="n">
        <v>0.93</v>
      </c>
      <c r="K471" s="34" t="n">
        <v>0.93</v>
      </c>
      <c r="L471" s="31" t="n">
        <v>0.98</v>
      </c>
      <c r="M471" s="31" t="n">
        <v>0.93</v>
      </c>
      <c r="N471" s="11" t="n">
        <v>2</v>
      </c>
      <c r="O471" s="12"/>
      <c r="P471" s="11"/>
      <c r="Q471" s="8"/>
      <c r="R471" s="8"/>
      <c r="S471" s="8"/>
      <c r="T471" s="8"/>
      <c r="U471" s="8"/>
      <c r="V471" s="8"/>
      <c r="W471" s="8"/>
      <c r="X471" s="8"/>
      <c r="Y471" s="8"/>
      <c r="Z471" s="8"/>
      <c r="AA471" s="8"/>
      <c r="AB471" s="8"/>
      <c r="AC471" s="8"/>
      <c r="AD471" s="8"/>
      <c r="AE471" s="8"/>
      <c r="AF471" s="8"/>
      <c r="AG471" s="8"/>
      <c r="AH471" s="8"/>
      <c r="AI471" s="8"/>
      <c r="AJ471" s="8"/>
      <c r="AK471" s="8"/>
      <c r="AL471" s="8"/>
      <c r="AM471" s="8"/>
    </row>
    <row r="472" customFormat="false" ht="15.75" hidden="false" customHeight="true" outlineLevel="0" collapsed="false">
      <c r="A472" s="30" t="n">
        <v>46304</v>
      </c>
      <c r="B472" s="31" t="s">
        <v>517</v>
      </c>
      <c r="C472" s="31" t="str">
        <f aca="false" t="array" ref="C472:C472">IF(B472="","",IFERROR(INDEX('CLM &amp; IM Mapping'!$B$2:$B$270,MATCH(TRIM(B472),'CLM &amp; IM Mapping'!$A$2:$A$270,0)),"Not Mapped"))</f>
        <v>Manoj Kj</v>
      </c>
      <c r="D472" s="31" t="str">
        <f aca="false" t="array" ref="D472:D472">IF(B472="","",IFERROR(INDEX('CLM &amp; IM Mapping'!$C$2:$C$270,MATCH(TRIM(B472),'CLM &amp; IM Mapping'!$A$2:$A$270,0)),"Not Mapped"))</f>
        <v>Srittam Dhal</v>
      </c>
      <c r="E472" s="31" t="s">
        <v>34</v>
      </c>
      <c r="F472" s="31" t="s">
        <v>565</v>
      </c>
      <c r="G472" s="31" t="s">
        <v>23</v>
      </c>
      <c r="H472" s="17" t="n">
        <v>8560</v>
      </c>
      <c r="I472" s="32" t="n">
        <v>0.7</v>
      </c>
      <c r="J472" s="33" t="n">
        <v>0.93</v>
      </c>
      <c r="K472" s="34" t="n">
        <v>0.94</v>
      </c>
      <c r="L472" s="31" t="n">
        <v>0.98</v>
      </c>
      <c r="M472" s="31"/>
      <c r="N472" s="11" t="n">
        <v>4</v>
      </c>
      <c r="O472" s="12" t="s">
        <v>664</v>
      </c>
      <c r="P472" s="11" t="s">
        <v>623</v>
      </c>
      <c r="Q472" s="8"/>
      <c r="R472" s="8"/>
      <c r="S472" s="8"/>
      <c r="T472" s="8"/>
      <c r="U472" s="8"/>
      <c r="V472" s="8"/>
      <c r="W472" s="8"/>
      <c r="X472" s="8"/>
      <c r="Y472" s="8"/>
      <c r="Z472" s="8"/>
      <c r="AA472" s="8"/>
      <c r="AB472" s="8"/>
      <c r="AC472" s="8"/>
      <c r="AD472" s="8"/>
      <c r="AE472" s="8"/>
      <c r="AF472" s="8"/>
      <c r="AG472" s="8"/>
      <c r="AH472" s="8"/>
      <c r="AI472" s="8"/>
      <c r="AJ472" s="8"/>
      <c r="AK472" s="8"/>
      <c r="AL472" s="8"/>
      <c r="AM472" s="8"/>
    </row>
    <row r="473" customFormat="false" ht="15.75" hidden="false" customHeight="true" outlineLevel="0" collapsed="false">
      <c r="A473" s="30" t="n">
        <v>46304</v>
      </c>
      <c r="B473" s="31" t="s">
        <v>526</v>
      </c>
      <c r="C473" s="31" t="str">
        <f aca="false" t="array" ref="C473:C473">IF(B473="","",IFERROR(INDEX('CLM &amp; IM Mapping'!$B$2:$B$270,MATCH(TRIM(B473),'CLM &amp; IM Mapping'!$A$2:$A$270,0)),"Not Mapped"))</f>
        <v>Sundaresh S</v>
      </c>
      <c r="D473" s="31" t="str">
        <f aca="false" t="array" ref="D473:D473">IF(B473="","",IFERROR(INDEX('CLM &amp; IM Mapping'!$C$2:$C$270,MATCH(TRIM(B473),'CLM &amp; IM Mapping'!$A$2:$A$270,0)),"Not Mapped"))</f>
        <v>Un Mapped</v>
      </c>
      <c r="E473" s="31" t="s">
        <v>34</v>
      </c>
      <c r="F473" s="31" t="s">
        <v>562</v>
      </c>
      <c r="G473" s="31" t="s">
        <v>23</v>
      </c>
      <c r="H473" s="17" t="n">
        <v>5167</v>
      </c>
      <c r="I473" s="32" t="n">
        <v>0.7</v>
      </c>
      <c r="J473" s="33" t="n">
        <v>0.93</v>
      </c>
      <c r="K473" s="34" t="n">
        <v>0.87</v>
      </c>
      <c r="L473" s="31" t="n">
        <v>0.96</v>
      </c>
      <c r="M473" s="31" t="n">
        <v>0.87</v>
      </c>
      <c r="N473" s="11" t="n">
        <v>3</v>
      </c>
      <c r="O473" s="12"/>
      <c r="P473" s="11"/>
      <c r="Q473" s="8"/>
      <c r="R473" s="8"/>
      <c r="S473" s="8"/>
      <c r="T473" s="8"/>
      <c r="U473" s="8"/>
      <c r="V473" s="8"/>
      <c r="W473" s="8"/>
      <c r="X473" s="8"/>
      <c r="Y473" s="8"/>
      <c r="Z473" s="8"/>
      <c r="AA473" s="8"/>
      <c r="AB473" s="8"/>
      <c r="AC473" s="8"/>
      <c r="AD473" s="8"/>
      <c r="AE473" s="8"/>
      <c r="AF473" s="8"/>
      <c r="AG473" s="8"/>
      <c r="AH473" s="8"/>
      <c r="AI473" s="8"/>
      <c r="AJ473" s="8"/>
      <c r="AK473" s="8"/>
      <c r="AL473" s="8"/>
      <c r="AM473" s="8"/>
    </row>
    <row r="474" customFormat="false" ht="15.75" hidden="false" customHeight="true" outlineLevel="0" collapsed="false">
      <c r="A474" s="30" t="n">
        <v>46304</v>
      </c>
      <c r="B474" s="31" t="s">
        <v>290</v>
      </c>
      <c r="C474" s="31" t="str">
        <f aca="false" t="array" ref="C474:C474">IF(B474="","",IFERROR(INDEX('CLM &amp; IM Mapping'!$B$2:$B$270,MATCH(TRIM(B474),'CLM &amp; IM Mapping'!$A$2:$A$270,0)),"Not Mapped"))</f>
        <v>Akshay P</v>
      </c>
      <c r="D474" s="31" t="str">
        <f aca="false" t="array" ref="D474:D474">IF(B474="","",IFERROR(INDEX('CLM &amp; IM Mapping'!$C$2:$C$270,MATCH(TRIM(B474),'CLM &amp; IM Mapping'!$A$2:$A$270,0)),"Not Mapped"))</f>
        <v>Srittam Dhal</v>
      </c>
      <c r="E474" s="31" t="s">
        <v>34</v>
      </c>
      <c r="F474" s="31" t="s">
        <v>562</v>
      </c>
      <c r="G474" s="31" t="s">
        <v>23</v>
      </c>
      <c r="H474" s="17" t="n">
        <v>4636</v>
      </c>
      <c r="I474" s="32" t="n">
        <v>0.7</v>
      </c>
      <c r="J474" s="33" t="n">
        <v>0.93</v>
      </c>
      <c r="K474" s="34" t="n">
        <v>0.79</v>
      </c>
      <c r="L474" s="31" t="n">
        <v>1</v>
      </c>
      <c r="M474" s="31" t="n">
        <v>0.79</v>
      </c>
      <c r="N474" s="11" t="n">
        <v>3</v>
      </c>
      <c r="O474" s="12" t="s">
        <v>664</v>
      </c>
      <c r="P474" s="11" t="s">
        <v>623</v>
      </c>
      <c r="Q474" s="8"/>
      <c r="R474" s="8"/>
      <c r="S474" s="8"/>
      <c r="T474" s="8"/>
      <c r="U474" s="8"/>
      <c r="V474" s="8"/>
      <c r="W474" s="8"/>
      <c r="X474" s="8"/>
      <c r="Y474" s="8"/>
      <c r="Z474" s="8"/>
      <c r="AA474" s="8"/>
      <c r="AB474" s="8"/>
      <c r="AC474" s="8"/>
      <c r="AD474" s="8"/>
      <c r="AE474" s="8"/>
      <c r="AF474" s="8"/>
      <c r="AG474" s="8"/>
      <c r="AH474" s="8"/>
      <c r="AI474" s="8"/>
      <c r="AJ474" s="8"/>
      <c r="AK474" s="8"/>
      <c r="AL474" s="8"/>
      <c r="AM474" s="8"/>
    </row>
    <row r="475" customFormat="false" ht="15.75" hidden="false" customHeight="true" outlineLevel="0" collapsed="false">
      <c r="A475" s="30" t="n">
        <v>46304</v>
      </c>
      <c r="B475" s="31" t="s">
        <v>381</v>
      </c>
      <c r="C475" s="31" t="str">
        <f aca="false" t="array" ref="C475:C475">IF(B475="","",IFERROR(INDEX('CLM &amp; IM Mapping'!$B$2:$B$270,MATCH(TRIM(B475),'CLM &amp; IM Mapping'!$A$2:$A$270,0)),"Not Mapped"))</f>
        <v>Balaji G</v>
      </c>
      <c r="D475" s="31" t="str">
        <f aca="false" t="array" ref="D475:D475">IF(B475="","",IFERROR(INDEX('CLM &amp; IM Mapping'!$C$2:$C$270,MATCH(TRIM(B475),'CLM &amp; IM Mapping'!$A$2:$A$270,0)),"Not Mapped"))</f>
        <v>Mohammed Akbar</v>
      </c>
      <c r="E475" s="31" t="s">
        <v>34</v>
      </c>
      <c r="F475" s="31" t="s">
        <v>565</v>
      </c>
      <c r="G475" s="31" t="s">
        <v>23</v>
      </c>
      <c r="H475" s="17" t="n">
        <v>5262</v>
      </c>
      <c r="I475" s="32" t="n">
        <v>0.7</v>
      </c>
      <c r="J475" s="33" t="n">
        <v>0.93</v>
      </c>
      <c r="K475" s="34" t="n">
        <v>0.96</v>
      </c>
      <c r="L475" s="31" t="n">
        <v>0.76</v>
      </c>
      <c r="M475" s="31" t="n">
        <v>0.96</v>
      </c>
      <c r="N475" s="11" t="n">
        <v>3</v>
      </c>
      <c r="O475" s="12"/>
      <c r="P475" s="11"/>
      <c r="Q475" s="8"/>
      <c r="R475" s="8"/>
      <c r="S475" s="8"/>
      <c r="T475" s="8"/>
      <c r="U475" s="8"/>
      <c r="V475" s="8"/>
      <c r="W475" s="8"/>
      <c r="X475" s="8"/>
      <c r="Y475" s="8"/>
      <c r="Z475" s="8"/>
      <c r="AA475" s="8"/>
      <c r="AB475" s="8"/>
      <c r="AC475" s="8"/>
      <c r="AD475" s="8"/>
      <c r="AE475" s="8"/>
      <c r="AF475" s="8"/>
      <c r="AG475" s="8"/>
      <c r="AH475" s="8"/>
      <c r="AI475" s="8"/>
      <c r="AJ475" s="8"/>
      <c r="AK475" s="8"/>
      <c r="AL475" s="8"/>
      <c r="AM475" s="8"/>
    </row>
    <row r="476" customFormat="false" ht="15.75" hidden="false" customHeight="true" outlineLevel="0" collapsed="false">
      <c r="A476" s="30" t="n">
        <v>46304</v>
      </c>
      <c r="B476" s="31" t="s">
        <v>513</v>
      </c>
      <c r="C476" s="31" t="str">
        <f aca="false" t="array" ref="C476:C476">IF(B476="","",IFERROR(INDEX('CLM &amp; IM Mapping'!$B$2:$B$270,MATCH(TRIM(B476),'CLM &amp; IM Mapping'!$A$2:$A$270,0)),"Not Mapped"))</f>
        <v>Manoj Kj</v>
      </c>
      <c r="D476" s="31" t="str">
        <f aca="false" t="array" ref="D476:D476">IF(B476="","",IFERROR(INDEX('CLM &amp; IM Mapping'!$C$2:$C$270,MATCH(TRIM(B476),'CLM &amp; IM Mapping'!$A$2:$A$270,0)),"Not Mapped"))</f>
        <v>Srittam Dhal</v>
      </c>
      <c r="E476" s="31" t="s">
        <v>34</v>
      </c>
      <c r="F476" s="31" t="s">
        <v>562</v>
      </c>
      <c r="G476" s="31" t="s">
        <v>23</v>
      </c>
      <c r="H476" s="17" t="n">
        <v>4812</v>
      </c>
      <c r="I476" s="32" t="n">
        <v>0.7</v>
      </c>
      <c r="J476" s="33" t="n">
        <v>0.94</v>
      </c>
      <c r="K476" s="34" t="n">
        <v>0.96</v>
      </c>
      <c r="L476" s="31" t="n">
        <v>0.99</v>
      </c>
      <c r="M476" s="31" t="n">
        <v>0.96</v>
      </c>
      <c r="N476" s="11" t="n">
        <v>3</v>
      </c>
      <c r="O476" s="12" t="s">
        <v>664</v>
      </c>
      <c r="P476" s="11" t="s">
        <v>623</v>
      </c>
      <c r="Q476" s="8"/>
      <c r="R476" s="8"/>
      <c r="S476" s="8"/>
      <c r="T476" s="8"/>
      <c r="U476" s="8"/>
      <c r="V476" s="8"/>
      <c r="W476" s="8"/>
      <c r="X476" s="8"/>
      <c r="Y476" s="8"/>
      <c r="Z476" s="8"/>
      <c r="AA476" s="8"/>
      <c r="AB476" s="8"/>
      <c r="AC476" s="8"/>
      <c r="AD476" s="8"/>
      <c r="AE476" s="8"/>
      <c r="AF476" s="8"/>
      <c r="AG476" s="8"/>
      <c r="AH476" s="8"/>
      <c r="AI476" s="8"/>
      <c r="AJ476" s="8"/>
      <c r="AK476" s="8"/>
      <c r="AL476" s="8"/>
      <c r="AM476" s="8"/>
    </row>
    <row r="477" customFormat="false" ht="15.75" hidden="false" customHeight="true" outlineLevel="0" collapsed="false">
      <c r="A477" s="30" t="n">
        <v>46304</v>
      </c>
      <c r="B477" s="31" t="s">
        <v>390</v>
      </c>
      <c r="C477" s="31" t="str">
        <f aca="false" t="array" ref="C477:C477">IF(B477="","",IFERROR(INDEX('CLM &amp; IM Mapping'!$B$2:$B$270,MATCH(TRIM(B477),'CLM &amp; IM Mapping'!$A$2:$A$270,0)),"Not Mapped"))</f>
        <v>Sundaresh S</v>
      </c>
      <c r="D477" s="31" t="str">
        <f aca="false" t="array" ref="D477:D477">IF(B477="","",IFERROR(INDEX('CLM &amp; IM Mapping'!$C$2:$C$270,MATCH(TRIM(B477),'CLM &amp; IM Mapping'!$A$2:$A$270,0)),"Not Mapped"))</f>
        <v>Un Mapped</v>
      </c>
      <c r="E477" s="31" t="s">
        <v>34</v>
      </c>
      <c r="F477" s="31" t="s">
        <v>562</v>
      </c>
      <c r="G477" s="31" t="s">
        <v>23</v>
      </c>
      <c r="H477" s="17" t="n">
        <v>5728</v>
      </c>
      <c r="I477" s="32" t="n">
        <v>0.7</v>
      </c>
      <c r="J477" s="33" t="n">
        <v>0.94</v>
      </c>
      <c r="K477" s="34" t="n">
        <v>0.88</v>
      </c>
      <c r="L477" s="31" t="n">
        <v>0.94</v>
      </c>
      <c r="M477" s="31"/>
      <c r="N477" s="11" t="n">
        <v>1</v>
      </c>
      <c r="O477" s="12"/>
      <c r="P477" s="11"/>
      <c r="Q477" s="8"/>
      <c r="R477" s="8"/>
      <c r="S477" s="8"/>
      <c r="T477" s="8"/>
      <c r="U477" s="8"/>
      <c r="V477" s="8"/>
      <c r="W477" s="8"/>
      <c r="X477" s="8"/>
      <c r="Y477" s="8"/>
      <c r="Z477" s="8"/>
      <c r="AA477" s="8"/>
      <c r="AB477" s="8"/>
      <c r="AC477" s="8"/>
      <c r="AD477" s="8"/>
      <c r="AE477" s="8"/>
      <c r="AF477" s="8"/>
      <c r="AG477" s="8"/>
      <c r="AH477" s="8"/>
      <c r="AI477" s="8"/>
      <c r="AJ477" s="8"/>
      <c r="AK477" s="8"/>
      <c r="AL477" s="8"/>
      <c r="AM477" s="8"/>
    </row>
    <row r="478" customFormat="false" ht="15.75" hidden="false" customHeight="true" outlineLevel="0" collapsed="false">
      <c r="A478" s="30" t="n">
        <v>46304</v>
      </c>
      <c r="B478" s="31" t="s">
        <v>333</v>
      </c>
      <c r="C478" s="31" t="str">
        <f aca="false" t="array" ref="C478:C478">IF(B478="","",IFERROR(INDEX('CLM &amp; IM Mapping'!$B$2:$B$270,MATCH(TRIM(B478),'CLM &amp; IM Mapping'!$A$2:$A$270,0)),"Not Mapped"))</f>
        <v>Basil Scariya</v>
      </c>
      <c r="D478" s="31" t="str">
        <f aca="false" t="array" ref="D478:D478">IF(B478="","",IFERROR(INDEX('CLM &amp; IM Mapping'!$C$2:$C$270,MATCH(TRIM(B478),'CLM &amp; IM Mapping'!$A$2:$A$270,0)),"Not Mapped"))</f>
        <v>Prakash BS</v>
      </c>
      <c r="E478" s="31" t="s">
        <v>34</v>
      </c>
      <c r="F478" s="31" t="s">
        <v>562</v>
      </c>
      <c r="G478" s="31" t="s">
        <v>23</v>
      </c>
      <c r="H478" s="17" t="n">
        <v>5290</v>
      </c>
      <c r="I478" s="32" t="n">
        <v>0.7</v>
      </c>
      <c r="J478" s="33" t="n">
        <v>0.94</v>
      </c>
      <c r="K478" s="34" t="n">
        <v>0.9</v>
      </c>
      <c r="L478" s="31" t="n">
        <v>0.97</v>
      </c>
      <c r="M478" s="31" t="n">
        <v>0.9</v>
      </c>
      <c r="N478" s="11" t="n">
        <v>4</v>
      </c>
      <c r="O478" s="12" t="s">
        <v>649</v>
      </c>
      <c r="P478" s="37" t="n">
        <v>46366</v>
      </c>
      <c r="Q478" s="8"/>
      <c r="R478" s="8"/>
      <c r="S478" s="8"/>
      <c r="T478" s="8"/>
      <c r="U478" s="8"/>
      <c r="V478" s="8"/>
      <c r="W478" s="8"/>
      <c r="X478" s="8"/>
      <c r="Y478" s="8"/>
      <c r="Z478" s="8"/>
      <c r="AA478" s="8"/>
      <c r="AB478" s="8"/>
      <c r="AC478" s="8"/>
      <c r="AD478" s="8"/>
      <c r="AE478" s="8"/>
      <c r="AF478" s="8"/>
      <c r="AG478" s="8"/>
      <c r="AH478" s="8"/>
      <c r="AI478" s="8"/>
      <c r="AJ478" s="8"/>
      <c r="AK478" s="8"/>
      <c r="AL478" s="8"/>
      <c r="AM478" s="8"/>
    </row>
    <row r="479" customFormat="false" ht="15.75" hidden="false" customHeight="true" outlineLevel="0" collapsed="false">
      <c r="A479" s="30" t="n">
        <v>46304</v>
      </c>
      <c r="B479" s="31" t="s">
        <v>454</v>
      </c>
      <c r="C479" s="31" t="str">
        <f aca="false" t="array" ref="C479:C479">IF(B479="","",IFERROR(INDEX('CLM &amp; IM Mapping'!$B$2:$B$270,MATCH(TRIM(B479),'CLM &amp; IM Mapping'!$A$2:$A$270,0)),"Not Mapped"))</f>
        <v>Balaji G</v>
      </c>
      <c r="D479" s="31" t="str">
        <f aca="false" t="array" ref="D479:D479">IF(B479="","",IFERROR(INDEX('CLM &amp; IM Mapping'!$C$2:$C$270,MATCH(TRIM(B479),'CLM &amp; IM Mapping'!$A$2:$A$270,0)),"Not Mapped"))</f>
        <v>Mohammed Akbar</v>
      </c>
      <c r="E479" s="31" t="s">
        <v>34</v>
      </c>
      <c r="F479" s="31" t="s">
        <v>565</v>
      </c>
      <c r="G479" s="31" t="s">
        <v>23</v>
      </c>
      <c r="H479" s="17" t="n">
        <v>4658</v>
      </c>
      <c r="I479" s="32" t="n">
        <v>0.7</v>
      </c>
      <c r="J479" s="33" t="n">
        <v>0.94</v>
      </c>
      <c r="K479" s="34" t="n">
        <v>0.88</v>
      </c>
      <c r="L479" s="31" t="n">
        <v>0.97</v>
      </c>
      <c r="M479" s="31" t="n">
        <v>0.88</v>
      </c>
      <c r="N479" s="11" t="n">
        <v>2</v>
      </c>
      <c r="O479" s="12"/>
      <c r="P479" s="11"/>
      <c r="Q479" s="8"/>
      <c r="R479" s="8"/>
      <c r="S479" s="8"/>
      <c r="T479" s="8"/>
      <c r="U479" s="8"/>
      <c r="V479" s="8"/>
      <c r="W479" s="8"/>
      <c r="X479" s="8"/>
      <c r="Y479" s="8"/>
      <c r="Z479" s="8"/>
      <c r="AA479" s="8"/>
      <c r="AB479" s="8"/>
      <c r="AC479" s="8"/>
      <c r="AD479" s="8"/>
      <c r="AE479" s="8"/>
      <c r="AF479" s="8"/>
      <c r="AG479" s="8"/>
      <c r="AH479" s="8"/>
      <c r="AI479" s="8"/>
      <c r="AJ479" s="8"/>
      <c r="AK479" s="8"/>
      <c r="AL479" s="8"/>
      <c r="AM479" s="8"/>
    </row>
    <row r="480" customFormat="false" ht="15.75" hidden="false" customHeight="true" outlineLevel="0" collapsed="false">
      <c r="A480" s="30" t="n">
        <v>46304</v>
      </c>
      <c r="B480" s="31" t="s">
        <v>460</v>
      </c>
      <c r="C480" s="31" t="str">
        <f aca="false" t="array" ref="C480:C480">IF(B480="","",IFERROR(INDEX('CLM &amp; IM Mapping'!$B$2:$B$270,MATCH(TRIM(B480),'CLM &amp; IM Mapping'!$A$2:$A$270,0)),"Not Mapped"))</f>
        <v>Vijay M</v>
      </c>
      <c r="D480" s="31" t="str">
        <f aca="false" t="array" ref="D480:D480">IF(B480="","",IFERROR(INDEX('CLM &amp; IM Mapping'!$C$2:$C$270,MATCH(TRIM(B480),'CLM &amp; IM Mapping'!$A$2:$A$270,0)),"Not Mapped"))</f>
        <v>Kantha Kumar</v>
      </c>
      <c r="E480" s="31" t="s">
        <v>34</v>
      </c>
      <c r="F480" s="31" t="s">
        <v>562</v>
      </c>
      <c r="G480" s="31" t="s">
        <v>23</v>
      </c>
      <c r="H480" s="17" t="n">
        <v>5762</v>
      </c>
      <c r="I480" s="32" t="n">
        <v>0.7</v>
      </c>
      <c r="J480" s="33" t="n">
        <v>0.95</v>
      </c>
      <c r="K480" s="34" t="n">
        <v>0.88</v>
      </c>
      <c r="L480" s="31" t="n">
        <v>0.95</v>
      </c>
      <c r="M480" s="31" t="n">
        <v>0.88</v>
      </c>
      <c r="N480" s="11" t="n">
        <v>4</v>
      </c>
      <c r="O480" s="12"/>
      <c r="P480" s="11"/>
      <c r="Q480" s="8"/>
      <c r="R480" s="8"/>
      <c r="S480" s="8"/>
      <c r="T480" s="8"/>
      <c r="U480" s="8"/>
      <c r="V480" s="8"/>
      <c r="W480" s="8"/>
      <c r="X480" s="8"/>
      <c r="Y480" s="8"/>
      <c r="Z480" s="8"/>
      <c r="AA480" s="8"/>
      <c r="AB480" s="8"/>
      <c r="AC480" s="8"/>
      <c r="AD480" s="8"/>
      <c r="AE480" s="8"/>
      <c r="AF480" s="8"/>
      <c r="AG480" s="8"/>
      <c r="AH480" s="8"/>
      <c r="AI480" s="8"/>
      <c r="AJ480" s="8"/>
      <c r="AK480" s="8"/>
      <c r="AL480" s="8"/>
      <c r="AM480" s="8"/>
    </row>
    <row r="481" customFormat="false" ht="15.75" hidden="false" customHeight="true" outlineLevel="0" collapsed="false">
      <c r="A481" s="30" t="n">
        <v>46304</v>
      </c>
      <c r="B481" s="31" t="s">
        <v>530</v>
      </c>
      <c r="C481" s="31" t="str">
        <f aca="false" t="array" ref="C481:C481">IF(B481="","",IFERROR(INDEX('CLM &amp; IM Mapping'!$B$2:$B$270,MATCH(TRIM(B481),'CLM &amp; IM Mapping'!$A$2:$A$270,0)),"Not Mapped"))</f>
        <v>Balaji G</v>
      </c>
      <c r="D481" s="31" t="str">
        <f aca="false" t="array" ref="D481:D481">IF(B481="","",IFERROR(INDEX('CLM &amp; IM Mapping'!$C$2:$C$270,MATCH(TRIM(B481),'CLM &amp; IM Mapping'!$A$2:$A$270,0)),"Not Mapped"))</f>
        <v>Mohammed Akbar</v>
      </c>
      <c r="E481" s="31" t="s">
        <v>34</v>
      </c>
      <c r="F481" s="31" t="s">
        <v>562</v>
      </c>
      <c r="G481" s="31" t="s">
        <v>23</v>
      </c>
      <c r="H481" s="17" t="n">
        <v>7445</v>
      </c>
      <c r="I481" s="32" t="n">
        <v>0.7</v>
      </c>
      <c r="J481" s="33" t="n">
        <v>0.95</v>
      </c>
      <c r="K481" s="34" t="n">
        <v>0.94</v>
      </c>
      <c r="L481" s="31" t="n">
        <v>0.97</v>
      </c>
      <c r="M481" s="31"/>
      <c r="N481" s="11" t="n">
        <v>1</v>
      </c>
      <c r="O481" s="12"/>
      <c r="P481" s="11"/>
      <c r="Q481" s="8"/>
      <c r="R481" s="8"/>
      <c r="S481" s="8"/>
      <c r="T481" s="8"/>
      <c r="U481" s="8"/>
      <c r="V481" s="8"/>
      <c r="W481" s="8"/>
      <c r="X481" s="8"/>
      <c r="Y481" s="8"/>
      <c r="Z481" s="8"/>
      <c r="AA481" s="8"/>
      <c r="AB481" s="8"/>
      <c r="AC481" s="8"/>
      <c r="AD481" s="8"/>
      <c r="AE481" s="8"/>
      <c r="AF481" s="8"/>
      <c r="AG481" s="8"/>
      <c r="AH481" s="8"/>
      <c r="AI481" s="8"/>
      <c r="AJ481" s="8"/>
      <c r="AK481" s="8"/>
      <c r="AL481" s="8"/>
      <c r="AM481" s="8"/>
    </row>
    <row r="482" customFormat="false" ht="15.75" hidden="false" customHeight="true" outlineLevel="0" collapsed="false">
      <c r="A482" s="30" t="n">
        <v>46304</v>
      </c>
      <c r="B482" s="31" t="s">
        <v>44</v>
      </c>
      <c r="C482" s="31" t="str">
        <f aca="false" t="array" ref="C482:C482">IF(B482="","",IFERROR(INDEX('CLM &amp; IM Mapping'!$B$2:$B$270,MATCH(TRIM(B482),'CLM &amp; IM Mapping'!$A$2:$A$270,0)),"Not Mapped"))</f>
        <v>Rizwan Ahmed</v>
      </c>
      <c r="D482" s="31" t="str">
        <f aca="false" t="array" ref="D482:D482">IF(B482="","",IFERROR(INDEX('CLM &amp; IM Mapping'!$C$2:$C$270,MATCH(TRIM(B482),'CLM &amp; IM Mapping'!$A$2:$A$270,0)),"Not Mapped"))</f>
        <v>Un Mapped</v>
      </c>
      <c r="E482" s="31" t="s">
        <v>34</v>
      </c>
      <c r="F482" s="31" t="s">
        <v>562</v>
      </c>
      <c r="G482" s="31" t="s">
        <v>23</v>
      </c>
      <c r="H482" s="17" t="n">
        <v>5862</v>
      </c>
      <c r="I482" s="32" t="n">
        <v>0.7</v>
      </c>
      <c r="J482" s="33" t="n">
        <v>0.96</v>
      </c>
      <c r="K482" s="34" t="n">
        <v>0.85</v>
      </c>
      <c r="L482" s="31" t="n">
        <v>0.95</v>
      </c>
      <c r="M482" s="31" t="n">
        <v>0.85</v>
      </c>
      <c r="N482" s="11" t="n">
        <v>3</v>
      </c>
      <c r="O482" s="12"/>
      <c r="P482" s="11"/>
      <c r="Q482" s="8"/>
      <c r="R482" s="8"/>
      <c r="S482" s="8"/>
      <c r="T482" s="8"/>
      <c r="U482" s="8"/>
      <c r="V482" s="8"/>
      <c r="W482" s="8"/>
      <c r="X482" s="8"/>
      <c r="Y482" s="8"/>
      <c r="Z482" s="8"/>
      <c r="AA482" s="8"/>
      <c r="AB482" s="8"/>
      <c r="AC482" s="8"/>
      <c r="AD482" s="8"/>
      <c r="AE482" s="8"/>
      <c r="AF482" s="8"/>
      <c r="AG482" s="8"/>
      <c r="AH482" s="8"/>
      <c r="AI482" s="8"/>
      <c r="AJ482" s="8"/>
      <c r="AK482" s="8"/>
      <c r="AL482" s="8"/>
      <c r="AM482" s="8"/>
    </row>
    <row r="483" customFormat="false" ht="15.75" hidden="false" customHeight="true" outlineLevel="0" collapsed="false">
      <c r="A483" s="30" t="n">
        <v>46304</v>
      </c>
      <c r="B483" s="31" t="s">
        <v>317</v>
      </c>
      <c r="C483" s="31" t="str">
        <f aca="false" t="array" ref="C483:C483">IF(B483="","",IFERROR(INDEX('CLM &amp; IM Mapping'!$B$2:$B$270,MATCH(TRIM(B483),'CLM &amp; IM Mapping'!$A$2:$A$270,0)),"Not Mapped"))</f>
        <v>Akshay P</v>
      </c>
      <c r="D483" s="31" t="str">
        <f aca="false" t="array" ref="D483:D483">IF(B483="","",IFERROR(INDEX('CLM &amp; IM Mapping'!$C$2:$C$270,MATCH(TRIM(B483),'CLM &amp; IM Mapping'!$A$2:$A$270,0)),"Not Mapped"))</f>
        <v>Srittam Dhal</v>
      </c>
      <c r="E483" s="31" t="s">
        <v>34</v>
      </c>
      <c r="F483" s="31" t="s">
        <v>562</v>
      </c>
      <c r="G483" s="31" t="s">
        <v>23</v>
      </c>
      <c r="H483" s="17" t="n">
        <v>5293</v>
      </c>
      <c r="I483" s="32" t="n">
        <v>0.7</v>
      </c>
      <c r="J483" s="33" t="n">
        <v>0.96</v>
      </c>
      <c r="K483" s="34" t="n">
        <v>0.88</v>
      </c>
      <c r="L483" s="31" t="n">
        <v>0.96</v>
      </c>
      <c r="M483" s="31" t="n">
        <v>0.88</v>
      </c>
      <c r="N483" s="11" t="n">
        <v>4</v>
      </c>
      <c r="O483" s="12" t="s">
        <v>664</v>
      </c>
      <c r="P483" s="11" t="s">
        <v>623</v>
      </c>
      <c r="Q483" s="8"/>
      <c r="R483" s="8"/>
      <c r="S483" s="8"/>
      <c r="T483" s="8"/>
      <c r="U483" s="8"/>
      <c r="V483" s="8"/>
      <c r="W483" s="8"/>
      <c r="X483" s="8"/>
      <c r="Y483" s="8"/>
      <c r="Z483" s="8"/>
      <c r="AA483" s="8"/>
      <c r="AB483" s="8"/>
      <c r="AC483" s="8"/>
      <c r="AD483" s="8"/>
      <c r="AE483" s="8"/>
      <c r="AF483" s="8"/>
      <c r="AG483" s="8"/>
      <c r="AH483" s="8"/>
      <c r="AI483" s="8"/>
      <c r="AJ483" s="8"/>
      <c r="AK483" s="8"/>
      <c r="AL483" s="8"/>
      <c r="AM483" s="8"/>
    </row>
    <row r="484" customFormat="false" ht="15.75" hidden="false" customHeight="true" outlineLevel="0" collapsed="false">
      <c r="A484" s="30" t="n">
        <v>46304</v>
      </c>
      <c r="B484" s="31" t="s">
        <v>486</v>
      </c>
      <c r="C484" s="31" t="str">
        <f aca="false" t="array" ref="C484:C484">IF(B484="","",IFERROR(INDEX('CLM &amp; IM Mapping'!$B$2:$B$270,MATCH(TRIM(B484),'CLM &amp; IM Mapping'!$A$2:$A$270,0)),"Not Mapped"))</f>
        <v>Balaji G</v>
      </c>
      <c r="D484" s="31" t="str">
        <f aca="false" t="array" ref="D484:D484">IF(B484="","",IFERROR(INDEX('CLM &amp; IM Mapping'!$C$2:$C$270,MATCH(TRIM(B484),'CLM &amp; IM Mapping'!$A$2:$A$270,0)),"Not Mapped"))</f>
        <v>Mohammed Akbar</v>
      </c>
      <c r="E484" s="31" t="s">
        <v>34</v>
      </c>
      <c r="F484" s="31" t="s">
        <v>565</v>
      </c>
      <c r="G484" s="31" t="s">
        <v>23</v>
      </c>
      <c r="H484" s="17" t="n">
        <v>6557</v>
      </c>
      <c r="I484" s="32" t="n">
        <v>0.7</v>
      </c>
      <c r="J484" s="33" t="n">
        <v>0.96</v>
      </c>
      <c r="K484" s="34" t="n">
        <v>0.87</v>
      </c>
      <c r="L484" s="31" t="n">
        <v>0.97</v>
      </c>
      <c r="M484" s="31" t="n">
        <v>0.87</v>
      </c>
      <c r="N484" s="11" t="n">
        <v>4</v>
      </c>
      <c r="O484" s="12"/>
      <c r="P484" s="11"/>
      <c r="Q484" s="8"/>
      <c r="R484" s="8"/>
      <c r="S484" s="8"/>
      <c r="T484" s="8"/>
      <c r="U484" s="8"/>
      <c r="V484" s="8"/>
      <c r="W484" s="8"/>
      <c r="X484" s="8"/>
      <c r="Y484" s="8"/>
      <c r="Z484" s="8"/>
      <c r="AA484" s="8"/>
      <c r="AB484" s="8"/>
      <c r="AC484" s="8"/>
      <c r="AD484" s="8"/>
      <c r="AE484" s="8"/>
      <c r="AF484" s="8"/>
      <c r="AG484" s="8"/>
      <c r="AH484" s="8"/>
      <c r="AI484" s="8"/>
      <c r="AJ484" s="8"/>
      <c r="AK484" s="8"/>
      <c r="AL484" s="8"/>
      <c r="AM484" s="8"/>
    </row>
    <row r="485" customFormat="false" ht="15.75" hidden="false" customHeight="true" outlineLevel="0" collapsed="false">
      <c r="A485" s="30" t="n">
        <v>46304</v>
      </c>
      <c r="B485" s="31" t="s">
        <v>451</v>
      </c>
      <c r="C485" s="31" t="str">
        <f aca="false" t="array" ref="C485:C485">IF(B485="","",IFERROR(INDEX('CLM &amp; IM Mapping'!$B$2:$B$270,MATCH(TRIM(B485),'CLM &amp; IM Mapping'!$A$2:$A$270,0)),"Not Mapped"))</f>
        <v>Ashwath S</v>
      </c>
      <c r="D485" s="31" t="str">
        <f aca="false" t="array" ref="D485:D485">IF(B485="","",IFERROR(INDEX('CLM &amp; IM Mapping'!$C$2:$C$270,MATCH(TRIM(B485),'CLM &amp; IM Mapping'!$A$2:$A$270,0)),"Not Mapped"))</f>
        <v>Kantha Kumar</v>
      </c>
      <c r="E485" s="31" t="s">
        <v>34</v>
      </c>
      <c r="F485" s="31" t="s">
        <v>562</v>
      </c>
      <c r="G485" s="31" t="s">
        <v>23</v>
      </c>
      <c r="H485" s="17" t="n">
        <v>5788</v>
      </c>
      <c r="I485" s="32" t="n">
        <v>0.7</v>
      </c>
      <c r="J485" s="33" t="n">
        <v>0.96</v>
      </c>
      <c r="K485" s="34" t="n">
        <v>0.94</v>
      </c>
      <c r="L485" s="31" t="n">
        <v>0.99</v>
      </c>
      <c r="M485" s="31" t="n">
        <v>0.94</v>
      </c>
      <c r="N485" s="11" t="n">
        <v>6</v>
      </c>
      <c r="O485" s="12"/>
      <c r="P485" s="11"/>
      <c r="Q485" s="8"/>
      <c r="R485" s="8"/>
      <c r="S485" s="8"/>
      <c r="T485" s="8"/>
      <c r="U485" s="8"/>
      <c r="V485" s="8"/>
      <c r="W485" s="8"/>
      <c r="X485" s="8"/>
      <c r="Y485" s="8"/>
      <c r="Z485" s="8"/>
      <c r="AA485" s="8"/>
      <c r="AB485" s="8"/>
      <c r="AC485" s="8"/>
      <c r="AD485" s="8"/>
      <c r="AE485" s="8"/>
      <c r="AF485" s="8"/>
      <c r="AG485" s="8"/>
      <c r="AH485" s="8"/>
      <c r="AI485" s="8"/>
      <c r="AJ485" s="8"/>
      <c r="AK485" s="8"/>
      <c r="AL485" s="8"/>
      <c r="AM485" s="8"/>
    </row>
    <row r="486" customFormat="false" ht="15.75" hidden="false" customHeight="true" outlineLevel="0" collapsed="false">
      <c r="A486" s="30" t="n">
        <v>46304</v>
      </c>
      <c r="B486" s="31" t="s">
        <v>525</v>
      </c>
      <c r="C486" s="31" t="str">
        <f aca="false" t="array" ref="C486:C486">IF(B486="","",IFERROR(INDEX('CLM &amp; IM Mapping'!$B$2:$B$270,MATCH(TRIM(B486),'CLM &amp; IM Mapping'!$A$2:$A$270,0)),"Not Mapped"))</f>
        <v>Saddam Hussain</v>
      </c>
      <c r="D486" s="31" t="str">
        <f aca="false" t="array" ref="D486:D486">IF(B486="","",IFERROR(INDEX('CLM &amp; IM Mapping'!$C$2:$C$270,MATCH(TRIM(B486),'CLM &amp; IM Mapping'!$A$2:$A$270,0)),"Not Mapped"))</f>
        <v>Un Mapped</v>
      </c>
      <c r="E486" s="31" t="s">
        <v>34</v>
      </c>
      <c r="F486" s="31" t="s">
        <v>562</v>
      </c>
      <c r="G486" s="31" t="s">
        <v>23</v>
      </c>
      <c r="H486" s="17" t="n">
        <v>5194</v>
      </c>
      <c r="I486" s="32" t="n">
        <v>0.7</v>
      </c>
      <c r="J486" s="33" t="n">
        <v>0.96</v>
      </c>
      <c r="K486" s="34" t="n">
        <v>0.94</v>
      </c>
      <c r="L486" s="31" t="n">
        <v>0.98</v>
      </c>
      <c r="M486" s="31" t="n">
        <v>0.94</v>
      </c>
      <c r="N486" s="11" t="n">
        <v>3</v>
      </c>
      <c r="O486" s="12"/>
      <c r="P486" s="11"/>
      <c r="Q486" s="8"/>
      <c r="R486" s="8"/>
      <c r="S486" s="8"/>
      <c r="T486" s="8"/>
      <c r="U486" s="8"/>
      <c r="V486" s="8"/>
      <c r="W486" s="8"/>
      <c r="X486" s="8"/>
      <c r="Y486" s="8"/>
      <c r="Z486" s="8"/>
      <c r="AA486" s="8"/>
      <c r="AB486" s="8"/>
      <c r="AC486" s="8"/>
      <c r="AD486" s="8"/>
      <c r="AE486" s="8"/>
      <c r="AF486" s="8"/>
      <c r="AG486" s="8"/>
      <c r="AH486" s="8"/>
      <c r="AI486" s="8"/>
      <c r="AJ486" s="8"/>
      <c r="AK486" s="8"/>
      <c r="AL486" s="8"/>
      <c r="AM486" s="8"/>
    </row>
    <row r="487" customFormat="false" ht="15.75" hidden="false" customHeight="true" outlineLevel="0" collapsed="false">
      <c r="A487" s="30" t="n">
        <v>46304</v>
      </c>
      <c r="B487" s="31" t="s">
        <v>457</v>
      </c>
      <c r="C487" s="31" t="str">
        <f aca="false" t="array" ref="C487:C487">IF(B487="","",IFERROR(INDEX('CLM &amp; IM Mapping'!$B$2:$B$270,MATCH(TRIM(B487),'CLM &amp; IM Mapping'!$A$2:$A$270,0)),"Not Mapped"))</f>
        <v>Saddam Hussain</v>
      </c>
      <c r="D487" s="31" t="str">
        <f aca="false" t="array" ref="D487:D487">IF(B487="","",IFERROR(INDEX('CLM &amp; IM Mapping'!$C$2:$C$270,MATCH(TRIM(B487),'CLM &amp; IM Mapping'!$A$2:$A$270,0)),"Not Mapped"))</f>
        <v>Un Mapped</v>
      </c>
      <c r="E487" s="31" t="s">
        <v>34</v>
      </c>
      <c r="F487" s="31" t="s">
        <v>562</v>
      </c>
      <c r="G487" s="31" t="s">
        <v>23</v>
      </c>
      <c r="H487" s="17" t="n">
        <v>6286</v>
      </c>
      <c r="I487" s="32" t="n">
        <v>0.7</v>
      </c>
      <c r="J487" s="33" t="n">
        <v>0.97</v>
      </c>
      <c r="K487" s="34" t="n">
        <v>0.97</v>
      </c>
      <c r="L487" s="31" t="n">
        <v>0.99</v>
      </c>
      <c r="M487" s="31" t="n">
        <v>0.97</v>
      </c>
      <c r="N487" s="11" t="n">
        <v>3</v>
      </c>
      <c r="O487" s="12"/>
      <c r="P487" s="11"/>
      <c r="Q487" s="8"/>
      <c r="R487" s="8"/>
      <c r="S487" s="8"/>
      <c r="T487" s="8"/>
      <c r="U487" s="8"/>
      <c r="V487" s="8"/>
      <c r="W487" s="8"/>
      <c r="X487" s="8"/>
      <c r="Y487" s="8"/>
      <c r="Z487" s="8"/>
      <c r="AA487" s="8"/>
      <c r="AB487" s="8"/>
      <c r="AC487" s="8"/>
      <c r="AD487" s="8"/>
      <c r="AE487" s="8"/>
      <c r="AF487" s="8"/>
      <c r="AG487" s="8"/>
      <c r="AH487" s="8"/>
      <c r="AI487" s="8"/>
      <c r="AJ487" s="8"/>
      <c r="AK487" s="8"/>
      <c r="AL487" s="8"/>
      <c r="AM487" s="8"/>
    </row>
    <row r="488" customFormat="false" ht="15.75" hidden="false" customHeight="true" outlineLevel="0" collapsed="false">
      <c r="A488" s="30" t="n">
        <v>46304</v>
      </c>
      <c r="B488" s="31" t="s">
        <v>294</v>
      </c>
      <c r="C488" s="31" t="str">
        <f aca="false" t="array" ref="C488:C488">IF(B488="","",IFERROR(INDEX('CLM &amp; IM Mapping'!$B$2:$B$270,MATCH(TRIM(B488),'CLM &amp; IM Mapping'!$A$2:$A$270,0)),"Not Mapped"))</f>
        <v>Manoj Kj</v>
      </c>
      <c r="D488" s="31" t="str">
        <f aca="false" t="array" ref="D488:D488">IF(B488="","",IFERROR(INDEX('CLM &amp; IM Mapping'!$C$2:$C$270,MATCH(TRIM(B488),'CLM &amp; IM Mapping'!$A$2:$A$270,0)),"Not Mapped"))</f>
        <v>Srittam Dhal</v>
      </c>
      <c r="E488" s="31" t="s">
        <v>34</v>
      </c>
      <c r="F488" s="31" t="s">
        <v>562</v>
      </c>
      <c r="G488" s="31" t="s">
        <v>23</v>
      </c>
      <c r="H488" s="17" t="n">
        <v>4048</v>
      </c>
      <c r="I488" s="32" t="n">
        <v>0.7</v>
      </c>
      <c r="J488" s="33" t="n">
        <v>0.97</v>
      </c>
      <c r="K488" s="34" t="n">
        <v>0.87</v>
      </c>
      <c r="L488" s="31" t="n">
        <v>0.96</v>
      </c>
      <c r="M488" s="31" t="n">
        <v>0.87</v>
      </c>
      <c r="N488" s="11" t="n">
        <v>7</v>
      </c>
      <c r="O488" s="12" t="s">
        <v>664</v>
      </c>
      <c r="P488" s="11" t="s">
        <v>623</v>
      </c>
      <c r="Q488" s="8"/>
      <c r="R488" s="8"/>
      <c r="S488" s="8"/>
      <c r="T488" s="8"/>
      <c r="U488" s="8"/>
      <c r="V488" s="8"/>
      <c r="W488" s="8"/>
      <c r="X488" s="8"/>
      <c r="Y488" s="8"/>
      <c r="Z488" s="8"/>
      <c r="AA488" s="8"/>
      <c r="AB488" s="8"/>
      <c r="AC488" s="8"/>
      <c r="AD488" s="8"/>
      <c r="AE488" s="8"/>
      <c r="AF488" s="8"/>
      <c r="AG488" s="8"/>
      <c r="AH488" s="8"/>
      <c r="AI488" s="8"/>
      <c r="AJ488" s="8"/>
      <c r="AK488" s="8"/>
      <c r="AL488" s="8"/>
      <c r="AM488" s="8"/>
    </row>
    <row r="489" customFormat="false" ht="15.75" hidden="false" customHeight="true" outlineLevel="0" collapsed="false">
      <c r="A489" s="30" t="n">
        <v>46304</v>
      </c>
      <c r="B489" s="31" t="s">
        <v>524</v>
      </c>
      <c r="C489" s="31" t="str">
        <f aca="false" t="array" ref="C489:C489">IF(B489="","",IFERROR(INDEX('CLM &amp; IM Mapping'!$B$2:$B$270,MATCH(TRIM(B489),'CLM &amp; IM Mapping'!$A$2:$A$270,0)),"Not Mapped"))</f>
        <v>Balaji G</v>
      </c>
      <c r="D489" s="31" t="str">
        <f aca="false" t="array" ref="D489:D489">IF(B489="","",IFERROR(INDEX('CLM &amp; IM Mapping'!$C$2:$C$270,MATCH(TRIM(B489),'CLM &amp; IM Mapping'!$A$2:$A$270,0)),"Not Mapped"))</f>
        <v>Mohammed Akbar</v>
      </c>
      <c r="E489" s="31" t="s">
        <v>34</v>
      </c>
      <c r="F489" s="31" t="s">
        <v>562</v>
      </c>
      <c r="G489" s="31" t="s">
        <v>23</v>
      </c>
      <c r="H489" s="17" t="n">
        <v>2473</v>
      </c>
      <c r="I489" s="32" t="n">
        <v>0.7</v>
      </c>
      <c r="J489" s="33" t="n">
        <v>0.97</v>
      </c>
      <c r="K489" s="34" t="n">
        <v>0.83</v>
      </c>
      <c r="L489" s="31" t="n">
        <v>0.97</v>
      </c>
      <c r="M489" s="31" t="n">
        <v>0.83</v>
      </c>
      <c r="N489" s="11" t="n">
        <v>6</v>
      </c>
      <c r="O489" s="12"/>
      <c r="P489" s="11"/>
      <c r="Q489" s="8"/>
      <c r="R489" s="8"/>
      <c r="S489" s="8"/>
      <c r="T489" s="8"/>
      <c r="U489" s="8"/>
      <c r="V489" s="8"/>
      <c r="W489" s="8"/>
      <c r="X489" s="8"/>
      <c r="Y489" s="8"/>
      <c r="Z489" s="8"/>
      <c r="AA489" s="8"/>
      <c r="AB489" s="8"/>
      <c r="AC489" s="8"/>
      <c r="AD489" s="8"/>
      <c r="AE489" s="8"/>
      <c r="AF489" s="8"/>
      <c r="AG489" s="8"/>
      <c r="AH489" s="8"/>
      <c r="AI489" s="8"/>
      <c r="AJ489" s="8"/>
      <c r="AK489" s="8"/>
      <c r="AL489" s="8"/>
      <c r="AM489" s="8"/>
    </row>
    <row r="490" customFormat="false" ht="15.75" hidden="false" customHeight="true" outlineLevel="0" collapsed="false">
      <c r="A490" s="30" t="n">
        <v>46304</v>
      </c>
      <c r="B490" s="31" t="s">
        <v>481</v>
      </c>
      <c r="C490" s="31" t="str">
        <f aca="false" t="array" ref="C490:C490">IF(B490="","",IFERROR(INDEX('CLM &amp; IM Mapping'!$B$2:$B$270,MATCH(TRIM(B490),'CLM &amp; IM Mapping'!$A$2:$A$270,0)),"Not Mapped"))</f>
        <v>Akshay P</v>
      </c>
      <c r="D490" s="31" t="str">
        <f aca="false" t="array" ref="D490:D490">IF(B490="","",IFERROR(INDEX('CLM &amp; IM Mapping'!$C$2:$C$270,MATCH(TRIM(B490),'CLM &amp; IM Mapping'!$A$2:$A$270,0)),"Not Mapped"))</f>
        <v>Srittam Dhal</v>
      </c>
      <c r="E490" s="31" t="s">
        <v>34</v>
      </c>
      <c r="F490" s="31" t="s">
        <v>562</v>
      </c>
      <c r="G490" s="31" t="s">
        <v>23</v>
      </c>
      <c r="H490" s="17" t="n">
        <v>6102</v>
      </c>
      <c r="I490" s="32" t="n">
        <v>0.7</v>
      </c>
      <c r="J490" s="33" t="n">
        <v>0.98</v>
      </c>
      <c r="K490" s="34" t="n">
        <v>0.95</v>
      </c>
      <c r="L490" s="31" t="n">
        <v>0.99</v>
      </c>
      <c r="M490" s="31" t="n">
        <v>0.95</v>
      </c>
      <c r="N490" s="11" t="n">
        <v>4</v>
      </c>
      <c r="O490" s="12" t="s">
        <v>664</v>
      </c>
      <c r="P490" s="11" t="s">
        <v>623</v>
      </c>
      <c r="Q490" s="8"/>
      <c r="R490" s="8"/>
      <c r="S490" s="8"/>
      <c r="T490" s="8"/>
      <c r="U490" s="8"/>
      <c r="V490" s="8"/>
      <c r="W490" s="8"/>
      <c r="X490" s="8"/>
      <c r="Y490" s="8"/>
      <c r="Z490" s="8"/>
      <c r="AA490" s="8"/>
      <c r="AB490" s="8"/>
      <c r="AC490" s="8"/>
      <c r="AD490" s="8"/>
      <c r="AE490" s="8"/>
      <c r="AF490" s="8"/>
      <c r="AG490" s="8"/>
      <c r="AH490" s="8"/>
      <c r="AI490" s="8"/>
      <c r="AJ490" s="8"/>
      <c r="AK490" s="8"/>
      <c r="AL490" s="8"/>
      <c r="AM490" s="8"/>
    </row>
    <row r="491" customFormat="false" ht="15.75" hidden="false" customHeight="true" outlineLevel="0" collapsed="false">
      <c r="A491" s="30" t="n">
        <v>46304</v>
      </c>
      <c r="B491" s="31" t="s">
        <v>443</v>
      </c>
      <c r="C491" s="31" t="str">
        <f aca="false" t="array" ref="C491:C491">IF(B491="","",IFERROR(INDEX('CLM &amp; IM Mapping'!$B$2:$B$270,MATCH(TRIM(B491),'CLM &amp; IM Mapping'!$A$2:$A$270,0)),"Not Mapped"))</f>
        <v>Manoj Kj</v>
      </c>
      <c r="D491" s="31" t="str">
        <f aca="false" t="array" ref="D491:D491">IF(B491="","",IFERROR(INDEX('CLM &amp; IM Mapping'!$C$2:$C$270,MATCH(TRIM(B491),'CLM &amp; IM Mapping'!$A$2:$A$270,0)),"Not Mapped"))</f>
        <v>Srittam Dhal</v>
      </c>
      <c r="E491" s="31" t="s">
        <v>34</v>
      </c>
      <c r="F491" s="31" t="s">
        <v>565</v>
      </c>
      <c r="G491" s="31" t="s">
        <v>23</v>
      </c>
      <c r="H491" s="17" t="n">
        <v>4531</v>
      </c>
      <c r="I491" s="32" t="n">
        <v>0.7</v>
      </c>
      <c r="J491" s="33" t="n">
        <v>0.98</v>
      </c>
      <c r="K491" s="34" t="n">
        <v>0.86</v>
      </c>
      <c r="L491" s="31" t="n">
        <v>0.98</v>
      </c>
      <c r="M491" s="31" t="n">
        <v>0.86</v>
      </c>
      <c r="N491" s="11" t="n">
        <v>6</v>
      </c>
      <c r="O491" s="12" t="s">
        <v>664</v>
      </c>
      <c r="P491" s="11" t="s">
        <v>623</v>
      </c>
      <c r="Q491" s="8"/>
      <c r="R491" s="8"/>
      <c r="S491" s="8"/>
      <c r="T491" s="8"/>
      <c r="U491" s="8"/>
      <c r="V491" s="8"/>
      <c r="W491" s="8"/>
      <c r="X491" s="8"/>
      <c r="Y491" s="8"/>
      <c r="Z491" s="8"/>
      <c r="AA491" s="8"/>
      <c r="AB491" s="8"/>
      <c r="AC491" s="8"/>
      <c r="AD491" s="8"/>
      <c r="AE491" s="8"/>
      <c r="AF491" s="8"/>
      <c r="AG491" s="8"/>
      <c r="AH491" s="8"/>
      <c r="AI491" s="8"/>
      <c r="AJ491" s="8"/>
      <c r="AK491" s="8"/>
      <c r="AL491" s="8"/>
      <c r="AM491" s="8"/>
    </row>
    <row r="492" customFormat="false" ht="15.75" hidden="false" customHeight="true" outlineLevel="0" collapsed="false">
      <c r="A492" s="30" t="n">
        <v>46304</v>
      </c>
      <c r="B492" s="31" t="s">
        <v>463</v>
      </c>
      <c r="C492" s="31" t="str">
        <f aca="false" t="array" ref="C492:C492">IF(B492="","",IFERROR(INDEX('CLM &amp; IM Mapping'!$B$2:$B$270,MATCH(TRIM(B492),'CLM &amp; IM Mapping'!$A$2:$A$270,0)),"Not Mapped"))</f>
        <v>Ashwath S</v>
      </c>
      <c r="D492" s="31" t="str">
        <f aca="false" t="array" ref="D492:D492">IF(B492="","",IFERROR(INDEX('CLM &amp; IM Mapping'!$C$2:$C$270,MATCH(TRIM(B492),'CLM &amp; IM Mapping'!$A$2:$A$270,0)),"Not Mapped"))</f>
        <v>Kantha Kumar</v>
      </c>
      <c r="E492" s="31" t="s">
        <v>34</v>
      </c>
      <c r="F492" s="31" t="s">
        <v>562</v>
      </c>
      <c r="G492" s="31" t="s">
        <v>23</v>
      </c>
      <c r="H492" s="17" t="n">
        <v>6917</v>
      </c>
      <c r="I492" s="32" t="n">
        <v>0.7</v>
      </c>
      <c r="J492" s="33" t="n">
        <v>0.98</v>
      </c>
      <c r="K492" s="34" t="n">
        <v>0.94</v>
      </c>
      <c r="L492" s="31" t="n">
        <v>0.98</v>
      </c>
      <c r="M492" s="31" t="n">
        <v>0.94</v>
      </c>
      <c r="N492" s="11" t="n">
        <v>5</v>
      </c>
      <c r="O492" s="12"/>
      <c r="P492" s="11"/>
      <c r="Q492" s="8"/>
      <c r="R492" s="8"/>
      <c r="S492" s="8"/>
      <c r="T492" s="8"/>
      <c r="U492" s="8"/>
      <c r="V492" s="8"/>
      <c r="W492" s="8"/>
      <c r="X492" s="8"/>
      <c r="Y492" s="8"/>
      <c r="Z492" s="8"/>
      <c r="AA492" s="8"/>
      <c r="AB492" s="8"/>
      <c r="AC492" s="8"/>
      <c r="AD492" s="8"/>
      <c r="AE492" s="8"/>
      <c r="AF492" s="8"/>
      <c r="AG492" s="8"/>
      <c r="AH492" s="8"/>
      <c r="AI492" s="8"/>
      <c r="AJ492" s="8"/>
      <c r="AK492" s="8"/>
      <c r="AL492" s="8"/>
      <c r="AM492" s="8"/>
    </row>
    <row r="493" customFormat="false" ht="15.75" hidden="false" customHeight="true" outlineLevel="0" collapsed="false">
      <c r="A493" s="30" t="n">
        <v>46304</v>
      </c>
      <c r="B493" s="31" t="s">
        <v>322</v>
      </c>
      <c r="C493" s="31" t="str">
        <f aca="false" t="array" ref="C493:C493">IF(B493="","",IFERROR(INDEX('CLM &amp; IM Mapping'!$B$2:$B$270,MATCH(TRIM(B493),'CLM &amp; IM Mapping'!$A$2:$A$270,0)),"Not Mapped"))</f>
        <v>Ashwath S</v>
      </c>
      <c r="D493" s="31" t="str">
        <f aca="false" t="array" ref="D493:D493">IF(B493="","",IFERROR(INDEX('CLM &amp; IM Mapping'!$C$2:$C$270,MATCH(TRIM(B493),'CLM &amp; IM Mapping'!$A$2:$A$270,0)),"Not Mapped"))</f>
        <v>Kantha Kumar</v>
      </c>
      <c r="E493" s="31" t="s">
        <v>34</v>
      </c>
      <c r="F493" s="31" t="s">
        <v>565</v>
      </c>
      <c r="G493" s="31" t="s">
        <v>23</v>
      </c>
      <c r="H493" s="17" t="n">
        <v>4660</v>
      </c>
      <c r="I493" s="32" t="n">
        <v>0.7</v>
      </c>
      <c r="J493" s="33" t="n">
        <v>0.98</v>
      </c>
      <c r="K493" s="34" t="n">
        <v>0.87</v>
      </c>
      <c r="L493" s="31" t="n">
        <v>0.98</v>
      </c>
      <c r="M493" s="31" t="n">
        <v>0.87</v>
      </c>
      <c r="N493" s="11" t="n">
        <v>5</v>
      </c>
      <c r="O493" s="12"/>
      <c r="P493" s="11"/>
      <c r="Q493" s="8"/>
      <c r="R493" s="8"/>
      <c r="S493" s="8"/>
      <c r="T493" s="8"/>
      <c r="U493" s="8"/>
      <c r="V493" s="8"/>
      <c r="W493" s="8"/>
      <c r="X493" s="8"/>
      <c r="Y493" s="8"/>
      <c r="Z493" s="8"/>
      <c r="AA493" s="8"/>
      <c r="AB493" s="8"/>
      <c r="AC493" s="8"/>
      <c r="AD493" s="8"/>
      <c r="AE493" s="8"/>
      <c r="AF493" s="8"/>
      <c r="AG493" s="8"/>
      <c r="AH493" s="8"/>
      <c r="AI493" s="8"/>
      <c r="AJ493" s="8"/>
      <c r="AK493" s="8"/>
      <c r="AL493" s="8"/>
      <c r="AM493" s="8"/>
    </row>
    <row r="494" customFormat="false" ht="15.75" hidden="false" customHeight="true" outlineLevel="0" collapsed="false">
      <c r="A494" s="30" t="n">
        <v>46304</v>
      </c>
      <c r="B494" s="31" t="s">
        <v>492</v>
      </c>
      <c r="C494" s="31" t="str">
        <f aca="false" t="array" ref="C494:C494">IF(B494="","",IFERROR(INDEX('CLM &amp; IM Mapping'!$B$2:$B$270,MATCH(TRIM(B494),'CLM &amp; IM Mapping'!$A$2:$A$270,0)),"Not Mapped"))</f>
        <v>Balaji G</v>
      </c>
      <c r="D494" s="31" t="str">
        <f aca="false" t="array" ref="D494:D494">IF(B494="","",IFERROR(INDEX('CLM &amp; IM Mapping'!$C$2:$C$270,MATCH(TRIM(B494),'CLM &amp; IM Mapping'!$A$2:$A$270,0)),"Not Mapped"))</f>
        <v>Mohammed Akbar</v>
      </c>
      <c r="E494" s="31" t="s">
        <v>34</v>
      </c>
      <c r="F494" s="31" t="s">
        <v>562</v>
      </c>
      <c r="G494" s="31" t="s">
        <v>23</v>
      </c>
      <c r="H494" s="17" t="n">
        <v>5005</v>
      </c>
      <c r="I494" s="32" t="n">
        <v>0.7</v>
      </c>
      <c r="J494" s="33" t="n">
        <v>0.99</v>
      </c>
      <c r="K494" s="34" t="n">
        <v>0.95</v>
      </c>
      <c r="L494" s="31" t="n">
        <v>0.99</v>
      </c>
      <c r="M494" s="31"/>
      <c r="N494" s="11" t="n">
        <v>3</v>
      </c>
      <c r="O494" s="12"/>
      <c r="P494" s="11"/>
      <c r="Q494" s="8"/>
      <c r="R494" s="8"/>
      <c r="S494" s="8"/>
      <c r="T494" s="8"/>
      <c r="U494" s="8"/>
      <c r="V494" s="8"/>
      <c r="W494" s="8"/>
      <c r="X494" s="8"/>
      <c r="Y494" s="8"/>
      <c r="Z494" s="8"/>
      <c r="AA494" s="8"/>
      <c r="AB494" s="8"/>
      <c r="AC494" s="8"/>
      <c r="AD494" s="8"/>
      <c r="AE494" s="8"/>
      <c r="AF494" s="8"/>
      <c r="AG494" s="8"/>
      <c r="AH494" s="8"/>
      <c r="AI494" s="8"/>
      <c r="AJ494" s="8"/>
      <c r="AK494" s="8"/>
      <c r="AL494" s="8"/>
      <c r="AM494" s="8"/>
    </row>
    <row r="495" customFormat="false" ht="15.75" hidden="false" customHeight="true" outlineLevel="0" collapsed="false">
      <c r="A495" s="30" t="n">
        <v>46304</v>
      </c>
      <c r="B495" s="31" t="s">
        <v>473</v>
      </c>
      <c r="C495" s="31" t="str">
        <f aca="false" t="array" ref="C495:C495">IF(B495="","",IFERROR(INDEX('CLM &amp; IM Mapping'!$B$2:$B$270,MATCH(TRIM(B495),'CLM &amp; IM Mapping'!$A$2:$A$270,0)),"Not Mapped"))</f>
        <v>Raghavendra Vernekar</v>
      </c>
      <c r="D495" s="31" t="str">
        <f aca="false" t="array" ref="D495:D495">IF(B495="","",IFERROR(INDEX('CLM &amp; IM Mapping'!$C$2:$C$270,MATCH(TRIM(B495),'CLM &amp; IM Mapping'!$A$2:$A$270,0)),"Not Mapped"))</f>
        <v>Prakash BS</v>
      </c>
      <c r="E495" s="31" t="s">
        <v>34</v>
      </c>
      <c r="F495" s="31" t="s">
        <v>565</v>
      </c>
      <c r="G495" s="31" t="s">
        <v>23</v>
      </c>
      <c r="H495" s="17" t="n">
        <v>4755</v>
      </c>
      <c r="I495" s="32" t="n">
        <v>0.7</v>
      </c>
      <c r="J495" s="33" t="n">
        <v>0.99</v>
      </c>
      <c r="K495" s="34" t="n">
        <v>0.94</v>
      </c>
      <c r="L495" s="31" t="n">
        <v>0.99</v>
      </c>
      <c r="M495" s="31" t="n">
        <v>0.94</v>
      </c>
      <c r="N495" s="11" t="n">
        <v>4</v>
      </c>
      <c r="O495" s="12" t="s">
        <v>649</v>
      </c>
      <c r="P495" s="11"/>
      <c r="Q495" s="8"/>
      <c r="R495" s="8"/>
      <c r="S495" s="8"/>
      <c r="T495" s="8"/>
      <c r="U495" s="8"/>
      <c r="V495" s="8"/>
      <c r="W495" s="8"/>
      <c r="X495" s="8"/>
      <c r="Y495" s="8"/>
      <c r="Z495" s="8"/>
      <c r="AA495" s="8"/>
      <c r="AB495" s="8"/>
      <c r="AC495" s="8"/>
      <c r="AD495" s="8"/>
      <c r="AE495" s="8"/>
      <c r="AF495" s="8"/>
      <c r="AG495" s="8"/>
      <c r="AH495" s="8"/>
      <c r="AI495" s="8"/>
      <c r="AJ495" s="8"/>
      <c r="AK495" s="8"/>
      <c r="AL495" s="8"/>
      <c r="AM495" s="8"/>
    </row>
    <row r="496" customFormat="false" ht="15.75" hidden="false" customHeight="true" outlineLevel="0" collapsed="false">
      <c r="A496" s="30" t="n">
        <v>46304</v>
      </c>
      <c r="B496" s="31" t="s">
        <v>507</v>
      </c>
      <c r="C496" s="31" t="str">
        <f aca="false" t="array" ref="C496:C496">IF(B496="","",IFERROR(INDEX('CLM &amp; IM Mapping'!$B$2:$B$270,MATCH(TRIM(B496),'CLM &amp; IM Mapping'!$A$2:$A$270,0)),"Not Mapped"))</f>
        <v>Raghavendra Vernekar</v>
      </c>
      <c r="D496" s="31" t="str">
        <f aca="false" t="array" ref="D496:D496">IF(B496="","",IFERROR(INDEX('CLM &amp; IM Mapping'!$C$2:$C$270,MATCH(TRIM(B496),'CLM &amp; IM Mapping'!$A$2:$A$270,0)),"Not Mapped"))</f>
        <v>Prakash BS</v>
      </c>
      <c r="E496" s="31" t="s">
        <v>34</v>
      </c>
      <c r="F496" s="31" t="s">
        <v>562</v>
      </c>
      <c r="G496" s="31" t="s">
        <v>23</v>
      </c>
      <c r="H496" s="17" t="n">
        <v>5768</v>
      </c>
      <c r="I496" s="32" t="n">
        <v>0.7</v>
      </c>
      <c r="J496" s="33" t="n">
        <v>0.99</v>
      </c>
      <c r="K496" s="34" t="n">
        <v>0.94</v>
      </c>
      <c r="L496" s="31" t="n">
        <v>0.99</v>
      </c>
      <c r="M496" s="31"/>
      <c r="N496" s="11" t="n">
        <v>6</v>
      </c>
      <c r="O496" s="12" t="s">
        <v>649</v>
      </c>
      <c r="P496" s="11"/>
      <c r="Q496" s="8"/>
      <c r="R496" s="8"/>
      <c r="S496" s="8"/>
      <c r="T496" s="8"/>
      <c r="U496" s="8"/>
      <c r="V496" s="8"/>
      <c r="W496" s="8"/>
      <c r="X496" s="8"/>
      <c r="Y496" s="8"/>
      <c r="Z496" s="8"/>
      <c r="AA496" s="8"/>
      <c r="AB496" s="8"/>
      <c r="AC496" s="8"/>
      <c r="AD496" s="8"/>
      <c r="AE496" s="8"/>
      <c r="AF496" s="8"/>
      <c r="AG496" s="8"/>
      <c r="AH496" s="8"/>
      <c r="AI496" s="8"/>
      <c r="AJ496" s="8"/>
      <c r="AK496" s="8"/>
      <c r="AL496" s="8"/>
      <c r="AM496" s="8"/>
    </row>
    <row r="497" customFormat="false" ht="15.75" hidden="false" customHeight="true" outlineLevel="0" collapsed="false">
      <c r="A497" s="30" t="n">
        <v>46304</v>
      </c>
      <c r="B497" s="31" t="s">
        <v>277</v>
      </c>
      <c r="C497" s="31" t="str">
        <f aca="false" t="array" ref="C497:C497">IF(B497="","",IFERROR(INDEX('CLM &amp; IM Mapping'!$B$2:$B$270,MATCH(TRIM(B497),'CLM &amp; IM Mapping'!$A$2:$A$270,0)),"Not Mapped"))</f>
        <v>Santhosha M</v>
      </c>
      <c r="D497" s="31" t="str">
        <f aca="false" t="array" ref="D497:D497">IF(B497="","",IFERROR(INDEX('CLM &amp; IM Mapping'!$C$2:$C$270,MATCH(TRIM(B497),'CLM &amp; IM Mapping'!$A$2:$A$270,0)),"Not Mapped"))</f>
        <v>Aravind S</v>
      </c>
      <c r="E497" s="31" t="s">
        <v>34</v>
      </c>
      <c r="F497" s="31" t="s">
        <v>565</v>
      </c>
      <c r="G497" s="31" t="s">
        <v>276</v>
      </c>
      <c r="H497" s="17" t="n">
        <v>5519</v>
      </c>
      <c r="I497" s="32" t="n">
        <v>0.7</v>
      </c>
      <c r="J497" s="33" t="n">
        <v>1</v>
      </c>
      <c r="K497" s="34" t="n">
        <v>0.85</v>
      </c>
      <c r="L497" s="31" t="n">
        <v>0.95</v>
      </c>
      <c r="M497" s="31" t="n">
        <v>0.85</v>
      </c>
      <c r="N497" s="11" t="n">
        <v>3</v>
      </c>
      <c r="O497" s="12"/>
      <c r="P497" s="11"/>
      <c r="Q497" s="8"/>
      <c r="R497" s="8"/>
      <c r="S497" s="8"/>
      <c r="T497" s="8"/>
      <c r="U497" s="8"/>
      <c r="V497" s="8"/>
      <c r="W497" s="8"/>
      <c r="X497" s="8"/>
      <c r="Y497" s="8"/>
      <c r="Z497" s="8"/>
      <c r="AA497" s="8"/>
      <c r="AB497" s="8"/>
      <c r="AC497" s="8"/>
      <c r="AD497" s="8"/>
      <c r="AE497" s="8"/>
      <c r="AF497" s="8"/>
      <c r="AG497" s="8"/>
      <c r="AH497" s="8"/>
      <c r="AI497" s="8"/>
      <c r="AJ497" s="8"/>
      <c r="AK497" s="8"/>
      <c r="AL497" s="8"/>
      <c r="AM497" s="8"/>
    </row>
    <row r="498" customFormat="false" ht="15.75" hidden="false" customHeight="true" outlineLevel="0" collapsed="false">
      <c r="A498" s="30" t="n">
        <v>46304</v>
      </c>
      <c r="B498" s="31" t="s">
        <v>450</v>
      </c>
      <c r="C498" s="31" t="str">
        <f aca="false" t="array" ref="C498:C498">IF(B498="","",IFERROR(INDEX('CLM &amp; IM Mapping'!$B$2:$B$270,MATCH(TRIM(B498),'CLM &amp; IM Mapping'!$A$2:$A$270,0)),"Not Mapped"))</f>
        <v>Santhosha M</v>
      </c>
      <c r="D498" s="31" t="str">
        <f aca="false" t="array" ref="D498:D498">IF(B498="","",IFERROR(INDEX('CLM &amp; IM Mapping'!$C$2:$C$270,MATCH(TRIM(B498),'CLM &amp; IM Mapping'!$A$2:$A$270,0)),"Not Mapped"))</f>
        <v>Aravind S</v>
      </c>
      <c r="E498" s="31" t="s">
        <v>34</v>
      </c>
      <c r="F498" s="31" t="s">
        <v>562</v>
      </c>
      <c r="G498" s="31" t="s">
        <v>276</v>
      </c>
      <c r="H498" s="17" t="n">
        <v>4633</v>
      </c>
      <c r="I498" s="32" t="n">
        <v>0.7</v>
      </c>
      <c r="J498" s="33" t="n">
        <v>1</v>
      </c>
      <c r="K498" s="34" t="n">
        <v>0.94</v>
      </c>
      <c r="L498" s="31" t="n">
        <v>0.99</v>
      </c>
      <c r="M498" s="31" t="n">
        <v>0.94</v>
      </c>
      <c r="N498" s="11" t="n">
        <v>2</v>
      </c>
      <c r="O498" s="12"/>
      <c r="P498" s="11"/>
      <c r="Q498" s="8"/>
      <c r="R498" s="8"/>
      <c r="S498" s="8"/>
      <c r="T498" s="8"/>
      <c r="U498" s="8"/>
      <c r="V498" s="8"/>
      <c r="W498" s="8"/>
      <c r="X498" s="8"/>
      <c r="Y498" s="8"/>
      <c r="Z498" s="8"/>
      <c r="AA498" s="8"/>
      <c r="AB498" s="8"/>
      <c r="AC498" s="8"/>
      <c r="AD498" s="8"/>
      <c r="AE498" s="8"/>
      <c r="AF498" s="8"/>
      <c r="AG498" s="8"/>
      <c r="AH498" s="8"/>
      <c r="AI498" s="8"/>
      <c r="AJ498" s="8"/>
      <c r="AK498" s="8"/>
      <c r="AL498" s="8"/>
      <c r="AM498" s="8"/>
    </row>
    <row r="499" customFormat="false" ht="15.75" hidden="false" customHeight="true" outlineLevel="0" collapsed="false">
      <c r="A499" s="30" t="n">
        <v>46304</v>
      </c>
      <c r="B499" s="31" t="s">
        <v>521</v>
      </c>
      <c r="C499" s="31" t="str">
        <f aca="false" t="array" ref="C499:C499">IF(B499="","",IFERROR(INDEX('CLM &amp; IM Mapping'!$B$2:$B$270,MATCH(TRIM(B499),'CLM &amp; IM Mapping'!$A$2:$A$270,0)),"Not Mapped"))</f>
        <v>Mohaideen DH</v>
      </c>
      <c r="D499" s="31" t="str">
        <f aca="false" t="array" ref="D499:D499">IF(B499="","",IFERROR(INDEX('CLM &amp; IM Mapping'!$C$2:$C$270,MATCH(TRIM(B499),'CLM &amp; IM Mapping'!$A$2:$A$270,0)),"Not Mapped"))</f>
        <v>Mohammed Akbar</v>
      </c>
      <c r="E499" s="31" t="s">
        <v>34</v>
      </c>
      <c r="F499" s="31" t="s">
        <v>562</v>
      </c>
      <c r="G499" s="31" t="s">
        <v>23</v>
      </c>
      <c r="H499" s="17" t="n">
        <v>4463</v>
      </c>
      <c r="I499" s="32" t="n">
        <v>0.7</v>
      </c>
      <c r="J499" s="33" t="n">
        <v>1</v>
      </c>
      <c r="K499" s="34" t="n">
        <v>0.93</v>
      </c>
      <c r="L499" s="31" t="n">
        <v>0.98</v>
      </c>
      <c r="M499" s="31" t="n">
        <v>0.93</v>
      </c>
      <c r="N499" s="11" t="n">
        <v>4</v>
      </c>
      <c r="O499" s="12"/>
      <c r="P499" s="11"/>
      <c r="Q499" s="8"/>
      <c r="R499" s="8"/>
      <c r="S499" s="8"/>
      <c r="T499" s="8"/>
      <c r="U499" s="8"/>
      <c r="V499" s="8"/>
      <c r="W499" s="8"/>
      <c r="X499" s="8"/>
      <c r="Y499" s="8"/>
      <c r="Z499" s="8"/>
      <c r="AA499" s="8"/>
      <c r="AB499" s="8"/>
      <c r="AC499" s="8"/>
      <c r="AD499" s="8"/>
      <c r="AE499" s="8"/>
      <c r="AF499" s="8"/>
      <c r="AG499" s="8"/>
      <c r="AH499" s="8"/>
      <c r="AI499" s="8"/>
      <c r="AJ499" s="8"/>
      <c r="AK499" s="8"/>
      <c r="AL499" s="8"/>
      <c r="AM499" s="8"/>
    </row>
    <row r="500" customFormat="false" ht="15.75" hidden="false" customHeight="true" outlineLevel="0" collapsed="false">
      <c r="A500" s="30" t="n">
        <v>46304</v>
      </c>
      <c r="B500" s="31" t="s">
        <v>515</v>
      </c>
      <c r="C500" s="31" t="str">
        <f aca="false" t="array" ref="C500:C500">IF(B500="","",IFERROR(INDEX('CLM &amp; IM Mapping'!$B$2:$B$270,MATCH(TRIM(B500),'CLM &amp; IM Mapping'!$A$2:$A$270,0)),"Not Mapped"))</f>
        <v>Balaji G</v>
      </c>
      <c r="D500" s="31" t="str">
        <f aca="false" t="array" ref="D500:D500">IF(B500="","",IFERROR(INDEX('CLM &amp; IM Mapping'!$C$2:$C$270,MATCH(TRIM(B500),'CLM &amp; IM Mapping'!$A$2:$A$270,0)),"Not Mapped"))</f>
        <v>Mohammed Akbar</v>
      </c>
      <c r="E500" s="31" t="s">
        <v>34</v>
      </c>
      <c r="F500" s="31" t="s">
        <v>562</v>
      </c>
      <c r="G500" s="31" t="s">
        <v>23</v>
      </c>
      <c r="H500" s="17" t="n">
        <v>5077</v>
      </c>
      <c r="I500" s="32" t="n">
        <v>0.7</v>
      </c>
      <c r="J500" s="33" t="n">
        <v>1</v>
      </c>
      <c r="K500" s="34" t="n">
        <v>0.94</v>
      </c>
      <c r="L500" s="31" t="n">
        <v>0.99</v>
      </c>
      <c r="M500" s="31" t="n">
        <v>0.94</v>
      </c>
      <c r="N500" s="11" t="n">
        <v>5</v>
      </c>
      <c r="O500" s="12"/>
      <c r="P500" s="11"/>
      <c r="Q500" s="8"/>
      <c r="R500" s="8"/>
      <c r="S500" s="8"/>
      <c r="T500" s="8"/>
      <c r="U500" s="8"/>
      <c r="V500" s="8"/>
      <c r="W500" s="8"/>
      <c r="X500" s="8"/>
      <c r="Y500" s="8"/>
      <c r="Z500" s="8"/>
      <c r="AA500" s="8"/>
      <c r="AB500" s="8"/>
      <c r="AC500" s="8"/>
      <c r="AD500" s="8"/>
      <c r="AE500" s="8"/>
      <c r="AF500" s="8"/>
      <c r="AG500" s="8"/>
      <c r="AH500" s="8"/>
      <c r="AI500" s="8"/>
      <c r="AJ500" s="8"/>
      <c r="AK500" s="8"/>
      <c r="AL500" s="8"/>
      <c r="AM500" s="8"/>
    </row>
    <row r="501" customFormat="false" ht="15.75" hidden="false" customHeight="true" outlineLevel="0" collapsed="false">
      <c r="A501" s="30" t="n">
        <v>46304</v>
      </c>
      <c r="B501" s="31" t="s">
        <v>425</v>
      </c>
      <c r="C501" s="31" t="str">
        <f aca="false" t="array" ref="C501:C501">IF(B501="","",IFERROR(INDEX('CLM &amp; IM Mapping'!$B$2:$B$270,MATCH(TRIM(B501),'CLM &amp; IM Mapping'!$A$2:$A$270,0)),"Not Mapped"))</f>
        <v>Santhosha M</v>
      </c>
      <c r="D501" s="31" t="str">
        <f aca="false" t="array" ref="D501:D501">IF(B501="","",IFERROR(INDEX('CLM &amp; IM Mapping'!$C$2:$C$270,MATCH(TRIM(B501),'CLM &amp; IM Mapping'!$A$2:$A$270,0)),"Not Mapped"))</f>
        <v>Aravind S</v>
      </c>
      <c r="E501" s="31" t="s">
        <v>34</v>
      </c>
      <c r="F501" s="31" t="s">
        <v>565</v>
      </c>
      <c r="G501" s="31" t="s">
        <v>276</v>
      </c>
      <c r="H501" s="17" t="n">
        <v>7259</v>
      </c>
      <c r="I501" s="32" t="n">
        <v>0.7</v>
      </c>
      <c r="J501" s="33" t="n">
        <v>1</v>
      </c>
      <c r="K501" s="34" t="n">
        <v>0.96</v>
      </c>
      <c r="L501" s="31" t="n">
        <v>0.98</v>
      </c>
      <c r="M501" s="31" t="n">
        <v>0.96</v>
      </c>
      <c r="N501" s="11" t="n">
        <v>2</v>
      </c>
      <c r="O501" s="12"/>
      <c r="P501" s="11"/>
      <c r="Q501" s="8"/>
      <c r="R501" s="8"/>
      <c r="S501" s="8"/>
      <c r="T501" s="8"/>
      <c r="U501" s="8"/>
      <c r="V501" s="8"/>
      <c r="W501" s="8"/>
      <c r="X501" s="8"/>
      <c r="Y501" s="8"/>
      <c r="Z501" s="8"/>
      <c r="AA501" s="8"/>
      <c r="AB501" s="8"/>
      <c r="AC501" s="8"/>
      <c r="AD501" s="8"/>
      <c r="AE501" s="8"/>
      <c r="AF501" s="8"/>
      <c r="AG501" s="8"/>
      <c r="AH501" s="8"/>
      <c r="AI501" s="8"/>
      <c r="AJ501" s="8"/>
      <c r="AK501" s="8"/>
      <c r="AL501" s="8"/>
      <c r="AM501" s="8"/>
    </row>
    <row r="502" customFormat="false" ht="15.75" hidden="false" customHeight="true" outlineLevel="0" collapsed="false">
      <c r="A502" s="30" t="n">
        <v>46304</v>
      </c>
      <c r="B502" s="31" t="s">
        <v>503</v>
      </c>
      <c r="C502" s="31" t="str">
        <f aca="false" t="array" ref="C502:C502">IF(B502="","",IFERROR(INDEX('CLM &amp; IM Mapping'!$B$2:$B$270,MATCH(TRIM(B502),'CLM &amp; IM Mapping'!$A$2:$A$270,0)),"Not Mapped"))</f>
        <v>Santhosha M</v>
      </c>
      <c r="D502" s="31" t="str">
        <f aca="false" t="array" ref="D502:D502">IF(B502="","",IFERROR(INDEX('CLM &amp; IM Mapping'!$C$2:$C$270,MATCH(TRIM(B502),'CLM &amp; IM Mapping'!$A$2:$A$270,0)),"Not Mapped"))</f>
        <v>Aravind S</v>
      </c>
      <c r="E502" s="31" t="s">
        <v>34</v>
      </c>
      <c r="F502" s="31" t="s">
        <v>562</v>
      </c>
      <c r="G502" s="31" t="s">
        <v>276</v>
      </c>
      <c r="H502" s="17" t="n">
        <v>4856</v>
      </c>
      <c r="I502" s="32" t="n">
        <v>0.7</v>
      </c>
      <c r="J502" s="33" t="n">
        <v>1</v>
      </c>
      <c r="K502" s="34" t="n">
        <v>0.95</v>
      </c>
      <c r="L502" s="31" t="n">
        <v>0.99</v>
      </c>
      <c r="M502" s="31" t="n">
        <v>0.95</v>
      </c>
      <c r="N502" s="11" t="n">
        <v>2</v>
      </c>
      <c r="O502" s="12"/>
      <c r="P502" s="11"/>
      <c r="Q502" s="8"/>
      <c r="R502" s="8"/>
      <c r="S502" s="8"/>
      <c r="T502" s="8"/>
      <c r="U502" s="8"/>
      <c r="V502" s="8"/>
      <c r="W502" s="8"/>
      <c r="X502" s="8"/>
      <c r="Y502" s="8"/>
      <c r="Z502" s="8"/>
      <c r="AA502" s="8"/>
      <c r="AB502" s="8"/>
      <c r="AC502" s="8"/>
      <c r="AD502" s="8"/>
      <c r="AE502" s="8"/>
      <c r="AF502" s="8"/>
      <c r="AG502" s="8"/>
      <c r="AH502" s="8"/>
      <c r="AI502" s="8"/>
      <c r="AJ502" s="8"/>
      <c r="AK502" s="8"/>
      <c r="AL502" s="8"/>
      <c r="AM502" s="8"/>
    </row>
    <row r="503" customFormat="false" ht="15.75" hidden="false" customHeight="true" outlineLevel="0" collapsed="false">
      <c r="A503" s="30" t="n">
        <v>46304</v>
      </c>
      <c r="B503" s="31" t="s">
        <v>421</v>
      </c>
      <c r="C503" s="31" t="str">
        <f aca="false" t="array" ref="C503:C503">IF(B503="","",IFERROR(INDEX('CLM &amp; IM Mapping'!$B$2:$B$270,MATCH(TRIM(B503),'CLM &amp; IM Mapping'!$A$2:$A$270,0)),"Not Mapped"))</f>
        <v>Santhosha M</v>
      </c>
      <c r="D503" s="31" t="str">
        <f aca="false" t="array" ref="D503:D503">IF(B503="","",IFERROR(INDEX('CLM &amp; IM Mapping'!$C$2:$C$270,MATCH(TRIM(B503),'CLM &amp; IM Mapping'!$A$2:$A$270,0)),"Not Mapped"))</f>
        <v>Aravind S</v>
      </c>
      <c r="E503" s="31" t="s">
        <v>34</v>
      </c>
      <c r="F503" s="31" t="s">
        <v>562</v>
      </c>
      <c r="G503" s="31" t="s">
        <v>276</v>
      </c>
      <c r="H503" s="17" t="n">
        <v>5344</v>
      </c>
      <c r="I503" s="32" t="n">
        <v>0.7</v>
      </c>
      <c r="J503" s="33" t="n">
        <v>1</v>
      </c>
      <c r="K503" s="34" t="n">
        <v>0.97</v>
      </c>
      <c r="L503" s="31" t="n">
        <v>0.99</v>
      </c>
      <c r="M503" s="31" t="n">
        <v>0.97</v>
      </c>
      <c r="N503" s="11" t="n">
        <v>2</v>
      </c>
      <c r="O503" s="12"/>
      <c r="P503" s="11"/>
      <c r="Q503" s="8"/>
      <c r="R503" s="8"/>
      <c r="S503" s="8"/>
      <c r="T503" s="8"/>
      <c r="U503" s="8"/>
      <c r="V503" s="8"/>
      <c r="W503" s="8"/>
      <c r="X503" s="8"/>
      <c r="Y503" s="8"/>
      <c r="Z503" s="8"/>
      <c r="AA503" s="8"/>
      <c r="AB503" s="8"/>
      <c r="AC503" s="8"/>
      <c r="AD503" s="8"/>
      <c r="AE503" s="8"/>
      <c r="AF503" s="8"/>
      <c r="AG503" s="8"/>
      <c r="AH503" s="8"/>
      <c r="AI503" s="8"/>
      <c r="AJ503" s="8"/>
      <c r="AK503" s="8"/>
      <c r="AL503" s="8"/>
      <c r="AM503" s="8"/>
    </row>
    <row r="504" customFormat="false" ht="15.75" hidden="false" customHeight="true" outlineLevel="0" collapsed="false">
      <c r="A504" s="30" t="n">
        <v>46304</v>
      </c>
      <c r="B504" s="31" t="s">
        <v>493</v>
      </c>
      <c r="C504" s="31" t="str">
        <f aca="false" t="array" ref="C504:C504">IF(B504="","",IFERROR(INDEX('CLM &amp; IM Mapping'!$B$2:$B$270,MATCH(TRIM(B504),'CLM &amp; IM Mapping'!$A$2:$A$270,0)),"Not Mapped"))</f>
        <v>Santhosha M</v>
      </c>
      <c r="D504" s="31" t="str">
        <f aca="false" t="array" ref="D504:D504">IF(B504="","",IFERROR(INDEX('CLM &amp; IM Mapping'!$C$2:$C$270,MATCH(TRIM(B504),'CLM &amp; IM Mapping'!$A$2:$A$270,0)),"Not Mapped"))</f>
        <v>Aravind S</v>
      </c>
      <c r="E504" s="31" t="s">
        <v>34</v>
      </c>
      <c r="F504" s="31" t="s">
        <v>565</v>
      </c>
      <c r="G504" s="31" t="s">
        <v>276</v>
      </c>
      <c r="H504" s="17" t="n">
        <v>6590</v>
      </c>
      <c r="I504" s="32" t="n">
        <v>0.7</v>
      </c>
      <c r="J504" s="33" t="n">
        <v>1</v>
      </c>
      <c r="K504" s="34" t="n">
        <v>0.89</v>
      </c>
      <c r="L504" s="31" t="n">
        <v>0.97</v>
      </c>
      <c r="M504" s="31" t="n">
        <v>0.89</v>
      </c>
      <c r="N504" s="11" t="n">
        <v>3</v>
      </c>
      <c r="O504" s="12"/>
      <c r="P504" s="11"/>
      <c r="Q504" s="8"/>
      <c r="R504" s="8"/>
      <c r="S504" s="8"/>
      <c r="T504" s="8"/>
      <c r="U504" s="8"/>
      <c r="V504" s="8"/>
      <c r="W504" s="8"/>
      <c r="X504" s="8"/>
      <c r="Y504" s="8"/>
      <c r="Z504" s="8"/>
      <c r="AA504" s="8"/>
      <c r="AB504" s="8"/>
      <c r="AC504" s="8"/>
      <c r="AD504" s="8"/>
      <c r="AE504" s="8"/>
      <c r="AF504" s="8"/>
      <c r="AG504" s="8"/>
      <c r="AH504" s="8"/>
      <c r="AI504" s="8"/>
      <c r="AJ504" s="8"/>
      <c r="AK504" s="8"/>
      <c r="AL504" s="8"/>
      <c r="AM504" s="8"/>
    </row>
    <row r="505" customFormat="false" ht="15.75" hidden="false" customHeight="true" outlineLevel="0" collapsed="false">
      <c r="A505" s="30" t="n">
        <v>46305</v>
      </c>
      <c r="B505" s="31" t="s">
        <v>373</v>
      </c>
      <c r="C505" s="31" t="str">
        <f aca="false" t="array" ref="C505:C505">IF(B505="","",IFERROR(INDEX('CLM &amp; IM Mapping'!$B$2:$B$270,MATCH(TRIM(B505),'CLM &amp; IM Mapping'!$A$2:$A$270,0)),"Not Mapped"))</f>
        <v>Majid Kakatikar</v>
      </c>
      <c r="D505" s="31" t="str">
        <f aca="false" t="array" ref="D505:D505">IF(B505="","",IFERROR(INDEX('CLM &amp; IM Mapping'!$C$2:$C$270,MATCH(TRIM(B505),'CLM &amp; IM Mapping'!$A$2:$A$270,0)),"Not Mapped"))</f>
        <v>Kishor K</v>
      </c>
      <c r="E505" s="31" t="s">
        <v>34</v>
      </c>
      <c r="F505" s="31" t="s">
        <v>565</v>
      </c>
      <c r="G505" s="31" t="s">
        <v>261</v>
      </c>
      <c r="H505" s="17" t="n">
        <v>6127</v>
      </c>
      <c r="I505" s="32" t="n">
        <v>0.7</v>
      </c>
      <c r="J505" s="33" t="n">
        <v>0.7976171046189</v>
      </c>
      <c r="K505" s="34" t="n">
        <v>0.994475138121547</v>
      </c>
      <c r="L505" s="31" t="n">
        <v>0.998408</v>
      </c>
      <c r="M505" s="31" t="n">
        <v>0.994475138121547</v>
      </c>
      <c r="N505" s="11" t="n">
        <v>3</v>
      </c>
      <c r="O505" s="12"/>
      <c r="P505" s="11"/>
      <c r="Q505" s="8"/>
      <c r="R505" s="8"/>
      <c r="S505" s="8"/>
      <c r="T505" s="8"/>
      <c r="U505" s="8"/>
      <c r="V505" s="8"/>
      <c r="W505" s="8"/>
      <c r="X505" s="8"/>
      <c r="Y505" s="8"/>
      <c r="Z505" s="8"/>
      <c r="AA505" s="8"/>
      <c r="AB505" s="8"/>
      <c r="AC505" s="8"/>
      <c r="AD505" s="8"/>
      <c r="AE505" s="8"/>
      <c r="AF505" s="8"/>
      <c r="AG505" s="8"/>
      <c r="AH505" s="8"/>
      <c r="AI505" s="8"/>
      <c r="AJ505" s="8"/>
      <c r="AK505" s="8"/>
      <c r="AL505" s="8"/>
      <c r="AM505" s="8"/>
    </row>
    <row r="506" customFormat="false" ht="15.75" hidden="false" customHeight="true" outlineLevel="0" collapsed="false">
      <c r="A506" s="30" t="n">
        <v>46305</v>
      </c>
      <c r="B506" s="31" t="s">
        <v>262</v>
      </c>
      <c r="C506" s="31" t="str">
        <f aca="false" t="array" ref="C506:C506">IF(B506="","",IFERROR(INDEX('CLM &amp; IM Mapping'!$B$2:$B$270,MATCH(TRIM(B506),'CLM &amp; IM Mapping'!$A$2:$A$270,0)),"Not Mapped"))</f>
        <v>Majid Kakatikar</v>
      </c>
      <c r="D506" s="31" t="str">
        <f aca="false" t="array" ref="D506:D506">IF(B506="","",IFERROR(INDEX('CLM &amp; IM Mapping'!$C$2:$C$270,MATCH(TRIM(B506),'CLM &amp; IM Mapping'!$A$2:$A$270,0)),"Not Mapped"))</f>
        <v>Kishor K</v>
      </c>
      <c r="E506" s="31" t="s">
        <v>34</v>
      </c>
      <c r="F506" s="31" t="s">
        <v>565</v>
      </c>
      <c r="G506" s="31" t="s">
        <v>261</v>
      </c>
      <c r="H506" s="17" t="n">
        <v>6826</v>
      </c>
      <c r="I506" s="32" t="n">
        <v>0.7</v>
      </c>
      <c r="J506" s="33" t="n">
        <v>0.529885731028421</v>
      </c>
      <c r="K506" s="34" t="n">
        <v>0.947470279236937</v>
      </c>
      <c r="L506" s="31" t="n">
        <v>0.975021</v>
      </c>
      <c r="M506" s="31" t="n">
        <v>0.947470279236937</v>
      </c>
      <c r="N506" s="11" t="n">
        <v>2</v>
      </c>
      <c r="O506" s="12"/>
      <c r="P506" s="11"/>
      <c r="Q506" s="8"/>
      <c r="R506" s="8"/>
      <c r="S506" s="8"/>
      <c r="T506" s="8"/>
      <c r="U506" s="8"/>
      <c r="V506" s="8"/>
      <c r="W506" s="8"/>
      <c r="X506" s="8"/>
      <c r="Y506" s="8"/>
      <c r="Z506" s="8"/>
      <c r="AA506" s="8"/>
      <c r="AB506" s="8"/>
      <c r="AC506" s="8"/>
      <c r="AD506" s="8"/>
      <c r="AE506" s="8"/>
      <c r="AF506" s="8"/>
      <c r="AG506" s="8"/>
      <c r="AH506" s="8"/>
      <c r="AI506" s="8"/>
      <c r="AJ506" s="8"/>
      <c r="AK506" s="8"/>
      <c r="AL506" s="8"/>
      <c r="AM506" s="8"/>
    </row>
    <row r="507" customFormat="false" ht="15.75" hidden="false" customHeight="true" outlineLevel="0" collapsed="false">
      <c r="A507" s="30" t="n">
        <v>46305</v>
      </c>
      <c r="B507" s="31" t="s">
        <v>153</v>
      </c>
      <c r="C507" s="31" t="str">
        <f aca="false" t="array" ref="C507:C507">IF(B507="","",IFERROR(INDEX('CLM &amp; IM Mapping'!$B$2:$B$270,MATCH(TRIM(B507),'CLM &amp; IM Mapping'!$A$2:$A$270,0)),"Not Mapped"))</f>
        <v>Ashwath S</v>
      </c>
      <c r="D507" s="31" t="str">
        <f aca="false" t="array" ref="D507:D507">IF(B507="","",IFERROR(INDEX('CLM &amp; IM Mapping'!$C$2:$C$270,MATCH(TRIM(B507),'CLM &amp; IM Mapping'!$A$2:$A$270,0)),"Not Mapped"))</f>
        <v>Kantha Kumar</v>
      </c>
      <c r="E507" s="31" t="s">
        <v>34</v>
      </c>
      <c r="F507" s="31" t="s">
        <v>562</v>
      </c>
      <c r="G507" s="31" t="s">
        <v>23</v>
      </c>
      <c r="H507" s="17" t="n">
        <v>5551</v>
      </c>
      <c r="I507" s="32" t="n">
        <v>0.7</v>
      </c>
      <c r="J507" s="33" t="n">
        <v>0.475409836065574</v>
      </c>
      <c r="K507" s="34" t="n">
        <v>0.824175824175824</v>
      </c>
      <c r="L507" s="31" t="n">
        <v>0.937842</v>
      </c>
      <c r="M507" s="31" t="n">
        <v>0.824175824175824</v>
      </c>
      <c r="N507" s="11" t="n">
        <v>4</v>
      </c>
      <c r="O507" s="12"/>
      <c r="P507" s="11"/>
      <c r="Q507" s="8"/>
      <c r="R507" s="8"/>
      <c r="S507" s="8"/>
      <c r="T507" s="8"/>
      <c r="U507" s="8"/>
      <c r="V507" s="8"/>
      <c r="W507" s="8"/>
      <c r="X507" s="8"/>
      <c r="Y507" s="8"/>
      <c r="Z507" s="8"/>
      <c r="AA507" s="8"/>
      <c r="AB507" s="8"/>
      <c r="AC507" s="8"/>
      <c r="AD507" s="8"/>
      <c r="AE507" s="8"/>
      <c r="AF507" s="8"/>
      <c r="AG507" s="8"/>
      <c r="AH507" s="8"/>
      <c r="AI507" s="8"/>
      <c r="AJ507" s="8"/>
      <c r="AK507" s="8"/>
      <c r="AL507" s="8"/>
      <c r="AM507" s="8"/>
    </row>
    <row r="508" customFormat="false" ht="15.75" hidden="false" customHeight="true" outlineLevel="0" collapsed="false">
      <c r="A508" s="30" t="n">
        <v>46305</v>
      </c>
      <c r="B508" s="31" t="s">
        <v>441</v>
      </c>
      <c r="C508" s="31" t="str">
        <f aca="false" t="array" ref="C508:C508">IF(B508="","",IFERROR(INDEX('CLM &amp; IM Mapping'!$B$2:$B$270,MATCH(TRIM(B508),'CLM &amp; IM Mapping'!$A$2:$A$270,0)),"Not Mapped"))</f>
        <v>Vijay M</v>
      </c>
      <c r="D508" s="31" t="str">
        <f aca="false" t="array" ref="D508:D508">IF(B508="","",IFERROR(INDEX('CLM &amp; IM Mapping'!$C$2:$C$270,MATCH(TRIM(B508),'CLM &amp; IM Mapping'!$A$2:$A$270,0)),"Not Mapped"))</f>
        <v>Kantha Kumar</v>
      </c>
      <c r="E508" s="31" t="s">
        <v>34</v>
      </c>
      <c r="F508" s="31" t="s">
        <v>562</v>
      </c>
      <c r="G508" s="31" t="s">
        <v>23</v>
      </c>
      <c r="H508" s="17" t="n">
        <v>4480</v>
      </c>
      <c r="I508" s="32" t="n">
        <v>0.7</v>
      </c>
      <c r="J508" s="33" t="n">
        <v>0.479464285714286</v>
      </c>
      <c r="K508" s="34" t="n">
        <v>0.814711359404097</v>
      </c>
      <c r="L508" s="31" t="n">
        <v>0.942704</v>
      </c>
      <c r="M508" s="31" t="n">
        <v>0.814711359404097</v>
      </c>
      <c r="N508" s="11" t="n">
        <v>4</v>
      </c>
      <c r="O508" s="12"/>
      <c r="P508" s="11"/>
      <c r="Q508" s="8"/>
      <c r="R508" s="8"/>
      <c r="S508" s="8"/>
      <c r="T508" s="8"/>
      <c r="U508" s="8"/>
      <c r="V508" s="8"/>
      <c r="W508" s="8"/>
      <c r="X508" s="8"/>
      <c r="Y508" s="8"/>
      <c r="Z508" s="8"/>
      <c r="AA508" s="8"/>
      <c r="AB508" s="8"/>
      <c r="AC508" s="8"/>
      <c r="AD508" s="8"/>
      <c r="AE508" s="8"/>
      <c r="AF508" s="8"/>
      <c r="AG508" s="8"/>
      <c r="AH508" s="8"/>
      <c r="AI508" s="8"/>
      <c r="AJ508" s="8"/>
      <c r="AK508" s="8"/>
      <c r="AL508" s="8"/>
      <c r="AM508" s="8"/>
    </row>
    <row r="509" customFormat="false" ht="15.75" hidden="false" customHeight="true" outlineLevel="0" collapsed="false">
      <c r="A509" s="30" t="n">
        <v>46305</v>
      </c>
      <c r="B509" s="31" t="s">
        <v>290</v>
      </c>
      <c r="C509" s="31" t="str">
        <f aca="false" t="array" ref="C509:C509">IF(B509="","",IFERROR(INDEX('CLM &amp; IM Mapping'!$B$2:$B$270,MATCH(TRIM(B509),'CLM &amp; IM Mapping'!$A$2:$A$270,0)),"Not Mapped"))</f>
        <v>Akshay P</v>
      </c>
      <c r="D509" s="31" t="str">
        <f aca="false" t="array" ref="D509:D509">IF(B509="","",IFERROR(INDEX('CLM &amp; IM Mapping'!$C$2:$C$270,MATCH(TRIM(B509),'CLM &amp; IM Mapping'!$A$2:$A$270,0)),"Not Mapped"))</f>
        <v>Srittam Dhal</v>
      </c>
      <c r="E509" s="31" t="s">
        <v>34</v>
      </c>
      <c r="F509" s="31" t="s">
        <v>562</v>
      </c>
      <c r="G509" s="31" t="s">
        <v>23</v>
      </c>
      <c r="H509" s="17" t="n">
        <v>4636</v>
      </c>
      <c r="I509" s="32" t="n">
        <v>0.7</v>
      </c>
      <c r="J509" s="33" t="n">
        <v>0.960310612597066</v>
      </c>
      <c r="K509" s="34" t="n">
        <v>0.781221922731357</v>
      </c>
      <c r="L509" s="31" t="n">
        <v>0.999784</v>
      </c>
      <c r="M509" s="31" t="n">
        <v>0.781221922731357</v>
      </c>
      <c r="N509" s="11" t="n">
        <v>3</v>
      </c>
      <c r="O509" s="12"/>
      <c r="P509" s="11"/>
      <c r="Q509" s="8"/>
      <c r="R509" s="8"/>
      <c r="S509" s="8"/>
      <c r="T509" s="8"/>
      <c r="U509" s="8"/>
      <c r="V509" s="8"/>
      <c r="W509" s="8"/>
      <c r="X509" s="8"/>
      <c r="Y509" s="8"/>
      <c r="Z509" s="8"/>
      <c r="AA509" s="8"/>
      <c r="AB509" s="8"/>
      <c r="AC509" s="8"/>
      <c r="AD509" s="8"/>
      <c r="AE509" s="8"/>
      <c r="AF509" s="8"/>
      <c r="AG509" s="8"/>
      <c r="AH509" s="8"/>
      <c r="AI509" s="8"/>
      <c r="AJ509" s="8"/>
      <c r="AK509" s="8"/>
      <c r="AL509" s="8"/>
      <c r="AM509" s="8"/>
    </row>
    <row r="510" customFormat="false" ht="15.75" hidden="false" customHeight="true" outlineLevel="0" collapsed="false">
      <c r="A510" s="30" t="n">
        <v>46305</v>
      </c>
      <c r="B510" s="31" t="s">
        <v>229</v>
      </c>
      <c r="C510" s="31" t="str">
        <f aca="false" t="array" ref="C510:C510">IF(B510="","",IFERROR(INDEX('CLM &amp; IM Mapping'!$B$2:$B$270,MATCH(TRIM(B510),'CLM &amp; IM Mapping'!$A$2:$A$270,0)),"Not Mapped"))</f>
        <v>Arun Raj</v>
      </c>
      <c r="D510" s="31" t="str">
        <f aca="false" t="array" ref="D510:D510">IF(B510="","",IFERROR(INDEX('CLM &amp; IM Mapping'!$C$2:$C$270,MATCH(TRIM(B510),'CLM &amp; IM Mapping'!$A$2:$A$270,0)),"Not Mapped"))</f>
        <v>Simon Manoharan</v>
      </c>
      <c r="E510" s="31" t="s">
        <v>25</v>
      </c>
      <c r="F510" s="31" t="s">
        <v>565</v>
      </c>
      <c r="G510" s="31" t="s">
        <v>23</v>
      </c>
      <c r="H510" s="17" t="n">
        <v>13736</v>
      </c>
      <c r="I510" s="32" t="n">
        <v>0.7</v>
      </c>
      <c r="J510" s="33" t="n">
        <v>0.355998835177635</v>
      </c>
      <c r="K510" s="34" t="n">
        <v>0.9640081799591</v>
      </c>
      <c r="L510" s="31" t="n">
        <v>0.987917</v>
      </c>
      <c r="M510" s="31" t="n">
        <v>0.9640081799591</v>
      </c>
      <c r="N510" s="11" t="n">
        <v>1</v>
      </c>
      <c r="O510" s="12"/>
      <c r="P510" s="11"/>
      <c r="Q510" s="8"/>
      <c r="R510" s="8"/>
      <c r="S510" s="8"/>
      <c r="T510" s="8"/>
      <c r="U510" s="8"/>
      <c r="V510" s="8"/>
      <c r="W510" s="8"/>
      <c r="X510" s="8"/>
      <c r="Y510" s="8"/>
      <c r="Z510" s="8"/>
      <c r="AA510" s="8"/>
      <c r="AB510" s="8"/>
      <c r="AC510" s="8"/>
      <c r="AD510" s="8"/>
      <c r="AE510" s="8"/>
      <c r="AF510" s="8"/>
      <c r="AG510" s="8"/>
      <c r="AH510" s="8"/>
      <c r="AI510" s="8"/>
      <c r="AJ510" s="8"/>
      <c r="AK510" s="8"/>
      <c r="AL510" s="8"/>
      <c r="AM510" s="8"/>
    </row>
    <row r="511" customFormat="false" ht="15.75" hidden="false" customHeight="true" outlineLevel="0" collapsed="false">
      <c r="A511" s="30" t="n">
        <v>46305</v>
      </c>
      <c r="B511" s="31" t="s">
        <v>455</v>
      </c>
      <c r="C511" s="31" t="str">
        <f aca="false" t="array" ref="C511:C511">IF(B511="","",IFERROR(INDEX('CLM &amp; IM Mapping'!$B$2:$B$270,MATCH(TRIM(B511),'CLM &amp; IM Mapping'!$A$2:$A$270,0)),"Not Mapped"))</f>
        <v>Rizwan Ahmed</v>
      </c>
      <c r="D511" s="31" t="str">
        <f aca="false" t="array" ref="D511:D511">IF(B511="","",IFERROR(INDEX('CLM &amp; IM Mapping'!$C$2:$C$270,MATCH(TRIM(B511),'CLM &amp; IM Mapping'!$A$2:$A$270,0)),"Not Mapped"))</f>
        <v>Un Mapped</v>
      </c>
      <c r="E511" s="31" t="s">
        <v>34</v>
      </c>
      <c r="F511" s="31" t="s">
        <v>562</v>
      </c>
      <c r="G511" s="31" t="s">
        <v>23</v>
      </c>
      <c r="H511" s="17" t="n">
        <v>6360</v>
      </c>
      <c r="I511" s="32" t="n">
        <v>0.7</v>
      </c>
      <c r="J511" s="33" t="n">
        <v>0.666194968553459</v>
      </c>
      <c r="K511" s="34" t="n">
        <v>0.885532216190701</v>
      </c>
      <c r="L511" s="31" t="n">
        <v>0.949548</v>
      </c>
      <c r="M511" s="31" t="n">
        <v>0.885532216190701</v>
      </c>
      <c r="N511" s="11" t="n">
        <v>3</v>
      </c>
      <c r="O511" s="12"/>
      <c r="P511" s="11"/>
      <c r="Q511" s="8"/>
      <c r="R511" s="8"/>
      <c r="S511" s="8"/>
      <c r="T511" s="8"/>
      <c r="U511" s="8"/>
      <c r="V511" s="8"/>
      <c r="W511" s="8"/>
      <c r="X511" s="8"/>
      <c r="Y511" s="8"/>
      <c r="Z511" s="8"/>
      <c r="AA511" s="8"/>
      <c r="AB511" s="8"/>
      <c r="AC511" s="8"/>
      <c r="AD511" s="8"/>
      <c r="AE511" s="8"/>
      <c r="AF511" s="8"/>
      <c r="AG511" s="8"/>
      <c r="AH511" s="8"/>
      <c r="AI511" s="8"/>
      <c r="AJ511" s="8"/>
      <c r="AK511" s="8"/>
      <c r="AL511" s="8"/>
      <c r="AM511" s="8"/>
    </row>
    <row r="512" customFormat="false" ht="15.75" hidden="false" customHeight="true" outlineLevel="0" collapsed="false">
      <c r="A512" s="30" t="n">
        <v>46305</v>
      </c>
      <c r="B512" s="31" t="s">
        <v>29</v>
      </c>
      <c r="C512" s="31" t="str">
        <f aca="false" t="array" ref="C512:C512">IF(B512="","",IFERROR(INDEX('CLM &amp; IM Mapping'!$B$2:$B$270,MATCH(TRIM(B512),'CLM &amp; IM Mapping'!$A$2:$A$270,0)),"Not Mapped"))</f>
        <v>Arun Raj</v>
      </c>
      <c r="D512" s="31" t="str">
        <f aca="false" t="array" ref="D512:D512">IF(B512="","",IFERROR(INDEX('CLM &amp; IM Mapping'!$C$2:$C$270,MATCH(TRIM(B512),'CLM &amp; IM Mapping'!$A$2:$A$270,0)),"Not Mapped"))</f>
        <v>Simon Manoharan</v>
      </c>
      <c r="E512" s="31" t="s">
        <v>25</v>
      </c>
      <c r="F512" s="31" t="s">
        <v>565</v>
      </c>
      <c r="G512" s="31" t="s">
        <v>23</v>
      </c>
      <c r="H512" s="17" t="n">
        <v>12938</v>
      </c>
      <c r="I512" s="32" t="n">
        <v>0.7</v>
      </c>
      <c r="J512" s="33" t="n">
        <v>0.224068635028598</v>
      </c>
      <c r="K512" s="34" t="n">
        <v>0.757847533632287</v>
      </c>
      <c r="L512" s="31" t="n">
        <v>0.913732</v>
      </c>
      <c r="M512" s="31" t="n">
        <v>0.584965838565022</v>
      </c>
      <c r="N512" s="11" t="n">
        <v>4</v>
      </c>
      <c r="O512" s="12"/>
      <c r="P512" s="11"/>
      <c r="Q512" s="8"/>
      <c r="R512" s="8"/>
      <c r="S512" s="8"/>
      <c r="T512" s="8"/>
      <c r="U512" s="8"/>
      <c r="V512" s="8"/>
      <c r="W512" s="8"/>
      <c r="X512" s="8"/>
      <c r="Y512" s="8"/>
      <c r="Z512" s="8"/>
      <c r="AA512" s="8"/>
      <c r="AB512" s="8"/>
      <c r="AC512" s="8"/>
      <c r="AD512" s="8"/>
      <c r="AE512" s="8"/>
      <c r="AF512" s="8"/>
      <c r="AG512" s="8"/>
      <c r="AH512" s="8"/>
      <c r="AI512" s="8"/>
      <c r="AJ512" s="8"/>
      <c r="AK512" s="8"/>
      <c r="AL512" s="8"/>
      <c r="AM512" s="8"/>
    </row>
    <row r="513" customFormat="false" ht="15.75" hidden="false" customHeight="true" outlineLevel="0" collapsed="false">
      <c r="A513" s="30" t="n">
        <v>46305</v>
      </c>
      <c r="B513" s="31" t="s">
        <v>396</v>
      </c>
      <c r="C513" s="31" t="str">
        <f aca="false" t="array" ref="C513:C513">IF(B513="","",IFERROR(INDEX('CLM &amp; IM Mapping'!$B$2:$B$270,MATCH(TRIM(B513),'CLM &amp; IM Mapping'!$A$2:$A$270,0)),"Not Mapped"))</f>
        <v>Ravishankar gowda</v>
      </c>
      <c r="D513" s="31" t="str">
        <f aca="false" t="array" ref="D513:D513">IF(B513="","",IFERROR(INDEX('CLM &amp; IM Mapping'!$C$2:$C$270,MATCH(TRIM(B513),'CLM &amp; IM Mapping'!$A$2:$A$270,0)),"Not Mapped"))</f>
        <v>Kishor K</v>
      </c>
      <c r="E513" s="31" t="s">
        <v>34</v>
      </c>
      <c r="F513" s="31" t="s">
        <v>562</v>
      </c>
      <c r="G513" s="31" t="s">
        <v>23</v>
      </c>
      <c r="H513" s="17" t="n">
        <v>5893</v>
      </c>
      <c r="I513" s="32" t="n">
        <v>0.7</v>
      </c>
      <c r="J513" s="33" t="n">
        <v>0.837264551162396</v>
      </c>
      <c r="K513" s="34" t="n">
        <v>0.882853668423186</v>
      </c>
      <c r="L513" s="31" t="n">
        <v>0.96913</v>
      </c>
      <c r="M513" s="31" t="n">
        <v>0.882853668423186</v>
      </c>
      <c r="N513" s="11" t="n">
        <v>6</v>
      </c>
      <c r="O513" s="12"/>
      <c r="P513" s="11"/>
      <c r="Q513" s="8"/>
      <c r="R513" s="8"/>
      <c r="S513" s="8"/>
      <c r="T513" s="8"/>
      <c r="U513" s="8"/>
      <c r="V513" s="8"/>
      <c r="W513" s="8"/>
      <c r="X513" s="8"/>
      <c r="Y513" s="8"/>
      <c r="Z513" s="8"/>
      <c r="AA513" s="8"/>
      <c r="AB513" s="8"/>
      <c r="AC513" s="8"/>
      <c r="AD513" s="8"/>
      <c r="AE513" s="8"/>
      <c r="AF513" s="8"/>
      <c r="AG513" s="8"/>
      <c r="AH513" s="8"/>
      <c r="AI513" s="8"/>
      <c r="AJ513" s="8"/>
      <c r="AK513" s="8"/>
      <c r="AL513" s="8"/>
      <c r="AM513" s="8"/>
    </row>
    <row r="514" customFormat="false" ht="15.75" hidden="false" customHeight="true" outlineLevel="0" collapsed="false">
      <c r="A514" s="30" t="n">
        <v>46305</v>
      </c>
      <c r="B514" s="31" t="s">
        <v>530</v>
      </c>
      <c r="C514" s="31" t="str">
        <f aca="false" t="array" ref="C514:C514">IF(B514="","",IFERROR(INDEX('CLM &amp; IM Mapping'!$B$2:$B$270,MATCH(TRIM(B514),'CLM &amp; IM Mapping'!$A$2:$A$270,0)),"Not Mapped"))</f>
        <v>Balaji G</v>
      </c>
      <c r="D514" s="31" t="str">
        <f aca="false" t="array" ref="D514:D514">IF(B514="","",IFERROR(INDEX('CLM &amp; IM Mapping'!$C$2:$C$270,MATCH(TRIM(B514),'CLM &amp; IM Mapping'!$A$2:$A$270,0)),"Not Mapped"))</f>
        <v>Mohammed Akbar</v>
      </c>
      <c r="E514" s="31" t="s">
        <v>34</v>
      </c>
      <c r="F514" s="31" t="s">
        <v>562</v>
      </c>
      <c r="G514" s="31" t="s">
        <v>23</v>
      </c>
      <c r="H514" s="17" t="n">
        <v>7445</v>
      </c>
      <c r="I514" s="32" t="n">
        <v>0.7</v>
      </c>
      <c r="J514" s="33" t="n">
        <v>0.954466084620551</v>
      </c>
      <c r="K514" s="34" t="n">
        <v>0.936532507739938</v>
      </c>
      <c r="L514" s="31" t="n">
        <v>0.970763</v>
      </c>
      <c r="M514" s="31"/>
      <c r="N514" s="11" t="n">
        <v>1</v>
      </c>
      <c r="O514" s="12"/>
      <c r="P514" s="11"/>
      <c r="Q514" s="8"/>
      <c r="R514" s="8"/>
      <c r="S514" s="8"/>
      <c r="T514" s="8"/>
      <c r="U514" s="8"/>
      <c r="V514" s="8"/>
      <c r="W514" s="8"/>
      <c r="X514" s="8"/>
      <c r="Y514" s="8"/>
      <c r="Z514" s="8"/>
      <c r="AA514" s="8"/>
      <c r="AB514" s="8"/>
      <c r="AC514" s="8"/>
      <c r="AD514" s="8"/>
      <c r="AE514" s="8"/>
      <c r="AF514" s="8"/>
      <c r="AG514" s="8"/>
      <c r="AH514" s="8"/>
      <c r="AI514" s="8"/>
      <c r="AJ514" s="8"/>
      <c r="AK514" s="8"/>
      <c r="AL514" s="8"/>
      <c r="AM514" s="8"/>
    </row>
    <row r="515" customFormat="false" ht="15.75" hidden="false" customHeight="true" outlineLevel="0" collapsed="false">
      <c r="A515" s="30" t="n">
        <v>46305</v>
      </c>
      <c r="B515" s="31" t="s">
        <v>496</v>
      </c>
      <c r="C515" s="31" t="str">
        <f aca="false" t="array" ref="C515:C515">IF(B515="","",IFERROR(INDEX('CLM &amp; IM Mapping'!$B$2:$B$270,MATCH(TRIM(B515),'CLM &amp; IM Mapping'!$A$2:$A$270,0)),"Not Mapped"))</f>
        <v>Keshav G</v>
      </c>
      <c r="D515" s="31" t="str">
        <f aca="false" t="array" ref="D515:D515">IF(B515="","",IFERROR(INDEX('CLM &amp; IM Mapping'!$C$2:$C$270,MATCH(TRIM(B515),'CLM &amp; IM Mapping'!$A$2:$A$270,0)),"Not Mapped"))</f>
        <v>Un Mapped</v>
      </c>
      <c r="E515" s="31" t="s">
        <v>34</v>
      </c>
      <c r="F515" s="31" t="s">
        <v>565</v>
      </c>
      <c r="G515" s="31" t="s">
        <v>23</v>
      </c>
      <c r="H515" s="17" t="n">
        <v>5152</v>
      </c>
      <c r="I515" s="32" t="n">
        <v>0.7</v>
      </c>
      <c r="J515" s="33" t="n">
        <v>0.643245341614907</v>
      </c>
      <c r="K515" s="34" t="n">
        <v>0.930295715147858</v>
      </c>
      <c r="L515" s="31" t="n">
        <v>0.984527</v>
      </c>
      <c r="M515" s="31" t="n">
        <v>0.930295715147858</v>
      </c>
      <c r="N515" s="11" t="n">
        <v>3</v>
      </c>
      <c r="O515" s="12"/>
      <c r="P515" s="11"/>
      <c r="Q515" s="8"/>
      <c r="R515" s="8"/>
      <c r="S515" s="8"/>
      <c r="T515" s="8"/>
      <c r="U515" s="8"/>
      <c r="V515" s="8"/>
      <c r="W515" s="8"/>
      <c r="X515" s="8"/>
      <c r="Y515" s="8"/>
      <c r="Z515" s="8"/>
      <c r="AA515" s="8"/>
      <c r="AB515" s="8"/>
      <c r="AC515" s="8"/>
      <c r="AD515" s="8"/>
      <c r="AE515" s="8"/>
      <c r="AF515" s="8"/>
      <c r="AG515" s="8"/>
      <c r="AH515" s="8"/>
      <c r="AI515" s="8"/>
      <c r="AJ515" s="8"/>
      <c r="AK515" s="8"/>
      <c r="AL515" s="8"/>
      <c r="AM515" s="8"/>
    </row>
    <row r="516" customFormat="false" ht="15.75" hidden="false" customHeight="true" outlineLevel="0" collapsed="false">
      <c r="A516" s="30" t="n">
        <v>46305</v>
      </c>
      <c r="B516" s="31" t="s">
        <v>449</v>
      </c>
      <c r="C516" s="31" t="str">
        <f aca="false" t="array" ref="C516:C516">IF(B516="","",IFERROR(INDEX('CLM &amp; IM Mapping'!$B$2:$B$270,MATCH(TRIM(B516),'CLM &amp; IM Mapping'!$A$2:$A$270,0)),"Not Mapped"))</f>
        <v>Manjunatha V</v>
      </c>
      <c r="D516" s="31" t="str">
        <f aca="false" t="array" ref="D516:D516">IF(B516="","",IFERROR(INDEX('CLM &amp; IM Mapping'!$C$2:$C$270,MATCH(TRIM(B516),'CLM &amp; IM Mapping'!$A$2:$A$270,0)),"Not Mapped"))</f>
        <v>Un Mapped</v>
      </c>
      <c r="E516" s="31" t="s">
        <v>34</v>
      </c>
      <c r="F516" s="31" t="s">
        <v>562</v>
      </c>
      <c r="G516" s="31" t="s">
        <v>23</v>
      </c>
      <c r="H516" s="17" t="n">
        <v>6969</v>
      </c>
      <c r="I516" s="32" t="n">
        <v>0.7</v>
      </c>
      <c r="J516" s="33" t="n">
        <v>0.897976754197159</v>
      </c>
      <c r="K516" s="34" t="n">
        <v>0.933525087887504</v>
      </c>
      <c r="L516" s="31" t="n">
        <v>0.980545</v>
      </c>
      <c r="M516" s="31" t="n">
        <v>0.933525087887504</v>
      </c>
      <c r="N516" s="11" t="n">
        <v>5</v>
      </c>
      <c r="O516" s="12"/>
      <c r="P516" s="11"/>
      <c r="Q516" s="8"/>
      <c r="R516" s="8"/>
      <c r="S516" s="8"/>
      <c r="T516" s="8"/>
      <c r="U516" s="8"/>
      <c r="V516" s="8"/>
      <c r="W516" s="8"/>
      <c r="X516" s="8"/>
      <c r="Y516" s="8"/>
      <c r="Z516" s="8"/>
      <c r="AA516" s="8"/>
      <c r="AB516" s="8"/>
      <c r="AC516" s="8"/>
      <c r="AD516" s="8"/>
      <c r="AE516" s="8"/>
      <c r="AF516" s="8"/>
      <c r="AG516" s="8"/>
      <c r="AH516" s="8"/>
      <c r="AI516" s="8"/>
      <c r="AJ516" s="8"/>
      <c r="AK516" s="8"/>
      <c r="AL516" s="8"/>
      <c r="AM516" s="8"/>
    </row>
    <row r="517" customFormat="false" ht="15.75" hidden="false" customHeight="true" outlineLevel="0" collapsed="false">
      <c r="A517" s="30" t="n">
        <v>46305</v>
      </c>
      <c r="B517" s="31" t="s">
        <v>132</v>
      </c>
      <c r="C517" s="31" t="str">
        <f aca="false" t="array" ref="C517:C517">IF(B517="","",IFERROR(INDEX('CLM &amp; IM Mapping'!$B$2:$B$270,MATCH(TRIM(B517),'CLM &amp; IM Mapping'!$A$2:$A$270,0)),"Not Mapped"))</f>
        <v>Saddam Hussain</v>
      </c>
      <c r="D517" s="31" t="str">
        <f aca="false" t="array" ref="D517:D517">IF(B517="","",IFERROR(INDEX('CLM &amp; IM Mapping'!$C$2:$C$270,MATCH(TRIM(B517),'CLM &amp; IM Mapping'!$A$2:$A$270,0)),"Not Mapped"))</f>
        <v>Un Mapped</v>
      </c>
      <c r="E517" s="31" t="s">
        <v>34</v>
      </c>
      <c r="F517" s="31" t="s">
        <v>565</v>
      </c>
      <c r="G517" s="31" t="s">
        <v>23</v>
      </c>
      <c r="H517" s="17" t="n">
        <v>5314</v>
      </c>
      <c r="I517" s="32" t="n">
        <v>0.7</v>
      </c>
      <c r="J517" s="33" t="n">
        <v>0.359051561911931</v>
      </c>
      <c r="K517" s="34" t="n">
        <v>0.75104821802935</v>
      </c>
      <c r="L517" s="31" t="n">
        <v>0.965664</v>
      </c>
      <c r="M517" s="31" t="n">
        <v>0.75104821802935</v>
      </c>
      <c r="N517" s="11" t="n">
        <v>3</v>
      </c>
      <c r="O517" s="12"/>
      <c r="P517" s="11"/>
      <c r="Q517" s="8"/>
      <c r="R517" s="8"/>
      <c r="S517" s="8"/>
      <c r="T517" s="8"/>
      <c r="U517" s="8"/>
      <c r="V517" s="8"/>
      <c r="W517" s="8"/>
      <c r="X517" s="8"/>
      <c r="Y517" s="8"/>
      <c r="Z517" s="8"/>
      <c r="AA517" s="8"/>
      <c r="AB517" s="8"/>
      <c r="AC517" s="8"/>
      <c r="AD517" s="8"/>
      <c r="AE517" s="8"/>
      <c r="AF517" s="8"/>
      <c r="AG517" s="8"/>
      <c r="AH517" s="8"/>
      <c r="AI517" s="8"/>
      <c r="AJ517" s="8"/>
      <c r="AK517" s="8"/>
      <c r="AL517" s="8"/>
      <c r="AM517" s="8"/>
    </row>
    <row r="518" customFormat="false" ht="15.75" hidden="false" customHeight="true" outlineLevel="0" collapsed="false">
      <c r="A518" s="30" t="n">
        <v>46305</v>
      </c>
      <c r="B518" s="31" t="s">
        <v>168</v>
      </c>
      <c r="C518" s="31" t="str">
        <f aca="false" t="array" ref="C518:C518">IF(B518="","",IFERROR(INDEX('CLM &amp; IM Mapping'!$B$2:$B$270,MATCH(TRIM(B518),'CLM &amp; IM Mapping'!$A$2:$A$270,0)),"Not Mapped"))</f>
        <v>Vijay M</v>
      </c>
      <c r="D518" s="31" t="str">
        <f aca="false" t="array" ref="D518:D518">IF(B518="","",IFERROR(INDEX('CLM &amp; IM Mapping'!$C$2:$C$270,MATCH(TRIM(B518),'CLM &amp; IM Mapping'!$A$2:$A$270,0)),"Not Mapped"))</f>
        <v>Kantha Kumar</v>
      </c>
      <c r="E518" s="31" t="s">
        <v>34</v>
      </c>
      <c r="F518" s="31" t="s">
        <v>565</v>
      </c>
      <c r="G518" s="31" t="s">
        <v>23</v>
      </c>
      <c r="H518" s="17" t="n">
        <v>6121</v>
      </c>
      <c r="I518" s="32" t="n">
        <v>0.7</v>
      </c>
      <c r="J518" s="33" t="n">
        <v>0.871589609540925</v>
      </c>
      <c r="K518" s="34" t="n">
        <v>0.923523898781631</v>
      </c>
      <c r="L518" s="31" t="n">
        <v>0.972643</v>
      </c>
      <c r="M518" s="31" t="n">
        <v>0.923523898781631</v>
      </c>
      <c r="N518" s="11" t="n">
        <v>4</v>
      </c>
      <c r="O518" s="12"/>
      <c r="P518" s="11"/>
      <c r="Q518" s="8"/>
      <c r="R518" s="8"/>
      <c r="S518" s="8"/>
      <c r="T518" s="8"/>
      <c r="U518" s="8"/>
      <c r="V518" s="8"/>
      <c r="W518" s="8"/>
      <c r="X518" s="8"/>
      <c r="Y518" s="8"/>
      <c r="Z518" s="8"/>
      <c r="AA518" s="8"/>
      <c r="AB518" s="8"/>
      <c r="AC518" s="8"/>
      <c r="AD518" s="8"/>
      <c r="AE518" s="8"/>
      <c r="AF518" s="8"/>
      <c r="AG518" s="8"/>
      <c r="AH518" s="8"/>
      <c r="AI518" s="8"/>
      <c r="AJ518" s="8"/>
      <c r="AK518" s="8"/>
      <c r="AL518" s="8"/>
      <c r="AM518" s="8"/>
    </row>
    <row r="519" customFormat="false" ht="15.75" hidden="false" customHeight="true" outlineLevel="0" collapsed="false">
      <c r="A519" s="30" t="n">
        <v>46305</v>
      </c>
      <c r="B519" s="31" t="s">
        <v>331</v>
      </c>
      <c r="C519" s="31" t="str">
        <f aca="false" t="array" ref="C519:C519">IF(B519="","",IFERROR(INDEX('CLM &amp; IM Mapping'!$B$2:$B$270,MATCH(TRIM(B519),'CLM &amp; IM Mapping'!$A$2:$A$270,0)),"Not Mapped"))</f>
        <v>Vijay M</v>
      </c>
      <c r="D519" s="31" t="str">
        <f aca="false" t="array" ref="D519:D519">IF(B519="","",IFERROR(INDEX('CLM &amp; IM Mapping'!$C$2:$C$270,MATCH(TRIM(B519),'CLM &amp; IM Mapping'!$A$2:$A$270,0)),"Not Mapped"))</f>
        <v>Kantha Kumar</v>
      </c>
      <c r="E519" s="31" t="s">
        <v>34</v>
      </c>
      <c r="F519" s="31" t="s">
        <v>562</v>
      </c>
      <c r="G519" s="31" t="s">
        <v>23</v>
      </c>
      <c r="H519" s="17" t="n">
        <v>5034</v>
      </c>
      <c r="I519" s="32" t="n">
        <v>0.7</v>
      </c>
      <c r="J519" s="33" t="n">
        <v>0.720301946762018</v>
      </c>
      <c r="K519" s="34" t="n">
        <v>0.798124655267512</v>
      </c>
      <c r="L519" s="31" t="n">
        <v>0.965685</v>
      </c>
      <c r="M519" s="31" t="n">
        <v>0.798124655267512</v>
      </c>
      <c r="N519" s="11" t="n">
        <v>6</v>
      </c>
      <c r="O519" s="12"/>
      <c r="P519" s="11"/>
      <c r="Q519" s="8"/>
      <c r="R519" s="8"/>
      <c r="S519" s="8"/>
      <c r="T519" s="8"/>
      <c r="U519" s="8"/>
      <c r="V519" s="8"/>
      <c r="W519" s="8"/>
      <c r="X519" s="8"/>
      <c r="Y519" s="8"/>
      <c r="Z519" s="8"/>
      <c r="AA519" s="8"/>
      <c r="AB519" s="8"/>
      <c r="AC519" s="8"/>
      <c r="AD519" s="8"/>
      <c r="AE519" s="8"/>
      <c r="AF519" s="8"/>
      <c r="AG519" s="8"/>
      <c r="AH519" s="8"/>
      <c r="AI519" s="8"/>
      <c r="AJ519" s="8"/>
      <c r="AK519" s="8"/>
      <c r="AL519" s="8"/>
      <c r="AM519" s="8"/>
    </row>
    <row r="520" customFormat="false" ht="15.75" hidden="false" customHeight="true" outlineLevel="0" collapsed="false">
      <c r="A520" s="30" t="n">
        <v>46305</v>
      </c>
      <c r="B520" s="31" t="s">
        <v>403</v>
      </c>
      <c r="C520" s="31" t="str">
        <f aca="false" t="array" ref="C520:C520">IF(B520="","",IFERROR(INDEX('CLM &amp; IM Mapping'!$B$2:$B$270,MATCH(TRIM(B520),'CLM &amp; IM Mapping'!$A$2:$A$270,0)),"Not Mapped"))</f>
        <v>Narasimhamurthy R</v>
      </c>
      <c r="D520" s="31" t="str">
        <f aca="false" t="array" ref="D520:D520">IF(B520="","",IFERROR(INDEX('CLM &amp; IM Mapping'!$C$2:$C$270,MATCH(TRIM(B520),'CLM &amp; IM Mapping'!$A$2:$A$270,0)),"Not Mapped"))</f>
        <v>Kishor K</v>
      </c>
      <c r="E520" s="31" t="s">
        <v>34</v>
      </c>
      <c r="F520" s="31" t="s">
        <v>562</v>
      </c>
      <c r="G520" s="31" t="s">
        <v>23</v>
      </c>
      <c r="H520" s="17" t="n">
        <v>5783</v>
      </c>
      <c r="I520" s="32" t="n">
        <v>0.7</v>
      </c>
      <c r="J520" s="33" t="n">
        <v>0.669375756527754</v>
      </c>
      <c r="K520" s="34" t="n">
        <v>0.86101782485146</v>
      </c>
      <c r="L520" s="31" t="n">
        <v>0.960456</v>
      </c>
      <c r="M520" s="31" t="n">
        <v>0.86101782485146</v>
      </c>
      <c r="N520" s="11" t="n">
        <v>3</v>
      </c>
      <c r="O520" s="12"/>
      <c r="P520" s="11"/>
      <c r="Q520" s="8"/>
      <c r="R520" s="8"/>
      <c r="S520" s="8"/>
      <c r="T520" s="8"/>
      <c r="U520" s="8"/>
      <c r="V520" s="8"/>
      <c r="W520" s="8"/>
      <c r="X520" s="8"/>
      <c r="Y520" s="8"/>
      <c r="Z520" s="8"/>
      <c r="AA520" s="8"/>
      <c r="AB520" s="8"/>
      <c r="AC520" s="8"/>
      <c r="AD520" s="8"/>
      <c r="AE520" s="8"/>
      <c r="AF520" s="8"/>
      <c r="AG520" s="8"/>
      <c r="AH520" s="8"/>
      <c r="AI520" s="8"/>
      <c r="AJ520" s="8"/>
      <c r="AK520" s="8"/>
      <c r="AL520" s="8"/>
      <c r="AM520" s="8"/>
    </row>
    <row r="521" customFormat="false" ht="15.75" hidden="false" customHeight="true" outlineLevel="0" collapsed="false">
      <c r="A521" s="30" t="n">
        <v>46305</v>
      </c>
      <c r="B521" s="31" t="s">
        <v>208</v>
      </c>
      <c r="C521" s="31" t="str">
        <f aca="false" t="array" ref="C521:C521">IF(B521="","",IFERROR(INDEX('CLM &amp; IM Mapping'!$B$2:$B$270,MATCH(TRIM(B521),'CLM &amp; IM Mapping'!$A$2:$A$270,0)),"Not Mapped"))</f>
        <v>Silambarasan E</v>
      </c>
      <c r="D521" s="31" t="str">
        <f aca="false" t="array" ref="D521:D521">IF(B521="","",IFERROR(INDEX('CLM &amp; IM Mapping'!$C$2:$C$270,MATCH(TRIM(B521),'CLM &amp; IM Mapping'!$A$2:$A$270,0)),"Not Mapped"))</f>
        <v>Arivind S</v>
      </c>
      <c r="E521" s="31" t="s">
        <v>34</v>
      </c>
      <c r="F521" s="31" t="s">
        <v>562</v>
      </c>
      <c r="G521" s="31" t="s">
        <v>23</v>
      </c>
      <c r="H521" s="17" t="n">
        <v>5057</v>
      </c>
      <c r="I521" s="32" t="n">
        <v>0.7</v>
      </c>
      <c r="J521" s="33" t="n">
        <v>0.842792169270318</v>
      </c>
      <c r="K521" s="34" t="n">
        <v>0.83646175504458</v>
      </c>
      <c r="L521" s="31" t="n">
        <v>0.944495</v>
      </c>
      <c r="M521" s="31" t="n">
        <v>0.83646175504458</v>
      </c>
      <c r="N521" s="11" t="n">
        <v>4</v>
      </c>
      <c r="O521" s="12"/>
      <c r="P521" s="11"/>
      <c r="Q521" s="8"/>
      <c r="R521" s="8"/>
      <c r="S521" s="8"/>
      <c r="T521" s="8"/>
      <c r="U521" s="8"/>
      <c r="V521" s="8"/>
      <c r="W521" s="8"/>
      <c r="X521" s="8"/>
      <c r="Y521" s="8"/>
      <c r="Z521" s="8"/>
      <c r="AA521" s="8"/>
      <c r="AB521" s="8"/>
      <c r="AC521" s="8"/>
      <c r="AD521" s="8"/>
      <c r="AE521" s="8"/>
      <c r="AF521" s="8"/>
      <c r="AG521" s="8"/>
      <c r="AH521" s="8"/>
      <c r="AI521" s="8"/>
      <c r="AJ521" s="8"/>
      <c r="AK521" s="8"/>
      <c r="AL521" s="8"/>
      <c r="AM521" s="8"/>
    </row>
    <row r="522" customFormat="false" ht="15.75" hidden="false" customHeight="true" outlineLevel="0" collapsed="false">
      <c r="A522" s="30" t="n">
        <v>46305</v>
      </c>
      <c r="B522" s="31" t="s">
        <v>423</v>
      </c>
      <c r="C522" s="31" t="str">
        <f aca="false" t="array" ref="C522:C522">IF(B522="","",IFERROR(INDEX('CLM &amp; IM Mapping'!$B$2:$B$270,MATCH(TRIM(B522),'CLM &amp; IM Mapping'!$A$2:$A$270,0)),"Not Mapped"))</f>
        <v>Ashwath S</v>
      </c>
      <c r="D522" s="31" t="str">
        <f aca="false" t="array" ref="D522:D522">IF(B522="","",IFERROR(INDEX('CLM &amp; IM Mapping'!$C$2:$C$270,MATCH(TRIM(B522),'CLM &amp; IM Mapping'!$A$2:$A$270,0)),"Not Mapped"))</f>
        <v>Kantha Kumar</v>
      </c>
      <c r="E522" s="31" t="s">
        <v>34</v>
      </c>
      <c r="F522" s="31" t="s">
        <v>562</v>
      </c>
      <c r="G522" s="31" t="s">
        <v>23</v>
      </c>
      <c r="H522" s="17" t="n">
        <v>6865</v>
      </c>
      <c r="I522" s="32" t="n">
        <v>0.7</v>
      </c>
      <c r="J522" s="33" t="n">
        <v>0.792279679533867</v>
      </c>
      <c r="K522" s="34" t="n">
        <v>0.957161242875529</v>
      </c>
      <c r="L522" s="31" t="n">
        <v>0.985629</v>
      </c>
      <c r="M522" s="31"/>
      <c r="N522" s="11" t="n">
        <v>2</v>
      </c>
      <c r="O522" s="12"/>
      <c r="P522" s="11"/>
      <c r="Q522" s="8"/>
      <c r="R522" s="8"/>
      <c r="S522" s="8"/>
      <c r="T522" s="8"/>
      <c r="U522" s="8"/>
      <c r="V522" s="8"/>
      <c r="W522" s="8"/>
      <c r="X522" s="8"/>
      <c r="Y522" s="8"/>
      <c r="Z522" s="8"/>
      <c r="AA522" s="8"/>
      <c r="AB522" s="8"/>
      <c r="AC522" s="8"/>
      <c r="AD522" s="8"/>
      <c r="AE522" s="8"/>
      <c r="AF522" s="8"/>
      <c r="AG522" s="8"/>
      <c r="AH522" s="8"/>
      <c r="AI522" s="8"/>
      <c r="AJ522" s="8"/>
      <c r="AK522" s="8"/>
      <c r="AL522" s="8"/>
      <c r="AM522" s="8"/>
    </row>
    <row r="523" customFormat="false" ht="15.75" hidden="false" customHeight="true" outlineLevel="0" collapsed="false">
      <c r="A523" s="30" t="n">
        <v>46305</v>
      </c>
      <c r="B523" s="31" t="s">
        <v>272</v>
      </c>
      <c r="C523" s="31" t="str">
        <f aca="false" t="array" ref="C523:C523">IF(B523="","",IFERROR(INDEX('CLM &amp; IM Mapping'!$B$2:$B$270,MATCH(TRIM(B523),'CLM &amp; IM Mapping'!$A$2:$A$270,0)),"Not Mapped"))</f>
        <v>Arun Raj</v>
      </c>
      <c r="D523" s="31" t="str">
        <f aca="false" t="array" ref="D523:D523">IF(B523="","",IFERROR(INDEX('CLM &amp; IM Mapping'!$C$2:$C$270,MATCH(TRIM(B523),'CLM &amp; IM Mapping'!$A$2:$A$270,0)),"Not Mapped"))</f>
        <v>Simon Manoharan</v>
      </c>
      <c r="E523" s="31" t="s">
        <v>25</v>
      </c>
      <c r="F523" s="31" t="s">
        <v>565</v>
      </c>
      <c r="G523" s="31" t="s">
        <v>23</v>
      </c>
      <c r="H523" s="17" t="n">
        <v>13860</v>
      </c>
      <c r="I523" s="32" t="n">
        <v>0.7</v>
      </c>
      <c r="J523" s="33" t="n">
        <v>0.423520923520924</v>
      </c>
      <c r="K523" s="34" t="n">
        <v>0.975127768313458</v>
      </c>
      <c r="L523" s="31" t="n">
        <v>0.993546</v>
      </c>
      <c r="M523" s="31" t="n">
        <v>0.975127768313458</v>
      </c>
      <c r="N523" s="11" t="n">
        <v>2</v>
      </c>
      <c r="O523" s="12"/>
      <c r="P523" s="11"/>
      <c r="Q523" s="8"/>
      <c r="R523" s="8"/>
      <c r="S523" s="8"/>
      <c r="T523" s="8"/>
      <c r="U523" s="8"/>
      <c r="V523" s="8"/>
      <c r="W523" s="8"/>
      <c r="X523" s="8"/>
      <c r="Y523" s="8"/>
      <c r="Z523" s="8"/>
      <c r="AA523" s="8"/>
      <c r="AB523" s="8"/>
      <c r="AC523" s="8"/>
      <c r="AD523" s="8"/>
      <c r="AE523" s="8"/>
      <c r="AF523" s="8"/>
      <c r="AG523" s="8"/>
      <c r="AH523" s="8"/>
      <c r="AI523" s="8"/>
      <c r="AJ523" s="8"/>
      <c r="AK523" s="8"/>
      <c r="AL523" s="8"/>
      <c r="AM523" s="8"/>
    </row>
    <row r="524" customFormat="false" ht="15.75" hidden="false" customHeight="true" outlineLevel="0" collapsed="false">
      <c r="A524" s="30" t="n">
        <v>46305</v>
      </c>
      <c r="B524" s="31" t="s">
        <v>293</v>
      </c>
      <c r="C524" s="31" t="str">
        <f aca="false" t="array" ref="C524:C524">IF(B524="","",IFERROR(INDEX('CLM &amp; IM Mapping'!$B$2:$B$270,MATCH(TRIM(B524),'CLM &amp; IM Mapping'!$A$2:$A$270,0)),"Not Mapped"))</f>
        <v>Suhas N</v>
      </c>
      <c r="D524" s="31" t="str">
        <f aca="false" t="array" ref="D524:D524">IF(B524="","",IFERROR(INDEX('CLM &amp; IM Mapping'!$C$2:$C$270,MATCH(TRIM(B524),'CLM &amp; IM Mapping'!$A$2:$A$270,0)),"Not Mapped"))</f>
        <v>Aravind S</v>
      </c>
      <c r="E524" s="31" t="s">
        <v>34</v>
      </c>
      <c r="F524" s="31" t="s">
        <v>562</v>
      </c>
      <c r="G524" s="31" t="s">
        <v>23</v>
      </c>
      <c r="H524" s="17" t="n">
        <v>4834</v>
      </c>
      <c r="I524" s="32" t="n">
        <v>0.7</v>
      </c>
      <c r="J524" s="33" t="n">
        <v>0.54054613156806</v>
      </c>
      <c r="K524" s="34" t="n">
        <v>0.741676234213548</v>
      </c>
      <c r="L524" s="31" t="n">
        <v>0.919755</v>
      </c>
      <c r="M524" s="31" t="n">
        <v>0.741676234213548</v>
      </c>
      <c r="N524" s="11" t="n">
        <v>3</v>
      </c>
      <c r="O524" s="12"/>
      <c r="P524" s="11"/>
      <c r="Q524" s="8"/>
      <c r="R524" s="8"/>
      <c r="S524" s="8"/>
      <c r="T524" s="8"/>
      <c r="U524" s="8"/>
      <c r="V524" s="8"/>
      <c r="W524" s="8"/>
      <c r="X524" s="8"/>
      <c r="Y524" s="8"/>
      <c r="Z524" s="8"/>
      <c r="AA524" s="8"/>
      <c r="AB524" s="8"/>
      <c r="AC524" s="8"/>
      <c r="AD524" s="8"/>
      <c r="AE524" s="8"/>
      <c r="AF524" s="8"/>
      <c r="AG524" s="8"/>
      <c r="AH524" s="8"/>
      <c r="AI524" s="8"/>
      <c r="AJ524" s="8"/>
      <c r="AK524" s="8"/>
      <c r="AL524" s="8"/>
      <c r="AM524" s="8"/>
    </row>
    <row r="525" customFormat="false" ht="15.75" hidden="false" customHeight="true" outlineLevel="0" collapsed="false">
      <c r="A525" s="30" t="n">
        <v>46305</v>
      </c>
      <c r="B525" s="31" t="s">
        <v>435</v>
      </c>
      <c r="C525" s="31" t="str">
        <f aca="false" t="array" ref="C525:C525">IF(B525="","",IFERROR(INDEX('CLM &amp; IM Mapping'!$B$2:$B$270,MATCH(TRIM(B525),'CLM &amp; IM Mapping'!$A$2:$A$270,0)),"Not Mapped"))</f>
        <v>Balaji G</v>
      </c>
      <c r="D525" s="31" t="str">
        <f aca="false" t="array" ref="D525:D525">IF(B525="","",IFERROR(INDEX('CLM &amp; IM Mapping'!$C$2:$C$270,MATCH(TRIM(B525),'CLM &amp; IM Mapping'!$A$2:$A$270,0)),"Not Mapped"))</f>
        <v>Mohammed Akbar</v>
      </c>
      <c r="E525" s="31" t="s">
        <v>34</v>
      </c>
      <c r="F525" s="31" t="s">
        <v>562</v>
      </c>
      <c r="G525" s="31" t="s">
        <v>23</v>
      </c>
      <c r="H525" s="17" t="n">
        <v>5948</v>
      </c>
      <c r="I525" s="32" t="n">
        <v>0.7</v>
      </c>
      <c r="J525" s="33" t="n">
        <v>0.976462676529926</v>
      </c>
      <c r="K525" s="34" t="n">
        <v>0.900654269972452</v>
      </c>
      <c r="L525" s="31" t="n">
        <v>0.976008</v>
      </c>
      <c r="M525" s="31"/>
      <c r="N525" s="11" t="n">
        <v>3</v>
      </c>
      <c r="O525" s="12"/>
      <c r="P525" s="11"/>
      <c r="Q525" s="8"/>
      <c r="R525" s="8"/>
      <c r="S525" s="8"/>
      <c r="T525" s="8"/>
      <c r="U525" s="8"/>
      <c r="V525" s="8"/>
      <c r="W525" s="8"/>
      <c r="X525" s="8"/>
      <c r="Y525" s="8"/>
      <c r="Z525" s="8"/>
      <c r="AA525" s="8"/>
      <c r="AB525" s="8"/>
      <c r="AC525" s="8"/>
      <c r="AD525" s="8"/>
      <c r="AE525" s="8"/>
      <c r="AF525" s="8"/>
      <c r="AG525" s="8"/>
      <c r="AH525" s="8"/>
      <c r="AI525" s="8"/>
      <c r="AJ525" s="8"/>
      <c r="AK525" s="8"/>
      <c r="AL525" s="8"/>
      <c r="AM525" s="8"/>
    </row>
    <row r="526" customFormat="false" ht="15.75" hidden="false" customHeight="true" outlineLevel="0" collapsed="false">
      <c r="A526" s="30" t="n">
        <v>46305</v>
      </c>
      <c r="B526" s="31" t="s">
        <v>171</v>
      </c>
      <c r="C526" s="31" t="str">
        <f aca="false" t="array" ref="C526:C526">IF(B526="","",IFERROR(INDEX('CLM &amp; IM Mapping'!$B$2:$B$270,MATCH(TRIM(B526),'CLM &amp; IM Mapping'!$A$2:$A$270,0)),"Not Mapped"))</f>
        <v>Ashwath S</v>
      </c>
      <c r="D526" s="31" t="str">
        <f aca="false" t="array" ref="D526:D526">IF(B526="","",IFERROR(INDEX('CLM &amp; IM Mapping'!$C$2:$C$270,MATCH(TRIM(B526),'CLM &amp; IM Mapping'!$A$2:$A$270,0)),"Not Mapped"))</f>
        <v>Kantha Kumar</v>
      </c>
      <c r="E526" s="31" t="s">
        <v>34</v>
      </c>
      <c r="F526" s="31" t="s">
        <v>562</v>
      </c>
      <c r="G526" s="31" t="s">
        <v>23</v>
      </c>
      <c r="H526" s="17" t="n">
        <v>7436</v>
      </c>
      <c r="I526" s="32" t="n">
        <v>0.7</v>
      </c>
      <c r="J526" s="33" t="n">
        <v>0.518827326519634</v>
      </c>
      <c r="K526" s="34" t="n">
        <v>0.78149300155521</v>
      </c>
      <c r="L526" s="31" t="n">
        <v>0.948535</v>
      </c>
      <c r="M526" s="31" t="n">
        <v>0.78149300155521</v>
      </c>
      <c r="N526" s="11" t="n">
        <v>4</v>
      </c>
      <c r="O526" s="12"/>
      <c r="P526" s="11"/>
      <c r="Q526" s="8"/>
      <c r="R526" s="8"/>
      <c r="S526" s="8"/>
      <c r="T526" s="8"/>
      <c r="U526" s="8"/>
      <c r="V526" s="8"/>
      <c r="W526" s="8"/>
      <c r="X526" s="8"/>
      <c r="Y526" s="8"/>
      <c r="Z526" s="8"/>
      <c r="AA526" s="8"/>
      <c r="AB526" s="8"/>
      <c r="AC526" s="8"/>
      <c r="AD526" s="8"/>
      <c r="AE526" s="8"/>
      <c r="AF526" s="8"/>
      <c r="AG526" s="8"/>
      <c r="AH526" s="8"/>
      <c r="AI526" s="8"/>
      <c r="AJ526" s="8"/>
      <c r="AK526" s="8"/>
      <c r="AL526" s="8"/>
      <c r="AM526" s="8"/>
    </row>
    <row r="527" customFormat="false" ht="15.75" hidden="false" customHeight="true" outlineLevel="0" collapsed="false">
      <c r="A527" s="30" t="n">
        <v>46305</v>
      </c>
      <c r="B527" s="31" t="s">
        <v>312</v>
      </c>
      <c r="C527" s="31" t="str">
        <f aca="false" t="array" ref="C527:C527">IF(B527="","",IFERROR(INDEX('CLM &amp; IM Mapping'!$B$2:$B$270,MATCH(TRIM(B527),'CLM &amp; IM Mapping'!$A$2:$A$270,0)),"Not Mapped"))</f>
        <v>Manoj Kj</v>
      </c>
      <c r="D527" s="31" t="str">
        <f aca="false" t="array" ref="D527:D527">IF(B527="","",IFERROR(INDEX('CLM &amp; IM Mapping'!$C$2:$C$270,MATCH(TRIM(B527),'CLM &amp; IM Mapping'!$A$2:$A$270,0)),"Not Mapped"))</f>
        <v>Srittam Dhal</v>
      </c>
      <c r="E527" s="31" t="s">
        <v>34</v>
      </c>
      <c r="F527" s="31" t="s">
        <v>565</v>
      </c>
      <c r="G527" s="31" t="s">
        <v>23</v>
      </c>
      <c r="H527" s="17" t="n">
        <v>4962</v>
      </c>
      <c r="I527" s="32" t="n">
        <v>0.7</v>
      </c>
      <c r="J527" s="33" t="n">
        <v>0.881902458686014</v>
      </c>
      <c r="K527" s="34" t="n">
        <v>0.877742230347349</v>
      </c>
      <c r="L527" s="31" t="n">
        <v>0.961512</v>
      </c>
      <c r="M527" s="31" t="n">
        <v>0.877742230347349</v>
      </c>
      <c r="N527" s="11" t="n">
        <v>6</v>
      </c>
      <c r="O527" s="12"/>
      <c r="P527" s="11"/>
      <c r="Q527" s="8"/>
      <c r="R527" s="8"/>
      <c r="S527" s="8"/>
      <c r="T527" s="8"/>
      <c r="U527" s="8"/>
      <c r="V527" s="8"/>
      <c r="W527" s="8"/>
      <c r="X527" s="8"/>
      <c r="Y527" s="8"/>
      <c r="Z527" s="8"/>
      <c r="AA527" s="8"/>
      <c r="AB527" s="8"/>
      <c r="AC527" s="8"/>
      <c r="AD527" s="8"/>
      <c r="AE527" s="8"/>
      <c r="AF527" s="8"/>
      <c r="AG527" s="8"/>
      <c r="AH527" s="8"/>
      <c r="AI527" s="8"/>
      <c r="AJ527" s="8"/>
      <c r="AK527" s="8"/>
      <c r="AL527" s="8"/>
      <c r="AM527" s="8"/>
    </row>
    <row r="528" customFormat="false" ht="15.75" hidden="false" customHeight="true" outlineLevel="0" collapsed="false">
      <c r="A528" s="30" t="n">
        <v>46305</v>
      </c>
      <c r="B528" s="31" t="s">
        <v>320</v>
      </c>
      <c r="C528" s="31" t="str">
        <f aca="false" t="array" ref="C528:C528">IF(B528="","",IFERROR(INDEX('CLM &amp; IM Mapping'!$B$2:$B$270,MATCH(TRIM(B528),'CLM &amp; IM Mapping'!$A$2:$A$270,0)),"Not Mapped"))</f>
        <v>Ashwath S</v>
      </c>
      <c r="D528" s="31" t="str">
        <f aca="false" t="array" ref="D528:D528">IF(B528="","",IFERROR(INDEX('CLM &amp; IM Mapping'!$C$2:$C$270,MATCH(TRIM(B528),'CLM &amp; IM Mapping'!$A$2:$A$270,0)),"Not Mapped"))</f>
        <v>Kantha Kumar</v>
      </c>
      <c r="E528" s="31" t="s">
        <v>34</v>
      </c>
      <c r="F528" s="31" t="s">
        <v>562</v>
      </c>
      <c r="G528" s="31" t="s">
        <v>23</v>
      </c>
      <c r="H528" s="17" t="n">
        <v>7207</v>
      </c>
      <c r="I528" s="32" t="n">
        <v>0.7</v>
      </c>
      <c r="J528" s="33" t="n">
        <v>0.919106424309699</v>
      </c>
      <c r="K528" s="34" t="n">
        <v>0.944746376811594</v>
      </c>
      <c r="L528" s="31" t="n">
        <v>0.880166</v>
      </c>
      <c r="M528" s="31" t="n">
        <v>0.944746376811594</v>
      </c>
      <c r="N528" s="11" t="n">
        <v>5</v>
      </c>
      <c r="O528" s="12"/>
      <c r="P528" s="11"/>
      <c r="Q528" s="8"/>
      <c r="R528" s="8"/>
      <c r="S528" s="8"/>
      <c r="T528" s="8"/>
      <c r="U528" s="8"/>
      <c r="V528" s="8"/>
      <c r="W528" s="8"/>
      <c r="X528" s="8"/>
      <c r="Y528" s="8"/>
      <c r="Z528" s="8"/>
      <c r="AA528" s="8"/>
      <c r="AB528" s="8"/>
      <c r="AC528" s="8"/>
      <c r="AD528" s="8"/>
      <c r="AE528" s="8"/>
      <c r="AF528" s="8"/>
      <c r="AG528" s="8"/>
      <c r="AH528" s="8"/>
      <c r="AI528" s="8"/>
      <c r="AJ528" s="8"/>
      <c r="AK528" s="8"/>
      <c r="AL528" s="8"/>
      <c r="AM528" s="8"/>
    </row>
    <row r="529" customFormat="false" ht="15.75" hidden="false" customHeight="true" outlineLevel="0" collapsed="false">
      <c r="A529" s="30" t="n">
        <v>46305</v>
      </c>
      <c r="B529" s="31" t="s">
        <v>518</v>
      </c>
      <c r="C529" s="31" t="str">
        <f aca="false" t="array" ref="C529:C529">IF(B529="","",IFERROR(INDEX('CLM &amp; IM Mapping'!$B$2:$B$270,MATCH(TRIM(B529),'CLM &amp; IM Mapping'!$A$2:$A$270,0)),"Not Mapped"))</f>
        <v>Basil Scariya</v>
      </c>
      <c r="D529" s="31" t="str">
        <f aca="false" t="array" ref="D529:D529">IF(B529="","",IFERROR(INDEX('CLM &amp; IM Mapping'!$C$2:$C$270,MATCH(TRIM(B529),'CLM &amp; IM Mapping'!$A$2:$A$270,0)),"Not Mapped"))</f>
        <v>Prakash BS</v>
      </c>
      <c r="E529" s="31" t="s">
        <v>34</v>
      </c>
      <c r="F529" s="31" t="s">
        <v>562</v>
      </c>
      <c r="G529" s="31" t="s">
        <v>23</v>
      </c>
      <c r="H529" s="17" t="n">
        <v>5311</v>
      </c>
      <c r="I529" s="32" t="n">
        <v>0.7</v>
      </c>
      <c r="J529" s="33" t="n">
        <v>0.587836565618528</v>
      </c>
      <c r="K529" s="34" t="n">
        <v>0.857142857142857</v>
      </c>
      <c r="L529" s="31" t="n">
        <v>0.963387</v>
      </c>
      <c r="M529" s="31" t="n">
        <v>0.857142857142857</v>
      </c>
      <c r="N529" s="11" t="n">
        <v>3</v>
      </c>
      <c r="O529" s="12"/>
      <c r="P529" s="11"/>
      <c r="Q529" s="8"/>
      <c r="R529" s="8"/>
      <c r="S529" s="8"/>
      <c r="T529" s="8"/>
      <c r="U529" s="8"/>
      <c r="V529" s="8"/>
      <c r="W529" s="8"/>
      <c r="X529" s="8"/>
      <c r="Y529" s="8"/>
      <c r="Z529" s="8"/>
      <c r="AA529" s="8"/>
      <c r="AB529" s="8"/>
      <c r="AC529" s="8"/>
      <c r="AD529" s="8"/>
      <c r="AE529" s="8"/>
      <c r="AF529" s="8"/>
      <c r="AG529" s="8"/>
      <c r="AH529" s="8"/>
      <c r="AI529" s="8"/>
      <c r="AJ529" s="8"/>
      <c r="AK529" s="8"/>
      <c r="AL529" s="8"/>
      <c r="AM529" s="8"/>
    </row>
    <row r="530" customFormat="false" ht="15.75" hidden="false" customHeight="true" outlineLevel="0" collapsed="false">
      <c r="A530" s="30" t="n">
        <v>46305</v>
      </c>
      <c r="B530" s="31" t="s">
        <v>156</v>
      </c>
      <c r="C530" s="31" t="str">
        <f aca="false" t="array" ref="C530:C530">IF(B530="","",IFERROR(INDEX('CLM &amp; IM Mapping'!$B$2:$B$270,MATCH(TRIM(B530),'CLM &amp; IM Mapping'!$A$2:$A$270,0)),"Not Mapped"))</f>
        <v>Manoj Kj</v>
      </c>
      <c r="D530" s="31" t="str">
        <f aca="false" t="array" ref="D530:D530">IF(B530="","",IFERROR(INDEX('CLM &amp; IM Mapping'!$C$2:$C$270,MATCH(TRIM(B530),'CLM &amp; IM Mapping'!$A$2:$A$270,0)),"Not Mapped"))</f>
        <v>Srittam Dhal</v>
      </c>
      <c r="E530" s="31" t="s">
        <v>34</v>
      </c>
      <c r="F530" s="31" t="s">
        <v>562</v>
      </c>
      <c r="G530" s="31" t="s">
        <v>23</v>
      </c>
      <c r="H530" s="17" t="n">
        <v>6275</v>
      </c>
      <c r="I530" s="32" t="n">
        <v>0.7</v>
      </c>
      <c r="J530" s="33" t="n">
        <v>0.90804780876494</v>
      </c>
      <c r="K530" s="34" t="n">
        <v>0.822393822393822</v>
      </c>
      <c r="L530" s="31" t="n">
        <v>0.93431</v>
      </c>
      <c r="M530" s="31" t="n">
        <v>0.822393822393822</v>
      </c>
      <c r="N530" s="11" t="n">
        <v>4</v>
      </c>
      <c r="O530" s="12"/>
      <c r="P530" s="11"/>
      <c r="Q530" s="8"/>
      <c r="R530" s="8"/>
      <c r="S530" s="8"/>
      <c r="T530" s="8"/>
      <c r="U530" s="8"/>
      <c r="V530" s="8"/>
      <c r="W530" s="8"/>
      <c r="X530" s="8"/>
      <c r="Y530" s="8"/>
      <c r="Z530" s="8"/>
      <c r="AA530" s="8"/>
      <c r="AB530" s="8"/>
      <c r="AC530" s="8"/>
      <c r="AD530" s="8"/>
      <c r="AE530" s="8"/>
      <c r="AF530" s="8"/>
      <c r="AG530" s="8"/>
      <c r="AH530" s="8"/>
      <c r="AI530" s="8"/>
      <c r="AJ530" s="8"/>
      <c r="AK530" s="8"/>
      <c r="AL530" s="8"/>
      <c r="AM530" s="8"/>
    </row>
    <row r="531" customFormat="false" ht="15.75" hidden="false" customHeight="true" outlineLevel="0" collapsed="false">
      <c r="A531" s="30" t="n">
        <v>46305</v>
      </c>
      <c r="B531" s="31" t="s">
        <v>407</v>
      </c>
      <c r="C531" s="31" t="str">
        <f aca="false" t="array" ref="C531:C531">IF(B531="","",IFERROR(INDEX('CLM &amp; IM Mapping'!$B$2:$B$270,MATCH(TRIM(B531),'CLM &amp; IM Mapping'!$A$2:$A$270,0)),"Not Mapped"))</f>
        <v>Rizwan Ahmed</v>
      </c>
      <c r="D531" s="31" t="str">
        <f aca="false" t="array" ref="D531:D531">IF(B531="","",IFERROR(INDEX('CLM &amp; IM Mapping'!$C$2:$C$270,MATCH(TRIM(B531),'CLM &amp; IM Mapping'!$A$2:$A$270,0)),"Not Mapped"))</f>
        <v>Un Mapped</v>
      </c>
      <c r="E531" s="31" t="s">
        <v>34</v>
      </c>
      <c r="F531" s="31" t="s">
        <v>565</v>
      </c>
      <c r="G531" s="31" t="s">
        <v>23</v>
      </c>
      <c r="H531" s="17" t="n">
        <v>4945</v>
      </c>
      <c r="I531" s="32" t="n">
        <v>0.7</v>
      </c>
      <c r="J531" s="33" t="n">
        <v>0.504550050556117</v>
      </c>
      <c r="K531" s="34" t="n">
        <v>0.918637274549098</v>
      </c>
      <c r="L531" s="31" t="n">
        <v>0.985369</v>
      </c>
      <c r="M531" s="31" t="n">
        <v>0.918637274549098</v>
      </c>
      <c r="N531" s="11" t="n">
        <v>2</v>
      </c>
      <c r="O531" s="12"/>
      <c r="P531" s="11"/>
      <c r="Q531" s="8"/>
      <c r="R531" s="8"/>
      <c r="S531" s="8"/>
      <c r="T531" s="8"/>
      <c r="U531" s="8"/>
      <c r="V531" s="8"/>
      <c r="W531" s="8"/>
      <c r="X531" s="8"/>
      <c r="Y531" s="8"/>
      <c r="Z531" s="8"/>
      <c r="AA531" s="8"/>
      <c r="AB531" s="8"/>
      <c r="AC531" s="8"/>
      <c r="AD531" s="8"/>
      <c r="AE531" s="8"/>
      <c r="AF531" s="8"/>
      <c r="AG531" s="8"/>
      <c r="AH531" s="8"/>
      <c r="AI531" s="8"/>
      <c r="AJ531" s="8"/>
      <c r="AK531" s="8"/>
      <c r="AL531" s="8"/>
      <c r="AM531" s="8"/>
    </row>
    <row r="532" customFormat="false" ht="15.75" hidden="false" customHeight="true" outlineLevel="0" collapsed="false">
      <c r="A532" s="30" t="n">
        <v>46305</v>
      </c>
      <c r="B532" s="31" t="s">
        <v>516</v>
      </c>
      <c r="C532" s="31" t="str">
        <f aca="false" t="array" ref="C532:C532">IF(B532="","",IFERROR(INDEX('CLM &amp; IM Mapping'!$B$2:$B$270,MATCH(TRIM(B532),'CLM &amp; IM Mapping'!$A$2:$A$270,0)),"Not Mapped"))</f>
        <v>Sundaresh S</v>
      </c>
      <c r="D532" s="31" t="str">
        <f aca="false" t="array" ref="D532:D532">IF(B532="","",IFERROR(INDEX('CLM &amp; IM Mapping'!$C$2:$C$270,MATCH(TRIM(B532),'CLM &amp; IM Mapping'!$A$2:$A$270,0)),"Not Mapped"))</f>
        <v>Un Mapped</v>
      </c>
      <c r="E532" s="31" t="s">
        <v>34</v>
      </c>
      <c r="F532" s="31" t="s">
        <v>562</v>
      </c>
      <c r="G532" s="31" t="s">
        <v>23</v>
      </c>
      <c r="H532" s="17" t="n">
        <v>7335</v>
      </c>
      <c r="I532" s="32" t="n">
        <v>0.7</v>
      </c>
      <c r="J532" s="33" t="n">
        <v>0.868575323790048</v>
      </c>
      <c r="K532" s="34" t="n">
        <v>0.938628158844765</v>
      </c>
      <c r="L532" s="31" t="n">
        <v>0.970351</v>
      </c>
      <c r="M532" s="31"/>
      <c r="N532" s="11" t="n">
        <v>2</v>
      </c>
      <c r="O532" s="12"/>
      <c r="P532" s="11"/>
      <c r="Q532" s="8"/>
      <c r="R532" s="8"/>
      <c r="S532" s="8"/>
      <c r="T532" s="8"/>
      <c r="U532" s="8"/>
      <c r="V532" s="8"/>
      <c r="W532" s="8"/>
      <c r="X532" s="8"/>
      <c r="Y532" s="8"/>
      <c r="Z532" s="8"/>
      <c r="AA532" s="8"/>
      <c r="AB532" s="8"/>
      <c r="AC532" s="8"/>
      <c r="AD532" s="8"/>
      <c r="AE532" s="8"/>
      <c r="AF532" s="8"/>
      <c r="AG532" s="8"/>
      <c r="AH532" s="8"/>
      <c r="AI532" s="8"/>
      <c r="AJ532" s="8"/>
      <c r="AK532" s="8"/>
      <c r="AL532" s="8"/>
      <c r="AM532" s="8"/>
    </row>
    <row r="533" customFormat="false" ht="15.75" hidden="false" customHeight="true" outlineLevel="0" collapsed="false">
      <c r="A533" s="30" t="n">
        <v>46305</v>
      </c>
      <c r="B533" s="31" t="s">
        <v>486</v>
      </c>
      <c r="C533" s="31" t="str">
        <f aca="false" t="array" ref="C533:C533">IF(B533="","",IFERROR(INDEX('CLM &amp; IM Mapping'!$B$2:$B$270,MATCH(TRIM(B533),'CLM &amp; IM Mapping'!$A$2:$A$270,0)),"Not Mapped"))</f>
        <v>Balaji G</v>
      </c>
      <c r="D533" s="31" t="str">
        <f aca="false" t="array" ref="D533:D533">IF(B533="","",IFERROR(INDEX('CLM &amp; IM Mapping'!$C$2:$C$270,MATCH(TRIM(B533),'CLM &amp; IM Mapping'!$A$2:$A$270,0)),"Not Mapped"))</f>
        <v>Mohammed Akbar</v>
      </c>
      <c r="E533" s="31" t="s">
        <v>34</v>
      </c>
      <c r="F533" s="31" t="s">
        <v>565</v>
      </c>
      <c r="G533" s="31" t="s">
        <v>23</v>
      </c>
      <c r="H533" s="17" t="n">
        <v>6557</v>
      </c>
      <c r="I533" s="32" t="n">
        <v>0.7</v>
      </c>
      <c r="J533" s="33" t="n">
        <v>0.971633368918713</v>
      </c>
      <c r="K533" s="34" t="n">
        <v>0.867210798932664</v>
      </c>
      <c r="L533" s="31" t="n">
        <v>0.967401</v>
      </c>
      <c r="M533" s="31" t="n">
        <v>0.867210798932664</v>
      </c>
      <c r="N533" s="11" t="n">
        <v>4</v>
      </c>
      <c r="O533" s="12"/>
      <c r="P533" s="11"/>
      <c r="Q533" s="8"/>
      <c r="R533" s="8"/>
      <c r="S533" s="8"/>
      <c r="T533" s="8"/>
      <c r="U533" s="8"/>
      <c r="V533" s="8"/>
      <c r="W533" s="8"/>
      <c r="X533" s="8"/>
      <c r="Y533" s="8"/>
      <c r="Z533" s="8"/>
      <c r="AA533" s="8"/>
      <c r="AB533" s="8"/>
      <c r="AC533" s="8"/>
      <c r="AD533" s="8"/>
      <c r="AE533" s="8"/>
      <c r="AF533" s="8"/>
      <c r="AG533" s="8"/>
      <c r="AH533" s="8"/>
      <c r="AI533" s="8"/>
      <c r="AJ533" s="8"/>
      <c r="AK533" s="8"/>
      <c r="AL533" s="8"/>
      <c r="AM533" s="8"/>
    </row>
    <row r="534" customFormat="false" ht="15.75" hidden="false" customHeight="true" outlineLevel="0" collapsed="false">
      <c r="A534" s="30" t="n">
        <v>46305</v>
      </c>
      <c r="B534" s="31" t="s">
        <v>314</v>
      </c>
      <c r="C534" s="31" t="str">
        <f aca="false" t="array" ref="C534:C534">IF(B534="","",IFERROR(INDEX('CLM &amp; IM Mapping'!$B$2:$B$270,MATCH(TRIM(B534),'CLM &amp; IM Mapping'!$A$2:$A$270,0)),"Not Mapped"))</f>
        <v>Basil Scariya</v>
      </c>
      <c r="D534" s="31" t="str">
        <f aca="false" t="array" ref="D534:D534">IF(B534="","",IFERROR(INDEX('CLM &amp; IM Mapping'!$C$2:$C$270,MATCH(TRIM(B534),'CLM &amp; IM Mapping'!$A$2:$A$270,0)),"Not Mapped"))</f>
        <v>Prakash BS</v>
      </c>
      <c r="E534" s="31" t="s">
        <v>34</v>
      </c>
      <c r="F534" s="31" t="s">
        <v>562</v>
      </c>
      <c r="G534" s="31" t="s">
        <v>23</v>
      </c>
      <c r="H534" s="17" t="n">
        <v>6269</v>
      </c>
      <c r="I534" s="32" t="n">
        <v>0.7</v>
      </c>
      <c r="J534" s="33" t="n">
        <v>0.676184399425746</v>
      </c>
      <c r="K534" s="34" t="n">
        <v>0.865298419438547</v>
      </c>
      <c r="L534" s="31" t="n">
        <v>0.952809</v>
      </c>
      <c r="M534" s="31" t="n">
        <v>0.865298419438547</v>
      </c>
      <c r="N534" s="11" t="n">
        <v>4</v>
      </c>
      <c r="O534" s="12"/>
      <c r="P534" s="11"/>
      <c r="Q534" s="8"/>
      <c r="R534" s="8"/>
      <c r="S534" s="8"/>
      <c r="T534" s="8"/>
      <c r="U534" s="8"/>
      <c r="V534" s="8"/>
      <c r="W534" s="8"/>
      <c r="X534" s="8"/>
      <c r="Y534" s="8"/>
      <c r="Z534" s="8"/>
      <c r="AA534" s="8"/>
      <c r="AB534" s="8"/>
      <c r="AC534" s="8"/>
      <c r="AD534" s="8"/>
      <c r="AE534" s="8"/>
      <c r="AF534" s="8"/>
      <c r="AG534" s="8"/>
      <c r="AH534" s="8"/>
      <c r="AI534" s="8"/>
      <c r="AJ534" s="8"/>
      <c r="AK534" s="8"/>
      <c r="AL534" s="8"/>
      <c r="AM534" s="8"/>
    </row>
    <row r="535" customFormat="false" ht="15.75" hidden="false" customHeight="true" outlineLevel="0" collapsed="false">
      <c r="A535" s="30" t="n">
        <v>46305</v>
      </c>
      <c r="B535" s="31" t="s">
        <v>322</v>
      </c>
      <c r="C535" s="31" t="str">
        <f aca="false" t="array" ref="C535:C535">IF(B535="","",IFERROR(INDEX('CLM &amp; IM Mapping'!$B$2:$B$270,MATCH(TRIM(B535),'CLM &amp; IM Mapping'!$A$2:$A$270,0)),"Not Mapped"))</f>
        <v>Ashwath S</v>
      </c>
      <c r="D535" s="31" t="str">
        <f aca="false" t="array" ref="D535:D535">IF(B535="","",IFERROR(INDEX('CLM &amp; IM Mapping'!$C$2:$C$270,MATCH(TRIM(B535),'CLM &amp; IM Mapping'!$A$2:$A$270,0)),"Not Mapped"))</f>
        <v>Kantha Kumar</v>
      </c>
      <c r="E535" s="31" t="s">
        <v>34</v>
      </c>
      <c r="F535" s="31" t="s">
        <v>565</v>
      </c>
      <c r="G535" s="31" t="s">
        <v>23</v>
      </c>
      <c r="H535" s="17" t="n">
        <v>4660</v>
      </c>
      <c r="I535" s="32" t="n">
        <v>0.7</v>
      </c>
      <c r="J535" s="33" t="n">
        <v>0.999141630901288</v>
      </c>
      <c r="K535" s="34" t="n">
        <v>0.865335051546392</v>
      </c>
      <c r="L535" s="31" t="n">
        <v>0.984296</v>
      </c>
      <c r="M535" s="31" t="n">
        <v>0.865335051546392</v>
      </c>
      <c r="N535" s="11" t="n">
        <v>5</v>
      </c>
      <c r="O535" s="12"/>
      <c r="P535" s="11"/>
      <c r="Q535" s="8"/>
      <c r="R535" s="8"/>
      <c r="S535" s="8"/>
      <c r="T535" s="8"/>
      <c r="U535" s="8"/>
      <c r="V535" s="8"/>
      <c r="W535" s="8"/>
      <c r="X535" s="8"/>
      <c r="Y535" s="8"/>
      <c r="Z535" s="8"/>
      <c r="AA535" s="8"/>
      <c r="AB535" s="8"/>
      <c r="AC535" s="8"/>
      <c r="AD535" s="8"/>
      <c r="AE535" s="8"/>
      <c r="AF535" s="8"/>
      <c r="AG535" s="8"/>
      <c r="AH535" s="8"/>
      <c r="AI535" s="8"/>
      <c r="AJ535" s="8"/>
      <c r="AK535" s="8"/>
      <c r="AL535" s="8"/>
      <c r="AM535" s="8"/>
    </row>
    <row r="536" customFormat="false" ht="15.75" hidden="false" customHeight="true" outlineLevel="0" collapsed="false">
      <c r="A536" s="30" t="n">
        <v>46305</v>
      </c>
      <c r="B536" s="31" t="s">
        <v>193</v>
      </c>
      <c r="C536" s="31" t="str">
        <f aca="false" t="array" ref="C536:C536">IF(B536="","",IFERROR(INDEX('CLM &amp; IM Mapping'!$B$2:$B$270,MATCH(TRIM(B536),'CLM &amp; IM Mapping'!$A$2:$A$270,0)),"Not Mapped"))</f>
        <v>Girish N</v>
      </c>
      <c r="D536" s="31" t="str">
        <f aca="false" t="array" ref="D536:D536">IF(B536="","",IFERROR(INDEX('CLM &amp; IM Mapping'!$C$2:$C$270,MATCH(TRIM(B536),'CLM &amp; IM Mapping'!$A$2:$A$270,0)),"Not Mapped"))</f>
        <v>Un Mapped</v>
      </c>
      <c r="E536" s="31" t="s">
        <v>34</v>
      </c>
      <c r="F536" s="31" t="s">
        <v>565</v>
      </c>
      <c r="G536" s="31" t="s">
        <v>23</v>
      </c>
      <c r="H536" s="17" t="n">
        <v>7468</v>
      </c>
      <c r="I536" s="32" t="n">
        <v>0.7</v>
      </c>
      <c r="J536" s="33" t="n">
        <v>0.739421531869309</v>
      </c>
      <c r="K536" s="34" t="n">
        <v>0.913799348062296</v>
      </c>
      <c r="L536" s="31" t="n">
        <v>0.975405</v>
      </c>
      <c r="M536" s="31" t="n">
        <v>0.913799348062296</v>
      </c>
      <c r="N536" s="11" t="n">
        <v>4</v>
      </c>
      <c r="O536" s="12"/>
      <c r="P536" s="11"/>
      <c r="Q536" s="8"/>
      <c r="R536" s="8"/>
      <c r="S536" s="8"/>
      <c r="T536" s="8"/>
      <c r="U536" s="8"/>
      <c r="V536" s="8"/>
      <c r="W536" s="8"/>
      <c r="X536" s="8"/>
      <c r="Y536" s="8"/>
      <c r="Z536" s="8"/>
      <c r="AA536" s="8"/>
      <c r="AB536" s="8"/>
      <c r="AC536" s="8"/>
      <c r="AD536" s="8"/>
      <c r="AE536" s="8"/>
      <c r="AF536" s="8"/>
      <c r="AG536" s="8"/>
      <c r="AH536" s="8"/>
      <c r="AI536" s="8"/>
      <c r="AJ536" s="8"/>
      <c r="AK536" s="8"/>
      <c r="AL536" s="8"/>
      <c r="AM536" s="8"/>
    </row>
    <row r="537" customFormat="false" ht="15.75" hidden="false" customHeight="true" outlineLevel="0" collapsed="false">
      <c r="A537" s="30" t="n">
        <v>46305</v>
      </c>
      <c r="B537" s="31" t="s">
        <v>413</v>
      </c>
      <c r="C537" s="31" t="str">
        <f aca="false" t="array" ref="C537:C537">IF(B537="","",IFERROR(INDEX('CLM &amp; IM Mapping'!$B$2:$B$270,MATCH(TRIM(B537),'CLM &amp; IM Mapping'!$A$2:$A$270,0)),"Not Mapped"))</f>
        <v>Arun Raj</v>
      </c>
      <c r="D537" s="31" t="str">
        <f aca="false" t="array" ref="D537:D537">IF(B537="","",IFERROR(INDEX('CLM &amp; IM Mapping'!$C$2:$C$270,MATCH(TRIM(B537),'CLM &amp; IM Mapping'!$A$2:$A$270,0)),"Not Mapped"))</f>
        <v>Simon Manoharan</v>
      </c>
      <c r="E537" s="31" t="s">
        <v>25</v>
      </c>
      <c r="F537" s="31" t="s">
        <v>565</v>
      </c>
      <c r="G537" s="31" t="s">
        <v>23</v>
      </c>
      <c r="H537" s="17" t="n">
        <v>11966</v>
      </c>
      <c r="I537" s="32" t="n">
        <v>0.7</v>
      </c>
      <c r="J537" s="33" t="n">
        <v>0.675998662878155</v>
      </c>
      <c r="K537" s="34" t="n">
        <v>0.98368154283595</v>
      </c>
      <c r="L537" s="31" t="n">
        <v>0.995196</v>
      </c>
      <c r="M537" s="31" t="n">
        <v>0.98368154283595</v>
      </c>
      <c r="N537" s="11" t="n">
        <v>1</v>
      </c>
      <c r="O537" s="12"/>
      <c r="P537" s="11"/>
      <c r="Q537" s="8"/>
      <c r="R537" s="8"/>
      <c r="S537" s="8"/>
      <c r="T537" s="8"/>
      <c r="U537" s="8"/>
      <c r="V537" s="8"/>
      <c r="W537" s="8"/>
      <c r="X537" s="8"/>
      <c r="Y537" s="8"/>
      <c r="Z537" s="8"/>
      <c r="AA537" s="8"/>
      <c r="AB537" s="8"/>
      <c r="AC537" s="8"/>
      <c r="AD537" s="8"/>
      <c r="AE537" s="8"/>
      <c r="AF537" s="8"/>
      <c r="AG537" s="8"/>
      <c r="AH537" s="8"/>
      <c r="AI537" s="8"/>
      <c r="AJ537" s="8"/>
      <c r="AK537" s="8"/>
      <c r="AL537" s="8"/>
      <c r="AM537" s="8"/>
    </row>
    <row r="538" customFormat="false" ht="15.75" hidden="false" customHeight="true" outlineLevel="0" collapsed="false">
      <c r="A538" s="30" t="n">
        <v>46305</v>
      </c>
      <c r="B538" s="31" t="s">
        <v>50</v>
      </c>
      <c r="C538" s="31" t="str">
        <f aca="false" t="array" ref="C538:C538">IF(B538="","",IFERROR(INDEX('CLM &amp; IM Mapping'!$B$2:$B$270,MATCH(TRIM(B538),'CLM &amp; IM Mapping'!$A$2:$A$270,0)),"Not Mapped"))</f>
        <v>Arun Raj</v>
      </c>
      <c r="D538" s="31" t="str">
        <f aca="false" t="array" ref="D538:D538">IF(B538="","",IFERROR(INDEX('CLM &amp; IM Mapping'!$C$2:$C$270,MATCH(TRIM(B538),'CLM &amp; IM Mapping'!$A$2:$A$270,0)),"Not Mapped"))</f>
        <v>Simon Manoharan</v>
      </c>
      <c r="E538" s="31" t="s">
        <v>25</v>
      </c>
      <c r="F538" s="31" t="s">
        <v>565</v>
      </c>
      <c r="G538" s="31" t="s">
        <v>23</v>
      </c>
      <c r="H538" s="17" t="n">
        <v>7680</v>
      </c>
      <c r="I538" s="32" t="n">
        <v>0.7</v>
      </c>
      <c r="J538" s="33" t="n">
        <v>0.185286458333333</v>
      </c>
      <c r="K538" s="34" t="n">
        <v>0.747716092761771</v>
      </c>
      <c r="L538" s="31" t="n">
        <v>0.96287</v>
      </c>
      <c r="M538" s="31" t="n">
        <v>0.477205869290232</v>
      </c>
      <c r="N538" s="11" t="n">
        <v>1</v>
      </c>
      <c r="O538" s="12"/>
      <c r="P538" s="11"/>
      <c r="Q538" s="8"/>
      <c r="R538" s="8"/>
      <c r="S538" s="8"/>
      <c r="T538" s="8"/>
      <c r="U538" s="8"/>
      <c r="V538" s="8"/>
      <c r="W538" s="8"/>
      <c r="X538" s="8"/>
      <c r="Y538" s="8"/>
      <c r="Z538" s="8"/>
      <c r="AA538" s="8"/>
      <c r="AB538" s="8"/>
      <c r="AC538" s="8"/>
      <c r="AD538" s="8"/>
      <c r="AE538" s="8"/>
      <c r="AF538" s="8"/>
      <c r="AG538" s="8"/>
      <c r="AH538" s="8"/>
      <c r="AI538" s="8"/>
      <c r="AJ538" s="8"/>
      <c r="AK538" s="8"/>
      <c r="AL538" s="8"/>
      <c r="AM538" s="8"/>
    </row>
    <row r="539" customFormat="false" ht="15.75" hidden="false" customHeight="true" outlineLevel="0" collapsed="false">
      <c r="A539" s="30" t="n">
        <v>46305</v>
      </c>
      <c r="B539" s="31" t="s">
        <v>195</v>
      </c>
      <c r="C539" s="31" t="str">
        <f aca="false" t="array" ref="C539:C539">IF(B539="","",IFERROR(INDEX('CLM &amp; IM Mapping'!$B$2:$B$270,MATCH(TRIM(B539),'CLM &amp; IM Mapping'!$A$2:$A$270,0)),"Not Mapped"))</f>
        <v>Adhavan Subramani</v>
      </c>
      <c r="D539" s="31" t="str">
        <f aca="false" t="array" ref="D539:D539">IF(B539="","",IFERROR(INDEX('CLM &amp; IM Mapping'!$C$2:$C$270,MATCH(TRIM(B539),'CLM &amp; IM Mapping'!$A$2:$A$270,0)),"Not Mapped"))</f>
        <v>Mohammed Akbar</v>
      </c>
      <c r="E539" s="31" t="s">
        <v>34</v>
      </c>
      <c r="F539" s="31" t="s">
        <v>562</v>
      </c>
      <c r="G539" s="31" t="s">
        <v>23</v>
      </c>
      <c r="H539" s="17" t="n">
        <v>5573</v>
      </c>
      <c r="I539" s="32" t="n">
        <v>0.7</v>
      </c>
      <c r="J539" s="33" t="n">
        <v>0.607931096357438</v>
      </c>
      <c r="K539" s="34" t="n">
        <v>0.861275088547816</v>
      </c>
      <c r="L539" s="31" t="n">
        <v>0.937577</v>
      </c>
      <c r="M539" s="31" t="n">
        <v>0.861275088547816</v>
      </c>
      <c r="N539" s="11" t="n">
        <v>4</v>
      </c>
      <c r="O539" s="12"/>
      <c r="P539" s="11"/>
      <c r="Q539" s="8"/>
      <c r="R539" s="8"/>
      <c r="S539" s="8"/>
      <c r="T539" s="8"/>
      <c r="U539" s="8"/>
      <c r="V539" s="8"/>
      <c r="W539" s="8"/>
      <c r="X539" s="8"/>
      <c r="Y539" s="8"/>
      <c r="Z539" s="8"/>
      <c r="AA539" s="8"/>
      <c r="AB539" s="8"/>
      <c r="AC539" s="8"/>
      <c r="AD539" s="8"/>
      <c r="AE539" s="8"/>
      <c r="AF539" s="8"/>
      <c r="AG539" s="8"/>
      <c r="AH539" s="8"/>
      <c r="AI539" s="8"/>
      <c r="AJ539" s="8"/>
      <c r="AK539" s="8"/>
      <c r="AL539" s="8"/>
      <c r="AM539" s="8"/>
    </row>
    <row r="540" customFormat="false" ht="15.75" hidden="false" customHeight="true" outlineLevel="0" collapsed="false">
      <c r="A540" s="30" t="n">
        <v>46305</v>
      </c>
      <c r="B540" s="31" t="s">
        <v>384</v>
      </c>
      <c r="C540" s="31" t="str">
        <f aca="false" t="array" ref="C540:C540">IF(B540="","",IFERROR(INDEX('CLM &amp; IM Mapping'!$B$2:$B$270,MATCH(TRIM(B540),'CLM &amp; IM Mapping'!$A$2:$A$270,0)),"Not Mapped"))</f>
        <v>Saddam Hussain</v>
      </c>
      <c r="D540" s="31" t="str">
        <f aca="false" t="array" ref="D540:D540">IF(B540="","",IFERROR(INDEX('CLM &amp; IM Mapping'!$C$2:$C$270,MATCH(TRIM(B540),'CLM &amp; IM Mapping'!$A$2:$A$270,0)),"Not Mapped"))</f>
        <v>Un Mapped</v>
      </c>
      <c r="E540" s="31" t="s">
        <v>34</v>
      </c>
      <c r="F540" s="31" t="s">
        <v>565</v>
      </c>
      <c r="G540" s="31" t="s">
        <v>23</v>
      </c>
      <c r="H540" s="17" t="n">
        <v>4901</v>
      </c>
      <c r="I540" s="32" t="n">
        <v>0.7</v>
      </c>
      <c r="J540" s="33" t="n">
        <v>0.936135482554581</v>
      </c>
      <c r="K540" s="34" t="n">
        <v>0.914123801220576</v>
      </c>
      <c r="L540" s="31" t="n">
        <v>0.984745</v>
      </c>
      <c r="M540" s="31" t="n">
        <v>0.914123801220576</v>
      </c>
      <c r="N540" s="11" t="n">
        <v>5</v>
      </c>
      <c r="O540" s="12"/>
      <c r="P540" s="11"/>
      <c r="Q540" s="8"/>
      <c r="R540" s="8"/>
      <c r="S540" s="8"/>
      <c r="T540" s="8"/>
      <c r="U540" s="8"/>
      <c r="V540" s="8"/>
      <c r="W540" s="8"/>
      <c r="X540" s="8"/>
      <c r="Y540" s="8"/>
      <c r="Z540" s="8"/>
      <c r="AA540" s="8"/>
      <c r="AB540" s="8"/>
      <c r="AC540" s="8"/>
      <c r="AD540" s="8"/>
      <c r="AE540" s="8"/>
      <c r="AF540" s="8"/>
      <c r="AG540" s="8"/>
      <c r="AH540" s="8"/>
      <c r="AI540" s="8"/>
      <c r="AJ540" s="8"/>
      <c r="AK540" s="8"/>
      <c r="AL540" s="8"/>
      <c r="AM540" s="8"/>
    </row>
    <row r="541" customFormat="false" ht="15.75" hidden="false" customHeight="true" outlineLevel="0" collapsed="false">
      <c r="A541" s="30" t="n">
        <v>46305</v>
      </c>
      <c r="B541" s="31" t="s">
        <v>205</v>
      </c>
      <c r="C541" s="31" t="str">
        <f aca="false" t="array" ref="C541:C541">IF(B541="","",IFERROR(INDEX('CLM &amp; IM Mapping'!$B$2:$B$270,MATCH(TRIM(B541),'CLM &amp; IM Mapping'!$A$2:$A$270,0)),"Not Mapped"))</f>
        <v>Akshay P</v>
      </c>
      <c r="D541" s="31" t="str">
        <f aca="false" t="array" ref="D541:D541">IF(B541="","",IFERROR(INDEX('CLM &amp; IM Mapping'!$C$2:$C$270,MATCH(TRIM(B541),'CLM &amp; IM Mapping'!$A$2:$A$270,0)),"Not Mapped"))</f>
        <v>Srittam Dhal</v>
      </c>
      <c r="E541" s="31" t="s">
        <v>34</v>
      </c>
      <c r="F541" s="31" t="s">
        <v>565</v>
      </c>
      <c r="G541" s="31" t="s">
        <v>23</v>
      </c>
      <c r="H541" s="17" t="n">
        <v>6639</v>
      </c>
      <c r="I541" s="32" t="n">
        <v>0.7</v>
      </c>
      <c r="J541" s="33" t="n">
        <v>0.73354420846513</v>
      </c>
      <c r="K541" s="34" t="n">
        <v>0.90123203285421</v>
      </c>
      <c r="L541" s="31" t="n">
        <v>0.973886</v>
      </c>
      <c r="M541" s="31" t="n">
        <v>0.90123203285421</v>
      </c>
      <c r="N541" s="11" t="n">
        <v>5</v>
      </c>
      <c r="O541" s="12"/>
      <c r="P541" s="11"/>
      <c r="Q541" s="8"/>
      <c r="R541" s="8"/>
      <c r="S541" s="8"/>
      <c r="T541" s="8"/>
      <c r="U541" s="8"/>
      <c r="V541" s="8"/>
      <c r="W541" s="8"/>
      <c r="X541" s="8"/>
      <c r="Y541" s="8"/>
      <c r="Z541" s="8"/>
      <c r="AA541" s="8"/>
      <c r="AB541" s="8"/>
      <c r="AC541" s="8"/>
      <c r="AD541" s="8"/>
      <c r="AE541" s="8"/>
      <c r="AF541" s="8"/>
      <c r="AG541" s="8"/>
      <c r="AH541" s="8"/>
      <c r="AI541" s="8"/>
      <c r="AJ541" s="8"/>
      <c r="AK541" s="8"/>
      <c r="AL541" s="8"/>
      <c r="AM541" s="8"/>
    </row>
    <row r="542" customFormat="false" ht="15.75" hidden="false" customHeight="true" outlineLevel="0" collapsed="false">
      <c r="A542" s="30" t="n">
        <v>46305</v>
      </c>
      <c r="B542" s="31" t="s">
        <v>218</v>
      </c>
      <c r="C542" s="31" t="str">
        <f aca="false" t="array" ref="C542:C542">IF(B542="","",IFERROR(INDEX('CLM &amp; IM Mapping'!$B$2:$B$270,MATCH(TRIM(B542),'CLM &amp; IM Mapping'!$A$2:$A$270,0)),"Not Mapped"))</f>
        <v>Ashwath S</v>
      </c>
      <c r="D542" s="31" t="str">
        <f aca="false" t="array" ref="D542:D542">IF(B542="","",IFERROR(INDEX('CLM &amp; IM Mapping'!$C$2:$C$270,MATCH(TRIM(B542),'CLM &amp; IM Mapping'!$A$2:$A$270,0)),"Not Mapped"))</f>
        <v>Kantha Kumar</v>
      </c>
      <c r="E542" s="31" t="s">
        <v>34</v>
      </c>
      <c r="F542" s="31" t="s">
        <v>562</v>
      </c>
      <c r="G542" s="31" t="s">
        <v>23</v>
      </c>
      <c r="H542" s="17" t="n">
        <v>7376</v>
      </c>
      <c r="I542" s="32" t="n">
        <v>0.7</v>
      </c>
      <c r="J542" s="33" t="n">
        <v>0.536062906724512</v>
      </c>
      <c r="K542" s="34" t="n">
        <v>0.819676277187658</v>
      </c>
      <c r="L542" s="31" t="n">
        <v>0.717621</v>
      </c>
      <c r="M542" s="31" t="n">
        <v>0.819676277187658</v>
      </c>
      <c r="N542" s="11" t="n">
        <v>5</v>
      </c>
      <c r="O542" s="12"/>
      <c r="P542" s="11"/>
      <c r="Q542" s="8"/>
      <c r="R542" s="8"/>
      <c r="S542" s="8"/>
      <c r="T542" s="8"/>
      <c r="U542" s="8"/>
      <c r="V542" s="8"/>
      <c r="W542" s="8"/>
      <c r="X542" s="8"/>
      <c r="Y542" s="8"/>
      <c r="Z542" s="8"/>
      <c r="AA542" s="8"/>
      <c r="AB542" s="8"/>
      <c r="AC542" s="8"/>
      <c r="AD542" s="8"/>
      <c r="AE542" s="8"/>
      <c r="AF542" s="8"/>
      <c r="AG542" s="8"/>
      <c r="AH542" s="8"/>
      <c r="AI542" s="8"/>
      <c r="AJ542" s="8"/>
      <c r="AK542" s="8"/>
      <c r="AL542" s="8"/>
      <c r="AM542" s="8"/>
    </row>
    <row r="543" customFormat="false" ht="15.75" hidden="false" customHeight="true" outlineLevel="0" collapsed="false">
      <c r="A543" s="30" t="n">
        <v>46305</v>
      </c>
      <c r="B543" s="31" t="s">
        <v>59</v>
      </c>
      <c r="C543" s="31" t="str">
        <f aca="false" t="array" ref="C543:C543">IF(B543="","",IFERROR(INDEX('CLM &amp; IM Mapping'!$B$2:$B$270,MATCH(TRIM(B543),'CLM &amp; IM Mapping'!$A$2:$A$270,0)),"Not Mapped"))</f>
        <v>Saddam Hussain</v>
      </c>
      <c r="D543" s="31" t="str">
        <f aca="false" t="array" ref="D543:D543">IF(B543="","",IFERROR(INDEX('CLM &amp; IM Mapping'!$C$2:$C$270,MATCH(TRIM(B543),'CLM &amp; IM Mapping'!$A$2:$A$270,0)),"Not Mapped"))</f>
        <v>Un Mapped</v>
      </c>
      <c r="E543" s="31" t="s">
        <v>34</v>
      </c>
      <c r="F543" s="31" t="s">
        <v>562</v>
      </c>
      <c r="G543" s="31" t="s">
        <v>23</v>
      </c>
      <c r="H543" s="17" t="n">
        <v>6691</v>
      </c>
      <c r="I543" s="32" t="n">
        <v>0.7</v>
      </c>
      <c r="J543" s="33" t="n">
        <v>0.286504259452997</v>
      </c>
      <c r="K543" s="34" t="n">
        <v>0.724047991653625</v>
      </c>
      <c r="L543" s="31" t="n">
        <v>0.873491</v>
      </c>
      <c r="M543" s="31" t="n">
        <v>0.714536897235263</v>
      </c>
      <c r="N543" s="11" t="n">
        <v>4</v>
      </c>
      <c r="O543" s="12"/>
      <c r="P543" s="11"/>
      <c r="Q543" s="8"/>
      <c r="R543" s="8"/>
      <c r="S543" s="8"/>
      <c r="T543" s="8"/>
      <c r="U543" s="8"/>
      <c r="V543" s="8"/>
      <c r="W543" s="8"/>
      <c r="X543" s="8"/>
      <c r="Y543" s="8"/>
      <c r="Z543" s="8"/>
      <c r="AA543" s="8"/>
      <c r="AB543" s="8"/>
      <c r="AC543" s="8"/>
      <c r="AD543" s="8"/>
      <c r="AE543" s="8"/>
      <c r="AF543" s="8"/>
      <c r="AG543" s="8"/>
      <c r="AH543" s="8"/>
      <c r="AI543" s="8"/>
      <c r="AJ543" s="8"/>
      <c r="AK543" s="8"/>
      <c r="AL543" s="8"/>
      <c r="AM543" s="8"/>
    </row>
    <row r="544" customFormat="false" ht="15.75" hidden="false" customHeight="true" outlineLevel="0" collapsed="false">
      <c r="A544" s="30" t="n">
        <v>46305</v>
      </c>
      <c r="B544" s="31" t="s">
        <v>479</v>
      </c>
      <c r="C544" s="31" t="str">
        <f aca="false" t="array" ref="C544:C544">IF(B544="","",IFERROR(INDEX('CLM &amp; IM Mapping'!$B$2:$B$270,MATCH(TRIM(B544),'CLM &amp; IM Mapping'!$A$2:$A$270,0)),"Not Mapped"))</f>
        <v>Arun Raj</v>
      </c>
      <c r="D544" s="31" t="str">
        <f aca="false" t="array" ref="D544:D544">IF(B544="","",IFERROR(INDEX('CLM &amp; IM Mapping'!$C$2:$C$270,MATCH(TRIM(B544),'CLM &amp; IM Mapping'!$A$2:$A$270,0)),"Not Mapped"))</f>
        <v>Simon Manoharan</v>
      </c>
      <c r="E544" s="31" t="s">
        <v>25</v>
      </c>
      <c r="F544" s="31" t="s">
        <v>565</v>
      </c>
      <c r="G544" s="31" t="s">
        <v>23</v>
      </c>
      <c r="H544" s="17" t="n">
        <v>13730</v>
      </c>
      <c r="I544" s="32" t="n">
        <v>0.7</v>
      </c>
      <c r="J544" s="33" t="n">
        <v>0.0618353969410051</v>
      </c>
      <c r="K544" s="34" t="n">
        <v>0.958775029446408</v>
      </c>
      <c r="L544" s="31" t="n">
        <v>0.984438</v>
      </c>
      <c r="M544" s="31" t="n">
        <v>0.20420949352179</v>
      </c>
      <c r="N544" s="11" t="n">
        <v>1</v>
      </c>
      <c r="O544" s="12"/>
      <c r="P544" s="11"/>
      <c r="Q544" s="8"/>
      <c r="R544" s="8"/>
      <c r="S544" s="8"/>
      <c r="T544" s="8"/>
      <c r="U544" s="8"/>
      <c r="V544" s="8"/>
      <c r="W544" s="8"/>
      <c r="X544" s="8"/>
      <c r="Y544" s="8"/>
      <c r="Z544" s="8"/>
      <c r="AA544" s="8"/>
      <c r="AB544" s="8"/>
      <c r="AC544" s="8"/>
      <c r="AD544" s="8"/>
      <c r="AE544" s="8"/>
      <c r="AF544" s="8"/>
      <c r="AG544" s="8"/>
      <c r="AH544" s="8"/>
      <c r="AI544" s="8"/>
      <c r="AJ544" s="8"/>
      <c r="AK544" s="8"/>
      <c r="AL544" s="8"/>
      <c r="AM544" s="8"/>
    </row>
    <row r="545" customFormat="false" ht="15.75" hidden="false" customHeight="true" outlineLevel="0" collapsed="false">
      <c r="A545" s="30" t="n">
        <v>46305</v>
      </c>
      <c r="B545" s="31" t="s">
        <v>346</v>
      </c>
      <c r="C545" s="31" t="str">
        <f aca="false" t="array" ref="C545:C545">IF(B545="","",IFERROR(INDEX('CLM &amp; IM Mapping'!$B$2:$B$270,MATCH(TRIM(B545),'CLM &amp; IM Mapping'!$A$2:$A$270,0)),"Not Mapped"))</f>
        <v>Saddam Hussain</v>
      </c>
      <c r="D545" s="31" t="str">
        <f aca="false" t="array" ref="D545:D545">IF(B545="","",IFERROR(INDEX('CLM &amp; IM Mapping'!$C$2:$C$270,MATCH(TRIM(B545),'CLM &amp; IM Mapping'!$A$2:$A$270,0)),"Not Mapped"))</f>
        <v>Un Mapped</v>
      </c>
      <c r="E545" s="31" t="s">
        <v>34</v>
      </c>
      <c r="F545" s="31" t="s">
        <v>562</v>
      </c>
      <c r="G545" s="31" t="s">
        <v>23</v>
      </c>
      <c r="H545" s="17" t="n">
        <v>5663</v>
      </c>
      <c r="I545" s="32" t="n">
        <v>0.7</v>
      </c>
      <c r="J545" s="33" t="n">
        <v>0.834716581317323</v>
      </c>
      <c r="K545" s="34" t="n">
        <v>0.93420774275439</v>
      </c>
      <c r="L545" s="31" t="n">
        <v>0.986155</v>
      </c>
      <c r="M545" s="31" t="n">
        <v>0.93420774275439</v>
      </c>
      <c r="N545" s="11" t="n">
        <v>4</v>
      </c>
      <c r="O545" s="12"/>
      <c r="P545" s="11"/>
      <c r="Q545" s="8"/>
      <c r="R545" s="8"/>
      <c r="S545" s="8"/>
      <c r="T545" s="8"/>
      <c r="U545" s="8"/>
      <c r="V545" s="8"/>
      <c r="W545" s="8"/>
      <c r="X545" s="8"/>
      <c r="Y545" s="8"/>
      <c r="Z545" s="8"/>
      <c r="AA545" s="8"/>
      <c r="AB545" s="8"/>
      <c r="AC545" s="8"/>
      <c r="AD545" s="8"/>
      <c r="AE545" s="8"/>
      <c r="AF545" s="8"/>
      <c r="AG545" s="8"/>
      <c r="AH545" s="8"/>
      <c r="AI545" s="8"/>
      <c r="AJ545" s="8"/>
      <c r="AK545" s="8"/>
      <c r="AL545" s="8"/>
      <c r="AM545" s="8"/>
    </row>
    <row r="546" customFormat="false" ht="15.75" hidden="false" customHeight="true" outlineLevel="0" collapsed="false">
      <c r="A546" s="30" t="n">
        <v>46305</v>
      </c>
      <c r="B546" s="31" t="s">
        <v>100</v>
      </c>
      <c r="C546" s="31" t="str">
        <f aca="false" t="array" ref="C546:C546">IF(B546="","",IFERROR(INDEX('CLM &amp; IM Mapping'!$B$2:$B$270,MATCH(TRIM(B546),'CLM &amp; IM Mapping'!$A$2:$A$270,0)),"Not Mapped"))</f>
        <v>Sundaresh S</v>
      </c>
      <c r="D546" s="31" t="str">
        <f aca="false" t="array" ref="D546:D546">IF(B546="","",IFERROR(INDEX('CLM &amp; IM Mapping'!$C$2:$C$270,MATCH(TRIM(B546),'CLM &amp; IM Mapping'!$A$2:$A$270,0)),"Not Mapped"))</f>
        <v>Un Mapped</v>
      </c>
      <c r="E546" s="31" t="s">
        <v>34</v>
      </c>
      <c r="F546" s="31" t="s">
        <v>562</v>
      </c>
      <c r="G546" s="31" t="s">
        <v>23</v>
      </c>
      <c r="H546" s="17" t="n">
        <v>6352</v>
      </c>
      <c r="I546" s="32" t="n">
        <v>0.7</v>
      </c>
      <c r="J546" s="33" t="n">
        <v>0.457651133501259</v>
      </c>
      <c r="K546" s="34" t="n">
        <v>0.69281045751634</v>
      </c>
      <c r="L546" s="31" t="n">
        <v>0.913919</v>
      </c>
      <c r="M546" s="31" t="n">
        <v>0.69281045751634</v>
      </c>
      <c r="N546" s="11" t="n">
        <v>6</v>
      </c>
      <c r="O546" s="12"/>
      <c r="P546" s="11"/>
      <c r="Q546" s="8"/>
      <c r="R546" s="8"/>
      <c r="S546" s="8"/>
      <c r="T546" s="8"/>
      <c r="U546" s="8"/>
      <c r="V546" s="8"/>
      <c r="W546" s="8"/>
      <c r="X546" s="8"/>
      <c r="Y546" s="8"/>
      <c r="Z546" s="8"/>
      <c r="AA546" s="8"/>
      <c r="AB546" s="8"/>
      <c r="AC546" s="8"/>
      <c r="AD546" s="8"/>
      <c r="AE546" s="8"/>
      <c r="AF546" s="8"/>
      <c r="AG546" s="8"/>
      <c r="AH546" s="8"/>
      <c r="AI546" s="8"/>
      <c r="AJ546" s="8"/>
      <c r="AK546" s="8"/>
      <c r="AL546" s="8"/>
      <c r="AM546" s="8"/>
    </row>
    <row r="547" customFormat="false" ht="15.75" hidden="false" customHeight="true" outlineLevel="0" collapsed="false">
      <c r="A547" s="30" t="n">
        <v>46305</v>
      </c>
      <c r="B547" s="31" t="s">
        <v>173</v>
      </c>
      <c r="C547" s="31" t="str">
        <f aca="false" t="array" ref="C547:C547">IF(B547="","",IFERROR(INDEX('CLM &amp; IM Mapping'!$B$2:$B$270,MATCH(TRIM(B547),'CLM &amp; IM Mapping'!$A$2:$A$270,0)),"Not Mapped"))</f>
        <v>Akshay P</v>
      </c>
      <c r="D547" s="31" t="str">
        <f aca="false" t="array" ref="D547:D547">IF(B547="","",IFERROR(INDEX('CLM &amp; IM Mapping'!$C$2:$C$270,MATCH(TRIM(B547),'CLM &amp; IM Mapping'!$A$2:$A$270,0)),"Not Mapped"))</f>
        <v>Srittam Dhal</v>
      </c>
      <c r="E547" s="31" t="s">
        <v>34</v>
      </c>
      <c r="F547" s="31" t="s">
        <v>562</v>
      </c>
      <c r="G547" s="31" t="s">
        <v>23</v>
      </c>
      <c r="H547" s="17" t="n">
        <v>7531</v>
      </c>
      <c r="I547" s="32" t="n">
        <v>0.7</v>
      </c>
      <c r="J547" s="33" t="n">
        <v>0.472048864692604</v>
      </c>
      <c r="K547" s="34" t="n">
        <v>0.811251758087201</v>
      </c>
      <c r="L547" s="31" t="n">
        <v>0.906427</v>
      </c>
      <c r="M547" s="31" t="n">
        <v>0.811251758087201</v>
      </c>
      <c r="N547" s="11" t="n">
        <v>4</v>
      </c>
      <c r="O547" s="12"/>
      <c r="P547" s="11"/>
      <c r="Q547" s="8"/>
      <c r="R547" s="8"/>
      <c r="S547" s="8"/>
      <c r="T547" s="8"/>
      <c r="U547" s="8"/>
      <c r="V547" s="8"/>
      <c r="W547" s="8"/>
      <c r="X547" s="8"/>
      <c r="Y547" s="8"/>
      <c r="Z547" s="8"/>
      <c r="AA547" s="8"/>
      <c r="AB547" s="8"/>
      <c r="AC547" s="8"/>
      <c r="AD547" s="8"/>
      <c r="AE547" s="8"/>
      <c r="AF547" s="8"/>
      <c r="AG547" s="8"/>
      <c r="AH547" s="8"/>
      <c r="AI547" s="8"/>
      <c r="AJ547" s="8"/>
      <c r="AK547" s="8"/>
      <c r="AL547" s="8"/>
      <c r="AM547" s="8"/>
    </row>
    <row r="548" customFormat="false" ht="15.75" hidden="false" customHeight="true" outlineLevel="0" collapsed="false">
      <c r="A548" s="30" t="n">
        <v>46305</v>
      </c>
      <c r="B548" s="31" t="s">
        <v>473</v>
      </c>
      <c r="C548" s="31" t="str">
        <f aca="false" t="array" ref="C548:C548">IF(B548="","",IFERROR(INDEX('CLM &amp; IM Mapping'!$B$2:$B$270,MATCH(TRIM(B548),'CLM &amp; IM Mapping'!$A$2:$A$270,0)),"Not Mapped"))</f>
        <v>Raghavendra Vernekar</v>
      </c>
      <c r="D548" s="31" t="str">
        <f aca="false" t="array" ref="D548:D548">IF(B548="","",IFERROR(INDEX('CLM &amp; IM Mapping'!$C$2:$C$270,MATCH(TRIM(B548),'CLM &amp; IM Mapping'!$A$2:$A$270,0)),"Not Mapped"))</f>
        <v>Prakash BS</v>
      </c>
      <c r="E548" s="31" t="s">
        <v>34</v>
      </c>
      <c r="F548" s="31" t="s">
        <v>565</v>
      </c>
      <c r="G548" s="31" t="s">
        <v>23</v>
      </c>
      <c r="H548" s="17" t="n">
        <v>4755</v>
      </c>
      <c r="I548" s="32" t="n">
        <v>0.7</v>
      </c>
      <c r="J548" s="33" t="n">
        <v>0.99621451104101</v>
      </c>
      <c r="K548" s="34" t="n">
        <v>0.93666877770741</v>
      </c>
      <c r="L548" s="31" t="n">
        <v>0.990543</v>
      </c>
      <c r="M548" s="31" t="n">
        <v>0.93666877770741</v>
      </c>
      <c r="N548" s="11" t="n">
        <v>4</v>
      </c>
      <c r="O548" s="12"/>
      <c r="P548" s="11"/>
      <c r="Q548" s="8"/>
      <c r="R548" s="8"/>
      <c r="S548" s="8"/>
      <c r="T548" s="8"/>
      <c r="U548" s="8"/>
      <c r="V548" s="8"/>
      <c r="W548" s="8"/>
      <c r="X548" s="8"/>
      <c r="Y548" s="8"/>
      <c r="Z548" s="8"/>
      <c r="AA548" s="8"/>
      <c r="AB548" s="8"/>
      <c r="AC548" s="8"/>
      <c r="AD548" s="8"/>
      <c r="AE548" s="8"/>
      <c r="AF548" s="8"/>
      <c r="AG548" s="8"/>
      <c r="AH548" s="8"/>
      <c r="AI548" s="8"/>
      <c r="AJ548" s="8"/>
      <c r="AK548" s="8"/>
      <c r="AL548" s="8"/>
      <c r="AM548" s="8"/>
    </row>
    <row r="549" customFormat="false" ht="15.75" hidden="false" customHeight="true" outlineLevel="0" collapsed="false">
      <c r="A549" s="30" t="n">
        <v>46305</v>
      </c>
      <c r="B549" s="31" t="s">
        <v>494</v>
      </c>
      <c r="C549" s="31" t="str">
        <f aca="false" t="array" ref="C549:C549">IF(B549="","",IFERROR(INDEX('CLM &amp; IM Mapping'!$B$2:$B$270,MATCH(TRIM(B549),'CLM &amp; IM Mapping'!$A$2:$A$270,0)),"Not Mapped"))</f>
        <v>Arun Raj</v>
      </c>
      <c r="D549" s="31" t="str">
        <f aca="false" t="array" ref="D549:D549">IF(B549="","",IFERROR(INDEX('CLM &amp; IM Mapping'!$C$2:$C$270,MATCH(TRIM(B549),'CLM &amp; IM Mapping'!$A$2:$A$270,0)),"Not Mapped"))</f>
        <v>Simon Manoharan</v>
      </c>
      <c r="E549" s="31" t="s">
        <v>25</v>
      </c>
      <c r="F549" s="31" t="s">
        <v>565</v>
      </c>
      <c r="G549" s="31" t="s">
        <v>23</v>
      </c>
      <c r="H549" s="17" t="n">
        <v>12700</v>
      </c>
      <c r="I549" s="32" t="n">
        <v>0.7</v>
      </c>
      <c r="J549" s="33" t="n">
        <v>0.64259842519685</v>
      </c>
      <c r="K549" s="34" t="n">
        <v>0.973532655311849</v>
      </c>
      <c r="L549" s="31" t="n">
        <v>0.99127</v>
      </c>
      <c r="M549" s="31" t="n">
        <v>0.973532655311849</v>
      </c>
      <c r="N549" s="11" t="n">
        <v>3</v>
      </c>
      <c r="O549" s="12"/>
      <c r="P549" s="11"/>
      <c r="Q549" s="8"/>
      <c r="R549" s="8"/>
      <c r="S549" s="8"/>
      <c r="T549" s="8"/>
      <c r="U549" s="8"/>
      <c r="V549" s="8"/>
      <c r="W549" s="8"/>
      <c r="X549" s="8"/>
      <c r="Y549" s="8"/>
      <c r="Z549" s="8"/>
      <c r="AA549" s="8"/>
      <c r="AB549" s="8"/>
      <c r="AC549" s="8"/>
      <c r="AD549" s="8"/>
      <c r="AE549" s="8"/>
      <c r="AF549" s="8"/>
      <c r="AG549" s="8"/>
      <c r="AH549" s="8"/>
      <c r="AI549" s="8"/>
      <c r="AJ549" s="8"/>
      <c r="AK549" s="8"/>
      <c r="AL549" s="8"/>
      <c r="AM549" s="8"/>
    </row>
    <row r="550" customFormat="false" ht="15.75" hidden="false" customHeight="true" outlineLevel="0" collapsed="false">
      <c r="A550" s="30" t="n">
        <v>46305</v>
      </c>
      <c r="B550" s="31" t="s">
        <v>70</v>
      </c>
      <c r="C550" s="31" t="str">
        <f aca="false" t="array" ref="C550:C550">IF(B550="","",IFERROR(INDEX('CLM &amp; IM Mapping'!$B$2:$B$270,MATCH(TRIM(B550),'CLM &amp; IM Mapping'!$A$2:$A$270,0)),"Not Mapped"))</f>
        <v>Rizwan Ahmed</v>
      </c>
      <c r="D550" s="31" t="str">
        <f aca="false" t="array" ref="D550:D550">IF(B550="","",IFERROR(INDEX('CLM &amp; IM Mapping'!$C$2:$C$270,MATCH(TRIM(B550),'CLM &amp; IM Mapping'!$A$2:$A$270,0)),"Not Mapped"))</f>
        <v>Un Mapped</v>
      </c>
      <c r="E550" s="31" t="s">
        <v>34</v>
      </c>
      <c r="F550" s="31" t="s">
        <v>562</v>
      </c>
      <c r="G550" s="31" t="s">
        <v>23</v>
      </c>
      <c r="H550" s="17" t="n">
        <v>7186</v>
      </c>
      <c r="I550" s="32" t="n">
        <v>0.7</v>
      </c>
      <c r="J550" s="33" t="n">
        <v>0.831895352073476</v>
      </c>
      <c r="K550" s="34" t="n">
        <v>0.836400133824022</v>
      </c>
      <c r="L550" s="31" t="n">
        <v>0.928781</v>
      </c>
      <c r="M550" s="31" t="n">
        <v>0.836400133824022</v>
      </c>
      <c r="N550" s="11" t="n">
        <v>2</v>
      </c>
      <c r="O550" s="12"/>
      <c r="P550" s="11"/>
      <c r="Q550" s="8"/>
      <c r="R550" s="8"/>
      <c r="S550" s="8"/>
      <c r="T550" s="8"/>
      <c r="U550" s="8"/>
      <c r="V550" s="8"/>
      <c r="W550" s="8"/>
      <c r="X550" s="8"/>
      <c r="Y550" s="8"/>
      <c r="Z550" s="8"/>
      <c r="AA550" s="8"/>
      <c r="AB550" s="8"/>
      <c r="AC550" s="8"/>
      <c r="AD550" s="8"/>
      <c r="AE550" s="8"/>
      <c r="AF550" s="8"/>
      <c r="AG550" s="8"/>
      <c r="AH550" s="8"/>
      <c r="AI550" s="8"/>
      <c r="AJ550" s="8"/>
      <c r="AK550" s="8"/>
      <c r="AL550" s="8"/>
      <c r="AM550" s="8"/>
    </row>
    <row r="551" customFormat="false" ht="15.75" hidden="false" customHeight="true" outlineLevel="0" collapsed="false">
      <c r="A551" s="30" t="n">
        <v>46305</v>
      </c>
      <c r="B551" s="31" t="s">
        <v>433</v>
      </c>
      <c r="C551" s="31" t="str">
        <f aca="false" t="array" ref="C551:C551">IF(B551="","",IFERROR(INDEX('CLM &amp; IM Mapping'!$B$2:$B$270,MATCH(TRIM(B551),'CLM &amp; IM Mapping'!$A$2:$A$270,0)),"Not Mapped"))</f>
        <v>Silambarasan E</v>
      </c>
      <c r="D551" s="31" t="str">
        <f aca="false" t="array" ref="D551:D551">IF(B551="","",IFERROR(INDEX('CLM &amp; IM Mapping'!$C$2:$C$270,MATCH(TRIM(B551),'CLM &amp; IM Mapping'!$A$2:$A$270,0)),"Not Mapped"))</f>
        <v>Arivind S</v>
      </c>
      <c r="E551" s="31" t="s">
        <v>34</v>
      </c>
      <c r="F551" s="31" t="s">
        <v>562</v>
      </c>
      <c r="G551" s="31" t="s">
        <v>23</v>
      </c>
      <c r="H551" s="17" t="n">
        <v>6145</v>
      </c>
      <c r="I551" s="32" t="n">
        <v>0.7</v>
      </c>
      <c r="J551" s="33" t="n">
        <v>0.597884458909683</v>
      </c>
      <c r="K551" s="34" t="n">
        <v>0.835873707131192</v>
      </c>
      <c r="L551" s="31" t="n">
        <v>0.963109</v>
      </c>
      <c r="M551" s="31" t="n">
        <v>0.835873707131192</v>
      </c>
      <c r="N551" s="11" t="n">
        <v>3</v>
      </c>
      <c r="O551" s="12"/>
      <c r="P551" s="11"/>
      <c r="Q551" s="8"/>
      <c r="R551" s="8"/>
      <c r="S551" s="8"/>
      <c r="T551" s="8"/>
      <c r="U551" s="8"/>
      <c r="V551" s="8"/>
      <c r="W551" s="8"/>
      <c r="X551" s="8"/>
      <c r="Y551" s="8"/>
      <c r="Z551" s="8"/>
      <c r="AA551" s="8"/>
      <c r="AB551" s="8"/>
      <c r="AC551" s="8"/>
      <c r="AD551" s="8"/>
      <c r="AE551" s="8"/>
      <c r="AF551" s="8"/>
      <c r="AG551" s="8"/>
      <c r="AH551" s="8"/>
      <c r="AI551" s="8"/>
      <c r="AJ551" s="8"/>
      <c r="AK551" s="8"/>
      <c r="AL551" s="8"/>
      <c r="AM551" s="8"/>
    </row>
    <row r="552" customFormat="false" ht="15.75" hidden="false" customHeight="true" outlineLevel="0" collapsed="false">
      <c r="A552" s="30" t="n">
        <v>46305</v>
      </c>
      <c r="B552" s="31" t="s">
        <v>56</v>
      </c>
      <c r="C552" s="31" t="str">
        <f aca="false" t="array" ref="C552:C552">IF(B552="","",IFERROR(INDEX('CLM &amp; IM Mapping'!$B$2:$B$270,MATCH(TRIM(B552),'CLM &amp; IM Mapping'!$A$2:$A$270,0)),"Not Mapped"))</f>
        <v>Keshav G</v>
      </c>
      <c r="D552" s="31" t="str">
        <f aca="false" t="array" ref="D552:D552">IF(B552="","",IFERROR(INDEX('CLM &amp; IM Mapping'!$C$2:$C$270,MATCH(TRIM(B552),'CLM &amp; IM Mapping'!$A$2:$A$270,0)),"Not Mapped"))</f>
        <v>Un Mapped</v>
      </c>
      <c r="E552" s="31" t="s">
        <v>34</v>
      </c>
      <c r="F552" s="31" t="s">
        <v>562</v>
      </c>
      <c r="G552" s="31" t="s">
        <v>23</v>
      </c>
      <c r="H552" s="17" t="n">
        <v>5873</v>
      </c>
      <c r="I552" s="32" t="n">
        <v>0.7</v>
      </c>
      <c r="J552" s="33" t="n">
        <v>0.29218457347182</v>
      </c>
      <c r="K552" s="34" t="n">
        <v>0.712703962703963</v>
      </c>
      <c r="L552" s="31" t="n">
        <v>0.949629</v>
      </c>
      <c r="M552" s="31" t="n">
        <v>0.712703962703963</v>
      </c>
      <c r="N552" s="11" t="n">
        <v>7</v>
      </c>
      <c r="O552" s="12"/>
      <c r="P552" s="11"/>
      <c r="Q552" s="8"/>
      <c r="R552" s="8"/>
      <c r="S552" s="8"/>
      <c r="T552" s="8"/>
      <c r="U552" s="8"/>
      <c r="V552" s="8"/>
      <c r="W552" s="8"/>
      <c r="X552" s="8"/>
      <c r="Y552" s="8"/>
      <c r="Z552" s="8"/>
      <c r="AA552" s="8"/>
      <c r="AB552" s="8"/>
      <c r="AC552" s="8"/>
      <c r="AD552" s="8"/>
      <c r="AE552" s="8"/>
      <c r="AF552" s="8"/>
      <c r="AG552" s="8"/>
      <c r="AH552" s="8"/>
      <c r="AI552" s="8"/>
      <c r="AJ552" s="8"/>
      <c r="AK552" s="8"/>
      <c r="AL552" s="8"/>
      <c r="AM552" s="8"/>
    </row>
    <row r="553" customFormat="false" ht="15.75" hidden="false" customHeight="true" outlineLevel="0" collapsed="false">
      <c r="A553" s="30" t="n">
        <v>46305</v>
      </c>
      <c r="B553" s="31" t="s">
        <v>364</v>
      </c>
      <c r="C553" s="31" t="str">
        <f aca="false" t="array" ref="C553:C553">IF(B553="","",IFERROR(INDEX('CLM &amp; IM Mapping'!$B$2:$B$270,MATCH(TRIM(B553),'CLM &amp; IM Mapping'!$A$2:$A$270,0)),"Not Mapped"))</f>
        <v>Raghavendra Vernekar</v>
      </c>
      <c r="D553" s="31" t="str">
        <f aca="false" t="array" ref="D553:D553">IF(B553="","",IFERROR(INDEX('CLM &amp; IM Mapping'!$C$2:$C$270,MATCH(TRIM(B553),'CLM &amp; IM Mapping'!$A$2:$A$270,0)),"Not Mapped"))</f>
        <v>Prakash BS</v>
      </c>
      <c r="E553" s="31" t="s">
        <v>34</v>
      </c>
      <c r="F553" s="31" t="s">
        <v>565</v>
      </c>
      <c r="G553" s="31" t="s">
        <v>23</v>
      </c>
      <c r="H553" s="17" t="n">
        <v>6976</v>
      </c>
      <c r="I553" s="32" t="n">
        <v>0.7</v>
      </c>
      <c r="J553" s="33" t="n">
        <v>0.782826834862385</v>
      </c>
      <c r="K553" s="34" t="n">
        <v>0.85149240065922</v>
      </c>
      <c r="L553" s="31" t="n">
        <v>0.958625</v>
      </c>
      <c r="M553" s="31" t="n">
        <v>0.85149240065922</v>
      </c>
      <c r="N553" s="11" t="n">
        <v>7</v>
      </c>
      <c r="O553" s="12"/>
      <c r="P553" s="11"/>
      <c r="Q553" s="8"/>
      <c r="R553" s="8"/>
      <c r="S553" s="8"/>
      <c r="T553" s="8"/>
      <c r="U553" s="8"/>
      <c r="V553" s="8"/>
      <c r="W553" s="8"/>
      <c r="X553" s="8"/>
      <c r="Y553" s="8"/>
      <c r="Z553" s="8"/>
      <c r="AA553" s="8"/>
      <c r="AB553" s="8"/>
      <c r="AC553" s="8"/>
      <c r="AD553" s="8"/>
      <c r="AE553" s="8"/>
      <c r="AF553" s="8"/>
      <c r="AG553" s="8"/>
      <c r="AH553" s="8"/>
      <c r="AI553" s="8"/>
      <c r="AJ553" s="8"/>
      <c r="AK553" s="8"/>
      <c r="AL553" s="8"/>
      <c r="AM553" s="8"/>
    </row>
    <row r="554" customFormat="false" ht="15.75" hidden="false" customHeight="true" outlineLevel="0" collapsed="false">
      <c r="A554" s="30" t="n">
        <v>46305</v>
      </c>
      <c r="B554" s="31" t="s">
        <v>139</v>
      </c>
      <c r="C554" s="31" t="str">
        <f aca="false" t="array" ref="C554:C554">IF(B554="","",IFERROR(INDEX('CLM &amp; IM Mapping'!$B$2:$B$270,MATCH(TRIM(B554),'CLM &amp; IM Mapping'!$A$2:$A$270,0)),"Not Mapped"))</f>
        <v>Mohaideen DH</v>
      </c>
      <c r="D554" s="31" t="str">
        <f aca="false" t="array" ref="D554:D554">IF(B554="","",IFERROR(INDEX('CLM &amp; IM Mapping'!$C$2:$C$270,MATCH(TRIM(B554),'CLM &amp; IM Mapping'!$A$2:$A$270,0)),"Not Mapped"))</f>
        <v>Mohammed Akbar</v>
      </c>
      <c r="E554" s="31" t="s">
        <v>34</v>
      </c>
      <c r="F554" s="31" t="s">
        <v>562</v>
      </c>
      <c r="G554" s="31" t="s">
        <v>23</v>
      </c>
      <c r="H554" s="17" t="n">
        <v>4964</v>
      </c>
      <c r="I554" s="32" t="n">
        <v>0.7</v>
      </c>
      <c r="J554" s="33" t="n">
        <v>0.815068493150685</v>
      </c>
      <c r="K554" s="34" t="n">
        <v>0.825753830944142</v>
      </c>
      <c r="L554" s="31" t="n">
        <v>0.955643</v>
      </c>
      <c r="M554" s="31" t="n">
        <v>0.825753830944142</v>
      </c>
      <c r="N554" s="11" t="n">
        <v>4</v>
      </c>
      <c r="O554" s="12"/>
      <c r="P554" s="11"/>
      <c r="Q554" s="8"/>
      <c r="R554" s="8"/>
      <c r="S554" s="8"/>
      <c r="T554" s="8"/>
      <c r="U554" s="8"/>
      <c r="V554" s="8"/>
      <c r="W554" s="8"/>
      <c r="X554" s="8"/>
      <c r="Y554" s="8"/>
      <c r="Z554" s="8"/>
      <c r="AA554" s="8"/>
      <c r="AB554" s="8"/>
      <c r="AC554" s="8"/>
      <c r="AD554" s="8"/>
      <c r="AE554" s="8"/>
      <c r="AF554" s="8"/>
      <c r="AG554" s="8"/>
      <c r="AH554" s="8"/>
      <c r="AI554" s="8"/>
      <c r="AJ554" s="8"/>
      <c r="AK554" s="8"/>
      <c r="AL554" s="8"/>
      <c r="AM554" s="8"/>
    </row>
    <row r="555" customFormat="false" ht="15.75" hidden="false" customHeight="true" outlineLevel="0" collapsed="false">
      <c r="A555" s="30" t="n">
        <v>46305</v>
      </c>
      <c r="B555" s="31" t="s">
        <v>342</v>
      </c>
      <c r="C555" s="31" t="str">
        <f aca="false" t="array" ref="C555:C555">IF(B555="","",IFERROR(INDEX('CLM &amp; IM Mapping'!$B$2:$B$270,MATCH(TRIM(B555),'CLM &amp; IM Mapping'!$A$2:$A$270,0)),"Not Mapped"))</f>
        <v>Saddam Hussain</v>
      </c>
      <c r="D555" s="31" t="str">
        <f aca="false" t="array" ref="D555:D555">IF(B555="","",IFERROR(INDEX('CLM &amp; IM Mapping'!$C$2:$C$270,MATCH(TRIM(B555),'CLM &amp; IM Mapping'!$A$2:$A$270,0)),"Not Mapped"))</f>
        <v>Un Mapped</v>
      </c>
      <c r="E555" s="31" t="s">
        <v>34</v>
      </c>
      <c r="F555" s="31" t="s">
        <v>562</v>
      </c>
      <c r="G555" s="31" t="s">
        <v>23</v>
      </c>
      <c r="H555" s="17" t="n">
        <v>6537</v>
      </c>
      <c r="I555" s="32" t="n">
        <v>0.7</v>
      </c>
      <c r="J555" s="33" t="n">
        <v>0.794401101422671</v>
      </c>
      <c r="K555" s="34" t="n">
        <v>0.899865203158098</v>
      </c>
      <c r="L555" s="31" t="n">
        <v>0.973669</v>
      </c>
      <c r="M555" s="31" t="n">
        <v>0.899865203158098</v>
      </c>
      <c r="N555" s="11" t="n">
        <v>3</v>
      </c>
      <c r="O555" s="12"/>
      <c r="P555" s="11"/>
      <c r="Q555" s="8"/>
      <c r="R555" s="8"/>
      <c r="S555" s="8"/>
      <c r="T555" s="8"/>
      <c r="U555" s="8"/>
      <c r="V555" s="8"/>
      <c r="W555" s="8"/>
      <c r="X555" s="8"/>
      <c r="Y555" s="8"/>
      <c r="Z555" s="8"/>
      <c r="AA555" s="8"/>
      <c r="AB555" s="8"/>
      <c r="AC555" s="8"/>
      <c r="AD555" s="8"/>
      <c r="AE555" s="8"/>
      <c r="AF555" s="8"/>
      <c r="AG555" s="8"/>
      <c r="AH555" s="8"/>
      <c r="AI555" s="8"/>
      <c r="AJ555" s="8"/>
      <c r="AK555" s="8"/>
      <c r="AL555" s="8"/>
      <c r="AM555" s="8"/>
    </row>
    <row r="556" customFormat="false" ht="15.75" hidden="false" customHeight="true" outlineLevel="0" collapsed="false">
      <c r="A556" s="30" t="n">
        <v>46305</v>
      </c>
      <c r="B556" s="31" t="s">
        <v>416</v>
      </c>
      <c r="C556" s="31" t="str">
        <f aca="false" t="array" ref="C556:C556">IF(B556="","",IFERROR(INDEX('CLM &amp; IM Mapping'!$B$2:$B$270,MATCH(TRIM(B556),'CLM &amp; IM Mapping'!$A$2:$A$270,0)),"Not Mapped"))</f>
        <v>Girish N</v>
      </c>
      <c r="D556" s="31" t="str">
        <f aca="false" t="array" ref="D556:D556">IF(B556="","",IFERROR(INDEX('CLM &amp; IM Mapping'!$C$2:$C$270,MATCH(TRIM(B556),'CLM &amp; IM Mapping'!$A$2:$A$270,0)),"Not Mapped"))</f>
        <v>Un Mapped</v>
      </c>
      <c r="E556" s="31" t="s">
        <v>34</v>
      </c>
      <c r="F556" s="31" t="s">
        <v>562</v>
      </c>
      <c r="G556" s="31" t="s">
        <v>23</v>
      </c>
      <c r="H556" s="17" t="n">
        <v>5859</v>
      </c>
      <c r="I556" s="32" t="n">
        <v>0.7</v>
      </c>
      <c r="J556" s="33" t="n">
        <v>0.70063150708312</v>
      </c>
      <c r="K556" s="34" t="n">
        <v>0.835079171741778</v>
      </c>
      <c r="L556" s="31" t="n">
        <v>0.935972</v>
      </c>
      <c r="M556" s="31" t="n">
        <v>0.835079171741778</v>
      </c>
      <c r="N556" s="11" t="n">
        <v>3</v>
      </c>
      <c r="O556" s="12"/>
      <c r="P556" s="11"/>
      <c r="Q556" s="8"/>
      <c r="R556" s="8"/>
      <c r="S556" s="8"/>
      <c r="T556" s="8"/>
      <c r="U556" s="8"/>
      <c r="V556" s="8"/>
      <c r="W556" s="8"/>
      <c r="X556" s="8"/>
      <c r="Y556" s="8"/>
      <c r="Z556" s="8"/>
      <c r="AA556" s="8"/>
      <c r="AB556" s="8"/>
      <c r="AC556" s="8"/>
      <c r="AD556" s="8"/>
      <c r="AE556" s="8"/>
      <c r="AF556" s="8"/>
      <c r="AG556" s="8"/>
      <c r="AH556" s="8"/>
      <c r="AI556" s="8"/>
      <c r="AJ556" s="8"/>
      <c r="AK556" s="8"/>
      <c r="AL556" s="8"/>
      <c r="AM556" s="8"/>
    </row>
    <row r="557" customFormat="false" ht="15.75" hidden="false" customHeight="true" outlineLevel="0" collapsed="false">
      <c r="A557" s="30" t="n">
        <v>46305</v>
      </c>
      <c r="B557" s="31" t="s">
        <v>362</v>
      </c>
      <c r="C557" s="31" t="str">
        <f aca="false" t="array" ref="C557:C557">IF(B557="","",IFERROR(INDEX('CLM &amp; IM Mapping'!$B$2:$B$270,MATCH(TRIM(B557),'CLM &amp; IM Mapping'!$A$2:$A$270,0)),"Not Mapped"))</f>
        <v>Ashwath S</v>
      </c>
      <c r="D557" s="31" t="str">
        <f aca="false" t="array" ref="D557:D557">IF(B557="","",IFERROR(INDEX('CLM &amp; IM Mapping'!$C$2:$C$270,MATCH(TRIM(B557),'CLM &amp; IM Mapping'!$A$2:$A$270,0)),"Not Mapped"))</f>
        <v>Kantha Kumar</v>
      </c>
      <c r="E557" s="31" t="s">
        <v>34</v>
      </c>
      <c r="F557" s="31" t="s">
        <v>562</v>
      </c>
      <c r="G557" s="31" t="s">
        <v>23</v>
      </c>
      <c r="H557" s="17" t="n">
        <v>5883</v>
      </c>
      <c r="I557" s="32" t="n">
        <v>0.7</v>
      </c>
      <c r="J557" s="33" t="n">
        <v>0.640489546149924</v>
      </c>
      <c r="K557" s="34" t="n">
        <v>0.885350318471338</v>
      </c>
      <c r="L557" s="31" t="n">
        <v>0.949924</v>
      </c>
      <c r="M557" s="31" t="n">
        <v>0.885350318471338</v>
      </c>
      <c r="N557" s="11" t="n">
        <v>2</v>
      </c>
      <c r="O557" s="12"/>
      <c r="P557" s="11"/>
      <c r="Q557" s="8"/>
      <c r="R557" s="8"/>
      <c r="S557" s="8"/>
      <c r="T557" s="8"/>
      <c r="U557" s="8"/>
      <c r="V557" s="8"/>
      <c r="W557" s="8"/>
      <c r="X557" s="8"/>
      <c r="Y557" s="8"/>
      <c r="Z557" s="8"/>
      <c r="AA557" s="8"/>
      <c r="AB557" s="8"/>
      <c r="AC557" s="8"/>
      <c r="AD557" s="8"/>
      <c r="AE557" s="8"/>
      <c r="AF557" s="8"/>
      <c r="AG557" s="8"/>
      <c r="AH557" s="8"/>
      <c r="AI557" s="8"/>
      <c r="AJ557" s="8"/>
      <c r="AK557" s="8"/>
      <c r="AL557" s="8"/>
      <c r="AM557" s="8"/>
    </row>
    <row r="558" customFormat="false" ht="15.75" hidden="false" customHeight="true" outlineLevel="0" collapsed="false">
      <c r="A558" s="30" t="n">
        <v>46305</v>
      </c>
      <c r="B558" s="31" t="s">
        <v>294</v>
      </c>
      <c r="C558" s="31" t="str">
        <f aca="false" t="array" ref="C558:C558">IF(B558="","",IFERROR(INDEX('CLM &amp; IM Mapping'!$B$2:$B$270,MATCH(TRIM(B558),'CLM &amp; IM Mapping'!$A$2:$A$270,0)),"Not Mapped"))</f>
        <v>Manoj Kj</v>
      </c>
      <c r="D558" s="31" t="str">
        <f aca="false" t="array" ref="D558:D558">IF(B558="","",IFERROR(INDEX('CLM &amp; IM Mapping'!$C$2:$C$270,MATCH(TRIM(B558),'CLM &amp; IM Mapping'!$A$2:$A$270,0)),"Not Mapped"))</f>
        <v>Srittam Dhal</v>
      </c>
      <c r="E558" s="31" t="s">
        <v>34</v>
      </c>
      <c r="F558" s="31" t="s">
        <v>562</v>
      </c>
      <c r="G558" s="31" t="s">
        <v>23</v>
      </c>
      <c r="H558" s="17" t="n">
        <v>4048</v>
      </c>
      <c r="I558" s="32" t="n">
        <v>0.7</v>
      </c>
      <c r="J558" s="33" t="n">
        <v>0.987648221343874</v>
      </c>
      <c r="K558" s="34" t="n">
        <v>0.867933966983492</v>
      </c>
      <c r="L558" s="31" t="n">
        <v>0.972377</v>
      </c>
      <c r="M558" s="31" t="n">
        <v>0.867933966983492</v>
      </c>
      <c r="N558" s="11" t="n">
        <v>7</v>
      </c>
      <c r="O558" s="12"/>
      <c r="P558" s="11"/>
      <c r="Q558" s="8"/>
      <c r="R558" s="8"/>
      <c r="S558" s="8"/>
      <c r="T558" s="8"/>
      <c r="U558" s="8"/>
      <c r="V558" s="8"/>
      <c r="W558" s="8"/>
      <c r="X558" s="8"/>
      <c r="Y558" s="8"/>
      <c r="Z558" s="8"/>
      <c r="AA558" s="8"/>
      <c r="AB558" s="8"/>
      <c r="AC558" s="8"/>
      <c r="AD558" s="8"/>
      <c r="AE558" s="8"/>
      <c r="AF558" s="8"/>
      <c r="AG558" s="8"/>
      <c r="AH558" s="8"/>
      <c r="AI558" s="8"/>
      <c r="AJ558" s="8"/>
      <c r="AK558" s="8"/>
      <c r="AL558" s="8"/>
      <c r="AM558" s="8"/>
    </row>
    <row r="559" customFormat="false" ht="15.75" hidden="false" customHeight="true" outlineLevel="0" collapsed="false">
      <c r="A559" s="30" t="n">
        <v>46305</v>
      </c>
      <c r="B559" s="31" t="s">
        <v>136</v>
      </c>
      <c r="C559" s="31" t="str">
        <f aca="false" t="array" ref="C559:C559">IF(B559="","",IFERROR(INDEX('CLM &amp; IM Mapping'!$B$2:$B$270,MATCH(TRIM(B559),'CLM &amp; IM Mapping'!$A$2:$A$270,0)),"Not Mapped"))</f>
        <v>Arun Raj</v>
      </c>
      <c r="D559" s="31" t="str">
        <f aca="false" t="array" ref="D559:D559">IF(B559="","",IFERROR(INDEX('CLM &amp; IM Mapping'!$C$2:$C$270,MATCH(TRIM(B559),'CLM &amp; IM Mapping'!$A$2:$A$270,0)),"Not Mapped"))</f>
        <v>Simon Manoharan</v>
      </c>
      <c r="E559" s="31" t="s">
        <v>25</v>
      </c>
      <c r="F559" s="31" t="s">
        <v>565</v>
      </c>
      <c r="G559" s="31" t="s">
        <v>23</v>
      </c>
      <c r="H559" s="17" t="n">
        <v>14855</v>
      </c>
      <c r="I559" s="32" t="n">
        <v>0.7</v>
      </c>
      <c r="J559" s="33" t="n">
        <v>0.761427128912824</v>
      </c>
      <c r="K559" s="34" t="n">
        <v>0.943683140305897</v>
      </c>
      <c r="L559" s="31" t="n">
        <v>0.978322</v>
      </c>
      <c r="M559" s="31" t="n">
        <v>0.943683140305897</v>
      </c>
      <c r="N559" s="11" t="n">
        <v>6</v>
      </c>
      <c r="O559" s="12"/>
      <c r="P559" s="11"/>
      <c r="Q559" s="8"/>
      <c r="R559" s="8"/>
      <c r="S559" s="8"/>
      <c r="T559" s="8"/>
      <c r="U559" s="8"/>
      <c r="V559" s="8"/>
      <c r="W559" s="8"/>
      <c r="X559" s="8"/>
      <c r="Y559" s="8"/>
      <c r="Z559" s="8"/>
      <c r="AA559" s="8"/>
      <c r="AB559" s="8"/>
      <c r="AC559" s="8"/>
      <c r="AD559" s="8"/>
      <c r="AE559" s="8"/>
      <c r="AF559" s="8"/>
      <c r="AG559" s="8"/>
      <c r="AH559" s="8"/>
      <c r="AI559" s="8"/>
      <c r="AJ559" s="8"/>
      <c r="AK559" s="8"/>
      <c r="AL559" s="8"/>
      <c r="AM559" s="8"/>
    </row>
    <row r="560" customFormat="false" ht="15.75" hidden="false" customHeight="true" outlineLevel="0" collapsed="false">
      <c r="A560" s="30" t="n">
        <v>46305</v>
      </c>
      <c r="B560" s="31" t="s">
        <v>525</v>
      </c>
      <c r="C560" s="31" t="str">
        <f aca="false" t="array" ref="C560:C560">IF(B560="","",IFERROR(INDEX('CLM &amp; IM Mapping'!$B$2:$B$270,MATCH(TRIM(B560),'CLM &amp; IM Mapping'!$A$2:$A$270,0)),"Not Mapped"))</f>
        <v>Saddam Hussain</v>
      </c>
      <c r="D560" s="31" t="str">
        <f aca="false" t="array" ref="D560:D560">IF(B560="","",IFERROR(INDEX('CLM &amp; IM Mapping'!$C$2:$C$270,MATCH(TRIM(B560),'CLM &amp; IM Mapping'!$A$2:$A$270,0)),"Not Mapped"))</f>
        <v>Un Mapped</v>
      </c>
      <c r="E560" s="31" t="s">
        <v>34</v>
      </c>
      <c r="F560" s="31" t="s">
        <v>562</v>
      </c>
      <c r="G560" s="31" t="s">
        <v>23</v>
      </c>
      <c r="H560" s="17" t="n">
        <v>5194</v>
      </c>
      <c r="I560" s="32" t="n">
        <v>0.7</v>
      </c>
      <c r="J560" s="33" t="n">
        <v>0.975933769734309</v>
      </c>
      <c r="K560" s="34" t="n">
        <v>0.939830341290195</v>
      </c>
      <c r="L560" s="31" t="n">
        <v>0.984343</v>
      </c>
      <c r="M560" s="31" t="n">
        <v>0.939830341290195</v>
      </c>
      <c r="N560" s="11" t="n">
        <v>3</v>
      </c>
      <c r="O560" s="12"/>
      <c r="P560" s="11"/>
      <c r="Q560" s="8"/>
      <c r="R560" s="8"/>
      <c r="S560" s="8"/>
      <c r="T560" s="8"/>
      <c r="U560" s="8"/>
      <c r="V560" s="8"/>
      <c r="W560" s="8"/>
      <c r="X560" s="8"/>
      <c r="Y560" s="8"/>
      <c r="Z560" s="8"/>
      <c r="AA560" s="8"/>
      <c r="AB560" s="8"/>
      <c r="AC560" s="8"/>
      <c r="AD560" s="8"/>
      <c r="AE560" s="8"/>
      <c r="AF560" s="8"/>
      <c r="AG560" s="8"/>
      <c r="AH560" s="8"/>
      <c r="AI560" s="8"/>
      <c r="AJ560" s="8"/>
      <c r="AK560" s="8"/>
      <c r="AL560" s="8"/>
      <c r="AM560" s="8"/>
    </row>
    <row r="561" customFormat="false" ht="15.75" hidden="false" customHeight="true" outlineLevel="0" collapsed="false">
      <c r="A561" s="30" t="n">
        <v>46305</v>
      </c>
      <c r="B561" s="31" t="s">
        <v>352</v>
      </c>
      <c r="C561" s="31" t="str">
        <f aca="false" t="array" ref="C561:C561">IF(B561="","",IFERROR(INDEX('CLM &amp; IM Mapping'!$B$2:$B$270,MATCH(TRIM(B561),'CLM &amp; IM Mapping'!$A$2:$A$270,0)),"Not Mapped"))</f>
        <v>Raghavendra Vernekar</v>
      </c>
      <c r="D561" s="31" t="str">
        <f aca="false" t="array" ref="D561:D561">IF(B561="","",IFERROR(INDEX('CLM &amp; IM Mapping'!$C$2:$C$270,MATCH(TRIM(B561),'CLM &amp; IM Mapping'!$A$2:$A$270,0)),"Not Mapped"))</f>
        <v>Prakash BS</v>
      </c>
      <c r="E561" s="31" t="s">
        <v>34</v>
      </c>
      <c r="F561" s="31" t="s">
        <v>562</v>
      </c>
      <c r="G561" s="31" t="s">
        <v>23</v>
      </c>
      <c r="H561" s="17" t="n">
        <v>5732</v>
      </c>
      <c r="I561" s="32" t="n">
        <v>0.7</v>
      </c>
      <c r="J561" s="33" t="n">
        <v>0.737787857641312</v>
      </c>
      <c r="K561" s="34" t="n">
        <v>0.946323007803263</v>
      </c>
      <c r="L561" s="31" t="n">
        <v>0.984736</v>
      </c>
      <c r="M561" s="31" t="n">
        <v>0.946323007803263</v>
      </c>
      <c r="N561" s="11" t="n">
        <v>3</v>
      </c>
      <c r="O561" s="12"/>
      <c r="P561" s="11"/>
      <c r="Q561" s="8"/>
      <c r="R561" s="8"/>
      <c r="S561" s="8"/>
      <c r="T561" s="8"/>
      <c r="U561" s="8"/>
      <c r="V561" s="8"/>
      <c r="W561" s="8"/>
      <c r="X561" s="8"/>
      <c r="Y561" s="8"/>
      <c r="Z561" s="8"/>
      <c r="AA561" s="8"/>
      <c r="AB561" s="8"/>
      <c r="AC561" s="8"/>
      <c r="AD561" s="8"/>
      <c r="AE561" s="8"/>
      <c r="AF561" s="8"/>
      <c r="AG561" s="8"/>
      <c r="AH561" s="8"/>
      <c r="AI561" s="8"/>
      <c r="AJ561" s="8"/>
      <c r="AK561" s="8"/>
      <c r="AL561" s="8"/>
      <c r="AM561" s="8"/>
    </row>
    <row r="562" customFormat="false" ht="15.75" hidden="false" customHeight="true" outlineLevel="0" collapsed="false">
      <c r="A562" s="30" t="n">
        <v>46305</v>
      </c>
      <c r="B562" s="31" t="s">
        <v>184</v>
      </c>
      <c r="C562" s="31" t="str">
        <f aca="false" t="array" ref="C562:C562">IF(B562="","",IFERROR(INDEX('CLM &amp; IM Mapping'!$B$2:$B$270,MATCH(TRIM(B562),'CLM &amp; IM Mapping'!$A$2:$A$270,0)),"Not Mapped"))</f>
        <v>Richard Harris</v>
      </c>
      <c r="D562" s="31" t="str">
        <f aca="false" t="array" ref="D562:D562">IF(B562="","",IFERROR(INDEX('CLM &amp; IM Mapping'!$C$2:$C$270,MATCH(TRIM(B562),'CLM &amp; IM Mapping'!$A$2:$A$270,0)),"Not Mapped"))</f>
        <v>Kantha Kumar</v>
      </c>
      <c r="E562" s="31" t="s">
        <v>34</v>
      </c>
      <c r="F562" s="31" t="s">
        <v>562</v>
      </c>
      <c r="G562" s="31" t="s">
        <v>23</v>
      </c>
      <c r="H562" s="17" t="n">
        <v>4538</v>
      </c>
      <c r="I562" s="32" t="n">
        <v>0.7</v>
      </c>
      <c r="J562" s="33" t="n">
        <v>0.271705597179374</v>
      </c>
      <c r="K562" s="34" t="n">
        <v>0.392538523925385</v>
      </c>
      <c r="L562" s="31" t="n">
        <v>0.836175</v>
      </c>
      <c r="M562" s="31" t="n">
        <v>0.36737601946472</v>
      </c>
      <c r="N562" s="11" t="n">
        <v>3</v>
      </c>
      <c r="O562" s="12"/>
      <c r="P562" s="11"/>
      <c r="Q562" s="8"/>
      <c r="R562" s="8"/>
      <c r="S562" s="8"/>
      <c r="T562" s="8"/>
      <c r="U562" s="8"/>
      <c r="V562" s="8"/>
      <c r="W562" s="8"/>
      <c r="X562" s="8"/>
      <c r="Y562" s="8"/>
      <c r="Z562" s="8"/>
      <c r="AA562" s="8"/>
      <c r="AB562" s="8"/>
      <c r="AC562" s="8"/>
      <c r="AD562" s="8"/>
      <c r="AE562" s="8"/>
      <c r="AF562" s="8"/>
      <c r="AG562" s="8"/>
      <c r="AH562" s="8"/>
      <c r="AI562" s="8"/>
      <c r="AJ562" s="8"/>
      <c r="AK562" s="8"/>
      <c r="AL562" s="8"/>
      <c r="AM562" s="8"/>
    </row>
    <row r="563" customFormat="false" ht="15.75" hidden="false" customHeight="true" outlineLevel="0" collapsed="false">
      <c r="A563" s="30" t="n">
        <v>46305</v>
      </c>
      <c r="B563" s="31" t="s">
        <v>397</v>
      </c>
      <c r="C563" s="31" t="str">
        <f aca="false" t="array" ref="C563:C563">IF(B563="","",IFERROR(INDEX('CLM &amp; IM Mapping'!$B$2:$B$270,MATCH(TRIM(B563),'CLM &amp; IM Mapping'!$A$2:$A$270,0)),"Not Mapped"))</f>
        <v>Akshay P</v>
      </c>
      <c r="D563" s="31" t="str">
        <f aca="false" t="array" ref="D563:D563">IF(B563="","",IFERROR(INDEX('CLM &amp; IM Mapping'!$C$2:$C$270,MATCH(TRIM(B563),'CLM &amp; IM Mapping'!$A$2:$A$270,0)),"Not Mapped"))</f>
        <v>Srittam Dhal</v>
      </c>
      <c r="E563" s="31" t="s">
        <v>34</v>
      </c>
      <c r="F563" s="31" t="s">
        <v>562</v>
      </c>
      <c r="G563" s="31" t="s">
        <v>23</v>
      </c>
      <c r="H563" s="17" t="n">
        <v>5173</v>
      </c>
      <c r="I563" s="32" t="n">
        <v>0.7</v>
      </c>
      <c r="J563" s="33" t="n">
        <v>0.638894258650686</v>
      </c>
      <c r="K563" s="34" t="n">
        <v>0.875340393343419</v>
      </c>
      <c r="L563" s="31" t="n">
        <v>0.956297</v>
      </c>
      <c r="M563" s="31" t="n">
        <v>0.875340393343419</v>
      </c>
      <c r="N563" s="11" t="n">
        <v>2</v>
      </c>
      <c r="O563" s="12"/>
      <c r="P563" s="11"/>
      <c r="Q563" s="8"/>
      <c r="R563" s="8"/>
      <c r="S563" s="8"/>
      <c r="T563" s="8"/>
      <c r="U563" s="8"/>
      <c r="V563" s="8"/>
      <c r="W563" s="8"/>
      <c r="X563" s="8"/>
      <c r="Y563" s="8"/>
      <c r="Z563" s="8"/>
      <c r="AA563" s="8"/>
      <c r="AB563" s="8"/>
      <c r="AC563" s="8"/>
      <c r="AD563" s="8"/>
      <c r="AE563" s="8"/>
      <c r="AF563" s="8"/>
      <c r="AG563" s="8"/>
      <c r="AH563" s="8"/>
      <c r="AI563" s="8"/>
      <c r="AJ563" s="8"/>
      <c r="AK563" s="8"/>
      <c r="AL563" s="8"/>
      <c r="AM563" s="8"/>
    </row>
    <row r="564" customFormat="false" ht="15.75" hidden="false" customHeight="true" outlineLevel="0" collapsed="false">
      <c r="A564" s="30" t="n">
        <v>46305</v>
      </c>
      <c r="B564" s="31" t="s">
        <v>402</v>
      </c>
      <c r="C564" s="31" t="str">
        <f aca="false" t="array" ref="C564:C564">IF(B564="","",IFERROR(INDEX('CLM &amp; IM Mapping'!$B$2:$B$270,MATCH(TRIM(B564),'CLM &amp; IM Mapping'!$A$2:$A$270,0)),"Not Mapped"))</f>
        <v>Narasimhamurthy R</v>
      </c>
      <c r="D564" s="31" t="str">
        <f aca="false" t="array" ref="D564:D564">IF(B564="","",IFERROR(INDEX('CLM &amp; IM Mapping'!$C$2:$C$270,MATCH(TRIM(B564),'CLM &amp; IM Mapping'!$A$2:$A$270,0)),"Not Mapped"))</f>
        <v>Kishor K</v>
      </c>
      <c r="E564" s="31" t="s">
        <v>34</v>
      </c>
      <c r="F564" s="31" t="s">
        <v>562</v>
      </c>
      <c r="G564" s="31" t="s">
        <v>23</v>
      </c>
      <c r="H564" s="17" t="n">
        <v>6286</v>
      </c>
      <c r="I564" s="32" t="n">
        <v>0.7</v>
      </c>
      <c r="J564" s="33" t="n">
        <v>0.808622335348393</v>
      </c>
      <c r="K564" s="34" t="n">
        <v>0.842022427700177</v>
      </c>
      <c r="L564" s="31" t="n">
        <v>0.943558</v>
      </c>
      <c r="M564" s="31" t="n">
        <v>0.842022427700177</v>
      </c>
      <c r="N564" s="11" t="n">
        <v>3</v>
      </c>
      <c r="O564" s="12"/>
      <c r="P564" s="11"/>
      <c r="Q564" s="8"/>
      <c r="R564" s="8"/>
      <c r="S564" s="8"/>
      <c r="T564" s="8"/>
      <c r="U564" s="8"/>
      <c r="V564" s="8"/>
      <c r="W564" s="8"/>
      <c r="X564" s="8"/>
      <c r="Y564" s="8"/>
      <c r="Z564" s="8"/>
      <c r="AA564" s="8"/>
      <c r="AB564" s="8"/>
      <c r="AC564" s="8"/>
      <c r="AD564" s="8"/>
      <c r="AE564" s="8"/>
      <c r="AF564" s="8"/>
      <c r="AG564" s="8"/>
      <c r="AH564" s="8"/>
      <c r="AI564" s="8"/>
      <c r="AJ564" s="8"/>
      <c r="AK564" s="8"/>
      <c r="AL564" s="8"/>
      <c r="AM564" s="8"/>
    </row>
    <row r="565" customFormat="false" ht="15.75" hidden="false" customHeight="true" outlineLevel="0" collapsed="false">
      <c r="A565" s="30" t="n">
        <v>46305</v>
      </c>
      <c r="B565" s="31" t="s">
        <v>41</v>
      </c>
      <c r="C565" s="31" t="str">
        <f aca="false" t="array" ref="C565:C565">IF(B565="","",IFERROR(INDEX('CLM &amp; IM Mapping'!$B$2:$B$270,MATCH(TRIM(B565),'CLM &amp; IM Mapping'!$A$2:$A$270,0)),"Not Mapped"))</f>
        <v>Rizwan Ahmed</v>
      </c>
      <c r="D565" s="31" t="str">
        <f aca="false" t="array" ref="D565:D565">IF(B565="","",IFERROR(INDEX('CLM &amp; IM Mapping'!$C$2:$C$270,MATCH(TRIM(B565),'CLM &amp; IM Mapping'!$A$2:$A$270,0)),"Not Mapped"))</f>
        <v>Un Mapped</v>
      </c>
      <c r="E565" s="31" t="s">
        <v>34</v>
      </c>
      <c r="F565" s="31" t="s">
        <v>562</v>
      </c>
      <c r="G565" s="31" t="s">
        <v>23</v>
      </c>
      <c r="H565" s="17" t="n">
        <v>5704</v>
      </c>
      <c r="I565" s="32" t="n">
        <v>0.7</v>
      </c>
      <c r="J565" s="33" t="n">
        <v>0.565217391304348</v>
      </c>
      <c r="K565" s="34" t="n">
        <v>0.731699751861042</v>
      </c>
      <c r="L565" s="31" t="n">
        <v>0.939764</v>
      </c>
      <c r="M565" s="31" t="n">
        <v>0.731699751861042</v>
      </c>
      <c r="N565" s="11" t="n">
        <v>7</v>
      </c>
      <c r="O565" s="12"/>
      <c r="P565" s="11"/>
      <c r="Q565" s="8"/>
      <c r="R565" s="8"/>
      <c r="S565" s="8"/>
      <c r="T565" s="8"/>
      <c r="U565" s="8"/>
      <c r="V565" s="8"/>
      <c r="W565" s="8"/>
      <c r="X565" s="8"/>
      <c r="Y565" s="8"/>
      <c r="Z565" s="8"/>
      <c r="AA565" s="8"/>
      <c r="AB565" s="8"/>
      <c r="AC565" s="8"/>
      <c r="AD565" s="8"/>
      <c r="AE565" s="8"/>
      <c r="AF565" s="8"/>
      <c r="AG565" s="8"/>
      <c r="AH565" s="8"/>
      <c r="AI565" s="8"/>
      <c r="AJ565" s="8"/>
      <c r="AK565" s="8"/>
      <c r="AL565" s="8"/>
      <c r="AM565" s="8"/>
    </row>
    <row r="566" customFormat="false" ht="15.75" hidden="false" customHeight="true" outlineLevel="0" collapsed="false">
      <c r="A566" s="30" t="n">
        <v>46305</v>
      </c>
      <c r="B566" s="31" t="s">
        <v>183</v>
      </c>
      <c r="C566" s="31" t="str">
        <f aca="false" t="array" ref="C566:C566">IF(B566="","",IFERROR(INDEX('CLM &amp; IM Mapping'!$B$2:$B$270,MATCH(TRIM(B566),'CLM &amp; IM Mapping'!$A$2:$A$270,0)),"Not Mapped"))</f>
        <v>Saddam Hussain</v>
      </c>
      <c r="D566" s="31" t="str">
        <f aca="false" t="array" ref="D566:D566">IF(B566="","",IFERROR(INDEX('CLM &amp; IM Mapping'!$C$2:$C$270,MATCH(TRIM(B566),'CLM &amp; IM Mapping'!$A$2:$A$270,0)),"Not Mapped"))</f>
        <v>Un Mapped</v>
      </c>
      <c r="E566" s="31" t="s">
        <v>34</v>
      </c>
      <c r="F566" s="31" t="s">
        <v>562</v>
      </c>
      <c r="G566" s="31" t="s">
        <v>23</v>
      </c>
      <c r="H566" s="17" t="n">
        <v>6002</v>
      </c>
      <c r="I566" s="32" t="n">
        <v>0.7</v>
      </c>
      <c r="J566" s="33" t="n">
        <v>0.710429856714429</v>
      </c>
      <c r="K566" s="34" t="n">
        <v>0.729831144465291</v>
      </c>
      <c r="L566" s="31" t="n">
        <v>0.914497</v>
      </c>
      <c r="M566" s="31" t="n">
        <v>0.729831144465291</v>
      </c>
      <c r="N566" s="11" t="n">
        <v>7</v>
      </c>
      <c r="O566" s="12"/>
      <c r="P566" s="11"/>
      <c r="Q566" s="8"/>
      <c r="R566" s="8"/>
      <c r="S566" s="8"/>
      <c r="T566" s="8"/>
      <c r="U566" s="8"/>
      <c r="V566" s="8"/>
      <c r="W566" s="8"/>
      <c r="X566" s="8"/>
      <c r="Y566" s="8"/>
      <c r="Z566" s="8"/>
      <c r="AA566" s="8"/>
      <c r="AB566" s="8"/>
      <c r="AC566" s="8"/>
      <c r="AD566" s="8"/>
      <c r="AE566" s="8"/>
      <c r="AF566" s="8"/>
      <c r="AG566" s="8"/>
      <c r="AH566" s="8"/>
      <c r="AI566" s="8"/>
      <c r="AJ566" s="8"/>
      <c r="AK566" s="8"/>
      <c r="AL566" s="8"/>
      <c r="AM566" s="8"/>
    </row>
    <row r="567" customFormat="false" ht="15.75" hidden="false" customHeight="true" outlineLevel="0" collapsed="false">
      <c r="A567" s="30" t="n">
        <v>46305</v>
      </c>
      <c r="B567" s="31" t="s">
        <v>147</v>
      </c>
      <c r="C567" s="31" t="str">
        <f aca="false" t="array" ref="C567:C567">IF(B567="","",IFERROR(INDEX('CLM &amp; IM Mapping'!$B$2:$B$270,MATCH(TRIM(B567),'CLM &amp; IM Mapping'!$A$2:$A$270,0)),"Not Mapped"))</f>
        <v>Manjunatha V</v>
      </c>
      <c r="D567" s="31" t="str">
        <f aca="false" t="array" ref="D567:D567">IF(B567="","",IFERROR(INDEX('CLM &amp; IM Mapping'!$C$2:$C$270,MATCH(TRIM(B567),'CLM &amp; IM Mapping'!$A$2:$A$270,0)),"Not Mapped"))</f>
        <v>Un Mapped</v>
      </c>
      <c r="E567" s="31" t="s">
        <v>34</v>
      </c>
      <c r="F567" s="31" t="s">
        <v>562</v>
      </c>
      <c r="G567" s="31" t="s">
        <v>23</v>
      </c>
      <c r="H567" s="17" t="n">
        <v>5714</v>
      </c>
      <c r="I567" s="32" t="n">
        <v>0.7</v>
      </c>
      <c r="J567" s="33" t="n">
        <v>0.442422121106055</v>
      </c>
      <c r="K567" s="34" t="n">
        <v>0.821598101265823</v>
      </c>
      <c r="L567" s="31" t="n">
        <v>0.978449</v>
      </c>
      <c r="M567" s="31" t="n">
        <v>0.821598101265823</v>
      </c>
      <c r="N567" s="11" t="n">
        <v>4</v>
      </c>
      <c r="O567" s="12"/>
      <c r="P567" s="11"/>
      <c r="Q567" s="8"/>
      <c r="R567" s="8"/>
      <c r="S567" s="8"/>
      <c r="T567" s="8"/>
      <c r="U567" s="8"/>
      <c r="V567" s="8"/>
      <c r="W567" s="8"/>
      <c r="X567" s="8"/>
      <c r="Y567" s="8"/>
      <c r="Z567" s="8"/>
      <c r="AA567" s="8"/>
      <c r="AB567" s="8"/>
      <c r="AC567" s="8"/>
      <c r="AD567" s="8"/>
      <c r="AE567" s="8"/>
      <c r="AF567" s="8"/>
      <c r="AG567" s="8"/>
      <c r="AH567" s="8"/>
      <c r="AI567" s="8"/>
      <c r="AJ567" s="8"/>
      <c r="AK567" s="8"/>
      <c r="AL567" s="8"/>
      <c r="AM567" s="8"/>
    </row>
    <row r="568" customFormat="false" ht="15.75" hidden="false" customHeight="true" outlineLevel="0" collapsed="false">
      <c r="A568" s="30" t="n">
        <v>46305</v>
      </c>
      <c r="B568" s="31" t="s">
        <v>259</v>
      </c>
      <c r="C568" s="31" t="str">
        <f aca="false" t="array" ref="C568:C568">IF(B568="","",IFERROR(INDEX('CLM &amp; IM Mapping'!$B$2:$B$270,MATCH(TRIM(B568),'CLM &amp; IM Mapping'!$A$2:$A$270,0)),"Not Mapped"))</f>
        <v>Raghavendra Vernekar</v>
      </c>
      <c r="D568" s="31" t="str">
        <f aca="false" t="array" ref="D568:D568">IF(B568="","",IFERROR(INDEX('CLM &amp; IM Mapping'!$C$2:$C$270,MATCH(TRIM(B568),'CLM &amp; IM Mapping'!$A$2:$A$270,0)),"Not Mapped"))</f>
        <v>Prakash BS</v>
      </c>
      <c r="E568" s="31" t="s">
        <v>34</v>
      </c>
      <c r="F568" s="31" t="s">
        <v>562</v>
      </c>
      <c r="G568" s="31" t="s">
        <v>23</v>
      </c>
      <c r="H568" s="17" t="n">
        <v>7036</v>
      </c>
      <c r="I568" s="32" t="n">
        <v>0.7</v>
      </c>
      <c r="J568" s="33" t="n">
        <v>0.829874928936896</v>
      </c>
      <c r="K568" s="34" t="n">
        <v>0.868299366329851</v>
      </c>
      <c r="L568" s="31" t="n">
        <v>0.938874</v>
      </c>
      <c r="M568" s="31" t="n">
        <v>0.868299366329851</v>
      </c>
      <c r="N568" s="11" t="n">
        <v>4</v>
      </c>
      <c r="O568" s="12"/>
      <c r="P568" s="11"/>
      <c r="Q568" s="8"/>
      <c r="R568" s="8"/>
      <c r="S568" s="8"/>
      <c r="T568" s="8"/>
      <c r="U568" s="8"/>
      <c r="V568" s="8"/>
      <c r="W568" s="8"/>
      <c r="X568" s="8"/>
      <c r="Y568" s="8"/>
      <c r="Z568" s="8"/>
      <c r="AA568" s="8"/>
      <c r="AB568" s="8"/>
      <c r="AC568" s="8"/>
      <c r="AD568" s="8"/>
      <c r="AE568" s="8"/>
      <c r="AF568" s="8"/>
      <c r="AG568" s="8"/>
      <c r="AH568" s="8"/>
      <c r="AI568" s="8"/>
      <c r="AJ568" s="8"/>
      <c r="AK568" s="8"/>
      <c r="AL568" s="8"/>
      <c r="AM568" s="8"/>
    </row>
    <row r="569" customFormat="false" ht="15.75" hidden="false" customHeight="true" outlineLevel="0" collapsed="false">
      <c r="A569" s="30" t="n">
        <v>46305</v>
      </c>
      <c r="B569" s="31" t="s">
        <v>120</v>
      </c>
      <c r="C569" s="31" t="str">
        <f aca="false" t="array" ref="C569:C569">IF(B569="","",IFERROR(INDEX('CLM &amp; IM Mapping'!$B$2:$B$270,MATCH(TRIM(B569),'CLM &amp; IM Mapping'!$A$2:$A$270,0)),"Not Mapped"))</f>
        <v>Balaji G</v>
      </c>
      <c r="D569" s="31" t="str">
        <f aca="false" t="array" ref="D569:D569">IF(B569="","",IFERROR(INDEX('CLM &amp; IM Mapping'!$C$2:$C$270,MATCH(TRIM(B569),'CLM &amp; IM Mapping'!$A$2:$A$270,0)),"Not Mapped"))</f>
        <v>Mohammed Akbar</v>
      </c>
      <c r="E569" s="31" t="s">
        <v>34</v>
      </c>
      <c r="F569" s="31" t="s">
        <v>562</v>
      </c>
      <c r="G569" s="31" t="s">
        <v>23</v>
      </c>
      <c r="H569" s="17" t="n">
        <v>6975</v>
      </c>
      <c r="I569" s="32" t="n">
        <v>0.7</v>
      </c>
      <c r="J569" s="33" t="n">
        <v>0.847885304659498</v>
      </c>
      <c r="K569" s="34" t="n">
        <v>0.863036861684139</v>
      </c>
      <c r="L569" s="31" t="n">
        <v>0.968636</v>
      </c>
      <c r="M569" s="31" t="n">
        <v>0.863036861684139</v>
      </c>
      <c r="N569" s="11" t="n">
        <v>10</v>
      </c>
      <c r="O569" s="12"/>
      <c r="P569" s="11"/>
      <c r="Q569" s="8"/>
      <c r="R569" s="8"/>
      <c r="S569" s="8"/>
      <c r="T569" s="8"/>
      <c r="U569" s="8"/>
      <c r="V569" s="8"/>
      <c r="W569" s="8"/>
      <c r="X569" s="8"/>
      <c r="Y569" s="8"/>
      <c r="Z569" s="8"/>
      <c r="AA569" s="8"/>
      <c r="AB569" s="8"/>
      <c r="AC569" s="8"/>
      <c r="AD569" s="8"/>
      <c r="AE569" s="8"/>
      <c r="AF569" s="8"/>
      <c r="AG569" s="8"/>
      <c r="AH569" s="8"/>
      <c r="AI569" s="8"/>
      <c r="AJ569" s="8"/>
      <c r="AK569" s="8"/>
      <c r="AL569" s="8"/>
      <c r="AM569" s="8"/>
    </row>
    <row r="570" customFormat="false" ht="15.75" hidden="false" customHeight="true" outlineLevel="0" collapsed="false">
      <c r="A570" s="30" t="n">
        <v>46305</v>
      </c>
      <c r="B570" s="31" t="s">
        <v>94</v>
      </c>
      <c r="C570" s="31" t="str">
        <f aca="false" t="array" ref="C570:C570">IF(B570="","",IFERROR(INDEX('CLM &amp; IM Mapping'!$B$2:$B$270,MATCH(TRIM(B570),'CLM &amp; IM Mapping'!$A$2:$A$270,0)),"Not Mapped"))</f>
        <v>Ashwath S</v>
      </c>
      <c r="D570" s="31" t="str">
        <f aca="false" t="array" ref="D570:D570">IF(B570="","",IFERROR(INDEX('CLM &amp; IM Mapping'!$C$2:$C$270,MATCH(TRIM(B570),'CLM &amp; IM Mapping'!$A$2:$A$270,0)),"Not Mapped"))</f>
        <v>Kantha Kumar</v>
      </c>
      <c r="E570" s="31" t="s">
        <v>34</v>
      </c>
      <c r="F570" s="31" t="s">
        <v>562</v>
      </c>
      <c r="G570" s="31" t="s">
        <v>23</v>
      </c>
      <c r="H570" s="17" t="n">
        <v>5334</v>
      </c>
      <c r="I570" s="32" t="n">
        <v>0.7</v>
      </c>
      <c r="J570" s="33" t="n">
        <v>0.577615298087739</v>
      </c>
      <c r="K570" s="34" t="n">
        <v>0.805258033106134</v>
      </c>
      <c r="L570" s="31" t="n">
        <v>0.951014</v>
      </c>
      <c r="M570" s="31" t="n">
        <v>0.805258033106134</v>
      </c>
      <c r="N570" s="11" t="n">
        <v>4</v>
      </c>
      <c r="O570" s="12"/>
      <c r="P570" s="11"/>
      <c r="Q570" s="8"/>
      <c r="R570" s="8"/>
      <c r="S570" s="8"/>
      <c r="T570" s="8"/>
      <c r="U570" s="8"/>
      <c r="V570" s="8"/>
      <c r="W570" s="8"/>
      <c r="X570" s="8"/>
      <c r="Y570" s="8"/>
      <c r="Z570" s="8"/>
      <c r="AA570" s="8"/>
      <c r="AB570" s="8"/>
      <c r="AC570" s="8"/>
      <c r="AD570" s="8"/>
      <c r="AE570" s="8"/>
      <c r="AF570" s="8"/>
      <c r="AG570" s="8"/>
      <c r="AH570" s="8"/>
      <c r="AI570" s="8"/>
      <c r="AJ570" s="8"/>
      <c r="AK570" s="8"/>
      <c r="AL570" s="8"/>
      <c r="AM570" s="8"/>
    </row>
    <row r="571" customFormat="false" ht="15.75" hidden="false" customHeight="true" outlineLevel="0" collapsed="false">
      <c r="A571" s="30" t="n">
        <v>46305</v>
      </c>
      <c r="B571" s="31" t="s">
        <v>24</v>
      </c>
      <c r="C571" s="31" t="str">
        <f aca="false" t="array" ref="C571:C571">IF(B571="","",IFERROR(INDEX('CLM &amp; IM Mapping'!$B$2:$B$270,MATCH(TRIM(B571),'CLM &amp; IM Mapping'!$A$2:$A$270,0)),"Not Mapped"))</f>
        <v>Arun Raj</v>
      </c>
      <c r="D571" s="31" t="str">
        <f aca="false" t="array" ref="D571:D571">IF(B571="","",IFERROR(INDEX('CLM &amp; IM Mapping'!$C$2:$C$270,MATCH(TRIM(B571),'CLM &amp; IM Mapping'!$A$2:$A$270,0)),"Not Mapped"))</f>
        <v>Simon Manoharan</v>
      </c>
      <c r="E571" s="31" t="s">
        <v>25</v>
      </c>
      <c r="F571" s="31" t="s">
        <v>565</v>
      </c>
      <c r="G571" s="31" t="s">
        <v>23</v>
      </c>
      <c r="H571" s="17" t="n">
        <v>10881</v>
      </c>
      <c r="I571" s="32" t="n">
        <v>0.7</v>
      </c>
      <c r="J571" s="33" t="n">
        <v>0.400514658579175</v>
      </c>
      <c r="K571" s="34" t="n">
        <v>0.846259752179899</v>
      </c>
      <c r="L571" s="31" t="n">
        <v>0.965791</v>
      </c>
      <c r="M571" s="31" t="n">
        <v>0.846259752179899</v>
      </c>
      <c r="N571" s="11" t="n">
        <v>4</v>
      </c>
      <c r="O571" s="12"/>
      <c r="P571" s="11"/>
      <c r="Q571" s="8"/>
      <c r="R571" s="8"/>
      <c r="S571" s="8"/>
      <c r="T571" s="8"/>
      <c r="U571" s="8"/>
      <c r="V571" s="8"/>
      <c r="W571" s="8"/>
      <c r="X571" s="8"/>
      <c r="Y571" s="8"/>
      <c r="Z571" s="8"/>
      <c r="AA571" s="8"/>
      <c r="AB571" s="8"/>
      <c r="AC571" s="8"/>
      <c r="AD571" s="8"/>
      <c r="AE571" s="8"/>
      <c r="AF571" s="8"/>
      <c r="AG571" s="8"/>
      <c r="AH571" s="8"/>
      <c r="AI571" s="8"/>
      <c r="AJ571" s="8"/>
      <c r="AK571" s="8"/>
      <c r="AL571" s="8"/>
      <c r="AM571" s="8"/>
    </row>
    <row r="572" customFormat="false" ht="15.75" hidden="false" customHeight="true" outlineLevel="0" collapsed="false">
      <c r="A572" s="30" t="n">
        <v>46305</v>
      </c>
      <c r="B572" s="31" t="s">
        <v>392</v>
      </c>
      <c r="C572" s="31" t="str">
        <f aca="false" t="array" ref="C572:C572">IF(B572="","",IFERROR(INDEX('CLM &amp; IM Mapping'!$B$2:$B$270,MATCH(TRIM(B572),'CLM &amp; IM Mapping'!$A$2:$A$270,0)),"Not Mapped"))</f>
        <v>Balaji G</v>
      </c>
      <c r="D572" s="31" t="str">
        <f aca="false" t="array" ref="D572:D572">IF(B572="","",IFERROR(INDEX('CLM &amp; IM Mapping'!$C$2:$C$270,MATCH(TRIM(B572),'CLM &amp; IM Mapping'!$A$2:$A$270,0)),"Not Mapped"))</f>
        <v>Mohammed Akbar</v>
      </c>
      <c r="E572" s="31" t="s">
        <v>34</v>
      </c>
      <c r="F572" s="31" t="s">
        <v>562</v>
      </c>
      <c r="G572" s="31" t="s">
        <v>23</v>
      </c>
      <c r="H572" s="17" t="n">
        <v>6054</v>
      </c>
      <c r="I572" s="32" t="n">
        <v>0.7</v>
      </c>
      <c r="J572" s="33" t="n">
        <v>0.910802775024777</v>
      </c>
      <c r="K572" s="34" t="n">
        <v>0.959920203119333</v>
      </c>
      <c r="L572" s="31" t="n">
        <v>0.986793</v>
      </c>
      <c r="M572" s="31" t="n">
        <v>0.959920203119333</v>
      </c>
      <c r="N572" s="11" t="n">
        <v>4</v>
      </c>
      <c r="O572" s="12"/>
      <c r="P572" s="11"/>
      <c r="Q572" s="8"/>
      <c r="R572" s="8"/>
      <c r="S572" s="8"/>
      <c r="T572" s="8"/>
      <c r="U572" s="8"/>
      <c r="V572" s="8"/>
      <c r="W572" s="8"/>
      <c r="X572" s="8"/>
      <c r="Y572" s="8"/>
      <c r="Z572" s="8"/>
      <c r="AA572" s="8"/>
      <c r="AB572" s="8"/>
      <c r="AC572" s="8"/>
      <c r="AD572" s="8"/>
      <c r="AE572" s="8"/>
      <c r="AF572" s="8"/>
      <c r="AG572" s="8"/>
      <c r="AH572" s="8"/>
      <c r="AI572" s="8"/>
      <c r="AJ572" s="8"/>
      <c r="AK572" s="8"/>
      <c r="AL572" s="8"/>
      <c r="AM572" s="8"/>
    </row>
    <row r="573" customFormat="false" ht="15.75" hidden="false" customHeight="true" outlineLevel="0" collapsed="false">
      <c r="A573" s="30" t="n">
        <v>46305</v>
      </c>
      <c r="B573" s="31" t="s">
        <v>150</v>
      </c>
      <c r="C573" s="31" t="str">
        <f aca="false" t="array" ref="C573:C573">IF(B573="","",IFERROR(INDEX('CLM &amp; IM Mapping'!$B$2:$B$270,MATCH(TRIM(B573),'CLM &amp; IM Mapping'!$A$2:$A$270,0)),"Not Mapped"))</f>
        <v>Akshay P</v>
      </c>
      <c r="D573" s="31" t="str">
        <f aca="false" t="array" ref="D573:D573">IF(B573="","",IFERROR(INDEX('CLM &amp; IM Mapping'!$C$2:$C$270,MATCH(TRIM(B573),'CLM &amp; IM Mapping'!$A$2:$A$270,0)),"Not Mapped"))</f>
        <v>Srittam Dhal</v>
      </c>
      <c r="E573" s="31" t="s">
        <v>34</v>
      </c>
      <c r="F573" s="31" t="s">
        <v>562</v>
      </c>
      <c r="G573" s="31" t="s">
        <v>23</v>
      </c>
      <c r="H573" s="17" t="n">
        <v>6948</v>
      </c>
      <c r="I573" s="32" t="n">
        <v>0.7</v>
      </c>
      <c r="J573" s="33" t="n">
        <v>0.652130109383995</v>
      </c>
      <c r="K573" s="34" t="n">
        <v>0.901566983005959</v>
      </c>
      <c r="L573" s="31" t="n">
        <v>0.962541</v>
      </c>
      <c r="M573" s="31" t="n">
        <v>0.901566983005959</v>
      </c>
      <c r="N573" s="11" t="n">
        <v>5</v>
      </c>
      <c r="O573" s="12"/>
      <c r="P573" s="11"/>
      <c r="Q573" s="8"/>
      <c r="R573" s="8"/>
      <c r="S573" s="8"/>
      <c r="T573" s="8"/>
      <c r="U573" s="8"/>
      <c r="V573" s="8"/>
      <c r="W573" s="8"/>
      <c r="X573" s="8"/>
      <c r="Y573" s="8"/>
      <c r="Z573" s="8"/>
      <c r="AA573" s="8"/>
      <c r="AB573" s="8"/>
      <c r="AC573" s="8"/>
      <c r="AD573" s="8"/>
      <c r="AE573" s="8"/>
      <c r="AF573" s="8"/>
      <c r="AG573" s="8"/>
      <c r="AH573" s="8"/>
      <c r="AI573" s="8"/>
      <c r="AJ573" s="8"/>
      <c r="AK573" s="8"/>
      <c r="AL573" s="8"/>
      <c r="AM573" s="8"/>
    </row>
    <row r="574" customFormat="false" ht="15.75" hidden="false" customHeight="true" outlineLevel="0" collapsed="false">
      <c r="A574" s="30" t="n">
        <v>46305</v>
      </c>
      <c r="B574" s="31" t="s">
        <v>86</v>
      </c>
      <c r="C574" s="31" t="str">
        <f aca="false" t="array" ref="C574:C574">IF(B574="","",IFERROR(INDEX('CLM &amp; IM Mapping'!$B$2:$B$270,MATCH(TRIM(B574),'CLM &amp; IM Mapping'!$A$2:$A$270,0)),"Not Mapped"))</f>
        <v>Raghavendra Vernekar</v>
      </c>
      <c r="D574" s="31" t="str">
        <f aca="false" t="array" ref="D574:D574">IF(B574="","",IFERROR(INDEX('CLM &amp; IM Mapping'!$C$2:$C$270,MATCH(TRIM(B574),'CLM &amp; IM Mapping'!$A$2:$A$270,0)),"Not Mapped"))</f>
        <v>Prakash BS</v>
      </c>
      <c r="E574" s="31" t="s">
        <v>34</v>
      </c>
      <c r="F574" s="31" t="s">
        <v>562</v>
      </c>
      <c r="G574" s="31" t="s">
        <v>23</v>
      </c>
      <c r="H574" s="17" t="n">
        <v>6895</v>
      </c>
      <c r="I574" s="32" t="n">
        <v>0.7</v>
      </c>
      <c r="J574" s="33" t="n">
        <v>0.758665699782451</v>
      </c>
      <c r="K574" s="34" t="n">
        <v>0.776142229019308</v>
      </c>
      <c r="L574" s="31" t="n">
        <v>0.940558</v>
      </c>
      <c r="M574" s="31" t="n">
        <v>0.776142229019308</v>
      </c>
      <c r="N574" s="11" t="n">
        <v>4</v>
      </c>
      <c r="O574" s="12"/>
      <c r="P574" s="11"/>
      <c r="Q574" s="8"/>
      <c r="R574" s="8"/>
      <c r="S574" s="8"/>
      <c r="T574" s="8"/>
      <c r="U574" s="8"/>
      <c r="V574" s="8"/>
      <c r="W574" s="8"/>
      <c r="X574" s="8"/>
      <c r="Y574" s="8"/>
      <c r="Z574" s="8"/>
      <c r="AA574" s="8"/>
      <c r="AB574" s="8"/>
      <c r="AC574" s="8"/>
      <c r="AD574" s="8"/>
      <c r="AE574" s="8"/>
      <c r="AF574" s="8"/>
      <c r="AG574" s="8"/>
      <c r="AH574" s="8"/>
      <c r="AI574" s="8"/>
      <c r="AJ574" s="8"/>
      <c r="AK574" s="8"/>
      <c r="AL574" s="8"/>
      <c r="AM574" s="8"/>
    </row>
    <row r="575" customFormat="false" ht="15.75" hidden="false" customHeight="true" outlineLevel="0" collapsed="false">
      <c r="A575" s="30" t="n">
        <v>46305</v>
      </c>
      <c r="B575" s="31" t="s">
        <v>508</v>
      </c>
      <c r="C575" s="31" t="str">
        <f aca="false" t="array" ref="C575:C575">IF(B575="","",IFERROR(INDEX('CLM &amp; IM Mapping'!$B$2:$B$270,MATCH(TRIM(B575),'CLM &amp; IM Mapping'!$A$2:$A$270,0)),"Not Mapped"))</f>
        <v>Ravishankar gowda</v>
      </c>
      <c r="D575" s="31" t="str">
        <f aca="false" t="array" ref="D575:D575">IF(B575="","",IFERROR(INDEX('CLM &amp; IM Mapping'!$C$2:$C$270,MATCH(TRIM(B575),'CLM &amp; IM Mapping'!$A$2:$A$270,0)),"Not Mapped"))</f>
        <v>Kishor K</v>
      </c>
      <c r="E575" s="31" t="s">
        <v>34</v>
      </c>
      <c r="F575" s="31" t="s">
        <v>562</v>
      </c>
      <c r="G575" s="31" t="s">
        <v>23</v>
      </c>
      <c r="H575" s="17" t="n">
        <v>6734</v>
      </c>
      <c r="I575" s="32" t="n">
        <v>0.7</v>
      </c>
      <c r="J575" s="33" t="n">
        <v>0.961241461241461</v>
      </c>
      <c r="K575" s="34" t="n">
        <v>0.972037695040939</v>
      </c>
      <c r="L575" s="31" t="n">
        <v>0.989857</v>
      </c>
      <c r="M575" s="31" t="n">
        <v>0.972037695040939</v>
      </c>
      <c r="N575" s="11" t="n">
        <v>4</v>
      </c>
      <c r="O575" s="12"/>
      <c r="P575" s="11"/>
      <c r="Q575" s="8"/>
      <c r="R575" s="8"/>
      <c r="S575" s="8"/>
      <c r="T575" s="8"/>
      <c r="U575" s="8"/>
      <c r="V575" s="8"/>
      <c r="W575" s="8"/>
      <c r="X575" s="8"/>
      <c r="Y575" s="8"/>
      <c r="Z575" s="8"/>
      <c r="AA575" s="8"/>
      <c r="AB575" s="8"/>
      <c r="AC575" s="8"/>
      <c r="AD575" s="8"/>
      <c r="AE575" s="8"/>
      <c r="AF575" s="8"/>
      <c r="AG575" s="8"/>
      <c r="AH575" s="8"/>
      <c r="AI575" s="8"/>
      <c r="AJ575" s="8"/>
      <c r="AK575" s="8"/>
      <c r="AL575" s="8"/>
      <c r="AM575" s="8"/>
    </row>
    <row r="576" customFormat="false" ht="15.75" hidden="false" customHeight="true" outlineLevel="0" collapsed="false">
      <c r="A576" s="30" t="n">
        <v>46305</v>
      </c>
      <c r="B576" s="31" t="s">
        <v>532</v>
      </c>
      <c r="C576" s="31" t="str">
        <f aca="false" t="array" ref="C576:C576">IF(B576="","",IFERROR(INDEX('CLM &amp; IM Mapping'!$B$2:$B$270,MATCH(TRIM(B576),'CLM &amp; IM Mapping'!$A$2:$A$270,0)),"Not Mapped"))</f>
        <v>Arun Raj</v>
      </c>
      <c r="D576" s="31" t="str">
        <f aca="false" t="array" ref="D576:D576">IF(B576="","",IFERROR(INDEX('CLM &amp; IM Mapping'!$C$2:$C$270,MATCH(TRIM(B576),'CLM &amp; IM Mapping'!$A$2:$A$270,0)),"Not Mapped"))</f>
        <v>Simon Manoharan</v>
      </c>
      <c r="E576" s="31" t="s">
        <v>25</v>
      </c>
      <c r="F576" s="31" t="s">
        <v>565</v>
      </c>
      <c r="G576" s="31" t="s">
        <v>23</v>
      </c>
      <c r="H576" s="17" t="n">
        <v>10619</v>
      </c>
      <c r="I576" s="32" t="n">
        <v>0.7</v>
      </c>
      <c r="J576" s="33" t="n">
        <v>0.0335248140126189</v>
      </c>
      <c r="K576" s="34" t="n">
        <v>0.0084269662921348</v>
      </c>
      <c r="L576" s="31" t="n">
        <v>-0.997121</v>
      </c>
      <c r="M576" s="31" t="n">
        <v>0.0009731123595505</v>
      </c>
      <c r="N576" s="11"/>
      <c r="O576" s="12"/>
      <c r="P576" s="11"/>
      <c r="Q576" s="8"/>
      <c r="R576" s="8"/>
      <c r="S576" s="8"/>
      <c r="T576" s="8"/>
      <c r="U576" s="8"/>
      <c r="V576" s="8"/>
      <c r="W576" s="8"/>
      <c r="X576" s="8"/>
      <c r="Y576" s="8"/>
      <c r="Z576" s="8"/>
      <c r="AA576" s="8"/>
      <c r="AB576" s="8"/>
      <c r="AC576" s="8"/>
      <c r="AD576" s="8"/>
      <c r="AE576" s="8"/>
      <c r="AF576" s="8"/>
      <c r="AG576" s="8"/>
      <c r="AH576" s="8"/>
      <c r="AI576" s="8"/>
      <c r="AJ576" s="8"/>
      <c r="AK576" s="8"/>
      <c r="AL576" s="8"/>
      <c r="AM576" s="8"/>
    </row>
    <row r="577" customFormat="false" ht="15.75" hidden="false" customHeight="true" outlineLevel="0" collapsed="false">
      <c r="A577" s="30" t="n">
        <v>46305</v>
      </c>
      <c r="B577" s="31" t="s">
        <v>189</v>
      </c>
      <c r="C577" s="31" t="str">
        <f aca="false" t="array" ref="C577:C577">IF(B577="","",IFERROR(INDEX('CLM &amp; IM Mapping'!$B$2:$B$270,MATCH(TRIM(B577),'CLM &amp; IM Mapping'!$A$2:$A$270,0)),"Not Mapped"))</f>
        <v>Girish N</v>
      </c>
      <c r="D577" s="31" t="str">
        <f aca="false" t="array" ref="D577:D577">IF(B577="","",IFERROR(INDEX('CLM &amp; IM Mapping'!$C$2:$C$270,MATCH(TRIM(B577),'CLM &amp; IM Mapping'!$A$2:$A$270,0)),"Not Mapped"))</f>
        <v>Un Mapped</v>
      </c>
      <c r="E577" s="31" t="s">
        <v>34</v>
      </c>
      <c r="F577" s="31" t="s">
        <v>562</v>
      </c>
      <c r="G577" s="31" t="s">
        <v>23</v>
      </c>
      <c r="H577" s="17" t="n">
        <v>5124</v>
      </c>
      <c r="I577" s="32" t="n">
        <v>0.7</v>
      </c>
      <c r="J577" s="33" t="n">
        <v>0.43871975019516</v>
      </c>
      <c r="K577" s="34" t="n">
        <v>0.831405693950178</v>
      </c>
      <c r="L577" s="31" t="n">
        <v>0.884459</v>
      </c>
      <c r="M577" s="31" t="n">
        <v>0.831405693950178</v>
      </c>
      <c r="N577" s="11" t="n">
        <v>3</v>
      </c>
      <c r="O577" s="12"/>
      <c r="P577" s="11"/>
      <c r="Q577" s="8"/>
      <c r="R577" s="8"/>
      <c r="S577" s="8"/>
      <c r="T577" s="8"/>
      <c r="U577" s="8"/>
      <c r="V577" s="8"/>
      <c r="W577" s="8"/>
      <c r="X577" s="8"/>
      <c r="Y577" s="8"/>
      <c r="Z577" s="8"/>
      <c r="AA577" s="8"/>
      <c r="AB577" s="8"/>
      <c r="AC577" s="8"/>
      <c r="AD577" s="8"/>
      <c r="AE577" s="8"/>
      <c r="AF577" s="8"/>
      <c r="AG577" s="8"/>
      <c r="AH577" s="8"/>
      <c r="AI577" s="8"/>
      <c r="AJ577" s="8"/>
      <c r="AK577" s="8"/>
      <c r="AL577" s="8"/>
      <c r="AM577" s="8"/>
    </row>
    <row r="578" customFormat="false" ht="15.75" hidden="false" customHeight="true" outlineLevel="0" collapsed="false">
      <c r="A578" s="30" t="n">
        <v>46305</v>
      </c>
      <c r="B578" s="31" t="s">
        <v>241</v>
      </c>
      <c r="C578" s="31" t="str">
        <f aca="false" t="array" ref="C578:C578">IF(B578="","",IFERROR(INDEX('CLM &amp; IM Mapping'!$B$2:$B$270,MATCH(TRIM(B578),'CLM &amp; IM Mapping'!$A$2:$A$270,0)),"Not Mapped"))</f>
        <v>Sundaresh S</v>
      </c>
      <c r="D578" s="31" t="str">
        <f aca="false" t="array" ref="D578:D578">IF(B578="","",IFERROR(INDEX('CLM &amp; IM Mapping'!$C$2:$C$270,MATCH(TRIM(B578),'CLM &amp; IM Mapping'!$A$2:$A$270,0)),"Not Mapped"))</f>
        <v>Un Mapped</v>
      </c>
      <c r="E578" s="31" t="s">
        <v>34</v>
      </c>
      <c r="F578" s="31" t="s">
        <v>562</v>
      </c>
      <c r="G578" s="31" t="s">
        <v>23</v>
      </c>
      <c r="H578" s="17" t="n">
        <v>5757</v>
      </c>
      <c r="I578" s="32" t="n">
        <v>0.7</v>
      </c>
      <c r="J578" s="33" t="n">
        <v>0.742053152683689</v>
      </c>
      <c r="K578" s="34" t="n">
        <v>0.880383895131086</v>
      </c>
      <c r="L578" s="31" t="n">
        <v>0.948129</v>
      </c>
      <c r="M578" s="31" t="n">
        <v>0.880383895131086</v>
      </c>
      <c r="N578" s="11" t="n">
        <v>3</v>
      </c>
      <c r="O578" s="12"/>
      <c r="P578" s="11"/>
      <c r="Q578" s="8"/>
      <c r="R578" s="8"/>
      <c r="S578" s="8"/>
      <c r="T578" s="8"/>
      <c r="U578" s="8"/>
      <c r="V578" s="8"/>
      <c r="W578" s="8"/>
      <c r="X578" s="8"/>
      <c r="Y578" s="8"/>
      <c r="Z578" s="8"/>
      <c r="AA578" s="8"/>
      <c r="AB578" s="8"/>
      <c r="AC578" s="8"/>
      <c r="AD578" s="8"/>
      <c r="AE578" s="8"/>
      <c r="AF578" s="8"/>
      <c r="AG578" s="8"/>
      <c r="AH578" s="8"/>
      <c r="AI578" s="8"/>
      <c r="AJ578" s="8"/>
      <c r="AK578" s="8"/>
      <c r="AL578" s="8"/>
      <c r="AM578" s="8"/>
    </row>
    <row r="579" customFormat="false" ht="15.75" hidden="false" customHeight="true" outlineLevel="0" collapsed="false">
      <c r="A579" s="30" t="n">
        <v>46305</v>
      </c>
      <c r="B579" s="31" t="s">
        <v>238</v>
      </c>
      <c r="C579" s="31" t="str">
        <f aca="false" t="array" ref="C579:C579">IF(B579="","",IFERROR(INDEX('CLM &amp; IM Mapping'!$B$2:$B$270,MATCH(TRIM(B579),'CLM &amp; IM Mapping'!$A$2:$A$270,0)),"Not Mapped"))</f>
        <v>Suhas N</v>
      </c>
      <c r="D579" s="31" t="str">
        <f aca="false" t="array" ref="D579:D579">IF(B579="","",IFERROR(INDEX('CLM &amp; IM Mapping'!$C$2:$C$270,MATCH(TRIM(B579),'CLM &amp; IM Mapping'!$A$2:$A$270,0)),"Not Mapped"))</f>
        <v>Aravind S</v>
      </c>
      <c r="E579" s="31" t="s">
        <v>34</v>
      </c>
      <c r="F579" s="31" t="s">
        <v>562</v>
      </c>
      <c r="G579" s="31" t="s">
        <v>23</v>
      </c>
      <c r="H579" s="17" t="n">
        <v>5627</v>
      </c>
      <c r="I579" s="32" t="n">
        <v>0.7</v>
      </c>
      <c r="J579" s="33" t="n">
        <v>0.493691132041941</v>
      </c>
      <c r="K579" s="34" t="n">
        <v>0.819654427645788</v>
      </c>
      <c r="L579" s="31" t="n">
        <v>0.954431</v>
      </c>
      <c r="M579" s="31" t="n">
        <v>0.819654427645788</v>
      </c>
      <c r="N579" s="11" t="n">
        <v>5</v>
      </c>
      <c r="O579" s="12"/>
      <c r="P579" s="11"/>
      <c r="Q579" s="8"/>
      <c r="R579" s="8"/>
      <c r="S579" s="8"/>
      <c r="T579" s="8"/>
      <c r="U579" s="8"/>
      <c r="V579" s="8"/>
      <c r="W579" s="8"/>
      <c r="X579" s="8"/>
      <c r="Y579" s="8"/>
      <c r="Z579" s="8"/>
      <c r="AA579" s="8"/>
      <c r="AB579" s="8"/>
      <c r="AC579" s="8"/>
      <c r="AD579" s="8"/>
      <c r="AE579" s="8"/>
      <c r="AF579" s="8"/>
      <c r="AG579" s="8"/>
      <c r="AH579" s="8"/>
      <c r="AI579" s="8"/>
      <c r="AJ579" s="8"/>
      <c r="AK579" s="8"/>
      <c r="AL579" s="8"/>
      <c r="AM579" s="8"/>
    </row>
    <row r="580" customFormat="false" ht="15.75" hidden="false" customHeight="true" outlineLevel="0" collapsed="false">
      <c r="A580" s="30" t="n">
        <v>46305</v>
      </c>
      <c r="B580" s="31" t="s">
        <v>517</v>
      </c>
      <c r="C580" s="31" t="str">
        <f aca="false" t="array" ref="C580:C580">IF(B580="","",IFERROR(INDEX('CLM &amp; IM Mapping'!$B$2:$B$270,MATCH(TRIM(B580),'CLM &amp; IM Mapping'!$A$2:$A$270,0)),"Not Mapped"))</f>
        <v>Manoj Kj</v>
      </c>
      <c r="D580" s="31" t="str">
        <f aca="false" t="array" ref="D580:D580">IF(B580="","",IFERROR(INDEX('CLM &amp; IM Mapping'!$C$2:$C$270,MATCH(TRIM(B580),'CLM &amp; IM Mapping'!$A$2:$A$270,0)),"Not Mapped"))</f>
        <v>Srittam Dhal</v>
      </c>
      <c r="E580" s="31" t="s">
        <v>34</v>
      </c>
      <c r="F580" s="31" t="s">
        <v>565</v>
      </c>
      <c r="G580" s="31" t="s">
        <v>23</v>
      </c>
      <c r="H580" s="17" t="n">
        <v>8560</v>
      </c>
      <c r="I580" s="32" t="n">
        <v>0.7</v>
      </c>
      <c r="J580" s="33" t="n">
        <v>0.967523364485981</v>
      </c>
      <c r="K580" s="34" t="n">
        <v>0.936005795701521</v>
      </c>
      <c r="L580" s="31" t="n">
        <v>0.983219</v>
      </c>
      <c r="M580" s="31"/>
      <c r="N580" s="11" t="n">
        <v>7</v>
      </c>
      <c r="O580" s="12"/>
      <c r="P580" s="11"/>
      <c r="Q580" s="8"/>
      <c r="R580" s="8"/>
      <c r="S580" s="8"/>
      <c r="T580" s="8"/>
      <c r="U580" s="8"/>
      <c r="V580" s="8"/>
      <c r="W580" s="8"/>
      <c r="X580" s="8"/>
      <c r="Y580" s="8"/>
      <c r="Z580" s="8"/>
      <c r="AA580" s="8"/>
      <c r="AB580" s="8"/>
      <c r="AC580" s="8"/>
      <c r="AD580" s="8"/>
      <c r="AE580" s="8"/>
      <c r="AF580" s="8"/>
      <c r="AG580" s="8"/>
      <c r="AH580" s="8"/>
      <c r="AI580" s="8"/>
      <c r="AJ580" s="8"/>
      <c r="AK580" s="8"/>
      <c r="AL580" s="8"/>
      <c r="AM580" s="8"/>
    </row>
    <row r="581" customFormat="false" ht="15.75" hidden="false" customHeight="true" outlineLevel="0" collapsed="false">
      <c r="A581" s="30" t="n">
        <v>46305</v>
      </c>
      <c r="B581" s="31" t="s">
        <v>528</v>
      </c>
      <c r="C581" s="31" t="str">
        <f aca="false" t="array" ref="C581:C581">IF(B581="","",IFERROR(INDEX('CLM &amp; IM Mapping'!$B$2:$B$270,MATCH(TRIM(B581),'CLM &amp; IM Mapping'!$A$2:$A$270,0)),"Not Mapped"))</f>
        <v>Saddam Hussain</v>
      </c>
      <c r="D581" s="31" t="str">
        <f aca="false" t="array" ref="D581:D581">IF(B581="","",IFERROR(INDEX('CLM &amp; IM Mapping'!$C$2:$C$270,MATCH(TRIM(B581),'CLM &amp; IM Mapping'!$A$2:$A$270,0)),"Not Mapped"))</f>
        <v>Un Mapped</v>
      </c>
      <c r="E581" s="31" t="s">
        <v>34</v>
      </c>
      <c r="F581" s="31" t="s">
        <v>562</v>
      </c>
      <c r="G581" s="31" t="s">
        <v>23</v>
      </c>
      <c r="H581" s="17" t="n">
        <v>6238</v>
      </c>
      <c r="I581" s="32" t="n">
        <v>0.7</v>
      </c>
      <c r="J581" s="33" t="n">
        <v>0.594421288874639</v>
      </c>
      <c r="K581" s="34" t="n">
        <v>0.869741100323625</v>
      </c>
      <c r="L581" s="31" t="n">
        <v>0.954148</v>
      </c>
      <c r="M581" s="31" t="n">
        <v>0.869741100323625</v>
      </c>
      <c r="N581" s="11" t="n">
        <v>4</v>
      </c>
      <c r="O581" s="12"/>
      <c r="P581" s="11"/>
      <c r="Q581" s="8"/>
      <c r="R581" s="8"/>
      <c r="S581" s="8"/>
      <c r="T581" s="8"/>
      <c r="U581" s="8"/>
      <c r="V581" s="8"/>
      <c r="W581" s="8"/>
      <c r="X581" s="8"/>
      <c r="Y581" s="8"/>
      <c r="Z581" s="8"/>
      <c r="AA581" s="8"/>
      <c r="AB581" s="8"/>
      <c r="AC581" s="8"/>
      <c r="AD581" s="8"/>
      <c r="AE581" s="8"/>
      <c r="AF581" s="8"/>
      <c r="AG581" s="8"/>
      <c r="AH581" s="8"/>
      <c r="AI581" s="8"/>
      <c r="AJ581" s="8"/>
      <c r="AK581" s="8"/>
      <c r="AL581" s="8"/>
      <c r="AM581" s="8"/>
    </row>
    <row r="582" customFormat="false" ht="15.75" hidden="false" customHeight="true" outlineLevel="0" collapsed="false">
      <c r="A582" s="30" t="n">
        <v>46305</v>
      </c>
      <c r="B582" s="31" t="s">
        <v>144</v>
      </c>
      <c r="C582" s="31" t="str">
        <f aca="false" t="array" ref="C582:C582">IF(B582="","",IFERROR(INDEX('CLM &amp; IM Mapping'!$B$2:$B$270,MATCH(TRIM(B582),'CLM &amp; IM Mapping'!$A$2:$A$270,0)),"Not Mapped"))</f>
        <v>Mohaideen DH</v>
      </c>
      <c r="D582" s="31" t="str">
        <f aca="false" t="array" ref="D582:D582">IF(B582="","",IFERROR(INDEX('CLM &amp; IM Mapping'!$C$2:$C$270,MATCH(TRIM(B582),'CLM &amp; IM Mapping'!$A$2:$A$270,0)),"Not Mapped"))</f>
        <v>Mohammed Akbar</v>
      </c>
      <c r="E582" s="31" t="s">
        <v>34</v>
      </c>
      <c r="F582" s="31" t="s">
        <v>562</v>
      </c>
      <c r="G582" s="31" t="s">
        <v>23</v>
      </c>
      <c r="H582" s="17" t="n">
        <v>6324</v>
      </c>
      <c r="I582" s="32" t="n">
        <v>0.7</v>
      </c>
      <c r="J582" s="33" t="n">
        <v>0.767235926628716</v>
      </c>
      <c r="K582" s="34" t="n">
        <v>0.788334707337181</v>
      </c>
      <c r="L582" s="31" t="n">
        <v>0.8286</v>
      </c>
      <c r="M582" s="31" t="n">
        <v>0.788334707337181</v>
      </c>
      <c r="N582" s="11" t="n">
        <v>6</v>
      </c>
      <c r="O582" s="12"/>
      <c r="P582" s="11"/>
      <c r="Q582" s="8"/>
      <c r="R582" s="8"/>
      <c r="S582" s="8"/>
      <c r="T582" s="8"/>
      <c r="U582" s="8"/>
      <c r="V582" s="8"/>
      <c r="W582" s="8"/>
      <c r="X582" s="8"/>
      <c r="Y582" s="8"/>
      <c r="Z582" s="8"/>
      <c r="AA582" s="8"/>
      <c r="AB582" s="8"/>
      <c r="AC582" s="8"/>
      <c r="AD582" s="8"/>
      <c r="AE582" s="8"/>
      <c r="AF582" s="8"/>
      <c r="AG582" s="8"/>
      <c r="AH582" s="8"/>
      <c r="AI582" s="8"/>
      <c r="AJ582" s="8"/>
      <c r="AK582" s="8"/>
      <c r="AL582" s="8"/>
      <c r="AM582" s="8"/>
    </row>
    <row r="583" customFormat="false" ht="15.75" hidden="false" customHeight="true" outlineLevel="0" collapsed="false">
      <c r="A583" s="30" t="n">
        <v>46305</v>
      </c>
      <c r="B583" s="31" t="s">
        <v>344</v>
      </c>
      <c r="C583" s="31" t="str">
        <f aca="false" t="array" ref="C583:C583">IF(B583="","",IFERROR(INDEX('CLM &amp; IM Mapping'!$B$2:$B$270,MATCH(TRIM(B583),'CLM &amp; IM Mapping'!$A$2:$A$270,0)),"Not Mapped"))</f>
        <v>Arun Raj</v>
      </c>
      <c r="D583" s="31" t="str">
        <f aca="false" t="array" ref="D583:D583">IF(B583="","",IFERROR(INDEX('CLM &amp; IM Mapping'!$C$2:$C$270,MATCH(TRIM(B583),'CLM &amp; IM Mapping'!$A$2:$A$270,0)),"Not Mapped"))</f>
        <v>Simon Manoharan</v>
      </c>
      <c r="E583" s="31" t="s">
        <v>25</v>
      </c>
      <c r="F583" s="31" t="s">
        <v>565</v>
      </c>
      <c r="G583" s="31" t="s">
        <v>23</v>
      </c>
      <c r="H583" s="17" t="n">
        <v>11819</v>
      </c>
      <c r="I583" s="32" t="n">
        <v>0.7</v>
      </c>
      <c r="J583" s="33" t="n">
        <v>0.516710381588967</v>
      </c>
      <c r="K583" s="34" t="n">
        <v>0.918290486327166</v>
      </c>
      <c r="L583" s="31" t="n">
        <v>0.98252</v>
      </c>
      <c r="M583" s="31" t="n">
        <v>0.918290486327166</v>
      </c>
      <c r="N583" s="11" t="n">
        <v>2</v>
      </c>
      <c r="O583" s="12"/>
      <c r="P583" s="11"/>
      <c r="Q583" s="8"/>
      <c r="R583" s="8"/>
      <c r="S583" s="8"/>
      <c r="T583" s="8"/>
      <c r="U583" s="8"/>
      <c r="V583" s="8"/>
      <c r="W583" s="8"/>
      <c r="X583" s="8"/>
      <c r="Y583" s="8"/>
      <c r="Z583" s="8"/>
      <c r="AA583" s="8"/>
      <c r="AB583" s="8"/>
      <c r="AC583" s="8"/>
      <c r="AD583" s="8"/>
      <c r="AE583" s="8"/>
      <c r="AF583" s="8"/>
      <c r="AG583" s="8"/>
      <c r="AH583" s="8"/>
      <c r="AI583" s="8"/>
      <c r="AJ583" s="8"/>
      <c r="AK583" s="8"/>
      <c r="AL583" s="8"/>
      <c r="AM583" s="8"/>
    </row>
    <row r="584" customFormat="false" ht="15.75" hidden="false" customHeight="true" outlineLevel="0" collapsed="false">
      <c r="A584" s="30" t="n">
        <v>46305</v>
      </c>
      <c r="B584" s="31" t="s">
        <v>371</v>
      </c>
      <c r="C584" s="31" t="str">
        <f aca="false" t="array" ref="C584:C584">IF(B584="","",IFERROR(INDEX('CLM &amp; IM Mapping'!$B$2:$B$270,MATCH(TRIM(B584),'CLM &amp; IM Mapping'!$A$2:$A$270,0)),"Not Mapped"))</f>
        <v>Akshay P</v>
      </c>
      <c r="D584" s="31" t="str">
        <f aca="false" t="array" ref="D584:D584">IF(B584="","",IFERROR(INDEX('CLM &amp; IM Mapping'!$C$2:$C$270,MATCH(TRIM(B584),'CLM &amp; IM Mapping'!$A$2:$A$270,0)),"Not Mapped"))</f>
        <v>Srittam Dhal</v>
      </c>
      <c r="E584" s="31" t="s">
        <v>34</v>
      </c>
      <c r="F584" s="31" t="s">
        <v>565</v>
      </c>
      <c r="G584" s="31" t="s">
        <v>23</v>
      </c>
      <c r="H584" s="17" t="n">
        <v>6949</v>
      </c>
      <c r="I584" s="32" t="n">
        <v>0.7</v>
      </c>
      <c r="J584" s="33" t="n">
        <v>0.515182040581379</v>
      </c>
      <c r="K584" s="34" t="n">
        <v>0.956703910614525</v>
      </c>
      <c r="L584" s="31" t="n">
        <v>0.983006</v>
      </c>
      <c r="M584" s="31"/>
      <c r="N584" s="11" t="n">
        <v>1</v>
      </c>
      <c r="O584" s="12"/>
      <c r="P584" s="11"/>
      <c r="Q584" s="8"/>
      <c r="R584" s="8"/>
      <c r="S584" s="8"/>
      <c r="T584" s="8"/>
      <c r="U584" s="8"/>
      <c r="V584" s="8"/>
      <c r="W584" s="8"/>
      <c r="X584" s="8"/>
      <c r="Y584" s="8"/>
      <c r="Z584" s="8"/>
      <c r="AA584" s="8"/>
      <c r="AB584" s="8"/>
      <c r="AC584" s="8"/>
      <c r="AD584" s="8"/>
      <c r="AE584" s="8"/>
      <c r="AF584" s="8"/>
      <c r="AG584" s="8"/>
      <c r="AH584" s="8"/>
      <c r="AI584" s="8"/>
      <c r="AJ584" s="8"/>
      <c r="AK584" s="8"/>
      <c r="AL584" s="8"/>
      <c r="AM584" s="8"/>
    </row>
    <row r="585" customFormat="false" ht="15.75" hidden="false" customHeight="true" outlineLevel="0" collapsed="false">
      <c r="A585" s="30" t="n">
        <v>46305</v>
      </c>
      <c r="B585" s="31" t="s">
        <v>327</v>
      </c>
      <c r="C585" s="31" t="str">
        <f aca="false" t="array" ref="C585:C585">IF(B585="","",IFERROR(INDEX('CLM &amp; IM Mapping'!$B$2:$B$270,MATCH(TRIM(B585),'CLM &amp; IM Mapping'!$A$2:$A$270,0)),"Not Mapped"))</f>
        <v>Suhas N</v>
      </c>
      <c r="D585" s="31" t="str">
        <f aca="false" t="array" ref="D585:D585">IF(B585="","",IFERROR(INDEX('CLM &amp; IM Mapping'!$C$2:$C$270,MATCH(TRIM(B585),'CLM &amp; IM Mapping'!$A$2:$A$270,0)),"Not Mapped"))</f>
        <v>Aravind S</v>
      </c>
      <c r="E585" s="31" t="s">
        <v>34</v>
      </c>
      <c r="F585" s="31" t="s">
        <v>562</v>
      </c>
      <c r="G585" s="31" t="s">
        <v>23</v>
      </c>
      <c r="H585" s="17" t="n">
        <v>7332</v>
      </c>
      <c r="I585" s="32" t="n">
        <v>0.7</v>
      </c>
      <c r="J585" s="33" t="n">
        <v>0.603518821603928</v>
      </c>
      <c r="K585" s="34" t="n">
        <v>0.973107344632768</v>
      </c>
      <c r="L585" s="31" t="n">
        <v>0.990094</v>
      </c>
      <c r="M585" s="31" t="n">
        <v>0.973107344632768</v>
      </c>
      <c r="N585" s="11" t="n">
        <v>1</v>
      </c>
      <c r="O585" s="12"/>
      <c r="P585" s="11"/>
      <c r="Q585" s="8"/>
      <c r="R585" s="8"/>
      <c r="S585" s="8"/>
      <c r="T585" s="8"/>
      <c r="U585" s="8"/>
      <c r="V585" s="8"/>
      <c r="W585" s="8"/>
      <c r="X585" s="8"/>
      <c r="Y585" s="8"/>
      <c r="Z585" s="8"/>
      <c r="AA585" s="8"/>
      <c r="AB585" s="8"/>
      <c r="AC585" s="8"/>
      <c r="AD585" s="8"/>
      <c r="AE585" s="8"/>
      <c r="AF585" s="8"/>
      <c r="AG585" s="8"/>
      <c r="AH585" s="8"/>
      <c r="AI585" s="8"/>
      <c r="AJ585" s="8"/>
      <c r="AK585" s="8"/>
      <c r="AL585" s="8"/>
      <c r="AM585" s="8"/>
    </row>
    <row r="586" customFormat="false" ht="15.75" hidden="false" customHeight="true" outlineLevel="0" collapsed="false">
      <c r="A586" s="30" t="n">
        <v>46305</v>
      </c>
      <c r="B586" s="31" t="s">
        <v>134</v>
      </c>
      <c r="C586" s="31" t="str">
        <f aca="false" t="array" ref="C586:C586">IF(B586="","",IFERROR(INDEX('CLM &amp; IM Mapping'!$B$2:$B$270,MATCH(TRIM(B586),'CLM &amp; IM Mapping'!$A$2:$A$270,0)),"Not Mapped"))</f>
        <v>Raghavendra Vernekar</v>
      </c>
      <c r="D586" s="31" t="str">
        <f aca="false" t="array" ref="D586:D586">IF(B586="","",IFERROR(INDEX('CLM &amp; IM Mapping'!$C$2:$C$270,MATCH(TRIM(B586),'CLM &amp; IM Mapping'!$A$2:$A$270,0)),"Not Mapped"))</f>
        <v>Prakash BS</v>
      </c>
      <c r="E586" s="31" t="s">
        <v>34</v>
      </c>
      <c r="F586" s="31" t="s">
        <v>562</v>
      </c>
      <c r="G586" s="31" t="s">
        <v>23</v>
      </c>
      <c r="H586" s="17" t="n">
        <v>5574</v>
      </c>
      <c r="I586" s="32" t="n">
        <v>0.7</v>
      </c>
      <c r="J586" s="33" t="n">
        <v>0.331359885181198</v>
      </c>
      <c r="K586" s="34" t="n">
        <v>0.778559826746075</v>
      </c>
      <c r="L586" s="31" t="n">
        <v>0.950562</v>
      </c>
      <c r="M586" s="31" t="n">
        <v>0.778559826746075</v>
      </c>
      <c r="N586" s="11" t="n">
        <v>3</v>
      </c>
      <c r="O586" s="12"/>
      <c r="P586" s="11"/>
      <c r="Q586" s="8"/>
      <c r="R586" s="8"/>
      <c r="S586" s="8"/>
      <c r="T586" s="8"/>
      <c r="U586" s="8"/>
      <c r="V586" s="8"/>
      <c r="W586" s="8"/>
      <c r="X586" s="8"/>
      <c r="Y586" s="8"/>
      <c r="Z586" s="8"/>
      <c r="AA586" s="8"/>
      <c r="AB586" s="8"/>
      <c r="AC586" s="8"/>
      <c r="AD586" s="8"/>
      <c r="AE586" s="8"/>
      <c r="AF586" s="8"/>
      <c r="AG586" s="8"/>
      <c r="AH586" s="8"/>
      <c r="AI586" s="8"/>
      <c r="AJ586" s="8"/>
      <c r="AK586" s="8"/>
      <c r="AL586" s="8"/>
      <c r="AM586" s="8"/>
    </row>
    <row r="587" customFormat="false" ht="15.75" hidden="false" customHeight="true" outlineLevel="0" collapsed="false">
      <c r="A587" s="30" t="n">
        <v>46305</v>
      </c>
      <c r="B587" s="31" t="s">
        <v>292</v>
      </c>
      <c r="C587" s="31" t="str">
        <f aca="false" t="array" ref="C587:C587">IF(B587="","",IFERROR(INDEX('CLM &amp; IM Mapping'!$B$2:$B$270,MATCH(TRIM(B587),'CLM &amp; IM Mapping'!$A$2:$A$270,0)),"Not Mapped"))</f>
        <v>Mohaideen DH</v>
      </c>
      <c r="D587" s="31" t="str">
        <f aca="false" t="array" ref="D587:D587">IF(B587="","",IFERROR(INDEX('CLM &amp; IM Mapping'!$C$2:$C$270,MATCH(TRIM(B587),'CLM &amp; IM Mapping'!$A$2:$A$270,0)),"Not Mapped"))</f>
        <v>Mohammed Akbar</v>
      </c>
      <c r="E587" s="31" t="s">
        <v>34</v>
      </c>
      <c r="F587" s="31" t="s">
        <v>562</v>
      </c>
      <c r="G587" s="31" t="s">
        <v>23</v>
      </c>
      <c r="H587" s="17" t="n">
        <v>5619</v>
      </c>
      <c r="I587" s="32" t="n">
        <v>0.7</v>
      </c>
      <c r="J587" s="33" t="n">
        <v>0.479978643886813</v>
      </c>
      <c r="K587" s="34" t="n">
        <v>0.848350018539118</v>
      </c>
      <c r="L587" s="31" t="n">
        <v>0.935057</v>
      </c>
      <c r="M587" s="31"/>
      <c r="N587" s="11" t="n">
        <v>3</v>
      </c>
      <c r="O587" s="12"/>
      <c r="P587" s="11"/>
      <c r="Q587" s="8"/>
      <c r="R587" s="8"/>
      <c r="S587" s="8"/>
      <c r="T587" s="8"/>
      <c r="U587" s="8"/>
      <c r="V587" s="8"/>
      <c r="W587" s="8"/>
      <c r="X587" s="8"/>
      <c r="Y587" s="8"/>
      <c r="Z587" s="8"/>
      <c r="AA587" s="8"/>
      <c r="AB587" s="8"/>
      <c r="AC587" s="8"/>
      <c r="AD587" s="8"/>
      <c r="AE587" s="8"/>
      <c r="AF587" s="8"/>
      <c r="AG587" s="8"/>
      <c r="AH587" s="8"/>
      <c r="AI587" s="8"/>
      <c r="AJ587" s="8"/>
      <c r="AK587" s="8"/>
      <c r="AL587" s="8"/>
      <c r="AM587" s="8"/>
    </row>
    <row r="588" customFormat="false" ht="15.75" hidden="false" customHeight="true" outlineLevel="0" collapsed="false">
      <c r="A588" s="30" t="n">
        <v>46305</v>
      </c>
      <c r="B588" s="31" t="s">
        <v>404</v>
      </c>
      <c r="C588" s="31" t="str">
        <f aca="false" t="array" ref="C588:C588">IF(B588="","",IFERROR(INDEX('CLM &amp; IM Mapping'!$B$2:$B$270,MATCH(TRIM(B588),'CLM &amp; IM Mapping'!$A$2:$A$270,0)),"Not Mapped"))</f>
        <v>Arun Raj</v>
      </c>
      <c r="D588" s="31" t="str">
        <f aca="false" t="array" ref="D588:D588">IF(B588="","",IFERROR(INDEX('CLM &amp; IM Mapping'!$C$2:$C$270,MATCH(TRIM(B588),'CLM &amp; IM Mapping'!$A$2:$A$270,0)),"Not Mapped"))</f>
        <v>Simon Manoharan</v>
      </c>
      <c r="E588" s="31" t="s">
        <v>25</v>
      </c>
      <c r="F588" s="31" t="s">
        <v>565</v>
      </c>
      <c r="G588" s="31" t="s">
        <v>23</v>
      </c>
      <c r="H588" s="17" t="n">
        <v>11768</v>
      </c>
      <c r="I588" s="32" t="n">
        <v>0.7</v>
      </c>
      <c r="J588" s="33" t="n">
        <v>0.39488443235894</v>
      </c>
      <c r="K588" s="34" t="n">
        <v>0.955885517538197</v>
      </c>
      <c r="L588" s="31" t="n">
        <v>0.987703</v>
      </c>
      <c r="M588" s="31" t="n">
        <v>0.955885517538197</v>
      </c>
      <c r="N588" s="11" t="n">
        <v>2</v>
      </c>
      <c r="O588" s="12"/>
      <c r="P588" s="11"/>
      <c r="Q588" s="8"/>
      <c r="R588" s="8"/>
      <c r="S588" s="8"/>
      <c r="T588" s="8"/>
      <c r="U588" s="8"/>
      <c r="V588" s="8"/>
      <c r="W588" s="8"/>
      <c r="X588" s="8"/>
      <c r="Y588" s="8"/>
      <c r="Z588" s="8"/>
      <c r="AA588" s="8"/>
      <c r="AB588" s="8"/>
      <c r="AC588" s="8"/>
      <c r="AD588" s="8"/>
      <c r="AE588" s="8"/>
      <c r="AF588" s="8"/>
      <c r="AG588" s="8"/>
      <c r="AH588" s="8"/>
      <c r="AI588" s="8"/>
      <c r="AJ588" s="8"/>
      <c r="AK588" s="8"/>
      <c r="AL588" s="8"/>
      <c r="AM588" s="8"/>
    </row>
    <row r="589" customFormat="false" ht="15.75" hidden="false" customHeight="true" outlineLevel="0" collapsed="false">
      <c r="A589" s="30" t="n">
        <v>46305</v>
      </c>
      <c r="B589" s="31" t="s">
        <v>420</v>
      </c>
      <c r="C589" s="31" t="str">
        <f aca="false" t="array" ref="C589:C589">IF(B589="","",IFERROR(INDEX('CLM &amp; IM Mapping'!$B$2:$B$270,MATCH(TRIM(B589),'CLM &amp; IM Mapping'!$A$2:$A$270,0)),"Not Mapped"))</f>
        <v>Ravishankar gowda</v>
      </c>
      <c r="D589" s="31" t="str">
        <f aca="false" t="array" ref="D589:D589">IF(B589="","",IFERROR(INDEX('CLM &amp; IM Mapping'!$C$2:$C$270,MATCH(TRIM(B589),'CLM &amp; IM Mapping'!$A$2:$A$270,0)),"Not Mapped"))</f>
        <v>Kishor K</v>
      </c>
      <c r="E589" s="31" t="s">
        <v>34</v>
      </c>
      <c r="F589" s="31" t="s">
        <v>565</v>
      </c>
      <c r="G589" s="31" t="s">
        <v>23</v>
      </c>
      <c r="H589" s="17" t="n">
        <v>6145</v>
      </c>
      <c r="I589" s="32" t="n">
        <v>0.7</v>
      </c>
      <c r="J589" s="33" t="n">
        <v>0.857282343368592</v>
      </c>
      <c r="K589" s="34" t="n">
        <v>0.957479119210326</v>
      </c>
      <c r="L589" s="31" t="n">
        <v>0.976445</v>
      </c>
      <c r="M589" s="31" t="n">
        <v>0.957479119210326</v>
      </c>
      <c r="N589" s="11" t="n">
        <v>3</v>
      </c>
      <c r="O589" s="12"/>
      <c r="P589" s="11"/>
      <c r="Q589" s="8"/>
      <c r="R589" s="8"/>
      <c r="S589" s="8"/>
      <c r="T589" s="8"/>
      <c r="U589" s="8"/>
      <c r="V589" s="8"/>
      <c r="W589" s="8"/>
      <c r="X589" s="8"/>
      <c r="Y589" s="8"/>
      <c r="Z589" s="8"/>
      <c r="AA589" s="8"/>
      <c r="AB589" s="8"/>
      <c r="AC589" s="8"/>
      <c r="AD589" s="8"/>
      <c r="AE589" s="8"/>
      <c r="AF589" s="8"/>
      <c r="AG589" s="8"/>
      <c r="AH589" s="8"/>
      <c r="AI589" s="8"/>
      <c r="AJ589" s="8"/>
      <c r="AK589" s="8"/>
      <c r="AL589" s="8"/>
      <c r="AM589" s="8"/>
    </row>
    <row r="590" customFormat="false" ht="15.75" hidden="false" customHeight="true" outlineLevel="0" collapsed="false">
      <c r="A590" s="30" t="n">
        <v>46305</v>
      </c>
      <c r="B590" s="31" t="s">
        <v>175</v>
      </c>
      <c r="C590" s="31" t="str">
        <f aca="false" t="array" ref="C590:C590">IF(B590="","",IFERROR(INDEX('CLM &amp; IM Mapping'!$B$2:$B$270,MATCH(TRIM(B590),'CLM &amp; IM Mapping'!$A$2:$A$270,0)),"Not Mapped"))</f>
        <v>Arun Raj</v>
      </c>
      <c r="D590" s="31" t="str">
        <f aca="false" t="array" ref="D590:D590">IF(B590="","",IFERROR(INDEX('CLM &amp; IM Mapping'!$C$2:$C$270,MATCH(TRIM(B590),'CLM &amp; IM Mapping'!$A$2:$A$270,0)),"Not Mapped"))</f>
        <v>Simon Manoharan</v>
      </c>
      <c r="E590" s="31" t="s">
        <v>25</v>
      </c>
      <c r="F590" s="31" t="s">
        <v>565</v>
      </c>
      <c r="G590" s="31" t="s">
        <v>23</v>
      </c>
      <c r="H590" s="17" t="n">
        <v>12201</v>
      </c>
      <c r="I590" s="32" t="n">
        <v>0.7</v>
      </c>
      <c r="J590" s="33" t="n">
        <v>0.302434226702729</v>
      </c>
      <c r="K590" s="34" t="n">
        <v>0.919241192411924</v>
      </c>
      <c r="L590" s="31" t="n">
        <v>0.968405</v>
      </c>
      <c r="M590" s="31" t="n">
        <v>0.919241192411924</v>
      </c>
      <c r="N590" s="11" t="n">
        <v>3</v>
      </c>
      <c r="O590" s="12"/>
      <c r="P590" s="11"/>
      <c r="Q590" s="8"/>
      <c r="R590" s="8"/>
      <c r="S590" s="8"/>
      <c r="T590" s="8"/>
      <c r="U590" s="8"/>
      <c r="V590" s="8"/>
      <c r="W590" s="8"/>
      <c r="X590" s="8"/>
      <c r="Y590" s="8"/>
      <c r="Z590" s="8"/>
      <c r="AA590" s="8"/>
      <c r="AB590" s="8"/>
      <c r="AC590" s="8"/>
      <c r="AD590" s="8"/>
      <c r="AE590" s="8"/>
      <c r="AF590" s="8"/>
      <c r="AG590" s="8"/>
      <c r="AH590" s="8"/>
      <c r="AI590" s="8"/>
      <c r="AJ590" s="8"/>
      <c r="AK590" s="8"/>
      <c r="AL590" s="8"/>
      <c r="AM590" s="8"/>
    </row>
    <row r="591" customFormat="false" ht="15.75" hidden="false" customHeight="true" outlineLevel="0" collapsed="false">
      <c r="A591" s="30" t="n">
        <v>46305</v>
      </c>
      <c r="B591" s="31" t="s">
        <v>526</v>
      </c>
      <c r="C591" s="31" t="str">
        <f aca="false" t="array" ref="C591:C591">IF(B591="","",IFERROR(INDEX('CLM &amp; IM Mapping'!$B$2:$B$270,MATCH(TRIM(B591),'CLM &amp; IM Mapping'!$A$2:$A$270,0)),"Not Mapped"))</f>
        <v>Sundaresh S</v>
      </c>
      <c r="D591" s="31" t="str">
        <f aca="false" t="array" ref="D591:D591">IF(B591="","",IFERROR(INDEX('CLM &amp; IM Mapping'!$C$2:$C$270,MATCH(TRIM(B591),'CLM &amp; IM Mapping'!$A$2:$A$270,0)),"Not Mapped"))</f>
        <v>Un Mapped</v>
      </c>
      <c r="E591" s="31" t="s">
        <v>34</v>
      </c>
      <c r="F591" s="31" t="s">
        <v>562</v>
      </c>
      <c r="G591" s="31" t="s">
        <v>23</v>
      </c>
      <c r="H591" s="17" t="n">
        <v>5167</v>
      </c>
      <c r="I591" s="32" t="n">
        <v>0.7</v>
      </c>
      <c r="J591" s="33" t="n">
        <v>0.933423650087091</v>
      </c>
      <c r="K591" s="34" t="n">
        <v>0.871863985071532</v>
      </c>
      <c r="L591" s="31" t="n">
        <v>0.964062</v>
      </c>
      <c r="M591" s="31" t="n">
        <v>0.871863985071532</v>
      </c>
      <c r="N591" s="11" t="n">
        <v>3</v>
      </c>
      <c r="O591" s="12"/>
      <c r="P591" s="11"/>
      <c r="Q591" s="8"/>
      <c r="R591" s="8"/>
      <c r="S591" s="8"/>
      <c r="T591" s="8"/>
      <c r="U591" s="8"/>
      <c r="V591" s="8"/>
      <c r="W591" s="8"/>
      <c r="X591" s="8"/>
      <c r="Y591" s="8"/>
      <c r="Z591" s="8"/>
      <c r="AA591" s="8"/>
      <c r="AB591" s="8"/>
      <c r="AC591" s="8"/>
      <c r="AD591" s="8"/>
      <c r="AE591" s="8"/>
      <c r="AF591" s="8"/>
      <c r="AG591" s="8"/>
      <c r="AH591" s="8"/>
      <c r="AI591" s="8"/>
      <c r="AJ591" s="8"/>
      <c r="AK591" s="8"/>
      <c r="AL591" s="8"/>
      <c r="AM591" s="8"/>
    </row>
    <row r="592" customFormat="false" ht="15.75" hidden="false" customHeight="true" outlineLevel="0" collapsed="false">
      <c r="A592" s="30" t="n">
        <v>46305</v>
      </c>
      <c r="B592" s="31" t="s">
        <v>444</v>
      </c>
      <c r="C592" s="31" t="str">
        <f aca="false" t="array" ref="C592:C592">IF(B592="","",IFERROR(INDEX('CLM &amp; IM Mapping'!$B$2:$B$270,MATCH(TRIM(B592),'CLM &amp; IM Mapping'!$A$2:$A$270,0)),"Not Mapped"))</f>
        <v>Narasimhamurthy R</v>
      </c>
      <c r="D592" s="31" t="str">
        <f aca="false" t="array" ref="D592:D592">IF(B592="","",IFERROR(INDEX('CLM &amp; IM Mapping'!$C$2:$C$270,MATCH(TRIM(B592),'CLM &amp; IM Mapping'!$A$2:$A$270,0)),"Not Mapped"))</f>
        <v>Kishor K</v>
      </c>
      <c r="E592" s="31" t="s">
        <v>34</v>
      </c>
      <c r="F592" s="31" t="s">
        <v>562</v>
      </c>
      <c r="G592" s="31" t="s">
        <v>23</v>
      </c>
      <c r="H592" s="17" t="n">
        <v>5305</v>
      </c>
      <c r="I592" s="32" t="n">
        <v>0.7</v>
      </c>
      <c r="J592" s="33" t="n">
        <v>0.452591894439208</v>
      </c>
      <c r="K592" s="34" t="n">
        <v>0.992503123698459</v>
      </c>
      <c r="L592" s="31" t="n">
        <v>0.977826</v>
      </c>
      <c r="M592" s="31" t="n">
        <v>0.992503123698459</v>
      </c>
      <c r="N592" s="11" t="n">
        <v>2</v>
      </c>
      <c r="O592" s="12"/>
      <c r="P592" s="11"/>
      <c r="Q592" s="8"/>
      <c r="R592" s="8"/>
      <c r="S592" s="8"/>
      <c r="T592" s="8"/>
      <c r="U592" s="8"/>
      <c r="V592" s="8"/>
      <c r="W592" s="8"/>
      <c r="X592" s="8"/>
      <c r="Y592" s="8"/>
      <c r="Z592" s="8"/>
      <c r="AA592" s="8"/>
      <c r="AB592" s="8"/>
      <c r="AC592" s="8"/>
      <c r="AD592" s="8"/>
      <c r="AE592" s="8"/>
      <c r="AF592" s="8"/>
      <c r="AG592" s="8"/>
      <c r="AH592" s="8"/>
      <c r="AI592" s="8"/>
      <c r="AJ592" s="8"/>
      <c r="AK592" s="8"/>
      <c r="AL592" s="8"/>
      <c r="AM592" s="8"/>
    </row>
    <row r="593" customFormat="false" ht="15.75" hidden="false" customHeight="true" outlineLevel="0" collapsed="false">
      <c r="A593" s="30" t="n">
        <v>46305</v>
      </c>
      <c r="B593" s="31" t="s">
        <v>408</v>
      </c>
      <c r="C593" s="31" t="str">
        <f aca="false" t="array" ref="C593:C593">IF(B593="","",IFERROR(INDEX('CLM &amp; IM Mapping'!$B$2:$B$270,MATCH(TRIM(B593),'CLM &amp; IM Mapping'!$A$2:$A$270,0)),"Not Mapped"))</f>
        <v>Ravishankar gowda</v>
      </c>
      <c r="D593" s="31" t="str">
        <f aca="false" t="array" ref="D593:D593">IF(B593="","",IFERROR(INDEX('CLM &amp; IM Mapping'!$C$2:$C$270,MATCH(TRIM(B593),'CLM &amp; IM Mapping'!$A$2:$A$270,0)),"Not Mapped"))</f>
        <v>Kishor K</v>
      </c>
      <c r="E593" s="31" t="s">
        <v>34</v>
      </c>
      <c r="F593" s="31" t="s">
        <v>562</v>
      </c>
      <c r="G593" s="31" t="s">
        <v>23</v>
      </c>
      <c r="H593" s="17" t="n">
        <v>6071</v>
      </c>
      <c r="I593" s="32" t="n">
        <v>0.7</v>
      </c>
      <c r="J593" s="33" t="n">
        <v>0.403557898204579</v>
      </c>
      <c r="K593" s="34" t="n">
        <v>0.928163265306122</v>
      </c>
      <c r="L593" s="31" t="n">
        <v>0.961733</v>
      </c>
      <c r="M593" s="31" t="n">
        <v>0.928163265306122</v>
      </c>
      <c r="N593" s="11" t="n">
        <v>2</v>
      </c>
      <c r="O593" s="12"/>
      <c r="P593" s="11"/>
      <c r="Q593" s="8"/>
      <c r="R593" s="8"/>
      <c r="S593" s="8"/>
      <c r="T593" s="8"/>
      <c r="U593" s="8"/>
      <c r="V593" s="8"/>
      <c r="W593" s="8"/>
      <c r="X593" s="8"/>
      <c r="Y593" s="8"/>
      <c r="Z593" s="8"/>
      <c r="AA593" s="8"/>
      <c r="AB593" s="8"/>
      <c r="AC593" s="8"/>
      <c r="AD593" s="8"/>
      <c r="AE593" s="8"/>
      <c r="AF593" s="8"/>
      <c r="AG593" s="8"/>
      <c r="AH593" s="8"/>
      <c r="AI593" s="8"/>
      <c r="AJ593" s="8"/>
      <c r="AK593" s="8"/>
      <c r="AL593" s="8"/>
      <c r="AM593" s="8"/>
    </row>
    <row r="594" customFormat="false" ht="15.75" hidden="false" customHeight="true" outlineLevel="0" collapsed="false">
      <c r="A594" s="30" t="n">
        <v>46305</v>
      </c>
      <c r="B594" s="31" t="s">
        <v>386</v>
      </c>
      <c r="C594" s="31" t="str">
        <f aca="false" t="array" ref="C594:C594">IF(B594="","",IFERROR(INDEX('CLM &amp; IM Mapping'!$B$2:$B$270,MATCH(TRIM(B594),'CLM &amp; IM Mapping'!$A$2:$A$270,0)),"Not Mapped"))</f>
        <v>Arun Raj</v>
      </c>
      <c r="D594" s="31" t="str">
        <f aca="false" t="array" ref="D594:D594">IF(B594="","",IFERROR(INDEX('CLM &amp; IM Mapping'!$C$2:$C$270,MATCH(TRIM(B594),'CLM &amp; IM Mapping'!$A$2:$A$270,0)),"Not Mapped"))</f>
        <v>Simon Manoharan</v>
      </c>
      <c r="E594" s="31" t="s">
        <v>25</v>
      </c>
      <c r="F594" s="31" t="s">
        <v>565</v>
      </c>
      <c r="G594" s="31" t="s">
        <v>23</v>
      </c>
      <c r="H594" s="17" t="n">
        <v>12736</v>
      </c>
      <c r="I594" s="32" t="n">
        <v>0.7</v>
      </c>
      <c r="J594" s="33" t="n">
        <v>0.513819095477387</v>
      </c>
      <c r="K594" s="34" t="n">
        <v>0.98838630806846</v>
      </c>
      <c r="L594" s="31" t="n">
        <v>0.997322</v>
      </c>
      <c r="M594" s="31" t="n">
        <v>0.98838630806846</v>
      </c>
      <c r="N594" s="11" t="n">
        <v>1</v>
      </c>
      <c r="O594" s="12"/>
      <c r="P594" s="11"/>
      <c r="Q594" s="8"/>
      <c r="R594" s="8"/>
      <c r="S594" s="8"/>
      <c r="T594" s="8"/>
      <c r="U594" s="8"/>
      <c r="V594" s="8"/>
      <c r="W594" s="8"/>
      <c r="X594" s="8"/>
      <c r="Y594" s="8"/>
      <c r="Z594" s="8"/>
      <c r="AA594" s="8"/>
      <c r="AB594" s="8"/>
      <c r="AC594" s="8"/>
      <c r="AD594" s="8"/>
      <c r="AE594" s="8"/>
      <c r="AF594" s="8"/>
      <c r="AG594" s="8"/>
      <c r="AH594" s="8"/>
      <c r="AI594" s="8"/>
      <c r="AJ594" s="8"/>
      <c r="AK594" s="8"/>
      <c r="AL594" s="8"/>
      <c r="AM594" s="8"/>
    </row>
    <row r="595" customFormat="false" ht="15.75" hidden="false" customHeight="true" outlineLevel="0" collapsed="false">
      <c r="A595" s="30" t="n">
        <v>46305</v>
      </c>
      <c r="B595" s="31" t="s">
        <v>123</v>
      </c>
      <c r="C595" s="31" t="str">
        <f aca="false" t="array" ref="C595:C595">IF(B595="","",IFERROR(INDEX('CLM &amp; IM Mapping'!$B$2:$B$270,MATCH(TRIM(B595),'CLM &amp; IM Mapping'!$A$2:$A$270,0)),"Not Mapped"))</f>
        <v>Silambarasan E</v>
      </c>
      <c r="D595" s="31" t="str">
        <f aca="false" t="array" ref="D595:D595">IF(B595="","",IFERROR(INDEX('CLM &amp; IM Mapping'!$C$2:$C$270,MATCH(TRIM(B595),'CLM &amp; IM Mapping'!$A$2:$A$270,0)),"Not Mapped"))</f>
        <v>Arivind S</v>
      </c>
      <c r="E595" s="31" t="s">
        <v>34</v>
      </c>
      <c r="F595" s="31" t="s">
        <v>562</v>
      </c>
      <c r="G595" s="31" t="s">
        <v>23</v>
      </c>
      <c r="H595" s="17" t="n">
        <v>6034</v>
      </c>
      <c r="I595" s="32" t="n">
        <v>0.7</v>
      </c>
      <c r="J595" s="33" t="n">
        <v>0.531156778256546</v>
      </c>
      <c r="K595" s="34" t="n">
        <v>0.821840873634945</v>
      </c>
      <c r="L595" s="31" t="n">
        <v>0.932826</v>
      </c>
      <c r="M595" s="31" t="n">
        <v>0.821840873634945</v>
      </c>
      <c r="N595" s="11" t="n">
        <v>8</v>
      </c>
      <c r="O595" s="12"/>
      <c r="P595" s="11"/>
      <c r="Q595" s="8"/>
      <c r="R595" s="8"/>
      <c r="S595" s="8"/>
      <c r="T595" s="8"/>
      <c r="U595" s="8"/>
      <c r="V595" s="8"/>
      <c r="W595" s="8"/>
      <c r="X595" s="8"/>
      <c r="Y595" s="8"/>
      <c r="Z595" s="8"/>
      <c r="AA595" s="8"/>
      <c r="AB595" s="8"/>
      <c r="AC595" s="8"/>
      <c r="AD595" s="8"/>
      <c r="AE595" s="8"/>
      <c r="AF595" s="8"/>
      <c r="AG595" s="8"/>
      <c r="AH595" s="8"/>
      <c r="AI595" s="8"/>
      <c r="AJ595" s="8"/>
      <c r="AK595" s="8"/>
      <c r="AL595" s="8"/>
      <c r="AM595" s="8"/>
    </row>
    <row r="596" customFormat="false" ht="15.75" hidden="false" customHeight="true" outlineLevel="0" collapsed="false">
      <c r="A596" s="30" t="n">
        <v>46305</v>
      </c>
      <c r="B596" s="31" t="s">
        <v>118</v>
      </c>
      <c r="C596" s="31" t="str">
        <f aca="false" t="array" ref="C596:C596">IF(B596="","",IFERROR(INDEX('CLM &amp; IM Mapping'!$B$2:$B$270,MATCH(TRIM(B596),'CLM &amp; IM Mapping'!$A$2:$A$270,0)),"Not Mapped"))</f>
        <v>Adhavan Subramani</v>
      </c>
      <c r="D596" s="31" t="str">
        <f aca="false" t="array" ref="D596:D596">IF(B596="","",IFERROR(INDEX('CLM &amp; IM Mapping'!$C$2:$C$270,MATCH(TRIM(B596),'CLM &amp; IM Mapping'!$A$2:$A$270,0)),"Not Mapped"))</f>
        <v>Mohammed Akbar</v>
      </c>
      <c r="E596" s="31" t="s">
        <v>34</v>
      </c>
      <c r="F596" s="31" t="s">
        <v>562</v>
      </c>
      <c r="G596" s="31" t="s">
        <v>23</v>
      </c>
      <c r="H596" s="17" t="n">
        <v>6065</v>
      </c>
      <c r="I596" s="32" t="n">
        <v>0.7</v>
      </c>
      <c r="J596" s="33" t="n">
        <v>0.4280296784831</v>
      </c>
      <c r="K596" s="34" t="n">
        <v>0.765408320493066</v>
      </c>
      <c r="L596" s="31" t="n">
        <v>0.603771</v>
      </c>
      <c r="M596" s="31" t="n">
        <v>0.765408320493066</v>
      </c>
      <c r="N596" s="11" t="n">
        <v>3</v>
      </c>
      <c r="O596" s="12"/>
      <c r="P596" s="11"/>
      <c r="Q596" s="8"/>
      <c r="R596" s="8"/>
      <c r="S596" s="8"/>
      <c r="T596" s="8"/>
      <c r="U596" s="8"/>
      <c r="V596" s="8"/>
      <c r="W596" s="8"/>
      <c r="X596" s="8"/>
      <c r="Y596" s="8"/>
      <c r="Z596" s="8"/>
      <c r="AA596" s="8"/>
      <c r="AB596" s="8"/>
      <c r="AC596" s="8"/>
      <c r="AD596" s="8"/>
      <c r="AE596" s="8"/>
      <c r="AF596" s="8"/>
      <c r="AG596" s="8"/>
      <c r="AH596" s="8"/>
      <c r="AI596" s="8"/>
      <c r="AJ596" s="8"/>
      <c r="AK596" s="8"/>
      <c r="AL596" s="8"/>
      <c r="AM596" s="8"/>
    </row>
    <row r="597" customFormat="false" ht="15.75" hidden="false" customHeight="true" outlineLevel="0" collapsed="false">
      <c r="A597" s="30" t="n">
        <v>46305</v>
      </c>
      <c r="B597" s="31" t="s">
        <v>443</v>
      </c>
      <c r="C597" s="31" t="str">
        <f aca="false" t="array" ref="C597:C597">IF(B597="","",IFERROR(INDEX('CLM &amp; IM Mapping'!$B$2:$B$270,MATCH(TRIM(B597),'CLM &amp; IM Mapping'!$A$2:$A$270,0)),"Not Mapped"))</f>
        <v>Manoj Kj</v>
      </c>
      <c r="D597" s="31" t="str">
        <f aca="false" t="array" ref="D597:D597">IF(B597="","",IFERROR(INDEX('CLM &amp; IM Mapping'!$C$2:$C$270,MATCH(TRIM(B597),'CLM &amp; IM Mapping'!$A$2:$A$270,0)),"Not Mapped"))</f>
        <v>Srittam Dhal</v>
      </c>
      <c r="E597" s="31" t="s">
        <v>34</v>
      </c>
      <c r="F597" s="31" t="s">
        <v>565</v>
      </c>
      <c r="G597" s="31" t="s">
        <v>23</v>
      </c>
      <c r="H597" s="17" t="n">
        <v>4531</v>
      </c>
      <c r="I597" s="32" t="n">
        <v>0.7</v>
      </c>
      <c r="J597" s="33" t="n">
        <v>0.990289119399691</v>
      </c>
      <c r="K597" s="34" t="n">
        <v>0.865834633385335</v>
      </c>
      <c r="L597" s="31" t="n">
        <v>0.982589</v>
      </c>
      <c r="M597" s="31" t="n">
        <v>0.865834633385335</v>
      </c>
      <c r="N597" s="11" t="n">
        <v>6</v>
      </c>
      <c r="O597" s="12"/>
      <c r="P597" s="11"/>
      <c r="Q597" s="8"/>
      <c r="R597" s="8"/>
      <c r="S597" s="8"/>
      <c r="T597" s="8"/>
      <c r="U597" s="8"/>
      <c r="V597" s="8"/>
      <c r="W597" s="8"/>
      <c r="X597" s="8"/>
      <c r="Y597" s="8"/>
      <c r="Z597" s="8"/>
      <c r="AA597" s="8"/>
      <c r="AB597" s="8"/>
      <c r="AC597" s="8"/>
      <c r="AD597" s="8"/>
      <c r="AE597" s="8"/>
      <c r="AF597" s="8"/>
      <c r="AG597" s="8"/>
      <c r="AH597" s="8"/>
      <c r="AI597" s="8"/>
      <c r="AJ597" s="8"/>
      <c r="AK597" s="8"/>
      <c r="AL597" s="8"/>
      <c r="AM597" s="8"/>
    </row>
    <row r="598" customFormat="false" ht="15.75" hidden="false" customHeight="true" outlineLevel="0" collapsed="false">
      <c r="A598" s="30" t="n">
        <v>46305</v>
      </c>
      <c r="B598" s="31" t="s">
        <v>271</v>
      </c>
      <c r="C598" s="31" t="str">
        <f aca="false" t="array" ref="C598:C598">IF(B598="","",IFERROR(INDEX('CLM &amp; IM Mapping'!$B$2:$B$270,MATCH(TRIM(B598),'CLM &amp; IM Mapping'!$A$2:$A$270,0)),"Not Mapped"))</f>
        <v>Rizwan Ahmed</v>
      </c>
      <c r="D598" s="31" t="str">
        <f aca="false" t="array" ref="D598:D598">IF(B598="","",IFERROR(INDEX('CLM &amp; IM Mapping'!$C$2:$C$270,MATCH(TRIM(B598),'CLM &amp; IM Mapping'!$A$2:$A$270,0)),"Not Mapped"))</f>
        <v>Prakash BS</v>
      </c>
      <c r="E598" s="31" t="s">
        <v>34</v>
      </c>
      <c r="F598" s="31" t="s">
        <v>562</v>
      </c>
      <c r="G598" s="31" t="s">
        <v>23</v>
      </c>
      <c r="H598" s="17" t="n">
        <v>7382</v>
      </c>
      <c r="I598" s="32" t="n">
        <v>0.7</v>
      </c>
      <c r="J598" s="33" t="n">
        <v>0.706854510972636</v>
      </c>
      <c r="K598" s="34" t="n">
        <v>0.87025680337294</v>
      </c>
      <c r="L598" s="31" t="n">
        <v>0.965394</v>
      </c>
      <c r="M598" s="31" t="n">
        <v>0.87025680337294</v>
      </c>
      <c r="N598" s="11" t="n">
        <v>6</v>
      </c>
      <c r="O598" s="12"/>
      <c r="P598" s="11"/>
      <c r="Q598" s="8"/>
      <c r="R598" s="8"/>
      <c r="S598" s="8"/>
      <c r="T598" s="8"/>
      <c r="U598" s="8"/>
      <c r="V598" s="8"/>
      <c r="W598" s="8"/>
      <c r="X598" s="8"/>
      <c r="Y598" s="8"/>
      <c r="Z598" s="8"/>
      <c r="AA598" s="8"/>
      <c r="AB598" s="8"/>
      <c r="AC598" s="8"/>
      <c r="AD598" s="8"/>
      <c r="AE598" s="8"/>
      <c r="AF598" s="8"/>
      <c r="AG598" s="8"/>
      <c r="AH598" s="8"/>
      <c r="AI598" s="8"/>
      <c r="AJ598" s="8"/>
      <c r="AK598" s="8"/>
      <c r="AL598" s="8"/>
      <c r="AM598" s="8"/>
    </row>
    <row r="599" customFormat="false" ht="15.75" hidden="false" customHeight="true" outlineLevel="0" collapsed="false">
      <c r="A599" s="30" t="n">
        <v>46305</v>
      </c>
      <c r="B599" s="31" t="s">
        <v>410</v>
      </c>
      <c r="C599" s="31" t="str">
        <f aca="false" t="array" ref="C599:C599">IF(B599="","",IFERROR(INDEX('CLM &amp; IM Mapping'!$B$2:$B$270,MATCH(TRIM(B599),'CLM &amp; IM Mapping'!$A$2:$A$270,0)),"Not Mapped"))</f>
        <v>Akshay P</v>
      </c>
      <c r="D599" s="31" t="str">
        <f aca="false" t="array" ref="D599:D599">IF(B599="","",IFERROR(INDEX('CLM &amp; IM Mapping'!$C$2:$C$270,MATCH(TRIM(B599),'CLM &amp; IM Mapping'!$A$2:$A$270,0)),"Not Mapped"))</f>
        <v>Srittam Dhal</v>
      </c>
      <c r="E599" s="31" t="s">
        <v>34</v>
      </c>
      <c r="F599" s="31" t="s">
        <v>565</v>
      </c>
      <c r="G599" s="31" t="s">
        <v>23</v>
      </c>
      <c r="H599" s="17" t="n">
        <v>5754</v>
      </c>
      <c r="I599" s="32" t="n">
        <v>0.7</v>
      </c>
      <c r="J599" s="33" t="n">
        <v>0.918491484184915</v>
      </c>
      <c r="K599" s="34" t="n">
        <v>0.935288552507096</v>
      </c>
      <c r="L599" s="31" t="n">
        <v>0.98502</v>
      </c>
      <c r="M599" s="31" t="n">
        <v>0.935288552507096</v>
      </c>
      <c r="N599" s="11" t="n">
        <v>2</v>
      </c>
      <c r="O599" s="12"/>
      <c r="P599" s="11"/>
      <c r="Q599" s="8"/>
      <c r="R599" s="8"/>
      <c r="S599" s="8"/>
      <c r="T599" s="8"/>
      <c r="U599" s="8"/>
      <c r="V599" s="8"/>
      <c r="W599" s="8"/>
      <c r="X599" s="8"/>
      <c r="Y599" s="8"/>
      <c r="Z599" s="8"/>
      <c r="AA599" s="8"/>
      <c r="AB599" s="8"/>
      <c r="AC599" s="8"/>
      <c r="AD599" s="8"/>
      <c r="AE599" s="8"/>
      <c r="AF599" s="8"/>
      <c r="AG599" s="8"/>
      <c r="AH599" s="8"/>
      <c r="AI599" s="8"/>
      <c r="AJ599" s="8"/>
      <c r="AK599" s="8"/>
      <c r="AL599" s="8"/>
      <c r="AM599" s="8"/>
    </row>
    <row r="600" customFormat="false" ht="15.75" hidden="false" customHeight="true" outlineLevel="0" collapsed="false">
      <c r="A600" s="30" t="n">
        <v>46305</v>
      </c>
      <c r="B600" s="31" t="s">
        <v>198</v>
      </c>
      <c r="C600" s="31" t="str">
        <f aca="false" t="array" ref="C600:C600">IF(B600="","",IFERROR(INDEX('CLM &amp; IM Mapping'!$B$2:$B$270,MATCH(TRIM(B600),'CLM &amp; IM Mapping'!$A$2:$A$270,0)),"Not Mapped"))</f>
        <v>Manjunatha V</v>
      </c>
      <c r="D600" s="31" t="str">
        <f aca="false" t="array" ref="D600:D600">IF(B600="","",IFERROR(INDEX('CLM &amp; IM Mapping'!$C$2:$C$270,MATCH(TRIM(B600),'CLM &amp; IM Mapping'!$A$2:$A$270,0)),"Not Mapped"))</f>
        <v>Un Mapped</v>
      </c>
      <c r="E600" s="31" t="s">
        <v>34</v>
      </c>
      <c r="F600" s="31" t="s">
        <v>562</v>
      </c>
      <c r="G600" s="31" t="s">
        <v>23</v>
      </c>
      <c r="H600" s="17" t="n">
        <v>6055</v>
      </c>
      <c r="I600" s="32" t="n">
        <v>0.7</v>
      </c>
      <c r="J600" s="33" t="n">
        <v>0.81420313790256</v>
      </c>
      <c r="K600" s="34" t="n">
        <v>0.806490872210953</v>
      </c>
      <c r="L600" s="31" t="n">
        <v>0.940736</v>
      </c>
      <c r="M600" s="31" t="n">
        <v>0.806490872210953</v>
      </c>
      <c r="N600" s="11" t="n">
        <v>6</v>
      </c>
      <c r="O600" s="12"/>
      <c r="P600" s="11"/>
      <c r="Q600" s="8"/>
      <c r="R600" s="8"/>
      <c r="S600" s="8"/>
      <c r="T600" s="8"/>
      <c r="U600" s="8"/>
      <c r="V600" s="8"/>
      <c r="W600" s="8"/>
      <c r="X600" s="8"/>
      <c r="Y600" s="8"/>
      <c r="Z600" s="8"/>
      <c r="AA600" s="8"/>
      <c r="AB600" s="8"/>
      <c r="AC600" s="8"/>
      <c r="AD600" s="8"/>
      <c r="AE600" s="8"/>
      <c r="AF600" s="8"/>
      <c r="AG600" s="8"/>
      <c r="AH600" s="8"/>
      <c r="AI600" s="8"/>
      <c r="AJ600" s="8"/>
      <c r="AK600" s="8"/>
      <c r="AL600" s="8"/>
      <c r="AM600" s="8"/>
    </row>
    <row r="601" customFormat="false" ht="15.75" hidden="false" customHeight="true" outlineLevel="0" collapsed="false">
      <c r="A601" s="30" t="n">
        <v>46305</v>
      </c>
      <c r="B601" s="31" t="s">
        <v>527</v>
      </c>
      <c r="C601" s="31" t="str">
        <f aca="false" t="array" ref="C601:C601">IF(B601="","",IFERROR(INDEX('CLM &amp; IM Mapping'!$B$2:$B$270,MATCH(TRIM(B601),'CLM &amp; IM Mapping'!$A$2:$A$270,0)),"Not Mapped"))</f>
        <v>Suhas N</v>
      </c>
      <c r="D601" s="31" t="str">
        <f aca="false" t="array" ref="D601:D601">IF(B601="","",IFERROR(INDEX('CLM &amp; IM Mapping'!$C$2:$C$270,MATCH(TRIM(B601),'CLM &amp; IM Mapping'!$A$2:$A$270,0)),"Not Mapped"))</f>
        <v>Aravind S</v>
      </c>
      <c r="E601" s="31" t="s">
        <v>34</v>
      </c>
      <c r="F601" s="31" t="s">
        <v>565</v>
      </c>
      <c r="G601" s="31" t="s">
        <v>23</v>
      </c>
      <c r="H601" s="17" t="n">
        <v>6999</v>
      </c>
      <c r="I601" s="32" t="n">
        <v>0.7</v>
      </c>
      <c r="J601" s="33" t="n">
        <v>0.913130447206744</v>
      </c>
      <c r="K601" s="34" t="n">
        <v>0.87341574088562</v>
      </c>
      <c r="L601" s="31" t="n">
        <v>0.949478</v>
      </c>
      <c r="M601" s="31" t="n">
        <v>0.87341574088562</v>
      </c>
      <c r="N601" s="11" t="n">
        <v>3</v>
      </c>
      <c r="O601" s="12"/>
      <c r="P601" s="11"/>
      <c r="Q601" s="8"/>
      <c r="R601" s="8"/>
      <c r="S601" s="8"/>
      <c r="T601" s="8"/>
      <c r="U601" s="8"/>
      <c r="V601" s="8"/>
      <c r="W601" s="8"/>
      <c r="X601" s="8"/>
      <c r="Y601" s="8"/>
      <c r="Z601" s="8"/>
      <c r="AA601" s="8"/>
      <c r="AB601" s="8"/>
      <c r="AC601" s="8"/>
      <c r="AD601" s="8"/>
      <c r="AE601" s="8"/>
      <c r="AF601" s="8"/>
      <c r="AG601" s="8"/>
      <c r="AH601" s="8"/>
      <c r="AI601" s="8"/>
      <c r="AJ601" s="8"/>
      <c r="AK601" s="8"/>
      <c r="AL601" s="8"/>
      <c r="AM601" s="8"/>
    </row>
    <row r="602" customFormat="false" ht="15.75" hidden="false" customHeight="true" outlineLevel="0" collapsed="false">
      <c r="A602" s="30" t="n">
        <v>46305</v>
      </c>
      <c r="B602" s="31" t="s">
        <v>80</v>
      </c>
      <c r="C602" s="31" t="str">
        <f aca="false" t="array" ref="C602:C602">IF(B602="","",IFERROR(INDEX('CLM &amp; IM Mapping'!$B$2:$B$270,MATCH(TRIM(B602),'CLM &amp; IM Mapping'!$A$2:$A$270,0)),"Not Mapped"))</f>
        <v>Sundaresh S</v>
      </c>
      <c r="D602" s="31" t="str">
        <f aca="false" t="array" ref="D602:D602">IF(B602="","",IFERROR(INDEX('CLM &amp; IM Mapping'!$C$2:$C$270,MATCH(TRIM(B602),'CLM &amp; IM Mapping'!$A$2:$A$270,0)),"Not Mapped"))</f>
        <v>Un Mapped</v>
      </c>
      <c r="E602" s="31" t="s">
        <v>34</v>
      </c>
      <c r="F602" s="31" t="s">
        <v>562</v>
      </c>
      <c r="G602" s="31" t="s">
        <v>23</v>
      </c>
      <c r="H602" s="17" t="n">
        <v>4836</v>
      </c>
      <c r="I602" s="32" t="n">
        <v>0.7</v>
      </c>
      <c r="J602" s="33" t="n">
        <v>0.387717121588089</v>
      </c>
      <c r="K602" s="34" t="n">
        <v>0.785066666666667</v>
      </c>
      <c r="L602" s="31" t="n">
        <v>0.963257</v>
      </c>
      <c r="M602" s="31" t="n">
        <v>0.785066666666667</v>
      </c>
      <c r="N602" s="11" t="n">
        <v>3</v>
      </c>
      <c r="O602" s="12"/>
      <c r="P602" s="11"/>
      <c r="Q602" s="8"/>
      <c r="R602" s="8"/>
      <c r="S602" s="8"/>
      <c r="T602" s="8"/>
      <c r="U602" s="8"/>
      <c r="V602" s="8"/>
      <c r="W602" s="8"/>
      <c r="X602" s="8"/>
      <c r="Y602" s="8"/>
      <c r="Z602" s="8"/>
      <c r="AA602" s="8"/>
      <c r="AB602" s="8"/>
      <c r="AC602" s="8"/>
      <c r="AD602" s="8"/>
      <c r="AE602" s="8"/>
      <c r="AF602" s="8"/>
      <c r="AG602" s="8"/>
      <c r="AH602" s="8"/>
      <c r="AI602" s="8"/>
      <c r="AJ602" s="8"/>
      <c r="AK602" s="8"/>
      <c r="AL602" s="8"/>
      <c r="AM602" s="8"/>
    </row>
    <row r="603" customFormat="false" ht="15.75" hidden="false" customHeight="true" outlineLevel="0" collapsed="false">
      <c r="A603" s="30" t="n">
        <v>46305</v>
      </c>
      <c r="B603" s="31" t="s">
        <v>281</v>
      </c>
      <c r="C603" s="31" t="str">
        <f aca="false" t="array" ref="C603:C603">IF(B603="","",IFERROR(INDEX('CLM &amp; IM Mapping'!$B$2:$B$270,MATCH(TRIM(B603),'CLM &amp; IM Mapping'!$A$2:$A$270,0)),"Not Mapped"))</f>
        <v>Balaji G</v>
      </c>
      <c r="D603" s="31" t="str">
        <f aca="false" t="array" ref="D603:D603">IF(B603="","",IFERROR(INDEX('CLM &amp; IM Mapping'!$C$2:$C$270,MATCH(TRIM(B603),'CLM &amp; IM Mapping'!$A$2:$A$270,0)),"Not Mapped"))</f>
        <v>Mohammed Akbar</v>
      </c>
      <c r="E603" s="31" t="s">
        <v>34</v>
      </c>
      <c r="F603" s="31" t="s">
        <v>562</v>
      </c>
      <c r="G603" s="31" t="s">
        <v>23</v>
      </c>
      <c r="H603" s="17" t="n">
        <v>6409</v>
      </c>
      <c r="I603" s="32" t="n">
        <v>0.7</v>
      </c>
      <c r="J603" s="33" t="n">
        <v>0.847558121391793</v>
      </c>
      <c r="K603" s="34" t="n">
        <v>0.92581001472754</v>
      </c>
      <c r="L603" s="31" t="n">
        <v>0.972555</v>
      </c>
      <c r="M603" s="31" t="n">
        <v>0.92581001472754</v>
      </c>
      <c r="N603" s="11" t="n">
        <v>5</v>
      </c>
      <c r="O603" s="12"/>
      <c r="P603" s="11"/>
      <c r="Q603" s="8"/>
      <c r="R603" s="8"/>
      <c r="S603" s="8"/>
      <c r="T603" s="8"/>
      <c r="U603" s="8"/>
      <c r="V603" s="8"/>
      <c r="W603" s="8"/>
      <c r="X603" s="8"/>
      <c r="Y603" s="8"/>
      <c r="Z603" s="8"/>
      <c r="AA603" s="8"/>
      <c r="AB603" s="8"/>
      <c r="AC603" s="8"/>
      <c r="AD603" s="8"/>
      <c r="AE603" s="8"/>
      <c r="AF603" s="8"/>
      <c r="AG603" s="8"/>
      <c r="AH603" s="8"/>
      <c r="AI603" s="8"/>
      <c r="AJ603" s="8"/>
      <c r="AK603" s="8"/>
      <c r="AL603" s="8"/>
      <c r="AM603" s="8"/>
    </row>
    <row r="604" customFormat="false" ht="15.75" hidden="false" customHeight="true" outlineLevel="0" collapsed="false">
      <c r="A604" s="30" t="n">
        <v>46305</v>
      </c>
      <c r="B604" s="31" t="s">
        <v>333</v>
      </c>
      <c r="C604" s="31" t="str">
        <f aca="false" t="array" ref="C604:C604">IF(B604="","",IFERROR(INDEX('CLM &amp; IM Mapping'!$B$2:$B$270,MATCH(TRIM(B604),'CLM &amp; IM Mapping'!$A$2:$A$270,0)),"Not Mapped"))</f>
        <v>Basil Scariya</v>
      </c>
      <c r="D604" s="31" t="str">
        <f aca="false" t="array" ref="D604:D604">IF(B604="","",IFERROR(INDEX('CLM &amp; IM Mapping'!$C$2:$C$270,MATCH(TRIM(B604),'CLM &amp; IM Mapping'!$A$2:$A$270,0)),"Not Mapped"))</f>
        <v>Prakash BS</v>
      </c>
      <c r="E604" s="31" t="s">
        <v>34</v>
      </c>
      <c r="F604" s="31" t="s">
        <v>562</v>
      </c>
      <c r="G604" s="31" t="s">
        <v>23</v>
      </c>
      <c r="H604" s="17" t="n">
        <v>5290</v>
      </c>
      <c r="I604" s="32" t="n">
        <v>0.7</v>
      </c>
      <c r="J604" s="33" t="n">
        <v>0.95992438563327</v>
      </c>
      <c r="K604" s="34" t="n">
        <v>0.895628200078771</v>
      </c>
      <c r="L604" s="31" t="n">
        <v>0.968756</v>
      </c>
      <c r="M604" s="31" t="n">
        <v>0.895628200078771</v>
      </c>
      <c r="N604" s="11" t="n">
        <v>4</v>
      </c>
      <c r="O604" s="12"/>
      <c r="P604" s="11"/>
      <c r="Q604" s="8"/>
      <c r="R604" s="8"/>
      <c r="S604" s="8"/>
      <c r="T604" s="8"/>
      <c r="U604" s="8"/>
      <c r="V604" s="8"/>
      <c r="W604" s="8"/>
      <c r="X604" s="8"/>
      <c r="Y604" s="8"/>
      <c r="Z604" s="8"/>
      <c r="AA604" s="8"/>
      <c r="AB604" s="8"/>
      <c r="AC604" s="8"/>
      <c r="AD604" s="8"/>
      <c r="AE604" s="8"/>
      <c r="AF604" s="8"/>
      <c r="AG604" s="8"/>
      <c r="AH604" s="8"/>
      <c r="AI604" s="8"/>
      <c r="AJ604" s="8"/>
      <c r="AK604" s="8"/>
      <c r="AL604" s="8"/>
      <c r="AM604" s="8"/>
    </row>
    <row r="605" customFormat="false" ht="15.75" hidden="false" customHeight="true" outlineLevel="0" collapsed="false">
      <c r="A605" s="30" t="n">
        <v>46305</v>
      </c>
      <c r="B605" s="31" t="s">
        <v>468</v>
      </c>
      <c r="C605" s="31" t="str">
        <f aca="false" t="array" ref="C605:C605">IF(B605="","",IFERROR(INDEX('CLM &amp; IM Mapping'!$B$2:$B$270,MATCH(TRIM(B605),'CLM &amp; IM Mapping'!$A$2:$A$270,0)),"Not Mapped"))</f>
        <v>Suhas N</v>
      </c>
      <c r="D605" s="31" t="str">
        <f aca="false" t="array" ref="D605:D605">IF(B605="","",IFERROR(INDEX('CLM &amp; IM Mapping'!$C$2:$C$270,MATCH(TRIM(B605),'CLM &amp; IM Mapping'!$A$2:$A$270,0)),"Not Mapped"))</f>
        <v>Aravind S</v>
      </c>
      <c r="E605" s="31" t="s">
        <v>34</v>
      </c>
      <c r="F605" s="31" t="s">
        <v>562</v>
      </c>
      <c r="G605" s="31" t="s">
        <v>23</v>
      </c>
      <c r="H605" s="17" t="n">
        <v>6272</v>
      </c>
      <c r="I605" s="32" t="n">
        <v>0.7</v>
      </c>
      <c r="J605" s="33" t="n">
        <v>0.737723214285714</v>
      </c>
      <c r="K605" s="34" t="n">
        <v>0.880484114977307</v>
      </c>
      <c r="L605" s="31" t="n">
        <v>0.971664</v>
      </c>
      <c r="M605" s="31" t="n">
        <v>0.880484114977307</v>
      </c>
      <c r="N605" s="11" t="n">
        <v>2</v>
      </c>
      <c r="O605" s="12"/>
      <c r="P605" s="11"/>
      <c r="Q605" s="8"/>
      <c r="R605" s="8"/>
      <c r="S605" s="8"/>
      <c r="T605" s="8"/>
      <c r="U605" s="8"/>
      <c r="V605" s="8"/>
      <c r="W605" s="8"/>
      <c r="X605" s="8"/>
      <c r="Y605" s="8"/>
      <c r="Z605" s="8"/>
      <c r="AA605" s="8"/>
      <c r="AB605" s="8"/>
      <c r="AC605" s="8"/>
      <c r="AD605" s="8"/>
      <c r="AE605" s="8"/>
      <c r="AF605" s="8"/>
      <c r="AG605" s="8"/>
      <c r="AH605" s="8"/>
      <c r="AI605" s="8"/>
      <c r="AJ605" s="8"/>
      <c r="AK605" s="8"/>
      <c r="AL605" s="8"/>
      <c r="AM605" s="8"/>
    </row>
    <row r="606" customFormat="false" ht="15.75" hidden="false" customHeight="true" outlineLevel="0" collapsed="false">
      <c r="A606" s="30" t="n">
        <v>46305</v>
      </c>
      <c r="B606" s="31" t="s">
        <v>227</v>
      </c>
      <c r="C606" s="31" t="str">
        <f aca="false" t="array" ref="C606:C606">IF(B606="","",IFERROR(INDEX('CLM &amp; IM Mapping'!$B$2:$B$270,MATCH(TRIM(B606),'CLM &amp; IM Mapping'!$A$2:$A$270,0)),"Not Mapped"))</f>
        <v>Vijay M</v>
      </c>
      <c r="D606" s="31" t="str">
        <f aca="false" t="array" ref="D606:D606">IF(B606="","",IFERROR(INDEX('CLM &amp; IM Mapping'!$C$2:$C$270,MATCH(TRIM(B606),'CLM &amp; IM Mapping'!$A$2:$A$270,0)),"Not Mapped"))</f>
        <v>Kantha Kumar</v>
      </c>
      <c r="E606" s="31" t="s">
        <v>34</v>
      </c>
      <c r="F606" s="31" t="s">
        <v>562</v>
      </c>
      <c r="G606" s="31" t="s">
        <v>23</v>
      </c>
      <c r="H606" s="17" t="n">
        <v>5085</v>
      </c>
      <c r="I606" s="32" t="n">
        <v>0.7</v>
      </c>
      <c r="J606" s="33" t="n">
        <v>0.836381514257621</v>
      </c>
      <c r="K606" s="34" t="n">
        <v>0.849753115447919</v>
      </c>
      <c r="L606" s="31" t="n">
        <v>0.922927</v>
      </c>
      <c r="M606" s="31" t="n">
        <v>0.849753115447919</v>
      </c>
      <c r="N606" s="11" t="n">
        <v>1</v>
      </c>
      <c r="O606" s="12"/>
      <c r="P606" s="11"/>
      <c r="Q606" s="8"/>
      <c r="R606" s="8"/>
      <c r="S606" s="8"/>
      <c r="T606" s="8"/>
      <c r="U606" s="8"/>
      <c r="V606" s="8"/>
      <c r="W606" s="8"/>
      <c r="X606" s="8"/>
      <c r="Y606" s="8"/>
      <c r="Z606" s="8"/>
      <c r="AA606" s="8"/>
      <c r="AB606" s="8"/>
      <c r="AC606" s="8"/>
      <c r="AD606" s="8"/>
      <c r="AE606" s="8"/>
      <c r="AF606" s="8"/>
      <c r="AG606" s="8"/>
      <c r="AH606" s="8"/>
      <c r="AI606" s="8"/>
      <c r="AJ606" s="8"/>
      <c r="AK606" s="8"/>
      <c r="AL606" s="8"/>
      <c r="AM606" s="8"/>
    </row>
    <row r="607" customFormat="false" ht="15.75" hidden="false" customHeight="true" outlineLevel="0" collapsed="false">
      <c r="A607" s="30" t="n">
        <v>46305</v>
      </c>
      <c r="B607" s="31" t="s">
        <v>111</v>
      </c>
      <c r="C607" s="31" t="str">
        <f aca="false" t="array" ref="C607:C607">IF(B607="","",IFERROR(INDEX('CLM &amp; IM Mapping'!$B$2:$B$270,MATCH(TRIM(B607),'CLM &amp; IM Mapping'!$A$2:$A$270,0)),"Not Mapped"))</f>
        <v>Narasimhamurthy R</v>
      </c>
      <c r="D607" s="31" t="str">
        <f aca="false" t="array" ref="D607:D607">IF(B607="","",IFERROR(INDEX('CLM &amp; IM Mapping'!$C$2:$C$270,MATCH(TRIM(B607),'CLM &amp; IM Mapping'!$A$2:$A$270,0)),"Not Mapped"))</f>
        <v>Kishor K</v>
      </c>
      <c r="E607" s="31" t="s">
        <v>34</v>
      </c>
      <c r="F607" s="31" t="s">
        <v>565</v>
      </c>
      <c r="G607" s="31" t="s">
        <v>23</v>
      </c>
      <c r="H607" s="17" t="n">
        <v>5482</v>
      </c>
      <c r="I607" s="32" t="n">
        <v>0.7</v>
      </c>
      <c r="J607" s="33" t="n">
        <v>0.313206858810653</v>
      </c>
      <c r="K607" s="34" t="n">
        <v>0.556202679091439</v>
      </c>
      <c r="L607" s="31" t="n">
        <v>0.862122</v>
      </c>
      <c r="M607" s="31" t="n">
        <v>0.556202679091439</v>
      </c>
      <c r="N607" s="11" t="n">
        <v>5</v>
      </c>
      <c r="O607" s="12"/>
      <c r="P607" s="11"/>
      <c r="Q607" s="8"/>
      <c r="R607" s="8"/>
      <c r="S607" s="8"/>
      <c r="T607" s="8"/>
      <c r="U607" s="8"/>
      <c r="V607" s="8"/>
      <c r="W607" s="8"/>
      <c r="X607" s="8"/>
      <c r="Y607" s="8"/>
      <c r="Z607" s="8"/>
      <c r="AA607" s="8"/>
      <c r="AB607" s="8"/>
      <c r="AC607" s="8"/>
      <c r="AD607" s="8"/>
      <c r="AE607" s="8"/>
      <c r="AF607" s="8"/>
      <c r="AG607" s="8"/>
      <c r="AH607" s="8"/>
      <c r="AI607" s="8"/>
      <c r="AJ607" s="8"/>
      <c r="AK607" s="8"/>
      <c r="AL607" s="8"/>
      <c r="AM607" s="8"/>
    </row>
    <row r="608" customFormat="false" ht="15.75" hidden="false" customHeight="true" outlineLevel="0" collapsed="false">
      <c r="A608" s="30" t="n">
        <v>46305</v>
      </c>
      <c r="B608" s="31" t="s">
        <v>245</v>
      </c>
      <c r="C608" s="31" t="str">
        <f aca="false" t="array" ref="C608:C608">IF(B608="","",IFERROR(INDEX('CLM &amp; IM Mapping'!$B$2:$B$270,MATCH(TRIM(B608),'CLM &amp; IM Mapping'!$A$2:$A$270,0)),"Not Mapped"))</f>
        <v>Adhavan Subramani</v>
      </c>
      <c r="D608" s="31" t="str">
        <f aca="false" t="array" ref="D608:D608">IF(B608="","",IFERROR(INDEX('CLM &amp; IM Mapping'!$C$2:$C$270,MATCH(TRIM(B608),'CLM &amp; IM Mapping'!$A$2:$A$270,0)),"Not Mapped"))</f>
        <v>Mohammed Akbar</v>
      </c>
      <c r="E608" s="31" t="s">
        <v>34</v>
      </c>
      <c r="F608" s="31" t="s">
        <v>562</v>
      </c>
      <c r="G608" s="31" t="s">
        <v>23</v>
      </c>
      <c r="H608" s="17" t="n">
        <v>5516</v>
      </c>
      <c r="I608" s="32" t="n">
        <v>0.7</v>
      </c>
      <c r="J608" s="33" t="n">
        <v>0.797860768672951</v>
      </c>
      <c r="K608" s="34" t="n">
        <v>0.792774369461486</v>
      </c>
      <c r="L608" s="31" t="n">
        <v>0.95335</v>
      </c>
      <c r="M608" s="31" t="n">
        <v>0.792774369461486</v>
      </c>
      <c r="N608" s="11" t="n">
        <v>4</v>
      </c>
      <c r="O608" s="12"/>
      <c r="P608" s="11"/>
      <c r="Q608" s="8"/>
      <c r="R608" s="8"/>
      <c r="S608" s="8"/>
      <c r="T608" s="8"/>
      <c r="U608" s="8"/>
      <c r="V608" s="8"/>
      <c r="W608" s="8"/>
      <c r="X608" s="8"/>
      <c r="Y608" s="8"/>
      <c r="Z608" s="8"/>
      <c r="AA608" s="8"/>
      <c r="AB608" s="8"/>
      <c r="AC608" s="8"/>
      <c r="AD608" s="8"/>
      <c r="AE608" s="8"/>
      <c r="AF608" s="8"/>
      <c r="AG608" s="8"/>
      <c r="AH608" s="8"/>
      <c r="AI608" s="8"/>
      <c r="AJ608" s="8"/>
      <c r="AK608" s="8"/>
      <c r="AL608" s="8"/>
      <c r="AM608" s="8"/>
    </row>
    <row r="609" customFormat="false" ht="15.75" hidden="false" customHeight="true" outlineLevel="0" collapsed="false">
      <c r="A609" s="30" t="n">
        <v>46305</v>
      </c>
      <c r="B609" s="31" t="s">
        <v>296</v>
      </c>
      <c r="C609" s="31" t="str">
        <f aca="false" t="array" ref="C609:C609">IF(B609="","",IFERROR(INDEX('CLM &amp; IM Mapping'!$B$2:$B$270,MATCH(TRIM(B609),'CLM &amp; IM Mapping'!$A$2:$A$270,0)),"Not Mapped"))</f>
        <v>Balaji G</v>
      </c>
      <c r="D609" s="31" t="str">
        <f aca="false" t="array" ref="D609:D609">IF(B609="","",IFERROR(INDEX('CLM &amp; IM Mapping'!$C$2:$C$270,MATCH(TRIM(B609),'CLM &amp; IM Mapping'!$A$2:$A$270,0)),"Not Mapped"))</f>
        <v>Mohammed Akbar</v>
      </c>
      <c r="E609" s="31" t="s">
        <v>34</v>
      </c>
      <c r="F609" s="31" t="s">
        <v>562</v>
      </c>
      <c r="G609" s="31" t="s">
        <v>23</v>
      </c>
      <c r="H609" s="17" t="n">
        <v>4674</v>
      </c>
      <c r="I609" s="32" t="n">
        <v>0.7</v>
      </c>
      <c r="J609" s="33" t="n">
        <v>0.674582798459564</v>
      </c>
      <c r="K609" s="34" t="n">
        <v>0.862987630827783</v>
      </c>
      <c r="L609" s="31" t="n">
        <v>0.966754</v>
      </c>
      <c r="M609" s="31" t="n">
        <v>0.862987630827783</v>
      </c>
      <c r="N609" s="11" t="n">
        <v>2</v>
      </c>
      <c r="O609" s="12"/>
      <c r="P609" s="11"/>
      <c r="Q609" s="8"/>
      <c r="R609" s="8"/>
      <c r="S609" s="8"/>
      <c r="T609" s="8"/>
      <c r="U609" s="8"/>
      <c r="V609" s="8"/>
      <c r="W609" s="8"/>
      <c r="X609" s="8"/>
      <c r="Y609" s="8"/>
      <c r="Z609" s="8"/>
      <c r="AA609" s="8"/>
      <c r="AB609" s="8"/>
      <c r="AC609" s="8"/>
      <c r="AD609" s="8"/>
      <c r="AE609" s="8"/>
      <c r="AF609" s="8"/>
      <c r="AG609" s="8"/>
      <c r="AH609" s="8"/>
      <c r="AI609" s="8"/>
      <c r="AJ609" s="8"/>
      <c r="AK609" s="8"/>
      <c r="AL609" s="8"/>
      <c r="AM609" s="8"/>
    </row>
    <row r="610" customFormat="false" ht="15.75" hidden="false" customHeight="true" outlineLevel="0" collapsed="false">
      <c r="A610" s="30" t="n">
        <v>46305</v>
      </c>
      <c r="B610" s="31" t="s">
        <v>512</v>
      </c>
      <c r="C610" s="31" t="str">
        <f aca="false" t="array" ref="C610:C610">IF(B610="","",IFERROR(INDEX('CLM &amp; IM Mapping'!$B$2:$B$270,MATCH(TRIM(B610),'CLM &amp; IM Mapping'!$A$2:$A$270,0)),"Not Mapped"))</f>
        <v>Saddam Hussain</v>
      </c>
      <c r="D610" s="31" t="str">
        <f aca="false" t="array" ref="D610:D610">IF(B610="","",IFERROR(INDEX('CLM &amp; IM Mapping'!$C$2:$C$270,MATCH(TRIM(B610),'CLM &amp; IM Mapping'!$A$2:$A$270,0)),"Not Mapped"))</f>
        <v>Un Mapped</v>
      </c>
      <c r="E610" s="31" t="s">
        <v>34</v>
      </c>
      <c r="F610" s="31" t="s">
        <v>565</v>
      </c>
      <c r="G610" s="31" t="s">
        <v>23</v>
      </c>
      <c r="H610" s="17" t="n">
        <v>4212</v>
      </c>
      <c r="I610" s="32" t="n">
        <v>0.7</v>
      </c>
      <c r="J610" s="33" t="n">
        <v>0.801044634377968</v>
      </c>
      <c r="K610" s="34" t="n">
        <v>0.800829875518672</v>
      </c>
      <c r="L610" s="31" t="n">
        <v>0.977275</v>
      </c>
      <c r="M610" s="31" t="n">
        <v>0.800829875518672</v>
      </c>
      <c r="N610" s="11" t="n">
        <v>3</v>
      </c>
      <c r="O610" s="12"/>
      <c r="P610" s="11"/>
      <c r="Q610" s="8"/>
      <c r="R610" s="8"/>
      <c r="S610" s="8"/>
      <c r="T610" s="8"/>
      <c r="U610" s="8"/>
      <c r="V610" s="8"/>
      <c r="W610" s="8"/>
      <c r="X610" s="8"/>
      <c r="Y610" s="8"/>
      <c r="Z610" s="8"/>
      <c r="AA610" s="8"/>
      <c r="AB610" s="8"/>
      <c r="AC610" s="8"/>
      <c r="AD610" s="8"/>
      <c r="AE610" s="8"/>
      <c r="AF610" s="8"/>
      <c r="AG610" s="8"/>
      <c r="AH610" s="8"/>
      <c r="AI610" s="8"/>
      <c r="AJ610" s="8"/>
      <c r="AK610" s="8"/>
      <c r="AL610" s="8"/>
      <c r="AM610" s="8"/>
    </row>
    <row r="611" customFormat="false" ht="15.75" hidden="false" customHeight="true" outlineLevel="0" collapsed="false">
      <c r="A611" s="30" t="n">
        <v>46305</v>
      </c>
      <c r="B611" s="31" t="s">
        <v>465</v>
      </c>
      <c r="C611" s="31" t="str">
        <f aca="false" t="array" ref="C611:C611">IF(B611="","",IFERROR(INDEX('CLM &amp; IM Mapping'!$B$2:$B$270,MATCH(TRIM(B611),'CLM &amp; IM Mapping'!$A$2:$A$270,0)),"Not Mapped"))</f>
        <v>Suhas N</v>
      </c>
      <c r="D611" s="31" t="str">
        <f aca="false" t="array" ref="D611:D611">IF(B611="","",IFERROR(INDEX('CLM &amp; IM Mapping'!$C$2:$C$270,MATCH(TRIM(B611),'CLM &amp; IM Mapping'!$A$2:$A$270,0)),"Not Mapped"))</f>
        <v>Aravind S</v>
      </c>
      <c r="E611" s="31" t="s">
        <v>34</v>
      </c>
      <c r="F611" s="31" t="s">
        <v>562</v>
      </c>
      <c r="G611" s="31" t="s">
        <v>23</v>
      </c>
      <c r="H611" s="17" t="n">
        <v>4895</v>
      </c>
      <c r="I611" s="32" t="n">
        <v>0.7</v>
      </c>
      <c r="J611" s="33" t="n">
        <v>0.692747701736466</v>
      </c>
      <c r="K611" s="34" t="n">
        <v>0.928339722795636</v>
      </c>
      <c r="L611" s="31" t="n">
        <v>0.981099</v>
      </c>
      <c r="M611" s="31" t="n">
        <v>0.928339722795636</v>
      </c>
      <c r="N611" s="11" t="n">
        <v>4</v>
      </c>
      <c r="O611" s="12"/>
      <c r="P611" s="11"/>
      <c r="Q611" s="8"/>
      <c r="R611" s="8"/>
      <c r="S611" s="8"/>
      <c r="T611" s="8"/>
      <c r="U611" s="8"/>
      <c r="V611" s="8"/>
      <c r="W611" s="8"/>
      <c r="X611" s="8"/>
      <c r="Y611" s="8"/>
      <c r="Z611" s="8"/>
      <c r="AA611" s="8"/>
      <c r="AB611" s="8"/>
      <c r="AC611" s="8"/>
      <c r="AD611" s="8"/>
      <c r="AE611" s="8"/>
      <c r="AF611" s="8"/>
      <c r="AG611" s="8"/>
      <c r="AH611" s="8"/>
      <c r="AI611" s="8"/>
      <c r="AJ611" s="8"/>
      <c r="AK611" s="8"/>
      <c r="AL611" s="8"/>
      <c r="AM611" s="8"/>
    </row>
    <row r="612" customFormat="false" ht="15.75" hidden="false" customHeight="true" outlineLevel="0" collapsed="false">
      <c r="A612" s="30" t="n">
        <v>46305</v>
      </c>
      <c r="B612" s="31" t="s">
        <v>339</v>
      </c>
      <c r="C612" s="31" t="str">
        <f aca="false" t="array" ref="C612:C612">IF(B612="","",IFERROR(INDEX('CLM &amp; IM Mapping'!$B$2:$B$270,MATCH(TRIM(B612),'CLM &amp; IM Mapping'!$A$2:$A$270,0)),"Not Mapped"))</f>
        <v>Ravishankar gowda</v>
      </c>
      <c r="D612" s="31" t="str">
        <f aca="false" t="array" ref="D612:D612">IF(B612="","",IFERROR(INDEX('CLM &amp; IM Mapping'!$C$2:$C$270,MATCH(TRIM(B612),'CLM &amp; IM Mapping'!$A$2:$A$270,0)),"Not Mapped"))</f>
        <v>Kishor K</v>
      </c>
      <c r="E612" s="31" t="s">
        <v>34</v>
      </c>
      <c r="F612" s="31" t="s">
        <v>565</v>
      </c>
      <c r="G612" s="31" t="s">
        <v>23</v>
      </c>
      <c r="H612" s="17" t="n">
        <v>5717</v>
      </c>
      <c r="I612" s="32" t="n">
        <v>0.7</v>
      </c>
      <c r="J612" s="33" t="n">
        <v>0.527549414028337</v>
      </c>
      <c r="K612" s="34" t="n">
        <v>0.937002652519894</v>
      </c>
      <c r="L612" s="31" t="n">
        <v>0.958714</v>
      </c>
      <c r="M612" s="31" t="n">
        <v>0.937002652519894</v>
      </c>
      <c r="N612" s="11" t="n">
        <v>3</v>
      </c>
      <c r="O612" s="12"/>
      <c r="P612" s="11"/>
      <c r="Q612" s="8"/>
      <c r="R612" s="8"/>
      <c r="S612" s="8"/>
      <c r="T612" s="8"/>
      <c r="U612" s="8"/>
      <c r="V612" s="8"/>
      <c r="W612" s="8"/>
      <c r="X612" s="8"/>
      <c r="Y612" s="8"/>
      <c r="Z612" s="8"/>
      <c r="AA612" s="8"/>
      <c r="AB612" s="8"/>
      <c r="AC612" s="8"/>
      <c r="AD612" s="8"/>
      <c r="AE612" s="8"/>
      <c r="AF612" s="8"/>
      <c r="AG612" s="8"/>
      <c r="AH612" s="8"/>
      <c r="AI612" s="8"/>
      <c r="AJ612" s="8"/>
      <c r="AK612" s="8"/>
      <c r="AL612" s="8"/>
      <c r="AM612" s="8"/>
    </row>
    <row r="613" customFormat="false" ht="15.75" hidden="false" customHeight="true" outlineLevel="0" collapsed="false">
      <c r="A613" s="30" t="n">
        <v>46305</v>
      </c>
      <c r="B613" s="31" t="s">
        <v>483</v>
      </c>
      <c r="C613" s="31" t="str">
        <f aca="false" t="array" ref="C613:C613">IF(B613="","",IFERROR(INDEX('CLM &amp; IM Mapping'!$B$2:$B$270,MATCH(TRIM(B613),'CLM &amp; IM Mapping'!$A$2:$A$270,0)),"Not Mapped"))</f>
        <v>Sundaresh S</v>
      </c>
      <c r="D613" s="31" t="str">
        <f aca="false" t="array" ref="D613:D613">IF(B613="","",IFERROR(INDEX('CLM &amp; IM Mapping'!$C$2:$C$270,MATCH(TRIM(B613),'CLM &amp; IM Mapping'!$A$2:$A$270,0)),"Not Mapped"))</f>
        <v>Un Mapped</v>
      </c>
      <c r="E613" s="31" t="s">
        <v>34</v>
      </c>
      <c r="F613" s="31" t="s">
        <v>562</v>
      </c>
      <c r="G613" s="31" t="s">
        <v>23</v>
      </c>
      <c r="H613" s="17" t="n">
        <v>4445</v>
      </c>
      <c r="I613" s="32" t="n">
        <v>0.7</v>
      </c>
      <c r="J613" s="33" t="n">
        <v>0.730033745781777</v>
      </c>
      <c r="K613" s="34" t="n">
        <v>0.827426810477658</v>
      </c>
      <c r="L613" s="31" t="n">
        <v>0.952871</v>
      </c>
      <c r="M613" s="31" t="n">
        <v>0.827426810477658</v>
      </c>
      <c r="N613" s="11" t="n">
        <v>5</v>
      </c>
      <c r="O613" s="12"/>
      <c r="P613" s="11"/>
      <c r="Q613" s="8"/>
      <c r="R613" s="8"/>
      <c r="S613" s="8"/>
      <c r="T613" s="8"/>
      <c r="U613" s="8"/>
      <c r="V613" s="8"/>
      <c r="W613" s="8"/>
      <c r="X613" s="8"/>
      <c r="Y613" s="8"/>
      <c r="Z613" s="8"/>
      <c r="AA613" s="8"/>
      <c r="AB613" s="8"/>
      <c r="AC613" s="8"/>
      <c r="AD613" s="8"/>
      <c r="AE613" s="8"/>
      <c r="AF613" s="8"/>
      <c r="AG613" s="8"/>
      <c r="AH613" s="8"/>
      <c r="AI613" s="8"/>
      <c r="AJ613" s="8"/>
      <c r="AK613" s="8"/>
      <c r="AL613" s="8"/>
      <c r="AM613" s="8"/>
    </row>
    <row r="614" customFormat="false" ht="15.75" hidden="false" customHeight="true" outlineLevel="0" collapsed="false">
      <c r="A614" s="30" t="n">
        <v>46305</v>
      </c>
      <c r="B614" s="31" t="s">
        <v>284</v>
      </c>
      <c r="C614" s="31" t="str">
        <f aca="false" t="array" ref="C614:C614">IF(B614="","",IFERROR(INDEX('CLM &amp; IM Mapping'!$B$2:$B$270,MATCH(TRIM(B614),'CLM &amp; IM Mapping'!$A$2:$A$270,0)),"Not Mapped"))</f>
        <v>Balaji G</v>
      </c>
      <c r="D614" s="31" t="str">
        <f aca="false" t="array" ref="D614:D614">IF(B614="","",IFERROR(INDEX('CLM &amp; IM Mapping'!$C$2:$C$270,MATCH(TRIM(B614),'CLM &amp; IM Mapping'!$A$2:$A$270,0)),"Not Mapped"))</f>
        <v>Mohammed Akbar</v>
      </c>
      <c r="E614" s="31" t="s">
        <v>34</v>
      </c>
      <c r="F614" s="31" t="s">
        <v>562</v>
      </c>
      <c r="G614" s="31" t="s">
        <v>23</v>
      </c>
      <c r="H614" s="17" t="n">
        <v>6333</v>
      </c>
      <c r="I614" s="32" t="n">
        <v>0.7</v>
      </c>
      <c r="J614" s="33" t="n">
        <v>0.686088741512711</v>
      </c>
      <c r="K614" s="34" t="n">
        <v>0.882393555811277</v>
      </c>
      <c r="L614" s="31" t="n">
        <v>0.967898</v>
      </c>
      <c r="M614" s="31" t="n">
        <v>0.882393555811277</v>
      </c>
      <c r="N614" s="11" t="n">
        <v>4</v>
      </c>
      <c r="O614" s="12"/>
      <c r="P614" s="11"/>
      <c r="Q614" s="8"/>
      <c r="R614" s="8"/>
      <c r="S614" s="8"/>
      <c r="T614" s="8"/>
      <c r="U614" s="8"/>
      <c r="V614" s="8"/>
      <c r="W614" s="8"/>
      <c r="X614" s="8"/>
      <c r="Y614" s="8"/>
      <c r="Z614" s="8"/>
      <c r="AA614" s="8"/>
      <c r="AB614" s="8"/>
      <c r="AC614" s="8"/>
      <c r="AD614" s="8"/>
      <c r="AE614" s="8"/>
      <c r="AF614" s="8"/>
      <c r="AG614" s="8"/>
      <c r="AH614" s="8"/>
      <c r="AI614" s="8"/>
      <c r="AJ614" s="8"/>
      <c r="AK614" s="8"/>
      <c r="AL614" s="8"/>
      <c r="AM614" s="8"/>
    </row>
    <row r="615" customFormat="false" ht="15.75" hidden="false" customHeight="true" outlineLevel="0" collapsed="false">
      <c r="A615" s="30" t="n">
        <v>46305</v>
      </c>
      <c r="B615" s="31" t="s">
        <v>219</v>
      </c>
      <c r="C615" s="31" t="str">
        <f aca="false" t="array" ref="C615:C615">IF(B615="","",IFERROR(INDEX('CLM &amp; IM Mapping'!$B$2:$B$270,MATCH(TRIM(B615),'CLM &amp; IM Mapping'!$A$2:$A$270,0)),"Not Mapped"))</f>
        <v>Arun Raj</v>
      </c>
      <c r="D615" s="31" t="str">
        <f aca="false" t="array" ref="D615:D615">IF(B615="","",IFERROR(INDEX('CLM &amp; IM Mapping'!$C$2:$C$270,MATCH(TRIM(B615),'CLM &amp; IM Mapping'!$A$2:$A$270,0)),"Not Mapped"))</f>
        <v>Simon Manoharan</v>
      </c>
      <c r="E615" s="31" t="s">
        <v>25</v>
      </c>
      <c r="F615" s="31" t="s">
        <v>565</v>
      </c>
      <c r="G615" s="31" t="s">
        <v>23</v>
      </c>
      <c r="H615" s="17" t="n">
        <v>13185</v>
      </c>
      <c r="I615" s="32" t="n">
        <v>0.7</v>
      </c>
      <c r="J615" s="33" t="n">
        <v>0.486689419795222</v>
      </c>
      <c r="K615" s="34" t="n">
        <v>0.996727442730248</v>
      </c>
      <c r="L615" s="31" t="n">
        <v>0.999136</v>
      </c>
      <c r="M615" s="31" t="n">
        <v>0.996727442730248</v>
      </c>
      <c r="N615" s="11" t="n">
        <v>4</v>
      </c>
      <c r="O615" s="12"/>
      <c r="P615" s="11"/>
      <c r="Q615" s="8"/>
      <c r="R615" s="8"/>
      <c r="S615" s="8"/>
      <c r="T615" s="8"/>
      <c r="U615" s="8"/>
      <c r="V615" s="8"/>
      <c r="W615" s="8"/>
      <c r="X615" s="8"/>
      <c r="Y615" s="8"/>
      <c r="Z615" s="8"/>
      <c r="AA615" s="8"/>
      <c r="AB615" s="8"/>
      <c r="AC615" s="8"/>
      <c r="AD615" s="8"/>
      <c r="AE615" s="8"/>
      <c r="AF615" s="8"/>
      <c r="AG615" s="8"/>
      <c r="AH615" s="8"/>
      <c r="AI615" s="8"/>
      <c r="AJ615" s="8"/>
      <c r="AK615" s="8"/>
      <c r="AL615" s="8"/>
      <c r="AM615" s="8"/>
    </row>
    <row r="616" customFormat="false" ht="15.75" hidden="false" customHeight="true" outlineLevel="0" collapsed="false">
      <c r="A616" s="30" t="n">
        <v>46305</v>
      </c>
      <c r="B616" s="31" t="s">
        <v>481</v>
      </c>
      <c r="C616" s="31" t="str">
        <f aca="false" t="array" ref="C616:C616">IF(B616="","",IFERROR(INDEX('CLM &amp; IM Mapping'!$B$2:$B$270,MATCH(TRIM(B616),'CLM &amp; IM Mapping'!$A$2:$A$270,0)),"Not Mapped"))</f>
        <v>Akshay P</v>
      </c>
      <c r="D616" s="31" t="str">
        <f aca="false" t="array" ref="D616:D616">IF(B616="","",IFERROR(INDEX('CLM &amp; IM Mapping'!$C$2:$C$270,MATCH(TRIM(B616),'CLM &amp; IM Mapping'!$A$2:$A$270,0)),"Not Mapped"))</f>
        <v>Srittam Dhal</v>
      </c>
      <c r="E616" s="31" t="s">
        <v>34</v>
      </c>
      <c r="F616" s="31" t="s">
        <v>562</v>
      </c>
      <c r="G616" s="31" t="s">
        <v>23</v>
      </c>
      <c r="H616" s="17" t="n">
        <v>6102</v>
      </c>
      <c r="I616" s="32" t="n">
        <v>0.7</v>
      </c>
      <c r="J616" s="33" t="n">
        <v>0.997541789577188</v>
      </c>
      <c r="K616" s="34" t="n">
        <v>0.953343190405783</v>
      </c>
      <c r="L616" s="31" t="n">
        <v>0.988139</v>
      </c>
      <c r="M616" s="31" t="n">
        <v>0.953343190405783</v>
      </c>
      <c r="N616" s="11" t="n">
        <v>4</v>
      </c>
      <c r="O616" s="12"/>
      <c r="P616" s="11"/>
      <c r="Q616" s="8"/>
      <c r="R616" s="8"/>
      <c r="S616" s="8"/>
      <c r="T616" s="8"/>
      <c r="U616" s="8"/>
      <c r="V616" s="8"/>
      <c r="W616" s="8"/>
      <c r="X616" s="8"/>
      <c r="Y616" s="8"/>
      <c r="Z616" s="8"/>
      <c r="AA616" s="8"/>
      <c r="AB616" s="8"/>
      <c r="AC616" s="8"/>
      <c r="AD616" s="8"/>
      <c r="AE616" s="8"/>
      <c r="AF616" s="8"/>
      <c r="AG616" s="8"/>
      <c r="AH616" s="8"/>
      <c r="AI616" s="8"/>
      <c r="AJ616" s="8"/>
      <c r="AK616" s="8"/>
      <c r="AL616" s="8"/>
      <c r="AM616" s="8"/>
    </row>
    <row r="617" customFormat="false" ht="15.75" hidden="false" customHeight="true" outlineLevel="0" collapsed="false">
      <c r="A617" s="30" t="n">
        <v>46305</v>
      </c>
      <c r="B617" s="31" t="s">
        <v>367</v>
      </c>
      <c r="C617" s="31" t="str">
        <f aca="false" t="array" ref="C617:C617">IF(B617="","",IFERROR(INDEX('CLM &amp; IM Mapping'!$B$2:$B$270,MATCH(TRIM(B617),'CLM &amp; IM Mapping'!$A$2:$A$270,0)),"Not Mapped"))</f>
        <v>Akshay P</v>
      </c>
      <c r="D617" s="31" t="str">
        <f aca="false" t="array" ref="D617:D617">IF(B617="","",IFERROR(INDEX('CLM &amp; IM Mapping'!$C$2:$C$270,MATCH(TRIM(B617),'CLM &amp; IM Mapping'!$A$2:$A$270,0)),"Not Mapped"))</f>
        <v>Srittam Dhal</v>
      </c>
      <c r="E617" s="31" t="s">
        <v>34</v>
      </c>
      <c r="F617" s="31" t="s">
        <v>562</v>
      </c>
      <c r="G617" s="31" t="s">
        <v>23</v>
      </c>
      <c r="H617" s="17" t="n">
        <v>5212</v>
      </c>
      <c r="I617" s="32" t="n">
        <v>0.7</v>
      </c>
      <c r="J617" s="33" t="n">
        <v>0</v>
      </c>
      <c r="K617" s="34"/>
      <c r="L617" s="31"/>
      <c r="M617" s="31"/>
      <c r="N617" s="11" t="n">
        <v>1</v>
      </c>
      <c r="O617" s="12"/>
      <c r="P617" s="11"/>
      <c r="Q617" s="8"/>
      <c r="R617" s="8"/>
      <c r="S617" s="8"/>
      <c r="T617" s="8"/>
      <c r="U617" s="8"/>
      <c r="V617" s="8"/>
      <c r="W617" s="8"/>
      <c r="X617" s="8"/>
      <c r="Y617" s="8"/>
      <c r="Z617" s="8"/>
      <c r="AA617" s="8"/>
      <c r="AB617" s="8"/>
      <c r="AC617" s="8"/>
      <c r="AD617" s="8"/>
      <c r="AE617" s="8"/>
      <c r="AF617" s="8"/>
      <c r="AG617" s="8"/>
      <c r="AH617" s="8"/>
      <c r="AI617" s="8"/>
      <c r="AJ617" s="8"/>
      <c r="AK617" s="8"/>
      <c r="AL617" s="8"/>
      <c r="AM617" s="8"/>
    </row>
    <row r="618" customFormat="false" ht="15.75" hidden="false" customHeight="true" outlineLevel="0" collapsed="false">
      <c r="A618" s="30" t="n">
        <v>46305</v>
      </c>
      <c r="B618" s="31" t="s">
        <v>105</v>
      </c>
      <c r="C618" s="31" t="str">
        <f aca="false" t="array" ref="C618:C618">IF(B618="","",IFERROR(INDEX('CLM &amp; IM Mapping'!$B$2:$B$270,MATCH(TRIM(B618),'CLM &amp; IM Mapping'!$A$2:$A$270,0)),"Not Mapped"))</f>
        <v>Suhas N</v>
      </c>
      <c r="D618" s="31" t="str">
        <f aca="false" t="array" ref="D618:D618">IF(B618="","",IFERROR(INDEX('CLM &amp; IM Mapping'!$C$2:$C$270,MATCH(TRIM(B618),'CLM &amp; IM Mapping'!$A$2:$A$270,0)),"Not Mapped"))</f>
        <v>Aravind S</v>
      </c>
      <c r="E618" s="31" t="s">
        <v>34</v>
      </c>
      <c r="F618" s="31" t="s">
        <v>562</v>
      </c>
      <c r="G618" s="31" t="s">
        <v>23</v>
      </c>
      <c r="H618" s="17" t="n">
        <v>6444</v>
      </c>
      <c r="I618" s="32" t="n">
        <v>0.7</v>
      </c>
      <c r="J618" s="33" t="n">
        <v>0.548727498448169</v>
      </c>
      <c r="K618" s="34" t="n">
        <v>0.817873303167421</v>
      </c>
      <c r="L618" s="31" t="n">
        <v>0.962833</v>
      </c>
      <c r="M618" s="31" t="n">
        <v>0.817873303167421</v>
      </c>
      <c r="N618" s="11" t="n">
        <v>4</v>
      </c>
      <c r="O618" s="12"/>
      <c r="P618" s="11"/>
      <c r="Q618" s="8"/>
      <c r="R618" s="8"/>
      <c r="S618" s="8"/>
      <c r="T618" s="8"/>
      <c r="U618" s="8"/>
      <c r="V618" s="8"/>
      <c r="W618" s="8"/>
      <c r="X618" s="8"/>
      <c r="Y618" s="8"/>
      <c r="Z618" s="8"/>
      <c r="AA618" s="8"/>
      <c r="AB618" s="8"/>
      <c r="AC618" s="8"/>
      <c r="AD618" s="8"/>
      <c r="AE618" s="8"/>
      <c r="AF618" s="8"/>
      <c r="AG618" s="8"/>
      <c r="AH618" s="8"/>
      <c r="AI618" s="8"/>
      <c r="AJ618" s="8"/>
      <c r="AK618" s="8"/>
      <c r="AL618" s="8"/>
      <c r="AM618" s="8"/>
    </row>
    <row r="619" customFormat="false" ht="15.75" hidden="false" customHeight="true" outlineLevel="0" collapsed="false">
      <c r="A619" s="30" t="n">
        <v>46305</v>
      </c>
      <c r="B619" s="31" t="s">
        <v>564</v>
      </c>
      <c r="C619" s="31" t="str">
        <f aca="false" t="array" ref="C619:C619">IF(B619="","",IFERROR(INDEX('CLM &amp; IM Mapping'!$B$2:$B$270,MATCH(TRIM(B619),'CLM &amp; IM Mapping'!$A$2:$A$270,0)),"Not Mapped"))</f>
        <v>Basil Scariya</v>
      </c>
      <c r="D619" s="31" t="str">
        <f aca="false" t="array" ref="D619:D619">IF(B619="","",IFERROR(INDEX('CLM &amp; IM Mapping'!$C$2:$C$270,MATCH(TRIM(B619),'CLM &amp; IM Mapping'!$A$2:$A$270,0)),"Not Mapped"))</f>
        <v>Prakash BS</v>
      </c>
      <c r="E619" s="31" t="s">
        <v>34</v>
      </c>
      <c r="F619" s="31" t="s">
        <v>562</v>
      </c>
      <c r="G619" s="31" t="s">
        <v>23</v>
      </c>
      <c r="H619" s="17" t="n">
        <v>7849</v>
      </c>
      <c r="I619" s="32" t="n">
        <v>0.7</v>
      </c>
      <c r="J619" s="33" t="n">
        <v>0</v>
      </c>
      <c r="K619" s="34"/>
      <c r="L619" s="31"/>
      <c r="M619" s="31"/>
      <c r="N619" s="11"/>
      <c r="O619" s="12"/>
      <c r="P619" s="11"/>
      <c r="Q619" s="8"/>
      <c r="R619" s="8"/>
      <c r="S619" s="8"/>
      <c r="T619" s="8"/>
      <c r="U619" s="8"/>
      <c r="V619" s="8"/>
      <c r="W619" s="8"/>
      <c r="X619" s="8"/>
      <c r="Y619" s="8"/>
      <c r="Z619" s="8"/>
      <c r="AA619" s="8"/>
      <c r="AB619" s="8"/>
      <c r="AC619" s="8"/>
      <c r="AD619" s="8"/>
      <c r="AE619" s="8"/>
      <c r="AF619" s="8"/>
      <c r="AG619" s="8"/>
      <c r="AH619" s="8"/>
      <c r="AI619" s="8"/>
      <c r="AJ619" s="8"/>
      <c r="AK619" s="8"/>
      <c r="AL619" s="8"/>
      <c r="AM619" s="8"/>
    </row>
    <row r="620" customFormat="false" ht="15.75" hidden="false" customHeight="true" outlineLevel="0" collapsed="false">
      <c r="A620" s="30" t="n">
        <v>46305</v>
      </c>
      <c r="B620" s="31" t="s">
        <v>254</v>
      </c>
      <c r="C620" s="31" t="str">
        <f aca="false" t="array" ref="C620:C620">IF(B620="","",IFERROR(INDEX('CLM &amp; IM Mapping'!$B$2:$B$270,MATCH(TRIM(B620),'CLM &amp; IM Mapping'!$A$2:$A$270,0)),"Not Mapped"))</f>
        <v>Basil Scariya</v>
      </c>
      <c r="D620" s="31" t="str">
        <f aca="false" t="array" ref="D620:D620">IF(B620="","",IFERROR(INDEX('CLM &amp; IM Mapping'!$C$2:$C$270,MATCH(TRIM(B620),'CLM &amp; IM Mapping'!$A$2:$A$270,0)),"Not Mapped"))</f>
        <v>Prakash BS</v>
      </c>
      <c r="E620" s="31" t="s">
        <v>34</v>
      </c>
      <c r="F620" s="31" t="s">
        <v>562</v>
      </c>
      <c r="G620" s="31" t="s">
        <v>23</v>
      </c>
      <c r="H620" s="17" t="n">
        <v>4912</v>
      </c>
      <c r="I620" s="32" t="n">
        <v>0.7</v>
      </c>
      <c r="J620" s="33" t="n">
        <v>0.634364820846906</v>
      </c>
      <c r="K620" s="34" t="n">
        <v>0.680680359435173</v>
      </c>
      <c r="L620" s="31" t="n">
        <v>0.895604</v>
      </c>
      <c r="M620" s="31" t="n">
        <v>0.680680359435173</v>
      </c>
      <c r="N620" s="11" t="n">
        <v>4</v>
      </c>
      <c r="O620" s="12"/>
      <c r="P620" s="11"/>
      <c r="Q620" s="8"/>
      <c r="R620" s="8"/>
      <c r="S620" s="8"/>
      <c r="T620" s="8"/>
      <c r="U620" s="8"/>
      <c r="V620" s="8"/>
      <c r="W620" s="8"/>
      <c r="X620" s="8"/>
      <c r="Y620" s="8"/>
      <c r="Z620" s="8"/>
      <c r="AA620" s="8"/>
      <c r="AB620" s="8"/>
      <c r="AC620" s="8"/>
      <c r="AD620" s="8"/>
      <c r="AE620" s="8"/>
      <c r="AF620" s="8"/>
      <c r="AG620" s="8"/>
      <c r="AH620" s="8"/>
      <c r="AI620" s="8"/>
      <c r="AJ620" s="8"/>
      <c r="AK620" s="8"/>
      <c r="AL620" s="8"/>
      <c r="AM620" s="8"/>
    </row>
    <row r="621" customFormat="false" ht="15.75" hidden="false" customHeight="true" outlineLevel="0" collapsed="false">
      <c r="A621" s="30" t="n">
        <v>46305</v>
      </c>
      <c r="B621" s="31" t="s">
        <v>235</v>
      </c>
      <c r="C621" s="31" t="str">
        <f aca="false" t="array" ref="C621:C621">IF(B621="","",IFERROR(INDEX('CLM &amp; IM Mapping'!$B$2:$B$270,MATCH(TRIM(B621),'CLM &amp; IM Mapping'!$A$2:$A$270,0)),"Not Mapped"))</f>
        <v>Akshay P</v>
      </c>
      <c r="D621" s="31" t="str">
        <f aca="false" t="array" ref="D621:D621">IF(B621="","",IFERROR(INDEX('CLM &amp; IM Mapping'!$C$2:$C$270,MATCH(TRIM(B621),'CLM &amp; IM Mapping'!$A$2:$A$270,0)),"Not Mapped"))</f>
        <v>Srittam Dhal</v>
      </c>
      <c r="E621" s="31" t="s">
        <v>34</v>
      </c>
      <c r="F621" s="31" t="s">
        <v>562</v>
      </c>
      <c r="G621" s="31" t="s">
        <v>23</v>
      </c>
      <c r="H621" s="17" t="n">
        <v>5212</v>
      </c>
      <c r="I621" s="32" t="n">
        <v>0.7</v>
      </c>
      <c r="J621" s="33" t="n">
        <v>0.76726784343822</v>
      </c>
      <c r="K621" s="34" t="n">
        <v>0.892223055763941</v>
      </c>
      <c r="L621" s="31" t="n">
        <v>0.972613</v>
      </c>
      <c r="M621" s="31" t="n">
        <v>0.892223055763941</v>
      </c>
      <c r="N621" s="11" t="n">
        <v>3</v>
      </c>
      <c r="O621" s="12"/>
      <c r="P621" s="11"/>
      <c r="Q621" s="8"/>
      <c r="R621" s="8"/>
      <c r="S621" s="8"/>
      <c r="T621" s="8"/>
      <c r="U621" s="8"/>
      <c r="V621" s="8"/>
      <c r="W621" s="8"/>
      <c r="X621" s="8"/>
      <c r="Y621" s="8"/>
      <c r="Z621" s="8"/>
      <c r="AA621" s="8"/>
      <c r="AB621" s="8"/>
      <c r="AC621" s="8"/>
      <c r="AD621" s="8"/>
      <c r="AE621" s="8"/>
      <c r="AF621" s="8"/>
      <c r="AG621" s="8"/>
      <c r="AH621" s="8"/>
      <c r="AI621" s="8"/>
      <c r="AJ621" s="8"/>
      <c r="AK621" s="8"/>
      <c r="AL621" s="8"/>
      <c r="AM621" s="8"/>
    </row>
    <row r="622" customFormat="false" ht="15.75" hidden="false" customHeight="true" outlineLevel="0" collapsed="false">
      <c r="A622" s="30" t="n">
        <v>46305</v>
      </c>
      <c r="B622" s="31" t="s">
        <v>73</v>
      </c>
      <c r="C622" s="31" t="str">
        <f aca="false" t="array" ref="C622:C622">IF(B622="","",IFERROR(INDEX('CLM &amp; IM Mapping'!$B$2:$B$270,MATCH(TRIM(B622),'CLM &amp; IM Mapping'!$A$2:$A$270,0)),"Not Mapped"))</f>
        <v>Narasimhamurthy R</v>
      </c>
      <c r="D622" s="31" t="str">
        <f aca="false" t="array" ref="D622:D622">IF(B622="","",IFERROR(INDEX('CLM &amp; IM Mapping'!$C$2:$C$270,MATCH(TRIM(B622),'CLM &amp; IM Mapping'!$A$2:$A$270,0)),"Not Mapped"))</f>
        <v>Kishor K</v>
      </c>
      <c r="E622" s="31" t="s">
        <v>34</v>
      </c>
      <c r="F622" s="31" t="s">
        <v>562</v>
      </c>
      <c r="G622" s="31" t="s">
        <v>23</v>
      </c>
      <c r="H622" s="17" t="n">
        <v>6939</v>
      </c>
      <c r="I622" s="32" t="n">
        <v>0.7</v>
      </c>
      <c r="J622" s="33" t="n">
        <v>0.559446606139213</v>
      </c>
      <c r="K622" s="34" t="n">
        <v>0.774600721277692</v>
      </c>
      <c r="L622" s="31" t="n">
        <v>0.923321</v>
      </c>
      <c r="M622" s="31" t="n">
        <v>0.774600721277692</v>
      </c>
      <c r="N622" s="11" t="n">
        <v>3</v>
      </c>
      <c r="O622" s="12"/>
      <c r="P622" s="11"/>
      <c r="Q622" s="8"/>
      <c r="R622" s="8"/>
      <c r="S622" s="8"/>
      <c r="T622" s="8"/>
      <c r="U622" s="8"/>
      <c r="V622" s="8"/>
      <c r="W622" s="8"/>
      <c r="X622" s="8"/>
      <c r="Y622" s="8"/>
      <c r="Z622" s="8"/>
      <c r="AA622" s="8"/>
      <c r="AB622" s="8"/>
      <c r="AC622" s="8"/>
      <c r="AD622" s="8"/>
      <c r="AE622" s="8"/>
      <c r="AF622" s="8"/>
      <c r="AG622" s="8"/>
      <c r="AH622" s="8"/>
      <c r="AI622" s="8"/>
      <c r="AJ622" s="8"/>
      <c r="AK622" s="8"/>
      <c r="AL622" s="8"/>
      <c r="AM622" s="8"/>
    </row>
    <row r="623" customFormat="false" ht="15.75" hidden="false" customHeight="true" outlineLevel="0" collapsed="false">
      <c r="A623" s="30" t="n">
        <v>46305</v>
      </c>
      <c r="B623" s="31" t="s">
        <v>298</v>
      </c>
      <c r="C623" s="31" t="str">
        <f aca="false" t="array" ref="C623:C623">IF(B623="","",IFERROR(INDEX('CLM &amp; IM Mapping'!$B$2:$B$270,MATCH(TRIM(B623),'CLM &amp; IM Mapping'!$A$2:$A$270,0)),"Not Mapped"))</f>
        <v>Ravishankar gowda</v>
      </c>
      <c r="D623" s="31" t="str">
        <f aca="false" t="array" ref="D623:D623">IF(B623="","",IFERROR(INDEX('CLM &amp; IM Mapping'!$C$2:$C$270,MATCH(TRIM(B623),'CLM &amp; IM Mapping'!$A$2:$A$270,0)),"Not Mapped"))</f>
        <v>Kishor K</v>
      </c>
      <c r="E623" s="31" t="s">
        <v>34</v>
      </c>
      <c r="F623" s="31" t="s">
        <v>562</v>
      </c>
      <c r="G623" s="31" t="s">
        <v>23</v>
      </c>
      <c r="H623" s="17" t="n">
        <v>5765</v>
      </c>
      <c r="I623" s="32" t="n">
        <v>0.7</v>
      </c>
      <c r="J623" s="33" t="n">
        <v>0.390806591500434</v>
      </c>
      <c r="K623" s="34" t="n">
        <v>0.834442964935641</v>
      </c>
      <c r="L623" s="31" t="n">
        <v>0.953317</v>
      </c>
      <c r="M623" s="31" t="n">
        <v>0.834442964935641</v>
      </c>
      <c r="N623" s="11" t="n">
        <v>4</v>
      </c>
      <c r="O623" s="12"/>
      <c r="P623" s="11"/>
      <c r="Q623" s="8"/>
      <c r="R623" s="8"/>
      <c r="S623" s="8"/>
      <c r="T623" s="8"/>
      <c r="U623" s="8"/>
      <c r="V623" s="8"/>
      <c r="W623" s="8"/>
      <c r="X623" s="8"/>
      <c r="Y623" s="8"/>
      <c r="Z623" s="8"/>
      <c r="AA623" s="8"/>
      <c r="AB623" s="8"/>
      <c r="AC623" s="8"/>
      <c r="AD623" s="8"/>
      <c r="AE623" s="8"/>
      <c r="AF623" s="8"/>
      <c r="AG623" s="8"/>
      <c r="AH623" s="8"/>
      <c r="AI623" s="8"/>
      <c r="AJ623" s="8"/>
      <c r="AK623" s="8"/>
      <c r="AL623" s="8"/>
      <c r="AM623" s="8"/>
    </row>
    <row r="624" customFormat="false" ht="15.75" hidden="false" customHeight="true" outlineLevel="0" collapsed="false">
      <c r="A624" s="30" t="n">
        <v>46305</v>
      </c>
      <c r="B624" s="31" t="s">
        <v>89</v>
      </c>
      <c r="C624" s="31" t="str">
        <f aca="false" t="array" ref="C624:C624">IF(B624="","",IFERROR(INDEX('CLM &amp; IM Mapping'!$B$2:$B$270,MATCH(TRIM(B624),'CLM &amp; IM Mapping'!$A$2:$A$270,0)),"Not Mapped"))</f>
        <v>Raghavendra Vernekar</v>
      </c>
      <c r="D624" s="31" t="str">
        <f aca="false" t="array" ref="D624:D624">IF(B624="","",IFERROR(INDEX('CLM &amp; IM Mapping'!$C$2:$C$270,MATCH(TRIM(B624),'CLM &amp; IM Mapping'!$A$2:$A$270,0)),"Not Mapped"))</f>
        <v>Prakash BS</v>
      </c>
      <c r="E624" s="31" t="s">
        <v>34</v>
      </c>
      <c r="F624" s="31" t="s">
        <v>565</v>
      </c>
      <c r="G624" s="31" t="s">
        <v>23</v>
      </c>
      <c r="H624" s="17" t="n">
        <v>10820</v>
      </c>
      <c r="I624" s="32" t="n">
        <v>0.7</v>
      </c>
      <c r="J624" s="33" t="n">
        <v>0.488077634011091</v>
      </c>
      <c r="K624" s="34" t="n">
        <v>0.946601022533611</v>
      </c>
      <c r="L624" s="31" t="n">
        <v>0.955954</v>
      </c>
      <c r="M624" s="31"/>
      <c r="N624" s="11"/>
      <c r="O624" s="12"/>
      <c r="P624" s="11"/>
      <c r="Q624" s="8"/>
      <c r="R624" s="8"/>
      <c r="S624" s="8"/>
      <c r="T624" s="8"/>
      <c r="U624" s="8"/>
      <c r="V624" s="8"/>
      <c r="W624" s="8"/>
      <c r="X624" s="8"/>
      <c r="Y624" s="8"/>
      <c r="Z624" s="8"/>
      <c r="AA624" s="8"/>
      <c r="AB624" s="8"/>
      <c r="AC624" s="8"/>
      <c r="AD624" s="8"/>
      <c r="AE624" s="8"/>
      <c r="AF624" s="8"/>
      <c r="AG624" s="8"/>
      <c r="AH624" s="8"/>
      <c r="AI624" s="8"/>
      <c r="AJ624" s="8"/>
      <c r="AK624" s="8"/>
      <c r="AL624" s="8"/>
      <c r="AM624" s="8"/>
    </row>
    <row r="625" customFormat="false" ht="15.75" hidden="false" customHeight="true" outlineLevel="0" collapsed="false">
      <c r="A625" s="30" t="n">
        <v>46305</v>
      </c>
      <c r="B625" s="31" t="s">
        <v>186</v>
      </c>
      <c r="C625" s="31" t="str">
        <f aca="false" t="array" ref="C625:C625">IF(B625="","",IFERROR(INDEX('CLM &amp; IM Mapping'!$B$2:$B$270,MATCH(TRIM(B625),'CLM &amp; IM Mapping'!$A$2:$A$270,0)),"Not Mapped"))</f>
        <v>Silambarasan E</v>
      </c>
      <c r="D625" s="31" t="str">
        <f aca="false" t="array" ref="D625:D625">IF(B625="","",IFERROR(INDEX('CLM &amp; IM Mapping'!$C$2:$C$270,MATCH(TRIM(B625),'CLM &amp; IM Mapping'!$A$2:$A$270,0)),"Not Mapped"))</f>
        <v>Arivind S</v>
      </c>
      <c r="E625" s="31" t="s">
        <v>34</v>
      </c>
      <c r="F625" s="31" t="s">
        <v>565</v>
      </c>
      <c r="G625" s="31" t="s">
        <v>23</v>
      </c>
      <c r="H625" s="17" t="n">
        <v>5395</v>
      </c>
      <c r="I625" s="32" t="n">
        <v>0.7</v>
      </c>
      <c r="J625" s="33" t="n">
        <v>0.655050973123262</v>
      </c>
      <c r="K625" s="34" t="n">
        <v>0.820316921335597</v>
      </c>
      <c r="L625" s="31" t="n">
        <v>0.978062</v>
      </c>
      <c r="M625" s="31" t="n">
        <v>0.820316921335597</v>
      </c>
      <c r="N625" s="11" t="n">
        <v>4</v>
      </c>
      <c r="O625" s="12"/>
      <c r="P625" s="11"/>
      <c r="Q625" s="8"/>
      <c r="R625" s="8"/>
      <c r="S625" s="8"/>
      <c r="T625" s="8"/>
      <c r="U625" s="8"/>
      <c r="V625" s="8"/>
      <c r="W625" s="8"/>
      <c r="X625" s="8"/>
      <c r="Y625" s="8"/>
      <c r="Z625" s="8"/>
      <c r="AA625" s="8"/>
      <c r="AB625" s="8"/>
      <c r="AC625" s="8"/>
      <c r="AD625" s="8"/>
      <c r="AE625" s="8"/>
      <c r="AF625" s="8"/>
      <c r="AG625" s="8"/>
      <c r="AH625" s="8"/>
      <c r="AI625" s="8"/>
      <c r="AJ625" s="8"/>
      <c r="AK625" s="8"/>
      <c r="AL625" s="8"/>
      <c r="AM625" s="8"/>
    </row>
    <row r="626" customFormat="false" ht="15.75" hidden="false" customHeight="true" outlineLevel="0" collapsed="false">
      <c r="A626" s="30" t="n">
        <v>46305</v>
      </c>
      <c r="B626" s="31" t="s">
        <v>317</v>
      </c>
      <c r="C626" s="31" t="str">
        <f aca="false" t="array" ref="C626:C626">IF(B626="","",IFERROR(INDEX('CLM &amp; IM Mapping'!$B$2:$B$270,MATCH(TRIM(B626),'CLM &amp; IM Mapping'!$A$2:$A$270,0)),"Not Mapped"))</f>
        <v>Akshay P</v>
      </c>
      <c r="D626" s="31" t="str">
        <f aca="false" t="array" ref="D626:D626">IF(B626="","",IFERROR(INDEX('CLM &amp; IM Mapping'!$C$2:$C$270,MATCH(TRIM(B626),'CLM &amp; IM Mapping'!$A$2:$A$270,0)),"Not Mapped"))</f>
        <v>Srittam Dhal</v>
      </c>
      <c r="E626" s="31" t="s">
        <v>34</v>
      </c>
      <c r="F626" s="31" t="s">
        <v>562</v>
      </c>
      <c r="G626" s="31" t="s">
        <v>23</v>
      </c>
      <c r="H626" s="17" t="n">
        <v>5293</v>
      </c>
      <c r="I626" s="32" t="n">
        <v>0.7</v>
      </c>
      <c r="J626" s="33" t="n">
        <v>0.970338182505196</v>
      </c>
      <c r="K626" s="34" t="n">
        <v>0.874221183800623</v>
      </c>
      <c r="L626" s="31" t="n">
        <v>0.95583</v>
      </c>
      <c r="M626" s="31" t="n">
        <v>0.874221183800623</v>
      </c>
      <c r="N626" s="11" t="n">
        <v>4</v>
      </c>
      <c r="O626" s="12"/>
      <c r="P626" s="11"/>
      <c r="Q626" s="8"/>
      <c r="R626" s="8"/>
      <c r="S626" s="8"/>
      <c r="T626" s="8"/>
      <c r="U626" s="8"/>
      <c r="V626" s="8"/>
      <c r="W626" s="8"/>
      <c r="X626" s="8"/>
      <c r="Y626" s="8"/>
      <c r="Z626" s="8"/>
      <c r="AA626" s="8"/>
      <c r="AB626" s="8"/>
      <c r="AC626" s="8"/>
      <c r="AD626" s="8"/>
      <c r="AE626" s="8"/>
      <c r="AF626" s="8"/>
      <c r="AG626" s="8"/>
      <c r="AH626" s="8"/>
      <c r="AI626" s="8"/>
      <c r="AJ626" s="8"/>
      <c r="AK626" s="8"/>
      <c r="AL626" s="8"/>
      <c r="AM626" s="8"/>
    </row>
    <row r="627" customFormat="false" ht="15.75" hidden="false" customHeight="true" outlineLevel="0" collapsed="false">
      <c r="A627" s="30" t="n">
        <v>46305</v>
      </c>
      <c r="B627" s="31" t="s">
        <v>357</v>
      </c>
      <c r="C627" s="31" t="str">
        <f aca="false" t="array" ref="C627:C627">IF(B627="","",IFERROR(INDEX('CLM &amp; IM Mapping'!$B$2:$B$270,MATCH(TRIM(B627),'CLM &amp; IM Mapping'!$A$2:$A$270,0)),"Not Mapped"))</f>
        <v>Arun Raj</v>
      </c>
      <c r="D627" s="31" t="str">
        <f aca="false" t="array" ref="D627:D627">IF(B627="","",IFERROR(INDEX('CLM &amp; IM Mapping'!$C$2:$C$270,MATCH(TRIM(B627),'CLM &amp; IM Mapping'!$A$2:$A$270,0)),"Not Mapped"))</f>
        <v>Simon Manoharan</v>
      </c>
      <c r="E627" s="31" t="s">
        <v>25</v>
      </c>
      <c r="F627" s="31" t="s">
        <v>565</v>
      </c>
      <c r="G627" s="31" t="s">
        <v>23</v>
      </c>
      <c r="H627" s="17" t="n">
        <v>11048</v>
      </c>
      <c r="I627" s="32" t="n">
        <v>0.7</v>
      </c>
      <c r="J627" s="33" t="n">
        <v>0.270908761766836</v>
      </c>
      <c r="K627" s="34" t="n">
        <v>0.969261610424324</v>
      </c>
      <c r="L627" s="31" t="n">
        <v>0.992463</v>
      </c>
      <c r="M627" s="31" t="n">
        <v>0.904456779151353</v>
      </c>
      <c r="N627" s="11" t="n">
        <v>1</v>
      </c>
      <c r="O627" s="12"/>
      <c r="P627" s="11"/>
      <c r="Q627" s="8"/>
      <c r="R627" s="8"/>
      <c r="S627" s="8"/>
      <c r="T627" s="8"/>
      <c r="U627" s="8"/>
      <c r="V627" s="8"/>
      <c r="W627" s="8"/>
      <c r="X627" s="8"/>
      <c r="Y627" s="8"/>
      <c r="Z627" s="8"/>
      <c r="AA627" s="8"/>
      <c r="AB627" s="8"/>
      <c r="AC627" s="8"/>
      <c r="AD627" s="8"/>
      <c r="AE627" s="8"/>
      <c r="AF627" s="8"/>
      <c r="AG627" s="8"/>
      <c r="AH627" s="8"/>
      <c r="AI627" s="8"/>
      <c r="AJ627" s="8"/>
      <c r="AK627" s="8"/>
      <c r="AL627" s="8"/>
      <c r="AM627" s="8"/>
    </row>
    <row r="628" customFormat="false" ht="15.75" hidden="false" customHeight="true" outlineLevel="0" collapsed="false">
      <c r="A628" s="30" t="n">
        <v>46305</v>
      </c>
      <c r="B628" s="31" t="s">
        <v>279</v>
      </c>
      <c r="C628" s="31" t="str">
        <f aca="false" t="array" ref="C628:C628">IF(B628="","",IFERROR(INDEX('CLM &amp; IM Mapping'!$B$2:$B$270,MATCH(TRIM(B628),'CLM &amp; IM Mapping'!$A$2:$A$270,0)),"Not Mapped"))</f>
        <v>Rizwan Ahmed</v>
      </c>
      <c r="D628" s="31" t="str">
        <f aca="false" t="array" ref="D628:D628">IF(B628="","",IFERROR(INDEX('CLM &amp; IM Mapping'!$C$2:$C$270,MATCH(TRIM(B628),'CLM &amp; IM Mapping'!$A$2:$A$270,0)),"Not Mapped"))</f>
        <v>Un Mapped</v>
      </c>
      <c r="E628" s="31" t="s">
        <v>34</v>
      </c>
      <c r="F628" s="31" t="s">
        <v>565</v>
      </c>
      <c r="G628" s="31" t="s">
        <v>23</v>
      </c>
      <c r="H628" s="17" t="n">
        <v>5449</v>
      </c>
      <c r="I628" s="32" t="n">
        <v>0.7</v>
      </c>
      <c r="J628" s="33" t="n">
        <v>0.665259680675353</v>
      </c>
      <c r="K628" s="34" t="n">
        <v>0.923586206896552</v>
      </c>
      <c r="L628" s="31" t="n">
        <v>0.982139</v>
      </c>
      <c r="M628" s="31" t="n">
        <v>0.923586206896552</v>
      </c>
      <c r="N628" s="11" t="n">
        <v>3</v>
      </c>
      <c r="O628" s="12"/>
      <c r="P628" s="11"/>
      <c r="Q628" s="8"/>
      <c r="R628" s="8"/>
      <c r="S628" s="8"/>
      <c r="T628" s="8"/>
      <c r="U628" s="8"/>
      <c r="V628" s="8"/>
      <c r="W628" s="8"/>
      <c r="X628" s="8"/>
      <c r="Y628" s="8"/>
      <c r="Z628" s="8"/>
      <c r="AA628" s="8"/>
      <c r="AB628" s="8"/>
      <c r="AC628" s="8"/>
      <c r="AD628" s="8"/>
      <c r="AE628" s="8"/>
      <c r="AF628" s="8"/>
      <c r="AG628" s="8"/>
      <c r="AH628" s="8"/>
      <c r="AI628" s="8"/>
      <c r="AJ628" s="8"/>
      <c r="AK628" s="8"/>
      <c r="AL628" s="8"/>
      <c r="AM628" s="8"/>
    </row>
    <row r="629" customFormat="false" ht="15.75" hidden="false" customHeight="true" outlineLevel="0" collapsed="false">
      <c r="A629" s="30" t="n">
        <v>46305</v>
      </c>
      <c r="B629" s="31" t="s">
        <v>250</v>
      </c>
      <c r="C629" s="31" t="str">
        <f aca="false" t="array" ref="C629:C629">IF(B629="","",IFERROR(INDEX('CLM &amp; IM Mapping'!$B$2:$B$270,MATCH(TRIM(B629),'CLM &amp; IM Mapping'!$A$2:$A$270,0)),"Not Mapped"))</f>
        <v>Akshay P</v>
      </c>
      <c r="D629" s="31" t="str">
        <f aca="false" t="array" ref="D629:D629">IF(B629="","",IFERROR(INDEX('CLM &amp; IM Mapping'!$C$2:$C$270,MATCH(TRIM(B629),'CLM &amp; IM Mapping'!$A$2:$A$270,0)),"Not Mapped"))</f>
        <v>Srittam Dhal</v>
      </c>
      <c r="E629" s="31" t="s">
        <v>34</v>
      </c>
      <c r="F629" s="31" t="s">
        <v>565</v>
      </c>
      <c r="G629" s="31" t="s">
        <v>23</v>
      </c>
      <c r="H629" s="17" t="n">
        <v>4579</v>
      </c>
      <c r="I629" s="32" t="n">
        <v>0.7</v>
      </c>
      <c r="J629" s="33" t="n">
        <v>0.898886219698624</v>
      </c>
      <c r="K629" s="34" t="n">
        <v>0.769922254616132</v>
      </c>
      <c r="L629" s="31" t="n">
        <v>0.93775</v>
      </c>
      <c r="M629" s="31" t="n">
        <v>0.769922254616132</v>
      </c>
      <c r="N629" s="11" t="n">
        <v>3</v>
      </c>
      <c r="O629" s="12"/>
      <c r="P629" s="11"/>
      <c r="Q629" s="8"/>
      <c r="R629" s="8"/>
      <c r="S629" s="8"/>
      <c r="T629" s="8"/>
      <c r="U629" s="8"/>
      <c r="V629" s="8"/>
      <c r="W629" s="8"/>
      <c r="X629" s="8"/>
      <c r="Y629" s="8"/>
      <c r="Z629" s="8"/>
      <c r="AA629" s="8"/>
      <c r="AB629" s="8"/>
      <c r="AC629" s="8"/>
      <c r="AD629" s="8"/>
      <c r="AE629" s="8"/>
      <c r="AF629" s="8"/>
      <c r="AG629" s="8"/>
      <c r="AH629" s="8"/>
      <c r="AI629" s="8"/>
      <c r="AJ629" s="8"/>
      <c r="AK629" s="8"/>
      <c r="AL629" s="8"/>
      <c r="AM629" s="8"/>
    </row>
    <row r="630" customFormat="false" ht="15.75" hidden="false" customHeight="true" outlineLevel="0" collapsed="false">
      <c r="A630" s="30" t="n">
        <v>46305</v>
      </c>
      <c r="B630" s="31" t="s">
        <v>76</v>
      </c>
      <c r="C630" s="31" t="str">
        <f aca="false" t="array" ref="C630:C630">IF(B630="","",IFERROR(INDEX('CLM &amp; IM Mapping'!$B$2:$B$270,MATCH(TRIM(B630),'CLM &amp; IM Mapping'!$A$2:$A$270,0)),"Not Mapped"))</f>
        <v>Silambarasan E</v>
      </c>
      <c r="D630" s="31" t="str">
        <f aca="false" t="array" ref="D630:D630">IF(B630="","",IFERROR(INDEX('CLM &amp; IM Mapping'!$C$2:$C$270,MATCH(TRIM(B630),'CLM &amp; IM Mapping'!$A$2:$A$270,0)),"Not Mapped"))</f>
        <v>Arivind S</v>
      </c>
      <c r="E630" s="31" t="s">
        <v>34</v>
      </c>
      <c r="F630" s="31" t="s">
        <v>565</v>
      </c>
      <c r="G630" s="31" t="s">
        <v>23</v>
      </c>
      <c r="H630" s="17" t="n">
        <v>6316</v>
      </c>
      <c r="I630" s="32" t="n">
        <v>0.7</v>
      </c>
      <c r="J630" s="33" t="n">
        <v>0.730208993033566</v>
      </c>
      <c r="K630" s="34" t="n">
        <v>0.814830875975716</v>
      </c>
      <c r="L630" s="31" t="n">
        <v>0.915305</v>
      </c>
      <c r="M630" s="31" t="n">
        <v>0.814830875975716</v>
      </c>
      <c r="N630" s="11"/>
      <c r="O630" s="12"/>
      <c r="P630" s="11"/>
      <c r="Q630" s="8"/>
      <c r="R630" s="8"/>
      <c r="S630" s="8"/>
      <c r="T630" s="8"/>
      <c r="U630" s="8"/>
      <c r="V630" s="8"/>
      <c r="W630" s="8"/>
      <c r="X630" s="8"/>
      <c r="Y630" s="8"/>
      <c r="Z630" s="8"/>
      <c r="AA630" s="8"/>
      <c r="AB630" s="8"/>
      <c r="AC630" s="8"/>
      <c r="AD630" s="8"/>
      <c r="AE630" s="8"/>
      <c r="AF630" s="8"/>
      <c r="AG630" s="8"/>
      <c r="AH630" s="8"/>
      <c r="AI630" s="8"/>
      <c r="AJ630" s="8"/>
      <c r="AK630" s="8"/>
      <c r="AL630" s="8"/>
      <c r="AM630" s="8"/>
    </row>
    <row r="631" customFormat="false" ht="15.75" hidden="false" customHeight="true" outlineLevel="0" collapsed="false">
      <c r="A631" s="30" t="n">
        <v>46305</v>
      </c>
      <c r="B631" s="31" t="s">
        <v>390</v>
      </c>
      <c r="C631" s="31" t="str">
        <f aca="false" t="array" ref="C631:C631">IF(B631="","",IFERROR(INDEX('CLM &amp; IM Mapping'!$B$2:$B$270,MATCH(TRIM(B631),'CLM &amp; IM Mapping'!$A$2:$A$270,0)),"Not Mapped"))</f>
        <v>Sundaresh S</v>
      </c>
      <c r="D631" s="31" t="str">
        <f aca="false" t="array" ref="D631:D631">IF(B631="","",IFERROR(INDEX('CLM &amp; IM Mapping'!$C$2:$C$270,MATCH(TRIM(B631),'CLM &amp; IM Mapping'!$A$2:$A$270,0)),"Not Mapped"))</f>
        <v>Un Mapped</v>
      </c>
      <c r="E631" s="31" t="s">
        <v>34</v>
      </c>
      <c r="F631" s="31" t="s">
        <v>562</v>
      </c>
      <c r="G631" s="31" t="s">
        <v>23</v>
      </c>
      <c r="H631" s="17" t="n">
        <v>5728</v>
      </c>
      <c r="I631" s="32" t="n">
        <v>0.7</v>
      </c>
      <c r="J631" s="33" t="n">
        <v>0.939071229050279</v>
      </c>
      <c r="K631" s="34" t="n">
        <v>0.872095184978621</v>
      </c>
      <c r="L631" s="31" t="n">
        <v>0.940264</v>
      </c>
      <c r="M631" s="31"/>
      <c r="N631" s="11" t="n">
        <v>1</v>
      </c>
      <c r="O631" s="12"/>
      <c r="P631" s="11"/>
      <c r="Q631" s="8"/>
      <c r="R631" s="8"/>
      <c r="S631" s="8"/>
      <c r="T631" s="8"/>
      <c r="U631" s="8"/>
      <c r="V631" s="8"/>
      <c r="W631" s="8"/>
      <c r="X631" s="8"/>
      <c r="Y631" s="8"/>
      <c r="Z631" s="8"/>
      <c r="AA631" s="8"/>
      <c r="AB631" s="8"/>
      <c r="AC631" s="8"/>
      <c r="AD631" s="8"/>
      <c r="AE631" s="8"/>
      <c r="AF631" s="8"/>
      <c r="AG631" s="8"/>
      <c r="AH631" s="8"/>
      <c r="AI631" s="8"/>
      <c r="AJ631" s="8"/>
      <c r="AK631" s="8"/>
      <c r="AL631" s="8"/>
      <c r="AM631" s="8"/>
    </row>
    <row r="632" customFormat="false" ht="15.75" hidden="false" customHeight="true" outlineLevel="0" collapsed="false">
      <c r="A632" s="30" t="n">
        <v>46305</v>
      </c>
      <c r="B632" s="31" t="s">
        <v>436</v>
      </c>
      <c r="C632" s="31" t="str">
        <f aca="false" t="array" ref="C632:C632">IF(B632="","",IFERROR(INDEX('CLM &amp; IM Mapping'!$B$2:$B$270,MATCH(TRIM(B632),'CLM &amp; IM Mapping'!$A$2:$A$270,0)),"Not Mapped"))</f>
        <v>Narasimhamurthy R</v>
      </c>
      <c r="D632" s="31" t="str">
        <f aca="false" t="array" ref="D632:D632">IF(B632="","",IFERROR(INDEX('CLM &amp; IM Mapping'!$C$2:$C$270,MATCH(TRIM(B632),'CLM &amp; IM Mapping'!$A$2:$A$270,0)),"Not Mapped"))</f>
        <v>Kishor K</v>
      </c>
      <c r="E632" s="31" t="s">
        <v>34</v>
      </c>
      <c r="F632" s="31" t="s">
        <v>562</v>
      </c>
      <c r="G632" s="31" t="s">
        <v>23</v>
      </c>
      <c r="H632" s="17" t="n">
        <v>12313</v>
      </c>
      <c r="I632" s="32" t="n">
        <v>0.7</v>
      </c>
      <c r="J632" s="33" t="n">
        <v>0.641111020872249</v>
      </c>
      <c r="K632" s="34" t="n">
        <v>0.922219407144667</v>
      </c>
      <c r="L632" s="31" t="n">
        <v>0.977362</v>
      </c>
      <c r="M632" s="31" t="n">
        <v>0.922219407144667</v>
      </c>
      <c r="N632" s="11" t="n">
        <v>4</v>
      </c>
      <c r="O632" s="12"/>
      <c r="P632" s="11"/>
      <c r="Q632" s="8"/>
      <c r="R632" s="8"/>
      <c r="S632" s="8"/>
      <c r="T632" s="8"/>
      <c r="U632" s="8"/>
      <c r="V632" s="8"/>
      <c r="W632" s="8"/>
      <c r="X632" s="8"/>
      <c r="Y632" s="8"/>
      <c r="Z632" s="8"/>
      <c r="AA632" s="8"/>
      <c r="AB632" s="8"/>
      <c r="AC632" s="8"/>
      <c r="AD632" s="8"/>
      <c r="AE632" s="8"/>
      <c r="AF632" s="8"/>
      <c r="AG632" s="8"/>
      <c r="AH632" s="8"/>
      <c r="AI632" s="8"/>
      <c r="AJ632" s="8"/>
      <c r="AK632" s="8"/>
      <c r="AL632" s="8"/>
      <c r="AM632" s="8"/>
    </row>
    <row r="633" customFormat="false" ht="15.75" hidden="false" customHeight="true" outlineLevel="0" collapsed="false">
      <c r="A633" s="30" t="n">
        <v>46305</v>
      </c>
      <c r="B633" s="31" t="s">
        <v>521</v>
      </c>
      <c r="C633" s="31" t="str">
        <f aca="false" t="array" ref="C633:C633">IF(B633="","",IFERROR(INDEX('CLM &amp; IM Mapping'!$B$2:$B$270,MATCH(TRIM(B633),'CLM &amp; IM Mapping'!$A$2:$A$270,0)),"Not Mapped"))</f>
        <v>Mohaideen DH</v>
      </c>
      <c r="D633" s="31" t="str">
        <f aca="false" t="array" ref="D633:D633">IF(B633="","",IFERROR(INDEX('CLM &amp; IM Mapping'!$C$2:$C$270,MATCH(TRIM(B633),'CLM &amp; IM Mapping'!$A$2:$A$270,0)),"Not Mapped"))</f>
        <v>Mohammed Akbar</v>
      </c>
      <c r="E633" s="31" t="s">
        <v>34</v>
      </c>
      <c r="F633" s="31" t="s">
        <v>562</v>
      </c>
      <c r="G633" s="31" t="s">
        <v>23</v>
      </c>
      <c r="H633" s="17" t="n">
        <v>4463</v>
      </c>
      <c r="I633" s="32" t="n">
        <v>0.7</v>
      </c>
      <c r="J633" s="33" t="n">
        <v>0.999775935469415</v>
      </c>
      <c r="K633" s="34" t="n">
        <v>0.927835051546392</v>
      </c>
      <c r="L633" s="31" t="n">
        <v>0.983748</v>
      </c>
      <c r="M633" s="31" t="n">
        <v>0.927835051546392</v>
      </c>
      <c r="N633" s="11" t="n">
        <v>4</v>
      </c>
      <c r="O633" s="12"/>
      <c r="P633" s="11"/>
      <c r="Q633" s="8"/>
      <c r="R633" s="8"/>
      <c r="S633" s="8"/>
      <c r="T633" s="8"/>
      <c r="U633" s="8"/>
      <c r="V633" s="8"/>
      <c r="W633" s="8"/>
      <c r="X633" s="8"/>
      <c r="Y633" s="8"/>
      <c r="Z633" s="8"/>
      <c r="AA633" s="8"/>
      <c r="AB633" s="8"/>
      <c r="AC633" s="8"/>
      <c r="AD633" s="8"/>
      <c r="AE633" s="8"/>
      <c r="AF633" s="8"/>
      <c r="AG633" s="8"/>
      <c r="AH633" s="8"/>
      <c r="AI633" s="8"/>
      <c r="AJ633" s="8"/>
      <c r="AK633" s="8"/>
      <c r="AL633" s="8"/>
      <c r="AM633" s="8"/>
    </row>
    <row r="634" customFormat="false" ht="15.75" hidden="false" customHeight="true" outlineLevel="0" collapsed="false">
      <c r="A634" s="30" t="n">
        <v>46305</v>
      </c>
      <c r="B634" s="31" t="s">
        <v>497</v>
      </c>
      <c r="C634" s="31" t="str">
        <f aca="false" t="array" ref="C634:C634">IF(B634="","",IFERROR(INDEX('CLM &amp; IM Mapping'!$B$2:$B$270,MATCH(TRIM(B634),'CLM &amp; IM Mapping'!$A$2:$A$270,0)),"Not Mapped"))</f>
        <v>Narasimhamurthy R</v>
      </c>
      <c r="D634" s="31" t="str">
        <f aca="false" t="array" ref="D634:D634">IF(B634="","",IFERROR(INDEX('CLM &amp; IM Mapping'!$C$2:$C$270,MATCH(TRIM(B634),'CLM &amp; IM Mapping'!$A$2:$A$270,0)),"Not Mapped"))</f>
        <v>Kishor K</v>
      </c>
      <c r="E634" s="31" t="s">
        <v>34</v>
      </c>
      <c r="F634" s="31" t="s">
        <v>562</v>
      </c>
      <c r="G634" s="31" t="s">
        <v>23</v>
      </c>
      <c r="H634" s="17" t="n">
        <v>5589</v>
      </c>
      <c r="I634" s="32" t="n">
        <v>0.7</v>
      </c>
      <c r="J634" s="33" t="n">
        <v>0.953301127214171</v>
      </c>
      <c r="K634" s="34" t="n">
        <v>0.912912912912913</v>
      </c>
      <c r="L634" s="31" t="n">
        <v>0.969974</v>
      </c>
      <c r="M634" s="31" t="n">
        <v>0.912912912912913</v>
      </c>
      <c r="N634" s="11" t="n">
        <v>2</v>
      </c>
      <c r="O634" s="12"/>
      <c r="P634" s="11"/>
      <c r="Q634" s="8"/>
      <c r="R634" s="8"/>
      <c r="S634" s="8"/>
      <c r="T634" s="8"/>
      <c r="U634" s="8"/>
      <c r="V634" s="8"/>
      <c r="W634" s="8"/>
      <c r="X634" s="8"/>
      <c r="Y634" s="8"/>
      <c r="Z634" s="8"/>
      <c r="AA634" s="8"/>
      <c r="AB634" s="8"/>
      <c r="AC634" s="8"/>
      <c r="AD634" s="8"/>
      <c r="AE634" s="8"/>
      <c r="AF634" s="8"/>
      <c r="AG634" s="8"/>
      <c r="AH634" s="8"/>
      <c r="AI634" s="8"/>
      <c r="AJ634" s="8"/>
      <c r="AK634" s="8"/>
      <c r="AL634" s="8"/>
      <c r="AM634" s="8"/>
    </row>
    <row r="635" customFormat="false" ht="15.75" hidden="false" customHeight="true" outlineLevel="0" collapsed="false">
      <c r="A635" s="30" t="n">
        <v>46305</v>
      </c>
      <c r="B635" s="31" t="s">
        <v>65</v>
      </c>
      <c r="C635" s="31" t="str">
        <f aca="false" t="array" ref="C635:C635">IF(B635="","",IFERROR(INDEX('CLM &amp; IM Mapping'!$B$2:$B$270,MATCH(TRIM(B635),'CLM &amp; IM Mapping'!$A$2:$A$270,0)),"Not Mapped"))</f>
        <v>Adhavan Subramani</v>
      </c>
      <c r="D635" s="31" t="str">
        <f aca="false" t="array" ref="D635:D635">IF(B635="","",IFERROR(INDEX('CLM &amp; IM Mapping'!$C$2:$C$270,MATCH(TRIM(B635),'CLM &amp; IM Mapping'!$A$2:$A$270,0)),"Not Mapped"))</f>
        <v>Mohammed Akbar</v>
      </c>
      <c r="E635" s="31" t="s">
        <v>34</v>
      </c>
      <c r="F635" s="31" t="s">
        <v>562</v>
      </c>
      <c r="G635" s="31" t="s">
        <v>23</v>
      </c>
      <c r="H635" s="17" t="n">
        <v>5572</v>
      </c>
      <c r="I635" s="32" t="n">
        <v>0.7</v>
      </c>
      <c r="J635" s="33" t="n">
        <v>0.765434314429289</v>
      </c>
      <c r="K635" s="34" t="n">
        <v>0.84126611957796</v>
      </c>
      <c r="L635" s="31" t="n">
        <v>0.949089</v>
      </c>
      <c r="M635" s="31" t="n">
        <v>0.84126611957796</v>
      </c>
      <c r="N635" s="11" t="n">
        <v>4</v>
      </c>
      <c r="O635" s="12"/>
      <c r="P635" s="11"/>
      <c r="Q635" s="8"/>
      <c r="R635" s="8"/>
      <c r="S635" s="8"/>
      <c r="T635" s="8"/>
      <c r="U635" s="8"/>
      <c r="V635" s="8"/>
      <c r="W635" s="8"/>
      <c r="X635" s="8"/>
      <c r="Y635" s="8"/>
      <c r="Z635" s="8"/>
      <c r="AA635" s="8"/>
      <c r="AB635" s="8"/>
      <c r="AC635" s="8"/>
      <c r="AD635" s="8"/>
      <c r="AE635" s="8"/>
      <c r="AF635" s="8"/>
      <c r="AG635" s="8"/>
      <c r="AH635" s="8"/>
      <c r="AI635" s="8"/>
      <c r="AJ635" s="8"/>
      <c r="AK635" s="8"/>
      <c r="AL635" s="8"/>
      <c r="AM635" s="8"/>
    </row>
    <row r="636" customFormat="false" ht="15.75" hidden="false" customHeight="true" outlineLevel="0" collapsed="false">
      <c r="A636" s="30" t="n">
        <v>46305</v>
      </c>
      <c r="B636" s="31" t="s">
        <v>188</v>
      </c>
      <c r="C636" s="31" t="str">
        <f aca="false" t="array" ref="C636:C636">IF(B636="","",IFERROR(INDEX('CLM &amp; IM Mapping'!$B$2:$B$270,MATCH(TRIM(B636),'CLM &amp; IM Mapping'!$A$2:$A$270,0)),"Not Mapped"))</f>
        <v>Richard Harris</v>
      </c>
      <c r="D636" s="31" t="str">
        <f aca="false" t="array" ref="D636:D636">IF(B636="","",IFERROR(INDEX('CLM &amp; IM Mapping'!$C$2:$C$270,MATCH(TRIM(B636),'CLM &amp; IM Mapping'!$A$2:$A$270,0)),"Not Mapped"))</f>
        <v>Kantha Kumar</v>
      </c>
      <c r="E636" s="31" t="s">
        <v>34</v>
      </c>
      <c r="F636" s="31" t="s">
        <v>562</v>
      </c>
      <c r="G636" s="31" t="s">
        <v>23</v>
      </c>
      <c r="H636" s="17" t="n">
        <v>6404</v>
      </c>
      <c r="I636" s="32" t="n">
        <v>0.7</v>
      </c>
      <c r="J636" s="33" t="n">
        <v>0.389756402248595</v>
      </c>
      <c r="K636" s="34" t="n">
        <v>0.808894230769231</v>
      </c>
      <c r="L636" s="31" t="n">
        <v>0.934907</v>
      </c>
      <c r="M636" s="31" t="n">
        <v>0.808894230769231</v>
      </c>
      <c r="N636" s="11" t="n">
        <v>4</v>
      </c>
      <c r="O636" s="12"/>
      <c r="P636" s="11"/>
      <c r="Q636" s="8"/>
      <c r="R636" s="8"/>
      <c r="S636" s="8"/>
      <c r="T636" s="8"/>
      <c r="U636" s="8"/>
      <c r="V636" s="8"/>
      <c r="W636" s="8"/>
      <c r="X636" s="8"/>
      <c r="Y636" s="8"/>
      <c r="Z636" s="8"/>
      <c r="AA636" s="8"/>
      <c r="AB636" s="8"/>
      <c r="AC636" s="8"/>
      <c r="AD636" s="8"/>
      <c r="AE636" s="8"/>
      <c r="AF636" s="8"/>
      <c r="AG636" s="8"/>
      <c r="AH636" s="8"/>
      <c r="AI636" s="8"/>
      <c r="AJ636" s="8"/>
      <c r="AK636" s="8"/>
      <c r="AL636" s="8"/>
      <c r="AM636" s="8"/>
    </row>
    <row r="637" customFormat="false" ht="15.75" hidden="false" customHeight="true" outlineLevel="0" collapsed="false">
      <c r="A637" s="30" t="n">
        <v>46305</v>
      </c>
      <c r="B637" s="31" t="s">
        <v>226</v>
      </c>
      <c r="C637" s="31" t="str">
        <f aca="false" t="array" ref="C637:C637">IF(B637="","",IFERROR(INDEX('CLM &amp; IM Mapping'!$B$2:$B$270,MATCH(TRIM(B637),'CLM &amp; IM Mapping'!$A$2:$A$270,0)),"Not Mapped"))</f>
        <v>Manoj Kj</v>
      </c>
      <c r="D637" s="31" t="str">
        <f aca="false" t="array" ref="D637:D637">IF(B637="","",IFERROR(INDEX('CLM &amp; IM Mapping'!$C$2:$C$270,MATCH(TRIM(B637),'CLM &amp; IM Mapping'!$A$2:$A$270,0)),"Not Mapped"))</f>
        <v>Srittam Dhal</v>
      </c>
      <c r="E637" s="31" t="s">
        <v>34</v>
      </c>
      <c r="F637" s="31" t="s">
        <v>562</v>
      </c>
      <c r="G637" s="31" t="s">
        <v>23</v>
      </c>
      <c r="H637" s="17" t="n">
        <v>5421</v>
      </c>
      <c r="I637" s="32" t="n">
        <v>0.7</v>
      </c>
      <c r="J637" s="33" t="n">
        <v>0.0129127467256964</v>
      </c>
      <c r="K637" s="34" t="n">
        <v>0.971428571428571</v>
      </c>
      <c r="L637" s="31" t="n">
        <v>0.99359</v>
      </c>
      <c r="M637" s="31" t="n">
        <v>0.0432071999999999</v>
      </c>
      <c r="N637" s="11" t="n">
        <v>5</v>
      </c>
      <c r="O637" s="12"/>
      <c r="P637" s="11"/>
      <c r="Q637" s="8"/>
      <c r="R637" s="8"/>
      <c r="S637" s="8"/>
      <c r="T637" s="8"/>
      <c r="U637" s="8"/>
      <c r="V637" s="8"/>
      <c r="W637" s="8"/>
      <c r="X637" s="8"/>
      <c r="Y637" s="8"/>
      <c r="Z637" s="8"/>
      <c r="AA637" s="8"/>
      <c r="AB637" s="8"/>
      <c r="AC637" s="8"/>
      <c r="AD637" s="8"/>
      <c r="AE637" s="8"/>
      <c r="AF637" s="8"/>
      <c r="AG637" s="8"/>
      <c r="AH637" s="8"/>
      <c r="AI637" s="8"/>
      <c r="AJ637" s="8"/>
      <c r="AK637" s="8"/>
      <c r="AL637" s="8"/>
      <c r="AM637" s="8"/>
    </row>
    <row r="638" customFormat="false" ht="15.75" hidden="false" customHeight="true" outlineLevel="0" collapsed="false">
      <c r="A638" s="30" t="n">
        <v>46305</v>
      </c>
      <c r="B638" s="31" t="s">
        <v>257</v>
      </c>
      <c r="C638" s="31" t="str">
        <f aca="false" t="array" ref="C638:C638">IF(B638="","",IFERROR(INDEX('CLM &amp; IM Mapping'!$B$2:$B$270,MATCH(TRIM(B638),'CLM &amp; IM Mapping'!$A$2:$A$270,0)),"Not Mapped"))</f>
        <v>Raghavendra Vernekar</v>
      </c>
      <c r="D638" s="31" t="str">
        <f aca="false" t="array" ref="D638:D638">IF(B638="","",IFERROR(INDEX('CLM &amp; IM Mapping'!$C$2:$C$270,MATCH(TRIM(B638),'CLM &amp; IM Mapping'!$A$2:$A$270,0)),"Not Mapped"))</f>
        <v>Prakash BS</v>
      </c>
      <c r="E638" s="31" t="s">
        <v>34</v>
      </c>
      <c r="F638" s="31" t="s">
        <v>562</v>
      </c>
      <c r="G638" s="31" t="s">
        <v>23</v>
      </c>
      <c r="H638" s="17" t="n">
        <v>5155</v>
      </c>
      <c r="I638" s="32" t="n">
        <v>0.7</v>
      </c>
      <c r="J638" s="33" t="n">
        <v>0.678564500484966</v>
      </c>
      <c r="K638" s="34" t="n">
        <v>0.839622641509434</v>
      </c>
      <c r="L638" s="31" t="n">
        <v>0.965423</v>
      </c>
      <c r="M638" s="31" t="n">
        <v>0.839622641509434</v>
      </c>
      <c r="N638" s="11" t="n">
        <v>4</v>
      </c>
      <c r="O638" s="12"/>
      <c r="P638" s="11"/>
      <c r="Q638" s="8"/>
      <c r="R638" s="8"/>
      <c r="S638" s="8"/>
      <c r="T638" s="8"/>
      <c r="U638" s="8"/>
      <c r="V638" s="8"/>
      <c r="W638" s="8"/>
      <c r="X638" s="8"/>
      <c r="Y638" s="8"/>
      <c r="Z638" s="8"/>
      <c r="AA638" s="8"/>
      <c r="AB638" s="8"/>
      <c r="AC638" s="8"/>
      <c r="AD638" s="8"/>
      <c r="AE638" s="8"/>
      <c r="AF638" s="8"/>
      <c r="AG638" s="8"/>
      <c r="AH638" s="8"/>
      <c r="AI638" s="8"/>
      <c r="AJ638" s="8"/>
      <c r="AK638" s="8"/>
      <c r="AL638" s="8"/>
      <c r="AM638" s="8"/>
    </row>
    <row r="639" customFormat="false" ht="15.75" hidden="false" customHeight="true" outlineLevel="0" collapsed="false">
      <c r="A639" s="30" t="n">
        <v>46305</v>
      </c>
      <c r="B639" s="31" t="s">
        <v>231</v>
      </c>
      <c r="C639" s="31" t="str">
        <f aca="false" t="array" ref="C639:C639">IF(B639="","",IFERROR(INDEX('CLM &amp; IM Mapping'!$B$2:$B$270,MATCH(TRIM(B639),'CLM &amp; IM Mapping'!$A$2:$A$270,0)),"Not Mapped"))</f>
        <v>Arun Raj</v>
      </c>
      <c r="D639" s="31" t="str">
        <f aca="false" t="array" ref="D639:D639">IF(B639="","",IFERROR(INDEX('CLM &amp; IM Mapping'!$C$2:$C$270,MATCH(TRIM(B639),'CLM &amp; IM Mapping'!$A$2:$A$270,0)),"Not Mapped"))</f>
        <v>Simon Manoharan</v>
      </c>
      <c r="E639" s="31" t="s">
        <v>25</v>
      </c>
      <c r="F639" s="31" t="s">
        <v>565</v>
      </c>
      <c r="G639" s="31" t="s">
        <v>23</v>
      </c>
      <c r="H639" s="17" t="n">
        <v>13152</v>
      </c>
      <c r="I639" s="32" t="n">
        <v>0.7</v>
      </c>
      <c r="J639" s="33" t="n">
        <v>0.405109489051095</v>
      </c>
      <c r="K639" s="34" t="n">
        <v>0.967717717717718</v>
      </c>
      <c r="L639" s="31" t="n">
        <v>0.984487</v>
      </c>
      <c r="M639" s="31" t="n">
        <v>0.967717717717718</v>
      </c>
      <c r="N639" s="11" t="n">
        <v>2</v>
      </c>
      <c r="O639" s="12"/>
      <c r="P639" s="11"/>
      <c r="Q639" s="8"/>
      <c r="R639" s="8"/>
      <c r="S639" s="8"/>
      <c r="T639" s="8"/>
      <c r="U639" s="8"/>
      <c r="V639" s="8"/>
      <c r="W639" s="8"/>
      <c r="X639" s="8"/>
      <c r="Y639" s="8"/>
      <c r="Z639" s="8"/>
      <c r="AA639" s="8"/>
      <c r="AB639" s="8"/>
      <c r="AC639" s="8"/>
      <c r="AD639" s="8"/>
      <c r="AE639" s="8"/>
      <c r="AF639" s="8"/>
      <c r="AG639" s="8"/>
      <c r="AH639" s="8"/>
      <c r="AI639" s="8"/>
      <c r="AJ639" s="8"/>
      <c r="AK639" s="8"/>
      <c r="AL639" s="8"/>
      <c r="AM639" s="8"/>
    </row>
    <row r="640" customFormat="false" ht="15.75" hidden="false" customHeight="true" outlineLevel="0" collapsed="false">
      <c r="A640" s="30" t="n">
        <v>46305</v>
      </c>
      <c r="B640" s="31" t="s">
        <v>44</v>
      </c>
      <c r="C640" s="31" t="str">
        <f aca="false" t="array" ref="C640:C640">IF(B640="","",IFERROR(INDEX('CLM &amp; IM Mapping'!$B$2:$B$270,MATCH(TRIM(B640),'CLM &amp; IM Mapping'!$A$2:$A$270,0)),"Not Mapped"))</f>
        <v>Rizwan Ahmed</v>
      </c>
      <c r="D640" s="31" t="str">
        <f aca="false" t="array" ref="D640:D640">IF(B640="","",IFERROR(INDEX('CLM &amp; IM Mapping'!$C$2:$C$270,MATCH(TRIM(B640),'CLM &amp; IM Mapping'!$A$2:$A$270,0)),"Not Mapped"))</f>
        <v>Un Mapped</v>
      </c>
      <c r="E640" s="31" t="s">
        <v>34</v>
      </c>
      <c r="F640" s="31" t="s">
        <v>562</v>
      </c>
      <c r="G640" s="31" t="s">
        <v>23</v>
      </c>
      <c r="H640" s="17" t="n">
        <v>5862</v>
      </c>
      <c r="I640" s="32" t="n">
        <v>0.7</v>
      </c>
      <c r="J640" s="33" t="n">
        <v>0.974582053906516</v>
      </c>
      <c r="K640" s="34" t="n">
        <v>0.841939436373184</v>
      </c>
      <c r="L640" s="31" t="n">
        <v>0.940731</v>
      </c>
      <c r="M640" s="31" t="n">
        <v>0.841939436373184</v>
      </c>
      <c r="N640" s="11" t="n">
        <v>2</v>
      </c>
      <c r="O640" s="12"/>
      <c r="P640" s="11"/>
      <c r="Q640" s="8"/>
      <c r="R640" s="8"/>
      <c r="S640" s="8"/>
      <c r="T640" s="8"/>
      <c r="U640" s="8"/>
      <c r="V640" s="8"/>
      <c r="W640" s="8"/>
      <c r="X640" s="8"/>
      <c r="Y640" s="8"/>
      <c r="Z640" s="8"/>
      <c r="AA640" s="8"/>
      <c r="AB640" s="8"/>
      <c r="AC640" s="8"/>
      <c r="AD640" s="8"/>
      <c r="AE640" s="8"/>
      <c r="AF640" s="8"/>
      <c r="AG640" s="8"/>
      <c r="AH640" s="8"/>
      <c r="AI640" s="8"/>
      <c r="AJ640" s="8"/>
      <c r="AK640" s="8"/>
      <c r="AL640" s="8"/>
      <c r="AM640" s="8"/>
    </row>
    <row r="641" customFormat="false" ht="15.75" hidden="false" customHeight="true" outlineLevel="0" collapsed="false">
      <c r="A641" s="30" t="n">
        <v>46305</v>
      </c>
      <c r="B641" s="31" t="s">
        <v>216</v>
      </c>
      <c r="C641" s="31" t="str">
        <f aca="false" t="array" ref="C641:C641">IF(B641="","",IFERROR(INDEX('CLM &amp; IM Mapping'!$B$2:$B$270,MATCH(TRIM(B641),'CLM &amp; IM Mapping'!$A$2:$A$270,0)),"Not Mapped"))</f>
        <v>Silambarasan E</v>
      </c>
      <c r="D641" s="31" t="str">
        <f aca="false" t="array" ref="D641:D641">IF(B641="","",IFERROR(INDEX('CLM &amp; IM Mapping'!$C$2:$C$270,MATCH(TRIM(B641),'CLM &amp; IM Mapping'!$A$2:$A$270,0)),"Not Mapped"))</f>
        <v>Arivind S</v>
      </c>
      <c r="E641" s="31" t="s">
        <v>34</v>
      </c>
      <c r="F641" s="31" t="s">
        <v>562</v>
      </c>
      <c r="G641" s="31" t="s">
        <v>23</v>
      </c>
      <c r="H641" s="17" t="n">
        <v>8268</v>
      </c>
      <c r="I641" s="32" t="n">
        <v>0.7</v>
      </c>
      <c r="J641" s="33" t="n">
        <v>0.666908563134978</v>
      </c>
      <c r="K641" s="34" t="n">
        <v>0.871780921291259</v>
      </c>
      <c r="L641" s="31" t="n">
        <v>0.916736</v>
      </c>
      <c r="M641" s="31" t="n">
        <v>0.871780921291259</v>
      </c>
      <c r="N641" s="11" t="n">
        <v>4</v>
      </c>
      <c r="O641" s="12"/>
      <c r="P641" s="11"/>
      <c r="Q641" s="8"/>
      <c r="R641" s="8"/>
      <c r="S641" s="8"/>
      <c r="T641" s="8"/>
      <c r="U641" s="8"/>
      <c r="V641" s="8"/>
      <c r="W641" s="8"/>
      <c r="X641" s="8"/>
      <c r="Y641" s="8"/>
      <c r="Z641" s="8"/>
      <c r="AA641" s="8"/>
      <c r="AB641" s="8"/>
      <c r="AC641" s="8"/>
      <c r="AD641" s="8"/>
      <c r="AE641" s="8"/>
      <c r="AF641" s="8"/>
      <c r="AG641" s="8"/>
      <c r="AH641" s="8"/>
      <c r="AI641" s="8"/>
      <c r="AJ641" s="8"/>
      <c r="AK641" s="8"/>
      <c r="AL641" s="8"/>
      <c r="AM641" s="8"/>
    </row>
    <row r="642" customFormat="false" ht="15.75" hidden="false" customHeight="true" outlineLevel="0" collapsed="false">
      <c r="A642" s="30" t="n">
        <v>46305</v>
      </c>
      <c r="B642" s="31" t="s">
        <v>405</v>
      </c>
      <c r="C642" s="31" t="str">
        <f aca="false" t="array" ref="C642:C642">IF(B642="","",IFERROR(INDEX('CLM &amp; IM Mapping'!$B$2:$B$270,MATCH(TRIM(B642),'CLM &amp; IM Mapping'!$A$2:$A$270,0)),"Not Mapped"))</f>
        <v>Adhavan Subramani</v>
      </c>
      <c r="D642" s="31" t="str">
        <f aca="false" t="array" ref="D642:D642">IF(B642="","",IFERROR(INDEX('CLM &amp; IM Mapping'!$C$2:$C$270,MATCH(TRIM(B642),'CLM &amp; IM Mapping'!$A$2:$A$270,0)),"Not Mapped"))</f>
        <v>Mohammed Akbar</v>
      </c>
      <c r="E642" s="31" t="s">
        <v>34</v>
      </c>
      <c r="F642" s="31" t="s">
        <v>562</v>
      </c>
      <c r="G642" s="31" t="s">
        <v>23</v>
      </c>
      <c r="H642" s="17" t="n">
        <v>5759</v>
      </c>
      <c r="I642" s="32" t="n">
        <v>0.7</v>
      </c>
      <c r="J642" s="33" t="n">
        <v>0.0911616600104185</v>
      </c>
      <c r="K642" s="34" t="n">
        <v>0.853333333333333</v>
      </c>
      <c r="L642" s="31" t="n">
        <v>0.936356</v>
      </c>
      <c r="M642" s="31"/>
      <c r="N642" s="11"/>
      <c r="O642" s="12"/>
      <c r="P642" s="11"/>
      <c r="Q642" s="8"/>
      <c r="R642" s="8"/>
      <c r="S642" s="8"/>
      <c r="T642" s="8"/>
      <c r="U642" s="8"/>
      <c r="V642" s="8"/>
      <c r="W642" s="8"/>
      <c r="X642" s="8"/>
      <c r="Y642" s="8"/>
      <c r="Z642" s="8"/>
      <c r="AA642" s="8"/>
      <c r="AB642" s="8"/>
      <c r="AC642" s="8"/>
      <c r="AD642" s="8"/>
      <c r="AE642" s="8"/>
      <c r="AF642" s="8"/>
      <c r="AG642" s="8"/>
      <c r="AH642" s="8"/>
      <c r="AI642" s="8"/>
      <c r="AJ642" s="8"/>
      <c r="AK642" s="8"/>
      <c r="AL642" s="8"/>
      <c r="AM642" s="8"/>
    </row>
    <row r="643" customFormat="false" ht="15.75" hidden="false" customHeight="true" outlineLevel="0" collapsed="false">
      <c r="A643" s="30" t="n">
        <v>46305</v>
      </c>
      <c r="B643" s="31" t="s">
        <v>38</v>
      </c>
      <c r="C643" s="31" t="str">
        <f aca="false" t="array" ref="C643:C643">IF(B643="","",IFERROR(INDEX('CLM &amp; IM Mapping'!$B$2:$B$270,MATCH(TRIM(B643),'CLM &amp; IM Mapping'!$A$2:$A$270,0)),"Not Mapped"))</f>
        <v>Vijay M</v>
      </c>
      <c r="D643" s="31" t="str">
        <f aca="false" t="array" ref="D643:D643">IF(B643="","",IFERROR(INDEX('CLM &amp; IM Mapping'!$C$2:$C$270,MATCH(TRIM(B643),'CLM &amp; IM Mapping'!$A$2:$A$270,0)),"Not Mapped"))</f>
        <v>Kantha Kumar</v>
      </c>
      <c r="E643" s="31" t="s">
        <v>34</v>
      </c>
      <c r="F643" s="31" t="s">
        <v>562</v>
      </c>
      <c r="G643" s="31" t="s">
        <v>23</v>
      </c>
      <c r="H643" s="17" t="n">
        <v>5355</v>
      </c>
      <c r="I643" s="32" t="n">
        <v>0.7</v>
      </c>
      <c r="J643" s="33" t="n">
        <v>0.632866479925304</v>
      </c>
      <c r="K643" s="34" t="n">
        <v>0.689583948067277</v>
      </c>
      <c r="L643" s="31" t="n">
        <v>0.933065</v>
      </c>
      <c r="M643" s="31" t="n">
        <v>0.689583948067277</v>
      </c>
      <c r="N643" s="11" t="n">
        <v>5</v>
      </c>
      <c r="O643" s="12"/>
      <c r="P643" s="11"/>
      <c r="Q643" s="8"/>
      <c r="R643" s="8"/>
      <c r="S643" s="8"/>
      <c r="T643" s="8"/>
      <c r="U643" s="8"/>
      <c r="V643" s="8"/>
      <c r="W643" s="8"/>
      <c r="X643" s="8"/>
      <c r="Y643" s="8"/>
      <c r="Z643" s="8"/>
      <c r="AA643" s="8"/>
      <c r="AB643" s="8"/>
      <c r="AC643" s="8"/>
      <c r="AD643" s="8"/>
      <c r="AE643" s="8"/>
      <c r="AF643" s="8"/>
      <c r="AG643" s="8"/>
      <c r="AH643" s="8"/>
      <c r="AI643" s="8"/>
      <c r="AJ643" s="8"/>
      <c r="AK643" s="8"/>
      <c r="AL643" s="8"/>
      <c r="AM643" s="8"/>
    </row>
    <row r="644" customFormat="false" ht="15.75" hidden="false" customHeight="true" outlineLevel="0" collapsed="false">
      <c r="A644" s="30" t="n">
        <v>46305</v>
      </c>
      <c r="B644" s="31" t="s">
        <v>460</v>
      </c>
      <c r="C644" s="31" t="str">
        <f aca="false" t="array" ref="C644:C644">IF(B644="","",IFERROR(INDEX('CLM &amp; IM Mapping'!$B$2:$B$270,MATCH(TRIM(B644),'CLM &amp; IM Mapping'!$A$2:$A$270,0)),"Not Mapped"))</f>
        <v>Vijay M</v>
      </c>
      <c r="D644" s="31" t="str">
        <f aca="false" t="array" ref="D644:D644">IF(B644="","",IFERROR(INDEX('CLM &amp; IM Mapping'!$C$2:$C$270,MATCH(TRIM(B644),'CLM &amp; IM Mapping'!$A$2:$A$270,0)),"Not Mapped"))</f>
        <v>Kantha Kumar</v>
      </c>
      <c r="E644" s="31" t="s">
        <v>34</v>
      </c>
      <c r="F644" s="31" t="s">
        <v>562</v>
      </c>
      <c r="G644" s="31" t="s">
        <v>23</v>
      </c>
      <c r="H644" s="17" t="n">
        <v>5762</v>
      </c>
      <c r="I644" s="32" t="n">
        <v>0.7</v>
      </c>
      <c r="J644" s="33" t="n">
        <v>0.96459562651857</v>
      </c>
      <c r="K644" s="34" t="n">
        <v>0.875854623965455</v>
      </c>
      <c r="L644" s="31" t="n">
        <v>0.954118</v>
      </c>
      <c r="M644" s="31" t="n">
        <v>0.875854623965455</v>
      </c>
      <c r="N644" s="11" t="n">
        <v>4</v>
      </c>
      <c r="O644" s="12"/>
      <c r="P644" s="11"/>
      <c r="Q644" s="8"/>
      <c r="R644" s="8"/>
      <c r="S644" s="8"/>
      <c r="T644" s="8"/>
      <c r="U644" s="8"/>
      <c r="V644" s="8"/>
      <c r="W644" s="8"/>
      <c r="X644" s="8"/>
      <c r="Y644" s="8"/>
      <c r="Z644" s="8"/>
      <c r="AA644" s="8"/>
      <c r="AB644" s="8"/>
      <c r="AC644" s="8"/>
      <c r="AD644" s="8"/>
      <c r="AE644" s="8"/>
      <c r="AF644" s="8"/>
      <c r="AG644" s="8"/>
      <c r="AH644" s="8"/>
      <c r="AI644" s="8"/>
      <c r="AJ644" s="8"/>
      <c r="AK644" s="8"/>
      <c r="AL644" s="8"/>
      <c r="AM644" s="8"/>
    </row>
    <row r="645" customFormat="false" ht="15.75" hidden="false" customHeight="true" outlineLevel="0" collapsed="false">
      <c r="A645" s="30" t="n">
        <v>46305</v>
      </c>
      <c r="B645" s="31" t="s">
        <v>242</v>
      </c>
      <c r="C645" s="31" t="str">
        <f aca="false" t="array" ref="C645:C645">IF(B645="","",IFERROR(INDEX('CLM &amp; IM Mapping'!$B$2:$B$270,MATCH(TRIM(B645),'CLM &amp; IM Mapping'!$A$2:$A$270,0)),"Not Mapped"))</f>
        <v>Suhas N</v>
      </c>
      <c r="D645" s="31" t="str">
        <f aca="false" t="array" ref="D645:D645">IF(B645="","",IFERROR(INDEX('CLM &amp; IM Mapping'!$C$2:$C$270,MATCH(TRIM(B645),'CLM &amp; IM Mapping'!$A$2:$A$270,0)),"Not Mapped"))</f>
        <v>Aravind S</v>
      </c>
      <c r="E645" s="31" t="s">
        <v>34</v>
      </c>
      <c r="F645" s="31" t="s">
        <v>562</v>
      </c>
      <c r="G645" s="31" t="s">
        <v>23</v>
      </c>
      <c r="H645" s="17" t="n">
        <v>5165</v>
      </c>
      <c r="I645" s="32" t="n">
        <v>0.7</v>
      </c>
      <c r="J645" s="33" t="n">
        <v>0.662923523717328</v>
      </c>
      <c r="K645" s="34" t="n">
        <v>0.897780373831776</v>
      </c>
      <c r="L645" s="31" t="n">
        <v>0.973729</v>
      </c>
      <c r="M645" s="31" t="n">
        <v>0.897780373831776</v>
      </c>
      <c r="N645" s="11"/>
      <c r="O645" s="12"/>
      <c r="P645" s="11"/>
      <c r="Q645" s="8"/>
      <c r="R645" s="8"/>
      <c r="S645" s="8"/>
      <c r="T645" s="8"/>
      <c r="U645" s="8"/>
      <c r="V645" s="8"/>
      <c r="W645" s="8"/>
      <c r="X645" s="8"/>
      <c r="Y645" s="8"/>
      <c r="Z645" s="8"/>
      <c r="AA645" s="8"/>
      <c r="AB645" s="8"/>
      <c r="AC645" s="8"/>
      <c r="AD645" s="8"/>
      <c r="AE645" s="8"/>
      <c r="AF645" s="8"/>
      <c r="AG645" s="8"/>
      <c r="AH645" s="8"/>
      <c r="AI645" s="8"/>
      <c r="AJ645" s="8"/>
      <c r="AK645" s="8"/>
      <c r="AL645" s="8"/>
      <c r="AM645" s="8"/>
    </row>
    <row r="646" customFormat="false" ht="15.75" hidden="false" customHeight="true" outlineLevel="0" collapsed="false">
      <c r="A646" s="30" t="n">
        <v>46305</v>
      </c>
      <c r="B646" s="31" t="s">
        <v>233</v>
      </c>
      <c r="C646" s="31" t="str">
        <f aca="false" t="array" ref="C646:C646">IF(B646="","",IFERROR(INDEX('CLM &amp; IM Mapping'!$B$2:$B$270,MATCH(TRIM(B646),'CLM &amp; IM Mapping'!$A$2:$A$270,0)),"Not Mapped"))</f>
        <v>Suhas N</v>
      </c>
      <c r="D646" s="31" t="str">
        <f aca="false" t="array" ref="D646:D646">IF(B646="","",IFERROR(INDEX('CLM &amp; IM Mapping'!$C$2:$C$270,MATCH(TRIM(B646),'CLM &amp; IM Mapping'!$A$2:$A$270,0)),"Not Mapped"))</f>
        <v>Aravind S</v>
      </c>
      <c r="E646" s="31" t="s">
        <v>34</v>
      </c>
      <c r="F646" s="31" t="s">
        <v>562</v>
      </c>
      <c r="G646" s="31" t="s">
        <v>23</v>
      </c>
      <c r="H646" s="17" t="n">
        <v>6396</v>
      </c>
      <c r="I646" s="32" t="n">
        <v>0.7</v>
      </c>
      <c r="J646" s="33" t="n">
        <v>0.33880550343965</v>
      </c>
      <c r="K646" s="34" t="n">
        <v>0.738347946469774</v>
      </c>
      <c r="L646" s="31" t="n">
        <v>0.86305</v>
      </c>
      <c r="M646" s="31" t="n">
        <v>0.738347946469774</v>
      </c>
      <c r="N646" s="11" t="n">
        <v>4</v>
      </c>
      <c r="O646" s="12"/>
      <c r="P646" s="11"/>
      <c r="Q646" s="8"/>
      <c r="R646" s="8"/>
      <c r="S646" s="8"/>
      <c r="T646" s="8"/>
      <c r="U646" s="8"/>
      <c r="V646" s="8"/>
      <c r="W646" s="8"/>
      <c r="X646" s="8"/>
      <c r="Y646" s="8"/>
      <c r="Z646" s="8"/>
      <c r="AA646" s="8"/>
      <c r="AB646" s="8"/>
      <c r="AC646" s="8"/>
      <c r="AD646" s="8"/>
      <c r="AE646" s="8"/>
      <c r="AF646" s="8"/>
      <c r="AG646" s="8"/>
      <c r="AH646" s="8"/>
      <c r="AI646" s="8"/>
      <c r="AJ646" s="8"/>
      <c r="AK646" s="8"/>
      <c r="AL646" s="8"/>
      <c r="AM646" s="8"/>
    </row>
    <row r="647" customFormat="false" ht="15.75" hidden="false" customHeight="true" outlineLevel="0" collapsed="false">
      <c r="A647" s="30" t="n">
        <v>46305</v>
      </c>
      <c r="B647" s="31" t="s">
        <v>348</v>
      </c>
      <c r="C647" s="31" t="str">
        <f aca="false" t="array" ref="C647:C647">IF(B647="","",IFERROR(INDEX('CLM &amp; IM Mapping'!$B$2:$B$270,MATCH(TRIM(B647),'CLM &amp; IM Mapping'!$A$2:$A$270,0)),"Not Mapped"))</f>
        <v>Arun Raj</v>
      </c>
      <c r="D647" s="31" t="str">
        <f aca="false" t="array" ref="D647:D647">IF(B647="","",IFERROR(INDEX('CLM &amp; IM Mapping'!$C$2:$C$270,MATCH(TRIM(B647),'CLM &amp; IM Mapping'!$A$2:$A$270,0)),"Not Mapped"))</f>
        <v>Simon Manoharan</v>
      </c>
      <c r="E647" s="31" t="s">
        <v>25</v>
      </c>
      <c r="F647" s="31" t="s">
        <v>565</v>
      </c>
      <c r="G647" s="31" t="s">
        <v>23</v>
      </c>
      <c r="H647" s="17" t="n">
        <v>10796</v>
      </c>
      <c r="I647" s="32" t="n">
        <v>0.7</v>
      </c>
      <c r="J647" s="33" t="n">
        <v>0.268247499073731</v>
      </c>
      <c r="K647" s="34" t="n">
        <v>0.948549723756906</v>
      </c>
      <c r="L647" s="31" t="n">
        <v>0.987524</v>
      </c>
      <c r="M647" s="31" t="n">
        <v>0.87643433390884</v>
      </c>
      <c r="N647" s="11" t="n">
        <v>1</v>
      </c>
      <c r="O647" s="12"/>
      <c r="P647" s="11"/>
      <c r="Q647" s="8"/>
      <c r="R647" s="8"/>
      <c r="S647" s="8"/>
      <c r="T647" s="8"/>
      <c r="U647" s="8"/>
      <c r="V647" s="8"/>
      <c r="W647" s="8"/>
      <c r="X647" s="8"/>
      <c r="Y647" s="8"/>
      <c r="Z647" s="8"/>
      <c r="AA647" s="8"/>
      <c r="AB647" s="8"/>
      <c r="AC647" s="8"/>
      <c r="AD647" s="8"/>
      <c r="AE647" s="8"/>
      <c r="AF647" s="8"/>
      <c r="AG647" s="8"/>
      <c r="AH647" s="8"/>
      <c r="AI647" s="8"/>
      <c r="AJ647" s="8"/>
      <c r="AK647" s="8"/>
      <c r="AL647" s="8"/>
      <c r="AM647" s="8"/>
    </row>
    <row r="648" customFormat="false" ht="15.75" hidden="false" customHeight="true" outlineLevel="0" collapsed="false">
      <c r="A648" s="30" t="n">
        <v>46305</v>
      </c>
      <c r="B648" s="31" t="s">
        <v>309</v>
      </c>
      <c r="C648" s="31" t="str">
        <f aca="false" t="array" ref="C648:C648">IF(B648="","",IFERROR(INDEX('CLM &amp; IM Mapping'!$B$2:$B$270,MATCH(TRIM(B648),'CLM &amp; IM Mapping'!$A$2:$A$270,0)),"Not Mapped"))</f>
        <v>Ashwath S</v>
      </c>
      <c r="D648" s="31" t="str">
        <f aca="false" t="array" ref="D648:D648">IF(B648="","",IFERROR(INDEX('CLM &amp; IM Mapping'!$C$2:$C$270,MATCH(TRIM(B648),'CLM &amp; IM Mapping'!$A$2:$A$270,0)),"Not Mapped"))</f>
        <v>Kantha Kumar</v>
      </c>
      <c r="E648" s="31" t="s">
        <v>34</v>
      </c>
      <c r="F648" s="31" t="s">
        <v>562</v>
      </c>
      <c r="G648" s="31" t="s">
        <v>23</v>
      </c>
      <c r="H648" s="17" t="n">
        <v>5663</v>
      </c>
      <c r="I648" s="32" t="n">
        <v>0.7</v>
      </c>
      <c r="J648" s="33" t="n">
        <v>0.965565954441109</v>
      </c>
      <c r="K648" s="34" t="n">
        <v>0.896305779078274</v>
      </c>
      <c r="L648" s="31" t="n">
        <v>0.977457</v>
      </c>
      <c r="M648" s="31" t="n">
        <v>0.896305779078274</v>
      </c>
      <c r="N648" s="11" t="n">
        <v>4</v>
      </c>
      <c r="O648" s="12"/>
      <c r="P648" s="11"/>
      <c r="Q648" s="8"/>
      <c r="R648" s="8"/>
      <c r="S648" s="8"/>
      <c r="T648" s="8"/>
      <c r="U648" s="8"/>
      <c r="V648" s="8"/>
      <c r="W648" s="8"/>
      <c r="X648" s="8"/>
      <c r="Y648" s="8"/>
      <c r="Z648" s="8"/>
      <c r="AA648" s="8"/>
      <c r="AB648" s="8"/>
      <c r="AC648" s="8"/>
      <c r="AD648" s="8"/>
      <c r="AE648" s="8"/>
      <c r="AF648" s="8"/>
      <c r="AG648" s="8"/>
      <c r="AH648" s="8"/>
      <c r="AI648" s="8"/>
      <c r="AJ648" s="8"/>
      <c r="AK648" s="8"/>
      <c r="AL648" s="8"/>
      <c r="AM648" s="8"/>
    </row>
    <row r="649" customFormat="false" ht="15.75" hidden="false" customHeight="true" outlineLevel="0" collapsed="false">
      <c r="A649" s="30" t="n">
        <v>46305</v>
      </c>
      <c r="B649" s="31" t="s">
        <v>515</v>
      </c>
      <c r="C649" s="31" t="str">
        <f aca="false" t="array" ref="C649:C649">IF(B649="","",IFERROR(INDEX('CLM &amp; IM Mapping'!$B$2:$B$270,MATCH(TRIM(B649),'CLM &amp; IM Mapping'!$A$2:$A$270,0)),"Not Mapped"))</f>
        <v>Balaji G</v>
      </c>
      <c r="D649" s="31" t="str">
        <f aca="false" t="array" ref="D649:D649">IF(B649="","",IFERROR(INDEX('CLM &amp; IM Mapping'!$C$2:$C$270,MATCH(TRIM(B649),'CLM &amp; IM Mapping'!$A$2:$A$270,0)),"Not Mapped"))</f>
        <v>Mohammed Akbar</v>
      </c>
      <c r="E649" s="31" t="s">
        <v>34</v>
      </c>
      <c r="F649" s="31" t="s">
        <v>562</v>
      </c>
      <c r="G649" s="31" t="s">
        <v>23</v>
      </c>
      <c r="H649" s="17" t="n">
        <v>5077</v>
      </c>
      <c r="I649" s="32" t="n">
        <v>0.7</v>
      </c>
      <c r="J649" s="33" t="n">
        <v>0.999803033287374</v>
      </c>
      <c r="K649" s="34" t="n">
        <v>0.940504334121355</v>
      </c>
      <c r="L649" s="31" t="n">
        <v>0.988345</v>
      </c>
      <c r="M649" s="31" t="n">
        <v>0.940504334121355</v>
      </c>
      <c r="N649" s="11" t="n">
        <v>5</v>
      </c>
      <c r="O649" s="12"/>
      <c r="P649" s="11"/>
      <c r="Q649" s="8"/>
      <c r="R649" s="8"/>
      <c r="S649" s="8"/>
      <c r="T649" s="8"/>
      <c r="U649" s="8"/>
      <c r="V649" s="8"/>
      <c r="W649" s="8"/>
      <c r="X649" s="8"/>
      <c r="Y649" s="8"/>
      <c r="Z649" s="8"/>
      <c r="AA649" s="8"/>
      <c r="AB649" s="8"/>
      <c r="AC649" s="8"/>
      <c r="AD649" s="8"/>
      <c r="AE649" s="8"/>
      <c r="AF649" s="8"/>
      <c r="AG649" s="8"/>
      <c r="AH649" s="8"/>
      <c r="AI649" s="8"/>
      <c r="AJ649" s="8"/>
      <c r="AK649" s="8"/>
      <c r="AL649" s="8"/>
      <c r="AM649" s="8"/>
    </row>
    <row r="650" customFormat="false" ht="15.75" hidden="false" customHeight="true" outlineLevel="0" collapsed="false">
      <c r="A650" s="30" t="n">
        <v>46305</v>
      </c>
      <c r="B650" s="31" t="s">
        <v>507</v>
      </c>
      <c r="C650" s="31" t="str">
        <f aca="false" t="array" ref="C650:C650">IF(B650="","",IFERROR(INDEX('CLM &amp; IM Mapping'!$B$2:$B$270,MATCH(TRIM(B650),'CLM &amp; IM Mapping'!$A$2:$A$270,0)),"Not Mapped"))</f>
        <v>Raghavendra Vernekar</v>
      </c>
      <c r="D650" s="31" t="str">
        <f aca="false" t="array" ref="D650:D650">IF(B650="","",IFERROR(INDEX('CLM &amp; IM Mapping'!$C$2:$C$270,MATCH(TRIM(B650),'CLM &amp; IM Mapping'!$A$2:$A$270,0)),"Not Mapped"))</f>
        <v>Prakash BS</v>
      </c>
      <c r="E650" s="31" t="s">
        <v>34</v>
      </c>
      <c r="F650" s="31" t="s">
        <v>562</v>
      </c>
      <c r="G650" s="31" t="s">
        <v>23</v>
      </c>
      <c r="H650" s="17" t="n">
        <v>5768</v>
      </c>
      <c r="I650" s="32" t="n">
        <v>0.7</v>
      </c>
      <c r="J650" s="33" t="n">
        <v>0.999306518723995</v>
      </c>
      <c r="K650" s="34" t="n">
        <v>0.937890353920888</v>
      </c>
      <c r="L650" s="31" t="n">
        <v>0.989143</v>
      </c>
      <c r="M650" s="31"/>
      <c r="N650" s="11" t="n">
        <v>6</v>
      </c>
      <c r="O650" s="12"/>
      <c r="P650" s="11"/>
      <c r="Q650" s="8"/>
      <c r="R650" s="8"/>
      <c r="S650" s="8"/>
      <c r="T650" s="8"/>
      <c r="U650" s="8"/>
      <c r="V650" s="8"/>
      <c r="W650" s="8"/>
      <c r="X650" s="8"/>
      <c r="Y650" s="8"/>
      <c r="Z650" s="8"/>
      <c r="AA650" s="8"/>
      <c r="AB650" s="8"/>
      <c r="AC650" s="8"/>
      <c r="AD650" s="8"/>
      <c r="AE650" s="8"/>
      <c r="AF650" s="8"/>
      <c r="AG650" s="8"/>
      <c r="AH650" s="8"/>
      <c r="AI650" s="8"/>
      <c r="AJ650" s="8"/>
      <c r="AK650" s="8"/>
      <c r="AL650" s="8"/>
      <c r="AM650" s="8"/>
    </row>
    <row r="651" customFormat="false" ht="15.75" hidden="false" customHeight="true" outlineLevel="0" collapsed="false">
      <c r="A651" s="30" t="n">
        <v>46305</v>
      </c>
      <c r="B651" s="31" t="s">
        <v>114</v>
      </c>
      <c r="C651" s="31" t="str">
        <f aca="false" t="array" ref="C651:C651">IF(B651="","",IFERROR(INDEX('CLM &amp; IM Mapping'!$B$2:$B$270,MATCH(TRIM(B651),'CLM &amp; IM Mapping'!$A$2:$A$270,0)),"Not Mapped"))</f>
        <v>Adhavan Subramani</v>
      </c>
      <c r="D651" s="31" t="str">
        <f aca="false" t="array" ref="D651:D651">IF(B651="","",IFERROR(INDEX('CLM &amp; IM Mapping'!$C$2:$C$270,MATCH(TRIM(B651),'CLM &amp; IM Mapping'!$A$2:$A$270,0)),"Not Mapped"))</f>
        <v>Mohammed Akbar</v>
      </c>
      <c r="E651" s="31" t="s">
        <v>34</v>
      </c>
      <c r="F651" s="31" t="s">
        <v>562</v>
      </c>
      <c r="G651" s="31" t="s">
        <v>23</v>
      </c>
      <c r="H651" s="17" t="n">
        <v>5657</v>
      </c>
      <c r="I651" s="32" t="n">
        <v>0.7</v>
      </c>
      <c r="J651" s="33" t="n">
        <v>0.582817747922927</v>
      </c>
      <c r="K651" s="34" t="n">
        <v>0.710342735820443</v>
      </c>
      <c r="L651" s="31" t="n">
        <v>0.918046</v>
      </c>
      <c r="M651" s="31" t="n">
        <v>0.710342735820443</v>
      </c>
      <c r="N651" s="11" t="n">
        <v>4</v>
      </c>
      <c r="O651" s="12"/>
      <c r="P651" s="11"/>
      <c r="Q651" s="8"/>
      <c r="R651" s="8"/>
      <c r="S651" s="8"/>
      <c r="T651" s="8"/>
      <c r="U651" s="8"/>
      <c r="V651" s="8"/>
      <c r="W651" s="8"/>
      <c r="X651" s="8"/>
      <c r="Y651" s="8"/>
      <c r="Z651" s="8"/>
      <c r="AA651" s="8"/>
      <c r="AB651" s="8"/>
      <c r="AC651" s="8"/>
      <c r="AD651" s="8"/>
      <c r="AE651" s="8"/>
      <c r="AF651" s="8"/>
      <c r="AG651" s="8"/>
      <c r="AH651" s="8"/>
      <c r="AI651" s="8"/>
      <c r="AJ651" s="8"/>
      <c r="AK651" s="8"/>
      <c r="AL651" s="8"/>
      <c r="AM651" s="8"/>
    </row>
    <row r="652" customFormat="false" ht="15.75" hidden="false" customHeight="true" outlineLevel="0" collapsed="false">
      <c r="A652" s="30" t="n">
        <v>46305</v>
      </c>
      <c r="B652" s="31" t="s">
        <v>288</v>
      </c>
      <c r="C652" s="31" t="str">
        <f aca="false" t="array" ref="C652:C652">IF(B652="","",IFERROR(INDEX('CLM &amp; IM Mapping'!$B$2:$B$270,MATCH(TRIM(B652),'CLM &amp; IM Mapping'!$A$2:$A$270,0)),"Not Mapped"))</f>
        <v>Arun Raj</v>
      </c>
      <c r="D652" s="31" t="str">
        <f aca="false" t="array" ref="D652:D652">IF(B652="","",IFERROR(INDEX('CLM &amp; IM Mapping'!$C$2:$C$270,MATCH(TRIM(B652),'CLM &amp; IM Mapping'!$A$2:$A$270,0)),"Not Mapped"))</f>
        <v>Simon Manoharan</v>
      </c>
      <c r="E652" s="31" t="s">
        <v>25</v>
      </c>
      <c r="F652" s="31" t="s">
        <v>565</v>
      </c>
      <c r="G652" s="31" t="s">
        <v>23</v>
      </c>
      <c r="H652" s="17" t="n">
        <v>10225</v>
      </c>
      <c r="I652" s="32" t="n">
        <v>0.7</v>
      </c>
      <c r="J652" s="33" t="n">
        <v>0.353349633251834</v>
      </c>
      <c r="K652" s="34" t="n">
        <v>0.970661500138389</v>
      </c>
      <c r="L652" s="31" t="n">
        <v>0.988853</v>
      </c>
      <c r="M652" s="31" t="n">
        <v>0.970661500138389</v>
      </c>
      <c r="N652" s="11" t="n">
        <v>1</v>
      </c>
      <c r="O652" s="12"/>
      <c r="P652" s="11"/>
      <c r="Q652" s="8"/>
      <c r="R652" s="8"/>
      <c r="S652" s="8"/>
      <c r="T652" s="8"/>
      <c r="U652" s="8"/>
      <c r="V652" s="8"/>
      <c r="W652" s="8"/>
      <c r="X652" s="8"/>
      <c r="Y652" s="8"/>
      <c r="Z652" s="8"/>
      <c r="AA652" s="8"/>
      <c r="AB652" s="8"/>
      <c r="AC652" s="8"/>
      <c r="AD652" s="8"/>
      <c r="AE652" s="8"/>
      <c r="AF652" s="8"/>
      <c r="AG652" s="8"/>
      <c r="AH652" s="8"/>
      <c r="AI652" s="8"/>
      <c r="AJ652" s="8"/>
      <c r="AK652" s="8"/>
      <c r="AL652" s="8"/>
      <c r="AM652" s="8"/>
    </row>
    <row r="653" customFormat="false" ht="15.75" hidden="false" customHeight="true" outlineLevel="0" collapsed="false">
      <c r="A653" s="30" t="n">
        <v>46305</v>
      </c>
      <c r="B653" s="31" t="s">
        <v>142</v>
      </c>
      <c r="C653" s="31" t="str">
        <f aca="false" t="array" ref="C653:C653">IF(B653="","",IFERROR(INDEX('CLM &amp; IM Mapping'!$B$2:$B$270,MATCH(TRIM(B653),'CLM &amp; IM Mapping'!$A$2:$A$270,0)),"Not Mapped"))</f>
        <v>Sundaresh S</v>
      </c>
      <c r="D653" s="31" t="str">
        <f aca="false" t="array" ref="D653:D653">IF(B653="","",IFERROR(INDEX('CLM &amp; IM Mapping'!$C$2:$C$270,MATCH(TRIM(B653),'CLM &amp; IM Mapping'!$A$2:$A$270,0)),"Not Mapped"))</f>
        <v>Un Mapped</v>
      </c>
      <c r="E653" s="31" t="s">
        <v>34</v>
      </c>
      <c r="F653" s="31" t="s">
        <v>562</v>
      </c>
      <c r="G653" s="31" t="s">
        <v>23</v>
      </c>
      <c r="H653" s="17" t="n">
        <v>4675</v>
      </c>
      <c r="I653" s="32" t="n">
        <v>0.7</v>
      </c>
      <c r="J653" s="33" t="n">
        <v>0.760427807486631</v>
      </c>
      <c r="K653" s="34" t="n">
        <v>0.79746835443038</v>
      </c>
      <c r="L653" s="31" t="n">
        <v>0.948863</v>
      </c>
      <c r="M653" s="31" t="n">
        <v>0.79746835443038</v>
      </c>
      <c r="N653" s="11" t="n">
        <v>9</v>
      </c>
      <c r="O653" s="12"/>
      <c r="P653" s="11"/>
      <c r="Q653" s="8"/>
      <c r="R653" s="8"/>
      <c r="S653" s="8"/>
      <c r="T653" s="8"/>
      <c r="U653" s="8"/>
      <c r="V653" s="8"/>
      <c r="W653" s="8"/>
      <c r="X653" s="8"/>
      <c r="Y653" s="8"/>
      <c r="Z653" s="8"/>
      <c r="AA653" s="8"/>
      <c r="AB653" s="8"/>
      <c r="AC653" s="8"/>
      <c r="AD653" s="8"/>
      <c r="AE653" s="8"/>
      <c r="AF653" s="8"/>
      <c r="AG653" s="8"/>
      <c r="AH653" s="8"/>
      <c r="AI653" s="8"/>
      <c r="AJ653" s="8"/>
      <c r="AK653" s="8"/>
      <c r="AL653" s="8"/>
      <c r="AM653" s="8"/>
    </row>
    <row r="654" customFormat="false" ht="15.75" hidden="false" customHeight="true" outlineLevel="0" collapsed="false">
      <c r="A654" s="30" t="n">
        <v>46305</v>
      </c>
      <c r="B654" s="31" t="s">
        <v>368</v>
      </c>
      <c r="C654" s="31" t="str">
        <f aca="false" t="array" ref="C654:C654">IF(B654="","",IFERROR(INDEX('CLM &amp; IM Mapping'!$B$2:$B$270,MATCH(TRIM(B654),'CLM &amp; IM Mapping'!$A$2:$A$270,0)),"Not Mapped"))</f>
        <v>Arun Raj</v>
      </c>
      <c r="D654" s="31" t="str">
        <f aca="false" t="array" ref="D654:D654">IF(B654="","",IFERROR(INDEX('CLM &amp; IM Mapping'!$C$2:$C$270,MATCH(TRIM(B654),'CLM &amp; IM Mapping'!$A$2:$A$270,0)),"Not Mapped"))</f>
        <v>Simon Manoharan</v>
      </c>
      <c r="E654" s="31" t="s">
        <v>25</v>
      </c>
      <c r="F654" s="31" t="s">
        <v>565</v>
      </c>
      <c r="G654" s="31" t="s">
        <v>23</v>
      </c>
      <c r="H654" s="17" t="n">
        <v>12051</v>
      </c>
      <c r="I654" s="32" t="n">
        <v>0.7</v>
      </c>
      <c r="J654" s="33" t="n">
        <v>0</v>
      </c>
      <c r="K654" s="34"/>
      <c r="L654" s="31"/>
      <c r="M654" s="31"/>
      <c r="N654" s="11"/>
      <c r="O654" s="12"/>
      <c r="P654" s="11"/>
      <c r="Q654" s="8"/>
      <c r="R654" s="8"/>
      <c r="S654" s="8"/>
      <c r="T654" s="8"/>
      <c r="U654" s="8"/>
      <c r="V654" s="8"/>
      <c r="W654" s="8"/>
      <c r="X654" s="8"/>
      <c r="Y654" s="8"/>
      <c r="Z654" s="8"/>
      <c r="AA654" s="8"/>
      <c r="AB654" s="8"/>
      <c r="AC654" s="8"/>
      <c r="AD654" s="8"/>
      <c r="AE654" s="8"/>
      <c r="AF654" s="8"/>
      <c r="AG654" s="8"/>
      <c r="AH654" s="8"/>
      <c r="AI654" s="8"/>
      <c r="AJ654" s="8"/>
      <c r="AK654" s="8"/>
      <c r="AL654" s="8"/>
      <c r="AM654" s="8"/>
    </row>
    <row r="655" customFormat="false" ht="15.75" hidden="false" customHeight="true" outlineLevel="0" collapsed="false">
      <c r="A655" s="30" t="n">
        <v>46305</v>
      </c>
      <c r="B655" s="31" t="s">
        <v>490</v>
      </c>
      <c r="C655" s="31" t="str">
        <f aca="false" t="array" ref="C655:C655">IF(B655="","",IFERROR(INDEX('CLM &amp; IM Mapping'!$B$2:$B$270,MATCH(TRIM(B655),'CLM &amp; IM Mapping'!$A$2:$A$270,0)),"Not Mapped"))</f>
        <v>Arun Raj</v>
      </c>
      <c r="D655" s="31" t="str">
        <f aca="false" t="array" ref="D655:D655">IF(B655="","",IFERROR(INDEX('CLM &amp; IM Mapping'!$C$2:$C$270,MATCH(TRIM(B655),'CLM &amp; IM Mapping'!$A$2:$A$270,0)),"Not Mapped"))</f>
        <v>Simon Manoharan</v>
      </c>
      <c r="E655" s="31" t="s">
        <v>25</v>
      </c>
      <c r="F655" s="31" t="s">
        <v>565</v>
      </c>
      <c r="G655" s="31" t="s">
        <v>23</v>
      </c>
      <c r="H655" s="17" t="n">
        <v>9572</v>
      </c>
      <c r="I655" s="32" t="n">
        <v>0.7</v>
      </c>
      <c r="J655" s="33" t="n">
        <v>0.456748850814877</v>
      </c>
      <c r="K655" s="34" t="n">
        <v>0.964775846294602</v>
      </c>
      <c r="L655" s="31" t="n">
        <v>0.993497</v>
      </c>
      <c r="M655" s="31" t="n">
        <v>0.964775846294602</v>
      </c>
      <c r="N655" s="11" t="n">
        <v>3</v>
      </c>
      <c r="O655" s="12"/>
      <c r="P655" s="11"/>
      <c r="Q655" s="8"/>
      <c r="R655" s="8"/>
      <c r="S655" s="8"/>
      <c r="T655" s="8"/>
      <c r="U655" s="8"/>
      <c r="V655" s="8"/>
      <c r="W655" s="8"/>
      <c r="X655" s="8"/>
      <c r="Y655" s="8"/>
      <c r="Z655" s="8"/>
      <c r="AA655" s="8"/>
      <c r="AB655" s="8"/>
      <c r="AC655" s="8"/>
      <c r="AD655" s="8"/>
      <c r="AE655" s="8"/>
      <c r="AF655" s="8"/>
      <c r="AG655" s="8"/>
      <c r="AH655" s="8"/>
      <c r="AI655" s="8"/>
      <c r="AJ655" s="8"/>
      <c r="AK655" s="8"/>
      <c r="AL655" s="8"/>
      <c r="AM655" s="8"/>
    </row>
    <row r="656" customFormat="false" ht="15.75" hidden="false" customHeight="true" outlineLevel="0" collapsed="false">
      <c r="A656" s="30" t="n">
        <v>46305</v>
      </c>
      <c r="B656" s="31" t="s">
        <v>500</v>
      </c>
      <c r="C656" s="31" t="str">
        <f aca="false" t="array" ref="C656:C656">IF(B656="","",IFERROR(INDEX('CLM &amp; IM Mapping'!$B$2:$B$270,MATCH(TRIM(B656),'CLM &amp; IM Mapping'!$A$2:$A$270,0)),"Not Mapped"))</f>
        <v>Ravishankar gowda</v>
      </c>
      <c r="D656" s="31" t="str">
        <f aca="false" t="array" ref="D656:D656">IF(B656="","",IFERROR(INDEX('CLM &amp; IM Mapping'!$C$2:$C$270,MATCH(TRIM(B656),'CLM &amp; IM Mapping'!$A$2:$A$270,0)),"Not Mapped"))</f>
        <v>Kishor K</v>
      </c>
      <c r="E656" s="31" t="s">
        <v>34</v>
      </c>
      <c r="F656" s="31" t="s">
        <v>562</v>
      </c>
      <c r="G656" s="31" t="s">
        <v>23</v>
      </c>
      <c r="H656" s="17" t="n">
        <v>4147</v>
      </c>
      <c r="I656" s="32" t="n">
        <v>0.7</v>
      </c>
      <c r="J656" s="33" t="n">
        <v>0.621654207861104</v>
      </c>
      <c r="K656" s="34" t="n">
        <v>0.923196276183088</v>
      </c>
      <c r="L656" s="31" t="n">
        <v>0.954257</v>
      </c>
      <c r="M656" s="31" t="n">
        <v>0.923196276183088</v>
      </c>
      <c r="N656" s="11" t="n">
        <v>2</v>
      </c>
      <c r="O656" s="12"/>
      <c r="P656" s="11"/>
      <c r="Q656" s="8"/>
      <c r="R656" s="8"/>
      <c r="S656" s="8"/>
      <c r="T656" s="8"/>
      <c r="U656" s="8"/>
      <c r="V656" s="8"/>
      <c r="W656" s="8"/>
      <c r="X656" s="8"/>
      <c r="Y656" s="8"/>
      <c r="Z656" s="8"/>
      <c r="AA656" s="8"/>
      <c r="AB656" s="8"/>
      <c r="AC656" s="8"/>
      <c r="AD656" s="8"/>
      <c r="AE656" s="8"/>
      <c r="AF656" s="8"/>
      <c r="AG656" s="8"/>
      <c r="AH656" s="8"/>
      <c r="AI656" s="8"/>
      <c r="AJ656" s="8"/>
      <c r="AK656" s="8"/>
      <c r="AL656" s="8"/>
      <c r="AM656" s="8"/>
    </row>
    <row r="657" customFormat="false" ht="15.75" hidden="false" customHeight="true" outlineLevel="0" collapsed="false">
      <c r="A657" s="30" t="n">
        <v>46305</v>
      </c>
      <c r="B657" s="31" t="s">
        <v>463</v>
      </c>
      <c r="C657" s="31" t="str">
        <f aca="false" t="array" ref="C657:C657">IF(B657="","",IFERROR(INDEX('CLM &amp; IM Mapping'!$B$2:$B$270,MATCH(TRIM(B657),'CLM &amp; IM Mapping'!$A$2:$A$270,0)),"Not Mapped"))</f>
        <v>Ashwath S</v>
      </c>
      <c r="D657" s="31" t="str">
        <f aca="false" t="array" ref="D657:D657">IF(B657="","",IFERROR(INDEX('CLM &amp; IM Mapping'!$C$2:$C$270,MATCH(TRIM(B657),'CLM &amp; IM Mapping'!$A$2:$A$270,0)),"Not Mapped"))</f>
        <v>Kantha Kumar</v>
      </c>
      <c r="E657" s="31" t="s">
        <v>34</v>
      </c>
      <c r="F657" s="31" t="s">
        <v>562</v>
      </c>
      <c r="G657" s="31" t="s">
        <v>23</v>
      </c>
      <c r="H657" s="17" t="n">
        <v>6917</v>
      </c>
      <c r="I657" s="32" t="n">
        <v>0.7</v>
      </c>
      <c r="J657" s="33" t="n">
        <v>0.989301720399017</v>
      </c>
      <c r="K657" s="34" t="n">
        <v>0.939354084465878</v>
      </c>
      <c r="L657" s="31" t="n">
        <v>0.98414</v>
      </c>
      <c r="M657" s="31" t="n">
        <v>0.939354084465878</v>
      </c>
      <c r="N657" s="11" t="n">
        <v>5</v>
      </c>
      <c r="O657" s="12"/>
      <c r="P657" s="11"/>
      <c r="Q657" s="8"/>
      <c r="R657" s="8"/>
      <c r="S657" s="8"/>
      <c r="T657" s="8"/>
      <c r="U657" s="8"/>
      <c r="V657" s="8"/>
      <c r="W657" s="8"/>
      <c r="X657" s="8"/>
      <c r="Y657" s="8"/>
      <c r="Z657" s="8"/>
      <c r="AA657" s="8"/>
      <c r="AB657" s="8"/>
      <c r="AC657" s="8"/>
      <c r="AD657" s="8"/>
      <c r="AE657" s="8"/>
      <c r="AF657" s="8"/>
      <c r="AG657" s="8"/>
      <c r="AH657" s="8"/>
      <c r="AI657" s="8"/>
      <c r="AJ657" s="8"/>
      <c r="AK657" s="8"/>
      <c r="AL657" s="8"/>
      <c r="AM657" s="8"/>
    </row>
    <row r="658" customFormat="false" ht="15.75" hidden="false" customHeight="true" outlineLevel="0" collapsed="false">
      <c r="A658" s="30" t="n">
        <v>46305</v>
      </c>
      <c r="B658" s="31" t="s">
        <v>159</v>
      </c>
      <c r="C658" s="31" t="str">
        <f aca="false" t="array" ref="C658:C658">IF(B658="","",IFERROR(INDEX('CLM &amp; IM Mapping'!$B$2:$B$270,MATCH(TRIM(B658),'CLM &amp; IM Mapping'!$A$2:$A$270,0)),"Not Mapped"))</f>
        <v>Rizwan Ahmed</v>
      </c>
      <c r="D658" s="31" t="str">
        <f aca="false" t="array" ref="D658:D658">IF(B658="","",IFERROR(INDEX('CLM &amp; IM Mapping'!$C$2:$C$270,MATCH(TRIM(B658),'CLM &amp; IM Mapping'!$A$2:$A$270,0)),"Not Mapped"))</f>
        <v>Un Mapped</v>
      </c>
      <c r="E658" s="31" t="s">
        <v>34</v>
      </c>
      <c r="F658" s="31" t="s">
        <v>562</v>
      </c>
      <c r="G658" s="31" t="s">
        <v>23</v>
      </c>
      <c r="H658" s="17" t="n">
        <v>5959</v>
      </c>
      <c r="I658" s="32" t="n">
        <v>0.7</v>
      </c>
      <c r="J658" s="33" t="n">
        <v>0.448397382111093</v>
      </c>
      <c r="K658" s="34" t="n">
        <v>0.820359281437126</v>
      </c>
      <c r="L658" s="31" t="n">
        <v>0.964244</v>
      </c>
      <c r="M658" s="31" t="n">
        <v>0.820359281437126</v>
      </c>
      <c r="N658" s="11" t="n">
        <v>3</v>
      </c>
      <c r="O658" s="12"/>
      <c r="P658" s="11"/>
      <c r="Q658" s="8"/>
      <c r="R658" s="8"/>
      <c r="S658" s="8"/>
      <c r="T658" s="8"/>
      <c r="U658" s="8"/>
      <c r="V658" s="8"/>
      <c r="W658" s="8"/>
      <c r="X658" s="8"/>
      <c r="Y658" s="8"/>
      <c r="Z658" s="8"/>
      <c r="AA658" s="8"/>
      <c r="AB658" s="8"/>
      <c r="AC658" s="8"/>
      <c r="AD658" s="8"/>
      <c r="AE658" s="8"/>
      <c r="AF658" s="8"/>
      <c r="AG658" s="8"/>
      <c r="AH658" s="8"/>
      <c r="AI658" s="8"/>
      <c r="AJ658" s="8"/>
      <c r="AK658" s="8"/>
      <c r="AL658" s="8"/>
      <c r="AM658" s="8"/>
    </row>
    <row r="659" customFormat="false" ht="15.75" hidden="false" customHeight="true" outlineLevel="0" collapsed="false">
      <c r="A659" s="30" t="n">
        <v>46305</v>
      </c>
      <c r="B659" s="31" t="s">
        <v>165</v>
      </c>
      <c r="C659" s="31" t="str">
        <f aca="false" t="array" ref="C659:C659">IF(B659="","",IFERROR(INDEX('CLM &amp; IM Mapping'!$B$2:$B$270,MATCH(TRIM(B659),'CLM &amp; IM Mapping'!$A$2:$A$270,0)),"Not Mapped"))</f>
        <v>Akshay P</v>
      </c>
      <c r="D659" s="31" t="str">
        <f aca="false" t="array" ref="D659:D659">IF(B659="","",IFERROR(INDEX('CLM &amp; IM Mapping'!$C$2:$C$270,MATCH(TRIM(B659),'CLM &amp; IM Mapping'!$A$2:$A$270,0)),"Not Mapped"))</f>
        <v>Srittam Dhal</v>
      </c>
      <c r="E659" s="31" t="s">
        <v>34</v>
      </c>
      <c r="F659" s="31" t="s">
        <v>562</v>
      </c>
      <c r="G659" s="31" t="s">
        <v>23</v>
      </c>
      <c r="H659" s="17" t="n">
        <v>5379</v>
      </c>
      <c r="I659" s="32" t="n">
        <v>0.7</v>
      </c>
      <c r="J659" s="33" t="n">
        <v>0.765755716675962</v>
      </c>
      <c r="K659" s="34" t="n">
        <v>0.792668123330906</v>
      </c>
      <c r="L659" s="31" t="n">
        <v>0.945305</v>
      </c>
      <c r="M659" s="31" t="n">
        <v>0.792668123330906</v>
      </c>
      <c r="N659" s="11" t="n">
        <v>3</v>
      </c>
      <c r="O659" s="12"/>
      <c r="P659" s="11"/>
      <c r="Q659" s="8"/>
      <c r="R659" s="8"/>
      <c r="S659" s="8"/>
      <c r="T659" s="8"/>
      <c r="U659" s="8"/>
      <c r="V659" s="8"/>
      <c r="W659" s="8"/>
      <c r="X659" s="8"/>
      <c r="Y659" s="8"/>
      <c r="Z659" s="8"/>
      <c r="AA659" s="8"/>
      <c r="AB659" s="8"/>
      <c r="AC659" s="8"/>
      <c r="AD659" s="8"/>
      <c r="AE659" s="8"/>
      <c r="AF659" s="8"/>
      <c r="AG659" s="8"/>
      <c r="AH659" s="8"/>
      <c r="AI659" s="8"/>
      <c r="AJ659" s="8"/>
      <c r="AK659" s="8"/>
      <c r="AL659" s="8"/>
      <c r="AM659" s="8"/>
    </row>
    <row r="660" customFormat="false" ht="15.75" hidden="false" customHeight="true" outlineLevel="0" collapsed="false">
      <c r="A660" s="30" t="n">
        <v>46305</v>
      </c>
      <c r="B660" s="31" t="s">
        <v>355</v>
      </c>
      <c r="C660" s="31" t="str">
        <f aca="false" t="array" ref="C660:C660">IF(B660="","",IFERROR(INDEX('CLM &amp; IM Mapping'!$B$2:$B$270,MATCH(TRIM(B660),'CLM &amp; IM Mapping'!$A$2:$A$270,0)),"Not Mapped"))</f>
        <v>Arun Raj</v>
      </c>
      <c r="D660" s="31" t="str">
        <f aca="false" t="array" ref="D660:D660">IF(B660="","",IFERROR(INDEX('CLM &amp; IM Mapping'!$C$2:$C$270,MATCH(TRIM(B660),'CLM &amp; IM Mapping'!$A$2:$A$270,0)),"Not Mapped"))</f>
        <v>Simon Manoharan</v>
      </c>
      <c r="E660" s="31" t="s">
        <v>25</v>
      </c>
      <c r="F660" s="31" t="s">
        <v>562</v>
      </c>
      <c r="G660" s="31" t="s">
        <v>23</v>
      </c>
      <c r="H660" s="17" t="n">
        <v>10893</v>
      </c>
      <c r="I660" s="32" t="n">
        <v>0.7</v>
      </c>
      <c r="J660" s="33" t="n">
        <v>0.379142568622051</v>
      </c>
      <c r="K660" s="34" t="n">
        <v>0.97409200968523</v>
      </c>
      <c r="L660" s="31" t="n">
        <v>0.994331</v>
      </c>
      <c r="M660" s="31" t="n">
        <v>0.97409200968523</v>
      </c>
      <c r="N660" s="11"/>
      <c r="O660" s="12"/>
      <c r="P660" s="11"/>
      <c r="Q660" s="8"/>
      <c r="R660" s="8"/>
      <c r="S660" s="8"/>
      <c r="T660" s="8"/>
      <c r="U660" s="8"/>
      <c r="V660" s="8"/>
      <c r="W660" s="8"/>
      <c r="X660" s="8"/>
      <c r="Y660" s="8"/>
      <c r="Z660" s="8"/>
      <c r="AA660" s="8"/>
      <c r="AB660" s="8"/>
      <c r="AC660" s="8"/>
      <c r="AD660" s="8"/>
      <c r="AE660" s="8"/>
      <c r="AF660" s="8"/>
      <c r="AG660" s="8"/>
      <c r="AH660" s="8"/>
      <c r="AI660" s="8"/>
      <c r="AJ660" s="8"/>
      <c r="AK660" s="8"/>
      <c r="AL660" s="8"/>
      <c r="AM660" s="8"/>
    </row>
    <row r="661" customFormat="false" ht="15.75" hidden="false" customHeight="true" outlineLevel="0" collapsed="false">
      <c r="A661" s="30" t="n">
        <v>46305</v>
      </c>
      <c r="B661" s="31" t="s">
        <v>62</v>
      </c>
      <c r="C661" s="31" t="str">
        <f aca="false" t="array" ref="C661:C661">IF(B661="","",IFERROR(INDEX('CLM &amp; IM Mapping'!$B$2:$B$270,MATCH(TRIM(B661),'CLM &amp; IM Mapping'!$A$2:$A$270,0)),"Not Mapped"))</f>
        <v>Basil Scariya</v>
      </c>
      <c r="D661" s="31" t="str">
        <f aca="false" t="array" ref="D661:D661">IF(B661="","",IFERROR(INDEX('CLM &amp; IM Mapping'!$C$2:$C$270,MATCH(TRIM(B661),'CLM &amp; IM Mapping'!$A$2:$A$270,0)),"Not Mapped"))</f>
        <v>Prakash BS</v>
      </c>
      <c r="E661" s="31" t="s">
        <v>34</v>
      </c>
      <c r="F661" s="31" t="s">
        <v>562</v>
      </c>
      <c r="G661" s="31" t="s">
        <v>23</v>
      </c>
      <c r="H661" s="17" t="n">
        <v>6170</v>
      </c>
      <c r="I661" s="32" t="n">
        <v>0.7</v>
      </c>
      <c r="J661" s="33" t="n">
        <v>0.623987034035656</v>
      </c>
      <c r="K661" s="34" t="n">
        <v>0.858701298701299</v>
      </c>
      <c r="L661" s="31" t="n">
        <v>0.949688</v>
      </c>
      <c r="M661" s="31" t="n">
        <v>0.858701298701299</v>
      </c>
      <c r="N661" s="11" t="n">
        <v>2</v>
      </c>
      <c r="O661" s="12"/>
      <c r="P661" s="11"/>
      <c r="Q661" s="8"/>
      <c r="R661" s="8"/>
      <c r="S661" s="8"/>
      <c r="T661" s="8"/>
      <c r="U661" s="8"/>
      <c r="V661" s="8"/>
      <c r="W661" s="8"/>
      <c r="X661" s="8"/>
      <c r="Y661" s="8"/>
      <c r="Z661" s="8"/>
      <c r="AA661" s="8"/>
      <c r="AB661" s="8"/>
      <c r="AC661" s="8"/>
      <c r="AD661" s="8"/>
      <c r="AE661" s="8"/>
      <c r="AF661" s="8"/>
      <c r="AG661" s="8"/>
      <c r="AH661" s="8"/>
      <c r="AI661" s="8"/>
      <c r="AJ661" s="8"/>
      <c r="AK661" s="8"/>
      <c r="AL661" s="8"/>
      <c r="AM661" s="8"/>
    </row>
    <row r="662" customFormat="false" ht="15.75" hidden="false" customHeight="true" outlineLevel="0" collapsed="false">
      <c r="A662" s="30" t="n">
        <v>46305</v>
      </c>
      <c r="B662" s="31" t="s">
        <v>513</v>
      </c>
      <c r="C662" s="31" t="str">
        <f aca="false" t="array" ref="C662:C662">IF(B662="","",IFERROR(INDEX('CLM &amp; IM Mapping'!$B$2:$B$270,MATCH(TRIM(B662),'CLM &amp; IM Mapping'!$A$2:$A$270,0)),"Not Mapped"))</f>
        <v>Manoj Kj</v>
      </c>
      <c r="D662" s="31" t="str">
        <f aca="false" t="array" ref="D662:D662">IF(B662="","",IFERROR(INDEX('CLM &amp; IM Mapping'!$C$2:$C$270,MATCH(TRIM(B662),'CLM &amp; IM Mapping'!$A$2:$A$270,0)),"Not Mapped"))</f>
        <v>Srittam Dhal</v>
      </c>
      <c r="E662" s="31" t="s">
        <v>34</v>
      </c>
      <c r="F662" s="31" t="s">
        <v>562</v>
      </c>
      <c r="G662" s="31" t="s">
        <v>23</v>
      </c>
      <c r="H662" s="17" t="n">
        <v>4812</v>
      </c>
      <c r="I662" s="32" t="n">
        <v>0.7</v>
      </c>
      <c r="J662" s="33" t="n">
        <v>0.972568578553616</v>
      </c>
      <c r="K662" s="34" t="n">
        <v>0.952777777777778</v>
      </c>
      <c r="L662" s="31" t="n">
        <v>0.987687</v>
      </c>
      <c r="M662" s="31" t="n">
        <v>0.952777777777778</v>
      </c>
      <c r="N662" s="11" t="n">
        <v>3</v>
      </c>
      <c r="O662" s="12"/>
      <c r="P662" s="11"/>
      <c r="Q662" s="8"/>
      <c r="R662" s="8"/>
      <c r="S662" s="8"/>
      <c r="T662" s="8"/>
      <c r="U662" s="8"/>
      <c r="V662" s="8"/>
      <c r="W662" s="8"/>
      <c r="X662" s="8"/>
      <c r="Y662" s="8"/>
      <c r="Z662" s="8"/>
      <c r="AA662" s="8"/>
      <c r="AB662" s="8"/>
      <c r="AC662" s="8"/>
      <c r="AD662" s="8"/>
      <c r="AE662" s="8"/>
      <c r="AF662" s="8"/>
      <c r="AG662" s="8"/>
      <c r="AH662" s="8"/>
      <c r="AI662" s="8"/>
      <c r="AJ662" s="8"/>
      <c r="AK662" s="8"/>
      <c r="AL662" s="8"/>
      <c r="AM662" s="8"/>
    </row>
    <row r="663" customFormat="false" ht="15.75" hidden="false" customHeight="true" outlineLevel="0" collapsed="false">
      <c r="A663" s="30" t="n">
        <v>46305</v>
      </c>
      <c r="B663" s="31" t="s">
        <v>422</v>
      </c>
      <c r="C663" s="31" t="str">
        <f aca="false" t="array" ref="C663:C663">IF(B663="","",IFERROR(INDEX('CLM &amp; IM Mapping'!$B$2:$B$270,MATCH(TRIM(B663),'CLM &amp; IM Mapping'!$A$2:$A$270,0)),"Not Mapped"))</f>
        <v>Manjunatha V</v>
      </c>
      <c r="D663" s="31" t="str">
        <f aca="false" t="array" ref="D663:D663">IF(B663="","",IFERROR(INDEX('CLM &amp; IM Mapping'!$C$2:$C$270,MATCH(TRIM(B663),'CLM &amp; IM Mapping'!$A$2:$A$270,0)),"Not Mapped"))</f>
        <v>Un Mapped</v>
      </c>
      <c r="E663" s="31" t="s">
        <v>34</v>
      </c>
      <c r="F663" s="31" t="s">
        <v>562</v>
      </c>
      <c r="G663" s="31" t="s">
        <v>23</v>
      </c>
      <c r="H663" s="17" t="n">
        <v>5330</v>
      </c>
      <c r="I663" s="32" t="n">
        <v>0.7</v>
      </c>
      <c r="J663" s="33" t="n">
        <v>0.666791744840525</v>
      </c>
      <c r="K663" s="34" t="n">
        <v>0.860720315137873</v>
      </c>
      <c r="L663" s="31" t="n">
        <v>0.968499</v>
      </c>
      <c r="M663" s="31" t="n">
        <v>0.860720315137873</v>
      </c>
      <c r="N663" s="11" t="n">
        <v>4</v>
      </c>
      <c r="O663" s="12"/>
      <c r="P663" s="11"/>
      <c r="Q663" s="8"/>
      <c r="R663" s="8"/>
      <c r="S663" s="8"/>
      <c r="T663" s="8"/>
      <c r="U663" s="8"/>
      <c r="V663" s="8"/>
      <c r="W663" s="8"/>
      <c r="X663" s="8"/>
      <c r="Y663" s="8"/>
      <c r="Z663" s="8"/>
      <c r="AA663" s="8"/>
      <c r="AB663" s="8"/>
      <c r="AC663" s="8"/>
      <c r="AD663" s="8"/>
      <c r="AE663" s="8"/>
      <c r="AF663" s="8"/>
      <c r="AG663" s="8"/>
      <c r="AH663" s="8"/>
      <c r="AI663" s="8"/>
      <c r="AJ663" s="8"/>
      <c r="AK663" s="8"/>
      <c r="AL663" s="8"/>
      <c r="AM663" s="8"/>
    </row>
    <row r="664" customFormat="false" ht="15.75" hidden="false" customHeight="true" outlineLevel="0" collapsed="false">
      <c r="A664" s="30" t="n">
        <v>46305</v>
      </c>
      <c r="B664" s="31" t="s">
        <v>311</v>
      </c>
      <c r="C664" s="31" t="str">
        <f aca="false" t="array" ref="C664:C664">IF(B664="","",IFERROR(INDEX('CLM &amp; IM Mapping'!$B$2:$B$270,MATCH(TRIM(B664),'CLM &amp; IM Mapping'!$A$2:$A$270,0)),"Not Mapped"))</f>
        <v>Manjunatha V</v>
      </c>
      <c r="D664" s="31" t="str">
        <f aca="false" t="array" ref="D664:D664">IF(B664="","",IFERROR(INDEX('CLM &amp; IM Mapping'!$C$2:$C$270,MATCH(TRIM(B664),'CLM &amp; IM Mapping'!$A$2:$A$270,0)),"Not Mapped"))</f>
        <v>Un Mapped</v>
      </c>
      <c r="E664" s="31" t="s">
        <v>34</v>
      </c>
      <c r="F664" s="31" t="s">
        <v>565</v>
      </c>
      <c r="G664" s="31" t="s">
        <v>23</v>
      </c>
      <c r="H664" s="17" t="n">
        <v>5222</v>
      </c>
      <c r="I664" s="32" t="n">
        <v>0.7</v>
      </c>
      <c r="J664" s="33" t="n">
        <v>0.752776713902719</v>
      </c>
      <c r="K664" s="34" t="n">
        <v>0.822691427117782</v>
      </c>
      <c r="L664" s="31" t="n">
        <v>0.959299</v>
      </c>
      <c r="M664" s="31" t="n">
        <v>0.822691427117782</v>
      </c>
      <c r="N664" s="11" t="n">
        <v>4</v>
      </c>
      <c r="O664" s="12"/>
      <c r="P664" s="11"/>
      <c r="Q664" s="8"/>
      <c r="R664" s="8"/>
      <c r="S664" s="8"/>
      <c r="T664" s="8"/>
      <c r="U664" s="8"/>
      <c r="V664" s="8"/>
      <c r="W664" s="8"/>
      <c r="X664" s="8"/>
      <c r="Y664" s="8"/>
      <c r="Z664" s="8"/>
      <c r="AA664" s="8"/>
      <c r="AB664" s="8"/>
      <c r="AC664" s="8"/>
      <c r="AD664" s="8"/>
      <c r="AE664" s="8"/>
      <c r="AF664" s="8"/>
      <c r="AG664" s="8"/>
      <c r="AH664" s="8"/>
      <c r="AI664" s="8"/>
      <c r="AJ664" s="8"/>
      <c r="AK664" s="8"/>
      <c r="AL664" s="8"/>
      <c r="AM664" s="8"/>
    </row>
    <row r="665" customFormat="false" ht="15.75" hidden="false" customHeight="true" outlineLevel="0" collapsed="false">
      <c r="A665" s="30" t="n">
        <v>46305</v>
      </c>
      <c r="B665" s="31" t="s">
        <v>334</v>
      </c>
      <c r="C665" s="31" t="str">
        <f aca="false" t="array" ref="C665:C665">IF(B665="","",IFERROR(INDEX('CLM &amp; IM Mapping'!$B$2:$B$270,MATCH(TRIM(B665),'CLM &amp; IM Mapping'!$A$2:$A$270,0)),"Not Mapped"))</f>
        <v>Akshay P</v>
      </c>
      <c r="D665" s="31" t="str">
        <f aca="false" t="array" ref="D665:D665">IF(B665="","",IFERROR(INDEX('CLM &amp; IM Mapping'!$C$2:$C$270,MATCH(TRIM(B665),'CLM &amp; IM Mapping'!$A$2:$A$270,0)),"Not Mapped"))</f>
        <v>Srittam Dhal</v>
      </c>
      <c r="E665" s="31" t="s">
        <v>34</v>
      </c>
      <c r="F665" s="31" t="s">
        <v>562</v>
      </c>
      <c r="G665" s="31" t="s">
        <v>23</v>
      </c>
      <c r="H665" s="17" t="n">
        <v>6002</v>
      </c>
      <c r="I665" s="32" t="n">
        <v>0.7</v>
      </c>
      <c r="J665" s="33" t="n">
        <v>0.683272242585805</v>
      </c>
      <c r="K665" s="34" t="n">
        <v>0.911728846622775</v>
      </c>
      <c r="L665" s="31" t="n">
        <v>0.963133</v>
      </c>
      <c r="M665" s="31" t="n">
        <v>0.911728846622775</v>
      </c>
      <c r="N665" s="11" t="n">
        <v>3</v>
      </c>
      <c r="O665" s="12"/>
      <c r="P665" s="11"/>
      <c r="Q665" s="8"/>
      <c r="R665" s="8"/>
      <c r="S665" s="8"/>
      <c r="T665" s="8"/>
      <c r="U665" s="8"/>
      <c r="V665" s="8"/>
      <c r="W665" s="8"/>
      <c r="X665" s="8"/>
      <c r="Y665" s="8"/>
      <c r="Z665" s="8"/>
      <c r="AA665" s="8"/>
      <c r="AB665" s="8"/>
      <c r="AC665" s="8"/>
      <c r="AD665" s="8"/>
      <c r="AE665" s="8"/>
      <c r="AF665" s="8"/>
      <c r="AG665" s="8"/>
      <c r="AH665" s="8"/>
      <c r="AI665" s="8"/>
      <c r="AJ665" s="8"/>
      <c r="AK665" s="8"/>
      <c r="AL665" s="8"/>
      <c r="AM665" s="8"/>
    </row>
    <row r="666" customFormat="false" ht="15.75" hidden="false" customHeight="true" outlineLevel="0" collapsed="false">
      <c r="A666" s="30" t="n">
        <v>46305</v>
      </c>
      <c r="B666" s="31" t="s">
        <v>477</v>
      </c>
      <c r="C666" s="31" t="str">
        <f aca="false" t="array" ref="C666:C666">IF(B666="","",IFERROR(INDEX('CLM &amp; IM Mapping'!$B$2:$B$270,MATCH(TRIM(B666),'CLM &amp; IM Mapping'!$A$2:$A$270,0)),"Not Mapped"))</f>
        <v>MH</v>
      </c>
      <c r="D666" s="31" t="str">
        <f aca="false" t="array" ref="D666:D666">IF(B666="","",IFERROR(INDEX('CLM &amp; IM Mapping'!$C$2:$C$270,MATCH(TRIM(B666),'CLM &amp; IM Mapping'!$A$2:$A$270,0)),"Not Mapped"))</f>
        <v>MH</v>
      </c>
      <c r="E666" s="31" t="s">
        <v>34</v>
      </c>
      <c r="F666" s="31" t="s">
        <v>565</v>
      </c>
      <c r="G666" s="31" t="s">
        <v>23</v>
      </c>
      <c r="H666" s="17" t="n">
        <v>13</v>
      </c>
      <c r="I666" s="32" t="n">
        <v>0.7</v>
      </c>
      <c r="J666" s="33" t="n">
        <v>0</v>
      </c>
      <c r="K666" s="34"/>
      <c r="L666" s="31"/>
      <c r="M666" s="31"/>
      <c r="N666" s="11"/>
      <c r="O666" s="12"/>
      <c r="P666" s="11"/>
      <c r="Q666" s="8"/>
      <c r="R666" s="8"/>
      <c r="S666" s="8"/>
      <c r="T666" s="8"/>
      <c r="U666" s="8"/>
      <c r="V666" s="8"/>
      <c r="W666" s="8"/>
      <c r="X666" s="8"/>
      <c r="Y666" s="8"/>
      <c r="Z666" s="8"/>
      <c r="AA666" s="8"/>
      <c r="AB666" s="8"/>
      <c r="AC666" s="8"/>
      <c r="AD666" s="8"/>
      <c r="AE666" s="8"/>
      <c r="AF666" s="8"/>
      <c r="AG666" s="8"/>
      <c r="AH666" s="8"/>
      <c r="AI666" s="8"/>
      <c r="AJ666" s="8"/>
      <c r="AK666" s="8"/>
      <c r="AL666" s="8"/>
      <c r="AM666" s="8"/>
    </row>
    <row r="667" customFormat="false" ht="15.75" hidden="false" customHeight="true" outlineLevel="0" collapsed="false">
      <c r="A667" s="30" t="n">
        <v>46305</v>
      </c>
      <c r="B667" s="31" t="s">
        <v>203</v>
      </c>
      <c r="C667" s="31" t="str">
        <f aca="false" t="array" ref="C667:C667">IF(B667="","",IFERROR(INDEX('CLM &amp; IM Mapping'!$B$2:$B$270,MATCH(TRIM(B667),'CLM &amp; IM Mapping'!$A$2:$A$270,0)),"Not Mapped"))</f>
        <v>Suhas N</v>
      </c>
      <c r="D667" s="31" t="str">
        <f aca="false" t="array" ref="D667:D667">IF(B667="","",IFERROR(INDEX('CLM &amp; IM Mapping'!$C$2:$C$270,MATCH(TRIM(B667),'CLM &amp; IM Mapping'!$A$2:$A$270,0)),"Not Mapped"))</f>
        <v>Aravind S</v>
      </c>
      <c r="E667" s="31" t="s">
        <v>34</v>
      </c>
      <c r="F667" s="31" t="s">
        <v>565</v>
      </c>
      <c r="G667" s="31" t="s">
        <v>23</v>
      </c>
      <c r="H667" s="17" t="n">
        <v>4848</v>
      </c>
      <c r="I667" s="32" t="n">
        <v>0.7</v>
      </c>
      <c r="J667" s="33" t="n">
        <v>0.571369636963696</v>
      </c>
      <c r="K667" s="34" t="n">
        <v>0.835740072202166</v>
      </c>
      <c r="L667" s="31" t="n">
        <v>0.949291</v>
      </c>
      <c r="M667" s="31" t="n">
        <v>0.835740072202166</v>
      </c>
      <c r="N667" s="11" t="n">
        <v>3</v>
      </c>
      <c r="O667" s="12"/>
      <c r="P667" s="11"/>
      <c r="Q667" s="8"/>
      <c r="R667" s="8"/>
      <c r="S667" s="8"/>
      <c r="T667" s="8"/>
      <c r="U667" s="8"/>
      <c r="V667" s="8"/>
      <c r="W667" s="8"/>
      <c r="X667" s="8"/>
      <c r="Y667" s="8"/>
      <c r="Z667" s="8"/>
      <c r="AA667" s="8"/>
      <c r="AB667" s="8"/>
      <c r="AC667" s="8"/>
      <c r="AD667" s="8"/>
      <c r="AE667" s="8"/>
      <c r="AF667" s="8"/>
      <c r="AG667" s="8"/>
      <c r="AH667" s="8"/>
      <c r="AI667" s="8"/>
      <c r="AJ667" s="8"/>
      <c r="AK667" s="8"/>
      <c r="AL667" s="8"/>
      <c r="AM667" s="8"/>
    </row>
    <row r="668" customFormat="false" ht="15.75" hidden="false" customHeight="true" outlineLevel="0" collapsed="false">
      <c r="A668" s="30" t="n">
        <v>46305</v>
      </c>
      <c r="B668" s="31" t="s">
        <v>457</v>
      </c>
      <c r="C668" s="31" t="str">
        <f aca="false" t="array" ref="C668:C668">IF(B668="","",IFERROR(INDEX('CLM &amp; IM Mapping'!$B$2:$B$270,MATCH(TRIM(B668),'CLM &amp; IM Mapping'!$A$2:$A$270,0)),"Not Mapped"))</f>
        <v>Saddam Hussain</v>
      </c>
      <c r="D668" s="31" t="str">
        <f aca="false" t="array" ref="D668:D668">IF(B668="","",IFERROR(INDEX('CLM &amp; IM Mapping'!$C$2:$C$270,MATCH(TRIM(B668),'CLM &amp; IM Mapping'!$A$2:$A$270,0)),"Not Mapped"))</f>
        <v>Un Mapped</v>
      </c>
      <c r="E668" s="31" t="s">
        <v>34</v>
      </c>
      <c r="F668" s="31" t="s">
        <v>562</v>
      </c>
      <c r="G668" s="31" t="s">
        <v>23</v>
      </c>
      <c r="H668" s="17" t="n">
        <v>6286</v>
      </c>
      <c r="I668" s="32" t="n">
        <v>0.7</v>
      </c>
      <c r="J668" s="33" t="n">
        <v>0.967865097041044</v>
      </c>
      <c r="K668" s="34" t="n">
        <v>0.972879684418146</v>
      </c>
      <c r="L668" s="31" t="n">
        <v>0.991748</v>
      </c>
      <c r="M668" s="31" t="n">
        <v>0.972879684418146</v>
      </c>
      <c r="N668" s="11" t="n">
        <v>3</v>
      </c>
      <c r="O668" s="12"/>
      <c r="P668" s="11"/>
      <c r="Q668" s="8"/>
      <c r="R668" s="8"/>
      <c r="S668" s="8"/>
      <c r="T668" s="8"/>
      <c r="U668" s="8"/>
      <c r="V668" s="8"/>
      <c r="W668" s="8"/>
      <c r="X668" s="8"/>
      <c r="Y668" s="8"/>
      <c r="Z668" s="8"/>
      <c r="AA668" s="8"/>
      <c r="AB668" s="8"/>
      <c r="AC668" s="8"/>
      <c r="AD668" s="8"/>
      <c r="AE668" s="8"/>
      <c r="AF668" s="8"/>
      <c r="AG668" s="8"/>
      <c r="AH668" s="8"/>
      <c r="AI668" s="8"/>
      <c r="AJ668" s="8"/>
      <c r="AK668" s="8"/>
      <c r="AL668" s="8"/>
      <c r="AM668" s="8"/>
    </row>
    <row r="669" customFormat="false" ht="15.75" hidden="false" customHeight="true" outlineLevel="0" collapsed="false">
      <c r="A669" s="30" t="n">
        <v>46305</v>
      </c>
      <c r="B669" s="31" t="s">
        <v>445</v>
      </c>
      <c r="C669" s="31" t="str">
        <f aca="false" t="array" ref="C669:C669">IF(B669="","",IFERROR(INDEX('CLM &amp; IM Mapping'!$B$2:$B$270,MATCH(TRIM(B669),'CLM &amp; IM Mapping'!$A$2:$A$270,0)),"Not Mapped"))</f>
        <v>Sundaresh S</v>
      </c>
      <c r="D669" s="31" t="str">
        <f aca="false" t="array" ref="D669:D669">IF(B669="","",IFERROR(INDEX('CLM &amp; IM Mapping'!$C$2:$C$270,MATCH(TRIM(B669),'CLM &amp; IM Mapping'!$A$2:$A$270,0)),"Not Mapped"))</f>
        <v>Un Mapped</v>
      </c>
      <c r="E669" s="31" t="s">
        <v>34</v>
      </c>
      <c r="F669" s="31" t="s">
        <v>562</v>
      </c>
      <c r="G669" s="31" t="s">
        <v>23</v>
      </c>
      <c r="H669" s="17" t="n">
        <v>7106</v>
      </c>
      <c r="I669" s="32" t="n">
        <v>0.7</v>
      </c>
      <c r="J669" s="33" t="n">
        <v>0.672248803827751</v>
      </c>
      <c r="K669" s="34" t="n">
        <v>0.972576931128323</v>
      </c>
      <c r="L669" s="31" t="n">
        <v>0.987993</v>
      </c>
      <c r="M669" s="31"/>
      <c r="N669" s="11" t="n">
        <v>2</v>
      </c>
      <c r="O669" s="12"/>
      <c r="P669" s="11"/>
      <c r="Q669" s="8"/>
      <c r="R669" s="8"/>
      <c r="S669" s="8"/>
      <c r="T669" s="8"/>
      <c r="U669" s="8"/>
      <c r="V669" s="8"/>
      <c r="W669" s="8"/>
      <c r="X669" s="8"/>
      <c r="Y669" s="8"/>
      <c r="Z669" s="8"/>
      <c r="AA669" s="8"/>
      <c r="AB669" s="8"/>
      <c r="AC669" s="8"/>
      <c r="AD669" s="8"/>
      <c r="AE669" s="8"/>
      <c r="AF669" s="8"/>
      <c r="AG669" s="8"/>
      <c r="AH669" s="8"/>
      <c r="AI669" s="8"/>
      <c r="AJ669" s="8"/>
      <c r="AK669" s="8"/>
      <c r="AL669" s="8"/>
      <c r="AM669" s="8"/>
    </row>
    <row r="670" customFormat="false" ht="15.75" hidden="false" customHeight="true" outlineLevel="0" collapsed="false">
      <c r="A670" s="30" t="n">
        <v>46305</v>
      </c>
      <c r="B670" s="31" t="s">
        <v>382</v>
      </c>
      <c r="C670" s="31" t="str">
        <f aca="false" t="array" ref="C670:C670">IF(B670="","",IFERROR(INDEX('CLM &amp; IM Mapping'!$B$2:$B$270,MATCH(TRIM(B670),'CLM &amp; IM Mapping'!$A$2:$A$270,0)),"Not Mapped"))</f>
        <v>Arun Raj</v>
      </c>
      <c r="D670" s="31" t="str">
        <f aca="false" t="array" ref="D670:D670">IF(B670="","",IFERROR(INDEX('CLM &amp; IM Mapping'!$C$2:$C$270,MATCH(TRIM(B670),'CLM &amp; IM Mapping'!$A$2:$A$270,0)),"Not Mapped"))</f>
        <v>Simon Manoharan</v>
      </c>
      <c r="E670" s="31" t="s">
        <v>25</v>
      </c>
      <c r="F670" s="31" t="s">
        <v>565</v>
      </c>
      <c r="G670" s="31" t="s">
        <v>23</v>
      </c>
      <c r="H670" s="17" t="n">
        <v>11984</v>
      </c>
      <c r="I670" s="32" t="n">
        <v>0.7</v>
      </c>
      <c r="J670" s="33" t="n">
        <v>0.199349132176235</v>
      </c>
      <c r="K670" s="34" t="n">
        <v>0.954374215152784</v>
      </c>
      <c r="L670" s="31" t="n">
        <v>0.991555</v>
      </c>
      <c r="M670" s="31" t="n">
        <v>0.655323917957304</v>
      </c>
      <c r="N670" s="11"/>
      <c r="O670" s="12"/>
      <c r="P670" s="11"/>
      <c r="Q670" s="8"/>
      <c r="R670" s="8"/>
      <c r="S670" s="8"/>
      <c r="T670" s="8"/>
      <c r="U670" s="8"/>
      <c r="V670" s="8"/>
      <c r="W670" s="8"/>
      <c r="X670" s="8"/>
      <c r="Y670" s="8"/>
      <c r="Z670" s="8"/>
      <c r="AA670" s="8"/>
      <c r="AB670" s="8"/>
      <c r="AC670" s="8"/>
      <c r="AD670" s="8"/>
      <c r="AE670" s="8"/>
      <c r="AF670" s="8"/>
      <c r="AG670" s="8"/>
      <c r="AH670" s="8"/>
      <c r="AI670" s="8"/>
      <c r="AJ670" s="8"/>
      <c r="AK670" s="8"/>
      <c r="AL670" s="8"/>
      <c r="AM670" s="8"/>
    </row>
    <row r="671" customFormat="false" ht="15.75" hidden="false" customHeight="true" outlineLevel="0" collapsed="false">
      <c r="A671" s="30" t="n">
        <v>46305</v>
      </c>
      <c r="B671" s="31" t="s">
        <v>53</v>
      </c>
      <c r="C671" s="31" t="str">
        <f aca="false" t="array" ref="C671:C671">IF(B671="","",IFERROR(INDEX('CLM &amp; IM Mapping'!$B$2:$B$270,MATCH(TRIM(B671),'CLM &amp; IM Mapping'!$A$2:$A$270,0)),"Not Mapped"))</f>
        <v>Richard Harris</v>
      </c>
      <c r="D671" s="31" t="str">
        <f aca="false" t="array" ref="D671:D671">IF(B671="","",IFERROR(INDEX('CLM &amp; IM Mapping'!$C$2:$C$270,MATCH(TRIM(B671),'CLM &amp; IM Mapping'!$A$2:$A$270,0)),"Not Mapped"))</f>
        <v>Kantha Kumar</v>
      </c>
      <c r="E671" s="31" t="s">
        <v>34</v>
      </c>
      <c r="F671" s="31" t="s">
        <v>562</v>
      </c>
      <c r="G671" s="31" t="s">
        <v>23</v>
      </c>
      <c r="H671" s="17" t="n">
        <v>5302</v>
      </c>
      <c r="I671" s="32" t="n">
        <v>0.7</v>
      </c>
      <c r="J671" s="33" t="n">
        <v>0.450396076952094</v>
      </c>
      <c r="K671" s="34" t="n">
        <v>0.760469011725293</v>
      </c>
      <c r="L671" s="31" t="n">
        <v>0.936732</v>
      </c>
      <c r="M671" s="31" t="n">
        <v>0.760469011725293</v>
      </c>
      <c r="N671" s="11" t="n">
        <v>3</v>
      </c>
      <c r="O671" s="12"/>
      <c r="P671" s="11"/>
      <c r="Q671" s="8"/>
      <c r="R671" s="8"/>
      <c r="S671" s="8"/>
      <c r="T671" s="8"/>
      <c r="U671" s="8"/>
      <c r="V671" s="8"/>
      <c r="W671" s="8"/>
      <c r="X671" s="8"/>
      <c r="Y671" s="8"/>
      <c r="Z671" s="8"/>
      <c r="AA671" s="8"/>
      <c r="AB671" s="8"/>
      <c r="AC671" s="8"/>
      <c r="AD671" s="8"/>
      <c r="AE671" s="8"/>
      <c r="AF671" s="8"/>
      <c r="AG671" s="8"/>
      <c r="AH671" s="8"/>
      <c r="AI671" s="8"/>
      <c r="AJ671" s="8"/>
      <c r="AK671" s="8"/>
      <c r="AL671" s="8"/>
      <c r="AM671" s="8"/>
    </row>
    <row r="672" customFormat="false" ht="15.75" hidden="false" customHeight="true" outlineLevel="0" collapsed="false">
      <c r="A672" s="30" t="n">
        <v>46305</v>
      </c>
      <c r="B672" s="31" t="s">
        <v>523</v>
      </c>
      <c r="C672" s="31" t="str">
        <f aca="false" t="array" ref="C672:C672">IF(B672="","",IFERROR(INDEX('CLM &amp; IM Mapping'!$B$2:$B$270,MATCH(TRIM(B672),'CLM &amp; IM Mapping'!$A$2:$A$270,0)),"Not Mapped"))</f>
        <v>Sundaresh S</v>
      </c>
      <c r="D672" s="31" t="str">
        <f aca="false" t="array" ref="D672:D672">IF(B672="","",IFERROR(INDEX('CLM &amp; IM Mapping'!$C$2:$C$270,MATCH(TRIM(B672),'CLM &amp; IM Mapping'!$A$2:$A$270,0)),"Not Mapped"))</f>
        <v>Un Mapped</v>
      </c>
      <c r="E672" s="31" t="s">
        <v>34</v>
      </c>
      <c r="F672" s="31" t="s">
        <v>562</v>
      </c>
      <c r="G672" s="31" t="s">
        <v>23</v>
      </c>
      <c r="H672" s="17" t="n">
        <v>6860</v>
      </c>
      <c r="I672" s="32" t="n">
        <v>0.7</v>
      </c>
      <c r="J672" s="33" t="n">
        <v>0.481632653061225</v>
      </c>
      <c r="K672" s="34" t="n">
        <v>0.848365617433414</v>
      </c>
      <c r="L672" s="31" t="n">
        <v>0.926274</v>
      </c>
      <c r="M672" s="31" t="n">
        <v>0.848365617433414</v>
      </c>
      <c r="N672" s="11" t="n">
        <v>4</v>
      </c>
      <c r="O672" s="12"/>
      <c r="P672" s="11"/>
      <c r="Q672" s="8"/>
      <c r="R672" s="8"/>
      <c r="S672" s="8"/>
      <c r="T672" s="8"/>
      <c r="U672" s="8"/>
      <c r="V672" s="8"/>
      <c r="W672" s="8"/>
      <c r="X672" s="8"/>
      <c r="Y672" s="8"/>
      <c r="Z672" s="8"/>
      <c r="AA672" s="8"/>
      <c r="AB672" s="8"/>
      <c r="AC672" s="8"/>
      <c r="AD672" s="8"/>
      <c r="AE672" s="8"/>
      <c r="AF672" s="8"/>
      <c r="AG672" s="8"/>
      <c r="AH672" s="8"/>
      <c r="AI672" s="8"/>
      <c r="AJ672" s="8"/>
      <c r="AK672" s="8"/>
      <c r="AL672" s="8"/>
      <c r="AM672" s="8"/>
    </row>
    <row r="673" customFormat="false" ht="15.75" hidden="false" customHeight="true" outlineLevel="0" collapsed="false">
      <c r="A673" s="30" t="n">
        <v>46305</v>
      </c>
      <c r="B673" s="31" t="s">
        <v>412</v>
      </c>
      <c r="C673" s="31" t="str">
        <f aca="false" t="array" ref="C673:C673">IF(B673="","",IFERROR(INDEX('CLM &amp; IM Mapping'!$B$2:$B$270,MATCH(TRIM(B673),'CLM &amp; IM Mapping'!$A$2:$A$270,0)),"Not Mapped"))</f>
        <v>Richard Harris</v>
      </c>
      <c r="D673" s="31" t="str">
        <f aca="false" t="array" ref="D673:D673">IF(B673="","",IFERROR(INDEX('CLM &amp; IM Mapping'!$C$2:$C$270,MATCH(TRIM(B673),'CLM &amp; IM Mapping'!$A$2:$A$270,0)),"Not Mapped"))</f>
        <v>Kantha Kumar</v>
      </c>
      <c r="E673" s="31" t="s">
        <v>34</v>
      </c>
      <c r="F673" s="31" t="s">
        <v>562</v>
      </c>
      <c r="G673" s="31" t="s">
        <v>23</v>
      </c>
      <c r="H673" s="17" t="n">
        <v>7642</v>
      </c>
      <c r="I673" s="32" t="n">
        <v>0.7</v>
      </c>
      <c r="J673" s="33" t="n">
        <v>0.65532583093431</v>
      </c>
      <c r="K673" s="34" t="n">
        <v>0.868210862619808</v>
      </c>
      <c r="L673" s="31" t="n">
        <v>0.97246</v>
      </c>
      <c r="M673" s="31" t="n">
        <v>0.868210862619808</v>
      </c>
      <c r="N673" s="11" t="n">
        <v>5</v>
      </c>
      <c r="O673" s="12"/>
      <c r="P673" s="11"/>
      <c r="Q673" s="8"/>
      <c r="R673" s="8"/>
      <c r="S673" s="8"/>
      <c r="T673" s="8"/>
      <c r="U673" s="8"/>
      <c r="V673" s="8"/>
      <c r="W673" s="8"/>
      <c r="X673" s="8"/>
      <c r="Y673" s="8"/>
      <c r="Z673" s="8"/>
      <c r="AA673" s="8"/>
      <c r="AB673" s="8"/>
      <c r="AC673" s="8"/>
      <c r="AD673" s="8"/>
      <c r="AE673" s="8"/>
      <c r="AF673" s="8"/>
      <c r="AG673" s="8"/>
      <c r="AH673" s="8"/>
      <c r="AI673" s="8"/>
      <c r="AJ673" s="8"/>
      <c r="AK673" s="8"/>
      <c r="AL673" s="8"/>
      <c r="AM673" s="8"/>
    </row>
    <row r="674" customFormat="false" ht="15.75" hidden="false" customHeight="true" outlineLevel="0" collapsed="false">
      <c r="A674" s="30" t="n">
        <v>46305</v>
      </c>
      <c r="B674" s="31" t="s">
        <v>305</v>
      </c>
      <c r="C674" s="31" t="str">
        <f aca="false" t="array" ref="C674:C674">IF(B674="","",IFERROR(INDEX('CLM &amp; IM Mapping'!$B$2:$B$270,MATCH(TRIM(B674),'CLM &amp; IM Mapping'!$A$2:$A$270,0)),"Not Mapped"))</f>
        <v>Manjunatha V</v>
      </c>
      <c r="D674" s="31" t="str">
        <f aca="false" t="array" ref="D674:D674">IF(B674="","",IFERROR(INDEX('CLM &amp; IM Mapping'!$C$2:$C$270,MATCH(TRIM(B674),'CLM &amp; IM Mapping'!$A$2:$A$270,0)),"Not Mapped"))</f>
        <v>Un Mapped</v>
      </c>
      <c r="E674" s="31" t="s">
        <v>34</v>
      </c>
      <c r="F674" s="31" t="s">
        <v>562</v>
      </c>
      <c r="G674" s="31" t="s">
        <v>23</v>
      </c>
      <c r="H674" s="17" t="n">
        <v>5639</v>
      </c>
      <c r="I674" s="32" t="n">
        <v>0.7</v>
      </c>
      <c r="J674" s="33" t="n">
        <v>0.339067210498315</v>
      </c>
      <c r="K674" s="34" t="n">
        <v>0.859309623430962</v>
      </c>
      <c r="L674" s="31" t="n">
        <v>0.960298</v>
      </c>
      <c r="M674" s="31" t="n">
        <v>0.859309623430962</v>
      </c>
      <c r="N674" s="11" t="n">
        <v>3</v>
      </c>
      <c r="O674" s="12"/>
      <c r="P674" s="11"/>
      <c r="Q674" s="8"/>
      <c r="R674" s="8"/>
      <c r="S674" s="8"/>
      <c r="T674" s="8"/>
      <c r="U674" s="8"/>
      <c r="V674" s="8"/>
      <c r="W674" s="8"/>
      <c r="X674" s="8"/>
      <c r="Y674" s="8"/>
      <c r="Z674" s="8"/>
      <c r="AA674" s="8"/>
      <c r="AB674" s="8"/>
      <c r="AC674" s="8"/>
      <c r="AD674" s="8"/>
      <c r="AE674" s="8"/>
      <c r="AF674" s="8"/>
      <c r="AG674" s="8"/>
      <c r="AH674" s="8"/>
      <c r="AI674" s="8"/>
      <c r="AJ674" s="8"/>
      <c r="AK674" s="8"/>
      <c r="AL674" s="8"/>
      <c r="AM674" s="8"/>
    </row>
    <row r="675" customFormat="false" ht="15.75" hidden="false" customHeight="true" outlineLevel="0" collapsed="false">
      <c r="A675" s="30" t="n">
        <v>46305</v>
      </c>
      <c r="B675" s="31" t="s">
        <v>524</v>
      </c>
      <c r="C675" s="31" t="str">
        <f aca="false" t="array" ref="C675:C675">IF(B675="","",IFERROR(INDEX('CLM &amp; IM Mapping'!$B$2:$B$270,MATCH(TRIM(B675),'CLM &amp; IM Mapping'!$A$2:$A$270,0)),"Not Mapped"))</f>
        <v>Balaji G</v>
      </c>
      <c r="D675" s="31" t="str">
        <f aca="false" t="array" ref="D675:D675">IF(B675="","",IFERROR(INDEX('CLM &amp; IM Mapping'!$C$2:$C$270,MATCH(TRIM(B675),'CLM &amp; IM Mapping'!$A$2:$A$270,0)),"Not Mapped"))</f>
        <v>Mohammed Akbar</v>
      </c>
      <c r="E675" s="31" t="s">
        <v>34</v>
      </c>
      <c r="F675" s="31" t="s">
        <v>562</v>
      </c>
      <c r="G675" s="31" t="s">
        <v>23</v>
      </c>
      <c r="H675" s="17" t="n">
        <v>2473</v>
      </c>
      <c r="I675" s="32" t="n">
        <v>0.7</v>
      </c>
      <c r="J675" s="33" t="n">
        <v>0.979781641730692</v>
      </c>
      <c r="K675" s="34" t="n">
        <v>0.828312009905076</v>
      </c>
      <c r="L675" s="31" t="n">
        <v>0.968302</v>
      </c>
      <c r="M675" s="31" t="n">
        <v>0.828312009905076</v>
      </c>
      <c r="N675" s="11" t="n">
        <v>6</v>
      </c>
      <c r="O675" s="12"/>
      <c r="P675" s="11"/>
      <c r="Q675" s="8"/>
      <c r="R675" s="8"/>
      <c r="S675" s="8"/>
      <c r="T675" s="8"/>
      <c r="U675" s="8"/>
      <c r="V675" s="8"/>
      <c r="W675" s="8"/>
      <c r="X675" s="8"/>
      <c r="Y675" s="8"/>
      <c r="Z675" s="8"/>
      <c r="AA675" s="8"/>
      <c r="AB675" s="8"/>
      <c r="AC675" s="8"/>
      <c r="AD675" s="8"/>
      <c r="AE675" s="8"/>
      <c r="AF675" s="8"/>
      <c r="AG675" s="8"/>
      <c r="AH675" s="8"/>
      <c r="AI675" s="8"/>
      <c r="AJ675" s="8"/>
      <c r="AK675" s="8"/>
      <c r="AL675" s="8"/>
      <c r="AM675" s="8"/>
    </row>
    <row r="676" customFormat="false" ht="15.75" hidden="false" customHeight="true" outlineLevel="0" collapsed="false">
      <c r="A676" s="30" t="n">
        <v>46305</v>
      </c>
      <c r="B676" s="31" t="s">
        <v>68</v>
      </c>
      <c r="C676" s="31" t="str">
        <f aca="false" t="array" ref="C676:C676">IF(B676="","",IFERROR(INDEX('CLM &amp; IM Mapping'!$B$2:$B$270,MATCH(TRIM(B676),'CLM &amp; IM Mapping'!$A$2:$A$270,0)),"Not Mapped"))</f>
        <v>Girish N</v>
      </c>
      <c r="D676" s="31" t="str">
        <f aca="false" t="array" ref="D676:D676">IF(B676="","",IFERROR(INDEX('CLM &amp; IM Mapping'!$C$2:$C$270,MATCH(TRIM(B676),'CLM &amp; IM Mapping'!$A$2:$A$270,0)),"Not Mapped"))</f>
        <v>Un Mapped</v>
      </c>
      <c r="E676" s="31" t="s">
        <v>34</v>
      </c>
      <c r="F676" s="31" t="s">
        <v>562</v>
      </c>
      <c r="G676" s="31" t="s">
        <v>23</v>
      </c>
      <c r="H676" s="17" t="n">
        <v>6292</v>
      </c>
      <c r="I676" s="32" t="n">
        <v>0.7</v>
      </c>
      <c r="J676" s="33" t="n">
        <v>0.616338207247298</v>
      </c>
      <c r="K676" s="34" t="n">
        <v>0.850180505415162</v>
      </c>
      <c r="L676" s="31" t="n">
        <v>0.94683</v>
      </c>
      <c r="M676" s="31" t="n">
        <v>0.850180505415162</v>
      </c>
      <c r="N676" s="11" t="n">
        <v>4</v>
      </c>
      <c r="O676" s="12"/>
      <c r="P676" s="11"/>
      <c r="Q676" s="8"/>
      <c r="R676" s="8"/>
      <c r="S676" s="8"/>
      <c r="T676" s="8"/>
      <c r="U676" s="8"/>
      <c r="V676" s="8"/>
      <c r="W676" s="8"/>
      <c r="X676" s="8"/>
      <c r="Y676" s="8"/>
      <c r="Z676" s="8"/>
      <c r="AA676" s="8"/>
      <c r="AB676" s="8"/>
      <c r="AC676" s="8"/>
      <c r="AD676" s="8"/>
      <c r="AE676" s="8"/>
      <c r="AF676" s="8"/>
      <c r="AG676" s="8"/>
      <c r="AH676" s="8"/>
      <c r="AI676" s="8"/>
      <c r="AJ676" s="8"/>
      <c r="AK676" s="8"/>
      <c r="AL676" s="8"/>
      <c r="AM676" s="8"/>
    </row>
    <row r="677" customFormat="false" ht="15.75" hidden="false" customHeight="true" outlineLevel="0" collapsed="false">
      <c r="A677" s="30" t="n">
        <v>46305</v>
      </c>
      <c r="B677" s="31" t="s">
        <v>329</v>
      </c>
      <c r="C677" s="31" t="str">
        <f aca="false" t="array" ref="C677:C677">IF(B677="","",IFERROR(INDEX('CLM &amp; IM Mapping'!$B$2:$B$270,MATCH(TRIM(B677),'CLM &amp; IM Mapping'!$A$2:$A$270,0)),"Not Mapped"))</f>
        <v>Ashwath S</v>
      </c>
      <c r="D677" s="31" t="str">
        <f aca="false" t="array" ref="D677:D677">IF(B677="","",IFERROR(INDEX('CLM &amp; IM Mapping'!$C$2:$C$270,MATCH(TRIM(B677),'CLM &amp; IM Mapping'!$A$2:$A$270,0)),"Not Mapped"))</f>
        <v>Kantha Kumar</v>
      </c>
      <c r="E677" s="31" t="s">
        <v>34</v>
      </c>
      <c r="F677" s="31" t="s">
        <v>562</v>
      </c>
      <c r="G677" s="31" t="s">
        <v>23</v>
      </c>
      <c r="H677" s="17" t="n">
        <v>6248</v>
      </c>
      <c r="I677" s="32" t="n">
        <v>0.7</v>
      </c>
      <c r="J677" s="33" t="n">
        <v>0.821382842509603</v>
      </c>
      <c r="K677" s="34" t="n">
        <v>0.949532346063913</v>
      </c>
      <c r="L677" s="31" t="n">
        <v>0.984945</v>
      </c>
      <c r="M677" s="31" t="n">
        <v>0.949532346063913</v>
      </c>
      <c r="N677" s="11" t="n">
        <v>2</v>
      </c>
      <c r="O677" s="12"/>
      <c r="P677" s="11"/>
      <c r="Q677" s="8"/>
      <c r="R677" s="8"/>
      <c r="S677" s="8"/>
      <c r="T677" s="8"/>
      <c r="U677" s="8"/>
      <c r="V677" s="8"/>
      <c r="W677" s="8"/>
      <c r="X677" s="8"/>
      <c r="Y677" s="8"/>
      <c r="Z677" s="8"/>
      <c r="AA677" s="8"/>
      <c r="AB677" s="8"/>
      <c r="AC677" s="8"/>
      <c r="AD677" s="8"/>
      <c r="AE677" s="8"/>
      <c r="AF677" s="8"/>
      <c r="AG677" s="8"/>
      <c r="AH677" s="8"/>
      <c r="AI677" s="8"/>
      <c r="AJ677" s="8"/>
      <c r="AK677" s="8"/>
      <c r="AL677" s="8"/>
      <c r="AM677" s="8"/>
    </row>
    <row r="678" customFormat="false" ht="15.75" hidden="false" customHeight="true" outlineLevel="0" collapsed="false">
      <c r="A678" s="30" t="n">
        <v>46305</v>
      </c>
      <c r="B678" s="31" t="s">
        <v>484</v>
      </c>
      <c r="C678" s="31" t="str">
        <f aca="false" t="array" ref="C678:C678">IF(B678="","",IFERROR(INDEX('CLM &amp; IM Mapping'!$B$2:$B$270,MATCH(TRIM(B678),'CLM &amp; IM Mapping'!$A$2:$A$270,0)),"Not Mapped"))</f>
        <v>Raghavendra Vernekar</v>
      </c>
      <c r="D678" s="31" t="str">
        <f aca="false" t="array" ref="D678:D678">IF(B678="","",IFERROR(INDEX('CLM &amp; IM Mapping'!$C$2:$C$270,MATCH(TRIM(B678),'CLM &amp; IM Mapping'!$A$2:$A$270,0)),"Not Mapped"))</f>
        <v>Prakash BS</v>
      </c>
      <c r="E678" s="31" t="s">
        <v>34</v>
      </c>
      <c r="F678" s="31" t="s">
        <v>562</v>
      </c>
      <c r="G678" s="31" t="s">
        <v>23</v>
      </c>
      <c r="H678" s="17" t="n">
        <v>2978</v>
      </c>
      <c r="I678" s="32" t="n">
        <v>0.7</v>
      </c>
      <c r="J678" s="33" t="n">
        <v>0.789791806581598</v>
      </c>
      <c r="K678" s="34" t="n">
        <v>0.862244897959184</v>
      </c>
      <c r="L678" s="31" t="n">
        <v>0.966568</v>
      </c>
      <c r="M678" s="31" t="n">
        <v>0.862244897959184</v>
      </c>
      <c r="N678" s="11" t="n">
        <v>4</v>
      </c>
      <c r="O678" s="12"/>
      <c r="P678" s="11"/>
      <c r="Q678" s="8"/>
      <c r="R678" s="8"/>
      <c r="S678" s="8"/>
      <c r="T678" s="8"/>
      <c r="U678" s="8"/>
      <c r="V678" s="8"/>
      <c r="W678" s="8"/>
      <c r="X678" s="8"/>
      <c r="Y678" s="8"/>
      <c r="Z678" s="8"/>
      <c r="AA678" s="8"/>
      <c r="AB678" s="8"/>
      <c r="AC678" s="8"/>
      <c r="AD678" s="8"/>
      <c r="AE678" s="8"/>
      <c r="AF678" s="8"/>
      <c r="AG678" s="8"/>
      <c r="AH678" s="8"/>
      <c r="AI678" s="8"/>
      <c r="AJ678" s="8"/>
      <c r="AK678" s="8"/>
      <c r="AL678" s="8"/>
      <c r="AM678" s="8"/>
    </row>
    <row r="679" customFormat="false" ht="15.75" hidden="false" customHeight="true" outlineLevel="0" collapsed="false">
      <c r="A679" s="30" t="n">
        <v>46305</v>
      </c>
      <c r="B679" s="31" t="s">
        <v>505</v>
      </c>
      <c r="C679" s="31" t="str">
        <f aca="false" t="array" ref="C679:C679">IF(B679="","",IFERROR(INDEX('CLM &amp; IM Mapping'!$B$2:$B$270,MATCH(TRIM(B679),'CLM &amp; IM Mapping'!$A$2:$A$270,0)),"Not Mapped"))</f>
        <v>Basil Scariya</v>
      </c>
      <c r="D679" s="31" t="str">
        <f aca="false" t="array" ref="D679:D679">IF(B679="","",IFERROR(INDEX('CLM &amp; IM Mapping'!$C$2:$C$270,MATCH(TRIM(B679),'CLM &amp; IM Mapping'!$A$2:$A$270,0)),"Not Mapped"))</f>
        <v>Prakash BS</v>
      </c>
      <c r="E679" s="31" t="s">
        <v>34</v>
      </c>
      <c r="F679" s="31" t="s">
        <v>562</v>
      </c>
      <c r="G679" s="31" t="s">
        <v>23</v>
      </c>
      <c r="H679" s="17" t="n">
        <v>6955</v>
      </c>
      <c r="I679" s="32" t="n">
        <v>0.7</v>
      </c>
      <c r="J679" s="33" t="n">
        <v>0.667721063982746</v>
      </c>
      <c r="K679" s="34" t="n">
        <v>0.935185185185185</v>
      </c>
      <c r="L679" s="31" t="n">
        <v>0.979045</v>
      </c>
      <c r="M679" s="31" t="n">
        <v>0.935185185185185</v>
      </c>
      <c r="N679" s="11" t="n">
        <v>5</v>
      </c>
      <c r="O679" s="12"/>
      <c r="P679" s="11"/>
      <c r="Q679" s="8"/>
      <c r="R679" s="8"/>
      <c r="S679" s="8"/>
      <c r="T679" s="8"/>
      <c r="U679" s="8"/>
      <c r="V679" s="8"/>
      <c r="W679" s="8"/>
      <c r="X679" s="8"/>
      <c r="Y679" s="8"/>
      <c r="Z679" s="8"/>
      <c r="AA679" s="8"/>
      <c r="AB679" s="8"/>
      <c r="AC679" s="8"/>
      <c r="AD679" s="8"/>
      <c r="AE679" s="8"/>
      <c r="AF679" s="8"/>
      <c r="AG679" s="8"/>
      <c r="AH679" s="8"/>
      <c r="AI679" s="8"/>
      <c r="AJ679" s="8"/>
      <c r="AK679" s="8"/>
      <c r="AL679" s="8"/>
      <c r="AM679" s="8"/>
    </row>
    <row r="680" customFormat="false" ht="15.75" hidden="false" customHeight="true" outlineLevel="0" collapsed="false">
      <c r="A680" s="30" t="n">
        <v>46305</v>
      </c>
      <c r="B680" s="31" t="s">
        <v>381</v>
      </c>
      <c r="C680" s="31" t="str">
        <f aca="false" t="array" ref="C680:C680">IF(B680="","",IFERROR(INDEX('CLM &amp; IM Mapping'!$B$2:$B$270,MATCH(TRIM(B680),'CLM &amp; IM Mapping'!$A$2:$A$270,0)),"Not Mapped"))</f>
        <v>Balaji G</v>
      </c>
      <c r="D680" s="31" t="str">
        <f aca="false" t="array" ref="D680:D680">IF(B680="","",IFERROR(INDEX('CLM &amp; IM Mapping'!$C$2:$C$270,MATCH(TRIM(B680),'CLM &amp; IM Mapping'!$A$2:$A$270,0)),"Not Mapped"))</f>
        <v>Mohammed Akbar</v>
      </c>
      <c r="E680" s="31" t="s">
        <v>34</v>
      </c>
      <c r="F680" s="31" t="s">
        <v>565</v>
      </c>
      <c r="G680" s="31" t="s">
        <v>23</v>
      </c>
      <c r="H680" s="17" t="n">
        <v>5262</v>
      </c>
      <c r="I680" s="32" t="n">
        <v>0.7</v>
      </c>
      <c r="J680" s="33" t="n">
        <v>0.96351197263398</v>
      </c>
      <c r="K680" s="34" t="n">
        <v>0.961538461538462</v>
      </c>
      <c r="L680" s="31" t="n">
        <v>0.764774</v>
      </c>
      <c r="M680" s="31" t="n">
        <v>0.961538461538462</v>
      </c>
      <c r="N680" s="11" t="n">
        <v>3</v>
      </c>
      <c r="O680" s="12"/>
      <c r="P680" s="11"/>
      <c r="Q680" s="8"/>
      <c r="R680" s="8"/>
      <c r="S680" s="8"/>
      <c r="T680" s="8"/>
      <c r="U680" s="8"/>
      <c r="V680" s="8"/>
      <c r="W680" s="8"/>
      <c r="X680" s="8"/>
      <c r="Y680" s="8"/>
      <c r="Z680" s="8"/>
      <c r="AA680" s="8"/>
      <c r="AB680" s="8"/>
      <c r="AC680" s="8"/>
      <c r="AD680" s="8"/>
      <c r="AE680" s="8"/>
      <c r="AF680" s="8"/>
      <c r="AG680" s="8"/>
      <c r="AH680" s="8"/>
      <c r="AI680" s="8"/>
      <c r="AJ680" s="8"/>
      <c r="AK680" s="8"/>
      <c r="AL680" s="8"/>
      <c r="AM680" s="8"/>
    </row>
    <row r="681" customFormat="false" ht="15.75" hidden="false" customHeight="true" outlineLevel="0" collapsed="false">
      <c r="A681" s="30" t="n">
        <v>46305</v>
      </c>
      <c r="B681" s="31" t="s">
        <v>429</v>
      </c>
      <c r="C681" s="31" t="str">
        <f aca="false" t="array" ref="C681:C681">IF(B681="","",IFERROR(INDEX('CLM &amp; IM Mapping'!$B$2:$B$270,MATCH(TRIM(B681),'CLM &amp; IM Mapping'!$A$2:$A$270,0)),"Not Mapped"))</f>
        <v>Manjunatha V</v>
      </c>
      <c r="D681" s="31" t="str">
        <f aca="false" t="array" ref="D681:D681">IF(B681="","",IFERROR(INDEX('CLM &amp; IM Mapping'!$C$2:$C$270,MATCH(TRIM(B681),'CLM &amp; IM Mapping'!$A$2:$A$270,0)),"Not Mapped"))</f>
        <v>Un Mapped</v>
      </c>
      <c r="E681" s="31" t="s">
        <v>34</v>
      </c>
      <c r="F681" s="31" t="s">
        <v>565</v>
      </c>
      <c r="G681" s="31" t="s">
        <v>23</v>
      </c>
      <c r="H681" s="17" t="n">
        <v>5669</v>
      </c>
      <c r="I681" s="32" t="n">
        <v>0.7</v>
      </c>
      <c r="J681" s="33" t="n">
        <v>0.913565002645969</v>
      </c>
      <c r="K681" s="34" t="n">
        <v>0.928750724078007</v>
      </c>
      <c r="L681" s="31" t="n">
        <v>0.988136</v>
      </c>
      <c r="M681" s="31" t="n">
        <v>0.928750724078007</v>
      </c>
      <c r="N681" s="11" t="n">
        <v>2</v>
      </c>
      <c r="O681" s="12"/>
      <c r="P681" s="11"/>
      <c r="Q681" s="8"/>
      <c r="R681" s="8"/>
      <c r="S681" s="8"/>
      <c r="T681" s="8"/>
      <c r="U681" s="8"/>
      <c r="V681" s="8"/>
      <c r="W681" s="8"/>
      <c r="X681" s="8"/>
      <c r="Y681" s="8"/>
      <c r="Z681" s="8"/>
      <c r="AA681" s="8"/>
      <c r="AB681" s="8"/>
      <c r="AC681" s="8"/>
      <c r="AD681" s="8"/>
      <c r="AE681" s="8"/>
      <c r="AF681" s="8"/>
      <c r="AG681" s="8"/>
      <c r="AH681" s="8"/>
      <c r="AI681" s="8"/>
      <c r="AJ681" s="8"/>
      <c r="AK681" s="8"/>
      <c r="AL681" s="8"/>
      <c r="AM681" s="8"/>
    </row>
    <row r="682" customFormat="false" ht="15.75" hidden="false" customHeight="true" outlineLevel="0" collapsed="false">
      <c r="A682" s="30" t="n">
        <v>46305</v>
      </c>
      <c r="B682" s="31" t="s">
        <v>162</v>
      </c>
      <c r="C682" s="31" t="str">
        <f aca="false" t="array" ref="C682:C682">IF(B682="","",IFERROR(INDEX('CLM &amp; IM Mapping'!$B$2:$B$270,MATCH(TRIM(B682),'CLM &amp; IM Mapping'!$A$2:$A$270,0)),"Not Mapped"))</f>
        <v>Ashwath S</v>
      </c>
      <c r="D682" s="31" t="str">
        <f aca="false" t="array" ref="D682:D682">IF(B682="","",IFERROR(INDEX('CLM &amp; IM Mapping'!$C$2:$C$270,MATCH(TRIM(B682),'CLM &amp; IM Mapping'!$A$2:$A$270,0)),"Not Mapped"))</f>
        <v>Kantha Kumar</v>
      </c>
      <c r="E682" s="31" t="s">
        <v>34</v>
      </c>
      <c r="F682" s="31" t="s">
        <v>562</v>
      </c>
      <c r="G682" s="31" t="s">
        <v>23</v>
      </c>
      <c r="H682" s="17" t="n">
        <v>6158</v>
      </c>
      <c r="I682" s="32" t="n">
        <v>0.7</v>
      </c>
      <c r="J682" s="33" t="n">
        <v>0.791165962974992</v>
      </c>
      <c r="K682" s="34" t="n">
        <v>0.831896551724138</v>
      </c>
      <c r="L682" s="31" t="n">
        <v>0.953668</v>
      </c>
      <c r="M682" s="31" t="n">
        <v>0.831896551724138</v>
      </c>
      <c r="N682" s="11" t="n">
        <v>4</v>
      </c>
      <c r="O682" s="12"/>
      <c r="P682" s="11"/>
      <c r="Q682" s="8"/>
      <c r="R682" s="8"/>
      <c r="S682" s="8"/>
      <c r="T682" s="8"/>
      <c r="U682" s="8"/>
      <c r="V682" s="8"/>
      <c r="W682" s="8"/>
      <c r="X682" s="8"/>
      <c r="Y682" s="8"/>
      <c r="Z682" s="8"/>
      <c r="AA682" s="8"/>
      <c r="AB682" s="8"/>
      <c r="AC682" s="8"/>
      <c r="AD682" s="8"/>
      <c r="AE682" s="8"/>
      <c r="AF682" s="8"/>
      <c r="AG682" s="8"/>
      <c r="AH682" s="8"/>
      <c r="AI682" s="8"/>
      <c r="AJ682" s="8"/>
      <c r="AK682" s="8"/>
      <c r="AL682" s="8"/>
      <c r="AM682" s="8"/>
    </row>
    <row r="683" customFormat="false" ht="15.75" hidden="false" customHeight="true" outlineLevel="0" collapsed="false">
      <c r="A683" s="30" t="n">
        <v>46305</v>
      </c>
      <c r="B683" s="31" t="s">
        <v>47</v>
      </c>
      <c r="C683" s="31" t="str">
        <f aca="false" t="array" ref="C683:C683">IF(B683="","",IFERROR(INDEX('CLM &amp; IM Mapping'!$B$2:$B$270,MATCH(TRIM(B683),'CLM &amp; IM Mapping'!$A$2:$A$270,0)),"Not Mapped"))</f>
        <v>Saddam Hussain</v>
      </c>
      <c r="D683" s="31" t="str">
        <f aca="false" t="array" ref="D683:D683">IF(B683="","",IFERROR(INDEX('CLM &amp; IM Mapping'!$C$2:$C$270,MATCH(TRIM(B683),'CLM &amp; IM Mapping'!$A$2:$A$270,0)),"Not Mapped"))</f>
        <v>Un Mapped</v>
      </c>
      <c r="E683" s="31" t="s">
        <v>34</v>
      </c>
      <c r="F683" s="31" t="s">
        <v>562</v>
      </c>
      <c r="G683" s="31" t="s">
        <v>23</v>
      </c>
      <c r="H683" s="17" t="n">
        <v>8449</v>
      </c>
      <c r="I683" s="32" t="n">
        <v>0.7</v>
      </c>
      <c r="J683" s="33" t="n">
        <v>0.720321931589537</v>
      </c>
      <c r="K683" s="34" t="n">
        <v>0.837331580676964</v>
      </c>
      <c r="L683" s="31" t="n">
        <v>0.948024</v>
      </c>
      <c r="M683" s="31" t="n">
        <v>0.837331580676964</v>
      </c>
      <c r="N683" s="11" t="n">
        <v>8</v>
      </c>
      <c r="O683" s="12"/>
      <c r="P683" s="11"/>
      <c r="Q683" s="8"/>
      <c r="R683" s="8"/>
      <c r="S683" s="8"/>
      <c r="T683" s="8"/>
      <c r="U683" s="8"/>
      <c r="V683" s="8"/>
      <c r="W683" s="8"/>
      <c r="X683" s="8"/>
      <c r="Y683" s="8"/>
      <c r="Z683" s="8"/>
      <c r="AA683" s="8"/>
      <c r="AB683" s="8"/>
      <c r="AC683" s="8"/>
      <c r="AD683" s="8"/>
      <c r="AE683" s="8"/>
      <c r="AF683" s="8"/>
      <c r="AG683" s="8"/>
      <c r="AH683" s="8"/>
      <c r="AI683" s="8"/>
      <c r="AJ683" s="8"/>
      <c r="AK683" s="8"/>
      <c r="AL683" s="8"/>
      <c r="AM683" s="8"/>
    </row>
    <row r="684" customFormat="false" ht="15.75" hidden="false" customHeight="true" outlineLevel="0" collapsed="false">
      <c r="A684" s="30" t="n">
        <v>46305</v>
      </c>
      <c r="B684" s="31" t="s">
        <v>83</v>
      </c>
      <c r="C684" s="31" t="str">
        <f aca="false" t="array" ref="C684:C684">IF(B684="","",IFERROR(INDEX('CLM &amp; IM Mapping'!$B$2:$B$270,MATCH(TRIM(B684),'CLM &amp; IM Mapping'!$A$2:$A$270,0)),"Not Mapped"))</f>
        <v>Keshav G</v>
      </c>
      <c r="D684" s="31" t="str">
        <f aca="false" t="array" ref="D684:D684">IF(B684="","",IFERROR(INDEX('CLM &amp; IM Mapping'!$C$2:$C$270,MATCH(TRIM(B684),'CLM &amp; IM Mapping'!$A$2:$A$270,0)),"Not Mapped"))</f>
        <v>Mohammed Akbar</v>
      </c>
      <c r="E684" s="31" t="s">
        <v>34</v>
      </c>
      <c r="F684" s="31" t="s">
        <v>565</v>
      </c>
      <c r="G684" s="31" t="s">
        <v>23</v>
      </c>
      <c r="H684" s="17" t="n">
        <v>12188</v>
      </c>
      <c r="I684" s="32" t="n">
        <v>0.7</v>
      </c>
      <c r="J684" s="33" t="n">
        <v>0.87471283229406</v>
      </c>
      <c r="K684" s="34" t="n">
        <v>0.883594409530063</v>
      </c>
      <c r="L684" s="31" t="n">
        <v>0.963695</v>
      </c>
      <c r="M684" s="31" t="n">
        <v>0.883594409530063</v>
      </c>
      <c r="N684" s="11" t="n">
        <v>8</v>
      </c>
      <c r="O684" s="12"/>
      <c r="P684" s="11"/>
      <c r="Q684" s="8"/>
      <c r="R684" s="8"/>
      <c r="S684" s="8"/>
      <c r="T684" s="8"/>
      <c r="U684" s="8"/>
      <c r="V684" s="8"/>
      <c r="W684" s="8"/>
      <c r="X684" s="8"/>
      <c r="Y684" s="8"/>
      <c r="Z684" s="8"/>
      <c r="AA684" s="8"/>
      <c r="AB684" s="8"/>
      <c r="AC684" s="8"/>
      <c r="AD684" s="8"/>
      <c r="AE684" s="8"/>
      <c r="AF684" s="8"/>
      <c r="AG684" s="8"/>
      <c r="AH684" s="8"/>
      <c r="AI684" s="8"/>
      <c r="AJ684" s="8"/>
      <c r="AK684" s="8"/>
      <c r="AL684" s="8"/>
      <c r="AM684" s="8"/>
    </row>
    <row r="685" customFormat="false" ht="15.75" hidden="false" customHeight="true" outlineLevel="0" collapsed="false">
      <c r="A685" s="30" t="n">
        <v>46305</v>
      </c>
      <c r="B685" s="31" t="s">
        <v>375</v>
      </c>
      <c r="C685" s="31" t="str">
        <f aca="false" t="array" ref="C685:C685">IF(B685="","",IFERROR(INDEX('CLM &amp; IM Mapping'!$B$2:$B$270,MATCH(TRIM(B685),'CLM &amp; IM Mapping'!$A$2:$A$270,0)),"Not Mapped"))</f>
        <v>Saddam Hussain</v>
      </c>
      <c r="D685" s="31" t="str">
        <f aca="false" t="array" ref="D685:D685">IF(B685="","",IFERROR(INDEX('CLM &amp; IM Mapping'!$C$2:$C$270,MATCH(TRIM(B685),'CLM &amp; IM Mapping'!$A$2:$A$270,0)),"Not Mapped"))</f>
        <v>Un Mapped</v>
      </c>
      <c r="E685" s="31" t="s">
        <v>34</v>
      </c>
      <c r="F685" s="31" t="s">
        <v>562</v>
      </c>
      <c r="G685" s="31" t="s">
        <v>23</v>
      </c>
      <c r="H685" s="17" t="n">
        <v>4890</v>
      </c>
      <c r="I685" s="32" t="n">
        <v>0.7</v>
      </c>
      <c r="J685" s="33" t="n">
        <v>0.510224948875256</v>
      </c>
      <c r="K685" s="34" t="n">
        <v>0.932665330661323</v>
      </c>
      <c r="L685" s="31" t="n">
        <v>0.981022</v>
      </c>
      <c r="M685" s="31" t="n">
        <v>0.932665330661323</v>
      </c>
      <c r="N685" s="11" t="n">
        <v>3</v>
      </c>
      <c r="O685" s="12"/>
      <c r="P685" s="11"/>
      <c r="Q685" s="8"/>
      <c r="R685" s="8"/>
      <c r="S685" s="8"/>
      <c r="T685" s="8"/>
      <c r="U685" s="8"/>
      <c r="V685" s="8"/>
      <c r="W685" s="8"/>
      <c r="X685" s="8"/>
      <c r="Y685" s="8"/>
      <c r="Z685" s="8"/>
      <c r="AA685" s="8"/>
      <c r="AB685" s="8"/>
      <c r="AC685" s="8"/>
      <c r="AD685" s="8"/>
      <c r="AE685" s="8"/>
      <c r="AF685" s="8"/>
      <c r="AG685" s="8"/>
      <c r="AH685" s="8"/>
      <c r="AI685" s="8"/>
      <c r="AJ685" s="8"/>
      <c r="AK685" s="8"/>
      <c r="AL685" s="8"/>
      <c r="AM685" s="8"/>
    </row>
    <row r="686" customFormat="false" ht="15.75" hidden="false" customHeight="true" outlineLevel="0" collapsed="false">
      <c r="A686" s="30" t="n">
        <v>46305</v>
      </c>
      <c r="B686" s="31" t="s">
        <v>492</v>
      </c>
      <c r="C686" s="31" t="str">
        <f aca="false" t="array" ref="C686:C686">IF(B686="","",IFERROR(INDEX('CLM &amp; IM Mapping'!$B$2:$B$270,MATCH(TRIM(B686),'CLM &amp; IM Mapping'!$A$2:$A$270,0)),"Not Mapped"))</f>
        <v>Balaji G</v>
      </c>
      <c r="D686" s="31" t="str">
        <f aca="false" t="array" ref="D686:D686">IF(B686="","",IFERROR(INDEX('CLM &amp; IM Mapping'!$C$2:$C$270,MATCH(TRIM(B686),'CLM &amp; IM Mapping'!$A$2:$A$270,0)),"Not Mapped"))</f>
        <v>Mohammed Akbar</v>
      </c>
      <c r="E686" s="31" t="s">
        <v>34</v>
      </c>
      <c r="F686" s="31" t="s">
        <v>562</v>
      </c>
      <c r="G686" s="31" t="s">
        <v>23</v>
      </c>
      <c r="H686" s="17" t="n">
        <v>5005</v>
      </c>
      <c r="I686" s="32" t="n">
        <v>0.7</v>
      </c>
      <c r="J686" s="33" t="n">
        <v>0.993006993006993</v>
      </c>
      <c r="K686" s="34" t="n">
        <v>0.951509054325956</v>
      </c>
      <c r="L686" s="31" t="n">
        <v>0.986551</v>
      </c>
      <c r="M686" s="31"/>
      <c r="N686" s="11" t="n">
        <v>3</v>
      </c>
      <c r="O686" s="12"/>
      <c r="P686" s="11"/>
      <c r="Q686" s="8"/>
      <c r="R686" s="8"/>
      <c r="S686" s="8"/>
      <c r="T686" s="8"/>
      <c r="U686" s="8"/>
      <c r="V686" s="8"/>
      <c r="W686" s="8"/>
      <c r="X686" s="8"/>
      <c r="Y686" s="8"/>
      <c r="Z686" s="8"/>
      <c r="AA686" s="8"/>
      <c r="AB686" s="8"/>
      <c r="AC686" s="8"/>
      <c r="AD686" s="8"/>
      <c r="AE686" s="8"/>
      <c r="AF686" s="8"/>
      <c r="AG686" s="8"/>
      <c r="AH686" s="8"/>
      <c r="AI686" s="8"/>
      <c r="AJ686" s="8"/>
      <c r="AK686" s="8"/>
      <c r="AL686" s="8"/>
      <c r="AM686" s="8"/>
    </row>
    <row r="687" customFormat="false" ht="15.75" hidden="false" customHeight="true" outlineLevel="0" collapsed="false">
      <c r="A687" s="30" t="n">
        <v>46305</v>
      </c>
      <c r="B687" s="31" t="s">
        <v>103</v>
      </c>
      <c r="C687" s="31" t="str">
        <f aca="false" t="array" ref="C687:C687">IF(B687="","",IFERROR(INDEX('CLM &amp; IM Mapping'!$B$2:$B$270,MATCH(TRIM(B687),'CLM &amp; IM Mapping'!$A$2:$A$270,0)),"Not Mapped"))</f>
        <v>Girish N</v>
      </c>
      <c r="D687" s="31" t="str">
        <f aca="false" t="array" ref="D687:D687">IF(B687="","",IFERROR(INDEX('CLM &amp; IM Mapping'!$C$2:$C$270,MATCH(TRIM(B687),'CLM &amp; IM Mapping'!$A$2:$A$270,0)),"Not Mapped"))</f>
        <v>Un Mapped</v>
      </c>
      <c r="E687" s="31" t="s">
        <v>34</v>
      </c>
      <c r="F687" s="31" t="s">
        <v>562</v>
      </c>
      <c r="G687" s="31" t="s">
        <v>23</v>
      </c>
      <c r="H687" s="17" t="n">
        <v>4928</v>
      </c>
      <c r="I687" s="32" t="n">
        <v>0.7</v>
      </c>
      <c r="J687" s="33" t="n">
        <v>0.289569805194805</v>
      </c>
      <c r="K687" s="34" t="n">
        <v>0.666433076384022</v>
      </c>
      <c r="L687" s="31" t="n">
        <v>0.970951</v>
      </c>
      <c r="M687" s="31" t="n">
        <v>0.656811782060266</v>
      </c>
      <c r="N687" s="11" t="n">
        <v>3</v>
      </c>
      <c r="O687" s="12"/>
      <c r="P687" s="11"/>
      <c r="Q687" s="8"/>
      <c r="R687" s="8"/>
      <c r="S687" s="8"/>
      <c r="T687" s="8"/>
      <c r="U687" s="8"/>
      <c r="V687" s="8"/>
      <c r="W687" s="8"/>
      <c r="X687" s="8"/>
      <c r="Y687" s="8"/>
      <c r="Z687" s="8"/>
      <c r="AA687" s="8"/>
      <c r="AB687" s="8"/>
      <c r="AC687" s="8"/>
      <c r="AD687" s="8"/>
      <c r="AE687" s="8"/>
      <c r="AF687" s="8"/>
      <c r="AG687" s="8"/>
      <c r="AH687" s="8"/>
      <c r="AI687" s="8"/>
      <c r="AJ687" s="8"/>
      <c r="AK687" s="8"/>
      <c r="AL687" s="8"/>
      <c r="AM687" s="8"/>
    </row>
    <row r="688" customFormat="false" ht="15.75" hidden="false" customHeight="true" outlineLevel="0" collapsed="false">
      <c r="A688" s="30" t="n">
        <v>46305</v>
      </c>
      <c r="B688" s="31" t="s">
        <v>451</v>
      </c>
      <c r="C688" s="31" t="str">
        <f aca="false" t="array" ref="C688:C688">IF(B688="","",IFERROR(INDEX('CLM &amp; IM Mapping'!$B$2:$B$270,MATCH(TRIM(B688),'CLM &amp; IM Mapping'!$A$2:$A$270,0)),"Not Mapped"))</f>
        <v>Ashwath S</v>
      </c>
      <c r="D688" s="31" t="str">
        <f aca="false" t="array" ref="D688:D688">IF(B688="","",IFERROR(INDEX('CLM &amp; IM Mapping'!$C$2:$C$270,MATCH(TRIM(B688),'CLM &amp; IM Mapping'!$A$2:$A$270,0)),"Not Mapped"))</f>
        <v>Kantha Kumar</v>
      </c>
      <c r="E688" s="31" t="s">
        <v>34</v>
      </c>
      <c r="F688" s="31" t="s">
        <v>562</v>
      </c>
      <c r="G688" s="31" t="s">
        <v>23</v>
      </c>
      <c r="H688" s="17" t="n">
        <v>5788</v>
      </c>
      <c r="I688" s="32" t="n">
        <v>0.7</v>
      </c>
      <c r="J688" s="33" t="n">
        <v>0.964236351071182</v>
      </c>
      <c r="K688" s="34" t="n">
        <v>0.93782476258735</v>
      </c>
      <c r="L688" s="31" t="n">
        <v>0.990364</v>
      </c>
      <c r="M688" s="31" t="n">
        <v>0.93782476258735</v>
      </c>
      <c r="N688" s="11" t="n">
        <v>6</v>
      </c>
      <c r="O688" s="12"/>
      <c r="P688" s="11"/>
      <c r="Q688" s="8"/>
      <c r="R688" s="8"/>
      <c r="S688" s="8"/>
      <c r="T688" s="8"/>
      <c r="U688" s="8"/>
      <c r="V688" s="8"/>
      <c r="W688" s="8"/>
      <c r="X688" s="8"/>
      <c r="Y688" s="8"/>
      <c r="Z688" s="8"/>
      <c r="AA688" s="8"/>
      <c r="AB688" s="8"/>
      <c r="AC688" s="8"/>
      <c r="AD688" s="8"/>
      <c r="AE688" s="8"/>
      <c r="AF688" s="8"/>
      <c r="AG688" s="8"/>
      <c r="AH688" s="8"/>
      <c r="AI688" s="8"/>
      <c r="AJ688" s="8"/>
      <c r="AK688" s="8"/>
      <c r="AL688" s="8"/>
      <c r="AM688" s="8"/>
    </row>
    <row r="689" customFormat="false" ht="15.75" hidden="false" customHeight="true" outlineLevel="0" collapsed="false">
      <c r="A689" s="30" t="n">
        <v>46305</v>
      </c>
      <c r="B689" s="31" t="s">
        <v>306</v>
      </c>
      <c r="C689" s="31" t="str">
        <f aca="false" t="array" ref="C689:C689">IF(B689="","",IFERROR(INDEX('CLM &amp; IM Mapping'!$B$2:$B$270,MATCH(TRIM(B689),'CLM &amp; IM Mapping'!$A$2:$A$270,0)),"Not Mapped"))</f>
        <v>Narasimhamurthy R</v>
      </c>
      <c r="D689" s="31" t="str">
        <f aca="false" t="array" ref="D689:D689">IF(B689="","",IFERROR(INDEX('CLM &amp; IM Mapping'!$C$2:$C$270,MATCH(TRIM(B689),'CLM &amp; IM Mapping'!$A$2:$A$270,0)),"Not Mapped"))</f>
        <v>Kishor K</v>
      </c>
      <c r="E689" s="31" t="s">
        <v>34</v>
      </c>
      <c r="F689" s="31" t="s">
        <v>565</v>
      </c>
      <c r="G689" s="31" t="s">
        <v>23</v>
      </c>
      <c r="H689" s="17" t="n">
        <v>5477</v>
      </c>
      <c r="I689" s="32" t="n">
        <v>0.7</v>
      </c>
      <c r="J689" s="33" t="n">
        <v>0.702574402044915</v>
      </c>
      <c r="K689" s="34" t="n">
        <v>0.905925155925156</v>
      </c>
      <c r="L689" s="31" t="n">
        <v>0.960718</v>
      </c>
      <c r="M689" s="31" t="n">
        <v>0.905925155925156</v>
      </c>
      <c r="N689" s="11" t="n">
        <v>3</v>
      </c>
      <c r="O689" s="12"/>
      <c r="P689" s="11"/>
      <c r="Q689" s="8"/>
      <c r="R689" s="8"/>
      <c r="S689" s="8"/>
      <c r="T689" s="8"/>
      <c r="U689" s="8"/>
      <c r="V689" s="8"/>
      <c r="W689" s="8"/>
      <c r="X689" s="8"/>
      <c r="Y689" s="8"/>
      <c r="Z689" s="8"/>
      <c r="AA689" s="8"/>
      <c r="AB689" s="8"/>
      <c r="AC689" s="8"/>
      <c r="AD689" s="8"/>
      <c r="AE689" s="8"/>
      <c r="AF689" s="8"/>
      <c r="AG689" s="8"/>
      <c r="AH689" s="8"/>
      <c r="AI689" s="8"/>
      <c r="AJ689" s="8"/>
      <c r="AK689" s="8"/>
      <c r="AL689" s="8"/>
      <c r="AM689" s="8"/>
    </row>
    <row r="690" customFormat="false" ht="15.75" hidden="false" customHeight="true" outlineLevel="0" collapsed="false">
      <c r="A690" s="30" t="n">
        <v>46305</v>
      </c>
      <c r="B690" s="31" t="s">
        <v>376</v>
      </c>
      <c r="C690" s="31" t="str">
        <f aca="false" t="array" ref="C690:C690">IF(B690="","",IFERROR(INDEX('CLM &amp; IM Mapping'!$B$2:$B$270,MATCH(TRIM(B690),'CLM &amp; IM Mapping'!$A$2:$A$270,0)),"Not Mapped"))</f>
        <v>Sundaresh S</v>
      </c>
      <c r="D690" s="31" t="str">
        <f aca="false" t="array" ref="D690:D690">IF(B690="","",IFERROR(INDEX('CLM &amp; IM Mapping'!$C$2:$C$270,MATCH(TRIM(B690),'CLM &amp; IM Mapping'!$A$2:$A$270,0)),"Not Mapped"))</f>
        <v>Un Mapped</v>
      </c>
      <c r="E690" s="31" t="s">
        <v>34</v>
      </c>
      <c r="F690" s="31" t="s">
        <v>562</v>
      </c>
      <c r="G690" s="31" t="s">
        <v>23</v>
      </c>
      <c r="H690" s="17" t="n">
        <v>6559</v>
      </c>
      <c r="I690" s="32" t="n">
        <v>0.7</v>
      </c>
      <c r="J690" s="33" t="n">
        <v>0.742643695685318</v>
      </c>
      <c r="K690" s="34" t="n">
        <v>0.930404434407719</v>
      </c>
      <c r="L690" s="31" t="n">
        <v>0.990758</v>
      </c>
      <c r="M690" s="31" t="n">
        <v>0.930404434407719</v>
      </c>
      <c r="N690" s="11" t="n">
        <v>5</v>
      </c>
      <c r="O690" s="12"/>
      <c r="P690" s="11"/>
      <c r="Q690" s="8"/>
      <c r="R690" s="8"/>
      <c r="S690" s="8"/>
      <c r="T690" s="8"/>
      <c r="U690" s="8"/>
      <c r="V690" s="8"/>
      <c r="W690" s="8"/>
      <c r="X690" s="8"/>
      <c r="Y690" s="8"/>
      <c r="Z690" s="8"/>
      <c r="AA690" s="8"/>
      <c r="AB690" s="8"/>
      <c r="AC690" s="8"/>
      <c r="AD690" s="8"/>
      <c r="AE690" s="8"/>
      <c r="AF690" s="8"/>
      <c r="AG690" s="8"/>
      <c r="AH690" s="8"/>
      <c r="AI690" s="8"/>
      <c r="AJ690" s="8"/>
      <c r="AK690" s="8"/>
      <c r="AL690" s="8"/>
      <c r="AM690" s="8"/>
    </row>
    <row r="691" customFormat="false" ht="15.75" hidden="false" customHeight="true" outlineLevel="0" collapsed="false">
      <c r="A691" s="30" t="n">
        <v>46305</v>
      </c>
      <c r="B691" s="31" t="s">
        <v>454</v>
      </c>
      <c r="C691" s="31" t="str">
        <f aca="false" t="array" ref="C691:C691">IF(B691="","",IFERROR(INDEX('CLM &amp; IM Mapping'!$B$2:$B$270,MATCH(TRIM(B691),'CLM &amp; IM Mapping'!$A$2:$A$270,0)),"Not Mapped"))</f>
        <v>Balaji G</v>
      </c>
      <c r="D691" s="31" t="str">
        <f aca="false" t="array" ref="D691:D691">IF(B691="","",IFERROR(INDEX('CLM &amp; IM Mapping'!$C$2:$C$270,MATCH(TRIM(B691),'CLM &amp; IM Mapping'!$A$2:$A$270,0)),"Not Mapped"))</f>
        <v>Mohammed Akbar</v>
      </c>
      <c r="E691" s="31" t="s">
        <v>34</v>
      </c>
      <c r="F691" s="31" t="s">
        <v>565</v>
      </c>
      <c r="G691" s="31" t="s">
        <v>23</v>
      </c>
      <c r="H691" s="17" t="n">
        <v>4658</v>
      </c>
      <c r="I691" s="32" t="n">
        <v>0.7</v>
      </c>
      <c r="J691" s="33" t="n">
        <v>0.980463718334049</v>
      </c>
      <c r="K691" s="34" t="n">
        <v>0.879132910006569</v>
      </c>
      <c r="L691" s="31" t="n">
        <v>0.973204</v>
      </c>
      <c r="M691" s="31" t="n">
        <v>0.879132910006569</v>
      </c>
      <c r="N691" s="11" t="n">
        <v>2</v>
      </c>
      <c r="O691" s="12"/>
      <c r="P691" s="11"/>
      <c r="Q691" s="8"/>
      <c r="R691" s="8"/>
      <c r="S691" s="8"/>
      <c r="T691" s="8"/>
      <c r="U691" s="8"/>
      <c r="V691" s="8"/>
      <c r="W691" s="8"/>
      <c r="X691" s="8"/>
      <c r="Y691" s="8"/>
      <c r="Z691" s="8"/>
      <c r="AA691" s="8"/>
      <c r="AB691" s="8"/>
      <c r="AC691" s="8"/>
      <c r="AD691" s="8"/>
      <c r="AE691" s="8"/>
      <c r="AF691" s="8"/>
      <c r="AG691" s="8"/>
      <c r="AH691" s="8"/>
      <c r="AI691" s="8"/>
      <c r="AJ691" s="8"/>
      <c r="AK691" s="8"/>
      <c r="AL691" s="8"/>
      <c r="AM691" s="8"/>
    </row>
    <row r="692" customFormat="false" ht="15.75" hidden="false" customHeight="true" outlineLevel="0" collapsed="false">
      <c r="A692" s="30" t="n">
        <v>46305</v>
      </c>
      <c r="B692" s="31" t="s">
        <v>287</v>
      </c>
      <c r="C692" s="31" t="str">
        <f aca="false" t="array" ref="C692:C692">IF(B692="","",IFERROR(INDEX('CLM &amp; IM Mapping'!$B$2:$B$270,MATCH(TRIM(B692),'CLM &amp; IM Mapping'!$A$2:$A$270,0)),"Not Mapped"))</f>
        <v>Sundaresh S</v>
      </c>
      <c r="D692" s="31" t="str">
        <f aca="false" t="array" ref="D692:D692">IF(B692="","",IFERROR(INDEX('CLM &amp; IM Mapping'!$C$2:$C$270,MATCH(TRIM(B692),'CLM &amp; IM Mapping'!$A$2:$A$270,0)),"Not Mapped"))</f>
        <v>Un Mapped</v>
      </c>
      <c r="E692" s="31" t="s">
        <v>34</v>
      </c>
      <c r="F692" s="31" t="s">
        <v>565</v>
      </c>
      <c r="G692" s="31" t="s">
        <v>23</v>
      </c>
      <c r="H692" s="17" t="n">
        <v>6302</v>
      </c>
      <c r="I692" s="32" t="n">
        <v>0.7</v>
      </c>
      <c r="J692" s="33" t="n">
        <v>0.936369406537607</v>
      </c>
      <c r="K692" s="34" t="n">
        <v>0.910862565666836</v>
      </c>
      <c r="L692" s="31" t="n">
        <v>0.976891</v>
      </c>
      <c r="M692" s="31" t="n">
        <v>0.910862565666836</v>
      </c>
      <c r="N692" s="11" t="n">
        <v>4</v>
      </c>
      <c r="O692" s="12"/>
      <c r="P692" s="11"/>
      <c r="Q692" s="8"/>
      <c r="R692" s="8"/>
      <c r="S692" s="8"/>
      <c r="T692" s="8"/>
      <c r="U692" s="8"/>
      <c r="V692" s="8"/>
      <c r="W692" s="8"/>
      <c r="X692" s="8"/>
      <c r="Y692" s="8"/>
      <c r="Z692" s="8"/>
      <c r="AA692" s="8"/>
      <c r="AB692" s="8"/>
      <c r="AC692" s="8"/>
      <c r="AD692" s="8"/>
      <c r="AE692" s="8"/>
      <c r="AF692" s="8"/>
      <c r="AG692" s="8"/>
      <c r="AH692" s="8"/>
      <c r="AI692" s="8"/>
      <c r="AJ692" s="8"/>
      <c r="AK692" s="8"/>
      <c r="AL692" s="8"/>
      <c r="AM692" s="8"/>
    </row>
    <row r="693" customFormat="false" ht="15.75" hidden="false" customHeight="true" outlineLevel="0" collapsed="false">
      <c r="A693" s="30" t="n">
        <v>46305</v>
      </c>
      <c r="B693" s="31" t="s">
        <v>437</v>
      </c>
      <c r="C693" s="31" t="str">
        <f aca="false" t="array" ref="C693:C693">IF(B693="","",IFERROR(INDEX('CLM &amp; IM Mapping'!$B$2:$B$270,MATCH(TRIM(B693),'CLM &amp; IM Mapping'!$A$2:$A$270,0)),"Not Mapped"))</f>
        <v>Balaji G</v>
      </c>
      <c r="D693" s="31" t="str">
        <f aca="false" t="array" ref="D693:D693">IF(B693="","",IFERROR(INDEX('CLM &amp; IM Mapping'!$C$2:$C$270,MATCH(TRIM(B693),'CLM &amp; IM Mapping'!$A$2:$A$270,0)),"Not Mapped"))</f>
        <v>Mohammed Akbar</v>
      </c>
      <c r="E693" s="31" t="s">
        <v>34</v>
      </c>
      <c r="F693" s="31" t="s">
        <v>562</v>
      </c>
      <c r="G693" s="31" t="s">
        <v>23</v>
      </c>
      <c r="H693" s="17" t="n">
        <v>5625</v>
      </c>
      <c r="I693" s="32" t="n">
        <v>0.7</v>
      </c>
      <c r="J693" s="33" t="n">
        <v>0.846222222222222</v>
      </c>
      <c r="K693" s="34" t="n">
        <v>0.876890756302521</v>
      </c>
      <c r="L693" s="31" t="n">
        <v>0.962184</v>
      </c>
      <c r="M693" s="31" t="n">
        <v>0.876890756302521</v>
      </c>
      <c r="N693" s="11" t="n">
        <v>5</v>
      </c>
      <c r="O693" s="12"/>
      <c r="P693" s="11"/>
      <c r="Q693" s="8"/>
      <c r="R693" s="8"/>
      <c r="S693" s="8"/>
      <c r="T693" s="8"/>
      <c r="U693" s="8"/>
      <c r="V693" s="8"/>
      <c r="W693" s="8"/>
      <c r="X693" s="8"/>
      <c r="Y693" s="8"/>
      <c r="Z693" s="8"/>
      <c r="AA693" s="8"/>
      <c r="AB693" s="8"/>
      <c r="AC693" s="8"/>
      <c r="AD693" s="8"/>
      <c r="AE693" s="8"/>
      <c r="AF693" s="8"/>
      <c r="AG693" s="8"/>
      <c r="AH693" s="8"/>
      <c r="AI693" s="8"/>
      <c r="AJ693" s="8"/>
      <c r="AK693" s="8"/>
      <c r="AL693" s="8"/>
      <c r="AM693" s="8"/>
    </row>
    <row r="694" customFormat="false" ht="15.75" hidden="false" customHeight="true" outlineLevel="0" collapsed="false">
      <c r="A694" s="30" t="n">
        <v>46305</v>
      </c>
      <c r="B694" s="31" t="s">
        <v>181</v>
      </c>
      <c r="C694" s="31" t="str">
        <f aca="false" t="array" ref="C694:C694">IF(B694="","",IFERROR(INDEX('CLM &amp; IM Mapping'!$B$2:$B$270,MATCH(TRIM(B694),'CLM &amp; IM Mapping'!$A$2:$A$270,0)),"Not Mapped"))</f>
        <v>Silambarasan E</v>
      </c>
      <c r="D694" s="31" t="str">
        <f aca="false" t="array" ref="D694:D694">IF(B694="","",IFERROR(INDEX('CLM &amp; IM Mapping'!$C$2:$C$270,MATCH(TRIM(B694),'CLM &amp; IM Mapping'!$A$2:$A$270,0)),"Not Mapped"))</f>
        <v>Arivind S</v>
      </c>
      <c r="E694" s="31" t="s">
        <v>34</v>
      </c>
      <c r="F694" s="31" t="s">
        <v>562</v>
      </c>
      <c r="G694" s="31" t="s">
        <v>23</v>
      </c>
      <c r="H694" s="17" t="n">
        <v>6001</v>
      </c>
      <c r="I694" s="32" t="n">
        <v>0.7</v>
      </c>
      <c r="J694" s="33" t="n">
        <v>0.507582069655058</v>
      </c>
      <c r="K694" s="34" t="n">
        <v>0.775771503611294</v>
      </c>
      <c r="L694" s="31" t="n">
        <v>0.930853</v>
      </c>
      <c r="M694" s="31" t="n">
        <v>0.775771503611294</v>
      </c>
      <c r="N694" s="11" t="n">
        <v>5</v>
      </c>
      <c r="O694" s="12"/>
      <c r="P694" s="11"/>
      <c r="Q694" s="8"/>
      <c r="R694" s="8"/>
      <c r="S694" s="8"/>
      <c r="T694" s="8"/>
      <c r="U694" s="8"/>
      <c r="V694" s="8"/>
      <c r="W694" s="8"/>
      <c r="X694" s="8"/>
      <c r="Y694" s="8"/>
      <c r="Z694" s="8"/>
      <c r="AA694" s="8"/>
      <c r="AB694" s="8"/>
      <c r="AC694" s="8"/>
      <c r="AD694" s="8"/>
      <c r="AE694" s="8"/>
      <c r="AF694" s="8"/>
      <c r="AG694" s="8"/>
      <c r="AH694" s="8"/>
      <c r="AI694" s="8"/>
      <c r="AJ694" s="8"/>
      <c r="AK694" s="8"/>
      <c r="AL694" s="8"/>
      <c r="AM694" s="8"/>
    </row>
    <row r="695" customFormat="false" ht="15.75" hidden="false" customHeight="true" outlineLevel="0" collapsed="false">
      <c r="A695" s="30" t="n">
        <v>46305</v>
      </c>
      <c r="B695" s="31" t="s">
        <v>92</v>
      </c>
      <c r="C695" s="31" t="str">
        <f aca="false" t="array" ref="C695:C695">IF(B695="","",IFERROR(INDEX('CLM &amp; IM Mapping'!$B$2:$B$270,MATCH(TRIM(B695),'CLM &amp; IM Mapping'!$A$2:$A$270,0)),"Not Mapped"))</f>
        <v>Balaji G</v>
      </c>
      <c r="D695" s="31" t="str">
        <f aca="false" t="array" ref="D695:D695">IF(B695="","",IFERROR(INDEX('CLM &amp; IM Mapping'!$C$2:$C$270,MATCH(TRIM(B695),'CLM &amp; IM Mapping'!$A$2:$A$270,0)),"Not Mapped"))</f>
        <v>Mohammed Akbar</v>
      </c>
      <c r="E695" s="31" t="s">
        <v>34</v>
      </c>
      <c r="F695" s="31" t="s">
        <v>562</v>
      </c>
      <c r="G695" s="31" t="s">
        <v>23</v>
      </c>
      <c r="H695" s="17" t="n">
        <v>5311</v>
      </c>
      <c r="I695" s="32" t="n">
        <v>0.7</v>
      </c>
      <c r="J695" s="33" t="n">
        <v>0.627188853323291</v>
      </c>
      <c r="K695" s="34" t="n">
        <v>0.762233563494446</v>
      </c>
      <c r="L695" s="31" t="n">
        <v>0.942199</v>
      </c>
      <c r="M695" s="31" t="n">
        <v>0.762233563494446</v>
      </c>
      <c r="N695" s="11" t="n">
        <v>5</v>
      </c>
      <c r="O695" s="12"/>
      <c r="P695" s="11"/>
      <c r="Q695" s="8"/>
      <c r="R695" s="8"/>
      <c r="S695" s="8"/>
      <c r="T695" s="8"/>
      <c r="U695" s="8"/>
      <c r="V695" s="8"/>
      <c r="W695" s="8"/>
      <c r="X695" s="8"/>
      <c r="Y695" s="8"/>
      <c r="Z695" s="8"/>
      <c r="AA695" s="8"/>
      <c r="AB695" s="8"/>
      <c r="AC695" s="8"/>
      <c r="AD695" s="8"/>
      <c r="AE695" s="8"/>
      <c r="AF695" s="8"/>
      <c r="AG695" s="8"/>
      <c r="AH695" s="8"/>
      <c r="AI695" s="8"/>
      <c r="AJ695" s="8"/>
      <c r="AK695" s="8"/>
      <c r="AL695" s="8"/>
      <c r="AM695" s="8"/>
    </row>
    <row r="696" customFormat="false" ht="15.75" hidden="false" customHeight="true" outlineLevel="0" collapsed="false">
      <c r="A696" s="30" t="n">
        <v>46305</v>
      </c>
      <c r="B696" s="31" t="s">
        <v>129</v>
      </c>
      <c r="C696" s="31" t="str">
        <f aca="false" t="array" ref="C696:C696">IF(B696="","",IFERROR(INDEX('CLM &amp; IM Mapping'!$B$2:$B$270,MATCH(TRIM(B696),'CLM &amp; IM Mapping'!$A$2:$A$270,0)),"Not Mapped"))</f>
        <v>Ashwath S</v>
      </c>
      <c r="D696" s="31" t="str">
        <f aca="false" t="array" ref="D696:D696">IF(B696="","",IFERROR(INDEX('CLM &amp; IM Mapping'!$C$2:$C$270,MATCH(TRIM(B696),'CLM &amp; IM Mapping'!$A$2:$A$270,0)),"Not Mapped"))</f>
        <v>Kantha Kumar</v>
      </c>
      <c r="E696" s="31" t="s">
        <v>34</v>
      </c>
      <c r="F696" s="31" t="s">
        <v>565</v>
      </c>
      <c r="G696" s="31" t="s">
        <v>23</v>
      </c>
      <c r="H696" s="17" t="n">
        <v>5785</v>
      </c>
      <c r="I696" s="32" t="n">
        <v>0.7</v>
      </c>
      <c r="J696" s="33" t="n">
        <v>0.501123595505618</v>
      </c>
      <c r="K696" s="34" t="n">
        <v>0.783028630562263</v>
      </c>
      <c r="L696" s="31" t="n">
        <v>0.906115</v>
      </c>
      <c r="M696" s="31" t="n">
        <v>0.783028630562263</v>
      </c>
      <c r="N696" s="11" t="n">
        <v>2</v>
      </c>
      <c r="O696" s="12"/>
      <c r="P696" s="11"/>
      <c r="Q696" s="8"/>
      <c r="R696" s="8"/>
      <c r="S696" s="8"/>
      <c r="T696" s="8"/>
      <c r="U696" s="8"/>
      <c r="V696" s="8"/>
      <c r="W696" s="8"/>
      <c r="X696" s="8"/>
      <c r="Y696" s="8"/>
      <c r="Z696" s="8"/>
      <c r="AA696" s="8"/>
      <c r="AB696" s="8"/>
      <c r="AC696" s="8"/>
      <c r="AD696" s="8"/>
      <c r="AE696" s="8"/>
      <c r="AF696" s="8"/>
      <c r="AG696" s="8"/>
      <c r="AH696" s="8"/>
      <c r="AI696" s="8"/>
      <c r="AJ696" s="8"/>
      <c r="AK696" s="8"/>
      <c r="AL696" s="8"/>
      <c r="AM696" s="8"/>
    </row>
    <row r="697" customFormat="false" ht="15.75" hidden="false" customHeight="true" outlineLevel="0" collapsed="false">
      <c r="A697" s="30" t="n">
        <v>46305</v>
      </c>
      <c r="B697" s="31" t="s">
        <v>379</v>
      </c>
      <c r="C697" s="31" t="str">
        <f aca="false" t="array" ref="C697:C697">IF(B697="","",IFERROR(INDEX('CLM &amp; IM Mapping'!$B$2:$B$270,MATCH(TRIM(B697),'CLM &amp; IM Mapping'!$A$2:$A$270,0)),"Not Mapped"))</f>
        <v>Richard Harris</v>
      </c>
      <c r="D697" s="31" t="str">
        <f aca="false" t="array" ref="D697:D697">IF(B697="","",IFERROR(INDEX('CLM &amp; IM Mapping'!$C$2:$C$270,MATCH(TRIM(B697),'CLM &amp; IM Mapping'!$A$2:$A$270,0)),"Not Mapped"))</f>
        <v>Kantha Kumar</v>
      </c>
      <c r="E697" s="31" t="s">
        <v>34</v>
      </c>
      <c r="F697" s="31" t="s">
        <v>565</v>
      </c>
      <c r="G697" s="31" t="s">
        <v>23</v>
      </c>
      <c r="H697" s="17" t="n">
        <v>5086</v>
      </c>
      <c r="I697" s="32" t="n">
        <v>0.7</v>
      </c>
      <c r="J697" s="33" t="n">
        <v>0.464412111679119</v>
      </c>
      <c r="K697" s="34" t="n">
        <v>0.841236240474174</v>
      </c>
      <c r="L697" s="31" t="n">
        <v>0.986759</v>
      </c>
      <c r="M697" s="31" t="n">
        <v>0.841236240474174</v>
      </c>
      <c r="N697" s="11" t="n">
        <v>2</v>
      </c>
      <c r="O697" s="12"/>
      <c r="P697" s="11"/>
      <c r="Q697" s="8"/>
      <c r="R697" s="8"/>
      <c r="S697" s="8"/>
      <c r="T697" s="8"/>
      <c r="U697" s="8"/>
      <c r="V697" s="8"/>
      <c r="W697" s="8"/>
      <c r="X697" s="8"/>
      <c r="Y697" s="8"/>
      <c r="Z697" s="8"/>
      <c r="AA697" s="8"/>
      <c r="AB697" s="8"/>
      <c r="AC697" s="8"/>
      <c r="AD697" s="8"/>
      <c r="AE697" s="8"/>
      <c r="AF697" s="8"/>
      <c r="AG697" s="8"/>
      <c r="AH697" s="8"/>
      <c r="AI697" s="8"/>
      <c r="AJ697" s="8"/>
      <c r="AK697" s="8"/>
      <c r="AL697" s="8"/>
      <c r="AM697" s="8"/>
    </row>
    <row r="698" customFormat="false" ht="15.75" hidden="false" customHeight="true" outlineLevel="0" collapsed="false">
      <c r="A698" s="30" t="n">
        <v>46305</v>
      </c>
      <c r="B698" s="31" t="s">
        <v>267</v>
      </c>
      <c r="C698" s="31" t="str">
        <f aca="false" t="array" ref="C698:C698">IF(B698="","",IFERROR(INDEX('CLM &amp; IM Mapping'!$B$2:$B$270,MATCH(TRIM(B698),'CLM &amp; IM Mapping'!$A$2:$A$270,0)),"Not Mapped"))</f>
        <v>Balaji G</v>
      </c>
      <c r="D698" s="31" t="str">
        <f aca="false" t="array" ref="D698:D698">IF(B698="","",IFERROR(INDEX('CLM &amp; IM Mapping'!$C$2:$C$270,MATCH(TRIM(B698),'CLM &amp; IM Mapping'!$A$2:$A$270,0)),"Not Mapped"))</f>
        <v>Mohammed Akbar</v>
      </c>
      <c r="E698" s="31" t="s">
        <v>34</v>
      </c>
      <c r="F698" s="31" t="s">
        <v>562</v>
      </c>
      <c r="G698" s="31" t="s">
        <v>23</v>
      </c>
      <c r="H698" s="17" t="n">
        <v>6774</v>
      </c>
      <c r="I698" s="32" t="n">
        <v>0.7</v>
      </c>
      <c r="J698" s="33" t="n">
        <v>0.940360200767641</v>
      </c>
      <c r="K698" s="34" t="n">
        <v>0.943485086342229</v>
      </c>
      <c r="L698" s="31" t="n">
        <v>0.971207</v>
      </c>
      <c r="M698" s="31"/>
      <c r="N698" s="11" t="n">
        <v>3</v>
      </c>
      <c r="O698" s="12"/>
      <c r="P698" s="11"/>
      <c r="Q698" s="8"/>
      <c r="R698" s="8"/>
      <c r="S698" s="8"/>
      <c r="T698" s="8"/>
      <c r="U698" s="8"/>
      <c r="V698" s="8"/>
      <c r="W698" s="8"/>
      <c r="X698" s="8"/>
      <c r="Y698" s="8"/>
      <c r="Z698" s="8"/>
      <c r="AA698" s="8"/>
      <c r="AB698" s="8"/>
      <c r="AC698" s="8"/>
      <c r="AD698" s="8"/>
      <c r="AE698" s="8"/>
      <c r="AF698" s="8"/>
      <c r="AG698" s="8"/>
      <c r="AH698" s="8"/>
      <c r="AI698" s="8"/>
      <c r="AJ698" s="8"/>
      <c r="AK698" s="8"/>
      <c r="AL698" s="8"/>
      <c r="AM698" s="8"/>
    </row>
    <row r="699" customFormat="false" ht="15.75" hidden="false" customHeight="true" outlineLevel="0" collapsed="false">
      <c r="A699" s="30" t="n">
        <v>46305</v>
      </c>
      <c r="B699" s="31" t="s">
        <v>510</v>
      </c>
      <c r="C699" s="31" t="str">
        <f aca="false" t="array" ref="C699:C699">IF(B699="","",IFERROR(INDEX('CLM &amp; IM Mapping'!$B$2:$B$270,MATCH(TRIM(B699),'CLM &amp; IM Mapping'!$A$2:$A$270,0)),"Not Mapped"))</f>
        <v>Manjunatha V</v>
      </c>
      <c r="D699" s="31" t="str">
        <f aca="false" t="array" ref="D699:D699">IF(B699="","",IFERROR(INDEX('CLM &amp; IM Mapping'!$C$2:$C$270,MATCH(TRIM(B699),'CLM &amp; IM Mapping'!$A$2:$A$270,0)),"Not Mapped"))</f>
        <v>Un Mapped</v>
      </c>
      <c r="E699" s="31" t="s">
        <v>34</v>
      </c>
      <c r="F699" s="31" t="s">
        <v>565</v>
      </c>
      <c r="G699" s="31" t="s">
        <v>23</v>
      </c>
      <c r="H699" s="17" t="n">
        <v>5780</v>
      </c>
      <c r="I699" s="32" t="n">
        <v>0.7</v>
      </c>
      <c r="J699" s="33" t="n">
        <v>0.848442906574395</v>
      </c>
      <c r="K699" s="34" t="n">
        <v>0.929853181076672</v>
      </c>
      <c r="L699" s="31" t="n">
        <v>0.983956</v>
      </c>
      <c r="M699" s="31" t="n">
        <v>0.929853181076672</v>
      </c>
      <c r="N699" s="11" t="n">
        <v>3</v>
      </c>
      <c r="O699" s="12"/>
      <c r="P699" s="11"/>
      <c r="Q699" s="8"/>
      <c r="R699" s="8"/>
      <c r="S699" s="8"/>
      <c r="T699" s="8"/>
      <c r="U699" s="8"/>
      <c r="V699" s="8"/>
      <c r="W699" s="8"/>
      <c r="X699" s="8"/>
      <c r="Y699" s="8"/>
      <c r="Z699" s="8"/>
      <c r="AA699" s="8"/>
      <c r="AB699" s="8"/>
      <c r="AC699" s="8"/>
      <c r="AD699" s="8"/>
      <c r="AE699" s="8"/>
      <c r="AF699" s="8"/>
      <c r="AG699" s="8"/>
      <c r="AH699" s="8"/>
      <c r="AI699" s="8"/>
      <c r="AJ699" s="8"/>
      <c r="AK699" s="8"/>
      <c r="AL699" s="8"/>
      <c r="AM699" s="8"/>
    </row>
    <row r="700" customFormat="false" ht="15.75" hidden="false" customHeight="true" outlineLevel="0" collapsed="false">
      <c r="A700" s="30" t="n">
        <v>46305</v>
      </c>
      <c r="B700" s="31" t="s">
        <v>488</v>
      </c>
      <c r="C700" s="31" t="str">
        <f aca="false" t="array" ref="C700:C700">IF(B700="","",IFERROR(INDEX('CLM &amp; IM Mapping'!$B$2:$B$270,MATCH(TRIM(B700),'CLM &amp; IM Mapping'!$A$2:$A$270,0)),"Not Mapped"))</f>
        <v>Sundaresh S</v>
      </c>
      <c r="D700" s="31" t="str">
        <f aca="false" t="array" ref="D700:D700">IF(B700="","",IFERROR(INDEX('CLM &amp; IM Mapping'!$C$2:$C$270,MATCH(TRIM(B700),'CLM &amp; IM Mapping'!$A$2:$A$270,0)),"Not Mapped"))</f>
        <v>Un Mapped</v>
      </c>
      <c r="E700" s="31" t="s">
        <v>34</v>
      </c>
      <c r="F700" s="31" t="s">
        <v>562</v>
      </c>
      <c r="G700" s="31" t="s">
        <v>23</v>
      </c>
      <c r="H700" s="17" t="n">
        <v>5933</v>
      </c>
      <c r="I700" s="32" t="n">
        <v>0.7</v>
      </c>
      <c r="J700" s="33" t="n">
        <v>0.45963256362717</v>
      </c>
      <c r="K700" s="34" t="n">
        <v>0.866886688668867</v>
      </c>
      <c r="L700" s="31" t="n">
        <v>0.974406</v>
      </c>
      <c r="M700" s="31" t="n">
        <v>0.866886688668867</v>
      </c>
      <c r="N700" s="11" t="n">
        <v>3</v>
      </c>
      <c r="O700" s="12"/>
      <c r="P700" s="11"/>
      <c r="Q700" s="8"/>
      <c r="R700" s="8"/>
      <c r="S700" s="8"/>
      <c r="T700" s="8"/>
      <c r="U700" s="8"/>
      <c r="V700" s="8"/>
      <c r="W700" s="8"/>
      <c r="X700" s="8"/>
      <c r="Y700" s="8"/>
      <c r="Z700" s="8"/>
      <c r="AA700" s="8"/>
      <c r="AB700" s="8"/>
      <c r="AC700" s="8"/>
      <c r="AD700" s="8"/>
      <c r="AE700" s="8"/>
      <c r="AF700" s="8"/>
      <c r="AG700" s="8"/>
      <c r="AH700" s="8"/>
      <c r="AI700" s="8"/>
      <c r="AJ700" s="8"/>
      <c r="AK700" s="8"/>
      <c r="AL700" s="8"/>
      <c r="AM700" s="8"/>
    </row>
    <row r="701" customFormat="false" ht="15.75" hidden="false" customHeight="true" outlineLevel="0" collapsed="false">
      <c r="A701" s="30" t="n">
        <v>46305</v>
      </c>
      <c r="B701" s="31" t="s">
        <v>126</v>
      </c>
      <c r="C701" s="31" t="str">
        <f aca="false" t="array" ref="C701:C701">IF(B701="","",IFERROR(INDEX('CLM &amp; IM Mapping'!$B$2:$B$270,MATCH(TRIM(B701),'CLM &amp; IM Mapping'!$A$2:$A$270,0)),"Not Mapped"))</f>
        <v>Girish N</v>
      </c>
      <c r="D701" s="31" t="str">
        <f aca="false" t="array" ref="D701:D701">IF(B701="","",IFERROR(INDEX('CLM &amp; IM Mapping'!$C$2:$C$270,MATCH(TRIM(B701),'CLM &amp; IM Mapping'!$A$2:$A$270,0)),"Not Mapped"))</f>
        <v>Un Mapped</v>
      </c>
      <c r="E701" s="31" t="s">
        <v>34</v>
      </c>
      <c r="F701" s="31" t="s">
        <v>562</v>
      </c>
      <c r="G701" s="31" t="s">
        <v>23</v>
      </c>
      <c r="H701" s="17" t="n">
        <v>6163</v>
      </c>
      <c r="I701" s="32" t="n">
        <v>0.7</v>
      </c>
      <c r="J701" s="33" t="n">
        <v>0.425928930715561</v>
      </c>
      <c r="K701" s="34" t="n">
        <v>0.734857142857143</v>
      </c>
      <c r="L701" s="31" t="n">
        <v>0.87537</v>
      </c>
      <c r="M701" s="31" t="n">
        <v>0.734857142857143</v>
      </c>
      <c r="N701" s="11" t="n">
        <v>3</v>
      </c>
      <c r="O701" s="12"/>
      <c r="P701" s="11"/>
      <c r="Q701" s="8"/>
      <c r="R701" s="8"/>
      <c r="S701" s="8"/>
      <c r="T701" s="8"/>
      <c r="U701" s="8"/>
      <c r="V701" s="8"/>
      <c r="W701" s="8"/>
      <c r="X701" s="8"/>
      <c r="Y701" s="8"/>
      <c r="Z701" s="8"/>
      <c r="AA701" s="8"/>
      <c r="AB701" s="8"/>
      <c r="AC701" s="8"/>
      <c r="AD701" s="8"/>
      <c r="AE701" s="8"/>
      <c r="AF701" s="8"/>
      <c r="AG701" s="8"/>
      <c r="AH701" s="8"/>
      <c r="AI701" s="8"/>
      <c r="AJ701" s="8"/>
      <c r="AK701" s="8"/>
      <c r="AL701" s="8"/>
      <c r="AM701" s="8"/>
    </row>
    <row r="702" customFormat="false" ht="15.75" hidden="false" customHeight="true" outlineLevel="0" collapsed="false">
      <c r="A702" s="30" t="n">
        <v>46305</v>
      </c>
      <c r="B702" s="31" t="s">
        <v>398</v>
      </c>
      <c r="C702" s="31" t="str">
        <f aca="false" t="array" ref="C702:C702">IF(B702="","",IFERROR(INDEX('CLM &amp; IM Mapping'!$B$2:$B$270,MATCH(TRIM(B702),'CLM &amp; IM Mapping'!$A$2:$A$270,0)),"Not Mapped"))</f>
        <v>Raghavendra Vernekar</v>
      </c>
      <c r="D702" s="31" t="str">
        <f aca="false" t="array" ref="D702:D702">IF(B702="","",IFERROR(INDEX('CLM &amp; IM Mapping'!$C$2:$C$270,MATCH(TRIM(B702),'CLM &amp; IM Mapping'!$A$2:$A$270,0)),"Not Mapped"))</f>
        <v>Prakash BS</v>
      </c>
      <c r="E702" s="31" t="s">
        <v>34</v>
      </c>
      <c r="F702" s="31" t="s">
        <v>562</v>
      </c>
      <c r="G702" s="31" t="s">
        <v>23</v>
      </c>
      <c r="H702" s="17" t="n">
        <v>5097</v>
      </c>
      <c r="I702" s="32" t="n">
        <v>0.7</v>
      </c>
      <c r="J702" s="33" t="n">
        <v>0.781047675103002</v>
      </c>
      <c r="K702" s="34" t="n">
        <v>0.786234614418488</v>
      </c>
      <c r="L702" s="31" t="n">
        <v>0.943884</v>
      </c>
      <c r="M702" s="31" t="n">
        <v>0.786234614418488</v>
      </c>
      <c r="N702" s="11" t="n">
        <v>6</v>
      </c>
      <c r="O702" s="12"/>
      <c r="P702" s="11"/>
      <c r="Q702" s="8"/>
      <c r="R702" s="8"/>
      <c r="S702" s="8"/>
      <c r="T702" s="8"/>
      <c r="U702" s="8"/>
      <c r="V702" s="8"/>
      <c r="W702" s="8"/>
      <c r="X702" s="8"/>
      <c r="Y702" s="8"/>
      <c r="Z702" s="8"/>
      <c r="AA702" s="8"/>
      <c r="AB702" s="8"/>
      <c r="AC702" s="8"/>
      <c r="AD702" s="8"/>
      <c r="AE702" s="8"/>
      <c r="AF702" s="8"/>
      <c r="AG702" s="8"/>
      <c r="AH702" s="8"/>
      <c r="AI702" s="8"/>
      <c r="AJ702" s="8"/>
      <c r="AK702" s="8"/>
      <c r="AL702" s="8"/>
      <c r="AM702" s="8"/>
    </row>
    <row r="703" customFormat="false" ht="15.75" hidden="false" customHeight="true" outlineLevel="0" collapsed="false">
      <c r="A703" s="30" t="n">
        <v>46305</v>
      </c>
      <c r="B703" s="31" t="s">
        <v>97</v>
      </c>
      <c r="C703" s="31" t="str">
        <f aca="false" t="array" ref="C703:C703">IF(B703="","",IFERROR(INDEX('CLM &amp; IM Mapping'!$B$2:$B$270,MATCH(TRIM(B703),'CLM &amp; IM Mapping'!$A$2:$A$270,0)),"Not Mapped"))</f>
        <v>Raghavendra Vernekar</v>
      </c>
      <c r="D703" s="31" t="str">
        <f aca="false" t="array" ref="D703:D703">IF(B703="","",IFERROR(INDEX('CLM &amp; IM Mapping'!$C$2:$C$270,MATCH(TRIM(B703),'CLM &amp; IM Mapping'!$A$2:$A$270,0)),"Not Mapped"))</f>
        <v>Prakash BS</v>
      </c>
      <c r="E703" s="31" t="s">
        <v>34</v>
      </c>
      <c r="F703" s="31" t="s">
        <v>562</v>
      </c>
      <c r="G703" s="31" t="s">
        <v>23</v>
      </c>
      <c r="H703" s="17" t="n">
        <v>8294</v>
      </c>
      <c r="I703" s="32" t="n">
        <v>0.7</v>
      </c>
      <c r="J703" s="33" t="n">
        <v>0.627320954907162</v>
      </c>
      <c r="K703" s="34" t="n">
        <v>0.801076302133385</v>
      </c>
      <c r="L703" s="31" t="n">
        <v>0.934445</v>
      </c>
      <c r="M703" s="31" t="n">
        <v>0.801076302133385</v>
      </c>
      <c r="N703" s="11" t="n">
        <v>6</v>
      </c>
      <c r="O703" s="12"/>
      <c r="P703" s="11"/>
      <c r="Q703" s="8"/>
      <c r="R703" s="8"/>
      <c r="S703" s="8"/>
      <c r="T703" s="8"/>
      <c r="U703" s="8"/>
      <c r="V703" s="8"/>
      <c r="W703" s="8"/>
      <c r="X703" s="8"/>
      <c r="Y703" s="8"/>
      <c r="Z703" s="8"/>
      <c r="AA703" s="8"/>
      <c r="AB703" s="8"/>
      <c r="AC703" s="8"/>
      <c r="AD703" s="8"/>
      <c r="AE703" s="8"/>
      <c r="AF703" s="8"/>
      <c r="AG703" s="8"/>
      <c r="AH703" s="8"/>
      <c r="AI703" s="8"/>
      <c r="AJ703" s="8"/>
      <c r="AK703" s="8"/>
      <c r="AL703" s="8"/>
      <c r="AM703" s="8"/>
    </row>
    <row r="704" customFormat="false" ht="15.75" hidden="false" customHeight="true" outlineLevel="0" collapsed="false">
      <c r="A704" s="30" t="n">
        <v>46305</v>
      </c>
      <c r="B704" s="31" t="s">
        <v>426</v>
      </c>
      <c r="C704" s="31" t="str">
        <f aca="false" t="array" ref="C704:C704">IF(B704="","",IFERROR(INDEX('CLM &amp; IM Mapping'!$B$2:$B$270,MATCH(TRIM(B704),'CLM &amp; IM Mapping'!$A$2:$A$270,0)),"Not Mapped"))</f>
        <v>Silambarasan E</v>
      </c>
      <c r="D704" s="31" t="str">
        <f aca="false" t="array" ref="D704:D704">IF(B704="","",IFERROR(INDEX('CLM &amp; IM Mapping'!$C$2:$C$270,MATCH(TRIM(B704),'CLM &amp; IM Mapping'!$A$2:$A$270,0)),"Not Mapped"))</f>
        <v>Arivind S</v>
      </c>
      <c r="E704" s="31" t="s">
        <v>34</v>
      </c>
      <c r="F704" s="31" t="s">
        <v>562</v>
      </c>
      <c r="G704" s="31" t="s">
        <v>23</v>
      </c>
      <c r="H704" s="17" t="n">
        <v>5558</v>
      </c>
      <c r="I704" s="32" t="n">
        <v>0.7</v>
      </c>
      <c r="J704" s="33" t="n">
        <v>0.566930550557755</v>
      </c>
      <c r="K704" s="34" t="n">
        <v>0.847667407172326</v>
      </c>
      <c r="L704" s="31" t="n">
        <v>0.960928</v>
      </c>
      <c r="M704" s="31" t="n">
        <v>0.847667407172326</v>
      </c>
      <c r="N704" s="11" t="n">
        <v>3</v>
      </c>
      <c r="O704" s="12"/>
      <c r="P704" s="11"/>
      <c r="Q704" s="8"/>
      <c r="R704" s="8"/>
      <c r="S704" s="8"/>
      <c r="T704" s="8"/>
      <c r="U704" s="8"/>
      <c r="V704" s="8"/>
      <c r="W704" s="8"/>
      <c r="X704" s="8"/>
      <c r="Y704" s="8"/>
      <c r="Z704" s="8"/>
      <c r="AA704" s="8"/>
      <c r="AB704" s="8"/>
      <c r="AC704" s="8"/>
      <c r="AD704" s="8"/>
      <c r="AE704" s="8"/>
      <c r="AF704" s="8"/>
      <c r="AG704" s="8"/>
      <c r="AH704" s="8"/>
      <c r="AI704" s="8"/>
      <c r="AJ704" s="8"/>
      <c r="AK704" s="8"/>
      <c r="AL704" s="8"/>
      <c r="AM704" s="8"/>
    </row>
    <row r="705" customFormat="false" ht="15" hidden="false" customHeight="false" outlineLevel="0" collapsed="false">
      <c r="A705" s="30" t="n">
        <v>46305</v>
      </c>
      <c r="B705" s="31" t="s">
        <v>388</v>
      </c>
      <c r="C705" s="31" t="str">
        <f aca="false" t="array" ref="C705:C705">IF(B705="","",IFERROR(INDEX('CLM &amp; IM Mapping'!$B$2:$B$270,MATCH(TRIM(B705),'CLM &amp; IM Mapping'!$A$2:$A$270,0)),"Not Mapped"))</f>
        <v>Arun Raj</v>
      </c>
      <c r="D705" s="31" t="str">
        <f aca="false" t="array" ref="D705:D705">IF(B705="","",IFERROR(INDEX('CLM &amp; IM Mapping'!$C$2:$C$270,MATCH(TRIM(B705),'CLM &amp; IM Mapping'!$A$2:$A$270,0)),"Not Mapped"))</f>
        <v>Simon Manoharan</v>
      </c>
      <c r="E705" s="31" t="s">
        <v>25</v>
      </c>
      <c r="F705" s="31" t="s">
        <v>565</v>
      </c>
      <c r="G705" s="31" t="s">
        <v>23</v>
      </c>
      <c r="H705" s="17" t="n">
        <v>12271</v>
      </c>
      <c r="I705" s="32" t="n">
        <v>0.7</v>
      </c>
      <c r="J705" s="33" t="n">
        <v>0.380816559367615</v>
      </c>
      <c r="K705" s="34" t="n">
        <v>0.989300235394821</v>
      </c>
      <c r="L705" s="31" t="n">
        <v>0.998159</v>
      </c>
      <c r="M705" s="31" t="n">
        <v>0.989300235394821</v>
      </c>
      <c r="N705" s="11" t="n">
        <v>2</v>
      </c>
      <c r="O705" s="12"/>
      <c r="P705" s="11"/>
    </row>
    <row r="706" customFormat="false" ht="15" hidden="false" customHeight="false" outlineLevel="0" collapsed="false">
      <c r="A706" s="30" t="n">
        <v>46305</v>
      </c>
      <c r="B706" s="31" t="s">
        <v>248</v>
      </c>
      <c r="C706" s="31" t="str">
        <f aca="false" t="array" ref="C706:C706">IF(B706="","",IFERROR(INDEX('CLM &amp; IM Mapping'!$B$2:$B$270,MATCH(TRIM(B706),'CLM &amp; IM Mapping'!$A$2:$A$270,0)),"Not Mapped"))</f>
        <v>Arun Raj</v>
      </c>
      <c r="D706" s="31" t="str">
        <f aca="false" t="array" ref="D706:D706">IF(B706="","",IFERROR(INDEX('CLM &amp; IM Mapping'!$C$2:$C$270,MATCH(TRIM(B706),'CLM &amp; IM Mapping'!$A$2:$A$270,0)),"Not Mapped"))</f>
        <v>Simon Manoharan</v>
      </c>
      <c r="E706" s="31" t="s">
        <v>25</v>
      </c>
      <c r="F706" s="31" t="s">
        <v>565</v>
      </c>
      <c r="G706" s="31" t="s">
        <v>23</v>
      </c>
      <c r="H706" s="17" t="n">
        <v>12266</v>
      </c>
      <c r="I706" s="32" t="n">
        <v>0.7</v>
      </c>
      <c r="J706" s="33" t="n">
        <v>0.521604435023643</v>
      </c>
      <c r="K706" s="34" t="n">
        <v>0.969834323226008</v>
      </c>
      <c r="L706" s="31" t="n">
        <v>0.991475</v>
      </c>
      <c r="M706" s="31" t="n">
        <v>0.969834323226008</v>
      </c>
      <c r="N706" s="11" t="n">
        <v>1</v>
      </c>
      <c r="O706" s="12"/>
      <c r="P706" s="11"/>
    </row>
    <row r="707" customFormat="false" ht="15" hidden="false" customHeight="false" outlineLevel="0" collapsed="false">
      <c r="A707" s="30" t="n">
        <v>46305</v>
      </c>
      <c r="B707" s="31" t="s">
        <v>461</v>
      </c>
      <c r="C707" s="31" t="str">
        <f aca="false" t="array" ref="C707:C707">IF(B707="","",IFERROR(INDEX('CLM &amp; IM Mapping'!$B$2:$B$270,MATCH(TRIM(B707),'CLM &amp; IM Mapping'!$A$2:$A$270,0)),"Not Mapped"))</f>
        <v>Arun Raj</v>
      </c>
      <c r="D707" s="31" t="str">
        <f aca="false" t="array" ref="D707:D707">IF(B707="","",IFERROR(INDEX('CLM &amp; IM Mapping'!$C$2:$C$270,MATCH(TRIM(B707),'CLM &amp; IM Mapping'!$A$2:$A$270,0)),"Not Mapped"))</f>
        <v>Simon Manoharan</v>
      </c>
      <c r="E707" s="31" t="s">
        <v>25</v>
      </c>
      <c r="F707" s="31" t="s">
        <v>565</v>
      </c>
      <c r="G707" s="31" t="s">
        <v>23</v>
      </c>
      <c r="H707" s="17" t="n">
        <v>12050</v>
      </c>
      <c r="I707" s="32" t="n">
        <v>0.7</v>
      </c>
      <c r="J707" s="33" t="n">
        <v>0.43103734439834</v>
      </c>
      <c r="K707" s="34" t="n">
        <v>0.983057373892953</v>
      </c>
      <c r="L707" s="31" t="n">
        <v>0.996328</v>
      </c>
      <c r="M707" s="31" t="n">
        <v>0.983057373892953</v>
      </c>
      <c r="N707" s="11" t="n">
        <v>2</v>
      </c>
      <c r="O707" s="12"/>
      <c r="P707" s="11"/>
    </row>
    <row r="708" customFormat="false" ht="15" hidden="false" customHeight="false" outlineLevel="0" collapsed="false">
      <c r="A708" s="30" t="n">
        <v>46305</v>
      </c>
      <c r="B708" s="31" t="s">
        <v>291</v>
      </c>
      <c r="C708" s="31" t="str">
        <f aca="false" t="array" ref="C708:C708">IF(B708="","",IFERROR(INDEX('CLM &amp; IM Mapping'!$B$2:$B$270,MATCH(TRIM(B708),'CLM &amp; IM Mapping'!$A$2:$A$270,0)),"Not Mapped"))</f>
        <v>Ashwath S</v>
      </c>
      <c r="D708" s="31" t="str">
        <f aca="false" t="array" ref="D708:D708">IF(B708="","",IFERROR(INDEX('CLM &amp; IM Mapping'!$C$2:$C$270,MATCH(TRIM(B708),'CLM &amp; IM Mapping'!$A$2:$A$270,0)),"Not Mapped"))</f>
        <v>Kantha Kumar</v>
      </c>
      <c r="E708" s="31" t="s">
        <v>34</v>
      </c>
      <c r="F708" s="31" t="s">
        <v>565</v>
      </c>
      <c r="G708" s="31" t="s">
        <v>23</v>
      </c>
      <c r="H708" s="17" t="n">
        <v>5484</v>
      </c>
      <c r="I708" s="32" t="n">
        <v>0.7</v>
      </c>
      <c r="J708" s="33" t="n">
        <v>0.511487964989059</v>
      </c>
      <c r="K708" s="34" t="n">
        <v>0.865597147950089</v>
      </c>
      <c r="L708" s="31" t="n">
        <v>0.934516</v>
      </c>
      <c r="M708" s="31" t="n">
        <v>0.865597147950089</v>
      </c>
      <c r="N708" s="11" t="n">
        <v>2</v>
      </c>
      <c r="O708" s="12"/>
      <c r="P708" s="11"/>
    </row>
    <row r="709" customFormat="false" ht="15" hidden="false" customHeight="false" outlineLevel="0" collapsed="false">
      <c r="A709" s="30" t="n">
        <v>46305</v>
      </c>
      <c r="B709" s="31" t="s">
        <v>491</v>
      </c>
      <c r="C709" s="31" t="str">
        <f aca="false" t="array" ref="C709:C709">IF(B709="","",IFERROR(INDEX('CLM &amp; IM Mapping'!$B$2:$B$270,MATCH(TRIM(B709),'CLM &amp; IM Mapping'!$A$2:$A$270,0)),"Not Mapped"))</f>
        <v>Manjunatha V</v>
      </c>
      <c r="D709" s="31" t="str">
        <f aca="false" t="array" ref="D709:D709">IF(B709="","",IFERROR(INDEX('CLM &amp; IM Mapping'!$C$2:$C$270,MATCH(TRIM(B709),'CLM &amp; IM Mapping'!$A$2:$A$270,0)),"Not Mapped"))</f>
        <v>Un Mapped</v>
      </c>
      <c r="E709" s="31" t="s">
        <v>34</v>
      </c>
      <c r="F709" s="31" t="s">
        <v>565</v>
      </c>
      <c r="G709" s="31" t="s">
        <v>23</v>
      </c>
      <c r="H709" s="17" t="n">
        <v>5022</v>
      </c>
      <c r="I709" s="32" t="n">
        <v>0.7</v>
      </c>
      <c r="J709" s="33" t="n">
        <v>0.567702110712863</v>
      </c>
      <c r="K709" s="34" t="n">
        <v>0.779024903542617</v>
      </c>
      <c r="L709" s="31" t="n">
        <v>0.926306</v>
      </c>
      <c r="M709" s="31" t="n">
        <v>0.779024903542617</v>
      </c>
      <c r="N709" s="11" t="n">
        <v>4</v>
      </c>
      <c r="O709" s="12"/>
      <c r="P709" s="11"/>
    </row>
    <row r="710" customFormat="false" ht="15" hidden="false" customHeight="false" outlineLevel="0" collapsed="false">
      <c r="A710" s="30" t="n">
        <v>46305</v>
      </c>
      <c r="B710" s="31" t="s">
        <v>498</v>
      </c>
      <c r="C710" s="31" t="str">
        <f aca="false" t="array" ref="C710:C710">IF(B710="","",IFERROR(INDEX('CLM &amp; IM Mapping'!$B$2:$B$270,MATCH(TRIM(B710),'CLM &amp; IM Mapping'!$A$2:$A$270,0)),"Not Mapped"))</f>
        <v>Adhavan Subramani</v>
      </c>
      <c r="D710" s="31" t="str">
        <f aca="false" t="array" ref="D710:D710">IF(B710="","",IFERROR(INDEX('CLM &amp; IM Mapping'!$C$2:$C$270,MATCH(TRIM(B710),'CLM &amp; IM Mapping'!$A$2:$A$270,0)),"Not Mapped"))</f>
        <v>Mohammed Akbar</v>
      </c>
      <c r="E710" s="31" t="s">
        <v>34</v>
      </c>
      <c r="F710" s="31" t="s">
        <v>562</v>
      </c>
      <c r="G710" s="31" t="s">
        <v>23</v>
      </c>
      <c r="H710" s="17" t="n">
        <v>5790</v>
      </c>
      <c r="I710" s="32" t="n">
        <v>0.7</v>
      </c>
      <c r="J710" s="33" t="n">
        <v>0.502417962003454</v>
      </c>
      <c r="K710" s="34" t="n">
        <v>0.972499140598144</v>
      </c>
      <c r="L710" s="31" t="n">
        <v>0.954388</v>
      </c>
      <c r="M710" s="31"/>
      <c r="N710" s="11"/>
      <c r="O710" s="12"/>
      <c r="P710" s="11"/>
    </row>
    <row r="711" customFormat="false" ht="15" hidden="false" customHeight="false" outlineLevel="0" collapsed="false">
      <c r="A711" s="30" t="n">
        <v>46305</v>
      </c>
      <c r="B711" s="31" t="s">
        <v>265</v>
      </c>
      <c r="C711" s="31" t="str">
        <f aca="false" t="array" ref="C711:C711">IF(B711="","",IFERROR(INDEX('CLM &amp; IM Mapping'!$B$2:$B$270,MATCH(TRIM(B711),'CLM &amp; IM Mapping'!$A$2:$A$270,0)),"Not Mapped"))</f>
        <v>Adhavan Subramani</v>
      </c>
      <c r="D711" s="31" t="str">
        <f aca="false" t="array" ref="D711:D711">IF(B711="","",IFERROR(INDEX('CLM &amp; IM Mapping'!$C$2:$C$270,MATCH(TRIM(B711),'CLM &amp; IM Mapping'!$A$2:$A$270,0)),"Not Mapped"))</f>
        <v>Mohammed Akbar</v>
      </c>
      <c r="E711" s="31" t="s">
        <v>34</v>
      </c>
      <c r="F711" s="31" t="s">
        <v>565</v>
      </c>
      <c r="G711" s="31" t="s">
        <v>23</v>
      </c>
      <c r="H711" s="17" t="n">
        <v>12257</v>
      </c>
      <c r="I711" s="32" t="n">
        <v>0.7</v>
      </c>
      <c r="J711" s="33" t="n">
        <v>0.448315248429469</v>
      </c>
      <c r="K711" s="34" t="n">
        <v>0.972520473157416</v>
      </c>
      <c r="L711" s="31" t="n">
        <v>0.985806</v>
      </c>
      <c r="M711" s="31"/>
      <c r="N711" s="11" t="n">
        <v>2</v>
      </c>
      <c r="O711" s="12"/>
      <c r="P711" s="11"/>
    </row>
    <row r="712" customFormat="false" ht="15" hidden="false" customHeight="false" outlineLevel="0" collapsed="false">
      <c r="A712" s="30" t="n">
        <v>46305</v>
      </c>
      <c r="B712" s="31" t="s">
        <v>474</v>
      </c>
      <c r="C712" s="31" t="str">
        <f aca="false" t="array" ref="C712:C712">IF(B712="","",IFERROR(INDEX('CLM &amp; IM Mapping'!$B$2:$B$270,MATCH(TRIM(B712),'CLM &amp; IM Mapping'!$A$2:$A$270,0)),"Not Mapped"))</f>
        <v>Silambarasan E</v>
      </c>
      <c r="D712" s="31" t="str">
        <f aca="false" t="array" ref="D712:D712">IF(B712="","",IFERROR(INDEX('CLM &amp; IM Mapping'!$C$2:$C$270,MATCH(TRIM(B712),'CLM &amp; IM Mapping'!$A$2:$A$270,0)),"Not Mapped"))</f>
        <v>Arivind S</v>
      </c>
      <c r="E712" s="31" t="s">
        <v>34</v>
      </c>
      <c r="F712" s="31" t="s">
        <v>562</v>
      </c>
      <c r="G712" s="31" t="s">
        <v>23</v>
      </c>
      <c r="H712" s="17" t="n">
        <v>5228</v>
      </c>
      <c r="I712" s="32" t="n">
        <v>0.7</v>
      </c>
      <c r="J712" s="33" t="n">
        <v>0.617635807192043</v>
      </c>
      <c r="K712" s="34" t="n">
        <v>0.859708888200681</v>
      </c>
      <c r="L712" s="31" t="n">
        <v>0.970708</v>
      </c>
      <c r="M712" s="31" t="n">
        <v>0.859708888200681</v>
      </c>
      <c r="N712" s="11" t="n">
        <v>5</v>
      </c>
      <c r="O712" s="12"/>
      <c r="P712" s="11"/>
    </row>
    <row r="713" customFormat="false" ht="15" hidden="false" customHeight="false" outlineLevel="0" collapsed="false">
      <c r="A713" s="30" t="n">
        <v>46305</v>
      </c>
      <c r="B713" s="31" t="s">
        <v>200</v>
      </c>
      <c r="C713" s="31" t="str">
        <f aca="false" t="array" ref="C713:C713">IF(B713="","",IFERROR(INDEX('CLM &amp; IM Mapping'!$B$2:$B$270,MATCH(TRIM(B713),'CLM &amp; IM Mapping'!$A$2:$A$270,0)),"Not Mapped"))</f>
        <v>Adhavan Subramani</v>
      </c>
      <c r="D713" s="31" t="str">
        <f aca="false" t="array" ref="D713:D713">IF(B713="","",IFERROR(INDEX('CLM &amp; IM Mapping'!$C$2:$C$270,MATCH(TRIM(B713),'CLM &amp; IM Mapping'!$A$2:$A$270,0)),"Not Mapped"))</f>
        <v>Mohammed Akbar</v>
      </c>
      <c r="E713" s="31" t="s">
        <v>34</v>
      </c>
      <c r="F713" s="31" t="s">
        <v>562</v>
      </c>
      <c r="G713" s="31" t="s">
        <v>23</v>
      </c>
      <c r="H713" s="17" t="n">
        <v>6332</v>
      </c>
      <c r="I713" s="32" t="n">
        <v>0.7</v>
      </c>
      <c r="J713" s="33" t="n">
        <v>0.391187618445989</v>
      </c>
      <c r="K713" s="34" t="n">
        <v>0.675817521194994</v>
      </c>
      <c r="L713" s="31" t="n">
        <v>0.834692</v>
      </c>
      <c r="M713" s="31" t="n">
        <v>0.675817521194994</v>
      </c>
      <c r="N713" s="11" t="n">
        <v>3</v>
      </c>
      <c r="O713" s="12"/>
      <c r="P713" s="11"/>
    </row>
    <row r="714" customFormat="false" ht="15" hidden="false" customHeight="false" outlineLevel="0" collapsed="false">
      <c r="A714" s="30" t="n">
        <v>46305</v>
      </c>
      <c r="B714" s="31" t="s">
        <v>345</v>
      </c>
      <c r="C714" s="31" t="str">
        <f aca="false" t="array" ref="C714:C714">IF(B714="","",IFERROR(INDEX('CLM &amp; IM Mapping'!$B$2:$B$270,MATCH(TRIM(B714),'CLM &amp; IM Mapping'!$A$2:$A$270,0)),"Not Mapped"))</f>
        <v>John Britto</v>
      </c>
      <c r="D714" s="31" t="str">
        <f aca="false" t="array" ref="D714:D714">IF(B714="","",IFERROR(INDEX('CLM &amp; IM Mapping'!$C$2:$C$270,MATCH(TRIM(B714),'CLM &amp; IM Mapping'!$A$2:$A$270,0)),"Not Mapped"))</f>
        <v>Aravind S</v>
      </c>
      <c r="E714" s="31" t="s">
        <v>34</v>
      </c>
      <c r="F714" s="31" t="s">
        <v>562</v>
      </c>
      <c r="G714" s="31" t="s">
        <v>303</v>
      </c>
      <c r="H714" s="17" t="n">
        <v>6188</v>
      </c>
      <c r="I714" s="32" t="n">
        <v>0.7</v>
      </c>
      <c r="J714" s="33" t="n">
        <v>0.173561732385262</v>
      </c>
      <c r="K714" s="34" t="n">
        <v>0.853817504655493</v>
      </c>
      <c r="L714" s="31" t="n">
        <v>0.978635</v>
      </c>
      <c r="M714" s="31" t="n">
        <v>0.510441134078212</v>
      </c>
      <c r="N714" s="11" t="n">
        <v>3</v>
      </c>
      <c r="O714" s="12"/>
      <c r="P714" s="11"/>
    </row>
    <row r="715" customFormat="false" ht="15" hidden="false" customHeight="false" outlineLevel="0" collapsed="false">
      <c r="A715" s="30" t="n">
        <v>46305</v>
      </c>
      <c r="B715" s="31" t="s">
        <v>427</v>
      </c>
      <c r="C715" s="31" t="str">
        <f aca="false" t="array" ref="C715:C715">IF(B715="","",IFERROR(INDEX('CLM &amp; IM Mapping'!$B$2:$B$270,MATCH(TRIM(B715),'CLM &amp; IM Mapping'!$A$2:$A$270,0)),"Not Mapped"))</f>
        <v>John Britto</v>
      </c>
      <c r="D715" s="31" t="str">
        <f aca="false" t="array" ref="D715:D715">IF(B715="","",IFERROR(INDEX('CLM &amp; IM Mapping'!$C$2:$C$270,MATCH(TRIM(B715),'CLM &amp; IM Mapping'!$A$2:$A$270,0)),"Not Mapped"))</f>
        <v>Aravind S</v>
      </c>
      <c r="E715" s="31" t="s">
        <v>34</v>
      </c>
      <c r="F715" s="31" t="s">
        <v>562</v>
      </c>
      <c r="G715" s="31" t="s">
        <v>303</v>
      </c>
      <c r="H715" s="17" t="n">
        <v>6707</v>
      </c>
      <c r="I715" s="32" t="n">
        <v>0.7</v>
      </c>
      <c r="J715" s="33" t="n">
        <v>0.462352765767109</v>
      </c>
      <c r="K715" s="34" t="n">
        <v>0.830699774266366</v>
      </c>
      <c r="L715" s="31" t="n">
        <v>0.953471</v>
      </c>
      <c r="M715" s="31" t="n">
        <v>0.830699774266366</v>
      </c>
      <c r="N715" s="11" t="n">
        <v>3</v>
      </c>
      <c r="O715" s="12"/>
      <c r="P715" s="11"/>
    </row>
    <row r="716" customFormat="false" ht="15" hidden="false" customHeight="false" outlineLevel="0" collapsed="false">
      <c r="A716" s="30" t="n">
        <v>46305</v>
      </c>
      <c r="B716" s="31" t="s">
        <v>399</v>
      </c>
      <c r="C716" s="31" t="str">
        <f aca="false" t="array" ref="C716:C716">IF(B716="","",IFERROR(INDEX('CLM &amp; IM Mapping'!$B$2:$B$270,MATCH(TRIM(B716),'CLM &amp; IM Mapping'!$A$2:$A$270,0)),"Not Mapped"))</f>
        <v>John Britto</v>
      </c>
      <c r="D716" s="31" t="str">
        <f aca="false" t="array" ref="D716:D716">IF(B716="","",IFERROR(INDEX('CLM &amp; IM Mapping'!$C$2:$C$270,MATCH(TRIM(B716),'CLM &amp; IM Mapping'!$A$2:$A$270,0)),"Not Mapped"))</f>
        <v>Aravind S</v>
      </c>
      <c r="E716" s="31" t="s">
        <v>34</v>
      </c>
      <c r="F716" s="31" t="s">
        <v>562</v>
      </c>
      <c r="G716" s="31" t="s">
        <v>303</v>
      </c>
      <c r="H716" s="17" t="n">
        <v>7099</v>
      </c>
      <c r="I716" s="32" t="n">
        <v>0.7</v>
      </c>
      <c r="J716" s="33" t="n">
        <v>0.349767572897591</v>
      </c>
      <c r="K716" s="34" t="n">
        <v>0.972613773660894</v>
      </c>
      <c r="L716" s="31" t="n">
        <v>0.97796</v>
      </c>
      <c r="M716" s="31" t="n">
        <v>0.972613773660894</v>
      </c>
      <c r="N716" s="11" t="n">
        <v>1</v>
      </c>
      <c r="O716" s="12"/>
      <c r="P716" s="11"/>
    </row>
    <row r="717" customFormat="false" ht="15" hidden="false" customHeight="false" outlineLevel="0" collapsed="false">
      <c r="A717" s="30" t="n">
        <v>46305</v>
      </c>
      <c r="B717" s="31" t="s">
        <v>447</v>
      </c>
      <c r="C717" s="31" t="str">
        <f aca="false" t="array" ref="C717:C717">IF(B717="","",IFERROR(INDEX('CLM &amp; IM Mapping'!$B$2:$B$270,MATCH(TRIM(B717),'CLM &amp; IM Mapping'!$A$2:$A$270,0)),"Not Mapped"))</f>
        <v>John Britto</v>
      </c>
      <c r="D717" s="31" t="str">
        <f aca="false" t="array" ref="D717:D717">IF(B717="","",IFERROR(INDEX('CLM &amp; IM Mapping'!$C$2:$C$270,MATCH(TRIM(B717),'CLM &amp; IM Mapping'!$A$2:$A$270,0)),"Not Mapped"))</f>
        <v>Aravind S</v>
      </c>
      <c r="E717" s="31" t="s">
        <v>34</v>
      </c>
      <c r="F717" s="31" t="s">
        <v>562</v>
      </c>
      <c r="G717" s="31" t="s">
        <v>303</v>
      </c>
      <c r="H717" s="17" t="n">
        <v>6791</v>
      </c>
      <c r="I717" s="32" t="n">
        <v>0.7</v>
      </c>
      <c r="J717" s="33" t="n">
        <v>0.362244146664703</v>
      </c>
      <c r="K717" s="34" t="n">
        <v>0.985772357723577</v>
      </c>
      <c r="L717" s="31" t="n">
        <v>0.99693</v>
      </c>
      <c r="M717" s="31"/>
      <c r="N717" s="11"/>
      <c r="O717" s="12"/>
      <c r="P717" s="11"/>
    </row>
    <row r="718" customFormat="false" ht="15" hidden="false" customHeight="false" outlineLevel="0" collapsed="false">
      <c r="A718" s="30" t="n">
        <v>46305</v>
      </c>
      <c r="B718" s="31" t="s">
        <v>520</v>
      </c>
      <c r="C718" s="31" t="str">
        <f aca="false" t="array" ref="C718:C718">IF(B718="","",IFERROR(INDEX('CLM &amp; IM Mapping'!$B$2:$B$270,MATCH(TRIM(B718),'CLM &amp; IM Mapping'!$A$2:$A$270,0)),"Not Mapped"))</f>
        <v>John Britto</v>
      </c>
      <c r="D718" s="31" t="str">
        <f aca="false" t="array" ref="D718:D718">IF(B718="","",IFERROR(INDEX('CLM &amp; IM Mapping'!$C$2:$C$270,MATCH(TRIM(B718),'CLM &amp; IM Mapping'!$A$2:$A$270,0)),"Not Mapped"))</f>
        <v>Aravind S</v>
      </c>
      <c r="E718" s="31" t="s">
        <v>34</v>
      </c>
      <c r="F718" s="31" t="s">
        <v>562</v>
      </c>
      <c r="G718" s="31" t="s">
        <v>303</v>
      </c>
      <c r="H718" s="17" t="n">
        <v>5602</v>
      </c>
      <c r="I718" s="32" t="n">
        <v>0.7</v>
      </c>
      <c r="J718" s="33" t="n">
        <v>0.877008211353088</v>
      </c>
      <c r="K718" s="34" t="n">
        <v>0.893954813759414</v>
      </c>
      <c r="L718" s="31" t="n">
        <v>0.973727</v>
      </c>
      <c r="M718" s="31" t="n">
        <v>0.893954813759414</v>
      </c>
      <c r="N718" s="11" t="n">
        <v>3</v>
      </c>
      <c r="O718" s="12"/>
      <c r="P718" s="11"/>
    </row>
    <row r="719" customFormat="false" ht="15" hidden="false" customHeight="false" outlineLevel="0" collapsed="false">
      <c r="A719" s="30" t="n">
        <v>46305</v>
      </c>
      <c r="B719" s="31" t="s">
        <v>304</v>
      </c>
      <c r="C719" s="31" t="str">
        <f aca="false" t="array" ref="C719:C719">IF(B719="","",IFERROR(INDEX('CLM &amp; IM Mapping'!$B$2:$B$270,MATCH(TRIM(B719),'CLM &amp; IM Mapping'!$A$2:$A$270,0)),"Not Mapped"))</f>
        <v>John Britto</v>
      </c>
      <c r="D719" s="31" t="str">
        <f aca="false" t="array" ref="D719:D719">IF(B719="","",IFERROR(INDEX('CLM &amp; IM Mapping'!$C$2:$C$270,MATCH(TRIM(B719),'CLM &amp; IM Mapping'!$A$2:$A$270,0)),"Not Mapped"))</f>
        <v>Aravind S</v>
      </c>
      <c r="E719" s="31" t="s">
        <v>34</v>
      </c>
      <c r="F719" s="31" t="s">
        <v>562</v>
      </c>
      <c r="G719" s="31" t="s">
        <v>303</v>
      </c>
      <c r="H719" s="17" t="n">
        <v>5441</v>
      </c>
      <c r="I719" s="32" t="n">
        <v>0.7</v>
      </c>
      <c r="J719" s="33" t="n">
        <v>0.67156772652086</v>
      </c>
      <c r="K719" s="34" t="n">
        <v>0.850574712643678</v>
      </c>
      <c r="L719" s="31" t="n">
        <v>0.960796</v>
      </c>
      <c r="M719" s="31" t="n">
        <v>0.850574712643678</v>
      </c>
      <c r="N719" s="11" t="n">
        <v>2</v>
      </c>
      <c r="O719" s="12"/>
      <c r="P719" s="11"/>
    </row>
    <row r="720" customFormat="false" ht="15" hidden="false" customHeight="false" outlineLevel="0" collapsed="false">
      <c r="A720" s="30" t="n">
        <v>46305</v>
      </c>
      <c r="B720" s="31" t="s">
        <v>319</v>
      </c>
      <c r="C720" s="31" t="str">
        <f aca="false" t="array" ref="C720:C720">IF(B720="","",IFERROR(INDEX('CLM &amp; IM Mapping'!$B$2:$B$270,MATCH(TRIM(B720),'CLM &amp; IM Mapping'!$A$2:$A$270,0)),"Not Mapped"))</f>
        <v>John Britto</v>
      </c>
      <c r="D720" s="31" t="str">
        <f aca="false" t="array" ref="D720:D720">IF(B720="","",IFERROR(INDEX('CLM &amp; IM Mapping'!$C$2:$C$270,MATCH(TRIM(B720),'CLM &amp; IM Mapping'!$A$2:$A$270,0)),"Not Mapped"))</f>
        <v>Aravind S</v>
      </c>
      <c r="E720" s="31" t="s">
        <v>34</v>
      </c>
      <c r="F720" s="31" t="s">
        <v>562</v>
      </c>
      <c r="G720" s="31" t="s">
        <v>303</v>
      </c>
      <c r="H720" s="17" t="n">
        <v>6277</v>
      </c>
      <c r="I720" s="32" t="n">
        <v>0.7</v>
      </c>
      <c r="J720" s="33" t="n">
        <v>0.194041739684563</v>
      </c>
      <c r="K720" s="34" t="n">
        <v>0.848111658456486</v>
      </c>
      <c r="L720" s="31" t="n">
        <v>0.970044</v>
      </c>
      <c r="M720" s="31" t="n">
        <v>0.566859174055829</v>
      </c>
      <c r="N720" s="11" t="n">
        <v>2</v>
      </c>
      <c r="O720" s="12"/>
      <c r="P720" s="11"/>
    </row>
    <row r="721" customFormat="false" ht="15" hidden="false" customHeight="false" outlineLevel="0" collapsed="false">
      <c r="A721" s="30" t="n">
        <v>46305</v>
      </c>
      <c r="B721" s="31" t="s">
        <v>458</v>
      </c>
      <c r="C721" s="31" t="str">
        <f aca="false" t="array" ref="C721:C721">IF(B721="","",IFERROR(INDEX('CLM &amp; IM Mapping'!$B$2:$B$270,MATCH(TRIM(B721),'CLM &amp; IM Mapping'!$A$2:$A$270,0)),"Not Mapped"))</f>
        <v>John Britto</v>
      </c>
      <c r="D721" s="31" t="str">
        <f aca="false" t="array" ref="D721:D721">IF(B721="","",IFERROR(INDEX('CLM &amp; IM Mapping'!$C$2:$C$270,MATCH(TRIM(B721),'CLM &amp; IM Mapping'!$A$2:$A$270,0)),"Not Mapped"))</f>
        <v>Aravind S</v>
      </c>
      <c r="E721" s="31" t="s">
        <v>34</v>
      </c>
      <c r="F721" s="31" t="s">
        <v>562</v>
      </c>
      <c r="G721" s="31" t="s">
        <v>303</v>
      </c>
      <c r="H721" s="17" t="n">
        <v>7163</v>
      </c>
      <c r="I721" s="32" t="n">
        <v>0.7</v>
      </c>
      <c r="J721" s="33" t="n">
        <v>0.317604355716878</v>
      </c>
      <c r="K721" s="34" t="n">
        <v>0.923516483516484</v>
      </c>
      <c r="L721" s="31" t="n">
        <v>0.970824</v>
      </c>
      <c r="M721" s="31" t="n">
        <v>0.923516483516484</v>
      </c>
      <c r="N721" s="11" t="n">
        <v>1</v>
      </c>
      <c r="O721" s="12"/>
      <c r="P721" s="11"/>
    </row>
    <row r="722" customFormat="false" ht="15" hidden="false" customHeight="false" outlineLevel="0" collapsed="false">
      <c r="A722" s="30" t="n">
        <v>46305</v>
      </c>
      <c r="B722" s="31" t="s">
        <v>475</v>
      </c>
      <c r="C722" s="31" t="str">
        <f aca="false" t="array" ref="C722:C722">IF(B722="","",IFERROR(INDEX('CLM &amp; IM Mapping'!$B$2:$B$270,MATCH(TRIM(B722),'CLM &amp; IM Mapping'!$A$2:$A$270,0)),"Not Mapped"))</f>
        <v>John Britto</v>
      </c>
      <c r="D722" s="31" t="str">
        <f aca="false" t="array" ref="D722:D722">IF(B722="","",IFERROR(INDEX('CLM &amp; IM Mapping'!$C$2:$C$270,MATCH(TRIM(B722),'CLM &amp; IM Mapping'!$A$2:$A$270,0)),"Not Mapped"))</f>
        <v>Aravind S</v>
      </c>
      <c r="E722" s="31" t="s">
        <v>34</v>
      </c>
      <c r="F722" s="31" t="s">
        <v>562</v>
      </c>
      <c r="G722" s="31" t="s">
        <v>303</v>
      </c>
      <c r="H722" s="17" t="n">
        <v>5043</v>
      </c>
      <c r="I722" s="32" t="n">
        <v>0.7</v>
      </c>
      <c r="J722" s="33" t="n">
        <v>0.838786436644854</v>
      </c>
      <c r="K722" s="34" t="n">
        <v>0.848936170212766</v>
      </c>
      <c r="L722" s="31" t="n">
        <v>0.957541</v>
      </c>
      <c r="M722" s="31" t="n">
        <v>0.848936170212766</v>
      </c>
      <c r="N722" s="11" t="n">
        <v>1</v>
      </c>
      <c r="O722" s="12"/>
      <c r="P722" s="11"/>
    </row>
    <row r="723" customFormat="false" ht="15" hidden="false" customHeight="false" outlineLevel="0" collapsed="false">
      <c r="A723" s="30" t="n">
        <v>46305</v>
      </c>
      <c r="B723" s="31" t="s">
        <v>391</v>
      </c>
      <c r="C723" s="31" t="str">
        <f aca="false" t="array" ref="C723:C723">IF(B723="","",IFERROR(INDEX('CLM &amp; IM Mapping'!$B$2:$B$270,MATCH(TRIM(B723),'CLM &amp; IM Mapping'!$A$2:$A$270,0)),"Not Mapped"))</f>
        <v>John Britto</v>
      </c>
      <c r="D723" s="31" t="str">
        <f aca="false" t="array" ref="D723:D723">IF(B723="","",IFERROR(INDEX('CLM &amp; IM Mapping'!$C$2:$C$270,MATCH(TRIM(B723),'CLM &amp; IM Mapping'!$A$2:$A$270,0)),"Not Mapped"))</f>
        <v>Aravind S</v>
      </c>
      <c r="E723" s="31" t="s">
        <v>34</v>
      </c>
      <c r="F723" s="31" t="s">
        <v>562</v>
      </c>
      <c r="G723" s="31" t="s">
        <v>303</v>
      </c>
      <c r="H723" s="17" t="n">
        <v>5114</v>
      </c>
      <c r="I723" s="32" t="n">
        <v>0.7</v>
      </c>
      <c r="J723" s="33" t="n">
        <v>0.0754790770434102</v>
      </c>
      <c r="K723" s="34" t="n">
        <v>0.914507772020725</v>
      </c>
      <c r="L723" s="31" t="n">
        <v>0.939538</v>
      </c>
      <c r="M723" s="31" t="n">
        <v>0.237761961139896</v>
      </c>
      <c r="N723" s="11" t="n">
        <v>1</v>
      </c>
      <c r="O723" s="12"/>
      <c r="P723" s="11"/>
    </row>
    <row r="724" customFormat="false" ht="15" hidden="false" customHeight="false" outlineLevel="0" collapsed="false">
      <c r="A724" s="30" t="n">
        <v>46305</v>
      </c>
      <c r="B724" s="31" t="s">
        <v>395</v>
      </c>
      <c r="C724" s="31" t="str">
        <f aca="false" t="array" ref="C724:C724">IF(B724="","",IFERROR(INDEX('CLM &amp; IM Mapping'!$B$2:$B$270,MATCH(TRIM(B724),'CLM &amp; IM Mapping'!$A$2:$A$270,0)),"Not Mapped"))</f>
        <v>Bangareppa CS</v>
      </c>
      <c r="D724" s="31" t="str">
        <f aca="false" t="array" ref="D724:D724">IF(B724="","",IFERROR(INDEX('CLM &amp; IM Mapping'!$C$2:$C$270,MATCH(TRIM(B724),'CLM &amp; IM Mapping'!$A$2:$A$270,0)),"Not Mapped"))</f>
        <v>Kishor K</v>
      </c>
      <c r="E724" s="31" t="s">
        <v>34</v>
      </c>
      <c r="F724" s="31" t="s">
        <v>562</v>
      </c>
      <c r="G724" s="31" t="s">
        <v>394</v>
      </c>
      <c r="H724" s="17" t="n">
        <v>5508</v>
      </c>
      <c r="I724" s="32" t="n">
        <v>0.7</v>
      </c>
      <c r="J724" s="33" t="n">
        <v>0.675018155410312</v>
      </c>
      <c r="K724" s="34" t="n">
        <v>0.985476062399139</v>
      </c>
      <c r="L724" s="31" t="n">
        <v>0.992132</v>
      </c>
      <c r="M724" s="31" t="n">
        <v>0.985476062399139</v>
      </c>
      <c r="N724" s="11" t="n">
        <v>2</v>
      </c>
      <c r="O724" s="12"/>
      <c r="P724" s="11"/>
    </row>
    <row r="725" customFormat="false" ht="15" hidden="false" customHeight="false" outlineLevel="0" collapsed="false">
      <c r="A725" s="30" t="n">
        <v>46305</v>
      </c>
      <c r="B725" s="31" t="s">
        <v>400</v>
      </c>
      <c r="C725" s="31" t="str">
        <f aca="false" t="array" ref="C725:C725">IF(B725="","",IFERROR(INDEX('CLM &amp; IM Mapping'!$B$2:$B$270,MATCH(TRIM(B725),'CLM &amp; IM Mapping'!$A$2:$A$270,0)),"Not Mapped"))</f>
        <v>Bangareppa CS</v>
      </c>
      <c r="D725" s="31" t="str">
        <f aca="false" t="array" ref="D725:D725">IF(B725="","",IFERROR(INDEX('CLM &amp; IM Mapping'!$C$2:$C$270,MATCH(TRIM(B725),'CLM &amp; IM Mapping'!$A$2:$A$270,0)),"Not Mapped"))</f>
        <v>Kishor K</v>
      </c>
      <c r="E725" s="31" t="s">
        <v>34</v>
      </c>
      <c r="F725" s="31" t="s">
        <v>562</v>
      </c>
      <c r="G725" s="31" t="s">
        <v>394</v>
      </c>
      <c r="H725" s="17" t="n">
        <v>6112</v>
      </c>
      <c r="I725" s="32" t="n">
        <v>0.7</v>
      </c>
      <c r="J725" s="33" t="n">
        <v>0.827879581151833</v>
      </c>
      <c r="K725" s="34" t="n">
        <v>0.961660079051383</v>
      </c>
      <c r="L725" s="31" t="n">
        <v>0.980312</v>
      </c>
      <c r="M725" s="31" t="n">
        <v>0.961660079051383</v>
      </c>
      <c r="N725" s="11" t="n">
        <v>2</v>
      </c>
      <c r="O725" s="12"/>
      <c r="P725" s="11"/>
    </row>
    <row r="726" customFormat="false" ht="15" hidden="false" customHeight="false" outlineLevel="0" collapsed="false">
      <c r="A726" s="30" t="n">
        <v>46305</v>
      </c>
      <c r="B726" s="31" t="s">
        <v>178</v>
      </c>
      <c r="C726" s="31" t="str">
        <f aca="false" t="array" ref="C726:C726">IF(B726="","",IFERROR(INDEX('CLM &amp; IM Mapping'!$B$2:$B$270,MATCH(TRIM(B726),'CLM &amp; IM Mapping'!$A$2:$A$270,0)),"Not Mapped"))</f>
        <v>Balaji G</v>
      </c>
      <c r="D726" s="31" t="str">
        <f aca="false" t="array" ref="D726:D726">IF(B726="","",IFERROR(INDEX('CLM &amp; IM Mapping'!$C$2:$C$270,MATCH(TRIM(B726),'CLM &amp; IM Mapping'!$A$2:$A$270,0)),"Not Mapped"))</f>
        <v>Mohammed Akbar</v>
      </c>
      <c r="E726" s="31" t="s">
        <v>34</v>
      </c>
      <c r="F726" s="31" t="s">
        <v>562</v>
      </c>
      <c r="G726" s="31" t="s">
        <v>177</v>
      </c>
      <c r="H726" s="17" t="n">
        <v>4841</v>
      </c>
      <c r="I726" s="32" t="n">
        <v>0.7</v>
      </c>
      <c r="J726" s="33" t="n">
        <v>0.759760380086759</v>
      </c>
      <c r="K726" s="34" t="n">
        <v>0.85073409461664</v>
      </c>
      <c r="L726" s="31" t="n">
        <v>0.957543</v>
      </c>
      <c r="M726" s="31" t="n">
        <v>0.85073409461664</v>
      </c>
      <c r="N726" s="11" t="n">
        <v>3</v>
      </c>
      <c r="O726" s="12"/>
      <c r="P726" s="11"/>
    </row>
    <row r="727" customFormat="false" ht="15" hidden="false" customHeight="false" outlineLevel="0" collapsed="false">
      <c r="A727" s="30" t="n">
        <v>46305</v>
      </c>
      <c r="B727" s="31" t="s">
        <v>213</v>
      </c>
      <c r="C727" s="31" t="str">
        <f aca="false" t="array" ref="C727:C727">IF(B727="","",IFERROR(INDEX('CLM &amp; IM Mapping'!$B$2:$B$270,MATCH(TRIM(B727),'CLM &amp; IM Mapping'!$A$2:$A$270,0)),"Not Mapped"))</f>
        <v>Bangareppa CS</v>
      </c>
      <c r="D727" s="31" t="str">
        <f aca="false" t="array" ref="D727:D727">IF(B727="","",IFERROR(INDEX('CLM &amp; IM Mapping'!$C$2:$C$270,MATCH(TRIM(B727),'CLM &amp; IM Mapping'!$A$2:$A$270,0)),"Not Mapped"))</f>
        <v>Kishor K</v>
      </c>
      <c r="E727" s="31" t="s">
        <v>34</v>
      </c>
      <c r="F727" s="31" t="s">
        <v>565</v>
      </c>
      <c r="G727" s="31" t="s">
        <v>212</v>
      </c>
      <c r="H727" s="17" t="n">
        <v>6805</v>
      </c>
      <c r="I727" s="32" t="n">
        <v>0.7</v>
      </c>
      <c r="J727" s="33" t="n">
        <v>0.534753857457752</v>
      </c>
      <c r="K727" s="34" t="n">
        <v>0.933498213794999</v>
      </c>
      <c r="L727" s="31" t="n">
        <v>0.980684</v>
      </c>
      <c r="M727" s="31" t="n">
        <v>0.933498213794999</v>
      </c>
      <c r="N727" s="11" t="n">
        <v>2</v>
      </c>
      <c r="O727" s="12"/>
      <c r="P727" s="11"/>
    </row>
    <row r="728" customFormat="false" ht="15" hidden="false" customHeight="false" outlineLevel="0" collapsed="false">
      <c r="A728" s="30" t="n">
        <v>46305</v>
      </c>
      <c r="B728" s="31" t="s">
        <v>440</v>
      </c>
      <c r="C728" s="31" t="str">
        <f aca="false" t="array" ref="C728:C728">IF(B728="","",IFERROR(INDEX('CLM &amp; IM Mapping'!$B$2:$B$270,MATCH(TRIM(B728),'CLM &amp; IM Mapping'!$A$2:$A$270,0)),"Not Mapped"))</f>
        <v>Bangareppa CS</v>
      </c>
      <c r="D728" s="31" t="str">
        <f aca="false" t="array" ref="D728:D728">IF(B728="","",IFERROR(INDEX('CLM &amp; IM Mapping'!$C$2:$C$270,MATCH(TRIM(B728),'CLM &amp; IM Mapping'!$A$2:$A$270,0)),"Not Mapped"))</f>
        <v>Kishor K</v>
      </c>
      <c r="E728" s="31" t="s">
        <v>34</v>
      </c>
      <c r="F728" s="31" t="s">
        <v>562</v>
      </c>
      <c r="G728" s="31" t="s">
        <v>212</v>
      </c>
      <c r="H728" s="17" t="n">
        <v>5445</v>
      </c>
      <c r="I728" s="32" t="n">
        <v>0.7</v>
      </c>
      <c r="J728" s="33" t="n">
        <v>0.925068870523416</v>
      </c>
      <c r="K728" s="34" t="n">
        <v>0.984117530275958</v>
      </c>
      <c r="L728" s="31" t="n">
        <v>0.990296</v>
      </c>
      <c r="M728" s="31"/>
      <c r="N728" s="11" t="n">
        <v>1</v>
      </c>
      <c r="O728" s="12"/>
      <c r="P728" s="11"/>
    </row>
    <row r="729" customFormat="false" ht="15" hidden="false" customHeight="false" outlineLevel="0" collapsed="false">
      <c r="A729" s="30" t="n">
        <v>46305</v>
      </c>
      <c r="B729" s="31" t="s">
        <v>472</v>
      </c>
      <c r="C729" s="31" t="str">
        <f aca="false" t="array" ref="C729:C729">IF(B729="","",IFERROR(INDEX('CLM &amp; IM Mapping'!$B$2:$B$270,MATCH(TRIM(B729),'CLM &amp; IM Mapping'!$A$2:$A$270,0)),"Not Mapped"))</f>
        <v>Bangareppa CS</v>
      </c>
      <c r="D729" s="31" t="str">
        <f aca="false" t="array" ref="D729:D729">IF(B729="","",IFERROR(INDEX('CLM &amp; IM Mapping'!$C$2:$C$270,MATCH(TRIM(B729),'CLM &amp; IM Mapping'!$A$2:$A$270,0)),"Not Mapped"))</f>
        <v>Kishor K</v>
      </c>
      <c r="E729" s="31" t="s">
        <v>34</v>
      </c>
      <c r="F729" s="31" t="s">
        <v>562</v>
      </c>
      <c r="G729" s="31" t="s">
        <v>212</v>
      </c>
      <c r="H729" s="17" t="n">
        <v>5711</v>
      </c>
      <c r="I729" s="32" t="n">
        <v>0.7</v>
      </c>
      <c r="J729" s="33" t="n">
        <v>0.697601120644371</v>
      </c>
      <c r="K729" s="34" t="n">
        <v>0.871736947791165</v>
      </c>
      <c r="L729" s="31" t="n">
        <v>0.968003</v>
      </c>
      <c r="M729" s="31" t="n">
        <v>0.871736947791165</v>
      </c>
      <c r="N729" s="11" t="n">
        <v>3</v>
      </c>
      <c r="O729" s="12"/>
      <c r="P729" s="11"/>
    </row>
    <row r="730" customFormat="false" ht="15" hidden="false" customHeight="false" outlineLevel="0" collapsed="false">
      <c r="A730" s="30" t="n">
        <v>46305</v>
      </c>
      <c r="B730" s="31" t="s">
        <v>300</v>
      </c>
      <c r="C730" s="31" t="str">
        <f aca="false" t="array" ref="C730:C730">IF(B730="","",IFERROR(INDEX('CLM &amp; IM Mapping'!$B$2:$B$270,MATCH(TRIM(B730),'CLM &amp; IM Mapping'!$A$2:$A$270,0)),"Not Mapped"))</f>
        <v>Bangareppa CS</v>
      </c>
      <c r="D730" s="31" t="str">
        <f aca="false" t="array" ref="D730:D730">IF(B730="","",IFERROR(INDEX('CLM &amp; IM Mapping'!$C$2:$C$270,MATCH(TRIM(B730),'CLM &amp; IM Mapping'!$A$2:$A$270,0)),"Not Mapped"))</f>
        <v>Kishor K</v>
      </c>
      <c r="E730" s="31" t="s">
        <v>34</v>
      </c>
      <c r="F730" s="31" t="s">
        <v>565</v>
      </c>
      <c r="G730" s="31" t="s">
        <v>212</v>
      </c>
      <c r="H730" s="17" t="n">
        <v>5252</v>
      </c>
      <c r="I730" s="32" t="n">
        <v>0.7</v>
      </c>
      <c r="J730" s="33" t="n">
        <v>0.581492764661082</v>
      </c>
      <c r="K730" s="34" t="n">
        <v>0.914538310412574</v>
      </c>
      <c r="L730" s="31" t="n">
        <v>0.973792</v>
      </c>
      <c r="M730" s="31" t="n">
        <v>0.914538310412574</v>
      </c>
      <c r="N730" s="11" t="n">
        <v>2</v>
      </c>
      <c r="O730" s="12"/>
      <c r="P730" s="11"/>
    </row>
    <row r="731" customFormat="false" ht="15" hidden="false" customHeight="false" outlineLevel="0" collapsed="false">
      <c r="A731" s="30" t="n">
        <v>46305</v>
      </c>
      <c r="B731" s="31" t="s">
        <v>224</v>
      </c>
      <c r="C731" s="31" t="str">
        <f aca="false" t="array" ref="C731:C731">IF(B731="","",IFERROR(INDEX('CLM &amp; IM Mapping'!$B$2:$B$270,MATCH(TRIM(B731),'CLM &amp; IM Mapping'!$A$2:$A$270,0)),"Not Mapped"))</f>
        <v>Vishnu V</v>
      </c>
      <c r="D731" s="31" t="str">
        <f aca="false" t="array" ref="D731:D731">IF(B731="","",IFERROR(INDEX('CLM &amp; IM Mapping'!$C$2:$C$270,MATCH(TRIM(B731),'CLM &amp; IM Mapping'!$A$2:$A$270,0)),"Not Mapped"))</f>
        <v>Arivind S</v>
      </c>
      <c r="E731" s="31" t="s">
        <v>25</v>
      </c>
      <c r="F731" s="31" t="s">
        <v>565</v>
      </c>
      <c r="G731" s="31" t="s">
        <v>221</v>
      </c>
      <c r="H731" s="17" t="n">
        <v>6058</v>
      </c>
      <c r="I731" s="32" t="n">
        <v>0.7</v>
      </c>
      <c r="J731" s="33" t="n">
        <v>0.294651700231099</v>
      </c>
      <c r="K731" s="34" t="n">
        <v>0.994397759103642</v>
      </c>
      <c r="L731" s="31" t="n">
        <v>0.998452</v>
      </c>
      <c r="M731" s="31" t="n">
        <v>0.994397759103642</v>
      </c>
      <c r="N731" s="11" t="n">
        <v>1</v>
      </c>
      <c r="O731" s="12"/>
      <c r="P731" s="11"/>
    </row>
    <row r="732" customFormat="false" ht="15" hidden="false" customHeight="false" outlineLevel="0" collapsed="false">
      <c r="A732" s="30" t="n">
        <v>46305</v>
      </c>
      <c r="B732" s="31" t="s">
        <v>466</v>
      </c>
      <c r="C732" s="31" t="str">
        <f aca="false" t="array" ref="C732:C732">IF(B732="","",IFERROR(INDEX('CLM &amp; IM Mapping'!$B$2:$B$270,MATCH(TRIM(B732),'CLM &amp; IM Mapping'!$A$2:$A$270,0)),"Not Mapped"))</f>
        <v>Vishnu V</v>
      </c>
      <c r="D732" s="31" t="str">
        <f aca="false" t="array" ref="D732:D732">IF(B732="","",IFERROR(INDEX('CLM &amp; IM Mapping'!$C$2:$C$270,MATCH(TRIM(B732),'CLM &amp; IM Mapping'!$A$2:$A$270,0)),"Not Mapped"))</f>
        <v>Arivind S</v>
      </c>
      <c r="E732" s="31" t="s">
        <v>34</v>
      </c>
      <c r="F732" s="31" t="s">
        <v>562</v>
      </c>
      <c r="G732" s="31" t="s">
        <v>221</v>
      </c>
      <c r="H732" s="17" t="n">
        <v>5902</v>
      </c>
      <c r="I732" s="32" t="n">
        <v>0.7</v>
      </c>
      <c r="J732" s="33" t="n">
        <v>0.900881057268722</v>
      </c>
      <c r="K732" s="34" t="n">
        <v>0.920067707353771</v>
      </c>
      <c r="L732" s="31" t="n">
        <v>0.976073</v>
      </c>
      <c r="M732" s="31" t="n">
        <v>0.920067707353771</v>
      </c>
      <c r="N732" s="11" t="n">
        <v>3</v>
      </c>
      <c r="O732" s="12"/>
      <c r="P732" s="11"/>
    </row>
    <row r="733" customFormat="false" ht="15" hidden="false" customHeight="false" outlineLevel="0" collapsed="false">
      <c r="A733" s="30" t="n">
        <v>46305</v>
      </c>
      <c r="B733" s="31" t="s">
        <v>431</v>
      </c>
      <c r="C733" s="31" t="str">
        <f aca="false" t="array" ref="C733:C733">IF(B733="","",IFERROR(INDEX('CLM &amp; IM Mapping'!$B$2:$B$270,MATCH(TRIM(B733),'CLM &amp; IM Mapping'!$A$2:$A$270,0)),"Not Mapped"))</f>
        <v>Vishnu V</v>
      </c>
      <c r="D733" s="31" t="str">
        <f aca="false" t="array" ref="D733:D733">IF(B733="","",IFERROR(INDEX('CLM &amp; IM Mapping'!$C$2:$C$270,MATCH(TRIM(B733),'CLM &amp; IM Mapping'!$A$2:$A$270,0)),"Not Mapped"))</f>
        <v>Arivind S</v>
      </c>
      <c r="E733" s="31" t="s">
        <v>34</v>
      </c>
      <c r="F733" s="31" t="s">
        <v>562</v>
      </c>
      <c r="G733" s="31" t="s">
        <v>221</v>
      </c>
      <c r="H733" s="17" t="n">
        <v>5215</v>
      </c>
      <c r="I733" s="32" t="n">
        <v>0.7</v>
      </c>
      <c r="J733" s="33" t="n">
        <v>0.865963566634708</v>
      </c>
      <c r="K733" s="34" t="n">
        <v>0.903897254207263</v>
      </c>
      <c r="L733" s="31" t="n">
        <v>0.971533</v>
      </c>
      <c r="M733" s="31" t="n">
        <v>0.903897254207263</v>
      </c>
      <c r="N733" s="11" t="n">
        <v>3</v>
      </c>
      <c r="O733" s="12"/>
      <c r="P733" s="11"/>
    </row>
    <row r="734" customFormat="false" ht="15" hidden="false" customHeight="false" outlineLevel="0" collapsed="false">
      <c r="A734" s="30" t="n">
        <v>46305</v>
      </c>
      <c r="B734" s="31" t="s">
        <v>222</v>
      </c>
      <c r="C734" s="31" t="str">
        <f aca="false" t="array" ref="C734:C734">IF(B734="","",IFERROR(INDEX('CLM &amp; IM Mapping'!$B$2:$B$270,MATCH(TRIM(B734),'CLM &amp; IM Mapping'!$A$2:$A$270,0)),"Not Mapped"))</f>
        <v>Vishnu V</v>
      </c>
      <c r="D734" s="31" t="str">
        <f aca="false" t="array" ref="D734:D734">IF(B734="","",IFERROR(INDEX('CLM &amp; IM Mapping'!$C$2:$C$270,MATCH(TRIM(B734),'CLM &amp; IM Mapping'!$A$2:$A$270,0)),"Not Mapped"))</f>
        <v>Arivind S</v>
      </c>
      <c r="E734" s="31" t="s">
        <v>34</v>
      </c>
      <c r="F734" s="31" t="s">
        <v>562</v>
      </c>
      <c r="G734" s="31" t="s">
        <v>221</v>
      </c>
      <c r="H734" s="17" t="n">
        <v>6377</v>
      </c>
      <c r="I734" s="32" t="n">
        <v>0.7</v>
      </c>
      <c r="J734" s="33" t="n">
        <v>0.651873921906853</v>
      </c>
      <c r="K734" s="34" t="n">
        <v>0.906904017320183</v>
      </c>
      <c r="L734" s="31" t="n">
        <v>0.97294</v>
      </c>
      <c r="M734" s="31" t="n">
        <v>0.906904017320183</v>
      </c>
      <c r="N734" s="11" t="n">
        <v>3</v>
      </c>
      <c r="O734" s="12"/>
      <c r="P734" s="11"/>
    </row>
    <row r="735" customFormat="false" ht="15" hidden="false" customHeight="false" outlineLevel="0" collapsed="false">
      <c r="A735" s="30" t="n">
        <v>46305</v>
      </c>
      <c r="B735" s="31" t="s">
        <v>415</v>
      </c>
      <c r="C735" s="31" t="str">
        <f aca="false" t="array" ref="C735:C735">IF(B735="","",IFERROR(INDEX('CLM &amp; IM Mapping'!$B$2:$B$270,MATCH(TRIM(B735),'CLM &amp; IM Mapping'!$A$2:$A$270,0)),"Not Mapped"))</f>
        <v>Vishnu V</v>
      </c>
      <c r="D735" s="31" t="str">
        <f aca="false" t="array" ref="D735:D735">IF(B735="","",IFERROR(INDEX('CLM &amp; IM Mapping'!$C$2:$C$270,MATCH(TRIM(B735),'CLM &amp; IM Mapping'!$A$2:$A$270,0)),"Not Mapped"))</f>
        <v>Arivind S</v>
      </c>
      <c r="E735" s="31" t="s">
        <v>34</v>
      </c>
      <c r="F735" s="31" t="s">
        <v>562</v>
      </c>
      <c r="G735" s="31" t="s">
        <v>221</v>
      </c>
      <c r="H735" s="17" t="n">
        <v>5534</v>
      </c>
      <c r="I735" s="32" t="n">
        <v>0.7</v>
      </c>
      <c r="J735" s="33" t="n">
        <v>0.937116010119263</v>
      </c>
      <c r="K735" s="34" t="n">
        <v>0.904165059776321</v>
      </c>
      <c r="L735" s="31" t="n">
        <v>0.974797</v>
      </c>
      <c r="M735" s="31" t="n">
        <v>0.904165059776321</v>
      </c>
      <c r="N735" s="11" t="n">
        <v>2</v>
      </c>
      <c r="O735" s="12"/>
      <c r="P735" s="11"/>
    </row>
    <row r="736" customFormat="false" ht="15" hidden="false" customHeight="false" outlineLevel="0" collapsed="false">
      <c r="A736" s="30" t="n">
        <v>46305</v>
      </c>
      <c r="B736" s="31" t="s">
        <v>470</v>
      </c>
      <c r="C736" s="31" t="str">
        <f aca="false" t="array" ref="C736:C736">IF(B736="","",IFERROR(INDEX('CLM &amp; IM Mapping'!$B$2:$B$270,MATCH(TRIM(B736),'CLM &amp; IM Mapping'!$A$2:$A$270,0)),"Not Mapped"))</f>
        <v>Vishnu V</v>
      </c>
      <c r="D736" s="31" t="str">
        <f aca="false" t="array" ref="D736:D736">IF(B736="","",IFERROR(INDEX('CLM &amp; IM Mapping'!$C$2:$C$270,MATCH(TRIM(B736),'CLM &amp; IM Mapping'!$A$2:$A$270,0)),"Not Mapped"))</f>
        <v>Arivind S</v>
      </c>
      <c r="E736" s="31" t="s">
        <v>34</v>
      </c>
      <c r="F736" s="31" t="s">
        <v>565</v>
      </c>
      <c r="G736" s="31" t="s">
        <v>221</v>
      </c>
      <c r="H736" s="17" t="n">
        <v>6661</v>
      </c>
      <c r="I736" s="32" t="n">
        <v>0.7</v>
      </c>
      <c r="J736" s="33" t="n">
        <v>0.755141870590002</v>
      </c>
      <c r="K736" s="34" t="n">
        <v>0.958648111332008</v>
      </c>
      <c r="L736" s="31" t="n">
        <v>0.987966</v>
      </c>
      <c r="M736" s="31" t="n">
        <v>0.958648111332008</v>
      </c>
      <c r="N736" s="11" t="n">
        <v>1</v>
      </c>
      <c r="O736" s="12"/>
      <c r="P736" s="11"/>
    </row>
    <row r="737" customFormat="false" ht="15" hidden="false" customHeight="false" outlineLevel="0" collapsed="false">
      <c r="A737" s="30" t="n">
        <v>46305</v>
      </c>
      <c r="B737" s="31" t="s">
        <v>252</v>
      </c>
      <c r="C737" s="31" t="str">
        <f aca="false" t="array" ref="C737:C737">IF(B737="","",IFERROR(INDEX('CLM &amp; IM Mapping'!$B$2:$B$270,MATCH(TRIM(B737),'CLM &amp; IM Mapping'!$A$2:$A$270,0)),"Not Mapped"))</f>
        <v>Vishnu V</v>
      </c>
      <c r="D737" s="31" t="str">
        <f aca="false" t="array" ref="D737:D737">IF(B737="","",IFERROR(INDEX('CLM &amp; IM Mapping'!$C$2:$C$270,MATCH(TRIM(B737),'CLM &amp; IM Mapping'!$A$2:$A$270,0)),"Not Mapped"))</f>
        <v>Arivind S</v>
      </c>
      <c r="E737" s="31" t="s">
        <v>34</v>
      </c>
      <c r="F737" s="31" t="s">
        <v>562</v>
      </c>
      <c r="G737" s="31" t="s">
        <v>221</v>
      </c>
      <c r="H737" s="17" t="n">
        <v>6097</v>
      </c>
      <c r="I737" s="32" t="n">
        <v>0.7</v>
      </c>
      <c r="J737" s="33" t="n">
        <v>0.329178284402165</v>
      </c>
      <c r="K737" s="34" t="n">
        <v>0.87045341305431</v>
      </c>
      <c r="L737" s="31" t="n">
        <v>0.92845</v>
      </c>
      <c r="M737" s="31" t="n">
        <v>0.87045341305431</v>
      </c>
      <c r="N737" s="11" t="n">
        <v>1</v>
      </c>
      <c r="O737" s="12"/>
      <c r="P737" s="11"/>
    </row>
    <row r="738" customFormat="false" ht="15" hidden="false" customHeight="false" outlineLevel="0" collapsed="false">
      <c r="A738" s="30" t="n">
        <v>46305</v>
      </c>
      <c r="B738" s="31" t="s">
        <v>316</v>
      </c>
      <c r="C738" s="31" t="str">
        <f aca="false" t="array" ref="C738:C738">IF(B738="","",IFERROR(INDEX('CLM &amp; IM Mapping'!$B$2:$B$270,MATCH(TRIM(B738),'CLM &amp; IM Mapping'!$A$2:$A$270,0)),"Not Mapped"))</f>
        <v>Vishnu V</v>
      </c>
      <c r="D738" s="31" t="str">
        <f aca="false" t="array" ref="D738:D738">IF(B738="","",IFERROR(INDEX('CLM &amp; IM Mapping'!$C$2:$C$270,MATCH(TRIM(B738),'CLM &amp; IM Mapping'!$A$2:$A$270,0)),"Not Mapped"))</f>
        <v>Arivind S</v>
      </c>
      <c r="E738" s="31" t="s">
        <v>34</v>
      </c>
      <c r="F738" s="31" t="s">
        <v>562</v>
      </c>
      <c r="G738" s="31" t="s">
        <v>221</v>
      </c>
      <c r="H738" s="17" t="n">
        <v>6083</v>
      </c>
      <c r="I738" s="32" t="n">
        <v>0.7</v>
      </c>
      <c r="J738" s="33" t="n">
        <v>0.920762781522275</v>
      </c>
      <c r="K738" s="34" t="n">
        <v>0.889305481164078</v>
      </c>
      <c r="L738" s="31" t="n">
        <v>0.968145</v>
      </c>
      <c r="M738" s="31" t="n">
        <v>0.889305481164078</v>
      </c>
      <c r="N738" s="11" t="n">
        <v>1</v>
      </c>
      <c r="O738" s="12"/>
      <c r="P738" s="11"/>
    </row>
    <row r="739" customFormat="false" ht="15" hidden="false" customHeight="false" outlineLevel="0" collapsed="false">
      <c r="A739" s="30" t="n">
        <v>46305</v>
      </c>
      <c r="B739" s="31" t="s">
        <v>411</v>
      </c>
      <c r="C739" s="31" t="str">
        <f aca="false" t="array" ref="C739:C739">IF(B739="","",IFERROR(INDEX('CLM &amp; IM Mapping'!$B$2:$B$270,MATCH(TRIM(B739),'CLM &amp; IM Mapping'!$A$2:$A$270,0)),"Not Mapped"))</f>
        <v>Vishnu V</v>
      </c>
      <c r="D739" s="31" t="str">
        <f aca="false" t="array" ref="D739:D739">IF(B739="","",IFERROR(INDEX('CLM &amp; IM Mapping'!$C$2:$C$270,MATCH(TRIM(B739),'CLM &amp; IM Mapping'!$A$2:$A$270,0)),"Not Mapped"))</f>
        <v>Arivind S</v>
      </c>
      <c r="E739" s="31" t="s">
        <v>34</v>
      </c>
      <c r="F739" s="31" t="s">
        <v>562</v>
      </c>
      <c r="G739" s="31" t="s">
        <v>221</v>
      </c>
      <c r="H739" s="17" t="n">
        <v>5170</v>
      </c>
      <c r="I739" s="32" t="n">
        <v>0.7</v>
      </c>
      <c r="J739" s="33" t="n">
        <v>0.831528046421663</v>
      </c>
      <c r="K739" s="34" t="n">
        <v>0.977204000930449</v>
      </c>
      <c r="L739" s="31" t="n">
        <v>0.987421</v>
      </c>
      <c r="M739" s="31" t="n">
        <v>0.977204000930449</v>
      </c>
      <c r="N739" s="11" t="n">
        <v>1</v>
      </c>
      <c r="O739" s="12"/>
      <c r="P739" s="11"/>
    </row>
    <row r="740" customFormat="false" ht="15" hidden="false" customHeight="false" outlineLevel="0" collapsed="false">
      <c r="A740" s="30" t="n">
        <v>46305</v>
      </c>
      <c r="B740" s="31" t="s">
        <v>274</v>
      </c>
      <c r="C740" s="31" t="str">
        <f aca="false" t="array" ref="C740:C740">IF(B740="","",IFERROR(INDEX('CLM &amp; IM Mapping'!$B$2:$B$270,MATCH(TRIM(B740),'CLM &amp; IM Mapping'!$A$2:$A$270,0)),"Not Mapped"))</f>
        <v>Vishnu V</v>
      </c>
      <c r="D740" s="31" t="str">
        <f aca="false" t="array" ref="D740:D740">IF(B740="","",IFERROR(INDEX('CLM &amp; IM Mapping'!$C$2:$C$270,MATCH(TRIM(B740),'CLM &amp; IM Mapping'!$A$2:$A$270,0)),"Not Mapped"))</f>
        <v>Arivind S</v>
      </c>
      <c r="E740" s="31" t="s">
        <v>34</v>
      </c>
      <c r="F740" s="31" t="s">
        <v>562</v>
      </c>
      <c r="G740" s="31" t="s">
        <v>221</v>
      </c>
      <c r="H740" s="17" t="n">
        <v>5822</v>
      </c>
      <c r="I740" s="32" t="n">
        <v>0.7</v>
      </c>
      <c r="J740" s="33" t="n">
        <v>0.409309515630368</v>
      </c>
      <c r="K740" s="34" t="n">
        <v>0.811162400335711</v>
      </c>
      <c r="L740" s="31" t="n">
        <v>0.961</v>
      </c>
      <c r="M740" s="31" t="n">
        <v>0.811162400335711</v>
      </c>
      <c r="N740" s="11" t="n">
        <v>2</v>
      </c>
      <c r="O740" s="12"/>
      <c r="P740" s="11"/>
    </row>
    <row r="741" customFormat="false" ht="15" hidden="false" customHeight="false" outlineLevel="0" collapsed="false">
      <c r="A741" s="30" t="n">
        <v>46305</v>
      </c>
      <c r="B741" s="31" t="s">
        <v>350</v>
      </c>
      <c r="C741" s="31" t="str">
        <f aca="false" t="array" ref="C741:C741">IF(B741="","",IFERROR(INDEX('CLM &amp; IM Mapping'!$B$2:$B$270,MATCH(TRIM(B741),'CLM &amp; IM Mapping'!$A$2:$A$270,0)),"Not Mapped"))</f>
        <v>Vishnu V</v>
      </c>
      <c r="D741" s="31" t="str">
        <f aca="false" t="array" ref="D741:D741">IF(B741="","",IFERROR(INDEX('CLM &amp; IM Mapping'!$C$2:$C$270,MATCH(TRIM(B741),'CLM &amp; IM Mapping'!$A$2:$A$270,0)),"Not Mapped"))</f>
        <v>Arivind S</v>
      </c>
      <c r="E741" s="31" t="s">
        <v>34</v>
      </c>
      <c r="F741" s="31" t="s">
        <v>565</v>
      </c>
      <c r="G741" s="31" t="s">
        <v>221</v>
      </c>
      <c r="H741" s="17" t="n">
        <v>5845</v>
      </c>
      <c r="I741" s="32" t="n">
        <v>0.7</v>
      </c>
      <c r="J741" s="33" t="n">
        <v>0.591958939264329</v>
      </c>
      <c r="K741" s="34" t="n">
        <v>0.900289017341041</v>
      </c>
      <c r="L741" s="31" t="n">
        <v>0.973767</v>
      </c>
      <c r="M741" s="31"/>
      <c r="N741" s="11"/>
      <c r="O741" s="12"/>
      <c r="P741" s="11"/>
    </row>
    <row r="742" customFormat="false" ht="15" hidden="false" customHeight="false" outlineLevel="0" collapsed="false">
      <c r="A742" s="30" t="n">
        <v>46305</v>
      </c>
      <c r="B742" s="31" t="s">
        <v>478</v>
      </c>
      <c r="C742" s="31" t="str">
        <f aca="false" t="array" ref="C742:C742">IF(B742="","",IFERROR(INDEX('CLM &amp; IM Mapping'!$B$2:$B$270,MATCH(TRIM(B742),'CLM &amp; IM Mapping'!$A$2:$A$270,0)),"Not Mapped"))</f>
        <v>Vishnu V</v>
      </c>
      <c r="D742" s="31" t="str">
        <f aca="false" t="array" ref="D742:D742">IF(B742="","",IFERROR(INDEX('CLM &amp; IM Mapping'!$C$2:$C$270,MATCH(TRIM(B742),'CLM &amp; IM Mapping'!$A$2:$A$270,0)),"Not Mapped"))</f>
        <v>Arivind S</v>
      </c>
      <c r="E742" s="31" t="s">
        <v>34</v>
      </c>
      <c r="F742" s="31" t="s">
        <v>562</v>
      </c>
      <c r="G742" s="31" t="s">
        <v>221</v>
      </c>
      <c r="H742" s="17" t="n">
        <v>7790</v>
      </c>
      <c r="I742" s="32" t="n">
        <v>0.7</v>
      </c>
      <c r="J742" s="33" t="n">
        <v>0.564698331193838</v>
      </c>
      <c r="K742" s="34" t="n">
        <v>0.873607638099568</v>
      </c>
      <c r="L742" s="31" t="n">
        <v>0.963996</v>
      </c>
      <c r="M742" s="31" t="n">
        <v>0.873607638099568</v>
      </c>
      <c r="N742" s="11" t="n">
        <v>3</v>
      </c>
      <c r="O742" s="12"/>
      <c r="P742" s="11"/>
    </row>
    <row r="743" customFormat="false" ht="15" hidden="false" customHeight="false" outlineLevel="0" collapsed="false">
      <c r="A743" s="30" t="n">
        <v>46305</v>
      </c>
      <c r="B743" s="31" t="s">
        <v>323</v>
      </c>
      <c r="C743" s="31" t="str">
        <f aca="false" t="array" ref="C743:C743">IF(B743="","",IFERROR(INDEX('CLM &amp; IM Mapping'!$B$2:$B$270,MATCH(TRIM(B743),'CLM &amp; IM Mapping'!$A$2:$A$270,0)),"Not Mapped"))</f>
        <v>Vishnu V</v>
      </c>
      <c r="D743" s="31" t="str">
        <f aca="false" t="array" ref="D743:D743">IF(B743="","",IFERROR(INDEX('CLM &amp; IM Mapping'!$C$2:$C$270,MATCH(TRIM(B743),'CLM &amp; IM Mapping'!$A$2:$A$270,0)),"Not Mapped"))</f>
        <v>Arivind S</v>
      </c>
      <c r="E743" s="31" t="s">
        <v>34</v>
      </c>
      <c r="F743" s="31" t="s">
        <v>562</v>
      </c>
      <c r="G743" s="31" t="s">
        <v>221</v>
      </c>
      <c r="H743" s="17" t="n">
        <v>5139</v>
      </c>
      <c r="I743" s="32" t="n">
        <v>0.7</v>
      </c>
      <c r="J743" s="33" t="n">
        <v>0.304728546409807</v>
      </c>
      <c r="K743" s="34" t="n">
        <v>0.77522349936143</v>
      </c>
      <c r="L743" s="31" t="n">
        <v>0.923304</v>
      </c>
      <c r="M743" s="31" t="n">
        <v>0.77522349936143</v>
      </c>
      <c r="N743" s="11" t="n">
        <v>1</v>
      </c>
      <c r="O743" s="12"/>
      <c r="P743" s="11"/>
    </row>
    <row r="744" customFormat="false" ht="15" hidden="false" customHeight="false" outlineLevel="0" collapsed="false">
      <c r="A744" s="30" t="n">
        <v>46305</v>
      </c>
      <c r="B744" s="31" t="s">
        <v>359</v>
      </c>
      <c r="C744" s="31" t="str">
        <f aca="false" t="array" ref="C744:C744">IF(B744="","",IFERROR(INDEX('CLM &amp; IM Mapping'!$B$2:$B$270,MATCH(TRIM(B744),'CLM &amp; IM Mapping'!$A$2:$A$270,0)),"Not Mapped"))</f>
        <v>Santhosha M</v>
      </c>
      <c r="D744" s="31" t="str">
        <f aca="false" t="array" ref="D744:D744">IF(B744="","",IFERROR(INDEX('CLM &amp; IM Mapping'!$C$2:$C$270,MATCH(TRIM(B744),'CLM &amp; IM Mapping'!$A$2:$A$270,0)),"Not Mapped"))</f>
        <v>Aravind S</v>
      </c>
      <c r="E744" s="31" t="s">
        <v>34</v>
      </c>
      <c r="F744" s="31" t="s">
        <v>562</v>
      </c>
      <c r="G744" s="31" t="s">
        <v>276</v>
      </c>
      <c r="H744" s="17" t="n">
        <v>5543</v>
      </c>
      <c r="I744" s="32" t="n">
        <v>0.7</v>
      </c>
      <c r="J744" s="33" t="n">
        <v>0.925672018762403</v>
      </c>
      <c r="K744" s="34" t="n">
        <v>0.974663808224518</v>
      </c>
      <c r="L744" s="31" t="n">
        <v>0.988789</v>
      </c>
      <c r="M744" s="31" t="n">
        <v>0.974663808224518</v>
      </c>
      <c r="N744" s="11" t="n">
        <v>2</v>
      </c>
      <c r="O744" s="12"/>
      <c r="P744" s="11"/>
    </row>
    <row r="745" customFormat="false" ht="15" hidden="false" customHeight="false" outlineLevel="0" collapsed="false">
      <c r="A745" s="30" t="n">
        <v>46305</v>
      </c>
      <c r="B745" s="31" t="s">
        <v>425</v>
      </c>
      <c r="C745" s="31" t="str">
        <f aca="false" t="array" ref="C745:C745">IF(B745="","",IFERROR(INDEX('CLM &amp; IM Mapping'!$B$2:$B$270,MATCH(TRIM(B745),'CLM &amp; IM Mapping'!$A$2:$A$270,0)),"Not Mapped"))</f>
        <v>Santhosha M</v>
      </c>
      <c r="D745" s="31" t="str">
        <f aca="false" t="array" ref="D745:D745">IF(B745="","",IFERROR(INDEX('CLM &amp; IM Mapping'!$C$2:$C$270,MATCH(TRIM(B745),'CLM &amp; IM Mapping'!$A$2:$A$270,0)),"Not Mapped"))</f>
        <v>Aravind S</v>
      </c>
      <c r="E745" s="31" t="s">
        <v>34</v>
      </c>
      <c r="F745" s="31" t="s">
        <v>565</v>
      </c>
      <c r="G745" s="31" t="s">
        <v>276</v>
      </c>
      <c r="H745" s="17" t="n">
        <v>7259</v>
      </c>
      <c r="I745" s="32" t="n">
        <v>0.7</v>
      </c>
      <c r="J745" s="33" t="n">
        <v>1</v>
      </c>
      <c r="K745" s="34" t="n">
        <v>0.954539192726271</v>
      </c>
      <c r="L745" s="31" t="n">
        <v>0.981085</v>
      </c>
      <c r="M745" s="31" t="n">
        <v>0.954539192726271</v>
      </c>
      <c r="N745" s="11" t="n">
        <v>2</v>
      </c>
      <c r="O745" s="12"/>
      <c r="P745" s="11"/>
    </row>
    <row r="746" customFormat="false" ht="15" hidden="false" customHeight="false" outlineLevel="0" collapsed="false">
      <c r="A746" s="30" t="n">
        <v>46305</v>
      </c>
      <c r="B746" s="31" t="s">
        <v>361</v>
      </c>
      <c r="C746" s="31" t="str">
        <f aca="false" t="array" ref="C746:C746">IF(B746="","",IFERROR(INDEX('CLM &amp; IM Mapping'!$B$2:$B$270,MATCH(TRIM(B746),'CLM &amp; IM Mapping'!$A$2:$A$270,0)),"Not Mapped"))</f>
        <v>Santhosha M</v>
      </c>
      <c r="D746" s="31" t="str">
        <f aca="false" t="array" ref="D746:D746">IF(B746="","",IFERROR(INDEX('CLM &amp; IM Mapping'!$C$2:$C$270,MATCH(TRIM(B746),'CLM &amp; IM Mapping'!$A$2:$A$270,0)),"Not Mapped"))</f>
        <v>Aravind S</v>
      </c>
      <c r="E746" s="31" t="s">
        <v>34</v>
      </c>
      <c r="F746" s="31" t="s">
        <v>565</v>
      </c>
      <c r="G746" s="31" t="s">
        <v>276</v>
      </c>
      <c r="H746" s="17" t="n">
        <v>7361</v>
      </c>
      <c r="I746" s="32" t="n">
        <v>0.7</v>
      </c>
      <c r="J746" s="33" t="n">
        <v>0.897296562966988</v>
      </c>
      <c r="K746" s="34" t="n">
        <v>0.95775927327782</v>
      </c>
      <c r="L746" s="31" t="n">
        <v>0.983717</v>
      </c>
      <c r="M746" s="31" t="n">
        <v>0.95775927327782</v>
      </c>
      <c r="N746" s="11" t="n">
        <v>1</v>
      </c>
      <c r="O746" s="12"/>
      <c r="P746" s="11"/>
    </row>
    <row r="747" customFormat="false" ht="15" hidden="false" customHeight="false" outlineLevel="0" collapsed="false">
      <c r="A747" s="30" t="n">
        <v>46305</v>
      </c>
      <c r="B747" s="31" t="s">
        <v>493</v>
      </c>
      <c r="C747" s="31" t="str">
        <f aca="false" t="array" ref="C747:C747">IF(B747="","",IFERROR(INDEX('CLM &amp; IM Mapping'!$B$2:$B$270,MATCH(TRIM(B747),'CLM &amp; IM Mapping'!$A$2:$A$270,0)),"Not Mapped"))</f>
        <v>Santhosha M</v>
      </c>
      <c r="D747" s="31" t="str">
        <f aca="false" t="array" ref="D747:D747">IF(B747="","",IFERROR(INDEX('CLM &amp; IM Mapping'!$C$2:$C$270,MATCH(TRIM(B747),'CLM &amp; IM Mapping'!$A$2:$A$270,0)),"Not Mapped"))</f>
        <v>Aravind S</v>
      </c>
      <c r="E747" s="31" t="s">
        <v>34</v>
      </c>
      <c r="F747" s="31" t="s">
        <v>565</v>
      </c>
      <c r="G747" s="31" t="s">
        <v>276</v>
      </c>
      <c r="H747" s="17" t="n">
        <v>6590</v>
      </c>
      <c r="I747" s="32" t="n">
        <v>0.7</v>
      </c>
      <c r="J747" s="33" t="n">
        <v>1</v>
      </c>
      <c r="K747" s="34" t="n">
        <v>0.890440060698027</v>
      </c>
      <c r="L747" s="31" t="n">
        <v>0.966542</v>
      </c>
      <c r="M747" s="31" t="n">
        <v>0.890440060698027</v>
      </c>
      <c r="N747" s="11" t="n">
        <v>3</v>
      </c>
      <c r="O747" s="12"/>
      <c r="P747" s="11"/>
    </row>
    <row r="748" customFormat="false" ht="15" hidden="false" customHeight="false" outlineLevel="0" collapsed="false">
      <c r="A748" s="30" t="n">
        <v>46305</v>
      </c>
      <c r="B748" s="31" t="s">
        <v>503</v>
      </c>
      <c r="C748" s="31" t="str">
        <f aca="false" t="array" ref="C748:C748">IF(B748="","",IFERROR(INDEX('CLM &amp; IM Mapping'!$B$2:$B$270,MATCH(TRIM(B748),'CLM &amp; IM Mapping'!$A$2:$A$270,0)),"Not Mapped"))</f>
        <v>Santhosha M</v>
      </c>
      <c r="D748" s="31" t="str">
        <f aca="false" t="array" ref="D748:D748">IF(B748="","",IFERROR(INDEX('CLM &amp; IM Mapping'!$C$2:$C$270,MATCH(TRIM(B748),'CLM &amp; IM Mapping'!$A$2:$A$270,0)),"Not Mapped"))</f>
        <v>Aravind S</v>
      </c>
      <c r="E748" s="31" t="s">
        <v>34</v>
      </c>
      <c r="F748" s="31" t="s">
        <v>562</v>
      </c>
      <c r="G748" s="31" t="s">
        <v>276</v>
      </c>
      <c r="H748" s="17" t="n">
        <v>4856</v>
      </c>
      <c r="I748" s="32" t="n">
        <v>0.7</v>
      </c>
      <c r="J748" s="33" t="n">
        <v>1</v>
      </c>
      <c r="K748" s="34" t="n">
        <v>0.94995881383855</v>
      </c>
      <c r="L748" s="31" t="n">
        <v>0.986632</v>
      </c>
      <c r="M748" s="31" t="n">
        <v>0.94995881383855</v>
      </c>
      <c r="N748" s="11" t="n">
        <v>2</v>
      </c>
      <c r="O748" s="12"/>
      <c r="P748" s="11"/>
    </row>
    <row r="749" customFormat="false" ht="15" hidden="false" customHeight="false" outlineLevel="0" collapsed="false">
      <c r="A749" s="30" t="n">
        <v>46305</v>
      </c>
      <c r="B749" s="31" t="s">
        <v>421</v>
      </c>
      <c r="C749" s="31" t="str">
        <f aca="false" t="array" ref="C749:C749">IF(B749="","",IFERROR(INDEX('CLM &amp; IM Mapping'!$B$2:$B$270,MATCH(TRIM(B749),'CLM &amp; IM Mapping'!$A$2:$A$270,0)),"Not Mapped"))</f>
        <v>Santhosha M</v>
      </c>
      <c r="D749" s="31" t="str">
        <f aca="false" t="array" ref="D749:D749">IF(B749="","",IFERROR(INDEX('CLM &amp; IM Mapping'!$C$2:$C$270,MATCH(TRIM(B749),'CLM &amp; IM Mapping'!$A$2:$A$270,0)),"Not Mapped"))</f>
        <v>Aravind S</v>
      </c>
      <c r="E749" s="31" t="s">
        <v>34</v>
      </c>
      <c r="F749" s="31" t="s">
        <v>562</v>
      </c>
      <c r="G749" s="31" t="s">
        <v>276</v>
      </c>
      <c r="H749" s="17" t="n">
        <v>5344</v>
      </c>
      <c r="I749" s="32" t="n">
        <v>0.7</v>
      </c>
      <c r="J749" s="33" t="n">
        <v>1</v>
      </c>
      <c r="K749" s="34" t="n">
        <v>0.972679640718563</v>
      </c>
      <c r="L749" s="31" t="n">
        <v>0.992</v>
      </c>
      <c r="M749" s="31" t="n">
        <v>0.972679640718563</v>
      </c>
      <c r="N749" s="11" t="n">
        <v>2</v>
      </c>
      <c r="O749" s="12"/>
      <c r="P749" s="11"/>
    </row>
    <row r="750" customFormat="false" ht="15" hidden="false" customHeight="false" outlineLevel="0" collapsed="false">
      <c r="A750" s="30" t="n">
        <v>46305</v>
      </c>
      <c r="B750" s="31" t="s">
        <v>325</v>
      </c>
      <c r="C750" s="31" t="str">
        <f aca="false" t="array" ref="C750:C750">IF(B750="","",IFERROR(INDEX('CLM &amp; IM Mapping'!$B$2:$B$270,MATCH(TRIM(B750),'CLM &amp; IM Mapping'!$A$2:$A$270,0)),"Not Mapped"))</f>
        <v>Santhosha M</v>
      </c>
      <c r="D750" s="31" t="str">
        <f aca="false" t="array" ref="D750:D750">IF(B750="","",IFERROR(INDEX('CLM &amp; IM Mapping'!$C$2:$C$270,MATCH(TRIM(B750),'CLM &amp; IM Mapping'!$A$2:$A$270,0)),"Not Mapped"))</f>
        <v>Aravind S</v>
      </c>
      <c r="E750" s="31" t="s">
        <v>34</v>
      </c>
      <c r="F750" s="31" t="s">
        <v>562</v>
      </c>
      <c r="G750" s="31" t="s">
        <v>276</v>
      </c>
      <c r="H750" s="17" t="n">
        <v>7140</v>
      </c>
      <c r="I750" s="32" t="n">
        <v>0.7</v>
      </c>
      <c r="J750" s="33" t="n">
        <v>0.931792717086835</v>
      </c>
      <c r="K750" s="34" t="n">
        <v>0.928904253720126</v>
      </c>
      <c r="L750" s="31" t="n">
        <v>0.975948</v>
      </c>
      <c r="M750" s="31" t="n">
        <v>0.928904253720126</v>
      </c>
      <c r="N750" s="11" t="n">
        <v>2</v>
      </c>
      <c r="O750" s="12"/>
      <c r="P750" s="11"/>
    </row>
    <row r="751" customFormat="false" ht="15" hidden="false" customHeight="false" outlineLevel="0" collapsed="false">
      <c r="A751" s="30" t="n">
        <v>46305</v>
      </c>
      <c r="B751" s="31" t="s">
        <v>277</v>
      </c>
      <c r="C751" s="31" t="str">
        <f aca="false" t="array" ref="C751:C751">IF(B751="","",IFERROR(INDEX('CLM &amp; IM Mapping'!$B$2:$B$270,MATCH(TRIM(B751),'CLM &amp; IM Mapping'!$A$2:$A$270,0)),"Not Mapped"))</f>
        <v>Santhosha M</v>
      </c>
      <c r="D751" s="31" t="str">
        <f aca="false" t="array" ref="D751:D751">IF(B751="","",IFERROR(INDEX('CLM &amp; IM Mapping'!$C$2:$C$270,MATCH(TRIM(B751),'CLM &amp; IM Mapping'!$A$2:$A$270,0)),"Not Mapped"))</f>
        <v>Aravind S</v>
      </c>
      <c r="E751" s="31" t="s">
        <v>34</v>
      </c>
      <c r="F751" s="31" t="s">
        <v>565</v>
      </c>
      <c r="G751" s="31" t="s">
        <v>276</v>
      </c>
      <c r="H751" s="17" t="n">
        <v>5519</v>
      </c>
      <c r="I751" s="32" t="n">
        <v>0.7</v>
      </c>
      <c r="J751" s="33" t="n">
        <v>1</v>
      </c>
      <c r="K751" s="34" t="n">
        <v>0.852328320347889</v>
      </c>
      <c r="L751" s="31" t="n">
        <v>0.952439</v>
      </c>
      <c r="M751" s="31" t="n">
        <v>0.852328320347889</v>
      </c>
      <c r="N751" s="11" t="n">
        <v>3</v>
      </c>
      <c r="O751" s="12"/>
      <c r="P751" s="11"/>
    </row>
    <row r="752" customFormat="false" ht="15" hidden="false" customHeight="false" outlineLevel="0" collapsed="false">
      <c r="A752" s="30" t="n">
        <v>46305</v>
      </c>
      <c r="B752" s="31" t="s">
        <v>450</v>
      </c>
      <c r="C752" s="31" t="str">
        <f aca="false" t="array" ref="C752:C752">IF(B752="","",IFERROR(INDEX('CLM &amp; IM Mapping'!$B$2:$B$270,MATCH(TRIM(B752),'CLM &amp; IM Mapping'!$A$2:$A$270,0)),"Not Mapped"))</f>
        <v>Santhosha M</v>
      </c>
      <c r="D752" s="31" t="str">
        <f aca="false" t="array" ref="D752:D752">IF(B752="","",IFERROR(INDEX('CLM &amp; IM Mapping'!$C$2:$C$270,MATCH(TRIM(B752),'CLM &amp; IM Mapping'!$A$2:$A$270,0)),"Not Mapped"))</f>
        <v>Aravind S</v>
      </c>
      <c r="E752" s="31" t="s">
        <v>34</v>
      </c>
      <c r="F752" s="31" t="s">
        <v>562</v>
      </c>
      <c r="G752" s="31" t="s">
        <v>276</v>
      </c>
      <c r="H752" s="17" t="n">
        <v>4633</v>
      </c>
      <c r="I752" s="32" t="n">
        <v>0.7</v>
      </c>
      <c r="J752" s="33" t="n">
        <v>1</v>
      </c>
      <c r="K752" s="34" t="n">
        <v>0.938053097345133</v>
      </c>
      <c r="L752" s="31" t="n">
        <v>0.985284</v>
      </c>
      <c r="M752" s="31" t="n">
        <v>0.938053097345133</v>
      </c>
      <c r="N752" s="11" t="n">
        <v>2</v>
      </c>
      <c r="O752" s="12"/>
      <c r="P752" s="11"/>
    </row>
    <row r="753" customFormat="false" ht="15" hidden="false" customHeight="false" outlineLevel="0" collapsed="false">
      <c r="A753" s="30" t="n">
        <v>46305</v>
      </c>
      <c r="B753" s="31" t="s">
        <v>418</v>
      </c>
      <c r="C753" s="31" t="str">
        <f aca="false" t="array" ref="C753:C753">IF(B753="","",IFERROR(INDEX('CLM &amp; IM Mapping'!$B$2:$B$270,MATCH(TRIM(B753),'CLM &amp; IM Mapping'!$A$2:$A$270,0)),"Not Mapped"))</f>
        <v>Vishnu V</v>
      </c>
      <c r="D753" s="31" t="str">
        <f aca="false" t="array" ref="D753:D753">IF(B753="","",IFERROR(INDEX('CLM &amp; IM Mapping'!$C$2:$C$270,MATCH(TRIM(B753),'CLM &amp; IM Mapping'!$A$2:$A$270,0)),"Not Mapped"))</f>
        <v>Arivind S</v>
      </c>
      <c r="E753" s="31" t="s">
        <v>34</v>
      </c>
      <c r="F753" s="31" t="s">
        <v>562</v>
      </c>
      <c r="G753" s="31" t="s">
        <v>417</v>
      </c>
      <c r="H753" s="17" t="n">
        <v>6776</v>
      </c>
      <c r="I753" s="32" t="n">
        <v>0.7</v>
      </c>
      <c r="J753" s="33" t="n">
        <v>0.49896694214876</v>
      </c>
      <c r="K753" s="34" t="n">
        <v>0.977225672877847</v>
      </c>
      <c r="L753" s="31" t="n">
        <v>0.992807</v>
      </c>
      <c r="M753" s="31" t="n">
        <v>0.977225672877847</v>
      </c>
      <c r="N753" s="11" t="n">
        <v>2</v>
      </c>
      <c r="O753" s="12"/>
      <c r="P753" s="11"/>
    </row>
    <row r="754" customFormat="false" ht="15" hidden="false" customHeight="false" outlineLevel="0" collapsed="false">
      <c r="A754" s="30" t="n">
        <v>46305</v>
      </c>
      <c r="B754" s="31" t="s">
        <v>452</v>
      </c>
      <c r="C754" s="31" t="str">
        <f aca="false" t="array" ref="C754:C754">IF(B754="","",IFERROR(INDEX('CLM &amp; IM Mapping'!$B$2:$B$270,MATCH(TRIM(B754),'CLM &amp; IM Mapping'!$A$2:$A$270,0)),"Not Mapped"))</f>
        <v>Vishnu V</v>
      </c>
      <c r="D754" s="31" t="str">
        <f aca="false" t="array" ref="D754:D754">IF(B754="","",IFERROR(INDEX('CLM &amp; IM Mapping'!$C$2:$C$270,MATCH(TRIM(B754),'CLM &amp; IM Mapping'!$A$2:$A$270,0)),"Not Mapped"))</f>
        <v>Arivind S</v>
      </c>
      <c r="E754" s="31" t="s">
        <v>34</v>
      </c>
      <c r="F754" s="31" t="s">
        <v>565</v>
      </c>
      <c r="G754" s="31" t="s">
        <v>417</v>
      </c>
      <c r="H754" s="17" t="n">
        <v>5099</v>
      </c>
      <c r="I754" s="32" t="n">
        <v>0.7</v>
      </c>
      <c r="J754" s="33" t="n">
        <v>0.827417140615807</v>
      </c>
      <c r="K754" s="34" t="n">
        <v>0.992415264280635</v>
      </c>
      <c r="L754" s="31" t="n">
        <v>0.997814</v>
      </c>
      <c r="M754" s="31" t="n">
        <v>0.992415264280635</v>
      </c>
      <c r="N754" s="11" t="n">
        <v>1</v>
      </c>
      <c r="O754" s="12"/>
      <c r="P754" s="11"/>
    </row>
    <row r="755" customFormat="false" ht="15" hidden="false" customHeight="false" outlineLevel="0" collapsed="false">
      <c r="A755" s="30" t="n">
        <v>46305</v>
      </c>
      <c r="B755" s="31" t="s">
        <v>439</v>
      </c>
      <c r="C755" s="31" t="str">
        <f aca="false" t="array" ref="C755:C755">IF(B755="","",IFERROR(INDEX('CLM &amp; IM Mapping'!$B$2:$B$270,MATCH(TRIM(B755),'CLM &amp; IM Mapping'!$A$2:$A$270,0)),"Not Mapped"))</f>
        <v>Vishnu V</v>
      </c>
      <c r="D755" s="31" t="str">
        <f aca="false" t="array" ref="D755:D755">IF(B755="","",IFERROR(INDEX('CLM &amp; IM Mapping'!$C$2:$C$270,MATCH(TRIM(B755),'CLM &amp; IM Mapping'!$A$2:$A$270,0)),"Not Mapped"))</f>
        <v>Arivind S</v>
      </c>
      <c r="E755" s="31" t="s">
        <v>34</v>
      </c>
      <c r="F755" s="31" t="s">
        <v>562</v>
      </c>
      <c r="G755" s="31" t="s">
        <v>417</v>
      </c>
      <c r="H755" s="17" t="n">
        <v>5121</v>
      </c>
      <c r="I755" s="32" t="n">
        <v>0.7</v>
      </c>
      <c r="J755" s="33" t="n">
        <v>0.321812146065222</v>
      </c>
      <c r="K755" s="34" t="n">
        <v>0.939927184466019</v>
      </c>
      <c r="L755" s="31" t="n">
        <v>0.988015</v>
      </c>
      <c r="M755" s="31" t="n">
        <v>0.939927184466019</v>
      </c>
      <c r="N755" s="11" t="n">
        <v>1</v>
      </c>
      <c r="O755" s="12"/>
      <c r="P755" s="11"/>
    </row>
    <row r="756" customFormat="false" ht="15" hidden="false" customHeight="false" outlineLevel="0" collapsed="false">
      <c r="A756" s="30" t="n">
        <v>46305</v>
      </c>
      <c r="B756" s="31" t="s">
        <v>337</v>
      </c>
      <c r="C756" s="31" t="str">
        <f aca="false" t="array" ref="C756:C756">IF(B756="","",IFERROR(INDEX('CLM &amp; IM Mapping'!$B$2:$B$270,MATCH(TRIM(B756),'CLM &amp; IM Mapping'!$A$2:$A$270,0)),"Not Mapped"))</f>
        <v>Akshay P</v>
      </c>
      <c r="D756" s="31" t="str">
        <f aca="false" t="array" ref="D756:D756">IF(B756="","",IFERROR(INDEX('CLM &amp; IM Mapping'!$C$2:$C$270,MATCH(TRIM(B756),'CLM &amp; IM Mapping'!$A$2:$A$270,0)),"Not Mapped"))</f>
        <v>Srittam Dhal</v>
      </c>
      <c r="E756" s="31" t="s">
        <v>34</v>
      </c>
      <c r="F756" s="31" t="s">
        <v>565</v>
      </c>
      <c r="G756" s="31" t="s">
        <v>336</v>
      </c>
      <c r="H756" s="17" t="n">
        <v>7007</v>
      </c>
      <c r="I756" s="32" t="n">
        <v>0.7</v>
      </c>
      <c r="J756" s="33" t="n">
        <v>0.681889539032396</v>
      </c>
      <c r="K756" s="34" t="n">
        <v>0.96693177061532</v>
      </c>
      <c r="L756" s="31" t="n">
        <v>0.989063</v>
      </c>
      <c r="M756" s="31" t="n">
        <v>0.96693177061532</v>
      </c>
      <c r="N756" s="11" t="n">
        <v>1</v>
      </c>
      <c r="O756" s="12"/>
      <c r="P756" s="11"/>
    </row>
  </sheetData>
  <conditionalFormatting sqref="J2:J756">
    <cfRule type="colorScale" priority="2">
      <colorScale>
        <cfvo type="min" val="0"/>
        <cfvo type="percentile" val="50"/>
        <cfvo type="max" val="0"/>
        <color rgb="FFF8696B"/>
        <color rgb="FFFFEB84"/>
        <color rgb="FF63BE7B"/>
      </colorScale>
    </cfRule>
  </conditionalFormatting>
  <conditionalFormatting sqref="K2:K756">
    <cfRule type="colorScale" priority="3">
      <colorScale>
        <cfvo type="min" val="0"/>
        <cfvo type="percentile" val="50"/>
        <cfvo type="max" val="0"/>
        <color rgb="FFF8696B"/>
        <color rgb="FFFFEB84"/>
        <color rgb="FF63BE7B"/>
      </colorScale>
    </cfRule>
  </conditionalFormatting>
  <conditionalFormatting sqref="L2:L756">
    <cfRule type="colorScale" priority="4">
      <colorScale>
        <cfvo type="min" val="0"/>
        <cfvo type="percentile" val="50"/>
        <cfvo type="max" val="0"/>
        <color rgb="FFF8696B"/>
        <color rgb="FFFFEB84"/>
        <color rgb="FF63BE7B"/>
      </colorScale>
    </cfRule>
  </conditionalFormatting>
  <conditionalFormatting sqref="M2:M756">
    <cfRule type="colorScale" priority="5">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75" hidden="false" customHeight="true" outlineLevel="0" collapsed="false">
      <c r="A1" s="39" t="s">
        <v>665</v>
      </c>
      <c r="B1" s="40" t="s">
        <v>666</v>
      </c>
      <c r="C1" s="40" t="s">
        <v>667</v>
      </c>
    </row>
    <row r="2" customFormat="false" ht="15.75" hidden="false" customHeight="true" outlineLevel="0" collapsed="false">
      <c r="A2" s="41" t="s">
        <v>183</v>
      </c>
      <c r="B2" s="42" t="s">
        <v>668</v>
      </c>
      <c r="C2" s="43" t="s">
        <v>669</v>
      </c>
    </row>
    <row r="3" customFormat="false" ht="15.75" hidden="false" customHeight="true" outlineLevel="0" collapsed="false">
      <c r="A3" s="41" t="s">
        <v>525</v>
      </c>
      <c r="B3" s="42" t="s">
        <v>668</v>
      </c>
      <c r="C3" s="43" t="s">
        <v>669</v>
      </c>
    </row>
    <row r="4" customFormat="false" ht="15.75" hidden="false" customHeight="true" outlineLevel="0" collapsed="false">
      <c r="A4" s="41" t="s">
        <v>342</v>
      </c>
      <c r="B4" s="42" t="s">
        <v>668</v>
      </c>
      <c r="C4" s="43" t="s">
        <v>669</v>
      </c>
    </row>
    <row r="5" customFormat="false" ht="15.75" hidden="false" customHeight="true" outlineLevel="0" collapsed="false">
      <c r="A5" s="41" t="s">
        <v>80</v>
      </c>
      <c r="B5" s="42" t="s">
        <v>670</v>
      </c>
      <c r="C5" s="43" t="s">
        <v>669</v>
      </c>
    </row>
    <row r="6" customFormat="false" ht="15.75" hidden="false" customHeight="true" outlineLevel="0" collapsed="false">
      <c r="A6" s="41" t="s">
        <v>376</v>
      </c>
      <c r="B6" s="42" t="s">
        <v>670</v>
      </c>
      <c r="C6" s="43" t="s">
        <v>669</v>
      </c>
    </row>
    <row r="7" customFormat="false" ht="15.75" hidden="false" customHeight="true" outlineLevel="0" collapsed="false">
      <c r="A7" s="41" t="s">
        <v>375</v>
      </c>
      <c r="B7" s="42" t="s">
        <v>668</v>
      </c>
      <c r="C7" s="43" t="s">
        <v>669</v>
      </c>
    </row>
    <row r="8" customFormat="false" ht="15.75" hidden="false" customHeight="true" outlineLevel="0" collapsed="false">
      <c r="A8" s="41" t="s">
        <v>279</v>
      </c>
      <c r="B8" s="42" t="s">
        <v>671</v>
      </c>
      <c r="C8" s="43" t="s">
        <v>669</v>
      </c>
    </row>
    <row r="9" customFormat="false" ht="15.75" hidden="false" customHeight="true" outlineLevel="0" collapsed="false">
      <c r="A9" s="41" t="s">
        <v>41</v>
      </c>
      <c r="B9" s="42" t="s">
        <v>671</v>
      </c>
      <c r="C9" s="43" t="s">
        <v>669</v>
      </c>
    </row>
    <row r="10" customFormat="false" ht="15.75" hidden="false" customHeight="true" outlineLevel="0" collapsed="false">
      <c r="A10" s="41" t="s">
        <v>455</v>
      </c>
      <c r="B10" s="42" t="s">
        <v>671</v>
      </c>
      <c r="C10" s="43" t="s">
        <v>669</v>
      </c>
    </row>
    <row r="11" customFormat="false" ht="15.75" hidden="false" customHeight="true" outlineLevel="0" collapsed="false">
      <c r="A11" s="41" t="s">
        <v>70</v>
      </c>
      <c r="B11" s="42" t="s">
        <v>671</v>
      </c>
      <c r="C11" s="43" t="s">
        <v>669</v>
      </c>
    </row>
    <row r="12" customFormat="false" ht="15.75" hidden="false" customHeight="true" outlineLevel="0" collapsed="false">
      <c r="A12" s="41" t="s">
        <v>407</v>
      </c>
      <c r="B12" s="42" t="s">
        <v>671</v>
      </c>
      <c r="C12" s="43" t="s">
        <v>669</v>
      </c>
    </row>
    <row r="13" customFormat="false" ht="15.75" hidden="false" customHeight="true" outlineLevel="0" collapsed="false">
      <c r="A13" s="41" t="s">
        <v>159</v>
      </c>
      <c r="B13" s="42" t="s">
        <v>671</v>
      </c>
      <c r="C13" s="43" t="s">
        <v>669</v>
      </c>
    </row>
    <row r="14" customFormat="false" ht="15.75" hidden="false" customHeight="true" outlineLevel="0" collapsed="false">
      <c r="A14" s="41" t="s">
        <v>44</v>
      </c>
      <c r="B14" s="42" t="s">
        <v>671</v>
      </c>
      <c r="C14" s="43" t="s">
        <v>669</v>
      </c>
    </row>
    <row r="15" customFormat="false" ht="15.75" hidden="false" customHeight="true" outlineLevel="0" collapsed="false">
      <c r="A15" s="41" t="s">
        <v>193</v>
      </c>
      <c r="B15" s="44" t="s">
        <v>672</v>
      </c>
      <c r="C15" s="43" t="s">
        <v>669</v>
      </c>
    </row>
    <row r="16" customFormat="false" ht="15.75" hidden="false" customHeight="true" outlineLevel="0" collapsed="false">
      <c r="A16" s="41" t="s">
        <v>68</v>
      </c>
      <c r="B16" s="42" t="s">
        <v>672</v>
      </c>
      <c r="C16" s="43" t="s">
        <v>669</v>
      </c>
    </row>
    <row r="17" customFormat="false" ht="15.75" hidden="false" customHeight="true" outlineLevel="0" collapsed="false">
      <c r="A17" s="41" t="s">
        <v>103</v>
      </c>
      <c r="B17" s="42" t="s">
        <v>672</v>
      </c>
      <c r="C17" s="43" t="s">
        <v>669</v>
      </c>
    </row>
    <row r="18" customFormat="false" ht="15.75" hidden="false" customHeight="true" outlineLevel="0" collapsed="false">
      <c r="A18" s="41" t="s">
        <v>189</v>
      </c>
      <c r="B18" s="42" t="s">
        <v>672</v>
      </c>
      <c r="C18" s="43" t="s">
        <v>669</v>
      </c>
    </row>
    <row r="19" customFormat="false" ht="15.75" hidden="false" customHeight="true" outlineLevel="0" collapsed="false">
      <c r="A19" s="41" t="s">
        <v>416</v>
      </c>
      <c r="B19" s="42" t="s">
        <v>672</v>
      </c>
      <c r="C19" s="43" t="s">
        <v>669</v>
      </c>
    </row>
    <row r="20" customFormat="false" ht="15.75" hidden="false" customHeight="true" outlineLevel="0" collapsed="false">
      <c r="A20" s="41" t="s">
        <v>126</v>
      </c>
      <c r="B20" s="42" t="s">
        <v>672</v>
      </c>
      <c r="C20" s="43" t="s">
        <v>669</v>
      </c>
    </row>
    <row r="21" customFormat="false" ht="15.75" hidden="false" customHeight="true" outlineLevel="0" collapsed="false">
      <c r="A21" s="41" t="s">
        <v>422</v>
      </c>
      <c r="B21" s="42" t="s">
        <v>673</v>
      </c>
      <c r="C21" s="43" t="s">
        <v>669</v>
      </c>
    </row>
    <row r="22" customFormat="false" ht="15.75" hidden="false" customHeight="true" outlineLevel="0" collapsed="false">
      <c r="A22" s="41" t="s">
        <v>198</v>
      </c>
      <c r="B22" s="42" t="s">
        <v>673</v>
      </c>
      <c r="C22" s="43" t="s">
        <v>669</v>
      </c>
    </row>
    <row r="23" customFormat="false" ht="15.75" hidden="false" customHeight="true" outlineLevel="0" collapsed="false">
      <c r="A23" s="41" t="s">
        <v>311</v>
      </c>
      <c r="B23" s="42" t="s">
        <v>673</v>
      </c>
      <c r="C23" s="43" t="s">
        <v>669</v>
      </c>
    </row>
    <row r="24" customFormat="false" ht="15.75" hidden="false" customHeight="true" outlineLevel="0" collapsed="false">
      <c r="A24" s="41" t="s">
        <v>491</v>
      </c>
      <c r="B24" s="42" t="s">
        <v>673</v>
      </c>
      <c r="C24" s="43" t="s">
        <v>669</v>
      </c>
    </row>
    <row r="25" customFormat="false" ht="15.75" hidden="false" customHeight="true" outlineLevel="0" collapsed="false">
      <c r="A25" s="41" t="s">
        <v>510</v>
      </c>
      <c r="B25" s="42" t="s">
        <v>673</v>
      </c>
      <c r="C25" s="43" t="s">
        <v>669</v>
      </c>
    </row>
    <row r="26" customFormat="false" ht="15.75" hidden="false" customHeight="true" outlineLevel="0" collapsed="false">
      <c r="A26" s="41" t="s">
        <v>305</v>
      </c>
      <c r="B26" s="42" t="s">
        <v>673</v>
      </c>
      <c r="C26" s="43" t="s">
        <v>669</v>
      </c>
    </row>
    <row r="27" customFormat="false" ht="15.75" hidden="false" customHeight="true" outlineLevel="0" collapsed="false">
      <c r="A27" s="41" t="s">
        <v>449</v>
      </c>
      <c r="B27" s="42" t="s">
        <v>673</v>
      </c>
      <c r="C27" s="43" t="s">
        <v>669</v>
      </c>
    </row>
    <row r="28" customFormat="false" ht="15.75" hidden="false" customHeight="true" outlineLevel="0" collapsed="false">
      <c r="A28" s="41" t="s">
        <v>502</v>
      </c>
      <c r="B28" s="42" t="s">
        <v>673</v>
      </c>
      <c r="C28" s="43" t="s">
        <v>669</v>
      </c>
    </row>
    <row r="29" customFormat="false" ht="15.75" hidden="false" customHeight="true" outlineLevel="0" collapsed="false">
      <c r="A29" s="41" t="s">
        <v>429</v>
      </c>
      <c r="B29" s="42" t="s">
        <v>673</v>
      </c>
      <c r="C29" s="43" t="s">
        <v>669</v>
      </c>
    </row>
    <row r="30" customFormat="false" ht="15.75" hidden="false" customHeight="true" outlineLevel="0" collapsed="false">
      <c r="A30" s="41" t="s">
        <v>147</v>
      </c>
      <c r="B30" s="42" t="s">
        <v>673</v>
      </c>
      <c r="C30" s="43" t="s">
        <v>669</v>
      </c>
    </row>
    <row r="31" customFormat="false" ht="15.75" hidden="false" customHeight="true" outlineLevel="0" collapsed="false">
      <c r="A31" s="41" t="s">
        <v>47</v>
      </c>
      <c r="B31" s="42" t="s">
        <v>668</v>
      </c>
      <c r="C31" s="43" t="s">
        <v>669</v>
      </c>
    </row>
    <row r="32" customFormat="false" ht="15.75" hidden="false" customHeight="true" outlineLevel="0" collapsed="false">
      <c r="A32" s="41" t="s">
        <v>496</v>
      </c>
      <c r="B32" s="42" t="s">
        <v>674</v>
      </c>
      <c r="C32" s="43" t="s">
        <v>669</v>
      </c>
    </row>
    <row r="33" customFormat="false" ht="15.75" hidden="false" customHeight="true" outlineLevel="0" collapsed="false">
      <c r="A33" s="41" t="s">
        <v>56</v>
      </c>
      <c r="B33" s="42" t="s">
        <v>674</v>
      </c>
      <c r="C33" s="43" t="s">
        <v>669</v>
      </c>
    </row>
    <row r="34" customFormat="false" ht="15.75" hidden="false" customHeight="true" outlineLevel="0" collapsed="false">
      <c r="A34" s="41" t="s">
        <v>457</v>
      </c>
      <c r="B34" s="42" t="s">
        <v>668</v>
      </c>
      <c r="C34" s="43" t="s">
        <v>669</v>
      </c>
    </row>
    <row r="35" customFormat="false" ht="15.75" hidden="false" customHeight="true" outlineLevel="0" collapsed="false">
      <c r="A35" s="41" t="s">
        <v>528</v>
      </c>
      <c r="B35" s="42" t="s">
        <v>668</v>
      </c>
      <c r="C35" s="43" t="s">
        <v>669</v>
      </c>
    </row>
    <row r="36" customFormat="false" ht="15.75" hidden="false" customHeight="true" outlineLevel="0" collapsed="false">
      <c r="A36" s="41" t="s">
        <v>346</v>
      </c>
      <c r="B36" s="42" t="s">
        <v>668</v>
      </c>
      <c r="C36" s="43" t="s">
        <v>669</v>
      </c>
    </row>
    <row r="37" customFormat="false" ht="15.75" hidden="false" customHeight="true" outlineLevel="0" collapsed="false">
      <c r="A37" s="41" t="s">
        <v>512</v>
      </c>
      <c r="B37" s="42" t="s">
        <v>668</v>
      </c>
      <c r="C37" s="43" t="s">
        <v>669</v>
      </c>
    </row>
    <row r="38" customFormat="false" ht="15.75" hidden="false" customHeight="true" outlineLevel="0" collapsed="false">
      <c r="A38" s="41" t="s">
        <v>59</v>
      </c>
      <c r="B38" s="42" t="s">
        <v>668</v>
      </c>
      <c r="C38" s="43" t="s">
        <v>669</v>
      </c>
    </row>
    <row r="39" customFormat="false" ht="15.75" hidden="false" customHeight="true" outlineLevel="0" collapsed="false">
      <c r="A39" s="41" t="s">
        <v>132</v>
      </c>
      <c r="B39" s="42" t="s">
        <v>668</v>
      </c>
      <c r="C39" s="43" t="s">
        <v>669</v>
      </c>
    </row>
    <row r="40" customFormat="false" ht="15.75" hidden="false" customHeight="true" outlineLevel="0" collapsed="false">
      <c r="A40" s="41" t="s">
        <v>384</v>
      </c>
      <c r="B40" s="42" t="s">
        <v>668</v>
      </c>
      <c r="C40" s="43" t="s">
        <v>669</v>
      </c>
    </row>
    <row r="41" customFormat="false" ht="15.75" hidden="false" customHeight="true" outlineLevel="0" collapsed="false">
      <c r="A41" s="41" t="s">
        <v>287</v>
      </c>
      <c r="B41" s="42" t="s">
        <v>670</v>
      </c>
      <c r="C41" s="43" t="s">
        <v>669</v>
      </c>
    </row>
    <row r="42" customFormat="false" ht="15.75" hidden="false" customHeight="true" outlineLevel="0" collapsed="false">
      <c r="A42" s="41" t="s">
        <v>100</v>
      </c>
      <c r="B42" s="42" t="s">
        <v>670</v>
      </c>
      <c r="C42" s="43" t="s">
        <v>669</v>
      </c>
    </row>
    <row r="43" customFormat="false" ht="15.75" hidden="false" customHeight="true" outlineLevel="0" collapsed="false">
      <c r="A43" s="41" t="s">
        <v>488</v>
      </c>
      <c r="B43" s="42" t="s">
        <v>670</v>
      </c>
      <c r="C43" s="43" t="s">
        <v>669</v>
      </c>
    </row>
    <row r="44" customFormat="false" ht="15.75" hidden="false" customHeight="true" outlineLevel="0" collapsed="false">
      <c r="A44" s="41" t="s">
        <v>523</v>
      </c>
      <c r="B44" s="42" t="s">
        <v>670</v>
      </c>
      <c r="C44" s="43" t="s">
        <v>669</v>
      </c>
    </row>
    <row r="45" customFormat="false" ht="15.75" hidden="false" customHeight="true" outlineLevel="0" collapsed="false">
      <c r="A45" s="41" t="s">
        <v>241</v>
      </c>
      <c r="B45" s="42" t="s">
        <v>670</v>
      </c>
      <c r="C45" s="43" t="s">
        <v>669</v>
      </c>
    </row>
    <row r="46" customFormat="false" ht="15.75" hidden="false" customHeight="true" outlineLevel="0" collapsed="false">
      <c r="A46" s="41" t="s">
        <v>483</v>
      </c>
      <c r="B46" s="42" t="s">
        <v>670</v>
      </c>
      <c r="C46" s="43" t="s">
        <v>669</v>
      </c>
    </row>
    <row r="47" customFormat="false" ht="15.75" hidden="false" customHeight="true" outlineLevel="0" collapsed="false">
      <c r="A47" s="45" t="s">
        <v>526</v>
      </c>
      <c r="B47" s="43" t="s">
        <v>670</v>
      </c>
      <c r="C47" s="43" t="s">
        <v>669</v>
      </c>
    </row>
    <row r="48" customFormat="false" ht="15.75" hidden="false" customHeight="true" outlineLevel="0" collapsed="false">
      <c r="A48" s="45" t="s">
        <v>142</v>
      </c>
      <c r="B48" s="43" t="s">
        <v>670</v>
      </c>
      <c r="C48" s="43" t="s">
        <v>669</v>
      </c>
    </row>
    <row r="49" customFormat="false" ht="15.75" hidden="false" customHeight="true" outlineLevel="0" collapsed="false">
      <c r="A49" s="41" t="s">
        <v>675</v>
      </c>
      <c r="B49" s="42" t="s">
        <v>670</v>
      </c>
      <c r="C49" s="43" t="s">
        <v>669</v>
      </c>
    </row>
    <row r="50" customFormat="false" ht="15.75" hidden="false" customHeight="true" outlineLevel="0" collapsed="false">
      <c r="A50" s="41" t="s">
        <v>390</v>
      </c>
      <c r="B50" s="42" t="s">
        <v>670</v>
      </c>
      <c r="C50" s="43" t="s">
        <v>669</v>
      </c>
    </row>
    <row r="51" customFormat="false" ht="15.75" hidden="false" customHeight="true" outlineLevel="0" collapsed="false">
      <c r="A51" s="41" t="s">
        <v>445</v>
      </c>
      <c r="B51" s="42" t="s">
        <v>670</v>
      </c>
      <c r="C51" s="43" t="s">
        <v>669</v>
      </c>
    </row>
    <row r="52" customFormat="false" ht="15.75" hidden="false" customHeight="true" outlineLevel="0" collapsed="false">
      <c r="A52" s="45" t="s">
        <v>516</v>
      </c>
      <c r="B52" s="43" t="s">
        <v>670</v>
      </c>
      <c r="C52" s="43" t="s">
        <v>669</v>
      </c>
    </row>
    <row r="53" customFormat="false" ht="15.75" hidden="false" customHeight="true" outlineLevel="0" collapsed="false">
      <c r="A53" s="41" t="s">
        <v>205</v>
      </c>
      <c r="B53" s="42" t="s">
        <v>676</v>
      </c>
      <c r="C53" s="42" t="s">
        <v>677</v>
      </c>
    </row>
    <row r="54" customFormat="false" ht="15.75" hidden="false" customHeight="true" outlineLevel="0" collapsed="false">
      <c r="A54" s="41" t="s">
        <v>250</v>
      </c>
      <c r="B54" s="42" t="s">
        <v>676</v>
      </c>
      <c r="C54" s="42" t="s">
        <v>677</v>
      </c>
    </row>
    <row r="55" customFormat="false" ht="15.75" hidden="false" customHeight="true" outlineLevel="0" collapsed="false">
      <c r="A55" s="41" t="s">
        <v>397</v>
      </c>
      <c r="B55" s="42" t="s">
        <v>676</v>
      </c>
      <c r="C55" s="42" t="s">
        <v>677</v>
      </c>
    </row>
    <row r="56" customFormat="false" ht="15.75" hidden="false" customHeight="true" outlineLevel="0" collapsed="false">
      <c r="A56" s="41" t="s">
        <v>367</v>
      </c>
      <c r="B56" s="42" t="s">
        <v>676</v>
      </c>
      <c r="C56" s="42" t="s">
        <v>677</v>
      </c>
    </row>
    <row r="57" customFormat="false" ht="15.75" hidden="false" customHeight="true" outlineLevel="0" collapsed="false">
      <c r="A57" s="41" t="s">
        <v>173</v>
      </c>
      <c r="B57" s="44" t="s">
        <v>676</v>
      </c>
      <c r="C57" s="42" t="s">
        <v>677</v>
      </c>
    </row>
    <row r="58" customFormat="false" ht="15.75" hidden="false" customHeight="true" outlineLevel="0" collapsed="false">
      <c r="A58" s="41" t="s">
        <v>235</v>
      </c>
      <c r="B58" s="42" t="s">
        <v>676</v>
      </c>
      <c r="C58" s="42" t="s">
        <v>677</v>
      </c>
    </row>
    <row r="59" customFormat="false" ht="15.75" hidden="false" customHeight="true" outlineLevel="0" collapsed="false">
      <c r="A59" s="41" t="s">
        <v>481</v>
      </c>
      <c r="B59" s="42" t="s">
        <v>676</v>
      </c>
      <c r="C59" s="42" t="s">
        <v>677</v>
      </c>
    </row>
    <row r="60" customFormat="false" ht="15.75" hidden="false" customHeight="true" outlineLevel="0" collapsed="false">
      <c r="A60" s="41" t="s">
        <v>334</v>
      </c>
      <c r="B60" s="42" t="s">
        <v>676</v>
      </c>
      <c r="C60" s="42" t="s">
        <v>677</v>
      </c>
    </row>
    <row r="61" customFormat="false" ht="15.75" hidden="false" customHeight="true" outlineLevel="0" collapsed="false">
      <c r="A61" s="41" t="s">
        <v>150</v>
      </c>
      <c r="B61" s="42" t="s">
        <v>676</v>
      </c>
      <c r="C61" s="42" t="s">
        <v>677</v>
      </c>
    </row>
    <row r="62" customFormat="false" ht="15.75" hidden="false" customHeight="true" outlineLevel="0" collapsed="false">
      <c r="A62" s="41" t="s">
        <v>410</v>
      </c>
      <c r="B62" s="42" t="s">
        <v>676</v>
      </c>
      <c r="C62" s="42" t="s">
        <v>677</v>
      </c>
    </row>
    <row r="63" customFormat="false" ht="15.75" hidden="false" customHeight="true" outlineLevel="0" collapsed="false">
      <c r="A63" s="41" t="s">
        <v>443</v>
      </c>
      <c r="B63" s="42" t="s">
        <v>678</v>
      </c>
      <c r="C63" s="42" t="s">
        <v>677</v>
      </c>
    </row>
    <row r="64" customFormat="false" ht="15.75" hidden="false" customHeight="true" outlineLevel="0" collapsed="false">
      <c r="A64" s="41" t="s">
        <v>513</v>
      </c>
      <c r="B64" s="42" t="s">
        <v>678</v>
      </c>
      <c r="C64" s="42" t="s">
        <v>677</v>
      </c>
    </row>
    <row r="65" customFormat="false" ht="15.75" hidden="false" customHeight="true" outlineLevel="0" collapsed="false">
      <c r="A65" s="41" t="s">
        <v>226</v>
      </c>
      <c r="B65" s="44" t="s">
        <v>678</v>
      </c>
      <c r="C65" s="42" t="s">
        <v>677</v>
      </c>
    </row>
    <row r="66" customFormat="false" ht="15.75" hidden="false" customHeight="true" outlineLevel="0" collapsed="false">
      <c r="A66" s="41" t="s">
        <v>294</v>
      </c>
      <c r="B66" s="42" t="s">
        <v>678</v>
      </c>
      <c r="C66" s="42" t="s">
        <v>677</v>
      </c>
    </row>
    <row r="67" customFormat="false" ht="15.75" hidden="false" customHeight="true" outlineLevel="0" collapsed="false">
      <c r="A67" s="41" t="s">
        <v>312</v>
      </c>
      <c r="B67" s="42" t="s">
        <v>678</v>
      </c>
      <c r="C67" s="42" t="s">
        <v>677</v>
      </c>
    </row>
    <row r="68" customFormat="false" ht="15.75" hidden="false" customHeight="true" outlineLevel="0" collapsed="false">
      <c r="A68" s="41" t="s">
        <v>33</v>
      </c>
      <c r="B68" s="42" t="s">
        <v>678</v>
      </c>
      <c r="C68" s="42" t="s">
        <v>677</v>
      </c>
    </row>
    <row r="69" customFormat="false" ht="15.75" hidden="false" customHeight="true" outlineLevel="0" collapsed="false">
      <c r="A69" s="41" t="s">
        <v>317</v>
      </c>
      <c r="B69" s="42" t="s">
        <v>676</v>
      </c>
      <c r="C69" s="42" t="s">
        <v>677</v>
      </c>
    </row>
    <row r="70" customFormat="false" ht="15.75" hidden="false" customHeight="true" outlineLevel="0" collapsed="false">
      <c r="A70" s="41" t="s">
        <v>165</v>
      </c>
      <c r="B70" s="42" t="s">
        <v>676</v>
      </c>
      <c r="C70" s="42" t="s">
        <v>677</v>
      </c>
    </row>
    <row r="71" customFormat="false" ht="15.75" hidden="false" customHeight="true" outlineLevel="0" collapsed="false">
      <c r="A71" s="41" t="s">
        <v>290</v>
      </c>
      <c r="B71" s="42" t="s">
        <v>676</v>
      </c>
      <c r="C71" s="43" t="s">
        <v>677</v>
      </c>
    </row>
    <row r="72" customFormat="false" ht="15.75" hidden="false" customHeight="true" outlineLevel="0" collapsed="false">
      <c r="A72" s="41" t="s">
        <v>337</v>
      </c>
      <c r="B72" s="42" t="s">
        <v>676</v>
      </c>
      <c r="C72" s="42" t="s">
        <v>677</v>
      </c>
    </row>
    <row r="73" customFormat="false" ht="15.75" hidden="false" customHeight="true" outlineLevel="0" collapsed="false">
      <c r="A73" s="41" t="s">
        <v>156</v>
      </c>
      <c r="B73" s="42" t="s">
        <v>678</v>
      </c>
      <c r="C73" s="42" t="s">
        <v>677</v>
      </c>
    </row>
    <row r="74" customFormat="false" ht="15.75" hidden="false" customHeight="true" outlineLevel="0" collapsed="false">
      <c r="A74" s="45" t="s">
        <v>517</v>
      </c>
      <c r="B74" s="43" t="s">
        <v>678</v>
      </c>
      <c r="C74" s="43" t="s">
        <v>677</v>
      </c>
    </row>
    <row r="75" customFormat="false" ht="15.75" hidden="false" customHeight="true" outlineLevel="0" collapsed="false">
      <c r="A75" s="45" t="s">
        <v>371</v>
      </c>
      <c r="B75" s="43" t="s">
        <v>676</v>
      </c>
      <c r="C75" s="43" t="s">
        <v>677</v>
      </c>
    </row>
    <row r="76" customFormat="false" ht="15.75" hidden="false" customHeight="true" outlineLevel="0" collapsed="false">
      <c r="A76" s="41" t="s">
        <v>272</v>
      </c>
      <c r="B76" s="42" t="s">
        <v>679</v>
      </c>
      <c r="C76" s="42" t="s">
        <v>680</v>
      </c>
    </row>
    <row r="77" customFormat="false" ht="15.75" hidden="false" customHeight="true" outlineLevel="0" collapsed="false">
      <c r="A77" s="41" t="s">
        <v>219</v>
      </c>
      <c r="B77" s="42" t="s">
        <v>679</v>
      </c>
      <c r="C77" s="42" t="s">
        <v>680</v>
      </c>
    </row>
    <row r="78" customFormat="false" ht="15.75" hidden="false" customHeight="true" outlineLevel="0" collapsed="false">
      <c r="A78" s="41" t="s">
        <v>231</v>
      </c>
      <c r="B78" s="42" t="s">
        <v>679</v>
      </c>
      <c r="C78" s="42" t="s">
        <v>680</v>
      </c>
    </row>
    <row r="79" customFormat="false" ht="15.75" hidden="false" customHeight="true" outlineLevel="0" collapsed="false">
      <c r="A79" s="41" t="s">
        <v>368</v>
      </c>
      <c r="B79" s="42" t="s">
        <v>679</v>
      </c>
      <c r="C79" s="42" t="s">
        <v>680</v>
      </c>
    </row>
    <row r="80" customFormat="false" ht="15.75" hidden="false" customHeight="true" outlineLevel="0" collapsed="false">
      <c r="A80" s="41" t="s">
        <v>229</v>
      </c>
      <c r="B80" s="42" t="s">
        <v>679</v>
      </c>
      <c r="C80" s="42" t="s">
        <v>680</v>
      </c>
    </row>
    <row r="81" customFormat="false" ht="15.75" hidden="false" customHeight="true" outlineLevel="0" collapsed="false">
      <c r="A81" s="41" t="s">
        <v>490</v>
      </c>
      <c r="B81" s="42" t="s">
        <v>679</v>
      </c>
      <c r="C81" s="42" t="s">
        <v>680</v>
      </c>
    </row>
    <row r="82" customFormat="false" ht="15.75" hidden="false" customHeight="true" outlineLevel="0" collapsed="false">
      <c r="A82" s="41" t="s">
        <v>175</v>
      </c>
      <c r="B82" s="42" t="s">
        <v>679</v>
      </c>
      <c r="C82" s="43" t="s">
        <v>680</v>
      </c>
    </row>
    <row r="83" customFormat="false" ht="15.75" hidden="false" customHeight="true" outlineLevel="0" collapsed="false">
      <c r="A83" s="41" t="s">
        <v>386</v>
      </c>
      <c r="B83" s="42" t="s">
        <v>679</v>
      </c>
      <c r="C83" s="42" t="s">
        <v>680</v>
      </c>
    </row>
    <row r="84" customFormat="false" ht="15.75" hidden="false" customHeight="true" outlineLevel="0" collapsed="false">
      <c r="A84" s="41" t="s">
        <v>348</v>
      </c>
      <c r="B84" s="42" t="s">
        <v>679</v>
      </c>
      <c r="C84" s="42" t="s">
        <v>680</v>
      </c>
    </row>
    <row r="85" customFormat="false" ht="15.75" hidden="false" customHeight="true" outlineLevel="0" collapsed="false">
      <c r="A85" s="41" t="s">
        <v>388</v>
      </c>
      <c r="B85" s="42" t="s">
        <v>679</v>
      </c>
      <c r="C85" s="42" t="s">
        <v>680</v>
      </c>
    </row>
    <row r="86" customFormat="false" ht="15.75" hidden="false" customHeight="true" outlineLevel="0" collapsed="false">
      <c r="A86" s="41" t="s">
        <v>357</v>
      </c>
      <c r="B86" s="42" t="s">
        <v>679</v>
      </c>
      <c r="C86" s="42" t="s">
        <v>680</v>
      </c>
    </row>
    <row r="87" customFormat="false" ht="15.75" hidden="false" customHeight="true" outlineLevel="0" collapsed="false">
      <c r="A87" s="41" t="s">
        <v>248</v>
      </c>
      <c r="B87" s="42" t="s">
        <v>679</v>
      </c>
      <c r="C87" s="42" t="s">
        <v>680</v>
      </c>
    </row>
    <row r="88" customFormat="false" ht="15.75" hidden="false" customHeight="true" outlineLevel="0" collapsed="false">
      <c r="A88" s="41" t="s">
        <v>136</v>
      </c>
      <c r="B88" s="42" t="s">
        <v>679</v>
      </c>
      <c r="C88" s="42" t="s">
        <v>680</v>
      </c>
    </row>
    <row r="89" customFormat="false" ht="15.75" hidden="false" customHeight="true" outlineLevel="0" collapsed="false">
      <c r="A89" s="41" t="s">
        <v>404</v>
      </c>
      <c r="B89" s="42" t="s">
        <v>679</v>
      </c>
      <c r="C89" s="42" t="s">
        <v>680</v>
      </c>
    </row>
    <row r="90" customFormat="false" ht="15.75" hidden="false" customHeight="true" outlineLevel="0" collapsed="false">
      <c r="A90" s="41" t="s">
        <v>24</v>
      </c>
      <c r="B90" s="42" t="s">
        <v>679</v>
      </c>
      <c r="C90" s="42" t="s">
        <v>680</v>
      </c>
    </row>
    <row r="91" customFormat="false" ht="15.75" hidden="false" customHeight="true" outlineLevel="0" collapsed="false">
      <c r="A91" s="41" t="s">
        <v>382</v>
      </c>
      <c r="B91" s="42" t="s">
        <v>679</v>
      </c>
      <c r="C91" s="42" t="s">
        <v>680</v>
      </c>
    </row>
    <row r="92" customFormat="false" ht="15.75" hidden="false" customHeight="true" outlineLevel="0" collapsed="false">
      <c r="A92" s="41" t="s">
        <v>288</v>
      </c>
      <c r="B92" s="42" t="s">
        <v>679</v>
      </c>
      <c r="C92" s="42" t="s">
        <v>680</v>
      </c>
    </row>
    <row r="93" customFormat="false" ht="15.75" hidden="false" customHeight="true" outlineLevel="0" collapsed="false">
      <c r="A93" s="41" t="s">
        <v>50</v>
      </c>
      <c r="B93" s="42" t="s">
        <v>679</v>
      </c>
      <c r="C93" s="42" t="s">
        <v>680</v>
      </c>
    </row>
    <row r="94" customFormat="false" ht="15.75" hidden="false" customHeight="true" outlineLevel="0" collapsed="false">
      <c r="A94" s="41" t="s">
        <v>494</v>
      </c>
      <c r="B94" s="42" t="s">
        <v>679</v>
      </c>
      <c r="C94" s="44" t="s">
        <v>680</v>
      </c>
    </row>
    <row r="95" customFormat="false" ht="15.75" hidden="false" customHeight="true" outlineLevel="0" collapsed="false">
      <c r="A95" s="41" t="s">
        <v>479</v>
      </c>
      <c r="B95" s="42" t="s">
        <v>679</v>
      </c>
      <c r="C95" s="42" t="s">
        <v>680</v>
      </c>
    </row>
    <row r="96" customFormat="false" ht="15.75" hidden="false" customHeight="true" outlineLevel="0" collapsed="false">
      <c r="A96" s="41" t="s">
        <v>461</v>
      </c>
      <c r="B96" s="42" t="s">
        <v>679</v>
      </c>
      <c r="C96" s="42" t="s">
        <v>680</v>
      </c>
    </row>
    <row r="97" customFormat="false" ht="15.75" hidden="false" customHeight="true" outlineLevel="0" collapsed="false">
      <c r="A97" s="41" t="s">
        <v>548</v>
      </c>
      <c r="B97" s="42" t="s">
        <v>679</v>
      </c>
      <c r="C97" s="42" t="s">
        <v>680</v>
      </c>
    </row>
    <row r="98" customFormat="false" ht="15.75" hidden="false" customHeight="true" outlineLevel="0" collapsed="false">
      <c r="A98" s="41" t="s">
        <v>344</v>
      </c>
      <c r="B98" s="42" t="s">
        <v>679</v>
      </c>
      <c r="C98" s="42" t="s">
        <v>680</v>
      </c>
    </row>
    <row r="99" customFormat="false" ht="15.75" hidden="false" customHeight="true" outlineLevel="0" collapsed="false">
      <c r="A99" s="41" t="s">
        <v>413</v>
      </c>
      <c r="B99" s="42" t="s">
        <v>679</v>
      </c>
      <c r="C99" s="42" t="s">
        <v>680</v>
      </c>
    </row>
    <row r="100" customFormat="false" ht="15.75" hidden="false" customHeight="true" outlineLevel="0" collapsed="false">
      <c r="A100" s="45" t="s">
        <v>532</v>
      </c>
      <c r="B100" s="43" t="s">
        <v>679</v>
      </c>
      <c r="C100" s="43" t="s">
        <v>680</v>
      </c>
    </row>
    <row r="101" customFormat="false" ht="15.75" hidden="false" customHeight="true" outlineLevel="0" collapsed="false">
      <c r="A101" s="41" t="s">
        <v>29</v>
      </c>
      <c r="B101" s="42" t="s">
        <v>679</v>
      </c>
      <c r="C101" s="42" t="s">
        <v>680</v>
      </c>
    </row>
    <row r="102" customFormat="false" ht="15.75" hidden="false" customHeight="true" outlineLevel="0" collapsed="false">
      <c r="A102" s="41" t="s">
        <v>355</v>
      </c>
      <c r="B102" s="42" t="s">
        <v>679</v>
      </c>
      <c r="C102" s="42" t="s">
        <v>680</v>
      </c>
    </row>
    <row r="103" customFormat="false" ht="15.75" hidden="false" customHeight="true" outlineLevel="0" collapsed="false">
      <c r="A103" s="41" t="s">
        <v>355</v>
      </c>
      <c r="B103" s="42" t="s">
        <v>679</v>
      </c>
      <c r="C103" s="42" t="s">
        <v>680</v>
      </c>
    </row>
    <row r="104" customFormat="false" ht="15.75" hidden="false" customHeight="true" outlineLevel="0" collapsed="false">
      <c r="A104" s="41" t="s">
        <v>355</v>
      </c>
      <c r="B104" s="42" t="s">
        <v>679</v>
      </c>
      <c r="C104" s="42" t="s">
        <v>680</v>
      </c>
    </row>
    <row r="105" customFormat="false" ht="15.75" hidden="false" customHeight="true" outlineLevel="0" collapsed="false">
      <c r="A105" s="41" t="s">
        <v>355</v>
      </c>
      <c r="B105" s="42" t="s">
        <v>679</v>
      </c>
      <c r="C105" s="42" t="s">
        <v>680</v>
      </c>
    </row>
    <row r="106" customFormat="false" ht="15.75" hidden="false" customHeight="true" outlineLevel="0" collapsed="false">
      <c r="A106" s="45" t="s">
        <v>548</v>
      </c>
      <c r="B106" s="44" t="s">
        <v>679</v>
      </c>
      <c r="C106" s="42" t="s">
        <v>680</v>
      </c>
    </row>
    <row r="107" customFormat="false" ht="15.75" hidden="false" customHeight="true" outlineLevel="0" collapsed="false">
      <c r="A107" s="41" t="s">
        <v>505</v>
      </c>
      <c r="B107" s="42" t="s">
        <v>681</v>
      </c>
      <c r="C107" s="42" t="s">
        <v>682</v>
      </c>
    </row>
    <row r="108" customFormat="false" ht="15.75" hidden="false" customHeight="true" outlineLevel="0" collapsed="false">
      <c r="A108" s="41" t="s">
        <v>518</v>
      </c>
      <c r="B108" s="42" t="s">
        <v>681</v>
      </c>
      <c r="C108" s="42" t="s">
        <v>682</v>
      </c>
    </row>
    <row r="109" customFormat="false" ht="15.75" hidden="false" customHeight="true" outlineLevel="0" collapsed="false">
      <c r="A109" s="41" t="s">
        <v>564</v>
      </c>
      <c r="B109" s="42" t="s">
        <v>681</v>
      </c>
      <c r="C109" s="42" t="s">
        <v>682</v>
      </c>
    </row>
    <row r="110" customFormat="false" ht="15.75" hidden="false" customHeight="true" outlineLevel="0" collapsed="false">
      <c r="A110" s="41" t="s">
        <v>62</v>
      </c>
      <c r="B110" s="42" t="s">
        <v>681</v>
      </c>
      <c r="C110" s="42" t="s">
        <v>682</v>
      </c>
    </row>
    <row r="111" customFormat="false" ht="15.75" hidden="false" customHeight="true" outlineLevel="0" collapsed="false">
      <c r="A111" s="41" t="s">
        <v>333</v>
      </c>
      <c r="B111" s="42" t="s">
        <v>681</v>
      </c>
      <c r="C111" s="42" t="s">
        <v>682</v>
      </c>
    </row>
    <row r="112" customFormat="false" ht="15.75" hidden="false" customHeight="true" outlineLevel="0" collapsed="false">
      <c r="A112" s="41" t="s">
        <v>254</v>
      </c>
      <c r="B112" s="42" t="s">
        <v>681</v>
      </c>
      <c r="C112" s="42" t="s">
        <v>682</v>
      </c>
    </row>
    <row r="113" customFormat="false" ht="15.75" hidden="false" customHeight="true" outlineLevel="0" collapsed="false">
      <c r="A113" s="41" t="s">
        <v>271</v>
      </c>
      <c r="B113" s="42" t="s">
        <v>671</v>
      </c>
      <c r="C113" s="42" t="s">
        <v>682</v>
      </c>
    </row>
    <row r="114" customFormat="false" ht="15.75" hidden="false" customHeight="true" outlineLevel="0" collapsed="false">
      <c r="A114" s="41" t="s">
        <v>259</v>
      </c>
      <c r="B114" s="42" t="s">
        <v>683</v>
      </c>
      <c r="C114" s="42" t="s">
        <v>682</v>
      </c>
    </row>
    <row r="115" customFormat="false" ht="15.75" hidden="false" customHeight="true" outlineLevel="0" collapsed="false">
      <c r="A115" s="41" t="s">
        <v>684</v>
      </c>
      <c r="B115" s="42" t="s">
        <v>683</v>
      </c>
      <c r="C115" s="42" t="s">
        <v>682</v>
      </c>
    </row>
    <row r="116" customFormat="false" ht="15.75" hidden="false" customHeight="true" outlineLevel="0" collapsed="false">
      <c r="A116" s="41" t="s">
        <v>352</v>
      </c>
      <c r="B116" s="42" t="s">
        <v>683</v>
      </c>
      <c r="C116" s="42" t="s">
        <v>682</v>
      </c>
    </row>
    <row r="117" customFormat="false" ht="15.75" hidden="false" customHeight="true" outlineLevel="0" collapsed="false">
      <c r="A117" s="41" t="s">
        <v>97</v>
      </c>
      <c r="B117" s="43" t="s">
        <v>683</v>
      </c>
      <c r="C117" s="42" t="s">
        <v>682</v>
      </c>
    </row>
    <row r="118" customFormat="false" ht="15.75" hidden="false" customHeight="true" outlineLevel="0" collapsed="false">
      <c r="A118" s="41" t="s">
        <v>365</v>
      </c>
      <c r="B118" s="42" t="s">
        <v>683</v>
      </c>
      <c r="C118" s="42" t="s">
        <v>682</v>
      </c>
    </row>
    <row r="119" customFormat="false" ht="15.75" hidden="false" customHeight="true" outlineLevel="0" collapsed="false">
      <c r="A119" s="41" t="s">
        <v>86</v>
      </c>
      <c r="B119" s="42" t="s">
        <v>683</v>
      </c>
      <c r="C119" s="42" t="s">
        <v>682</v>
      </c>
    </row>
    <row r="120" customFormat="false" ht="15.75" hidden="false" customHeight="true" outlineLevel="0" collapsed="false">
      <c r="A120" s="41" t="s">
        <v>473</v>
      </c>
      <c r="B120" s="42" t="s">
        <v>683</v>
      </c>
      <c r="C120" s="42" t="s">
        <v>682</v>
      </c>
    </row>
    <row r="121" customFormat="false" ht="15.75" hidden="false" customHeight="true" outlineLevel="0" collapsed="false">
      <c r="A121" s="41" t="s">
        <v>398</v>
      </c>
      <c r="B121" s="42" t="s">
        <v>683</v>
      </c>
      <c r="C121" s="42" t="s">
        <v>682</v>
      </c>
    </row>
    <row r="122" customFormat="false" ht="15.75" hidden="false" customHeight="true" outlineLevel="0" collapsed="false">
      <c r="A122" s="41" t="s">
        <v>257</v>
      </c>
      <c r="B122" s="42" t="s">
        <v>683</v>
      </c>
      <c r="C122" s="42" t="s">
        <v>682</v>
      </c>
    </row>
    <row r="123" customFormat="false" ht="15.75" hidden="false" customHeight="true" outlineLevel="0" collapsed="false">
      <c r="A123" s="41" t="s">
        <v>364</v>
      </c>
      <c r="B123" s="42" t="s">
        <v>683</v>
      </c>
      <c r="C123" s="42" t="s">
        <v>682</v>
      </c>
    </row>
    <row r="124" customFormat="false" ht="15.75" hidden="false" customHeight="true" outlineLevel="0" collapsed="false">
      <c r="A124" s="41" t="s">
        <v>484</v>
      </c>
      <c r="B124" s="42" t="s">
        <v>683</v>
      </c>
      <c r="C124" s="42" t="s">
        <v>682</v>
      </c>
    </row>
    <row r="125" customFormat="false" ht="15.75" hidden="false" customHeight="true" outlineLevel="0" collapsed="false">
      <c r="A125" s="41" t="s">
        <v>314</v>
      </c>
      <c r="B125" s="42" t="s">
        <v>681</v>
      </c>
      <c r="C125" s="42" t="s">
        <v>682</v>
      </c>
    </row>
    <row r="126" customFormat="false" ht="15.75" hidden="false" customHeight="true" outlineLevel="0" collapsed="false">
      <c r="A126" s="41" t="s">
        <v>507</v>
      </c>
      <c r="B126" s="42" t="s">
        <v>683</v>
      </c>
      <c r="C126" s="42" t="s">
        <v>682</v>
      </c>
    </row>
    <row r="127" customFormat="false" ht="15.75" hidden="false" customHeight="true" outlineLevel="0" collapsed="false">
      <c r="A127" s="44" t="s">
        <v>89</v>
      </c>
      <c r="B127" s="42" t="s">
        <v>683</v>
      </c>
      <c r="C127" s="42" t="s">
        <v>682</v>
      </c>
    </row>
    <row r="128" customFormat="false" ht="15.75" hidden="false" customHeight="true" outlineLevel="0" collapsed="false">
      <c r="A128" s="41" t="s">
        <v>245</v>
      </c>
      <c r="B128" s="42" t="s">
        <v>685</v>
      </c>
      <c r="C128" s="42" t="s">
        <v>686</v>
      </c>
    </row>
    <row r="129" customFormat="false" ht="15.75" hidden="false" customHeight="true" outlineLevel="0" collapsed="false">
      <c r="A129" s="41" t="s">
        <v>118</v>
      </c>
      <c r="B129" s="42" t="s">
        <v>685</v>
      </c>
      <c r="C129" s="42" t="s">
        <v>686</v>
      </c>
    </row>
    <row r="130" customFormat="false" ht="15.75" hidden="false" customHeight="true" outlineLevel="0" collapsed="false">
      <c r="A130" s="41" t="s">
        <v>114</v>
      </c>
      <c r="B130" s="42" t="s">
        <v>685</v>
      </c>
      <c r="C130" s="42" t="s">
        <v>686</v>
      </c>
    </row>
    <row r="131" customFormat="false" ht="15.75" hidden="false" customHeight="true" outlineLevel="0" collapsed="false">
      <c r="A131" s="41" t="s">
        <v>65</v>
      </c>
      <c r="B131" s="42" t="s">
        <v>685</v>
      </c>
      <c r="C131" s="42" t="s">
        <v>686</v>
      </c>
    </row>
    <row r="132" customFormat="false" ht="15.75" hidden="false" customHeight="true" outlineLevel="0" collapsed="false">
      <c r="A132" s="41" t="s">
        <v>195</v>
      </c>
      <c r="B132" s="42" t="s">
        <v>685</v>
      </c>
      <c r="C132" s="42" t="s">
        <v>686</v>
      </c>
    </row>
    <row r="133" customFormat="false" ht="15.75" hidden="false" customHeight="true" outlineLevel="0" collapsed="false">
      <c r="A133" s="41" t="s">
        <v>200</v>
      </c>
      <c r="B133" s="42" t="s">
        <v>685</v>
      </c>
      <c r="C133" s="42" t="s">
        <v>686</v>
      </c>
    </row>
    <row r="134" customFormat="false" ht="15.75" hidden="false" customHeight="true" outlineLevel="0" collapsed="false">
      <c r="A134" s="41" t="s">
        <v>191</v>
      </c>
      <c r="B134" s="42" t="s">
        <v>685</v>
      </c>
      <c r="C134" s="42" t="s">
        <v>686</v>
      </c>
    </row>
    <row r="135" customFormat="false" ht="15.75" hidden="false" customHeight="true" outlineLevel="0" collapsed="false">
      <c r="A135" s="41" t="s">
        <v>381</v>
      </c>
      <c r="B135" s="42" t="s">
        <v>687</v>
      </c>
      <c r="C135" s="42" t="s">
        <v>686</v>
      </c>
    </row>
    <row r="136" customFormat="false" ht="15.75" hidden="false" customHeight="true" outlineLevel="0" collapsed="false">
      <c r="A136" s="41" t="s">
        <v>281</v>
      </c>
      <c r="B136" s="42" t="s">
        <v>687</v>
      </c>
      <c r="C136" s="42" t="s">
        <v>686</v>
      </c>
    </row>
    <row r="137" customFormat="false" ht="15.75" hidden="false" customHeight="true" outlineLevel="0" collapsed="false">
      <c r="A137" s="41" t="s">
        <v>92</v>
      </c>
      <c r="B137" s="42" t="s">
        <v>687</v>
      </c>
      <c r="C137" s="42" t="s">
        <v>686</v>
      </c>
    </row>
    <row r="138" customFormat="false" ht="15.75" hidden="false" customHeight="true" outlineLevel="0" collapsed="false">
      <c r="A138" s="41" t="s">
        <v>437</v>
      </c>
      <c r="B138" s="42" t="s">
        <v>687</v>
      </c>
      <c r="C138" s="42" t="s">
        <v>686</v>
      </c>
    </row>
    <row r="139" customFormat="false" ht="15.75" hidden="false" customHeight="true" outlineLevel="0" collapsed="false">
      <c r="A139" s="41" t="s">
        <v>284</v>
      </c>
      <c r="B139" s="42" t="s">
        <v>687</v>
      </c>
      <c r="C139" s="42" t="s">
        <v>686</v>
      </c>
    </row>
    <row r="140" customFormat="false" ht="15.75" hidden="false" customHeight="true" outlineLevel="0" collapsed="false">
      <c r="A140" s="41" t="s">
        <v>454</v>
      </c>
      <c r="B140" s="42" t="s">
        <v>687</v>
      </c>
      <c r="C140" s="42" t="s">
        <v>686</v>
      </c>
    </row>
    <row r="141" customFormat="false" ht="15.75" hidden="false" customHeight="true" outlineLevel="0" collapsed="false">
      <c r="A141" s="41" t="s">
        <v>392</v>
      </c>
      <c r="B141" s="42" t="s">
        <v>687</v>
      </c>
      <c r="C141" s="42" t="s">
        <v>686</v>
      </c>
    </row>
    <row r="142" customFormat="false" ht="15.75" hidden="false" customHeight="true" outlineLevel="0" collapsed="false">
      <c r="A142" s="41" t="s">
        <v>486</v>
      </c>
      <c r="B142" s="42" t="s">
        <v>687</v>
      </c>
      <c r="C142" s="42" t="s">
        <v>686</v>
      </c>
    </row>
    <row r="143" customFormat="false" ht="15.75" hidden="false" customHeight="true" outlineLevel="0" collapsed="false">
      <c r="A143" s="41" t="s">
        <v>120</v>
      </c>
      <c r="B143" s="42" t="s">
        <v>687</v>
      </c>
      <c r="C143" s="42" t="s">
        <v>686</v>
      </c>
    </row>
    <row r="144" customFormat="false" ht="15.75" hidden="false" customHeight="true" outlineLevel="0" collapsed="false">
      <c r="A144" s="41" t="s">
        <v>688</v>
      </c>
      <c r="B144" s="42" t="s">
        <v>687</v>
      </c>
      <c r="C144" s="42" t="s">
        <v>686</v>
      </c>
    </row>
    <row r="145" customFormat="false" ht="15.75" hidden="false" customHeight="true" outlineLevel="0" collapsed="false">
      <c r="A145" s="41" t="s">
        <v>515</v>
      </c>
      <c r="B145" s="42" t="s">
        <v>687</v>
      </c>
      <c r="C145" s="42" t="s">
        <v>686</v>
      </c>
    </row>
    <row r="146" customFormat="false" ht="15.75" hidden="false" customHeight="true" outlineLevel="0" collapsed="false">
      <c r="A146" s="41" t="s">
        <v>178</v>
      </c>
      <c r="B146" s="42" t="s">
        <v>687</v>
      </c>
      <c r="C146" s="42" t="s">
        <v>686</v>
      </c>
    </row>
    <row r="147" customFormat="false" ht="15.75" hidden="false" customHeight="true" outlineLevel="0" collapsed="false">
      <c r="A147" s="41" t="s">
        <v>296</v>
      </c>
      <c r="B147" s="42" t="s">
        <v>687</v>
      </c>
      <c r="C147" s="42" t="s">
        <v>686</v>
      </c>
    </row>
    <row r="148" customFormat="false" ht="15.75" hidden="false" customHeight="true" outlineLevel="0" collapsed="false">
      <c r="A148" s="41" t="s">
        <v>83</v>
      </c>
      <c r="B148" s="42" t="s">
        <v>674</v>
      </c>
      <c r="C148" s="42" t="s">
        <v>686</v>
      </c>
    </row>
    <row r="149" customFormat="false" ht="15.75" hidden="false" customHeight="true" outlineLevel="0" collapsed="false">
      <c r="A149" s="41" t="s">
        <v>524</v>
      </c>
      <c r="B149" s="42" t="s">
        <v>687</v>
      </c>
      <c r="C149" s="42" t="s">
        <v>686</v>
      </c>
    </row>
    <row r="150" customFormat="false" ht="15.75" hidden="false" customHeight="true" outlineLevel="0" collapsed="false">
      <c r="A150" s="41" t="s">
        <v>521</v>
      </c>
      <c r="B150" s="42" t="s">
        <v>689</v>
      </c>
      <c r="C150" s="42" t="s">
        <v>686</v>
      </c>
    </row>
    <row r="151" customFormat="false" ht="15.75" hidden="false" customHeight="true" outlineLevel="0" collapsed="false">
      <c r="A151" s="41" t="s">
        <v>144</v>
      </c>
      <c r="B151" s="42" t="s">
        <v>689</v>
      </c>
      <c r="C151" s="42" t="s">
        <v>686</v>
      </c>
    </row>
    <row r="152" customFormat="false" ht="15.75" hidden="false" customHeight="true" outlineLevel="0" collapsed="false">
      <c r="A152" s="41" t="s">
        <v>139</v>
      </c>
      <c r="B152" s="42" t="s">
        <v>689</v>
      </c>
      <c r="C152" s="42" t="s">
        <v>686</v>
      </c>
    </row>
    <row r="153" customFormat="false" ht="15.75" hidden="false" customHeight="true" outlineLevel="0" collapsed="false">
      <c r="A153" s="41" t="s">
        <v>435</v>
      </c>
      <c r="B153" s="42" t="s">
        <v>687</v>
      </c>
      <c r="C153" s="42" t="s">
        <v>686</v>
      </c>
    </row>
    <row r="154" customFormat="false" ht="15.75" hidden="false" customHeight="true" outlineLevel="0" collapsed="false">
      <c r="A154" s="41" t="s">
        <v>435</v>
      </c>
      <c r="B154" s="42" t="s">
        <v>687</v>
      </c>
      <c r="C154" s="42" t="s">
        <v>686</v>
      </c>
    </row>
    <row r="155" customFormat="false" ht="15.75" hidden="false" customHeight="true" outlineLevel="0" collapsed="false">
      <c r="A155" s="41" t="s">
        <v>492</v>
      </c>
      <c r="B155" s="42" t="s">
        <v>687</v>
      </c>
      <c r="C155" s="42" t="s">
        <v>686</v>
      </c>
    </row>
    <row r="156" customFormat="false" ht="15.75" hidden="false" customHeight="true" outlineLevel="0" collapsed="false">
      <c r="A156" s="45" t="s">
        <v>292</v>
      </c>
      <c r="B156" s="43" t="s">
        <v>689</v>
      </c>
      <c r="C156" s="43" t="s">
        <v>686</v>
      </c>
    </row>
    <row r="157" customFormat="false" ht="15.75" hidden="false" customHeight="true" outlineLevel="0" collapsed="false">
      <c r="A157" s="45" t="s">
        <v>530</v>
      </c>
      <c r="B157" s="43" t="s">
        <v>687</v>
      </c>
      <c r="C157" s="43" t="s">
        <v>686</v>
      </c>
    </row>
    <row r="158" customFormat="false" ht="15.75" hidden="false" customHeight="true" outlineLevel="0" collapsed="false">
      <c r="A158" s="45" t="s">
        <v>267</v>
      </c>
      <c r="B158" s="43" t="s">
        <v>687</v>
      </c>
      <c r="C158" s="43" t="s">
        <v>686</v>
      </c>
    </row>
    <row r="159" customFormat="false" ht="15.75" hidden="false" customHeight="true" outlineLevel="0" collapsed="false">
      <c r="A159" s="46" t="s">
        <v>265</v>
      </c>
      <c r="B159" s="42" t="s">
        <v>685</v>
      </c>
      <c r="C159" s="42" t="s">
        <v>686</v>
      </c>
    </row>
    <row r="160" customFormat="false" ht="15.75" hidden="false" customHeight="true" outlineLevel="0" collapsed="false">
      <c r="A160" s="41" t="s">
        <v>477</v>
      </c>
      <c r="B160" s="42" t="s">
        <v>690</v>
      </c>
      <c r="C160" s="42" t="s">
        <v>690</v>
      </c>
    </row>
    <row r="161" customFormat="false" ht="15.75" hidden="false" customHeight="true" outlineLevel="0" collapsed="false">
      <c r="A161" s="41" t="s">
        <v>353</v>
      </c>
      <c r="B161" s="42" t="s">
        <v>690</v>
      </c>
      <c r="C161" s="42" t="s">
        <v>690</v>
      </c>
    </row>
    <row r="162" customFormat="false" ht="15.75" hidden="false" customHeight="true" outlineLevel="0" collapsed="false">
      <c r="A162" s="41" t="s">
        <v>400</v>
      </c>
      <c r="B162" s="42" t="s">
        <v>691</v>
      </c>
      <c r="C162" s="42" t="s">
        <v>692</v>
      </c>
    </row>
    <row r="163" customFormat="false" ht="15.75" hidden="false" customHeight="true" outlineLevel="0" collapsed="false">
      <c r="A163" s="41" t="s">
        <v>395</v>
      </c>
      <c r="B163" s="42" t="s">
        <v>691</v>
      </c>
      <c r="C163" s="42" t="s">
        <v>692</v>
      </c>
    </row>
    <row r="164" customFormat="false" ht="15.75" hidden="false" customHeight="true" outlineLevel="0" collapsed="false">
      <c r="A164" s="41" t="s">
        <v>300</v>
      </c>
      <c r="B164" s="42" t="s">
        <v>691</v>
      </c>
      <c r="C164" s="42" t="s">
        <v>692</v>
      </c>
    </row>
    <row r="165" customFormat="false" ht="15.75" hidden="false" customHeight="true" outlineLevel="0" collapsed="false">
      <c r="A165" s="41" t="s">
        <v>472</v>
      </c>
      <c r="B165" s="42" t="s">
        <v>691</v>
      </c>
      <c r="C165" s="42" t="s">
        <v>692</v>
      </c>
    </row>
    <row r="166" customFormat="false" ht="15.75" hidden="false" customHeight="true" outlineLevel="0" collapsed="false">
      <c r="A166" s="41" t="s">
        <v>213</v>
      </c>
      <c r="B166" s="42" t="s">
        <v>691</v>
      </c>
      <c r="C166" s="42" t="s">
        <v>692</v>
      </c>
    </row>
    <row r="167" customFormat="false" ht="15.75" hidden="false" customHeight="true" outlineLevel="0" collapsed="false">
      <c r="A167" s="41" t="s">
        <v>306</v>
      </c>
      <c r="B167" s="42" t="s">
        <v>693</v>
      </c>
      <c r="C167" s="42" t="s">
        <v>692</v>
      </c>
    </row>
    <row r="168" customFormat="false" ht="15.75" hidden="false" customHeight="true" outlineLevel="0" collapsed="false">
      <c r="A168" s="41" t="s">
        <v>339</v>
      </c>
      <c r="B168" s="42" t="s">
        <v>694</v>
      </c>
      <c r="C168" s="42" t="s">
        <v>692</v>
      </c>
    </row>
    <row r="169" customFormat="false" ht="15.75" hidden="false" customHeight="true" outlineLevel="0" collapsed="false">
      <c r="A169" s="41" t="s">
        <v>500</v>
      </c>
      <c r="B169" s="42" t="s">
        <v>694</v>
      </c>
      <c r="C169" s="42" t="s">
        <v>692</v>
      </c>
    </row>
    <row r="170" customFormat="false" ht="15.75" hidden="false" customHeight="true" outlineLevel="0" collapsed="false">
      <c r="A170" s="41" t="s">
        <v>298</v>
      </c>
      <c r="B170" s="42" t="s">
        <v>694</v>
      </c>
      <c r="C170" s="42" t="s">
        <v>692</v>
      </c>
    </row>
    <row r="171" customFormat="false" ht="15.75" hidden="false" customHeight="true" outlineLevel="0" collapsed="false">
      <c r="A171" s="41" t="s">
        <v>396</v>
      </c>
      <c r="B171" s="42" t="s">
        <v>694</v>
      </c>
      <c r="C171" s="42" t="s">
        <v>692</v>
      </c>
    </row>
    <row r="172" customFormat="false" ht="15.75" hidden="false" customHeight="true" outlineLevel="0" collapsed="false">
      <c r="A172" s="41" t="s">
        <v>508</v>
      </c>
      <c r="B172" s="42" t="s">
        <v>694</v>
      </c>
      <c r="C172" s="42" t="s">
        <v>692</v>
      </c>
    </row>
    <row r="173" customFormat="false" ht="15.75" hidden="false" customHeight="true" outlineLevel="0" collapsed="false">
      <c r="A173" s="41" t="s">
        <v>408</v>
      </c>
      <c r="B173" s="42" t="s">
        <v>694</v>
      </c>
      <c r="C173" s="42" t="s">
        <v>692</v>
      </c>
    </row>
    <row r="174" customFormat="false" ht="15.75" hidden="false" customHeight="true" outlineLevel="0" collapsed="false">
      <c r="A174" s="41" t="s">
        <v>420</v>
      </c>
      <c r="B174" s="42" t="s">
        <v>694</v>
      </c>
      <c r="C174" s="42" t="s">
        <v>692</v>
      </c>
    </row>
    <row r="175" customFormat="false" ht="15.75" hidden="false" customHeight="true" outlineLevel="0" collapsed="false">
      <c r="A175" s="41" t="s">
        <v>262</v>
      </c>
      <c r="B175" s="42" t="s">
        <v>695</v>
      </c>
      <c r="C175" s="42" t="s">
        <v>692</v>
      </c>
    </row>
    <row r="176" customFormat="false" ht="15.75" hidden="false" customHeight="true" outlineLevel="0" collapsed="false">
      <c r="A176" s="41" t="s">
        <v>373</v>
      </c>
      <c r="B176" s="42" t="s">
        <v>695</v>
      </c>
      <c r="C176" s="42" t="s">
        <v>692</v>
      </c>
    </row>
    <row r="177" customFormat="false" ht="15.75" hidden="false" customHeight="true" outlineLevel="0" collapsed="false">
      <c r="A177" s="41" t="s">
        <v>73</v>
      </c>
      <c r="B177" s="42" t="s">
        <v>693</v>
      </c>
      <c r="C177" s="42" t="s">
        <v>692</v>
      </c>
    </row>
    <row r="178" customFormat="false" ht="15.75" hidden="false" customHeight="true" outlineLevel="0" collapsed="false">
      <c r="A178" s="41" t="s">
        <v>111</v>
      </c>
      <c r="B178" s="42" t="s">
        <v>693</v>
      </c>
      <c r="C178" s="42" t="s">
        <v>692</v>
      </c>
    </row>
    <row r="179" customFormat="false" ht="15.75" hidden="false" customHeight="true" outlineLevel="0" collapsed="false">
      <c r="A179" s="41" t="s">
        <v>436</v>
      </c>
      <c r="B179" s="42" t="s">
        <v>693</v>
      </c>
      <c r="C179" s="42" t="s">
        <v>692</v>
      </c>
    </row>
    <row r="180" customFormat="false" ht="15.75" hidden="false" customHeight="true" outlineLevel="0" collapsed="false">
      <c r="A180" s="41" t="s">
        <v>497</v>
      </c>
      <c r="B180" s="42" t="s">
        <v>693</v>
      </c>
      <c r="C180" s="42" t="s">
        <v>692</v>
      </c>
    </row>
    <row r="181" customFormat="false" ht="15.75" hidden="false" customHeight="true" outlineLevel="0" collapsed="false">
      <c r="A181" s="41" t="s">
        <v>402</v>
      </c>
      <c r="B181" s="44" t="s">
        <v>693</v>
      </c>
      <c r="C181" s="44" t="s">
        <v>692</v>
      </c>
    </row>
    <row r="182" customFormat="false" ht="15.75" hidden="false" customHeight="true" outlineLevel="0" collapsed="false">
      <c r="A182" s="41" t="s">
        <v>444</v>
      </c>
      <c r="B182" s="44" t="s">
        <v>693</v>
      </c>
      <c r="C182" s="44" t="s">
        <v>692</v>
      </c>
    </row>
    <row r="183" customFormat="false" ht="15.75" hidden="false" customHeight="true" outlineLevel="0" collapsed="false">
      <c r="A183" s="41" t="s">
        <v>403</v>
      </c>
      <c r="B183" s="44" t="s">
        <v>693</v>
      </c>
      <c r="C183" s="44" t="s">
        <v>692</v>
      </c>
    </row>
    <row r="184" customFormat="false" ht="15.75" hidden="false" customHeight="true" outlineLevel="0" collapsed="false">
      <c r="A184" s="41" t="s">
        <v>188</v>
      </c>
      <c r="B184" s="42" t="s">
        <v>696</v>
      </c>
      <c r="C184" s="42" t="s">
        <v>697</v>
      </c>
    </row>
    <row r="185" customFormat="false" ht="15.75" hidden="false" customHeight="true" outlineLevel="0" collapsed="false">
      <c r="A185" s="41" t="s">
        <v>184</v>
      </c>
      <c r="B185" s="42" t="s">
        <v>696</v>
      </c>
      <c r="C185" s="42" t="s">
        <v>697</v>
      </c>
    </row>
    <row r="186" customFormat="false" ht="15.75" hidden="false" customHeight="true" outlineLevel="0" collapsed="false">
      <c r="A186" s="41" t="s">
        <v>412</v>
      </c>
      <c r="B186" s="42" t="s">
        <v>696</v>
      </c>
      <c r="C186" s="42" t="s">
        <v>697</v>
      </c>
    </row>
    <row r="187" customFormat="false" ht="15.75" hidden="false" customHeight="true" outlineLevel="0" collapsed="false">
      <c r="A187" s="41" t="s">
        <v>53</v>
      </c>
      <c r="B187" s="42" t="s">
        <v>696</v>
      </c>
      <c r="C187" s="42" t="s">
        <v>697</v>
      </c>
    </row>
    <row r="188" customFormat="false" ht="15.75" hidden="false" customHeight="true" outlineLevel="0" collapsed="false">
      <c r="A188" s="41" t="s">
        <v>379</v>
      </c>
      <c r="B188" s="42" t="s">
        <v>696</v>
      </c>
      <c r="C188" s="42" t="s">
        <v>697</v>
      </c>
    </row>
    <row r="189" customFormat="false" ht="15.75" hidden="false" customHeight="true" outlineLevel="0" collapsed="false">
      <c r="A189" s="41" t="s">
        <v>171</v>
      </c>
      <c r="B189" s="42" t="s">
        <v>698</v>
      </c>
      <c r="C189" s="42" t="s">
        <v>697</v>
      </c>
    </row>
    <row r="190" customFormat="false" ht="15.75" hidden="false" customHeight="true" outlineLevel="0" collapsed="false">
      <c r="A190" s="41" t="s">
        <v>162</v>
      </c>
      <c r="B190" s="42" t="s">
        <v>698</v>
      </c>
      <c r="C190" s="42" t="s">
        <v>697</v>
      </c>
    </row>
    <row r="191" customFormat="false" ht="15.75" hidden="false" customHeight="true" outlineLevel="0" collapsed="false">
      <c r="A191" s="41" t="s">
        <v>362</v>
      </c>
      <c r="B191" s="42" t="s">
        <v>698</v>
      </c>
      <c r="C191" s="42" t="s">
        <v>697</v>
      </c>
    </row>
    <row r="192" customFormat="false" ht="15.75" hidden="false" customHeight="true" outlineLevel="0" collapsed="false">
      <c r="A192" s="41" t="s">
        <v>309</v>
      </c>
      <c r="B192" s="42" t="s">
        <v>698</v>
      </c>
      <c r="C192" s="42" t="s">
        <v>697</v>
      </c>
    </row>
    <row r="193" customFormat="false" ht="15.75" hidden="false" customHeight="true" outlineLevel="0" collapsed="false">
      <c r="A193" s="41" t="s">
        <v>218</v>
      </c>
      <c r="B193" s="42" t="s">
        <v>698</v>
      </c>
      <c r="C193" s="42" t="s">
        <v>697</v>
      </c>
    </row>
    <row r="194" customFormat="false" ht="15.75" hidden="false" customHeight="true" outlineLevel="0" collapsed="false">
      <c r="A194" s="41" t="s">
        <v>153</v>
      </c>
      <c r="B194" s="42" t="s">
        <v>698</v>
      </c>
      <c r="C194" s="42" t="s">
        <v>697</v>
      </c>
    </row>
    <row r="195" customFormat="false" ht="15.75" hidden="false" customHeight="true" outlineLevel="0" collapsed="false">
      <c r="A195" s="41" t="s">
        <v>329</v>
      </c>
      <c r="B195" s="42" t="s">
        <v>698</v>
      </c>
      <c r="C195" s="42" t="s">
        <v>697</v>
      </c>
    </row>
    <row r="196" customFormat="false" ht="15.75" hidden="false" customHeight="true" outlineLevel="0" collapsed="false">
      <c r="A196" s="41" t="s">
        <v>320</v>
      </c>
      <c r="B196" s="42" t="s">
        <v>698</v>
      </c>
      <c r="C196" s="42" t="s">
        <v>697</v>
      </c>
    </row>
    <row r="197" customFormat="false" ht="15.75" hidden="false" customHeight="true" outlineLevel="0" collapsed="false">
      <c r="A197" s="41" t="s">
        <v>129</v>
      </c>
      <c r="B197" s="42" t="s">
        <v>698</v>
      </c>
      <c r="C197" s="42" t="s">
        <v>697</v>
      </c>
    </row>
    <row r="198" customFormat="false" ht="15.75" hidden="false" customHeight="true" outlineLevel="0" collapsed="false">
      <c r="A198" s="41" t="s">
        <v>94</v>
      </c>
      <c r="B198" s="42" t="s">
        <v>698</v>
      </c>
      <c r="C198" s="42" t="s">
        <v>697</v>
      </c>
    </row>
    <row r="199" customFormat="false" ht="15.75" hidden="false" customHeight="true" outlineLevel="0" collapsed="false">
      <c r="A199" s="41" t="s">
        <v>291</v>
      </c>
      <c r="B199" s="42" t="s">
        <v>698</v>
      </c>
      <c r="C199" s="42" t="s">
        <v>697</v>
      </c>
    </row>
    <row r="200" customFormat="false" ht="15.75" hidden="false" customHeight="true" outlineLevel="0" collapsed="false">
      <c r="A200" s="41" t="s">
        <v>451</v>
      </c>
      <c r="B200" s="42" t="s">
        <v>698</v>
      </c>
      <c r="C200" s="42" t="s">
        <v>697</v>
      </c>
    </row>
    <row r="201" customFormat="false" ht="15.75" hidden="false" customHeight="true" outlineLevel="0" collapsed="false">
      <c r="A201" s="41" t="s">
        <v>463</v>
      </c>
      <c r="B201" s="42" t="s">
        <v>698</v>
      </c>
      <c r="C201" s="42" t="s">
        <v>697</v>
      </c>
    </row>
    <row r="202" customFormat="false" ht="15.75" hidden="false" customHeight="true" outlineLevel="0" collapsed="false">
      <c r="A202" s="41" t="s">
        <v>322</v>
      </c>
      <c r="B202" s="42" t="s">
        <v>698</v>
      </c>
      <c r="C202" s="42" t="s">
        <v>697</v>
      </c>
    </row>
    <row r="203" customFormat="false" ht="15.75" hidden="false" customHeight="true" outlineLevel="0" collapsed="false">
      <c r="A203" s="41" t="s">
        <v>38</v>
      </c>
      <c r="B203" s="42" t="s">
        <v>699</v>
      </c>
      <c r="C203" s="42" t="s">
        <v>697</v>
      </c>
    </row>
    <row r="204" customFormat="false" ht="15.75" hidden="false" customHeight="true" outlineLevel="0" collapsed="false">
      <c r="A204" s="41" t="s">
        <v>700</v>
      </c>
      <c r="B204" s="42" t="s">
        <v>699</v>
      </c>
      <c r="C204" s="42" t="s">
        <v>697</v>
      </c>
    </row>
    <row r="205" customFormat="false" ht="15.75" hidden="false" customHeight="true" outlineLevel="0" collapsed="false">
      <c r="A205" s="41" t="s">
        <v>460</v>
      </c>
      <c r="B205" s="42" t="s">
        <v>699</v>
      </c>
      <c r="C205" s="42" t="s">
        <v>697</v>
      </c>
    </row>
    <row r="206" customFormat="false" ht="15.75" hidden="false" customHeight="true" outlineLevel="0" collapsed="false">
      <c r="A206" s="41" t="s">
        <v>701</v>
      </c>
      <c r="B206" s="42" t="s">
        <v>699</v>
      </c>
      <c r="C206" s="42" t="s">
        <v>697</v>
      </c>
    </row>
    <row r="207" customFormat="false" ht="15.75" hidden="false" customHeight="true" outlineLevel="0" collapsed="false">
      <c r="A207" s="41" t="s">
        <v>331</v>
      </c>
      <c r="B207" s="42" t="s">
        <v>699</v>
      </c>
      <c r="C207" s="42" t="s">
        <v>697</v>
      </c>
    </row>
    <row r="208" customFormat="false" ht="15.75" hidden="false" customHeight="true" outlineLevel="0" collapsed="false">
      <c r="A208" s="41" t="s">
        <v>168</v>
      </c>
      <c r="B208" s="42" t="s">
        <v>699</v>
      </c>
      <c r="C208" s="42" t="s">
        <v>697</v>
      </c>
    </row>
    <row r="209" customFormat="false" ht="15.75" hidden="false" customHeight="true" outlineLevel="0" collapsed="false">
      <c r="A209" s="45" t="s">
        <v>423</v>
      </c>
      <c r="B209" s="42" t="s">
        <v>698</v>
      </c>
      <c r="C209" s="43" t="s">
        <v>697</v>
      </c>
    </row>
    <row r="210" customFormat="false" ht="15.75" hidden="false" customHeight="true" outlineLevel="0" collapsed="false">
      <c r="A210" s="41" t="s">
        <v>208</v>
      </c>
      <c r="B210" s="42" t="s">
        <v>702</v>
      </c>
      <c r="C210" s="42" t="s">
        <v>703</v>
      </c>
    </row>
    <row r="211" customFormat="false" ht="15.75" hidden="false" customHeight="true" outlineLevel="0" collapsed="false">
      <c r="A211" s="41" t="s">
        <v>216</v>
      </c>
      <c r="B211" s="42" t="s">
        <v>702</v>
      </c>
      <c r="C211" s="42" t="s">
        <v>703</v>
      </c>
    </row>
    <row r="212" customFormat="false" ht="15.75" hidden="false" customHeight="true" outlineLevel="0" collapsed="false">
      <c r="A212" s="41" t="s">
        <v>426</v>
      </c>
      <c r="B212" s="42" t="s">
        <v>702</v>
      </c>
      <c r="C212" s="42" t="s">
        <v>703</v>
      </c>
    </row>
    <row r="213" customFormat="false" ht="15.75" hidden="false" customHeight="true" outlineLevel="0" collapsed="false">
      <c r="A213" s="41" t="s">
        <v>433</v>
      </c>
      <c r="B213" s="42" t="s">
        <v>702</v>
      </c>
      <c r="C213" s="42" t="s">
        <v>703</v>
      </c>
    </row>
    <row r="214" customFormat="false" ht="15.75" hidden="false" customHeight="true" outlineLevel="0" collapsed="false">
      <c r="A214" s="41" t="s">
        <v>186</v>
      </c>
      <c r="B214" s="42" t="s">
        <v>702</v>
      </c>
      <c r="C214" s="42" t="s">
        <v>703</v>
      </c>
    </row>
    <row r="215" customFormat="false" ht="15.75" hidden="false" customHeight="true" outlineLevel="0" collapsed="false">
      <c r="A215" s="41" t="s">
        <v>474</v>
      </c>
      <c r="B215" s="42" t="s">
        <v>702</v>
      </c>
      <c r="C215" s="42" t="s">
        <v>703</v>
      </c>
    </row>
    <row r="216" customFormat="false" ht="15.75" hidden="false" customHeight="true" outlineLevel="0" collapsed="false">
      <c r="A216" s="41" t="s">
        <v>123</v>
      </c>
      <c r="B216" s="42" t="s">
        <v>702</v>
      </c>
      <c r="C216" s="42" t="s">
        <v>703</v>
      </c>
    </row>
    <row r="217" customFormat="false" ht="15.75" hidden="false" customHeight="true" outlineLevel="0" collapsed="false">
      <c r="A217" s="41" t="s">
        <v>181</v>
      </c>
      <c r="B217" s="42" t="s">
        <v>702</v>
      </c>
      <c r="C217" s="42" t="s">
        <v>703</v>
      </c>
    </row>
    <row r="218" customFormat="false" ht="15.75" hidden="false" customHeight="true" outlineLevel="0" collapsed="false">
      <c r="A218" s="41" t="s">
        <v>76</v>
      </c>
      <c r="B218" s="42" t="s">
        <v>702</v>
      </c>
      <c r="C218" s="42" t="s">
        <v>703</v>
      </c>
    </row>
    <row r="219" customFormat="false" ht="15.75" hidden="false" customHeight="true" outlineLevel="0" collapsed="false">
      <c r="A219" s="45" t="s">
        <v>222</v>
      </c>
      <c r="B219" s="43" t="s">
        <v>704</v>
      </c>
      <c r="C219" s="43" t="s">
        <v>703</v>
      </c>
    </row>
    <row r="220" customFormat="false" ht="15.75" hidden="false" customHeight="true" outlineLevel="0" collapsed="false">
      <c r="A220" s="45" t="s">
        <v>466</v>
      </c>
      <c r="B220" s="43" t="s">
        <v>704</v>
      </c>
      <c r="C220" s="43" t="s">
        <v>703</v>
      </c>
    </row>
    <row r="221" customFormat="false" ht="15.75" hidden="false" customHeight="true" outlineLevel="0" collapsed="false">
      <c r="A221" s="45" t="s">
        <v>316</v>
      </c>
      <c r="B221" s="43" t="s">
        <v>704</v>
      </c>
      <c r="C221" s="43" t="s">
        <v>703</v>
      </c>
    </row>
    <row r="222" customFormat="false" ht="15.75" hidden="false" customHeight="true" outlineLevel="0" collapsed="false">
      <c r="A222" s="45" t="s">
        <v>415</v>
      </c>
      <c r="B222" s="43" t="s">
        <v>704</v>
      </c>
      <c r="C222" s="43" t="s">
        <v>703</v>
      </c>
    </row>
    <row r="223" customFormat="false" ht="15.75" hidden="false" customHeight="true" outlineLevel="0" collapsed="false">
      <c r="A223" s="45" t="s">
        <v>274</v>
      </c>
      <c r="B223" s="43" t="s">
        <v>704</v>
      </c>
      <c r="C223" s="43" t="s">
        <v>703</v>
      </c>
    </row>
    <row r="224" customFormat="false" ht="15.75" hidden="false" customHeight="true" outlineLevel="0" collapsed="false">
      <c r="A224" s="45" t="s">
        <v>439</v>
      </c>
      <c r="B224" s="43" t="s">
        <v>704</v>
      </c>
      <c r="C224" s="43" t="s">
        <v>703</v>
      </c>
    </row>
    <row r="225" customFormat="false" ht="15.75" hidden="false" customHeight="true" outlineLevel="0" collapsed="false">
      <c r="A225" s="45" t="s">
        <v>452</v>
      </c>
      <c r="B225" s="43" t="s">
        <v>704</v>
      </c>
      <c r="C225" s="43" t="s">
        <v>703</v>
      </c>
    </row>
    <row r="226" customFormat="false" ht="15.75" hidden="false" customHeight="true" outlineLevel="0" collapsed="false">
      <c r="A226" s="41" t="s">
        <v>418</v>
      </c>
      <c r="B226" s="42" t="s">
        <v>704</v>
      </c>
      <c r="C226" s="43" t="s">
        <v>703</v>
      </c>
    </row>
    <row r="227" customFormat="false" ht="15.75" hidden="false" customHeight="true" outlineLevel="0" collapsed="false">
      <c r="A227" s="41" t="s">
        <v>323</v>
      </c>
      <c r="B227" s="42" t="s">
        <v>704</v>
      </c>
      <c r="C227" s="43" t="s">
        <v>703</v>
      </c>
    </row>
    <row r="228" customFormat="false" ht="15.75" hidden="false" customHeight="true" outlineLevel="0" collapsed="false">
      <c r="A228" s="41" t="s">
        <v>478</v>
      </c>
      <c r="B228" s="44" t="s">
        <v>704</v>
      </c>
      <c r="C228" s="43" t="s">
        <v>703</v>
      </c>
    </row>
    <row r="229" customFormat="false" ht="15.75" hidden="false" customHeight="true" outlineLevel="0" collapsed="false">
      <c r="A229" s="41" t="s">
        <v>431</v>
      </c>
      <c r="B229" s="42" t="s">
        <v>704</v>
      </c>
      <c r="C229" s="42" t="s">
        <v>703</v>
      </c>
    </row>
    <row r="230" customFormat="false" ht="15.75" hidden="false" customHeight="true" outlineLevel="0" collapsed="false">
      <c r="A230" s="41" t="s">
        <v>252</v>
      </c>
      <c r="B230" s="42" t="s">
        <v>704</v>
      </c>
      <c r="C230" s="42" t="s">
        <v>703</v>
      </c>
    </row>
    <row r="231" customFormat="false" ht="15.75" hidden="false" customHeight="true" outlineLevel="0" collapsed="false">
      <c r="A231" s="41" t="s">
        <v>470</v>
      </c>
      <c r="B231" s="42" t="s">
        <v>704</v>
      </c>
      <c r="C231" s="42" t="s">
        <v>703</v>
      </c>
    </row>
    <row r="232" customFormat="false" ht="15.75" hidden="false" customHeight="true" outlineLevel="0" collapsed="false">
      <c r="A232" s="41" t="s">
        <v>411</v>
      </c>
      <c r="B232" s="42" t="s">
        <v>704</v>
      </c>
      <c r="C232" s="42" t="s">
        <v>703</v>
      </c>
    </row>
    <row r="233" customFormat="false" ht="15.75" hidden="false" customHeight="true" outlineLevel="0" collapsed="false">
      <c r="A233" s="41" t="s">
        <v>224</v>
      </c>
      <c r="B233" s="42" t="s">
        <v>704</v>
      </c>
      <c r="C233" s="42" t="s">
        <v>703</v>
      </c>
    </row>
    <row r="234" customFormat="false" ht="15.75" hidden="false" customHeight="true" outlineLevel="0" collapsed="false">
      <c r="A234" s="41" t="s">
        <v>350</v>
      </c>
      <c r="B234" s="42" t="s">
        <v>704</v>
      </c>
      <c r="C234" s="42" t="s">
        <v>703</v>
      </c>
    </row>
    <row r="235" customFormat="false" ht="15.75" hidden="false" customHeight="true" outlineLevel="0" collapsed="false">
      <c r="A235" s="45" t="s">
        <v>274</v>
      </c>
      <c r="B235" s="43" t="s">
        <v>704</v>
      </c>
      <c r="C235" s="43" t="s">
        <v>703</v>
      </c>
    </row>
    <row r="236" customFormat="false" ht="15.75" hidden="false" customHeight="true" outlineLevel="0" collapsed="false">
      <c r="A236" s="41" t="s">
        <v>468</v>
      </c>
      <c r="B236" s="42" t="s">
        <v>705</v>
      </c>
      <c r="C236" s="42" t="s">
        <v>706</v>
      </c>
    </row>
    <row r="237" customFormat="false" ht="15.75" hidden="false" customHeight="true" outlineLevel="0" collapsed="false">
      <c r="A237" s="41" t="s">
        <v>345</v>
      </c>
      <c r="B237" s="42" t="s">
        <v>707</v>
      </c>
      <c r="C237" s="42" t="s">
        <v>706</v>
      </c>
    </row>
    <row r="238" customFormat="false" ht="15.75" hidden="false" customHeight="true" outlineLevel="0" collapsed="false">
      <c r="A238" s="45" t="s">
        <v>427</v>
      </c>
      <c r="B238" s="43" t="s">
        <v>707</v>
      </c>
      <c r="C238" s="43" t="s">
        <v>706</v>
      </c>
    </row>
    <row r="239" customFormat="false" ht="15.75" hidden="false" customHeight="true" outlineLevel="0" collapsed="false">
      <c r="A239" s="45" t="s">
        <v>458</v>
      </c>
      <c r="B239" s="43" t="s">
        <v>707</v>
      </c>
      <c r="C239" s="43" t="s">
        <v>706</v>
      </c>
    </row>
    <row r="240" customFormat="false" ht="15.75" hidden="false" customHeight="true" outlineLevel="0" collapsed="false">
      <c r="A240" s="45" t="s">
        <v>475</v>
      </c>
      <c r="B240" s="43" t="s">
        <v>707</v>
      </c>
      <c r="C240" s="43" t="s">
        <v>706</v>
      </c>
    </row>
    <row r="241" customFormat="false" ht="15.75" hidden="false" customHeight="true" outlineLevel="0" collapsed="false">
      <c r="A241" s="45" t="s">
        <v>304</v>
      </c>
      <c r="B241" s="43" t="s">
        <v>707</v>
      </c>
      <c r="C241" s="43" t="s">
        <v>706</v>
      </c>
    </row>
    <row r="242" customFormat="false" ht="15.75" hidden="false" customHeight="true" outlineLevel="0" collapsed="false">
      <c r="A242" s="41" t="s">
        <v>520</v>
      </c>
      <c r="B242" s="42" t="s">
        <v>707</v>
      </c>
      <c r="C242" s="42" t="s">
        <v>706</v>
      </c>
    </row>
    <row r="243" customFormat="false" ht="15.75" hidden="false" customHeight="true" outlineLevel="0" collapsed="false">
      <c r="A243" s="41" t="s">
        <v>319</v>
      </c>
      <c r="B243" s="42" t="s">
        <v>707</v>
      </c>
      <c r="C243" s="42" t="s">
        <v>706</v>
      </c>
    </row>
    <row r="244" customFormat="false" ht="15.75" hidden="false" customHeight="true" outlineLevel="0" collapsed="false">
      <c r="A244" s="41" t="s">
        <v>391</v>
      </c>
      <c r="B244" s="42" t="s">
        <v>707</v>
      </c>
      <c r="C244" s="42" t="s">
        <v>706</v>
      </c>
    </row>
    <row r="245" customFormat="false" ht="15.75" hidden="false" customHeight="true" outlineLevel="0" collapsed="false">
      <c r="A245" s="41" t="s">
        <v>399</v>
      </c>
      <c r="B245" s="42" t="s">
        <v>707</v>
      </c>
      <c r="C245" s="42" t="s">
        <v>706</v>
      </c>
    </row>
    <row r="246" customFormat="false" ht="15.75" hidden="false" customHeight="true" outlineLevel="0" collapsed="false">
      <c r="A246" s="41" t="s">
        <v>325</v>
      </c>
      <c r="B246" s="42" t="s">
        <v>708</v>
      </c>
      <c r="C246" s="42" t="s">
        <v>706</v>
      </c>
    </row>
    <row r="247" customFormat="false" ht="15.75" hidden="false" customHeight="true" outlineLevel="0" collapsed="false">
      <c r="A247" s="41" t="s">
        <v>361</v>
      </c>
      <c r="B247" s="42" t="s">
        <v>708</v>
      </c>
      <c r="C247" s="42" t="s">
        <v>706</v>
      </c>
    </row>
    <row r="248" customFormat="false" ht="15.75" hidden="false" customHeight="true" outlineLevel="0" collapsed="false">
      <c r="A248" s="41" t="s">
        <v>421</v>
      </c>
      <c r="B248" s="42" t="s">
        <v>708</v>
      </c>
      <c r="C248" s="42" t="s">
        <v>706</v>
      </c>
    </row>
    <row r="249" customFormat="false" ht="15.75" hidden="false" customHeight="true" outlineLevel="0" collapsed="false">
      <c r="A249" s="41" t="s">
        <v>425</v>
      </c>
      <c r="B249" s="42" t="s">
        <v>708</v>
      </c>
      <c r="C249" s="42" t="s">
        <v>706</v>
      </c>
    </row>
    <row r="250" customFormat="false" ht="15.75" hidden="false" customHeight="true" outlineLevel="0" collapsed="false">
      <c r="A250" s="41" t="s">
        <v>493</v>
      </c>
      <c r="B250" s="42" t="s">
        <v>708</v>
      </c>
      <c r="C250" s="42" t="s">
        <v>706</v>
      </c>
    </row>
    <row r="251" customFormat="false" ht="15.75" hidden="false" customHeight="true" outlineLevel="0" collapsed="false">
      <c r="A251" s="41" t="s">
        <v>277</v>
      </c>
      <c r="B251" s="42" t="s">
        <v>708</v>
      </c>
      <c r="C251" s="42" t="s">
        <v>706</v>
      </c>
    </row>
    <row r="252" customFormat="false" ht="15.75" hidden="false" customHeight="true" outlineLevel="0" collapsed="false">
      <c r="A252" s="45" t="s">
        <v>359</v>
      </c>
      <c r="B252" s="43" t="s">
        <v>708</v>
      </c>
      <c r="C252" s="43" t="s">
        <v>706</v>
      </c>
    </row>
    <row r="253" customFormat="false" ht="15.75" hidden="false" customHeight="true" outlineLevel="0" collapsed="false">
      <c r="A253" s="45" t="s">
        <v>450</v>
      </c>
      <c r="B253" s="43" t="s">
        <v>708</v>
      </c>
      <c r="C253" s="43" t="s">
        <v>706</v>
      </c>
    </row>
    <row r="254" customFormat="false" ht="15.75" hidden="false" customHeight="true" outlineLevel="0" collapsed="false">
      <c r="A254" s="45" t="s">
        <v>503</v>
      </c>
      <c r="B254" s="43" t="s">
        <v>708</v>
      </c>
      <c r="C254" s="43" t="s">
        <v>706</v>
      </c>
    </row>
    <row r="255" customFormat="false" ht="15.75" hidden="false" customHeight="true" outlineLevel="0" collapsed="false">
      <c r="A255" s="45" t="s">
        <v>238</v>
      </c>
      <c r="B255" s="43" t="s">
        <v>705</v>
      </c>
      <c r="C255" s="43" t="s">
        <v>706</v>
      </c>
    </row>
    <row r="256" customFormat="false" ht="15.75" hidden="false" customHeight="true" outlineLevel="0" collapsed="false">
      <c r="A256" s="45" t="s">
        <v>709</v>
      </c>
      <c r="B256" s="43" t="s">
        <v>705</v>
      </c>
      <c r="C256" s="43" t="s">
        <v>706</v>
      </c>
    </row>
    <row r="257" customFormat="false" ht="15.75" hidden="false" customHeight="true" outlineLevel="0" collapsed="false">
      <c r="A257" s="41" t="s">
        <v>527</v>
      </c>
      <c r="B257" s="42" t="s">
        <v>705</v>
      </c>
      <c r="C257" s="43" t="s">
        <v>706</v>
      </c>
    </row>
    <row r="258" customFormat="false" ht="15.75" hidden="false" customHeight="true" outlineLevel="0" collapsed="false">
      <c r="A258" s="41" t="s">
        <v>465</v>
      </c>
      <c r="B258" s="42" t="s">
        <v>705</v>
      </c>
      <c r="C258" s="42" t="s">
        <v>706</v>
      </c>
    </row>
    <row r="259" customFormat="false" ht="15.75" hidden="false" customHeight="true" outlineLevel="0" collapsed="false">
      <c r="A259" s="41" t="s">
        <v>233</v>
      </c>
      <c r="B259" s="42" t="s">
        <v>705</v>
      </c>
      <c r="C259" s="42" t="s">
        <v>706</v>
      </c>
    </row>
    <row r="260" customFormat="false" ht="15.75" hidden="false" customHeight="true" outlineLevel="0" collapsed="false">
      <c r="A260" s="41" t="s">
        <v>327</v>
      </c>
      <c r="B260" s="42" t="s">
        <v>705</v>
      </c>
      <c r="C260" s="42" t="s">
        <v>706</v>
      </c>
    </row>
    <row r="261" customFormat="false" ht="15.75" hidden="false" customHeight="true" outlineLevel="0" collapsed="false">
      <c r="A261" s="45" t="s">
        <v>293</v>
      </c>
      <c r="B261" s="43" t="s">
        <v>705</v>
      </c>
      <c r="C261" s="43" t="s">
        <v>706</v>
      </c>
    </row>
    <row r="262" customFormat="false" ht="15.75" hidden="false" customHeight="true" outlineLevel="0" collapsed="false">
      <c r="A262" s="45" t="s">
        <v>105</v>
      </c>
      <c r="B262" s="43" t="s">
        <v>705</v>
      </c>
      <c r="C262" s="43" t="s">
        <v>706</v>
      </c>
    </row>
    <row r="263" customFormat="false" ht="15.75" hidden="false" customHeight="true" outlineLevel="0" collapsed="false">
      <c r="A263" s="45" t="s">
        <v>203</v>
      </c>
      <c r="B263" s="43" t="s">
        <v>705</v>
      </c>
      <c r="C263" s="43" t="s">
        <v>706</v>
      </c>
    </row>
    <row r="264" customFormat="false" ht="15.75" hidden="false" customHeight="true" outlineLevel="0" collapsed="false">
      <c r="A264" s="47" t="s">
        <v>447</v>
      </c>
      <c r="B264" s="44" t="s">
        <v>707</v>
      </c>
      <c r="C264" s="44" t="s">
        <v>706</v>
      </c>
    </row>
    <row r="265" customFormat="false" ht="15.75" hidden="false" customHeight="true" outlineLevel="0" collapsed="false">
      <c r="A265" s="48" t="s">
        <v>498</v>
      </c>
      <c r="B265" s="44" t="s">
        <v>685</v>
      </c>
      <c r="C265" s="44" t="s">
        <v>686</v>
      </c>
    </row>
    <row r="266" customFormat="false" ht="15.75" hidden="false" customHeight="true" outlineLevel="0" collapsed="false">
      <c r="A266" s="48" t="s">
        <v>405</v>
      </c>
      <c r="B266" s="44" t="s">
        <v>685</v>
      </c>
      <c r="C266" s="44" t="s">
        <v>686</v>
      </c>
    </row>
    <row r="267" customFormat="false" ht="15.75" hidden="false" customHeight="true" outlineLevel="0" collapsed="false">
      <c r="A267" s="48" t="s">
        <v>440</v>
      </c>
      <c r="B267" s="44" t="s">
        <v>691</v>
      </c>
      <c r="C267" s="44" t="s">
        <v>692</v>
      </c>
    </row>
    <row r="268" customFormat="false" ht="15.75" hidden="false" customHeight="true" outlineLevel="0" collapsed="false">
      <c r="A268" s="48" t="s">
        <v>378</v>
      </c>
      <c r="B268" s="43" t="s">
        <v>704</v>
      </c>
      <c r="C268" s="43" t="s">
        <v>703</v>
      </c>
    </row>
    <row r="269" customFormat="false" ht="15.75" hidden="false" customHeight="true" outlineLevel="0" collapsed="false">
      <c r="A269" s="48" t="s">
        <v>710</v>
      </c>
      <c r="B269" s="42" t="s">
        <v>707</v>
      </c>
      <c r="C269" s="42" t="s">
        <v>706</v>
      </c>
    </row>
    <row r="270" customFormat="false" ht="15.75" hidden="false" customHeight="true" outlineLevel="0" collapsed="false">
      <c r="A270" s="49" t="s">
        <v>711</v>
      </c>
      <c r="B270" s="42" t="s">
        <v>707</v>
      </c>
      <c r="C270" s="42" t="s">
        <v>706</v>
      </c>
    </row>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zeroHeight="false" outlineLevelRow="0" outlineLevelCol="0"/>
  <cols>
    <col collapsed="false" customWidth="true" hidden="false" outlineLevel="0" max="1" min="1" style="0" width="5.88"/>
    <col collapsed="false" customWidth="true" hidden="false" outlineLevel="0" max="2" min="2" style="0" width="36.38"/>
    <col collapsed="false" customWidth="true" hidden="false" outlineLevel="0" max="3" min="3" style="0" width="22.25"/>
    <col collapsed="false" customWidth="true" hidden="false" outlineLevel="0" max="4" min="4" style="0" width="18.13"/>
    <col collapsed="false" customWidth="true" hidden="false" outlineLevel="0" max="5" min="5" style="0" width="11.25"/>
    <col collapsed="false" customWidth="true" hidden="false" outlineLevel="0" max="6" min="6" style="0" width="13.75"/>
    <col collapsed="false" customWidth="true" hidden="false" outlineLevel="0" max="7" min="7" style="0" width="12.5"/>
    <col collapsed="false" customWidth="true" hidden="false" outlineLevel="0" max="8" min="8" style="0" width="12.13"/>
    <col collapsed="false" customWidth="true" hidden="false" outlineLevel="0" max="9" min="9" style="0" width="16.5"/>
    <col collapsed="false" customWidth="true" hidden="false" outlineLevel="0" max="10" min="10" style="0" width="59.75"/>
    <col collapsed="false" customWidth="true" hidden="false" outlineLevel="0" max="11" min="11" style="0" width="51.13"/>
  </cols>
  <sheetData>
    <row r="1" customFormat="false" ht="12" hidden="false" customHeight="true" outlineLevel="0" collapsed="false">
      <c r="A1" s="50" t="s">
        <v>0</v>
      </c>
      <c r="B1" s="50" t="s">
        <v>712</v>
      </c>
      <c r="C1" s="50" t="s">
        <v>4</v>
      </c>
      <c r="D1" s="50" t="s">
        <v>5</v>
      </c>
      <c r="E1" s="50" t="s">
        <v>713</v>
      </c>
      <c r="F1" s="50" t="s">
        <v>714</v>
      </c>
      <c r="G1" s="50" t="s">
        <v>715</v>
      </c>
      <c r="H1" s="50" t="s">
        <v>716</v>
      </c>
      <c r="I1" s="51" t="s">
        <v>716</v>
      </c>
      <c r="J1" s="50" t="s">
        <v>560</v>
      </c>
      <c r="K1" s="50" t="s">
        <v>561</v>
      </c>
      <c r="L1" s="23"/>
      <c r="M1" s="23"/>
      <c r="N1" s="23"/>
      <c r="O1" s="23"/>
      <c r="P1" s="23"/>
      <c r="Q1" s="23"/>
      <c r="R1" s="23"/>
      <c r="S1" s="23"/>
      <c r="T1" s="23"/>
      <c r="U1" s="23"/>
      <c r="V1" s="23"/>
      <c r="W1" s="23"/>
      <c r="X1" s="23"/>
      <c r="Y1" s="23"/>
      <c r="Z1" s="23"/>
    </row>
    <row r="2" customFormat="false" ht="15.75" hidden="false" customHeight="true" outlineLevel="0" collapsed="false">
      <c r="A2" s="52" t="n">
        <v>46303</v>
      </c>
      <c r="B2" s="14" t="s">
        <v>191</v>
      </c>
      <c r="C2" s="14" t="str">
        <f aca="false" t="array" ref="C2:C2">IF(B2="","",IFERROR(INDEX('CLM &amp; IM Mapping'!$B$2:$B$270,MATCH(TRIM(B2),'CLM &amp; IM Mapping'!$A$2:$A$270,0)),"Not Mapped"))</f>
        <v>Adhavan Subramani</v>
      </c>
      <c r="D2" s="14" t="str">
        <f aca="false" t="array" ref="D2:D2">IF(B2="","",IFERROR(INDEX('CLM &amp; IM Mapping'!$C$2:$C$270,MATCH(TRIM(B2),'CLM &amp; IM Mapping'!$A$2:$A$270,0)),"Not Mapped"))</f>
        <v>Mohammed Akbar</v>
      </c>
      <c r="E2" s="14"/>
      <c r="F2" s="14"/>
      <c r="G2" s="14" t="n">
        <v>1632</v>
      </c>
      <c r="H2" s="14" t="n">
        <v>1632</v>
      </c>
      <c r="I2" s="53" t="n">
        <v>107843.72</v>
      </c>
      <c r="J2" s="12" t="s">
        <v>717</v>
      </c>
      <c r="K2" s="12" t="s">
        <v>718</v>
      </c>
      <c r="L2" s="23"/>
      <c r="M2" s="23"/>
      <c r="N2" s="23"/>
      <c r="O2" s="23"/>
      <c r="P2" s="23"/>
      <c r="Q2" s="23"/>
      <c r="R2" s="23"/>
      <c r="S2" s="23"/>
      <c r="T2" s="23"/>
      <c r="U2" s="23"/>
      <c r="V2" s="23"/>
      <c r="W2" s="23"/>
      <c r="X2" s="23"/>
      <c r="Y2" s="23"/>
      <c r="Z2" s="23"/>
    </row>
    <row r="3" customFormat="false" ht="15.75" hidden="false" customHeight="true" outlineLevel="0" collapsed="false">
      <c r="A3" s="52" t="n">
        <v>46303</v>
      </c>
      <c r="B3" s="14" t="s">
        <v>226</v>
      </c>
      <c r="C3" s="14" t="str">
        <f aca="false" t="array" ref="C3:C3">IF(B3="","",IFERROR(INDEX('CLM &amp; IM Mapping'!$B$2:$B$270,MATCH(TRIM(B3),'CLM &amp; IM Mapping'!$A$2:$A$270,0)),"Not Mapped"))</f>
        <v>Manoj Kj</v>
      </c>
      <c r="D3" s="14" t="str">
        <f aca="false" t="array" ref="D3:D3">IF(B3="","",IFERROR(INDEX('CLM &amp; IM Mapping'!$C$2:$C$270,MATCH(TRIM(B3),'CLM &amp; IM Mapping'!$A$2:$A$270,0)),"Not Mapped"))</f>
        <v>Srittam Dhal</v>
      </c>
      <c r="E3" s="14"/>
      <c r="F3" s="14"/>
      <c r="G3" s="14" t="n">
        <v>882</v>
      </c>
      <c r="H3" s="14" t="n">
        <v>882</v>
      </c>
      <c r="I3" s="53" t="n">
        <v>104241.31</v>
      </c>
      <c r="J3" s="12" t="s">
        <v>717</v>
      </c>
      <c r="K3" s="11"/>
      <c r="L3" s="23"/>
      <c r="M3" s="23"/>
      <c r="N3" s="23"/>
      <c r="O3" s="23"/>
      <c r="P3" s="23"/>
      <c r="Q3" s="23"/>
      <c r="R3" s="23"/>
      <c r="S3" s="23"/>
      <c r="T3" s="23"/>
      <c r="U3" s="23"/>
      <c r="V3" s="23"/>
      <c r="W3" s="23"/>
      <c r="X3" s="23"/>
      <c r="Y3" s="23"/>
      <c r="Z3" s="23"/>
    </row>
    <row r="4" customFormat="false" ht="15.75" hidden="false" customHeight="true" outlineLevel="0" collapsed="false">
      <c r="A4" s="52" t="n">
        <v>46303</v>
      </c>
      <c r="B4" s="14" t="s">
        <v>271</v>
      </c>
      <c r="C4" s="14" t="str">
        <f aca="false" t="array" ref="C4:C4">IF(B4="","",IFERROR(INDEX('CLM &amp; IM Mapping'!$B$2:$B$270,MATCH(TRIM(B4),'CLM &amp; IM Mapping'!$A$2:$A$270,0)),"Not Mapped"))</f>
        <v>Rizwan Ahmed</v>
      </c>
      <c r="D4" s="14" t="str">
        <f aca="false" t="array" ref="D4:D4">IF(B4="","",IFERROR(INDEX('CLM &amp; IM Mapping'!$C$2:$C$270,MATCH(TRIM(B4),'CLM &amp; IM Mapping'!$A$2:$A$270,0)),"Not Mapped"))</f>
        <v>Prakash BS</v>
      </c>
      <c r="E4" s="14" t="n">
        <v>62</v>
      </c>
      <c r="F4" s="14"/>
      <c r="G4" s="14" t="n">
        <v>383</v>
      </c>
      <c r="H4" s="14" t="n">
        <v>445</v>
      </c>
      <c r="I4" s="53" t="n">
        <v>97053.76</v>
      </c>
      <c r="J4" s="12" t="s">
        <v>719</v>
      </c>
      <c r="K4" s="11"/>
      <c r="L4" s="23"/>
      <c r="M4" s="23"/>
      <c r="N4" s="23"/>
      <c r="O4" s="23"/>
      <c r="P4" s="23"/>
      <c r="Q4" s="23"/>
      <c r="R4" s="23"/>
      <c r="S4" s="23"/>
      <c r="T4" s="23"/>
      <c r="U4" s="23"/>
      <c r="V4" s="23"/>
      <c r="W4" s="23"/>
      <c r="X4" s="23"/>
      <c r="Y4" s="23"/>
      <c r="Z4" s="23"/>
    </row>
    <row r="5" customFormat="false" ht="15.75" hidden="false" customHeight="true" outlineLevel="0" collapsed="false">
      <c r="A5" s="52" t="n">
        <v>46303</v>
      </c>
      <c r="B5" s="14" t="s">
        <v>136</v>
      </c>
      <c r="C5" s="14" t="str">
        <f aca="false" t="array" ref="C5:C5">IF(B5="","",IFERROR(INDEX('CLM &amp; IM Mapping'!$B$2:$B$270,MATCH(TRIM(B5),'CLM &amp; IM Mapping'!$A$2:$A$270,0)),"Not Mapped"))</f>
        <v>Arun Raj</v>
      </c>
      <c r="D5" s="14" t="str">
        <f aca="false" t="array" ref="D5:D5">IF(B5="","",IFERROR(INDEX('CLM &amp; IM Mapping'!$C$2:$C$270,MATCH(TRIM(B5),'CLM &amp; IM Mapping'!$A$2:$A$270,0)),"Not Mapped"))</f>
        <v>Simon Manoharan</v>
      </c>
      <c r="E5" s="14" t="n">
        <v>74</v>
      </c>
      <c r="F5" s="14"/>
      <c r="G5" s="14" t="n">
        <v>143</v>
      </c>
      <c r="H5" s="14" t="n">
        <v>217</v>
      </c>
      <c r="I5" s="53" t="n">
        <v>90995.49</v>
      </c>
      <c r="J5" s="12" t="s">
        <v>720</v>
      </c>
      <c r="K5" s="12" t="s">
        <v>721</v>
      </c>
      <c r="L5" s="23"/>
      <c r="M5" s="23"/>
      <c r="N5" s="23"/>
      <c r="O5" s="23"/>
      <c r="P5" s="23"/>
      <c r="Q5" s="23"/>
      <c r="R5" s="23"/>
      <c r="S5" s="23"/>
      <c r="T5" s="23"/>
      <c r="U5" s="23"/>
      <c r="V5" s="23"/>
      <c r="W5" s="23"/>
      <c r="X5" s="23"/>
      <c r="Y5" s="23"/>
      <c r="Z5" s="23"/>
    </row>
    <row r="6" customFormat="false" ht="15.75" hidden="false" customHeight="true" outlineLevel="0" collapsed="false">
      <c r="A6" s="52" t="n">
        <v>46303</v>
      </c>
      <c r="B6" s="14" t="s">
        <v>70</v>
      </c>
      <c r="C6" s="14" t="str">
        <f aca="false" t="array" ref="C6:C6">IF(B6="","",IFERROR(INDEX('CLM &amp; IM Mapping'!$B$2:$B$270,MATCH(TRIM(B6),'CLM &amp; IM Mapping'!$A$2:$A$270,0)),"Not Mapped"))</f>
        <v>Rizwan Ahmed</v>
      </c>
      <c r="D6" s="14" t="str">
        <f aca="false" t="array" ref="D6:D6">IF(B6="","",IFERROR(INDEX('CLM &amp; IM Mapping'!$C$2:$C$270,MATCH(TRIM(B6),'CLM &amp; IM Mapping'!$A$2:$A$270,0)),"Not Mapped"))</f>
        <v>Un Mapped</v>
      </c>
      <c r="E6" s="14" t="n">
        <v>111</v>
      </c>
      <c r="F6" s="14"/>
      <c r="G6" s="14" t="n">
        <v>1055</v>
      </c>
      <c r="H6" s="14" t="n">
        <v>1166</v>
      </c>
      <c r="I6" s="53" t="n">
        <v>81078.71</v>
      </c>
      <c r="J6" s="11"/>
      <c r="K6" s="11"/>
      <c r="L6" s="23"/>
      <c r="M6" s="23"/>
      <c r="N6" s="23"/>
      <c r="O6" s="23"/>
      <c r="P6" s="23"/>
      <c r="Q6" s="23"/>
      <c r="R6" s="23"/>
      <c r="S6" s="23"/>
      <c r="T6" s="23"/>
      <c r="U6" s="23"/>
      <c r="V6" s="23"/>
      <c r="W6" s="23"/>
      <c r="X6" s="23"/>
      <c r="Y6" s="23"/>
      <c r="Z6" s="23"/>
    </row>
    <row r="7" customFormat="false" ht="15.75" hidden="false" customHeight="true" outlineLevel="0" collapsed="false">
      <c r="A7" s="52" t="n">
        <v>46303</v>
      </c>
      <c r="B7" s="14" t="s">
        <v>41</v>
      </c>
      <c r="C7" s="14" t="str">
        <f aca="false" t="array" ref="C7:C7">IF(B7="","",IFERROR(INDEX('CLM &amp; IM Mapping'!$B$2:$B$270,MATCH(TRIM(B7),'CLM &amp; IM Mapping'!$A$2:$A$270,0)),"Not Mapped"))</f>
        <v>Rizwan Ahmed</v>
      </c>
      <c r="D7" s="14" t="str">
        <f aca="false" t="array" ref="D7:D7">IF(B7="","",IFERROR(INDEX('CLM &amp; IM Mapping'!$C$2:$C$270,MATCH(TRIM(B7),'CLM &amp; IM Mapping'!$A$2:$A$270,0)),"Not Mapped"))</f>
        <v>Un Mapped</v>
      </c>
      <c r="E7" s="14" t="n">
        <v>514</v>
      </c>
      <c r="F7" s="14"/>
      <c r="G7" s="14" t="n">
        <v>32</v>
      </c>
      <c r="H7" s="14" t="n">
        <v>546</v>
      </c>
      <c r="I7" s="53" t="n">
        <v>68476.09</v>
      </c>
      <c r="J7" s="11"/>
      <c r="K7" s="11"/>
      <c r="L7" s="23"/>
      <c r="M7" s="23"/>
      <c r="N7" s="23"/>
      <c r="O7" s="23"/>
      <c r="P7" s="23"/>
      <c r="Q7" s="23"/>
      <c r="R7" s="23"/>
      <c r="S7" s="23"/>
      <c r="T7" s="23"/>
      <c r="U7" s="23"/>
      <c r="V7" s="23"/>
      <c r="W7" s="23"/>
      <c r="X7" s="23"/>
      <c r="Y7" s="23"/>
      <c r="Z7" s="23"/>
    </row>
    <row r="8" customFormat="false" ht="15.75" hidden="false" customHeight="true" outlineLevel="0" collapsed="false">
      <c r="A8" s="52" t="n">
        <v>46303</v>
      </c>
      <c r="B8" s="14" t="s">
        <v>150</v>
      </c>
      <c r="C8" s="14" t="str">
        <f aca="false" t="array" ref="C8:C8">IF(B8="","",IFERROR(INDEX('CLM &amp; IM Mapping'!$B$2:$B$270,MATCH(TRIM(B8),'CLM &amp; IM Mapping'!$A$2:$A$270,0)),"Not Mapped"))</f>
        <v>Akshay P</v>
      </c>
      <c r="D8" s="14" t="str">
        <f aca="false" t="array" ref="D8:D8">IF(B8="","",IFERROR(INDEX('CLM &amp; IM Mapping'!$C$2:$C$270,MATCH(TRIM(B8),'CLM &amp; IM Mapping'!$A$2:$A$270,0)),"Not Mapped"))</f>
        <v>Srittam Dhal</v>
      </c>
      <c r="E8" s="14" t="n">
        <v>221</v>
      </c>
      <c r="F8" s="14"/>
      <c r="G8" s="14" t="n">
        <v>486</v>
      </c>
      <c r="H8" s="14" t="n">
        <v>707</v>
      </c>
      <c r="I8" s="53" t="n">
        <v>54546.34</v>
      </c>
      <c r="J8" s="11"/>
      <c r="K8" s="11"/>
      <c r="L8" s="23"/>
      <c r="M8" s="23"/>
      <c r="N8" s="23"/>
      <c r="O8" s="23"/>
      <c r="P8" s="23"/>
      <c r="Q8" s="23"/>
      <c r="R8" s="23"/>
      <c r="S8" s="23"/>
      <c r="T8" s="23"/>
      <c r="U8" s="23"/>
      <c r="V8" s="23"/>
      <c r="W8" s="23"/>
      <c r="X8" s="23"/>
      <c r="Y8" s="23"/>
      <c r="Z8" s="23"/>
    </row>
    <row r="9" customFormat="false" ht="15.75" hidden="false" customHeight="true" outlineLevel="0" collapsed="false">
      <c r="A9" s="52" t="n">
        <v>46303</v>
      </c>
      <c r="B9" s="14" t="s">
        <v>460</v>
      </c>
      <c r="C9" s="14" t="str">
        <f aca="false" t="array" ref="C9:C9">IF(B9="","",IFERROR(INDEX('CLM &amp; IM Mapping'!$B$2:$B$270,MATCH(TRIM(B9),'CLM &amp; IM Mapping'!$A$2:$A$270,0)),"Not Mapped"))</f>
        <v>Vijay M</v>
      </c>
      <c r="D9" s="14" t="str">
        <f aca="false" t="array" ref="D9:D9">IF(B9="","",IFERROR(INDEX('CLM &amp; IM Mapping'!$C$2:$C$270,MATCH(TRIM(B9),'CLM &amp; IM Mapping'!$A$2:$A$270,0)),"Not Mapped"))</f>
        <v>Kantha Kumar</v>
      </c>
      <c r="E9" s="14" t="n">
        <v>407</v>
      </c>
      <c r="F9" s="14"/>
      <c r="G9" s="14"/>
      <c r="H9" s="14" t="n">
        <v>407</v>
      </c>
      <c r="I9" s="53" t="n">
        <v>45794.29</v>
      </c>
      <c r="J9" s="11"/>
      <c r="K9" s="11"/>
      <c r="L9" s="23"/>
      <c r="M9" s="23"/>
      <c r="N9" s="23"/>
      <c r="O9" s="23"/>
      <c r="P9" s="23"/>
      <c r="Q9" s="23"/>
      <c r="R9" s="23"/>
      <c r="S9" s="23"/>
      <c r="T9" s="23"/>
      <c r="U9" s="23"/>
      <c r="V9" s="23"/>
      <c r="W9" s="23"/>
      <c r="X9" s="23"/>
      <c r="Y9" s="23"/>
      <c r="Z9" s="23"/>
    </row>
    <row r="10" customFormat="false" ht="15.75" hidden="false" customHeight="true" outlineLevel="0" collapsed="false">
      <c r="A10" s="52" t="n">
        <v>46303</v>
      </c>
      <c r="B10" s="14" t="s">
        <v>479</v>
      </c>
      <c r="C10" s="14" t="str">
        <f aca="false" t="array" ref="C10:C10">IF(B10="","",IFERROR(INDEX('CLM &amp; IM Mapping'!$B$2:$B$270,MATCH(TRIM(B10),'CLM &amp; IM Mapping'!$A$2:$A$270,0)),"Not Mapped"))</f>
        <v>Arun Raj</v>
      </c>
      <c r="D10" s="14" t="str">
        <f aca="false" t="array" ref="D10:D10">IF(B10="","",IFERROR(INDEX('CLM &amp; IM Mapping'!$C$2:$C$270,MATCH(TRIM(B10),'CLM &amp; IM Mapping'!$A$2:$A$270,0)),"Not Mapped"))</f>
        <v>Simon Manoharan</v>
      </c>
      <c r="E10" s="14"/>
      <c r="F10" s="14"/>
      <c r="G10" s="14" t="n">
        <v>235</v>
      </c>
      <c r="H10" s="14" t="n">
        <v>235</v>
      </c>
      <c r="I10" s="53" t="n">
        <v>45393.64</v>
      </c>
      <c r="J10" s="12" t="s">
        <v>722</v>
      </c>
      <c r="K10" s="11"/>
      <c r="L10" s="23"/>
      <c r="M10" s="23"/>
      <c r="N10" s="23"/>
      <c r="O10" s="23"/>
      <c r="P10" s="23"/>
      <c r="Q10" s="23"/>
      <c r="R10" s="23"/>
      <c r="S10" s="23"/>
      <c r="T10" s="23"/>
      <c r="U10" s="23"/>
      <c r="V10" s="23"/>
      <c r="W10" s="23"/>
      <c r="X10" s="23"/>
      <c r="Y10" s="23"/>
      <c r="Z10" s="23"/>
    </row>
    <row r="11" customFormat="false" ht="15.75" hidden="false" customHeight="true" outlineLevel="0" collapsed="false">
      <c r="A11" s="52" t="n">
        <v>46303</v>
      </c>
      <c r="B11" s="14" t="s">
        <v>198</v>
      </c>
      <c r="C11" s="14" t="str">
        <f aca="false" t="array" ref="C11:C11">IF(B11="","",IFERROR(INDEX('CLM &amp; IM Mapping'!$B$2:$B$270,MATCH(TRIM(B11),'CLM &amp; IM Mapping'!$A$2:$A$270,0)),"Not Mapped"))</f>
        <v>Manjunatha V</v>
      </c>
      <c r="D11" s="14" t="str">
        <f aca="false" t="array" ref="D11:D11">IF(B11="","",IFERROR(INDEX('CLM &amp; IM Mapping'!$C$2:$C$270,MATCH(TRIM(B11),'CLM &amp; IM Mapping'!$A$2:$A$270,0)),"Not Mapped"))</f>
        <v>Un Mapped</v>
      </c>
      <c r="E11" s="14" t="n">
        <v>343</v>
      </c>
      <c r="F11" s="14"/>
      <c r="G11" s="14" t="n">
        <v>304</v>
      </c>
      <c r="H11" s="14" t="n">
        <v>647</v>
      </c>
      <c r="I11" s="53" t="n">
        <v>45135.89</v>
      </c>
      <c r="J11" s="11"/>
      <c r="K11" s="11"/>
      <c r="L11" s="23"/>
      <c r="M11" s="23"/>
      <c r="N11" s="23"/>
      <c r="O11" s="23"/>
      <c r="P11" s="23"/>
      <c r="Q11" s="23"/>
      <c r="R11" s="23"/>
      <c r="S11" s="23"/>
      <c r="T11" s="23"/>
      <c r="U11" s="23"/>
      <c r="V11" s="23"/>
      <c r="W11" s="23"/>
      <c r="X11" s="23"/>
      <c r="Y11" s="23"/>
      <c r="Z11" s="23"/>
    </row>
    <row r="12" customFormat="false" ht="15.75" hidden="false" customHeight="true" outlineLevel="0" collapsed="false">
      <c r="A12" s="52" t="n">
        <v>46303</v>
      </c>
      <c r="B12" s="14" t="s">
        <v>254</v>
      </c>
      <c r="C12" s="14" t="str">
        <f aca="false" t="array" ref="C12:C12">IF(B12="","",IFERROR(INDEX('CLM &amp; IM Mapping'!$B$2:$B$270,MATCH(TRIM(B12),'CLM &amp; IM Mapping'!$A$2:$A$270,0)),"Not Mapped"))</f>
        <v>Basil Scariya</v>
      </c>
      <c r="D12" s="14" t="str">
        <f aca="false" t="array" ref="D12:D12">IF(B12="","",IFERROR(INDEX('CLM &amp; IM Mapping'!$C$2:$C$270,MATCH(TRIM(B12),'CLM &amp; IM Mapping'!$A$2:$A$270,0)),"Not Mapped"))</f>
        <v>Prakash BS</v>
      </c>
      <c r="E12" s="14" t="n">
        <v>83</v>
      </c>
      <c r="F12" s="14"/>
      <c r="G12" s="14" t="n">
        <v>334</v>
      </c>
      <c r="H12" s="14" t="n">
        <v>417</v>
      </c>
      <c r="I12" s="53" t="n">
        <v>40392.6</v>
      </c>
      <c r="J12" s="12" t="s">
        <v>723</v>
      </c>
      <c r="K12" s="11"/>
      <c r="L12" s="23"/>
      <c r="M12" s="23"/>
      <c r="N12" s="23"/>
      <c r="O12" s="23"/>
      <c r="P12" s="23"/>
      <c r="Q12" s="23"/>
      <c r="R12" s="23"/>
      <c r="S12" s="23"/>
      <c r="T12" s="23"/>
      <c r="U12" s="23"/>
      <c r="V12" s="23"/>
      <c r="W12" s="23"/>
      <c r="X12" s="23"/>
      <c r="Y12" s="23"/>
      <c r="Z12" s="23"/>
    </row>
    <row r="13" customFormat="false" ht="15.75" hidden="false" customHeight="true" outlineLevel="0" collapsed="false">
      <c r="A13" s="52" t="n">
        <v>46303</v>
      </c>
      <c r="B13" s="14" t="s">
        <v>532</v>
      </c>
      <c r="C13" s="14" t="str">
        <f aca="false" t="array" ref="C13:C13">IF(B13="","",IFERROR(INDEX('CLM &amp; IM Mapping'!$B$2:$B$270,MATCH(TRIM(B13),'CLM &amp; IM Mapping'!$A$2:$A$270,0)),"Not Mapped"))</f>
        <v>Arun Raj</v>
      </c>
      <c r="D13" s="14" t="str">
        <f aca="false" t="array" ref="D13:D13">IF(B13="","",IFERROR(INDEX('CLM &amp; IM Mapping'!$C$2:$C$270,MATCH(TRIM(B13),'CLM &amp; IM Mapping'!$A$2:$A$270,0)),"Not Mapped"))</f>
        <v>Simon Manoharan</v>
      </c>
      <c r="E13" s="14"/>
      <c r="F13" s="14"/>
      <c r="G13" s="14" t="n">
        <v>131</v>
      </c>
      <c r="H13" s="14" t="n">
        <v>131</v>
      </c>
      <c r="I13" s="53" t="n">
        <v>40273.88</v>
      </c>
      <c r="J13" s="12" t="s">
        <v>724</v>
      </c>
      <c r="K13" s="12" t="s">
        <v>567</v>
      </c>
      <c r="L13" s="23"/>
      <c r="M13" s="23"/>
      <c r="N13" s="23"/>
      <c r="O13" s="23"/>
      <c r="P13" s="23"/>
      <c r="Q13" s="23"/>
      <c r="R13" s="23"/>
      <c r="S13" s="23"/>
      <c r="T13" s="23"/>
      <c r="U13" s="23"/>
      <c r="V13" s="23"/>
      <c r="W13" s="23"/>
      <c r="X13" s="23"/>
      <c r="Y13" s="23"/>
      <c r="Z13" s="23"/>
    </row>
    <row r="14" customFormat="false" ht="15.75" hidden="false" customHeight="true" outlineLevel="0" collapsed="false">
      <c r="A14" s="52" t="n">
        <v>46303</v>
      </c>
      <c r="B14" s="14" t="s">
        <v>83</v>
      </c>
      <c r="C14" s="14" t="str">
        <f aca="false" t="array" ref="C14:C14">IF(B14="","",IFERROR(INDEX('CLM &amp; IM Mapping'!$B$2:$B$270,MATCH(TRIM(B14),'CLM &amp; IM Mapping'!$A$2:$A$270,0)),"Not Mapped"))</f>
        <v>Keshav G</v>
      </c>
      <c r="D14" s="14" t="str">
        <f aca="false" t="array" ref="D14:D14">IF(B14="","",IFERROR(INDEX('CLM &amp; IM Mapping'!$C$2:$C$270,MATCH(TRIM(B14),'CLM &amp; IM Mapping'!$A$2:$A$270,0)),"Not Mapped"))</f>
        <v>Mohammed Akbar</v>
      </c>
      <c r="E14" s="14" t="n">
        <v>48</v>
      </c>
      <c r="F14" s="14" t="n">
        <v>15</v>
      </c>
      <c r="G14" s="14" t="n">
        <v>580</v>
      </c>
      <c r="H14" s="14" t="n">
        <v>643</v>
      </c>
      <c r="I14" s="53" t="n">
        <v>32712.68</v>
      </c>
      <c r="J14" s="11"/>
      <c r="K14" s="11"/>
      <c r="L14" s="23"/>
      <c r="M14" s="23"/>
      <c r="N14" s="23"/>
      <c r="O14" s="23"/>
      <c r="P14" s="23"/>
      <c r="Q14" s="23"/>
      <c r="R14" s="23"/>
      <c r="S14" s="23"/>
      <c r="T14" s="23"/>
      <c r="U14" s="23"/>
      <c r="V14" s="23"/>
      <c r="W14" s="23"/>
      <c r="X14" s="23"/>
      <c r="Y14" s="23"/>
      <c r="Z14" s="23"/>
    </row>
    <row r="15" customFormat="false" ht="15.75" hidden="false" customHeight="true" outlineLevel="0" collapsed="false">
      <c r="A15" s="52" t="n">
        <v>46303</v>
      </c>
      <c r="B15" s="14" t="s">
        <v>502</v>
      </c>
      <c r="C15" s="14" t="str">
        <f aca="false" t="array" ref="C15:C15">IF(B15="","",IFERROR(INDEX('CLM &amp; IM Mapping'!$B$2:$B$270,MATCH(TRIM(B15),'CLM &amp; IM Mapping'!$A$2:$A$270,0)),"Not Mapped"))</f>
        <v>Manjunatha V</v>
      </c>
      <c r="D15" s="14" t="str">
        <f aca="false" t="array" ref="D15:D15">IF(B15="","",IFERROR(INDEX('CLM &amp; IM Mapping'!$C$2:$C$270,MATCH(TRIM(B15),'CLM &amp; IM Mapping'!$A$2:$A$270,0)),"Not Mapped"))</f>
        <v>Un Mapped</v>
      </c>
      <c r="E15" s="14"/>
      <c r="F15" s="14"/>
      <c r="G15" s="14" t="n">
        <v>267</v>
      </c>
      <c r="H15" s="14" t="n">
        <v>267</v>
      </c>
      <c r="I15" s="53" t="n">
        <v>31035.39</v>
      </c>
      <c r="J15" s="11"/>
      <c r="K15" s="11"/>
      <c r="L15" s="23"/>
      <c r="M15" s="23"/>
      <c r="N15" s="23"/>
      <c r="O15" s="23"/>
      <c r="P15" s="23"/>
      <c r="Q15" s="23"/>
      <c r="R15" s="23"/>
      <c r="S15" s="23"/>
      <c r="T15" s="23"/>
      <c r="U15" s="23"/>
      <c r="V15" s="23"/>
      <c r="W15" s="23"/>
      <c r="X15" s="23"/>
      <c r="Y15" s="23"/>
      <c r="Z15" s="23"/>
    </row>
    <row r="16" customFormat="false" ht="15.75" hidden="false" customHeight="true" outlineLevel="0" collapsed="false">
      <c r="A16" s="52" t="n">
        <v>46303</v>
      </c>
      <c r="B16" s="14" t="s">
        <v>208</v>
      </c>
      <c r="C16" s="14" t="str">
        <f aca="false" t="array" ref="C16:C16">IF(B16="","",IFERROR(INDEX('CLM &amp; IM Mapping'!$B$2:$B$270,MATCH(TRIM(B16),'CLM &amp; IM Mapping'!$A$2:$A$270,0)),"Not Mapped"))</f>
        <v>Silambarasan E</v>
      </c>
      <c r="D16" s="14" t="str">
        <f aca="false" t="array" ref="D16:D16">IF(B16="","",IFERROR(INDEX('CLM &amp; IM Mapping'!$C$2:$C$270,MATCH(TRIM(B16),'CLM &amp; IM Mapping'!$A$2:$A$270,0)),"Not Mapped"))</f>
        <v>Arivind S</v>
      </c>
      <c r="E16" s="14"/>
      <c r="F16" s="14"/>
      <c r="G16" s="14" t="n">
        <v>150</v>
      </c>
      <c r="H16" s="14" t="n">
        <v>150</v>
      </c>
      <c r="I16" s="53" t="n">
        <v>29719.31</v>
      </c>
      <c r="J16" s="11"/>
      <c r="K16" s="11"/>
      <c r="L16" s="23"/>
      <c r="M16" s="23"/>
      <c r="N16" s="23"/>
      <c r="O16" s="23"/>
      <c r="P16" s="23"/>
      <c r="Q16" s="23"/>
      <c r="R16" s="23"/>
      <c r="S16" s="23"/>
      <c r="T16" s="23"/>
      <c r="U16" s="23"/>
      <c r="V16" s="23"/>
      <c r="W16" s="23"/>
      <c r="X16" s="23"/>
      <c r="Y16" s="23"/>
      <c r="Z16" s="23"/>
    </row>
    <row r="17" customFormat="false" ht="15.75" hidden="false" customHeight="true" outlineLevel="0" collapsed="false">
      <c r="A17" s="52" t="n">
        <v>46303</v>
      </c>
      <c r="B17" s="14" t="s">
        <v>173</v>
      </c>
      <c r="C17" s="14" t="str">
        <f aca="false" t="array" ref="C17:C17">IF(B17="","",IFERROR(INDEX('CLM &amp; IM Mapping'!$B$2:$B$270,MATCH(TRIM(B17),'CLM &amp; IM Mapping'!$A$2:$A$270,0)),"Not Mapped"))</f>
        <v>Akshay P</v>
      </c>
      <c r="D17" s="14" t="str">
        <f aca="false" t="array" ref="D17:D17">IF(B17="","",IFERROR(INDEX('CLM &amp; IM Mapping'!$C$2:$C$270,MATCH(TRIM(B17),'CLM &amp; IM Mapping'!$A$2:$A$270,0)),"Not Mapped"))</f>
        <v>Srittam Dhal</v>
      </c>
      <c r="E17" s="14" t="n">
        <v>300</v>
      </c>
      <c r="F17" s="14"/>
      <c r="G17" s="14" t="n">
        <v>122</v>
      </c>
      <c r="H17" s="14" t="n">
        <v>422</v>
      </c>
      <c r="I17" s="53" t="n">
        <v>29420.75</v>
      </c>
      <c r="J17" s="11"/>
      <c r="K17" s="11"/>
      <c r="L17" s="23"/>
      <c r="M17" s="23"/>
      <c r="N17" s="23"/>
      <c r="O17" s="23"/>
      <c r="P17" s="23"/>
      <c r="Q17" s="23"/>
      <c r="R17" s="23"/>
      <c r="S17" s="23"/>
      <c r="T17" s="23"/>
      <c r="U17" s="23"/>
      <c r="V17" s="23"/>
      <c r="W17" s="23"/>
      <c r="X17" s="23"/>
      <c r="Y17" s="23"/>
      <c r="Z17" s="23"/>
    </row>
    <row r="18" customFormat="false" ht="15.75" hidden="false" customHeight="true" outlineLevel="0" collapsed="false">
      <c r="A18" s="52" t="n">
        <v>46303</v>
      </c>
      <c r="B18" s="14" t="s">
        <v>290</v>
      </c>
      <c r="C18" s="14" t="str">
        <f aca="false" t="array" ref="C18:C18">IF(B18="","",IFERROR(INDEX('CLM &amp; IM Mapping'!$B$2:$B$270,MATCH(TRIM(B18),'CLM &amp; IM Mapping'!$A$2:$A$270,0)),"Not Mapped"))</f>
        <v>Akshay P</v>
      </c>
      <c r="D18" s="14" t="str">
        <f aca="false" t="array" ref="D18:D18">IF(B18="","",IFERROR(INDEX('CLM &amp; IM Mapping'!$C$2:$C$270,MATCH(TRIM(B18),'CLM &amp; IM Mapping'!$A$2:$A$270,0)),"Not Mapped"))</f>
        <v>Srittam Dhal</v>
      </c>
      <c r="E18" s="14" t="n">
        <v>103</v>
      </c>
      <c r="F18" s="14" t="n">
        <v>143</v>
      </c>
      <c r="G18" s="14"/>
      <c r="H18" s="14" t="n">
        <v>246</v>
      </c>
      <c r="I18" s="53" t="n">
        <v>28773.12</v>
      </c>
      <c r="J18" s="11"/>
      <c r="K18" s="11"/>
      <c r="L18" s="23"/>
      <c r="M18" s="23"/>
      <c r="N18" s="23"/>
      <c r="O18" s="23"/>
      <c r="P18" s="23"/>
      <c r="Q18" s="23"/>
      <c r="R18" s="23"/>
      <c r="S18" s="23"/>
      <c r="T18" s="23"/>
      <c r="U18" s="23"/>
      <c r="V18" s="23"/>
      <c r="W18" s="23"/>
      <c r="X18" s="23"/>
      <c r="Y18" s="23"/>
      <c r="Z18" s="23"/>
    </row>
    <row r="19" customFormat="false" ht="15.75" hidden="false" customHeight="true" outlineLevel="0" collapsed="false">
      <c r="A19" s="52" t="n">
        <v>46303</v>
      </c>
      <c r="B19" s="14" t="s">
        <v>404</v>
      </c>
      <c r="C19" s="14" t="str">
        <f aca="false" t="array" ref="C19:C19">IF(B19="","",IFERROR(INDEX('CLM &amp; IM Mapping'!$B$2:$B$270,MATCH(TRIM(B19),'CLM &amp; IM Mapping'!$A$2:$A$270,0)),"Not Mapped"))</f>
        <v>Arun Raj</v>
      </c>
      <c r="D19" s="14" t="str">
        <f aca="false" t="array" ref="D19:D19">IF(B19="","",IFERROR(INDEX('CLM &amp; IM Mapping'!$C$2:$C$270,MATCH(TRIM(B19),'CLM &amp; IM Mapping'!$A$2:$A$270,0)),"Not Mapped"))</f>
        <v>Simon Manoharan</v>
      </c>
      <c r="E19" s="14"/>
      <c r="F19" s="14"/>
      <c r="G19" s="14" t="n">
        <v>113</v>
      </c>
      <c r="H19" s="14" t="n">
        <v>113</v>
      </c>
      <c r="I19" s="53" t="n">
        <v>27828.42</v>
      </c>
      <c r="J19" s="12" t="s">
        <v>720</v>
      </c>
      <c r="K19" s="12" t="s">
        <v>721</v>
      </c>
      <c r="L19" s="23"/>
      <c r="M19" s="23"/>
      <c r="N19" s="23"/>
      <c r="O19" s="23"/>
      <c r="P19" s="23"/>
      <c r="Q19" s="23"/>
      <c r="R19" s="23"/>
      <c r="S19" s="23"/>
      <c r="T19" s="23"/>
      <c r="U19" s="23"/>
      <c r="V19" s="23"/>
      <c r="W19" s="23"/>
      <c r="X19" s="23"/>
      <c r="Y19" s="23"/>
      <c r="Z19" s="23"/>
    </row>
    <row r="20" customFormat="false" ht="15.75" hidden="false" customHeight="true" outlineLevel="0" collapsed="false">
      <c r="A20" s="52" t="n">
        <v>46303</v>
      </c>
      <c r="B20" s="14" t="s">
        <v>33</v>
      </c>
      <c r="C20" s="14" t="str">
        <f aca="false" t="array" ref="C20:C20">IF(B20="","",IFERROR(INDEX('CLM &amp; IM Mapping'!$B$2:$B$270,MATCH(TRIM(B20),'CLM &amp; IM Mapping'!$A$2:$A$270,0)),"Not Mapped"))</f>
        <v>Manoj Kj</v>
      </c>
      <c r="D20" s="14" t="str">
        <f aca="false" t="array" ref="D20:D20">IF(B20="","",IFERROR(INDEX('CLM &amp; IM Mapping'!$C$2:$C$270,MATCH(TRIM(B20),'CLM &amp; IM Mapping'!$A$2:$A$270,0)),"Not Mapped"))</f>
        <v>Srittam Dhal</v>
      </c>
      <c r="E20" s="14"/>
      <c r="F20" s="14"/>
      <c r="G20" s="14" t="n">
        <v>516</v>
      </c>
      <c r="H20" s="14" t="n">
        <v>516</v>
      </c>
      <c r="I20" s="53" t="n">
        <v>27752.88</v>
      </c>
      <c r="J20" s="11"/>
      <c r="K20" s="11"/>
      <c r="L20" s="23"/>
      <c r="M20" s="23"/>
      <c r="N20" s="23"/>
      <c r="O20" s="23"/>
      <c r="P20" s="23"/>
      <c r="Q20" s="23"/>
      <c r="R20" s="23"/>
      <c r="S20" s="23"/>
      <c r="T20" s="23"/>
      <c r="U20" s="23"/>
      <c r="V20" s="23"/>
      <c r="W20" s="23"/>
      <c r="X20" s="23"/>
      <c r="Y20" s="23"/>
      <c r="Z20" s="23"/>
    </row>
    <row r="21" customFormat="false" ht="15.75" hidden="false" customHeight="true" outlineLevel="0" collapsed="false">
      <c r="A21" s="52" t="n">
        <v>46303</v>
      </c>
      <c r="B21" s="14" t="s">
        <v>123</v>
      </c>
      <c r="C21" s="14" t="str">
        <f aca="false" t="array" ref="C21:C21">IF(B21="","",IFERROR(INDEX('CLM &amp; IM Mapping'!$B$2:$B$270,MATCH(TRIM(B21),'CLM &amp; IM Mapping'!$A$2:$A$270,0)),"Not Mapped"))</f>
        <v>Silambarasan E</v>
      </c>
      <c r="D21" s="14" t="str">
        <f aca="false" t="array" ref="D21:D21">IF(B21="","",IFERROR(INDEX('CLM &amp; IM Mapping'!$C$2:$C$270,MATCH(TRIM(B21),'CLM &amp; IM Mapping'!$A$2:$A$270,0)),"Not Mapped"))</f>
        <v>Arivind S</v>
      </c>
      <c r="E21" s="14" t="n">
        <v>3</v>
      </c>
      <c r="F21" s="14"/>
      <c r="G21" s="14" t="n">
        <v>264</v>
      </c>
      <c r="H21" s="14" t="n">
        <v>267</v>
      </c>
      <c r="I21" s="53" t="n">
        <v>25563.77</v>
      </c>
      <c r="J21" s="11"/>
      <c r="K21" s="54" t="n">
        <v>0.708333333333333</v>
      </c>
      <c r="L21" s="23"/>
      <c r="M21" s="23"/>
      <c r="N21" s="23"/>
      <c r="O21" s="23"/>
      <c r="P21" s="23"/>
      <c r="Q21" s="23"/>
      <c r="R21" s="23"/>
      <c r="S21" s="23"/>
      <c r="T21" s="23"/>
      <c r="U21" s="23"/>
      <c r="V21" s="23"/>
      <c r="W21" s="23"/>
      <c r="X21" s="23"/>
      <c r="Y21" s="23"/>
      <c r="Z21" s="23"/>
    </row>
    <row r="22" customFormat="false" ht="15.75" hidden="false" customHeight="true" outlineLevel="0" collapsed="false">
      <c r="A22" s="52" t="n">
        <v>46303</v>
      </c>
      <c r="B22" s="14" t="s">
        <v>38</v>
      </c>
      <c r="C22" s="14" t="str">
        <f aca="false" t="array" ref="C22:C22">IF(B22="","",IFERROR(INDEX('CLM &amp; IM Mapping'!$B$2:$B$270,MATCH(TRIM(B22),'CLM &amp; IM Mapping'!$A$2:$A$270,0)),"Not Mapped"))</f>
        <v>Vijay M</v>
      </c>
      <c r="D22" s="14" t="str">
        <f aca="false" t="array" ref="D22:D22">IF(B22="","",IFERROR(INDEX('CLM &amp; IM Mapping'!$C$2:$C$270,MATCH(TRIM(B22),'CLM &amp; IM Mapping'!$A$2:$A$270,0)),"Not Mapped"))</f>
        <v>Kantha Kumar</v>
      </c>
      <c r="E22" s="14" t="n">
        <v>37</v>
      </c>
      <c r="F22" s="14" t="n">
        <v>46</v>
      </c>
      <c r="G22" s="14" t="n">
        <v>159</v>
      </c>
      <c r="H22" s="14" t="n">
        <v>242</v>
      </c>
      <c r="I22" s="53" t="n">
        <v>24100.68</v>
      </c>
      <c r="J22" s="11"/>
      <c r="K22" s="11"/>
      <c r="L22" s="23"/>
      <c r="M22" s="23"/>
      <c r="N22" s="23"/>
      <c r="O22" s="23"/>
      <c r="P22" s="23"/>
      <c r="Q22" s="23"/>
      <c r="R22" s="23"/>
      <c r="S22" s="23"/>
      <c r="T22" s="23"/>
      <c r="U22" s="23"/>
      <c r="V22" s="23"/>
      <c r="W22" s="23"/>
      <c r="X22" s="23"/>
      <c r="Y22" s="23"/>
      <c r="Z22" s="23"/>
    </row>
    <row r="23" customFormat="false" ht="15.75" hidden="false" customHeight="true" outlineLevel="0" collapsed="false">
      <c r="A23" s="52" t="n">
        <v>46303</v>
      </c>
      <c r="B23" s="14" t="s">
        <v>292</v>
      </c>
      <c r="C23" s="14" t="str">
        <f aca="false" t="array" ref="C23:C23">IF(B23="","",IFERROR(INDEX('CLM &amp; IM Mapping'!$B$2:$B$270,MATCH(TRIM(B23),'CLM &amp; IM Mapping'!$A$2:$A$270,0)),"Not Mapped"))</f>
        <v>Mohaideen DH</v>
      </c>
      <c r="D23" s="14" t="str">
        <f aca="false" t="array" ref="D23:D23">IF(B23="","",IFERROR(INDEX('CLM &amp; IM Mapping'!$C$2:$C$270,MATCH(TRIM(B23),'CLM &amp; IM Mapping'!$A$2:$A$270,0)),"Not Mapped"))</f>
        <v>Mohammed Akbar</v>
      </c>
      <c r="E23" s="14" t="n">
        <v>248</v>
      </c>
      <c r="F23" s="14" t="n">
        <v>1</v>
      </c>
      <c r="G23" s="14"/>
      <c r="H23" s="14" t="n">
        <v>249</v>
      </c>
      <c r="I23" s="53" t="n">
        <v>23064.55</v>
      </c>
      <c r="J23" s="12" t="s">
        <v>725</v>
      </c>
      <c r="K23" s="54" t="n">
        <v>0.875</v>
      </c>
      <c r="L23" s="23"/>
      <c r="M23" s="23"/>
      <c r="N23" s="23"/>
      <c r="O23" s="23"/>
      <c r="P23" s="23"/>
      <c r="Q23" s="23"/>
      <c r="R23" s="23"/>
      <c r="S23" s="23"/>
      <c r="T23" s="23"/>
      <c r="U23" s="23"/>
      <c r="V23" s="23"/>
      <c r="W23" s="23"/>
      <c r="X23" s="23"/>
      <c r="Y23" s="23"/>
      <c r="Z23" s="23"/>
    </row>
    <row r="24" customFormat="false" ht="15.75" hidden="false" customHeight="true" outlineLevel="0" collapsed="false">
      <c r="A24" s="52" t="n">
        <v>46303</v>
      </c>
      <c r="B24" s="14" t="s">
        <v>144</v>
      </c>
      <c r="C24" s="14" t="str">
        <f aca="false" t="array" ref="C24:C24">IF(B24="","",IFERROR(INDEX('CLM &amp; IM Mapping'!$B$2:$B$270,MATCH(TRIM(B24),'CLM &amp; IM Mapping'!$A$2:$A$270,0)),"Not Mapped"))</f>
        <v>Mohaideen DH</v>
      </c>
      <c r="D24" s="14" t="str">
        <f aca="false" t="array" ref="D24:D24">IF(B24="","",IFERROR(INDEX('CLM &amp; IM Mapping'!$C$2:$C$270,MATCH(TRIM(B24),'CLM &amp; IM Mapping'!$A$2:$A$270,0)),"Not Mapped"))</f>
        <v>Mohammed Akbar</v>
      </c>
      <c r="E24" s="14"/>
      <c r="F24" s="14" t="n">
        <v>41</v>
      </c>
      <c r="G24" s="14" t="n">
        <v>75</v>
      </c>
      <c r="H24" s="14" t="n">
        <v>116</v>
      </c>
      <c r="I24" s="53" t="n">
        <v>21903.32</v>
      </c>
      <c r="J24" s="12" t="s">
        <v>726</v>
      </c>
      <c r="K24" s="54" t="n">
        <v>0.875</v>
      </c>
      <c r="L24" s="23"/>
      <c r="M24" s="23"/>
      <c r="N24" s="23"/>
      <c r="O24" s="23"/>
      <c r="P24" s="23"/>
      <c r="Q24" s="23"/>
      <c r="R24" s="23"/>
      <c r="S24" s="23"/>
      <c r="T24" s="23"/>
      <c r="U24" s="23"/>
      <c r="V24" s="23"/>
      <c r="W24" s="23"/>
      <c r="X24" s="23"/>
      <c r="Y24" s="23"/>
      <c r="Z24" s="23"/>
    </row>
    <row r="25" customFormat="false" ht="15.75" hidden="false" customHeight="true" outlineLevel="0" collapsed="false">
      <c r="A25" s="52" t="n">
        <v>46303</v>
      </c>
      <c r="B25" s="14" t="s">
        <v>227</v>
      </c>
      <c r="C25" s="14" t="str">
        <f aca="false" t="array" ref="C25:C25">IF(B25="","",IFERROR(INDEX('CLM &amp; IM Mapping'!$B$2:$B$270,MATCH(TRIM(B25),'CLM &amp; IM Mapping'!$A$2:$A$270,0)),"Not Mapped"))</f>
        <v>Vijay M</v>
      </c>
      <c r="D25" s="14" t="str">
        <f aca="false" t="array" ref="D25:D25">IF(B25="","",IFERROR(INDEX('CLM &amp; IM Mapping'!$C$2:$C$270,MATCH(TRIM(B25),'CLM &amp; IM Mapping'!$A$2:$A$270,0)),"Not Mapped"))</f>
        <v>Kantha Kumar</v>
      </c>
      <c r="E25" s="14"/>
      <c r="F25" s="14" t="n">
        <v>171</v>
      </c>
      <c r="G25" s="14" t="n">
        <v>79</v>
      </c>
      <c r="H25" s="14" t="n">
        <v>250</v>
      </c>
      <c r="I25" s="53" t="n">
        <v>20254.73</v>
      </c>
      <c r="J25" s="11"/>
      <c r="K25" s="11"/>
      <c r="L25" s="23"/>
      <c r="M25" s="23"/>
      <c r="N25" s="23"/>
      <c r="O25" s="23"/>
      <c r="P25" s="23"/>
      <c r="Q25" s="23"/>
      <c r="R25" s="23"/>
      <c r="S25" s="23"/>
      <c r="T25" s="23"/>
      <c r="U25" s="23"/>
      <c r="V25" s="23"/>
      <c r="W25" s="23"/>
      <c r="X25" s="23"/>
      <c r="Y25" s="23"/>
      <c r="Z25" s="23"/>
    </row>
    <row r="26" customFormat="false" ht="15.75" hidden="false" customHeight="true" outlineLevel="0" collapsed="false">
      <c r="A26" s="52" t="n">
        <v>46303</v>
      </c>
      <c r="B26" s="14" t="s">
        <v>76</v>
      </c>
      <c r="C26" s="14" t="str">
        <f aca="false" t="array" ref="C26:C26">IF(B26="","",IFERROR(INDEX('CLM &amp; IM Mapping'!$B$2:$B$270,MATCH(TRIM(B26),'CLM &amp; IM Mapping'!$A$2:$A$270,0)),"Not Mapped"))</f>
        <v>Silambarasan E</v>
      </c>
      <c r="D26" s="14" t="str">
        <f aca="false" t="array" ref="D26:D26">IF(B26="","",IFERROR(INDEX('CLM &amp; IM Mapping'!$C$2:$C$270,MATCH(TRIM(B26),'CLM &amp; IM Mapping'!$A$2:$A$270,0)),"Not Mapped"))</f>
        <v>Arivind S</v>
      </c>
      <c r="E26" s="14" t="n">
        <v>166</v>
      </c>
      <c r="F26" s="14" t="n">
        <v>1</v>
      </c>
      <c r="G26" s="14" t="n">
        <v>240</v>
      </c>
      <c r="H26" s="14" t="n">
        <v>407</v>
      </c>
      <c r="I26" s="53" t="n">
        <v>19335.48</v>
      </c>
      <c r="J26" s="12" t="s">
        <v>727</v>
      </c>
      <c r="K26" s="54" t="n">
        <v>0.75</v>
      </c>
      <c r="L26" s="23"/>
      <c r="M26" s="23"/>
      <c r="N26" s="23"/>
      <c r="O26" s="23"/>
      <c r="P26" s="23"/>
      <c r="Q26" s="23"/>
      <c r="R26" s="23"/>
      <c r="S26" s="23"/>
      <c r="T26" s="23"/>
      <c r="U26" s="23"/>
      <c r="V26" s="23"/>
      <c r="W26" s="23"/>
      <c r="X26" s="23"/>
      <c r="Y26" s="23"/>
      <c r="Z26" s="23"/>
    </row>
    <row r="27" customFormat="false" ht="15.75" hidden="false" customHeight="true" outlineLevel="0" collapsed="false">
      <c r="A27" s="52" t="n">
        <v>46303</v>
      </c>
      <c r="B27" s="14" t="s">
        <v>65</v>
      </c>
      <c r="C27" s="14" t="str">
        <f aca="false" t="array" ref="C27:C27">IF(B27="","",IFERROR(INDEX('CLM &amp; IM Mapping'!$B$2:$B$270,MATCH(TRIM(B27),'CLM &amp; IM Mapping'!$A$2:$A$270,0)),"Not Mapped"))</f>
        <v>Adhavan Subramani</v>
      </c>
      <c r="D27" s="14" t="str">
        <f aca="false" t="array" ref="D27:D27">IF(B27="","",IFERROR(INDEX('CLM &amp; IM Mapping'!$C$2:$C$270,MATCH(TRIM(B27),'CLM &amp; IM Mapping'!$A$2:$A$270,0)),"Not Mapped"))</f>
        <v>Mohammed Akbar</v>
      </c>
      <c r="E27" s="14" t="n">
        <v>247</v>
      </c>
      <c r="F27" s="14"/>
      <c r="G27" s="14" t="n">
        <v>16</v>
      </c>
      <c r="H27" s="14" t="n">
        <v>263</v>
      </c>
      <c r="I27" s="53" t="n">
        <v>19258.09</v>
      </c>
      <c r="J27" s="12" t="s">
        <v>728</v>
      </c>
      <c r="K27" s="54" t="n">
        <v>0.708333333333333</v>
      </c>
      <c r="L27" s="23"/>
      <c r="M27" s="23"/>
      <c r="N27" s="23"/>
      <c r="O27" s="23"/>
      <c r="P27" s="23"/>
      <c r="Q27" s="23"/>
      <c r="R27" s="23"/>
      <c r="S27" s="23"/>
      <c r="T27" s="23"/>
      <c r="U27" s="23"/>
      <c r="V27" s="23"/>
      <c r="W27" s="23"/>
      <c r="X27" s="23"/>
      <c r="Y27" s="23"/>
      <c r="Z27" s="23"/>
    </row>
    <row r="28" customFormat="false" ht="15.75" hidden="false" customHeight="true" outlineLevel="0" collapsed="false">
      <c r="A28" s="52" t="n">
        <v>46303</v>
      </c>
      <c r="B28" s="14" t="s">
        <v>505</v>
      </c>
      <c r="C28" s="14" t="str">
        <f aca="false" t="array" ref="C28:C28">IF(B28="","",IFERROR(INDEX('CLM &amp; IM Mapping'!$B$2:$B$270,MATCH(TRIM(B28),'CLM &amp; IM Mapping'!$A$2:$A$270,0)),"Not Mapped"))</f>
        <v>Basil Scariya</v>
      </c>
      <c r="D28" s="14" t="str">
        <f aca="false" t="array" ref="D28:D28">IF(B28="","",IFERROR(INDEX('CLM &amp; IM Mapping'!$C$2:$C$270,MATCH(TRIM(B28),'CLM &amp; IM Mapping'!$A$2:$A$270,0)),"Not Mapped"))</f>
        <v>Prakash BS</v>
      </c>
      <c r="E28" s="14" t="n">
        <v>32</v>
      </c>
      <c r="F28" s="14"/>
      <c r="G28" s="14" t="n">
        <v>3</v>
      </c>
      <c r="H28" s="14" t="n">
        <v>35</v>
      </c>
      <c r="I28" s="53" t="n">
        <v>13998.49</v>
      </c>
      <c r="J28" s="12" t="s">
        <v>729</v>
      </c>
      <c r="K28" s="11"/>
      <c r="L28" s="23"/>
      <c r="M28" s="23"/>
      <c r="N28" s="23"/>
      <c r="O28" s="23"/>
      <c r="P28" s="23"/>
      <c r="Q28" s="23"/>
      <c r="R28" s="23"/>
      <c r="S28" s="23"/>
      <c r="T28" s="23"/>
      <c r="U28" s="23"/>
      <c r="V28" s="23"/>
      <c r="W28" s="23"/>
      <c r="X28" s="23"/>
      <c r="Y28" s="23"/>
      <c r="Z28" s="23"/>
    </row>
    <row r="29" customFormat="false" ht="15.75" hidden="false" customHeight="true" outlineLevel="0" collapsed="false">
      <c r="A29" s="52" t="n">
        <v>46303</v>
      </c>
      <c r="B29" s="14" t="s">
        <v>238</v>
      </c>
      <c r="C29" s="14" t="str">
        <f aca="false" t="array" ref="C29:C29">IF(B29="","",IFERROR(INDEX('CLM &amp; IM Mapping'!$B$2:$B$270,MATCH(TRIM(B29),'CLM &amp; IM Mapping'!$A$2:$A$270,0)),"Not Mapped"))</f>
        <v>Suhas N</v>
      </c>
      <c r="D29" s="14" t="str">
        <f aca="false" t="array" ref="D29:D29">IF(B29="","",IFERROR(INDEX('CLM &amp; IM Mapping'!$C$2:$C$270,MATCH(TRIM(B29),'CLM &amp; IM Mapping'!$A$2:$A$270,0)),"Not Mapped"))</f>
        <v>Aravind S</v>
      </c>
      <c r="E29" s="14" t="n">
        <v>30</v>
      </c>
      <c r="F29" s="14" t="n">
        <v>10</v>
      </c>
      <c r="G29" s="14" t="n">
        <v>57</v>
      </c>
      <c r="H29" s="14" t="n">
        <v>97</v>
      </c>
      <c r="I29" s="53" t="n">
        <v>13851.48</v>
      </c>
      <c r="J29" s="12" t="s">
        <v>730</v>
      </c>
      <c r="K29" s="11"/>
      <c r="L29" s="23"/>
      <c r="M29" s="23"/>
      <c r="N29" s="23"/>
      <c r="O29" s="23"/>
      <c r="P29" s="23"/>
      <c r="Q29" s="23"/>
      <c r="R29" s="23"/>
      <c r="S29" s="23"/>
      <c r="T29" s="23"/>
      <c r="U29" s="23"/>
      <c r="V29" s="23"/>
      <c r="W29" s="23"/>
      <c r="X29" s="23"/>
      <c r="Y29" s="23"/>
      <c r="Z29" s="23"/>
    </row>
    <row r="30" customFormat="false" ht="15.75" hidden="false" customHeight="true" outlineLevel="0" collapsed="false">
      <c r="A30" s="52" t="n">
        <v>46303</v>
      </c>
      <c r="B30" s="14" t="s">
        <v>188</v>
      </c>
      <c r="C30" s="14" t="str">
        <f aca="false" t="array" ref="C30:C30">IF(B30="","",IFERROR(INDEX('CLM &amp; IM Mapping'!$B$2:$B$270,MATCH(TRIM(B30),'CLM &amp; IM Mapping'!$A$2:$A$270,0)),"Not Mapped"))</f>
        <v>Richard Harris</v>
      </c>
      <c r="D30" s="14" t="str">
        <f aca="false" t="array" ref="D30:D30">IF(B30="","",IFERROR(INDEX('CLM &amp; IM Mapping'!$C$2:$C$270,MATCH(TRIM(B30),'CLM &amp; IM Mapping'!$A$2:$A$270,0)),"Not Mapped"))</f>
        <v>Kantha Kumar</v>
      </c>
      <c r="E30" s="14"/>
      <c r="F30" s="14"/>
      <c r="G30" s="14" t="n">
        <v>42</v>
      </c>
      <c r="H30" s="14" t="n">
        <v>42</v>
      </c>
      <c r="I30" s="53" t="n">
        <v>13670.67</v>
      </c>
      <c r="J30" s="11"/>
      <c r="K30" s="11"/>
      <c r="L30" s="23"/>
      <c r="M30" s="23"/>
      <c r="N30" s="23"/>
      <c r="O30" s="23"/>
      <c r="P30" s="23"/>
      <c r="Q30" s="23"/>
      <c r="R30" s="23"/>
      <c r="S30" s="23"/>
      <c r="T30" s="23"/>
      <c r="U30" s="23"/>
      <c r="V30" s="23"/>
      <c r="W30" s="23"/>
      <c r="X30" s="23"/>
      <c r="Y30" s="23"/>
      <c r="Z30" s="23"/>
    </row>
    <row r="31" customFormat="false" ht="15.75" hidden="false" customHeight="true" outlineLevel="0" collapsed="false">
      <c r="A31" s="52" t="n">
        <v>46303</v>
      </c>
      <c r="B31" s="14" t="s">
        <v>526</v>
      </c>
      <c r="C31" s="14" t="str">
        <f aca="false" t="array" ref="C31:C31">IF(B31="","",IFERROR(INDEX('CLM &amp; IM Mapping'!$B$2:$B$270,MATCH(TRIM(B31),'CLM &amp; IM Mapping'!$A$2:$A$270,0)),"Not Mapped"))</f>
        <v>Sundaresh S</v>
      </c>
      <c r="D31" s="14" t="str">
        <f aca="false" t="array" ref="D31:D31">IF(B31="","",IFERROR(INDEX('CLM &amp; IM Mapping'!$C$2:$C$270,MATCH(TRIM(B31),'CLM &amp; IM Mapping'!$A$2:$A$270,0)),"Not Mapped"))</f>
        <v>Un Mapped</v>
      </c>
      <c r="E31" s="14" t="n">
        <v>79</v>
      </c>
      <c r="F31" s="14"/>
      <c r="G31" s="14" t="n">
        <v>12</v>
      </c>
      <c r="H31" s="14" t="n">
        <v>91</v>
      </c>
      <c r="I31" s="53" t="n">
        <v>13577.18</v>
      </c>
      <c r="J31" s="11"/>
      <c r="K31" s="11"/>
      <c r="L31" s="23"/>
      <c r="M31" s="23"/>
      <c r="N31" s="23"/>
      <c r="O31" s="23"/>
      <c r="P31" s="23"/>
      <c r="Q31" s="23"/>
      <c r="R31" s="23"/>
      <c r="S31" s="23"/>
      <c r="T31" s="23"/>
      <c r="U31" s="23"/>
      <c r="V31" s="23"/>
      <c r="W31" s="23"/>
      <c r="X31" s="23"/>
      <c r="Y31" s="23"/>
      <c r="Z31" s="23"/>
    </row>
    <row r="32" customFormat="false" ht="15.75" hidden="false" customHeight="true" outlineLevel="0" collapsed="false">
      <c r="A32" s="52" t="n">
        <v>46303</v>
      </c>
      <c r="B32" s="14" t="s">
        <v>50</v>
      </c>
      <c r="C32" s="14" t="str">
        <f aca="false" t="array" ref="C32:C32">IF(B32="","",IFERROR(INDEX('CLM &amp; IM Mapping'!$B$2:$B$270,MATCH(TRIM(B32),'CLM &amp; IM Mapping'!$A$2:$A$270,0)),"Not Mapped"))</f>
        <v>Arun Raj</v>
      </c>
      <c r="D32" s="14" t="str">
        <f aca="false" t="array" ref="D32:D32">IF(B32="","",IFERROR(INDEX('CLM &amp; IM Mapping'!$C$2:$C$270,MATCH(TRIM(B32),'CLM &amp; IM Mapping'!$A$2:$A$270,0)),"Not Mapped"))</f>
        <v>Simon Manoharan</v>
      </c>
      <c r="E32" s="14"/>
      <c r="F32" s="14"/>
      <c r="G32" s="14" t="n">
        <v>58</v>
      </c>
      <c r="H32" s="14" t="n">
        <v>58</v>
      </c>
      <c r="I32" s="53" t="n">
        <v>12880.59</v>
      </c>
      <c r="J32" s="12" t="s">
        <v>731</v>
      </c>
      <c r="K32" s="12" t="s">
        <v>721</v>
      </c>
      <c r="L32" s="23"/>
      <c r="M32" s="23"/>
      <c r="N32" s="23"/>
      <c r="O32" s="23"/>
      <c r="P32" s="23"/>
      <c r="Q32" s="23"/>
      <c r="R32" s="23"/>
      <c r="S32" s="23"/>
      <c r="T32" s="23"/>
      <c r="U32" s="23"/>
      <c r="V32" s="23"/>
      <c r="W32" s="23"/>
      <c r="X32" s="23"/>
      <c r="Y32" s="23"/>
      <c r="Z32" s="23"/>
    </row>
    <row r="33" customFormat="false" ht="15.75" hidden="false" customHeight="true" outlineLevel="0" collapsed="false">
      <c r="A33" s="52" t="n">
        <v>46303</v>
      </c>
      <c r="B33" s="14" t="s">
        <v>105</v>
      </c>
      <c r="C33" s="14" t="str">
        <f aca="false" t="array" ref="C33:C33">IF(B33="","",IFERROR(INDEX('CLM &amp; IM Mapping'!$B$2:$B$270,MATCH(TRIM(B33),'CLM &amp; IM Mapping'!$A$2:$A$270,0)),"Not Mapped"))</f>
        <v>Suhas N</v>
      </c>
      <c r="D33" s="14" t="str">
        <f aca="false" t="array" ref="D33:D33">IF(B33="","",IFERROR(INDEX('CLM &amp; IM Mapping'!$C$2:$C$270,MATCH(TRIM(B33),'CLM &amp; IM Mapping'!$A$2:$A$270,0)),"Not Mapped"))</f>
        <v>Aravind S</v>
      </c>
      <c r="E33" s="14"/>
      <c r="F33" s="14" t="n">
        <v>112</v>
      </c>
      <c r="G33" s="14"/>
      <c r="H33" s="14" t="n">
        <v>112</v>
      </c>
      <c r="I33" s="53" t="n">
        <v>12850.85</v>
      </c>
      <c r="J33" s="12" t="s">
        <v>732</v>
      </c>
      <c r="K33" s="11"/>
      <c r="L33" s="23"/>
      <c r="M33" s="23"/>
      <c r="N33" s="23"/>
      <c r="O33" s="23"/>
      <c r="P33" s="23"/>
      <c r="Q33" s="23"/>
      <c r="R33" s="23"/>
      <c r="S33" s="23"/>
      <c r="T33" s="23"/>
      <c r="U33" s="23"/>
      <c r="V33" s="23"/>
      <c r="W33" s="23"/>
      <c r="X33" s="23"/>
      <c r="Y33" s="23"/>
      <c r="Z33" s="23"/>
    </row>
    <row r="34" customFormat="false" ht="15.75" hidden="false" customHeight="true" outlineLevel="0" collapsed="false">
      <c r="A34" s="52" t="n">
        <v>46303</v>
      </c>
      <c r="B34" s="14" t="s">
        <v>156</v>
      </c>
      <c r="C34" s="14" t="str">
        <f aca="false" t="array" ref="C34:C34">IF(B34="","",IFERROR(INDEX('CLM &amp; IM Mapping'!$B$2:$B$270,MATCH(TRIM(B34),'CLM &amp; IM Mapping'!$A$2:$A$270,0)),"Not Mapped"))</f>
        <v>Manoj Kj</v>
      </c>
      <c r="D34" s="14" t="str">
        <f aca="false" t="array" ref="D34:D34">IF(B34="","",IFERROR(INDEX('CLM &amp; IM Mapping'!$C$2:$C$270,MATCH(TRIM(B34),'CLM &amp; IM Mapping'!$A$2:$A$270,0)),"Not Mapped"))</f>
        <v>Srittam Dhal</v>
      </c>
      <c r="E34" s="14" t="n">
        <v>163</v>
      </c>
      <c r="F34" s="14"/>
      <c r="G34" s="14" t="n">
        <v>93</v>
      </c>
      <c r="H34" s="14" t="n">
        <v>256</v>
      </c>
      <c r="I34" s="53" t="n">
        <v>12819.34</v>
      </c>
      <c r="J34" s="11"/>
      <c r="K34" s="11"/>
      <c r="L34" s="23"/>
      <c r="M34" s="23"/>
      <c r="N34" s="23"/>
      <c r="O34" s="23"/>
      <c r="P34" s="23"/>
      <c r="Q34" s="23"/>
      <c r="R34" s="23"/>
      <c r="S34" s="23"/>
      <c r="T34" s="23"/>
      <c r="U34" s="23"/>
      <c r="V34" s="23"/>
      <c r="W34" s="23"/>
      <c r="X34" s="23"/>
      <c r="Y34" s="23"/>
      <c r="Z34" s="23"/>
    </row>
    <row r="35" customFormat="false" ht="15.75" hidden="false" customHeight="true" outlineLevel="0" collapsed="false">
      <c r="A35" s="52" t="n">
        <v>46303</v>
      </c>
      <c r="B35" s="14" t="s">
        <v>97</v>
      </c>
      <c r="C35" s="14" t="str">
        <f aca="false" t="array" ref="C35:C35">IF(B35="","",IFERROR(INDEX('CLM &amp; IM Mapping'!$B$2:$B$270,MATCH(TRIM(B35),'CLM &amp; IM Mapping'!$A$2:$A$270,0)),"Not Mapped"))</f>
        <v>Raghavendra Vernekar</v>
      </c>
      <c r="D35" s="14" t="str">
        <f aca="false" t="array" ref="D35:D35">IF(B35="","",IFERROR(INDEX('CLM &amp; IM Mapping'!$C$2:$C$270,MATCH(TRIM(B35),'CLM &amp; IM Mapping'!$A$2:$A$270,0)),"Not Mapped"))</f>
        <v>Prakash BS</v>
      </c>
      <c r="E35" s="14" t="n">
        <v>39</v>
      </c>
      <c r="F35" s="14"/>
      <c r="G35" s="14" t="n">
        <v>108</v>
      </c>
      <c r="H35" s="14" t="n">
        <v>147</v>
      </c>
      <c r="I35" s="53" t="n">
        <v>11961.78</v>
      </c>
      <c r="J35" s="12" t="s">
        <v>729</v>
      </c>
      <c r="K35" s="11"/>
      <c r="L35" s="23"/>
      <c r="M35" s="23"/>
      <c r="N35" s="23"/>
      <c r="O35" s="23"/>
      <c r="P35" s="23"/>
      <c r="Q35" s="23"/>
      <c r="R35" s="23"/>
      <c r="S35" s="23"/>
      <c r="T35" s="23"/>
      <c r="U35" s="23"/>
      <c r="V35" s="23"/>
      <c r="W35" s="23"/>
      <c r="X35" s="23"/>
      <c r="Y35" s="23"/>
      <c r="Z35" s="23"/>
    </row>
    <row r="36" customFormat="false" ht="15.75" hidden="false" customHeight="true" outlineLevel="0" collapsed="false">
      <c r="A36" s="52" t="n">
        <v>46303</v>
      </c>
      <c r="B36" s="14" t="s">
        <v>186</v>
      </c>
      <c r="C36" s="14" t="str">
        <f aca="false" t="array" ref="C36:C36">IF(B36="","",IFERROR(INDEX('CLM &amp; IM Mapping'!$B$2:$B$270,MATCH(TRIM(B36),'CLM &amp; IM Mapping'!$A$2:$A$270,0)),"Not Mapped"))</f>
        <v>Silambarasan E</v>
      </c>
      <c r="D36" s="14" t="str">
        <f aca="false" t="array" ref="D36:D36">IF(B36="","",IFERROR(INDEX('CLM &amp; IM Mapping'!$C$2:$C$270,MATCH(TRIM(B36),'CLM &amp; IM Mapping'!$A$2:$A$270,0)),"Not Mapped"))</f>
        <v>Arivind S</v>
      </c>
      <c r="E36" s="14" t="n">
        <v>178</v>
      </c>
      <c r="F36" s="14"/>
      <c r="G36" s="14"/>
      <c r="H36" s="14" t="n">
        <v>178</v>
      </c>
      <c r="I36" s="53" t="n">
        <v>11834.6</v>
      </c>
      <c r="J36" s="11"/>
      <c r="K36" s="11"/>
      <c r="L36" s="23"/>
      <c r="M36" s="23"/>
      <c r="N36" s="23"/>
      <c r="O36" s="23"/>
      <c r="P36" s="23"/>
      <c r="Q36" s="23"/>
      <c r="R36" s="23"/>
      <c r="S36" s="23"/>
      <c r="T36" s="23"/>
      <c r="U36" s="23"/>
      <c r="V36" s="23"/>
      <c r="W36" s="23"/>
      <c r="X36" s="23"/>
      <c r="Y36" s="23"/>
      <c r="Z36" s="23"/>
    </row>
    <row r="37" customFormat="false" ht="15.75" hidden="false" customHeight="true" outlineLevel="0" collapsed="false">
      <c r="A37" s="52" t="n">
        <v>46303</v>
      </c>
      <c r="B37" s="14" t="s">
        <v>305</v>
      </c>
      <c r="C37" s="14" t="str">
        <f aca="false" t="array" ref="C37:C37">IF(B37="","",IFERROR(INDEX('CLM &amp; IM Mapping'!$B$2:$B$270,MATCH(TRIM(B37),'CLM &amp; IM Mapping'!$A$2:$A$270,0)),"Not Mapped"))</f>
        <v>Manjunatha V</v>
      </c>
      <c r="D37" s="14" t="str">
        <f aca="false" t="array" ref="D37:D37">IF(B37="","",IFERROR(INDEX('CLM &amp; IM Mapping'!$C$2:$C$270,MATCH(TRIM(B37),'CLM &amp; IM Mapping'!$A$2:$A$270,0)),"Not Mapped"))</f>
        <v>Un Mapped</v>
      </c>
      <c r="E37" s="14" t="n">
        <v>56</v>
      </c>
      <c r="F37" s="14"/>
      <c r="G37" s="14" t="n">
        <v>38</v>
      </c>
      <c r="H37" s="14" t="n">
        <v>94</v>
      </c>
      <c r="I37" s="53" t="n">
        <v>11658.72</v>
      </c>
      <c r="J37" s="11"/>
      <c r="K37" s="11"/>
      <c r="L37" s="23"/>
      <c r="M37" s="23"/>
      <c r="N37" s="23"/>
      <c r="O37" s="23"/>
      <c r="P37" s="23"/>
      <c r="Q37" s="23"/>
      <c r="R37" s="23"/>
      <c r="S37" s="23"/>
      <c r="T37" s="23"/>
      <c r="U37" s="23"/>
      <c r="V37" s="23"/>
      <c r="W37" s="23"/>
      <c r="X37" s="23"/>
      <c r="Y37" s="23"/>
      <c r="Z37" s="23"/>
    </row>
    <row r="38" customFormat="false" ht="15.75" hidden="false" customHeight="true" outlineLevel="0" collapsed="false">
      <c r="A38" s="52" t="n">
        <v>46303</v>
      </c>
      <c r="B38" s="14" t="s">
        <v>483</v>
      </c>
      <c r="C38" s="14" t="str">
        <f aca="false" t="array" ref="C38:C38">IF(B38="","",IFERROR(INDEX('CLM &amp; IM Mapping'!$B$2:$B$270,MATCH(TRIM(B38),'CLM &amp; IM Mapping'!$A$2:$A$270,0)),"Not Mapped"))</f>
        <v>Sundaresh S</v>
      </c>
      <c r="D38" s="14" t="str">
        <f aca="false" t="array" ref="D38:D38">IF(B38="","",IFERROR(INDEX('CLM &amp; IM Mapping'!$C$2:$C$270,MATCH(TRIM(B38),'CLM &amp; IM Mapping'!$A$2:$A$270,0)),"Not Mapped"))</f>
        <v>Un Mapped</v>
      </c>
      <c r="E38" s="14" t="n">
        <v>2</v>
      </c>
      <c r="F38" s="14"/>
      <c r="G38" s="14" t="n">
        <v>11</v>
      </c>
      <c r="H38" s="14" t="n">
        <v>13</v>
      </c>
      <c r="I38" s="53" t="n">
        <v>11027.58</v>
      </c>
      <c r="J38" s="11"/>
      <c r="K38" s="11"/>
      <c r="L38" s="23"/>
      <c r="M38" s="23"/>
      <c r="N38" s="23"/>
      <c r="O38" s="23"/>
      <c r="P38" s="23"/>
      <c r="Q38" s="23"/>
      <c r="R38" s="23"/>
      <c r="S38" s="23"/>
      <c r="T38" s="23"/>
      <c r="U38" s="23"/>
      <c r="V38" s="23"/>
      <c r="W38" s="23"/>
      <c r="X38" s="23"/>
      <c r="Y38" s="23"/>
      <c r="Z38" s="23"/>
    </row>
    <row r="39" customFormat="false" ht="15.75" hidden="false" customHeight="true" outlineLevel="0" collapsed="false">
      <c r="A39" s="52" t="n">
        <v>46303</v>
      </c>
      <c r="B39" s="14" t="s">
        <v>265</v>
      </c>
      <c r="C39" s="14" t="str">
        <f aca="false" t="array" ref="C39:C39">IF(B39="","",IFERROR(INDEX('CLM &amp; IM Mapping'!$B$2:$B$270,MATCH(TRIM(B39),'CLM &amp; IM Mapping'!$A$2:$A$270,0)),"Not Mapped"))</f>
        <v>Adhavan Subramani</v>
      </c>
      <c r="D39" s="14" t="str">
        <f aca="false" t="array" ref="D39:D39">IF(B39="","",IFERROR(INDEX('CLM &amp; IM Mapping'!$C$2:$C$270,MATCH(TRIM(B39),'CLM &amp; IM Mapping'!$A$2:$A$270,0)),"Not Mapped"))</f>
        <v>Mohammed Akbar</v>
      </c>
      <c r="E39" s="14" t="n">
        <v>94</v>
      </c>
      <c r="F39" s="14"/>
      <c r="G39" s="14"/>
      <c r="H39" s="14" t="n">
        <v>94</v>
      </c>
      <c r="I39" s="53" t="n">
        <v>10939.86</v>
      </c>
      <c r="J39" s="12" t="s">
        <v>733</v>
      </c>
      <c r="K39" s="54" t="n">
        <v>0.958333333333333</v>
      </c>
      <c r="L39" s="23"/>
      <c r="M39" s="23"/>
      <c r="N39" s="23"/>
      <c r="O39" s="23"/>
      <c r="P39" s="23"/>
      <c r="Q39" s="23"/>
      <c r="R39" s="23"/>
      <c r="S39" s="23"/>
      <c r="T39" s="23"/>
      <c r="U39" s="23"/>
      <c r="V39" s="23"/>
      <c r="W39" s="23"/>
      <c r="X39" s="23"/>
      <c r="Y39" s="23"/>
      <c r="Z39" s="23"/>
    </row>
    <row r="40" customFormat="false" ht="15.75" hidden="false" customHeight="true" outlineLevel="0" collapsed="false">
      <c r="A40" s="52" t="n">
        <v>46303</v>
      </c>
      <c r="B40" s="14" t="s">
        <v>455</v>
      </c>
      <c r="C40" s="14" t="str">
        <f aca="false" t="array" ref="C40:C40">IF(B40="","",IFERROR(INDEX('CLM &amp; IM Mapping'!$B$2:$B$270,MATCH(TRIM(B40),'CLM &amp; IM Mapping'!$A$2:$A$270,0)),"Not Mapped"))</f>
        <v>Rizwan Ahmed</v>
      </c>
      <c r="D40" s="14" t="str">
        <f aca="false" t="array" ref="D40:D40">IF(B40="","",IFERROR(INDEX('CLM &amp; IM Mapping'!$C$2:$C$270,MATCH(TRIM(B40),'CLM &amp; IM Mapping'!$A$2:$A$270,0)),"Not Mapped"))</f>
        <v>Un Mapped</v>
      </c>
      <c r="E40" s="14"/>
      <c r="F40" s="14"/>
      <c r="G40" s="14" t="n">
        <v>69</v>
      </c>
      <c r="H40" s="14" t="n">
        <v>69</v>
      </c>
      <c r="I40" s="53" t="n">
        <v>10330.25</v>
      </c>
      <c r="J40" s="11"/>
      <c r="K40" s="11"/>
      <c r="L40" s="23"/>
      <c r="M40" s="23"/>
      <c r="N40" s="23"/>
      <c r="O40" s="23"/>
      <c r="P40" s="23"/>
      <c r="Q40" s="23"/>
      <c r="R40" s="23"/>
      <c r="S40" s="23"/>
      <c r="T40" s="23"/>
      <c r="U40" s="23"/>
      <c r="V40" s="23"/>
      <c r="W40" s="23"/>
      <c r="X40" s="23"/>
      <c r="Y40" s="23"/>
      <c r="Z40" s="23"/>
    </row>
    <row r="41" customFormat="false" ht="15.75" hidden="false" customHeight="true" outlineLevel="0" collapsed="false">
      <c r="A41" s="52" t="n">
        <v>46303</v>
      </c>
      <c r="B41" s="14" t="s">
        <v>405</v>
      </c>
      <c r="C41" s="14" t="str">
        <f aca="false" t="array" ref="C41:C41">IF(B41="","",IFERROR(INDEX('CLM &amp; IM Mapping'!$B$2:$B$270,MATCH(TRIM(B41),'CLM &amp; IM Mapping'!$A$2:$A$270,0)),"Not Mapped"))</f>
        <v>Adhavan Subramani</v>
      </c>
      <c r="D41" s="14" t="str">
        <f aca="false" t="array" ref="D41:D41">IF(B41="","",IFERROR(INDEX('CLM &amp; IM Mapping'!$C$2:$C$270,MATCH(TRIM(B41),'CLM &amp; IM Mapping'!$A$2:$A$270,0)),"Not Mapped"))</f>
        <v>Mohammed Akbar</v>
      </c>
      <c r="E41" s="14"/>
      <c r="F41" s="14" t="n">
        <v>2</v>
      </c>
      <c r="G41" s="14" t="n">
        <v>128</v>
      </c>
      <c r="H41" s="14" t="n">
        <v>130</v>
      </c>
      <c r="I41" s="53" t="n">
        <v>9870.32</v>
      </c>
      <c r="J41" s="12" t="s">
        <v>734</v>
      </c>
      <c r="K41" s="54" t="n">
        <v>0.0416666666666667</v>
      </c>
      <c r="L41" s="23"/>
      <c r="M41" s="23"/>
      <c r="N41" s="23"/>
      <c r="O41" s="23"/>
      <c r="P41" s="23"/>
      <c r="Q41" s="23"/>
      <c r="R41" s="23"/>
      <c r="S41" s="23"/>
      <c r="T41" s="23"/>
      <c r="U41" s="23"/>
      <c r="V41" s="23"/>
      <c r="W41" s="23"/>
      <c r="X41" s="23"/>
      <c r="Y41" s="23"/>
      <c r="Z41" s="23"/>
    </row>
    <row r="42" customFormat="false" ht="15.75" hidden="false" customHeight="true" outlineLevel="0" collapsed="false">
      <c r="A42" s="52" t="n">
        <v>46303</v>
      </c>
      <c r="B42" s="14" t="s">
        <v>317</v>
      </c>
      <c r="C42" s="14" t="str">
        <f aca="false" t="array" ref="C42:C42">IF(B42="","",IFERROR(INDEX('CLM &amp; IM Mapping'!$B$2:$B$270,MATCH(TRIM(B42),'CLM &amp; IM Mapping'!$A$2:$A$270,0)),"Not Mapped"))</f>
        <v>Akshay P</v>
      </c>
      <c r="D42" s="14" t="str">
        <f aca="false" t="array" ref="D42:D42">IF(B42="","",IFERROR(INDEX('CLM &amp; IM Mapping'!$C$2:$C$270,MATCH(TRIM(B42),'CLM &amp; IM Mapping'!$A$2:$A$270,0)),"Not Mapped"))</f>
        <v>Srittam Dhal</v>
      </c>
      <c r="E42" s="14"/>
      <c r="F42" s="14"/>
      <c r="G42" s="14" t="n">
        <v>58</v>
      </c>
      <c r="H42" s="14" t="n">
        <v>58</v>
      </c>
      <c r="I42" s="53" t="n">
        <v>9337.94</v>
      </c>
      <c r="J42" s="11"/>
      <c r="K42" s="11"/>
      <c r="L42" s="23"/>
      <c r="M42" s="23"/>
      <c r="N42" s="23"/>
      <c r="O42" s="23"/>
      <c r="P42" s="23"/>
      <c r="Q42" s="23"/>
      <c r="R42" s="23"/>
      <c r="S42" s="23"/>
      <c r="T42" s="23"/>
      <c r="U42" s="23"/>
      <c r="V42" s="23"/>
      <c r="W42" s="23"/>
      <c r="X42" s="23"/>
      <c r="Y42" s="23"/>
      <c r="Z42" s="23"/>
    </row>
    <row r="43" customFormat="false" ht="15.75" hidden="false" customHeight="true" outlineLevel="0" collapsed="false">
      <c r="A43" s="52" t="n">
        <v>46303</v>
      </c>
      <c r="B43" s="14" t="s">
        <v>398</v>
      </c>
      <c r="C43" s="14" t="str">
        <f aca="false" t="array" ref="C43:C43">IF(B43="","",IFERROR(INDEX('CLM &amp; IM Mapping'!$B$2:$B$270,MATCH(TRIM(B43),'CLM &amp; IM Mapping'!$A$2:$A$270,0)),"Not Mapped"))</f>
        <v>Raghavendra Vernekar</v>
      </c>
      <c r="D43" s="14" t="str">
        <f aca="false" t="array" ref="D43:D43">IF(B43="","",IFERROR(INDEX('CLM &amp; IM Mapping'!$C$2:$C$270,MATCH(TRIM(B43),'CLM &amp; IM Mapping'!$A$2:$A$270,0)),"Not Mapped"))</f>
        <v>Prakash BS</v>
      </c>
      <c r="E43" s="14" t="n">
        <v>69</v>
      </c>
      <c r="F43" s="14"/>
      <c r="G43" s="14" t="n">
        <v>69</v>
      </c>
      <c r="H43" s="14" t="n">
        <v>138</v>
      </c>
      <c r="I43" s="53" t="n">
        <v>9025.76</v>
      </c>
      <c r="J43" s="12" t="s">
        <v>729</v>
      </c>
      <c r="K43" s="11"/>
      <c r="L43" s="23"/>
      <c r="M43" s="23"/>
      <c r="N43" s="23"/>
      <c r="O43" s="23"/>
      <c r="P43" s="23"/>
      <c r="Q43" s="23"/>
      <c r="R43" s="23"/>
      <c r="S43" s="23"/>
      <c r="T43" s="23"/>
      <c r="U43" s="23"/>
      <c r="V43" s="23"/>
      <c r="W43" s="23"/>
      <c r="X43" s="23"/>
      <c r="Y43" s="23"/>
      <c r="Z43" s="23"/>
    </row>
    <row r="44" customFormat="false" ht="15.75" hidden="false" customHeight="true" outlineLevel="0" collapsed="false">
      <c r="A44" s="52" t="n">
        <v>46303</v>
      </c>
      <c r="B44" s="14" t="s">
        <v>564</v>
      </c>
      <c r="C44" s="14" t="str">
        <f aca="false" t="array" ref="C44:C44">IF(B44="","",IFERROR(INDEX('CLM &amp; IM Mapping'!$B$2:$B$270,MATCH(TRIM(B44),'CLM &amp; IM Mapping'!$A$2:$A$270,0)),"Not Mapped"))</f>
        <v>Basil Scariya</v>
      </c>
      <c r="D44" s="14" t="str">
        <f aca="false" t="array" ref="D44:D44">IF(B44="","",IFERROR(INDEX('CLM &amp; IM Mapping'!$C$2:$C$270,MATCH(TRIM(B44),'CLM &amp; IM Mapping'!$A$2:$A$270,0)),"Not Mapped"))</f>
        <v>Prakash BS</v>
      </c>
      <c r="E44" s="14"/>
      <c r="F44" s="14"/>
      <c r="G44" s="14" t="n">
        <v>44</v>
      </c>
      <c r="H44" s="14" t="n">
        <v>44</v>
      </c>
      <c r="I44" s="53" t="n">
        <v>8292.26</v>
      </c>
      <c r="J44" s="12" t="s">
        <v>729</v>
      </c>
      <c r="K44" s="11"/>
      <c r="L44" s="23"/>
      <c r="M44" s="23"/>
      <c r="N44" s="23"/>
      <c r="O44" s="23"/>
      <c r="P44" s="23"/>
      <c r="Q44" s="23"/>
      <c r="R44" s="23"/>
      <c r="S44" s="23"/>
      <c r="T44" s="23"/>
      <c r="U44" s="23"/>
      <c r="V44" s="23"/>
      <c r="W44" s="23"/>
      <c r="X44" s="23"/>
      <c r="Y44" s="23"/>
      <c r="Z44" s="23"/>
    </row>
    <row r="45" customFormat="false" ht="15.75" hidden="false" customHeight="true" outlineLevel="0" collapsed="false">
      <c r="A45" s="52" t="n">
        <v>46303</v>
      </c>
      <c r="B45" s="14" t="s">
        <v>129</v>
      </c>
      <c r="C45" s="14" t="str">
        <f aca="false" t="array" ref="C45:C45">IF(B45="","",IFERROR(INDEX('CLM &amp; IM Mapping'!$B$2:$B$270,MATCH(TRIM(B45),'CLM &amp; IM Mapping'!$A$2:$A$270,0)),"Not Mapped"))</f>
        <v>Ashwath S</v>
      </c>
      <c r="D45" s="14" t="str">
        <f aca="false" t="array" ref="D45:D45">IF(B45="","",IFERROR(INDEX('CLM &amp; IM Mapping'!$C$2:$C$270,MATCH(TRIM(B45),'CLM &amp; IM Mapping'!$A$2:$A$270,0)),"Not Mapped"))</f>
        <v>Kantha Kumar</v>
      </c>
      <c r="E45" s="14"/>
      <c r="F45" s="14"/>
      <c r="G45" s="14" t="n">
        <v>67</v>
      </c>
      <c r="H45" s="14" t="n">
        <v>67</v>
      </c>
      <c r="I45" s="53" t="n">
        <v>8262.07</v>
      </c>
      <c r="J45" s="11"/>
      <c r="K45" s="11"/>
      <c r="L45" s="23"/>
      <c r="M45" s="23"/>
      <c r="N45" s="23"/>
      <c r="O45" s="23"/>
      <c r="P45" s="23"/>
      <c r="Q45" s="23"/>
      <c r="R45" s="23"/>
      <c r="S45" s="23"/>
      <c r="T45" s="23"/>
      <c r="U45" s="23"/>
      <c r="V45" s="23"/>
      <c r="W45" s="23"/>
      <c r="X45" s="23"/>
      <c r="Y45" s="23"/>
      <c r="Z45" s="23"/>
    </row>
    <row r="46" customFormat="false" ht="15.75" hidden="false" customHeight="true" outlineLevel="0" collapsed="false">
      <c r="A46" s="52" t="n">
        <v>46303</v>
      </c>
      <c r="B46" s="14" t="s">
        <v>412</v>
      </c>
      <c r="C46" s="14" t="str">
        <f aca="false" t="array" ref="C46:C46">IF(B46="","",IFERROR(INDEX('CLM &amp; IM Mapping'!$B$2:$B$270,MATCH(TRIM(B46),'CLM &amp; IM Mapping'!$A$2:$A$270,0)),"Not Mapped"))</f>
        <v>Richard Harris</v>
      </c>
      <c r="D46" s="14" t="str">
        <f aca="false" t="array" ref="D46:D46">IF(B46="","",IFERROR(INDEX('CLM &amp; IM Mapping'!$C$2:$C$270,MATCH(TRIM(B46),'CLM &amp; IM Mapping'!$A$2:$A$270,0)),"Not Mapped"))</f>
        <v>Kantha Kumar</v>
      </c>
      <c r="E46" s="14" t="n">
        <v>9</v>
      </c>
      <c r="F46" s="14"/>
      <c r="G46" s="14"/>
      <c r="H46" s="14" t="n">
        <v>9</v>
      </c>
      <c r="I46" s="53" t="n">
        <v>8055.75</v>
      </c>
      <c r="J46" s="11"/>
      <c r="K46" s="11"/>
      <c r="L46" s="23"/>
      <c r="M46" s="23"/>
      <c r="N46" s="23"/>
      <c r="O46" s="23"/>
      <c r="P46" s="23"/>
      <c r="Q46" s="23"/>
      <c r="R46" s="23"/>
      <c r="S46" s="23"/>
      <c r="T46" s="23"/>
      <c r="U46" s="23"/>
      <c r="V46" s="23"/>
      <c r="W46" s="23"/>
      <c r="X46" s="23"/>
      <c r="Y46" s="23"/>
      <c r="Z46" s="23"/>
    </row>
    <row r="47" customFormat="false" ht="15.75" hidden="false" customHeight="true" outlineLevel="0" collapsed="false">
      <c r="A47" s="52" t="n">
        <v>46303</v>
      </c>
      <c r="B47" s="14" t="s">
        <v>29</v>
      </c>
      <c r="C47" s="14" t="str">
        <f aca="false" t="array" ref="C47:C47">IF(B47="","",IFERROR(INDEX('CLM &amp; IM Mapping'!$B$2:$B$270,MATCH(TRIM(B47),'CLM &amp; IM Mapping'!$A$2:$A$270,0)),"Not Mapped"))</f>
        <v>Arun Raj</v>
      </c>
      <c r="D47" s="14" t="str">
        <f aca="false" t="array" ref="D47:D47">IF(B47="","",IFERROR(INDEX('CLM &amp; IM Mapping'!$C$2:$C$270,MATCH(TRIM(B47),'CLM &amp; IM Mapping'!$A$2:$A$270,0)),"Not Mapped"))</f>
        <v>Simon Manoharan</v>
      </c>
      <c r="E47" s="14"/>
      <c r="F47" s="14"/>
      <c r="G47" s="14" t="n">
        <v>30</v>
      </c>
      <c r="H47" s="14" t="n">
        <v>30</v>
      </c>
      <c r="I47" s="53" t="n">
        <v>8012.12</v>
      </c>
      <c r="J47" s="11"/>
      <c r="K47" s="11"/>
      <c r="L47" s="23"/>
      <c r="M47" s="23"/>
      <c r="N47" s="23"/>
      <c r="O47" s="23"/>
      <c r="P47" s="23"/>
      <c r="Q47" s="23"/>
      <c r="R47" s="23"/>
      <c r="S47" s="23"/>
      <c r="T47" s="23"/>
      <c r="U47" s="23"/>
      <c r="V47" s="23"/>
      <c r="W47" s="23"/>
      <c r="X47" s="23"/>
      <c r="Y47" s="23"/>
      <c r="Z47" s="23"/>
    </row>
    <row r="48" customFormat="false" ht="15.75" hidden="false" customHeight="true" outlineLevel="0" collapsed="false">
      <c r="A48" s="52" t="n">
        <v>46303</v>
      </c>
      <c r="B48" s="14" t="s">
        <v>381</v>
      </c>
      <c r="C48" s="14" t="str">
        <f aca="false" t="array" ref="C48:C48">IF(B48="","",IFERROR(INDEX('CLM &amp; IM Mapping'!$B$2:$B$270,MATCH(TRIM(B48),'CLM &amp; IM Mapping'!$A$2:$A$270,0)),"Not Mapped"))</f>
        <v>Balaji G</v>
      </c>
      <c r="D48" s="14" t="str">
        <f aca="false" t="array" ref="D48:D48">IF(B48="","",IFERROR(INDEX('CLM &amp; IM Mapping'!$C$2:$C$270,MATCH(TRIM(B48),'CLM &amp; IM Mapping'!$A$2:$A$270,0)),"Not Mapped"))</f>
        <v>Mohammed Akbar</v>
      </c>
      <c r="E48" s="14" t="n">
        <v>67</v>
      </c>
      <c r="F48" s="14"/>
      <c r="G48" s="14"/>
      <c r="H48" s="14" t="n">
        <v>67</v>
      </c>
      <c r="I48" s="53" t="n">
        <v>6954.88</v>
      </c>
      <c r="J48" s="12" t="s">
        <v>735</v>
      </c>
      <c r="K48" s="54" t="n">
        <v>0.666666666666667</v>
      </c>
      <c r="L48" s="23"/>
      <c r="M48" s="23"/>
      <c r="N48" s="23"/>
      <c r="O48" s="23"/>
      <c r="P48" s="23"/>
      <c r="Q48" s="23"/>
      <c r="R48" s="23"/>
      <c r="S48" s="23"/>
      <c r="T48" s="23"/>
      <c r="U48" s="23"/>
      <c r="V48" s="23"/>
      <c r="W48" s="23"/>
      <c r="X48" s="23"/>
      <c r="Y48" s="23"/>
      <c r="Z48" s="23"/>
    </row>
    <row r="49" customFormat="false" ht="15.75" hidden="false" customHeight="true" outlineLevel="0" collapsed="false">
      <c r="A49" s="52" t="n">
        <v>46303</v>
      </c>
      <c r="B49" s="14" t="s">
        <v>195</v>
      </c>
      <c r="C49" s="14" t="str">
        <f aca="false" t="array" ref="C49:C49">IF(B49="","",IFERROR(INDEX('CLM &amp; IM Mapping'!$B$2:$B$270,MATCH(TRIM(B49),'CLM &amp; IM Mapping'!$A$2:$A$270,0)),"Not Mapped"))</f>
        <v>Adhavan Subramani</v>
      </c>
      <c r="D49" s="14" t="str">
        <f aca="false" t="array" ref="D49:D49">IF(B49="","",IFERROR(INDEX('CLM &amp; IM Mapping'!$C$2:$C$270,MATCH(TRIM(B49),'CLM &amp; IM Mapping'!$A$2:$A$270,0)),"Not Mapped"))</f>
        <v>Mohammed Akbar</v>
      </c>
      <c r="E49" s="14" t="n">
        <v>2</v>
      </c>
      <c r="F49" s="14"/>
      <c r="G49" s="14" t="n">
        <v>39</v>
      </c>
      <c r="H49" s="14" t="n">
        <v>41</v>
      </c>
      <c r="I49" s="53" t="n">
        <v>6943.72</v>
      </c>
      <c r="J49" s="12" t="s">
        <v>736</v>
      </c>
      <c r="K49" s="54" t="n">
        <v>0</v>
      </c>
      <c r="L49" s="23"/>
      <c r="M49" s="23"/>
      <c r="N49" s="23"/>
      <c r="O49" s="23"/>
      <c r="P49" s="23"/>
      <c r="Q49" s="23"/>
      <c r="R49" s="23"/>
      <c r="S49" s="23"/>
      <c r="T49" s="23"/>
      <c r="U49" s="23"/>
      <c r="V49" s="23"/>
      <c r="W49" s="23"/>
      <c r="X49" s="23"/>
      <c r="Y49" s="23"/>
      <c r="Z49" s="23"/>
    </row>
    <row r="50" customFormat="false" ht="15.75" hidden="false" customHeight="true" outlineLevel="0" collapsed="false">
      <c r="A50" s="52" t="n">
        <v>46303</v>
      </c>
      <c r="B50" s="14" t="s">
        <v>175</v>
      </c>
      <c r="C50" s="14" t="str">
        <f aca="false" t="array" ref="C50:C50">IF(B50="","",IFERROR(INDEX('CLM &amp; IM Mapping'!$B$2:$B$270,MATCH(TRIM(B50),'CLM &amp; IM Mapping'!$A$2:$A$270,0)),"Not Mapped"))</f>
        <v>Arun Raj</v>
      </c>
      <c r="D50" s="14" t="str">
        <f aca="false" t="array" ref="D50:D50">IF(B50="","",IFERROR(INDEX('CLM &amp; IM Mapping'!$C$2:$C$270,MATCH(TRIM(B50),'CLM &amp; IM Mapping'!$A$2:$A$270,0)),"Not Mapped"))</f>
        <v>Simon Manoharan</v>
      </c>
      <c r="E50" s="14"/>
      <c r="F50" s="14"/>
      <c r="G50" s="14" t="n">
        <v>26</v>
      </c>
      <c r="H50" s="14" t="n">
        <v>26</v>
      </c>
      <c r="I50" s="53" t="n">
        <v>6287.3</v>
      </c>
      <c r="J50" s="11"/>
      <c r="K50" s="11"/>
      <c r="L50" s="23"/>
      <c r="M50" s="23"/>
      <c r="N50" s="23"/>
      <c r="O50" s="23"/>
      <c r="P50" s="23"/>
      <c r="Q50" s="23"/>
      <c r="R50" s="23"/>
      <c r="S50" s="23"/>
      <c r="T50" s="23"/>
      <c r="U50" s="23"/>
      <c r="V50" s="23"/>
      <c r="W50" s="23"/>
      <c r="X50" s="23"/>
      <c r="Y50" s="23"/>
      <c r="Z50" s="23"/>
    </row>
    <row r="51" customFormat="false" ht="15.75" hidden="false" customHeight="true" outlineLevel="0" collapsed="false">
      <c r="A51" s="52" t="n">
        <v>46303</v>
      </c>
      <c r="B51" s="14" t="s">
        <v>47</v>
      </c>
      <c r="C51" s="14" t="str">
        <f aca="false" t="array" ref="C51:C51">IF(B51="","",IFERROR(INDEX('CLM &amp; IM Mapping'!$B$2:$B$270,MATCH(TRIM(B51),'CLM &amp; IM Mapping'!$A$2:$A$270,0)),"Not Mapped"))</f>
        <v>Saddam Hussain</v>
      </c>
      <c r="D51" s="14" t="str">
        <f aca="false" t="array" ref="D51:D51">IF(B51="","",IFERROR(INDEX('CLM &amp; IM Mapping'!$C$2:$C$270,MATCH(TRIM(B51),'CLM &amp; IM Mapping'!$A$2:$A$270,0)),"Not Mapped"))</f>
        <v>Un Mapped</v>
      </c>
      <c r="E51" s="14"/>
      <c r="F51" s="14"/>
      <c r="G51" s="14" t="n">
        <v>19</v>
      </c>
      <c r="H51" s="14" t="n">
        <v>19</v>
      </c>
      <c r="I51" s="53" t="n">
        <v>6121.96</v>
      </c>
      <c r="J51" s="11"/>
      <c r="K51" s="11"/>
      <c r="L51" s="23"/>
      <c r="M51" s="23"/>
      <c r="N51" s="23"/>
      <c r="O51" s="23"/>
      <c r="P51" s="23"/>
      <c r="Q51" s="23"/>
      <c r="R51" s="23"/>
      <c r="S51" s="23"/>
      <c r="T51" s="23"/>
      <c r="U51" s="23"/>
      <c r="V51" s="23"/>
      <c r="W51" s="23"/>
      <c r="X51" s="23"/>
      <c r="Y51" s="23"/>
      <c r="Z51" s="23"/>
    </row>
    <row r="52" customFormat="false" ht="15.75" hidden="false" customHeight="true" outlineLevel="0" collapsed="false">
      <c r="A52" s="52" t="n">
        <v>46303</v>
      </c>
      <c r="B52" s="14" t="s">
        <v>205</v>
      </c>
      <c r="C52" s="14" t="str">
        <f aca="false" t="array" ref="C52:C52">IF(B52="","",IFERROR(INDEX('CLM &amp; IM Mapping'!$B$2:$B$270,MATCH(TRIM(B52),'CLM &amp; IM Mapping'!$A$2:$A$270,0)),"Not Mapped"))</f>
        <v>Akshay P</v>
      </c>
      <c r="D52" s="14" t="str">
        <f aca="false" t="array" ref="D52:D52">IF(B52="","",IFERROR(INDEX('CLM &amp; IM Mapping'!$C$2:$C$270,MATCH(TRIM(B52),'CLM &amp; IM Mapping'!$A$2:$A$270,0)),"Not Mapped"))</f>
        <v>Srittam Dhal</v>
      </c>
      <c r="E52" s="14"/>
      <c r="F52" s="14" t="n">
        <v>48</v>
      </c>
      <c r="G52" s="14" t="n">
        <v>52</v>
      </c>
      <c r="H52" s="14" t="n">
        <v>100</v>
      </c>
      <c r="I52" s="53" t="n">
        <v>6079.39</v>
      </c>
      <c r="J52" s="11"/>
      <c r="K52" s="11"/>
      <c r="L52" s="23"/>
      <c r="M52" s="23"/>
      <c r="N52" s="23"/>
      <c r="O52" s="23"/>
      <c r="P52" s="23"/>
      <c r="Q52" s="23"/>
      <c r="R52" s="23"/>
      <c r="S52" s="23"/>
      <c r="T52" s="23"/>
      <c r="U52" s="23"/>
      <c r="V52" s="23"/>
      <c r="W52" s="23"/>
      <c r="X52" s="23"/>
      <c r="Y52" s="23"/>
      <c r="Z52" s="23"/>
    </row>
    <row r="53" customFormat="false" ht="15.75" hidden="false" customHeight="true" outlineLevel="0" collapsed="false">
      <c r="A53" s="52" t="n">
        <v>46303</v>
      </c>
      <c r="B53" s="14" t="s">
        <v>490</v>
      </c>
      <c r="C53" s="14" t="str">
        <f aca="false" t="array" ref="C53:C53">IF(B53="","",IFERROR(INDEX('CLM &amp; IM Mapping'!$B$2:$B$270,MATCH(TRIM(B53),'CLM &amp; IM Mapping'!$A$2:$A$270,0)),"Not Mapped"))</f>
        <v>Arun Raj</v>
      </c>
      <c r="D53" s="14" t="str">
        <f aca="false" t="array" ref="D53:D53">IF(B53="","",IFERROR(INDEX('CLM &amp; IM Mapping'!$C$2:$C$270,MATCH(TRIM(B53),'CLM &amp; IM Mapping'!$A$2:$A$270,0)),"Not Mapped"))</f>
        <v>Simon Manoharan</v>
      </c>
      <c r="E53" s="14"/>
      <c r="F53" s="14"/>
      <c r="G53" s="14" t="n">
        <v>35</v>
      </c>
      <c r="H53" s="14" t="n">
        <v>35</v>
      </c>
      <c r="I53" s="53" t="n">
        <v>5858.75</v>
      </c>
      <c r="J53" s="11"/>
      <c r="K53" s="11"/>
      <c r="L53" s="23"/>
      <c r="M53" s="23"/>
      <c r="N53" s="23"/>
      <c r="O53" s="23"/>
      <c r="P53" s="23"/>
      <c r="Q53" s="23"/>
      <c r="R53" s="23"/>
      <c r="S53" s="23"/>
      <c r="T53" s="23"/>
      <c r="U53" s="23"/>
      <c r="V53" s="23"/>
      <c r="W53" s="23"/>
      <c r="X53" s="23"/>
      <c r="Y53" s="23"/>
      <c r="Z53" s="23"/>
    </row>
    <row r="54" customFormat="false" ht="15.75" hidden="false" customHeight="true" outlineLevel="0" collapsed="false">
      <c r="A54" s="52" t="n">
        <v>46303</v>
      </c>
      <c r="B54" s="14" t="s">
        <v>342</v>
      </c>
      <c r="C54" s="14" t="str">
        <f aca="false" t="array" ref="C54:C54">IF(B54="","",IFERROR(INDEX('CLM &amp; IM Mapping'!$B$2:$B$270,MATCH(TRIM(B54),'CLM &amp; IM Mapping'!$A$2:$A$270,0)),"Not Mapped"))</f>
        <v>Saddam Hussain</v>
      </c>
      <c r="D54" s="14" t="str">
        <f aca="false" t="array" ref="D54:D54">IF(B54="","",IFERROR(INDEX('CLM &amp; IM Mapping'!$C$2:$C$270,MATCH(TRIM(B54),'CLM &amp; IM Mapping'!$A$2:$A$270,0)),"Not Mapped"))</f>
        <v>Un Mapped</v>
      </c>
      <c r="E54" s="14"/>
      <c r="F54" s="14"/>
      <c r="G54" s="14" t="n">
        <v>11</v>
      </c>
      <c r="H54" s="14" t="n">
        <v>11</v>
      </c>
      <c r="I54" s="53" t="n">
        <v>5405.32</v>
      </c>
      <c r="J54" s="11"/>
      <c r="K54" s="11"/>
      <c r="L54" s="23"/>
      <c r="M54" s="23"/>
      <c r="N54" s="23"/>
      <c r="O54" s="23"/>
      <c r="P54" s="23"/>
      <c r="Q54" s="23"/>
      <c r="R54" s="23"/>
      <c r="S54" s="23"/>
      <c r="T54" s="23"/>
      <c r="U54" s="23"/>
      <c r="V54" s="23"/>
      <c r="W54" s="23"/>
      <c r="X54" s="23"/>
      <c r="Y54" s="23"/>
      <c r="Z54" s="23"/>
    </row>
    <row r="55" customFormat="false" ht="15.75" hidden="false" customHeight="true" outlineLevel="0" collapsed="false">
      <c r="A55" s="52" t="n">
        <v>46303</v>
      </c>
      <c r="B55" s="14" t="s">
        <v>218</v>
      </c>
      <c r="C55" s="14" t="str">
        <f aca="false" t="array" ref="C55:C55">IF(B55="","",IFERROR(INDEX('CLM &amp; IM Mapping'!$B$2:$B$270,MATCH(TRIM(B55),'CLM &amp; IM Mapping'!$A$2:$A$270,0)),"Not Mapped"))</f>
        <v>Ashwath S</v>
      </c>
      <c r="D55" s="14" t="str">
        <f aca="false" t="array" ref="D55:D55">IF(B55="","",IFERROR(INDEX('CLM &amp; IM Mapping'!$C$2:$C$270,MATCH(TRIM(B55),'CLM &amp; IM Mapping'!$A$2:$A$270,0)),"Not Mapped"))</f>
        <v>Kantha Kumar</v>
      </c>
      <c r="E55" s="14" t="n">
        <v>54</v>
      </c>
      <c r="F55" s="14"/>
      <c r="G55" s="14" t="n">
        <v>7</v>
      </c>
      <c r="H55" s="14" t="n">
        <v>61</v>
      </c>
      <c r="I55" s="53" t="n">
        <v>5404.3</v>
      </c>
      <c r="J55" s="11"/>
      <c r="K55" s="11"/>
      <c r="L55" s="23"/>
      <c r="M55" s="23"/>
      <c r="N55" s="23"/>
      <c r="O55" s="23"/>
      <c r="P55" s="23"/>
      <c r="Q55" s="23"/>
      <c r="R55" s="23"/>
      <c r="S55" s="23"/>
      <c r="T55" s="23"/>
      <c r="U55" s="23"/>
      <c r="V55" s="23"/>
      <c r="W55" s="23"/>
      <c r="X55" s="23"/>
      <c r="Y55" s="23"/>
      <c r="Z55" s="23"/>
    </row>
    <row r="56" customFormat="false" ht="15.75" hidden="false" customHeight="true" outlineLevel="0" collapsed="false">
      <c r="A56" s="52" t="n">
        <v>46303</v>
      </c>
      <c r="B56" s="14" t="s">
        <v>396</v>
      </c>
      <c r="C56" s="14" t="str">
        <f aca="false" t="array" ref="C56:C56">IF(B56="","",IFERROR(INDEX('CLM &amp; IM Mapping'!$B$2:$B$270,MATCH(TRIM(B56),'CLM &amp; IM Mapping'!$A$2:$A$270,0)),"Not Mapped"))</f>
        <v>Ravishankar gowda</v>
      </c>
      <c r="D56" s="14" t="str">
        <f aca="false" t="array" ref="D56:D56">IF(B56="","",IFERROR(INDEX('CLM &amp; IM Mapping'!$C$2:$C$270,MATCH(TRIM(B56),'CLM &amp; IM Mapping'!$A$2:$A$270,0)),"Not Mapped"))</f>
        <v>Kishor K</v>
      </c>
      <c r="E56" s="14"/>
      <c r="F56" s="14"/>
      <c r="G56" s="14" t="n">
        <v>47</v>
      </c>
      <c r="H56" s="14" t="n">
        <v>47</v>
      </c>
      <c r="I56" s="53" t="n">
        <v>5337.87</v>
      </c>
      <c r="J56" s="12" t="s">
        <v>737</v>
      </c>
      <c r="K56" s="12" t="s">
        <v>737</v>
      </c>
      <c r="L56" s="23"/>
      <c r="M56" s="23"/>
      <c r="N56" s="23"/>
      <c r="O56" s="23"/>
      <c r="P56" s="23"/>
      <c r="Q56" s="23"/>
      <c r="R56" s="23"/>
      <c r="S56" s="23"/>
      <c r="T56" s="23"/>
      <c r="U56" s="23"/>
      <c r="V56" s="23"/>
      <c r="W56" s="23"/>
      <c r="X56" s="23"/>
      <c r="Y56" s="23"/>
      <c r="Z56" s="23"/>
    </row>
    <row r="57" customFormat="false" ht="15.75" hidden="false" customHeight="true" outlineLevel="0" collapsed="false">
      <c r="A57" s="52" t="n">
        <v>46303</v>
      </c>
      <c r="B57" s="14" t="s">
        <v>171</v>
      </c>
      <c r="C57" s="14" t="str">
        <f aca="false" t="array" ref="C57:C57">IF(B57="","",IFERROR(INDEX('CLM &amp; IM Mapping'!$B$2:$B$270,MATCH(TRIM(B57),'CLM &amp; IM Mapping'!$A$2:$A$270,0)),"Not Mapped"))</f>
        <v>Ashwath S</v>
      </c>
      <c r="D57" s="14" t="str">
        <f aca="false" t="array" ref="D57:D57">IF(B57="","",IFERROR(INDEX('CLM &amp; IM Mapping'!$C$2:$C$270,MATCH(TRIM(B57),'CLM &amp; IM Mapping'!$A$2:$A$270,0)),"Not Mapped"))</f>
        <v>Kantha Kumar</v>
      </c>
      <c r="E57" s="14"/>
      <c r="F57" s="14"/>
      <c r="G57" s="14" t="n">
        <v>14</v>
      </c>
      <c r="H57" s="14" t="n">
        <v>14</v>
      </c>
      <c r="I57" s="53" t="n">
        <v>5024.04</v>
      </c>
      <c r="J57" s="11"/>
      <c r="K57" s="11"/>
      <c r="L57" s="23"/>
      <c r="M57" s="23"/>
      <c r="N57" s="23"/>
      <c r="O57" s="23"/>
      <c r="P57" s="23"/>
      <c r="Q57" s="23"/>
      <c r="R57" s="23"/>
      <c r="S57" s="23"/>
      <c r="T57" s="23"/>
      <c r="U57" s="23"/>
      <c r="V57" s="23"/>
      <c r="W57" s="23"/>
      <c r="X57" s="23"/>
      <c r="Y57" s="23"/>
      <c r="Z57" s="23"/>
    </row>
    <row r="58" customFormat="false" ht="15.75" hidden="false" customHeight="true" outlineLevel="0" collapsed="false">
      <c r="A58" s="52" t="n">
        <v>46303</v>
      </c>
      <c r="B58" s="14" t="s">
        <v>488</v>
      </c>
      <c r="C58" s="14" t="str">
        <f aca="false" t="array" ref="C58:C58">IF(B58="","",IFERROR(INDEX('CLM &amp; IM Mapping'!$B$2:$B$270,MATCH(TRIM(B58),'CLM &amp; IM Mapping'!$A$2:$A$270,0)),"Not Mapped"))</f>
        <v>Sundaresh S</v>
      </c>
      <c r="D58" s="14" t="str">
        <f aca="false" t="array" ref="D58:D58">IF(B58="","",IFERROR(INDEX('CLM &amp; IM Mapping'!$C$2:$C$270,MATCH(TRIM(B58),'CLM &amp; IM Mapping'!$A$2:$A$270,0)),"Not Mapped"))</f>
        <v>Un Mapped</v>
      </c>
      <c r="E58" s="14" t="n">
        <v>127</v>
      </c>
      <c r="F58" s="14"/>
      <c r="G58" s="14"/>
      <c r="H58" s="14" t="n">
        <v>127</v>
      </c>
      <c r="I58" s="53" t="n">
        <v>4907.14</v>
      </c>
      <c r="J58" s="11"/>
      <c r="K58" s="11"/>
      <c r="L58" s="23"/>
      <c r="M58" s="23"/>
      <c r="N58" s="23"/>
      <c r="O58" s="23"/>
      <c r="P58" s="23"/>
      <c r="Q58" s="23"/>
      <c r="R58" s="23"/>
      <c r="S58" s="23"/>
      <c r="T58" s="23"/>
      <c r="U58" s="23"/>
      <c r="V58" s="23"/>
      <c r="W58" s="23"/>
      <c r="X58" s="23"/>
      <c r="Y58" s="23"/>
      <c r="Z58" s="23"/>
    </row>
    <row r="59" customFormat="false" ht="15.75" hidden="false" customHeight="true" outlineLevel="0" collapsed="false">
      <c r="A59" s="52" t="n">
        <v>46303</v>
      </c>
      <c r="B59" s="14" t="s">
        <v>449</v>
      </c>
      <c r="C59" s="14" t="str">
        <f aca="false" t="array" ref="C59:C59">IF(B59="","",IFERROR(INDEX('CLM &amp; IM Mapping'!$B$2:$B$270,MATCH(TRIM(B59),'CLM &amp; IM Mapping'!$A$2:$A$270,0)),"Not Mapped"))</f>
        <v>Manjunatha V</v>
      </c>
      <c r="D59" s="14" t="str">
        <f aca="false" t="array" ref="D59:D59">IF(B59="","",IFERROR(INDEX('CLM &amp; IM Mapping'!$C$2:$C$270,MATCH(TRIM(B59),'CLM &amp; IM Mapping'!$A$2:$A$270,0)),"Not Mapped"))</f>
        <v>Un Mapped</v>
      </c>
      <c r="E59" s="14"/>
      <c r="F59" s="14" t="n">
        <v>3</v>
      </c>
      <c r="G59" s="14"/>
      <c r="H59" s="14" t="n">
        <v>3</v>
      </c>
      <c r="I59" s="53" t="n">
        <v>4739.25</v>
      </c>
      <c r="J59" s="11"/>
      <c r="K59" s="11"/>
      <c r="L59" s="23"/>
      <c r="M59" s="23"/>
      <c r="N59" s="23"/>
      <c r="O59" s="23"/>
      <c r="P59" s="23"/>
      <c r="Q59" s="23"/>
      <c r="R59" s="23"/>
      <c r="S59" s="23"/>
      <c r="T59" s="23"/>
      <c r="U59" s="23"/>
      <c r="V59" s="23"/>
      <c r="W59" s="23"/>
      <c r="X59" s="23"/>
      <c r="Y59" s="23"/>
      <c r="Z59" s="23"/>
    </row>
    <row r="60" customFormat="false" ht="15.75" hidden="false" customHeight="true" outlineLevel="0" collapsed="false">
      <c r="A60" s="52" t="n">
        <v>46303</v>
      </c>
      <c r="B60" s="14" t="s">
        <v>142</v>
      </c>
      <c r="C60" s="14" t="str">
        <f aca="false" t="array" ref="C60:C60">IF(B60="","",IFERROR(INDEX('CLM &amp; IM Mapping'!$B$2:$B$270,MATCH(TRIM(B60),'CLM &amp; IM Mapping'!$A$2:$A$270,0)),"Not Mapped"))</f>
        <v>Sundaresh S</v>
      </c>
      <c r="D60" s="14" t="str">
        <f aca="false" t="array" ref="D60:D60">IF(B60="","",IFERROR(INDEX('CLM &amp; IM Mapping'!$C$2:$C$270,MATCH(TRIM(B60),'CLM &amp; IM Mapping'!$A$2:$A$270,0)),"Not Mapped"))</f>
        <v>Un Mapped</v>
      </c>
      <c r="E60" s="14"/>
      <c r="F60" s="14"/>
      <c r="G60" s="14" t="n">
        <v>9</v>
      </c>
      <c r="H60" s="14" t="n">
        <v>9</v>
      </c>
      <c r="I60" s="53" t="n">
        <v>4633.28</v>
      </c>
      <c r="J60" s="11"/>
      <c r="K60" s="11"/>
      <c r="L60" s="23"/>
      <c r="M60" s="23"/>
      <c r="N60" s="23"/>
      <c r="O60" s="23"/>
      <c r="P60" s="23"/>
      <c r="Q60" s="23"/>
      <c r="R60" s="23"/>
      <c r="S60" s="23"/>
      <c r="T60" s="23"/>
      <c r="U60" s="23"/>
      <c r="V60" s="23"/>
      <c r="W60" s="23"/>
      <c r="X60" s="23"/>
      <c r="Y60" s="23"/>
      <c r="Z60" s="23"/>
    </row>
    <row r="61" customFormat="false" ht="15.75" hidden="false" customHeight="true" outlineLevel="0" collapsed="false">
      <c r="A61" s="52" t="n">
        <v>46303</v>
      </c>
      <c r="B61" s="14" t="s">
        <v>139</v>
      </c>
      <c r="C61" s="14" t="str">
        <f aca="false" t="array" ref="C61:C61">IF(B61="","",IFERROR(INDEX('CLM &amp; IM Mapping'!$B$2:$B$270,MATCH(TRIM(B61),'CLM &amp; IM Mapping'!$A$2:$A$270,0)),"Not Mapped"))</f>
        <v>Mohaideen DH</v>
      </c>
      <c r="D61" s="14" t="str">
        <f aca="false" t="array" ref="D61:D61">IF(B61="","",IFERROR(INDEX('CLM &amp; IM Mapping'!$C$2:$C$270,MATCH(TRIM(B61),'CLM &amp; IM Mapping'!$A$2:$A$270,0)),"Not Mapped"))</f>
        <v>Mohammed Akbar</v>
      </c>
      <c r="E61" s="14" t="n">
        <v>48</v>
      </c>
      <c r="F61" s="14"/>
      <c r="G61" s="14"/>
      <c r="H61" s="14" t="n">
        <v>48</v>
      </c>
      <c r="I61" s="53" t="n">
        <v>4449.23</v>
      </c>
      <c r="J61" s="12" t="s">
        <v>726</v>
      </c>
      <c r="K61" s="54" t="n">
        <v>0.875</v>
      </c>
      <c r="L61" s="23"/>
      <c r="M61" s="23"/>
      <c r="N61" s="23"/>
      <c r="O61" s="23"/>
      <c r="P61" s="23"/>
      <c r="Q61" s="23"/>
      <c r="R61" s="23"/>
      <c r="S61" s="23"/>
      <c r="T61" s="23"/>
      <c r="U61" s="23"/>
      <c r="V61" s="23"/>
      <c r="W61" s="23"/>
      <c r="X61" s="23"/>
      <c r="Y61" s="23"/>
      <c r="Z61" s="23"/>
    </row>
    <row r="62" customFormat="false" ht="15.75" hidden="false" customHeight="true" outlineLevel="0" collapsed="false">
      <c r="A62" s="52" t="n">
        <v>46303</v>
      </c>
      <c r="B62" s="14" t="s">
        <v>437</v>
      </c>
      <c r="C62" s="14" t="str">
        <f aca="false" t="array" ref="C62:C62">IF(B62="","",IFERROR(INDEX('CLM &amp; IM Mapping'!$B$2:$B$270,MATCH(TRIM(B62),'CLM &amp; IM Mapping'!$A$2:$A$270,0)),"Not Mapped"))</f>
        <v>Balaji G</v>
      </c>
      <c r="D62" s="14" t="str">
        <f aca="false" t="array" ref="D62:D62">IF(B62="","",IFERROR(INDEX('CLM &amp; IM Mapping'!$C$2:$C$270,MATCH(TRIM(B62),'CLM &amp; IM Mapping'!$A$2:$A$270,0)),"Not Mapped"))</f>
        <v>Mohammed Akbar</v>
      </c>
      <c r="E62" s="14"/>
      <c r="F62" s="14"/>
      <c r="G62" s="14" t="n">
        <v>10</v>
      </c>
      <c r="H62" s="14" t="n">
        <v>10</v>
      </c>
      <c r="I62" s="53" t="n">
        <v>4213.19</v>
      </c>
      <c r="J62" s="12" t="s">
        <v>738</v>
      </c>
      <c r="K62" s="54" t="n">
        <v>0.666666666666667</v>
      </c>
      <c r="L62" s="23"/>
      <c r="M62" s="23"/>
      <c r="N62" s="23"/>
      <c r="O62" s="23"/>
      <c r="P62" s="23"/>
      <c r="Q62" s="23"/>
      <c r="R62" s="23"/>
      <c r="S62" s="23"/>
      <c r="T62" s="23"/>
      <c r="U62" s="23"/>
      <c r="V62" s="23"/>
      <c r="W62" s="23"/>
      <c r="X62" s="23"/>
      <c r="Y62" s="23"/>
      <c r="Z62" s="23"/>
    </row>
    <row r="63" customFormat="false" ht="15.75" hidden="false" customHeight="true" outlineLevel="0" collapsed="false">
      <c r="A63" s="52" t="n">
        <v>46303</v>
      </c>
      <c r="B63" s="14" t="s">
        <v>153</v>
      </c>
      <c r="C63" s="14" t="str">
        <f aca="false" t="array" ref="C63:C63">IF(B63="","",IFERROR(INDEX('CLM &amp; IM Mapping'!$B$2:$B$270,MATCH(TRIM(B63),'CLM &amp; IM Mapping'!$A$2:$A$270,0)),"Not Mapped"))</f>
        <v>Ashwath S</v>
      </c>
      <c r="D63" s="14" t="str">
        <f aca="false" t="array" ref="D63:D63">IF(B63="","",IFERROR(INDEX('CLM &amp; IM Mapping'!$C$2:$C$270,MATCH(TRIM(B63),'CLM &amp; IM Mapping'!$A$2:$A$270,0)),"Not Mapped"))</f>
        <v>Kantha Kumar</v>
      </c>
      <c r="E63" s="14"/>
      <c r="F63" s="14"/>
      <c r="G63" s="14" t="n">
        <v>7</v>
      </c>
      <c r="H63" s="14" t="n">
        <v>7</v>
      </c>
      <c r="I63" s="53" t="n">
        <v>4126.03</v>
      </c>
      <c r="J63" s="11"/>
      <c r="K63" s="11"/>
      <c r="L63" s="23"/>
      <c r="M63" s="23"/>
      <c r="N63" s="23"/>
      <c r="O63" s="23"/>
      <c r="P63" s="23"/>
      <c r="Q63" s="23"/>
      <c r="R63" s="23"/>
      <c r="S63" s="23"/>
      <c r="T63" s="23"/>
      <c r="U63" s="23"/>
      <c r="V63" s="23"/>
      <c r="W63" s="23"/>
      <c r="X63" s="23"/>
      <c r="Y63" s="23"/>
      <c r="Z63" s="23"/>
    </row>
    <row r="64" customFormat="false" ht="15.75" hidden="false" customHeight="true" outlineLevel="0" collapsed="false">
      <c r="A64" s="52" t="n">
        <v>46303</v>
      </c>
      <c r="B64" s="14" t="s">
        <v>100</v>
      </c>
      <c r="C64" s="14" t="str">
        <f aca="false" t="array" ref="C64:C64">IF(B64="","",IFERROR(INDEX('CLM &amp; IM Mapping'!$B$2:$B$270,MATCH(TRIM(B64),'CLM &amp; IM Mapping'!$A$2:$A$270,0)),"Not Mapped"))</f>
        <v>Sundaresh S</v>
      </c>
      <c r="D64" s="14" t="str">
        <f aca="false" t="array" ref="D64:D64">IF(B64="","",IFERROR(INDEX('CLM &amp; IM Mapping'!$C$2:$C$270,MATCH(TRIM(B64),'CLM &amp; IM Mapping'!$A$2:$A$270,0)),"Not Mapped"))</f>
        <v>Un Mapped</v>
      </c>
      <c r="E64" s="14"/>
      <c r="F64" s="14" t="n">
        <v>13</v>
      </c>
      <c r="G64" s="14"/>
      <c r="H64" s="14" t="n">
        <v>13</v>
      </c>
      <c r="I64" s="53" t="n">
        <v>3959.47</v>
      </c>
      <c r="J64" s="11"/>
      <c r="K64" s="11"/>
      <c r="L64" s="23"/>
      <c r="M64" s="23"/>
      <c r="N64" s="23"/>
      <c r="O64" s="23"/>
      <c r="P64" s="23"/>
      <c r="Q64" s="23"/>
      <c r="R64" s="23"/>
      <c r="S64" s="23"/>
      <c r="T64" s="23"/>
      <c r="U64" s="23"/>
      <c r="V64" s="23"/>
      <c r="W64" s="23"/>
      <c r="X64" s="23"/>
      <c r="Y64" s="23"/>
      <c r="Z64" s="23"/>
    </row>
    <row r="65" customFormat="false" ht="15.75" hidden="false" customHeight="true" outlineLevel="0" collapsed="false">
      <c r="A65" s="52" t="n">
        <v>46303</v>
      </c>
      <c r="B65" s="14" t="s">
        <v>454</v>
      </c>
      <c r="C65" s="14" t="str">
        <f aca="false" t="array" ref="C65:C65">IF(B65="","",IFERROR(INDEX('CLM &amp; IM Mapping'!$B$2:$B$270,MATCH(TRIM(B65),'CLM &amp; IM Mapping'!$A$2:$A$270,0)),"Not Mapped"))</f>
        <v>Balaji G</v>
      </c>
      <c r="D65" s="14" t="str">
        <f aca="false" t="array" ref="D65:D65">IF(B65="","",IFERROR(INDEX('CLM &amp; IM Mapping'!$C$2:$C$270,MATCH(TRIM(B65),'CLM &amp; IM Mapping'!$A$2:$A$270,0)),"Not Mapped"))</f>
        <v>Mohammed Akbar</v>
      </c>
      <c r="E65" s="14" t="n">
        <v>2</v>
      </c>
      <c r="F65" s="14"/>
      <c r="G65" s="14" t="n">
        <v>11</v>
      </c>
      <c r="H65" s="14" t="n">
        <v>13</v>
      </c>
      <c r="I65" s="53" t="n">
        <v>3875.48</v>
      </c>
      <c r="J65" s="12" t="s">
        <v>739</v>
      </c>
      <c r="K65" s="54" t="n">
        <v>0.666666666666667</v>
      </c>
      <c r="L65" s="23"/>
      <c r="M65" s="23"/>
      <c r="N65" s="23"/>
      <c r="O65" s="23"/>
      <c r="P65" s="23"/>
      <c r="Q65" s="23"/>
      <c r="R65" s="23"/>
      <c r="S65" s="23"/>
      <c r="T65" s="23"/>
      <c r="U65" s="23"/>
      <c r="V65" s="23"/>
      <c r="W65" s="23"/>
      <c r="X65" s="23"/>
      <c r="Y65" s="23"/>
      <c r="Z65" s="23"/>
    </row>
    <row r="66" customFormat="false" ht="15.75" hidden="false" customHeight="true" outlineLevel="0" collapsed="false">
      <c r="A66" s="52" t="n">
        <v>46303</v>
      </c>
      <c r="B66" s="14" t="s">
        <v>521</v>
      </c>
      <c r="C66" s="14" t="str">
        <f aca="false" t="array" ref="C66:C66">IF(B66="","",IFERROR(INDEX('CLM &amp; IM Mapping'!$B$2:$B$270,MATCH(TRIM(B66),'CLM &amp; IM Mapping'!$A$2:$A$270,0)),"Not Mapped"))</f>
        <v>Mohaideen DH</v>
      </c>
      <c r="D66" s="14" t="str">
        <f aca="false" t="array" ref="D66:D66">IF(B66="","",IFERROR(INDEX('CLM &amp; IM Mapping'!$C$2:$C$270,MATCH(TRIM(B66),'CLM &amp; IM Mapping'!$A$2:$A$270,0)),"Not Mapped"))</f>
        <v>Mohammed Akbar</v>
      </c>
      <c r="E66" s="14"/>
      <c r="F66" s="14"/>
      <c r="G66" s="14" t="n">
        <v>71</v>
      </c>
      <c r="H66" s="14" t="n">
        <v>71</v>
      </c>
      <c r="I66" s="53" t="n">
        <v>3855.48</v>
      </c>
      <c r="J66" s="12" t="s">
        <v>726</v>
      </c>
      <c r="K66" s="54" t="n">
        <v>0.708333333333333</v>
      </c>
      <c r="L66" s="23"/>
      <c r="M66" s="23"/>
      <c r="N66" s="23"/>
      <c r="O66" s="23"/>
      <c r="P66" s="23"/>
      <c r="Q66" s="23"/>
      <c r="R66" s="23"/>
      <c r="S66" s="23"/>
      <c r="T66" s="23"/>
      <c r="U66" s="23"/>
      <c r="V66" s="23"/>
      <c r="W66" s="23"/>
      <c r="X66" s="23"/>
      <c r="Y66" s="23"/>
      <c r="Z66" s="23"/>
    </row>
    <row r="67" customFormat="false" ht="15.75" hidden="false" customHeight="true" outlineLevel="0" collapsed="false">
      <c r="A67" s="52" t="n">
        <v>46303</v>
      </c>
      <c r="B67" s="14" t="s">
        <v>357</v>
      </c>
      <c r="C67" s="14" t="str">
        <f aca="false" t="array" ref="C67:C67">IF(B67="","",IFERROR(INDEX('CLM &amp; IM Mapping'!$B$2:$B$270,MATCH(TRIM(B67),'CLM &amp; IM Mapping'!$A$2:$A$270,0)),"Not Mapped"))</f>
        <v>Arun Raj</v>
      </c>
      <c r="D67" s="14" t="str">
        <f aca="false" t="array" ref="D67:D67">IF(B67="","",IFERROR(INDEX('CLM &amp; IM Mapping'!$C$2:$C$270,MATCH(TRIM(B67),'CLM &amp; IM Mapping'!$A$2:$A$270,0)),"Not Mapped"))</f>
        <v>Simon Manoharan</v>
      </c>
      <c r="E67" s="14"/>
      <c r="F67" s="14"/>
      <c r="G67" s="14" t="n">
        <v>17</v>
      </c>
      <c r="H67" s="14" t="n">
        <v>17</v>
      </c>
      <c r="I67" s="53" t="n">
        <v>3817.58</v>
      </c>
      <c r="J67" s="11"/>
      <c r="K67" s="11"/>
      <c r="L67" s="23"/>
      <c r="M67" s="23"/>
      <c r="N67" s="23"/>
      <c r="O67" s="23"/>
      <c r="P67" s="23"/>
      <c r="Q67" s="23"/>
      <c r="R67" s="23"/>
      <c r="S67" s="23"/>
      <c r="T67" s="23"/>
      <c r="U67" s="23"/>
      <c r="V67" s="23"/>
      <c r="W67" s="23"/>
      <c r="X67" s="23"/>
      <c r="Y67" s="23"/>
      <c r="Z67" s="23"/>
    </row>
    <row r="68" customFormat="false" ht="15.75" hidden="false" customHeight="true" outlineLevel="0" collapsed="false">
      <c r="A68" s="52" t="n">
        <v>46303</v>
      </c>
      <c r="B68" s="14" t="s">
        <v>89</v>
      </c>
      <c r="C68" s="14" t="str">
        <f aca="false" t="array" ref="C68:C68">IF(B68="","",IFERROR(INDEX('CLM &amp; IM Mapping'!$B$2:$B$270,MATCH(TRIM(B68),'CLM &amp; IM Mapping'!$A$2:$A$270,0)),"Not Mapped"))</f>
        <v>Raghavendra Vernekar</v>
      </c>
      <c r="D68" s="14" t="str">
        <f aca="false" t="array" ref="D68:D68">IF(B68="","",IFERROR(INDEX('CLM &amp; IM Mapping'!$C$2:$C$270,MATCH(TRIM(B68),'CLM &amp; IM Mapping'!$A$2:$A$270,0)),"Not Mapped"))</f>
        <v>Prakash BS</v>
      </c>
      <c r="E68" s="14" t="n">
        <v>15</v>
      </c>
      <c r="F68" s="14"/>
      <c r="G68" s="14" t="n">
        <v>12</v>
      </c>
      <c r="H68" s="14" t="n">
        <v>27</v>
      </c>
      <c r="I68" s="53" t="n">
        <v>3730.43</v>
      </c>
      <c r="J68" s="12" t="s">
        <v>729</v>
      </c>
      <c r="K68" s="11"/>
      <c r="L68" s="23"/>
      <c r="M68" s="23"/>
      <c r="N68" s="23"/>
      <c r="O68" s="23"/>
      <c r="P68" s="23"/>
      <c r="Q68" s="23"/>
      <c r="R68" s="23"/>
      <c r="S68" s="23"/>
      <c r="T68" s="23"/>
      <c r="U68" s="23"/>
      <c r="V68" s="23"/>
      <c r="W68" s="23"/>
      <c r="X68" s="23"/>
      <c r="Y68" s="23"/>
      <c r="Z68" s="23"/>
    </row>
    <row r="69" customFormat="false" ht="15.75" hidden="false" customHeight="true" outlineLevel="0" collapsed="false">
      <c r="A69" s="52" t="n">
        <v>46303</v>
      </c>
      <c r="B69" s="14" t="s">
        <v>451</v>
      </c>
      <c r="C69" s="14" t="str">
        <f aca="false" t="array" ref="C69:C69">IF(B69="","",IFERROR(INDEX('CLM &amp; IM Mapping'!$B$2:$B$270,MATCH(TRIM(B69),'CLM &amp; IM Mapping'!$A$2:$A$270,0)),"Not Mapped"))</f>
        <v>Ashwath S</v>
      </c>
      <c r="D69" s="14" t="str">
        <f aca="false" t="array" ref="D69:D69">IF(B69="","",IFERROR(INDEX('CLM &amp; IM Mapping'!$C$2:$C$270,MATCH(TRIM(B69),'CLM &amp; IM Mapping'!$A$2:$A$270,0)),"Not Mapped"))</f>
        <v>Kantha Kumar</v>
      </c>
      <c r="E69" s="14"/>
      <c r="F69" s="14"/>
      <c r="G69" s="14" t="n">
        <v>21</v>
      </c>
      <c r="H69" s="14" t="n">
        <v>21</v>
      </c>
      <c r="I69" s="53" t="n">
        <v>3728.64</v>
      </c>
      <c r="J69" s="11"/>
      <c r="K69" s="11"/>
      <c r="L69" s="23"/>
      <c r="M69" s="23"/>
      <c r="N69" s="23"/>
      <c r="O69" s="23"/>
      <c r="P69" s="23"/>
      <c r="Q69" s="23"/>
      <c r="R69" s="23"/>
      <c r="S69" s="23"/>
      <c r="T69" s="23"/>
      <c r="U69" s="23"/>
      <c r="V69" s="23"/>
      <c r="W69" s="23"/>
      <c r="X69" s="23"/>
      <c r="Y69" s="23"/>
      <c r="Z69" s="23"/>
    </row>
    <row r="70" customFormat="false" ht="15.75" hidden="false" customHeight="true" outlineLevel="0" collapsed="false">
      <c r="A70" s="52" t="n">
        <v>46303</v>
      </c>
      <c r="B70" s="14" t="s">
        <v>216</v>
      </c>
      <c r="C70" s="14" t="str">
        <f aca="false" t="array" ref="C70:C70">IF(B70="","",IFERROR(INDEX('CLM &amp; IM Mapping'!$B$2:$B$270,MATCH(TRIM(B70),'CLM &amp; IM Mapping'!$A$2:$A$270,0)),"Not Mapped"))</f>
        <v>Silambarasan E</v>
      </c>
      <c r="D70" s="14" t="str">
        <f aca="false" t="array" ref="D70:D70">IF(B70="","",IFERROR(INDEX('CLM &amp; IM Mapping'!$C$2:$C$270,MATCH(TRIM(B70),'CLM &amp; IM Mapping'!$A$2:$A$270,0)),"Not Mapped"))</f>
        <v>Arivind S</v>
      </c>
      <c r="E70" s="14" t="n">
        <v>17</v>
      </c>
      <c r="F70" s="14" t="n">
        <v>30</v>
      </c>
      <c r="G70" s="14" t="n">
        <v>2</v>
      </c>
      <c r="H70" s="14" t="n">
        <v>49</v>
      </c>
      <c r="I70" s="53" t="n">
        <v>3710.89</v>
      </c>
      <c r="J70" s="11"/>
      <c r="K70" s="11"/>
      <c r="L70" s="23"/>
      <c r="M70" s="23"/>
      <c r="N70" s="23"/>
      <c r="O70" s="23"/>
      <c r="P70" s="23"/>
      <c r="Q70" s="23"/>
      <c r="R70" s="23"/>
      <c r="S70" s="23"/>
      <c r="T70" s="23"/>
      <c r="U70" s="23"/>
      <c r="V70" s="23"/>
      <c r="W70" s="23"/>
      <c r="X70" s="23"/>
      <c r="Y70" s="23"/>
      <c r="Z70" s="23"/>
    </row>
    <row r="71" customFormat="false" ht="15.75" hidden="false" customHeight="true" outlineLevel="0" collapsed="false">
      <c r="A71" s="52" t="n">
        <v>46303</v>
      </c>
      <c r="B71" s="14" t="s">
        <v>272</v>
      </c>
      <c r="C71" s="14" t="str">
        <f aca="false" t="array" ref="C71:C71">IF(B71="","",IFERROR(INDEX('CLM &amp; IM Mapping'!$B$2:$B$270,MATCH(TRIM(B71),'CLM &amp; IM Mapping'!$A$2:$A$270,0)),"Not Mapped"))</f>
        <v>Arun Raj</v>
      </c>
      <c r="D71" s="14" t="str">
        <f aca="false" t="array" ref="D71:D71">IF(B71="","",IFERROR(INDEX('CLM &amp; IM Mapping'!$C$2:$C$270,MATCH(TRIM(B71),'CLM &amp; IM Mapping'!$A$2:$A$270,0)),"Not Mapped"))</f>
        <v>Simon Manoharan</v>
      </c>
      <c r="E71" s="14"/>
      <c r="F71" s="14"/>
      <c r="G71" s="14" t="n">
        <v>19</v>
      </c>
      <c r="H71" s="14" t="n">
        <v>19</v>
      </c>
      <c r="I71" s="53" t="n">
        <v>3706.88</v>
      </c>
      <c r="J71" s="11"/>
      <c r="K71" s="11"/>
      <c r="L71" s="23"/>
      <c r="M71" s="23"/>
      <c r="N71" s="23"/>
      <c r="O71" s="23"/>
      <c r="P71" s="23"/>
      <c r="Q71" s="23"/>
      <c r="R71" s="23"/>
      <c r="S71" s="23"/>
      <c r="T71" s="23"/>
      <c r="U71" s="23"/>
      <c r="V71" s="23"/>
      <c r="W71" s="23"/>
      <c r="X71" s="23"/>
      <c r="Y71" s="23"/>
      <c r="Z71" s="23"/>
    </row>
    <row r="72" customFormat="false" ht="15.75" hidden="false" customHeight="true" outlineLevel="0" collapsed="false">
      <c r="A72" s="52" t="n">
        <v>46303</v>
      </c>
      <c r="B72" s="14" t="s">
        <v>80</v>
      </c>
      <c r="C72" s="14" t="str">
        <f aca="false" t="array" ref="C72:C72">IF(B72="","",IFERROR(INDEX('CLM &amp; IM Mapping'!$B$2:$B$270,MATCH(TRIM(B72),'CLM &amp; IM Mapping'!$A$2:$A$270,0)),"Not Mapped"))</f>
        <v>Sundaresh S</v>
      </c>
      <c r="D72" s="14" t="str">
        <f aca="false" t="array" ref="D72:D72">IF(B72="","",IFERROR(INDEX('CLM &amp; IM Mapping'!$C$2:$C$270,MATCH(TRIM(B72),'CLM &amp; IM Mapping'!$A$2:$A$270,0)),"Not Mapped"))</f>
        <v>Un Mapped</v>
      </c>
      <c r="E72" s="14"/>
      <c r="F72" s="14"/>
      <c r="G72" s="14" t="n">
        <v>38</v>
      </c>
      <c r="H72" s="14" t="n">
        <v>38</v>
      </c>
      <c r="I72" s="53" t="n">
        <v>3684.21</v>
      </c>
      <c r="J72" s="11"/>
      <c r="K72" s="11"/>
      <c r="L72" s="23"/>
      <c r="M72" s="23"/>
      <c r="N72" s="23"/>
      <c r="O72" s="23"/>
      <c r="P72" s="23"/>
      <c r="Q72" s="23"/>
      <c r="R72" s="23"/>
      <c r="S72" s="23"/>
      <c r="T72" s="23"/>
      <c r="U72" s="23"/>
      <c r="V72" s="23"/>
      <c r="W72" s="23"/>
      <c r="X72" s="23"/>
      <c r="Y72" s="23"/>
      <c r="Z72" s="23"/>
    </row>
    <row r="73" customFormat="false" ht="15.75" hidden="false" customHeight="true" outlineLevel="0" collapsed="false">
      <c r="A73" s="52" t="n">
        <v>46303</v>
      </c>
      <c r="B73" s="14" t="s">
        <v>472</v>
      </c>
      <c r="C73" s="14" t="str">
        <f aca="false" t="array" ref="C73:C73">IF(B73="","",IFERROR(INDEX('CLM &amp; IM Mapping'!$B$2:$B$270,MATCH(TRIM(B73),'CLM &amp; IM Mapping'!$A$2:$A$270,0)),"Not Mapped"))</f>
        <v>Bangareppa CS</v>
      </c>
      <c r="D73" s="14" t="str">
        <f aca="false" t="array" ref="D73:D73">IF(B73="","",IFERROR(INDEX('CLM &amp; IM Mapping'!$C$2:$C$270,MATCH(TRIM(B73),'CLM &amp; IM Mapping'!$A$2:$A$270,0)),"Not Mapped"))</f>
        <v>Kishor K</v>
      </c>
      <c r="E73" s="14"/>
      <c r="F73" s="14" t="n">
        <v>59</v>
      </c>
      <c r="G73" s="14" t="n">
        <v>99</v>
      </c>
      <c r="H73" s="14" t="n">
        <v>158</v>
      </c>
      <c r="I73" s="53" t="n">
        <v>3513.86</v>
      </c>
      <c r="J73" s="12" t="s">
        <v>740</v>
      </c>
      <c r="K73" s="12" t="s">
        <v>741</v>
      </c>
      <c r="L73" s="23"/>
      <c r="M73" s="23"/>
      <c r="N73" s="23"/>
      <c r="O73" s="23"/>
      <c r="P73" s="23"/>
      <c r="Q73" s="23"/>
      <c r="R73" s="23"/>
      <c r="S73" s="23"/>
      <c r="T73" s="23"/>
      <c r="U73" s="23"/>
      <c r="V73" s="23"/>
      <c r="W73" s="23"/>
      <c r="X73" s="23"/>
      <c r="Y73" s="23"/>
      <c r="Z73" s="23"/>
    </row>
    <row r="74" customFormat="false" ht="15.75" hidden="false" customHeight="true" outlineLevel="0" collapsed="false">
      <c r="A74" s="52" t="n">
        <v>46303</v>
      </c>
      <c r="B74" s="14" t="s">
        <v>325</v>
      </c>
      <c r="C74" s="14" t="str">
        <f aca="false" t="array" ref="C74:C74">IF(B74="","",IFERROR(INDEX('CLM &amp; IM Mapping'!$B$2:$B$270,MATCH(TRIM(B74),'CLM &amp; IM Mapping'!$A$2:$A$270,0)),"Not Mapped"))</f>
        <v>Santhosha M</v>
      </c>
      <c r="D74" s="14" t="str">
        <f aca="false" t="array" ref="D74:D74">IF(B74="","",IFERROR(INDEX('CLM &amp; IM Mapping'!$C$2:$C$270,MATCH(TRIM(B74),'CLM &amp; IM Mapping'!$A$2:$A$270,0)),"Not Mapped"))</f>
        <v>Aravind S</v>
      </c>
      <c r="E74" s="14"/>
      <c r="F74" s="14"/>
      <c r="G74" s="14" t="n">
        <v>11</v>
      </c>
      <c r="H74" s="14" t="n">
        <v>11</v>
      </c>
      <c r="I74" s="53" t="n">
        <v>3275.33</v>
      </c>
      <c r="J74" s="12" t="s">
        <v>742</v>
      </c>
      <c r="K74" s="11"/>
      <c r="L74" s="23"/>
      <c r="M74" s="23"/>
      <c r="N74" s="23"/>
      <c r="O74" s="23"/>
      <c r="P74" s="23"/>
      <c r="Q74" s="23"/>
      <c r="R74" s="23"/>
      <c r="S74" s="23"/>
      <c r="T74" s="23"/>
      <c r="U74" s="23"/>
      <c r="V74" s="23"/>
      <c r="W74" s="23"/>
      <c r="X74" s="23"/>
      <c r="Y74" s="23"/>
      <c r="Z74" s="23"/>
    </row>
    <row r="75" customFormat="false" ht="15.75" hidden="false" customHeight="true" outlineLevel="0" collapsed="false">
      <c r="A75" s="52" t="n">
        <v>46303</v>
      </c>
      <c r="B75" s="14" t="s">
        <v>296</v>
      </c>
      <c r="C75" s="14" t="str">
        <f aca="false" t="array" ref="C75:C75">IF(B75="","",IFERROR(INDEX('CLM &amp; IM Mapping'!$B$2:$B$270,MATCH(TRIM(B75),'CLM &amp; IM Mapping'!$A$2:$A$270,0)),"Not Mapped"))</f>
        <v>Balaji G</v>
      </c>
      <c r="D75" s="14" t="str">
        <f aca="false" t="array" ref="D75:D75">IF(B75="","",IFERROR(INDEX('CLM &amp; IM Mapping'!$C$2:$C$270,MATCH(TRIM(B75),'CLM &amp; IM Mapping'!$A$2:$A$270,0)),"Not Mapped"))</f>
        <v>Mohammed Akbar</v>
      </c>
      <c r="E75" s="14"/>
      <c r="F75" s="14"/>
      <c r="G75" s="14" t="n">
        <v>17</v>
      </c>
      <c r="H75" s="14" t="n">
        <v>17</v>
      </c>
      <c r="I75" s="53" t="n">
        <v>3153.75</v>
      </c>
      <c r="J75" s="12" t="s">
        <v>736</v>
      </c>
      <c r="K75" s="54" t="n">
        <v>0.75</v>
      </c>
      <c r="L75" s="23"/>
      <c r="M75" s="23"/>
      <c r="N75" s="23"/>
      <c r="O75" s="23"/>
      <c r="P75" s="23"/>
      <c r="Q75" s="23"/>
      <c r="R75" s="23"/>
      <c r="S75" s="23"/>
      <c r="T75" s="23"/>
      <c r="U75" s="23"/>
      <c r="V75" s="23"/>
      <c r="W75" s="23"/>
      <c r="X75" s="23"/>
      <c r="Y75" s="23"/>
      <c r="Z75" s="23"/>
    </row>
    <row r="76" customFormat="false" ht="15.75" hidden="false" customHeight="true" outlineLevel="0" collapsed="false">
      <c r="A76" s="52" t="n">
        <v>46303</v>
      </c>
      <c r="B76" s="14" t="s">
        <v>421</v>
      </c>
      <c r="C76" s="14" t="str">
        <f aca="false" t="array" ref="C76:C76">IF(B76="","",IFERROR(INDEX('CLM &amp; IM Mapping'!$B$2:$B$270,MATCH(TRIM(B76),'CLM &amp; IM Mapping'!$A$2:$A$270,0)),"Not Mapped"))</f>
        <v>Santhosha M</v>
      </c>
      <c r="D76" s="14" t="str">
        <f aca="false" t="array" ref="D76:D76">IF(B76="","",IFERROR(INDEX('CLM &amp; IM Mapping'!$C$2:$C$270,MATCH(TRIM(B76),'CLM &amp; IM Mapping'!$A$2:$A$270,0)),"Not Mapped"))</f>
        <v>Aravind S</v>
      </c>
      <c r="E76" s="14"/>
      <c r="F76" s="14" t="n">
        <v>11</v>
      </c>
      <c r="G76" s="14" t="n">
        <v>5</v>
      </c>
      <c r="H76" s="14" t="n">
        <v>16</v>
      </c>
      <c r="I76" s="53" t="n">
        <v>3112.14</v>
      </c>
      <c r="J76" s="12" t="s">
        <v>743</v>
      </c>
      <c r="K76" s="37" t="n">
        <v>46303</v>
      </c>
      <c r="L76" s="23"/>
      <c r="M76" s="23"/>
      <c r="N76" s="23"/>
      <c r="O76" s="23"/>
      <c r="P76" s="23"/>
      <c r="Q76" s="23"/>
      <c r="R76" s="23"/>
      <c r="S76" s="23"/>
      <c r="T76" s="23"/>
      <c r="U76" s="23"/>
      <c r="V76" s="23"/>
      <c r="W76" s="23"/>
      <c r="X76" s="23"/>
      <c r="Y76" s="23"/>
      <c r="Z76" s="23"/>
    </row>
    <row r="77" customFormat="false" ht="15.75" hidden="false" customHeight="true" outlineLevel="0" collapsed="false">
      <c r="A77" s="52" t="n">
        <v>46303</v>
      </c>
      <c r="B77" s="14" t="s">
        <v>162</v>
      </c>
      <c r="C77" s="14" t="str">
        <f aca="false" t="array" ref="C77:C77">IF(B77="","",IFERROR(INDEX('CLM &amp; IM Mapping'!$B$2:$B$270,MATCH(TRIM(B77),'CLM &amp; IM Mapping'!$A$2:$A$270,0)),"Not Mapped"))</f>
        <v>Ashwath S</v>
      </c>
      <c r="D77" s="14" t="str">
        <f aca="false" t="array" ref="D77:D77">IF(B77="","",IFERROR(INDEX('CLM &amp; IM Mapping'!$C$2:$C$270,MATCH(TRIM(B77),'CLM &amp; IM Mapping'!$A$2:$A$270,0)),"Not Mapped"))</f>
        <v>Kantha Kumar</v>
      </c>
      <c r="E77" s="14"/>
      <c r="F77" s="14"/>
      <c r="G77" s="14" t="n">
        <v>52</v>
      </c>
      <c r="H77" s="14" t="n">
        <v>52</v>
      </c>
      <c r="I77" s="53" t="n">
        <v>3027.07</v>
      </c>
      <c r="J77" s="11"/>
      <c r="K77" s="11"/>
      <c r="L77" s="23"/>
      <c r="M77" s="23"/>
      <c r="N77" s="23"/>
      <c r="O77" s="23"/>
      <c r="P77" s="23"/>
      <c r="Q77" s="23"/>
      <c r="R77" s="23"/>
      <c r="S77" s="23"/>
      <c r="T77" s="23"/>
      <c r="U77" s="23"/>
      <c r="V77" s="23"/>
      <c r="W77" s="23"/>
      <c r="X77" s="23"/>
      <c r="Y77" s="23"/>
      <c r="Z77" s="23"/>
    </row>
    <row r="78" customFormat="false" ht="15.75" hidden="false" customHeight="true" outlineLevel="0" collapsed="false">
      <c r="A78" s="52" t="n">
        <v>46303</v>
      </c>
      <c r="B78" s="14" t="s">
        <v>333</v>
      </c>
      <c r="C78" s="14" t="str">
        <f aca="false" t="array" ref="C78:C78">IF(B78="","",IFERROR(INDEX('CLM &amp; IM Mapping'!$B$2:$B$270,MATCH(TRIM(B78),'CLM &amp; IM Mapping'!$A$2:$A$270,0)),"Not Mapped"))</f>
        <v>Basil Scariya</v>
      </c>
      <c r="D78" s="14" t="str">
        <f aca="false" t="array" ref="D78:D78">IF(B78="","",IFERROR(INDEX('CLM &amp; IM Mapping'!$C$2:$C$270,MATCH(TRIM(B78),'CLM &amp; IM Mapping'!$A$2:$A$270,0)),"Not Mapped"))</f>
        <v>Prakash BS</v>
      </c>
      <c r="E78" s="14"/>
      <c r="F78" s="14"/>
      <c r="G78" s="14" t="n">
        <v>9</v>
      </c>
      <c r="H78" s="14" t="n">
        <v>9</v>
      </c>
      <c r="I78" s="53" t="n">
        <v>2813.68</v>
      </c>
      <c r="J78" s="12" t="s">
        <v>729</v>
      </c>
      <c r="K78" s="11"/>
      <c r="L78" s="23"/>
      <c r="M78" s="23"/>
      <c r="N78" s="23"/>
      <c r="O78" s="23"/>
      <c r="P78" s="23"/>
      <c r="Q78" s="23"/>
      <c r="R78" s="23"/>
      <c r="S78" s="23"/>
      <c r="T78" s="23"/>
      <c r="U78" s="23"/>
      <c r="V78" s="23"/>
      <c r="W78" s="23"/>
      <c r="X78" s="23"/>
      <c r="Y78" s="23"/>
      <c r="Z78" s="23"/>
    </row>
    <row r="79" customFormat="false" ht="15.75" hidden="false" customHeight="true" outlineLevel="0" collapsed="false">
      <c r="A79" s="52" t="n">
        <v>46303</v>
      </c>
      <c r="B79" s="14" t="s">
        <v>219</v>
      </c>
      <c r="C79" s="14" t="str">
        <f aca="false" t="array" ref="C79:C79">IF(B79="","",IFERROR(INDEX('CLM &amp; IM Mapping'!$B$2:$B$270,MATCH(TRIM(B79),'CLM &amp; IM Mapping'!$A$2:$A$270,0)),"Not Mapped"))</f>
        <v>Arun Raj</v>
      </c>
      <c r="D79" s="14" t="str">
        <f aca="false" t="array" ref="D79:D79">IF(B79="","",IFERROR(INDEX('CLM &amp; IM Mapping'!$C$2:$C$270,MATCH(TRIM(B79),'CLM &amp; IM Mapping'!$A$2:$A$270,0)),"Not Mapped"))</f>
        <v>Simon Manoharan</v>
      </c>
      <c r="E79" s="14"/>
      <c r="F79" s="14"/>
      <c r="G79" s="14" t="n">
        <v>14</v>
      </c>
      <c r="H79" s="14" t="n">
        <v>14</v>
      </c>
      <c r="I79" s="53" t="n">
        <v>2672.66</v>
      </c>
      <c r="J79" s="11"/>
      <c r="K79" s="11"/>
      <c r="L79" s="23"/>
      <c r="M79" s="23"/>
      <c r="N79" s="23"/>
      <c r="O79" s="23"/>
      <c r="P79" s="23"/>
      <c r="Q79" s="23"/>
      <c r="R79" s="23"/>
      <c r="S79" s="23"/>
      <c r="T79" s="23"/>
      <c r="U79" s="23"/>
      <c r="V79" s="23"/>
      <c r="W79" s="23"/>
      <c r="X79" s="23"/>
      <c r="Y79" s="23"/>
      <c r="Z79" s="23"/>
    </row>
    <row r="80" customFormat="false" ht="15.75" hidden="false" customHeight="true" outlineLevel="0" collapsed="false">
      <c r="A80" s="52" t="n">
        <v>46303</v>
      </c>
      <c r="B80" s="14" t="s">
        <v>73</v>
      </c>
      <c r="C80" s="14" t="str">
        <f aca="false" t="array" ref="C80:C80">IF(B80="","",IFERROR(INDEX('CLM &amp; IM Mapping'!$B$2:$B$270,MATCH(TRIM(B80),'CLM &amp; IM Mapping'!$A$2:$A$270,0)),"Not Mapped"))</f>
        <v>Narasimhamurthy R</v>
      </c>
      <c r="D80" s="14" t="str">
        <f aca="false" t="array" ref="D80:D80">IF(B80="","",IFERROR(INDEX('CLM &amp; IM Mapping'!$C$2:$C$270,MATCH(TRIM(B80),'CLM &amp; IM Mapping'!$A$2:$A$270,0)),"Not Mapped"))</f>
        <v>Kishor K</v>
      </c>
      <c r="E80" s="14"/>
      <c r="F80" s="14"/>
      <c r="G80" s="14" t="n">
        <v>47</v>
      </c>
      <c r="H80" s="14" t="n">
        <v>47</v>
      </c>
      <c r="I80" s="53" t="n">
        <v>2601.46</v>
      </c>
      <c r="J80" s="12" t="s">
        <v>740</v>
      </c>
      <c r="K80" s="12" t="s">
        <v>741</v>
      </c>
      <c r="L80" s="23"/>
      <c r="M80" s="23"/>
      <c r="N80" s="23"/>
      <c r="O80" s="23"/>
      <c r="P80" s="23"/>
      <c r="Q80" s="23"/>
      <c r="R80" s="23"/>
      <c r="S80" s="23"/>
      <c r="T80" s="23"/>
      <c r="U80" s="23"/>
      <c r="V80" s="23"/>
      <c r="W80" s="23"/>
      <c r="X80" s="23"/>
      <c r="Y80" s="23"/>
      <c r="Z80" s="23"/>
    </row>
    <row r="81" customFormat="false" ht="15.75" hidden="false" customHeight="true" outlineLevel="0" collapsed="false">
      <c r="A81" s="52" t="n">
        <v>46303</v>
      </c>
      <c r="B81" s="14" t="s">
        <v>259</v>
      </c>
      <c r="C81" s="14" t="str">
        <f aca="false" t="array" ref="C81:C81">IF(B81="","",IFERROR(INDEX('CLM &amp; IM Mapping'!$B$2:$B$270,MATCH(TRIM(B81),'CLM &amp; IM Mapping'!$A$2:$A$270,0)),"Not Mapped"))</f>
        <v>Raghavendra Vernekar</v>
      </c>
      <c r="D81" s="14" t="str">
        <f aca="false" t="array" ref="D81:D81">IF(B81="","",IFERROR(INDEX('CLM &amp; IM Mapping'!$C$2:$C$270,MATCH(TRIM(B81),'CLM &amp; IM Mapping'!$A$2:$A$270,0)),"Not Mapped"))</f>
        <v>Prakash BS</v>
      </c>
      <c r="E81" s="14"/>
      <c r="F81" s="14"/>
      <c r="G81" s="14" t="n">
        <v>15</v>
      </c>
      <c r="H81" s="14" t="n">
        <v>15</v>
      </c>
      <c r="I81" s="53" t="n">
        <v>2595.44</v>
      </c>
      <c r="J81" s="12" t="s">
        <v>729</v>
      </c>
      <c r="K81" s="11"/>
      <c r="L81" s="23"/>
      <c r="M81" s="23"/>
      <c r="N81" s="23"/>
      <c r="O81" s="23"/>
      <c r="P81" s="23"/>
      <c r="Q81" s="23"/>
      <c r="R81" s="23"/>
      <c r="S81" s="23"/>
      <c r="T81" s="23"/>
      <c r="U81" s="23"/>
      <c r="V81" s="23"/>
      <c r="W81" s="23"/>
      <c r="X81" s="23"/>
      <c r="Y81" s="23"/>
      <c r="Z81" s="23"/>
    </row>
    <row r="82" customFormat="false" ht="15.75" hidden="false" customHeight="true" outlineLevel="0" collapsed="false">
      <c r="A82" s="52" t="n">
        <v>46303</v>
      </c>
      <c r="B82" s="14" t="s">
        <v>62</v>
      </c>
      <c r="C82" s="14" t="str">
        <f aca="false" t="array" ref="C82:C82">IF(B82="","",IFERROR(INDEX('CLM &amp; IM Mapping'!$B$2:$B$270,MATCH(TRIM(B82),'CLM &amp; IM Mapping'!$A$2:$A$270,0)),"Not Mapped"))</f>
        <v>Basil Scariya</v>
      </c>
      <c r="D82" s="14" t="str">
        <f aca="false" t="array" ref="D82:D82">IF(B82="","",IFERROR(INDEX('CLM &amp; IM Mapping'!$C$2:$C$270,MATCH(TRIM(B82),'CLM &amp; IM Mapping'!$A$2:$A$270,0)),"Not Mapped"))</f>
        <v>Prakash BS</v>
      </c>
      <c r="E82" s="14"/>
      <c r="F82" s="14"/>
      <c r="G82" s="14" t="n">
        <v>17</v>
      </c>
      <c r="H82" s="14" t="n">
        <v>17</v>
      </c>
      <c r="I82" s="53" t="n">
        <v>2532.25</v>
      </c>
      <c r="J82" s="12" t="s">
        <v>729</v>
      </c>
      <c r="K82" s="11"/>
      <c r="L82" s="23"/>
      <c r="M82" s="23"/>
      <c r="N82" s="23"/>
      <c r="O82" s="23"/>
      <c r="P82" s="23"/>
      <c r="Q82" s="23"/>
      <c r="R82" s="23"/>
      <c r="S82" s="23"/>
      <c r="T82" s="23"/>
      <c r="U82" s="23"/>
      <c r="V82" s="23"/>
      <c r="W82" s="23"/>
      <c r="X82" s="23"/>
      <c r="Y82" s="23"/>
      <c r="Z82" s="23"/>
    </row>
    <row r="83" customFormat="false" ht="15.75" hidden="false" customHeight="true" outlineLevel="0" collapsed="false">
      <c r="A83" s="52" t="n">
        <v>46303</v>
      </c>
      <c r="B83" s="14" t="s">
        <v>344</v>
      </c>
      <c r="C83" s="14" t="str">
        <f aca="false" t="array" ref="C83:C83">IF(B83="","",IFERROR(INDEX('CLM &amp; IM Mapping'!$B$2:$B$270,MATCH(TRIM(B83),'CLM &amp; IM Mapping'!$A$2:$A$270,0)),"Not Mapped"))</f>
        <v>Arun Raj</v>
      </c>
      <c r="D83" s="14" t="str">
        <f aca="false" t="array" ref="D83:D83">IF(B83="","",IFERROR(INDEX('CLM &amp; IM Mapping'!$C$2:$C$270,MATCH(TRIM(B83),'CLM &amp; IM Mapping'!$A$2:$A$270,0)),"Not Mapped"))</f>
        <v>Simon Manoharan</v>
      </c>
      <c r="E83" s="14"/>
      <c r="F83" s="14"/>
      <c r="G83" s="14" t="n">
        <v>10</v>
      </c>
      <c r="H83" s="14" t="n">
        <v>10</v>
      </c>
      <c r="I83" s="53" t="n">
        <v>2526.23</v>
      </c>
      <c r="J83" s="11"/>
      <c r="K83" s="11"/>
      <c r="L83" s="23"/>
      <c r="M83" s="23"/>
      <c r="N83" s="23"/>
      <c r="O83" s="23"/>
      <c r="P83" s="23"/>
      <c r="Q83" s="23"/>
      <c r="R83" s="23"/>
      <c r="S83" s="23"/>
      <c r="T83" s="23"/>
      <c r="U83" s="23"/>
      <c r="V83" s="23"/>
      <c r="W83" s="23"/>
      <c r="X83" s="23"/>
      <c r="Y83" s="23"/>
      <c r="Z83" s="23"/>
    </row>
    <row r="84" customFormat="false" ht="15.75" hidden="false" customHeight="true" outlineLevel="0" collapsed="false">
      <c r="A84" s="52" t="n">
        <v>46303</v>
      </c>
      <c r="B84" s="14" t="s">
        <v>468</v>
      </c>
      <c r="C84" s="14" t="str">
        <f aca="false" t="array" ref="C84:C84">IF(B84="","",IFERROR(INDEX('CLM &amp; IM Mapping'!$B$2:$B$270,MATCH(TRIM(B84),'CLM &amp; IM Mapping'!$A$2:$A$270,0)),"Not Mapped"))</f>
        <v>Suhas N</v>
      </c>
      <c r="D84" s="14" t="str">
        <f aca="false" t="array" ref="D84:D84">IF(B84="","",IFERROR(INDEX('CLM &amp; IM Mapping'!$C$2:$C$270,MATCH(TRIM(B84),'CLM &amp; IM Mapping'!$A$2:$A$270,0)),"Not Mapped"))</f>
        <v>Aravind S</v>
      </c>
      <c r="E84" s="14" t="n">
        <v>4</v>
      </c>
      <c r="F84" s="14"/>
      <c r="G84" s="14" t="n">
        <v>43</v>
      </c>
      <c r="H84" s="14" t="n">
        <v>47</v>
      </c>
      <c r="I84" s="53" t="n">
        <v>2432.06</v>
      </c>
      <c r="J84" s="12" t="s">
        <v>743</v>
      </c>
      <c r="K84" s="37" t="n">
        <v>46303</v>
      </c>
      <c r="L84" s="23"/>
      <c r="M84" s="23"/>
      <c r="N84" s="23"/>
      <c r="O84" s="23"/>
      <c r="P84" s="23"/>
      <c r="Q84" s="23"/>
      <c r="R84" s="23"/>
      <c r="S84" s="23"/>
      <c r="T84" s="23"/>
      <c r="U84" s="23"/>
      <c r="V84" s="23"/>
      <c r="W84" s="23"/>
      <c r="X84" s="23"/>
      <c r="Y84" s="23"/>
      <c r="Z84" s="23"/>
    </row>
    <row r="85" customFormat="false" ht="15.75" hidden="false" customHeight="true" outlineLevel="0" collapsed="false">
      <c r="A85" s="52" t="n">
        <v>46303</v>
      </c>
      <c r="B85" s="14" t="s">
        <v>386</v>
      </c>
      <c r="C85" s="14" t="str">
        <f aca="false" t="array" ref="C85:C85">IF(B85="","",IFERROR(INDEX('CLM &amp; IM Mapping'!$B$2:$B$270,MATCH(TRIM(B85),'CLM &amp; IM Mapping'!$A$2:$A$270,0)),"Not Mapped"))</f>
        <v>Arun Raj</v>
      </c>
      <c r="D85" s="14" t="str">
        <f aca="false" t="array" ref="D85:D85">IF(B85="","",IFERROR(INDEX('CLM &amp; IM Mapping'!$C$2:$C$270,MATCH(TRIM(B85),'CLM &amp; IM Mapping'!$A$2:$A$270,0)),"Not Mapped"))</f>
        <v>Simon Manoharan</v>
      </c>
      <c r="E85" s="14"/>
      <c r="F85" s="14"/>
      <c r="G85" s="14" t="n">
        <v>7</v>
      </c>
      <c r="H85" s="14" t="n">
        <v>7</v>
      </c>
      <c r="I85" s="53" t="n">
        <v>2418.21</v>
      </c>
      <c r="J85" s="11"/>
      <c r="K85" s="11"/>
      <c r="L85" s="23"/>
      <c r="M85" s="23"/>
      <c r="N85" s="23"/>
      <c r="O85" s="23"/>
      <c r="P85" s="23"/>
      <c r="Q85" s="23"/>
      <c r="R85" s="23"/>
      <c r="S85" s="23"/>
      <c r="T85" s="23"/>
      <c r="U85" s="23"/>
      <c r="V85" s="23"/>
      <c r="W85" s="23"/>
      <c r="X85" s="23"/>
      <c r="Y85" s="23"/>
      <c r="Z85" s="23"/>
    </row>
    <row r="86" customFormat="false" ht="15.75" hidden="false" customHeight="true" outlineLevel="0" collapsed="false">
      <c r="A86" s="52" t="n">
        <v>46303</v>
      </c>
      <c r="B86" s="14" t="s">
        <v>498</v>
      </c>
      <c r="C86" s="14" t="str">
        <f aca="false" t="array" ref="C86:C86">IF(B86="","",IFERROR(INDEX('CLM &amp; IM Mapping'!$B$2:$B$270,MATCH(TRIM(B86),'CLM &amp; IM Mapping'!$A$2:$A$270,0)),"Not Mapped"))</f>
        <v>Adhavan Subramani</v>
      </c>
      <c r="D86" s="14" t="str">
        <f aca="false" t="array" ref="D86:D86">IF(B86="","",IFERROR(INDEX('CLM &amp; IM Mapping'!$C$2:$C$270,MATCH(TRIM(B86),'CLM &amp; IM Mapping'!$A$2:$A$270,0)),"Not Mapped"))</f>
        <v>Mohammed Akbar</v>
      </c>
      <c r="E86" s="14" t="n">
        <v>6</v>
      </c>
      <c r="F86" s="14" t="n">
        <v>11</v>
      </c>
      <c r="G86" s="14"/>
      <c r="H86" s="14" t="n">
        <v>17</v>
      </c>
      <c r="I86" s="53" t="n">
        <v>2310.71</v>
      </c>
      <c r="J86" s="12" t="s">
        <v>744</v>
      </c>
      <c r="K86" s="54" t="n">
        <v>0.0416666666666667</v>
      </c>
      <c r="L86" s="23"/>
      <c r="M86" s="23"/>
      <c r="N86" s="23"/>
      <c r="O86" s="23"/>
      <c r="P86" s="23"/>
      <c r="Q86" s="23"/>
      <c r="R86" s="23"/>
      <c r="S86" s="23"/>
      <c r="T86" s="23"/>
      <c r="U86" s="23"/>
      <c r="V86" s="23"/>
      <c r="W86" s="23"/>
      <c r="X86" s="23"/>
      <c r="Y86" s="23"/>
      <c r="Z86" s="23"/>
    </row>
    <row r="87" customFormat="false" ht="15.75" hidden="false" customHeight="true" outlineLevel="0" collapsed="false">
      <c r="A87" s="52" t="n">
        <v>46303</v>
      </c>
      <c r="B87" s="14" t="s">
        <v>120</v>
      </c>
      <c r="C87" s="14" t="str">
        <f aca="false" t="array" ref="C87:C87">IF(B87="","",IFERROR(INDEX('CLM &amp; IM Mapping'!$B$2:$B$270,MATCH(TRIM(B87),'CLM &amp; IM Mapping'!$A$2:$A$270,0)),"Not Mapped"))</f>
        <v>Balaji G</v>
      </c>
      <c r="D87" s="14" t="str">
        <f aca="false" t="array" ref="D87:D87">IF(B87="","",IFERROR(INDEX('CLM &amp; IM Mapping'!$C$2:$C$270,MATCH(TRIM(B87),'CLM &amp; IM Mapping'!$A$2:$A$270,0)),"Not Mapped"))</f>
        <v>Mohammed Akbar</v>
      </c>
      <c r="E87" s="14"/>
      <c r="F87" s="14"/>
      <c r="G87" s="14" t="n">
        <v>7</v>
      </c>
      <c r="H87" s="14" t="n">
        <v>7</v>
      </c>
      <c r="I87" s="53" t="n">
        <v>2210.11</v>
      </c>
      <c r="J87" s="12" t="s">
        <v>736</v>
      </c>
      <c r="K87" s="54" t="n">
        <v>0.583333333333333</v>
      </c>
      <c r="L87" s="23"/>
      <c r="M87" s="23"/>
      <c r="N87" s="23"/>
      <c r="O87" s="23"/>
      <c r="P87" s="23"/>
      <c r="Q87" s="23"/>
      <c r="R87" s="23"/>
      <c r="S87" s="23"/>
      <c r="T87" s="23"/>
      <c r="U87" s="23"/>
      <c r="V87" s="23"/>
      <c r="W87" s="23"/>
      <c r="X87" s="23"/>
      <c r="Y87" s="23"/>
      <c r="Z87" s="23"/>
    </row>
    <row r="88" customFormat="false" ht="15.75" hidden="false" customHeight="true" outlineLevel="0" collapsed="false">
      <c r="A88" s="52" t="n">
        <v>46303</v>
      </c>
      <c r="B88" s="14" t="s">
        <v>327</v>
      </c>
      <c r="C88" s="14" t="str">
        <f aca="false" t="array" ref="C88:C88">IF(B88="","",IFERROR(INDEX('CLM &amp; IM Mapping'!$B$2:$B$270,MATCH(TRIM(B88),'CLM &amp; IM Mapping'!$A$2:$A$270,0)),"Not Mapped"))</f>
        <v>Suhas N</v>
      </c>
      <c r="D88" s="14" t="str">
        <f aca="false" t="array" ref="D88:D88">IF(B88="","",IFERROR(INDEX('CLM &amp; IM Mapping'!$C$2:$C$270,MATCH(TRIM(B88),'CLM &amp; IM Mapping'!$A$2:$A$270,0)),"Not Mapped"))</f>
        <v>Aravind S</v>
      </c>
      <c r="E88" s="14"/>
      <c r="F88" s="14" t="n">
        <v>64</v>
      </c>
      <c r="G88" s="14"/>
      <c r="H88" s="14" t="n">
        <v>64</v>
      </c>
      <c r="I88" s="53" t="n">
        <v>2172.76</v>
      </c>
      <c r="J88" s="12" t="s">
        <v>743</v>
      </c>
      <c r="K88" s="37" t="n">
        <v>46303</v>
      </c>
      <c r="L88" s="23"/>
      <c r="M88" s="23"/>
      <c r="N88" s="23"/>
      <c r="O88" s="23"/>
      <c r="P88" s="23"/>
      <c r="Q88" s="23"/>
      <c r="R88" s="23"/>
      <c r="S88" s="23"/>
      <c r="T88" s="23"/>
      <c r="U88" s="23"/>
      <c r="V88" s="23"/>
      <c r="W88" s="23"/>
      <c r="X88" s="23"/>
      <c r="Y88" s="23"/>
      <c r="Z88" s="23"/>
    </row>
    <row r="89" customFormat="false" ht="15.75" hidden="false" customHeight="true" outlineLevel="0" collapsed="false">
      <c r="A89" s="52" t="n">
        <v>46303</v>
      </c>
      <c r="B89" s="14" t="s">
        <v>322</v>
      </c>
      <c r="C89" s="14" t="str">
        <f aca="false" t="array" ref="C89:C89">IF(B89="","",IFERROR(INDEX('CLM &amp; IM Mapping'!$B$2:$B$270,MATCH(TRIM(B89),'CLM &amp; IM Mapping'!$A$2:$A$270,0)),"Not Mapped"))</f>
        <v>Ashwath S</v>
      </c>
      <c r="D89" s="14" t="str">
        <f aca="false" t="array" ref="D89:D89">IF(B89="","",IFERROR(INDEX('CLM &amp; IM Mapping'!$C$2:$C$270,MATCH(TRIM(B89),'CLM &amp; IM Mapping'!$A$2:$A$270,0)),"Not Mapped"))</f>
        <v>Kantha Kumar</v>
      </c>
      <c r="E89" s="14"/>
      <c r="F89" s="14"/>
      <c r="G89" s="14" t="n">
        <v>29</v>
      </c>
      <c r="H89" s="14" t="n">
        <v>29</v>
      </c>
      <c r="I89" s="53" t="n">
        <v>2155.87</v>
      </c>
      <c r="J89" s="11"/>
      <c r="K89" s="11"/>
      <c r="L89" s="23"/>
      <c r="M89" s="23"/>
      <c r="N89" s="23"/>
      <c r="O89" s="23"/>
      <c r="P89" s="23"/>
      <c r="Q89" s="23"/>
      <c r="R89" s="23"/>
      <c r="S89" s="23"/>
      <c r="T89" s="23"/>
      <c r="U89" s="23"/>
      <c r="V89" s="23"/>
      <c r="W89" s="23"/>
      <c r="X89" s="23"/>
      <c r="Y89" s="23"/>
      <c r="Z89" s="23"/>
    </row>
    <row r="90" customFormat="false" ht="15.75" hidden="false" customHeight="true" outlineLevel="0" collapsed="false">
      <c r="A90" s="52" t="n">
        <v>46303</v>
      </c>
      <c r="B90" s="14" t="s">
        <v>508</v>
      </c>
      <c r="C90" s="14" t="str">
        <f aca="false" t="array" ref="C90:C90">IF(B90="","",IFERROR(INDEX('CLM &amp; IM Mapping'!$B$2:$B$270,MATCH(TRIM(B90),'CLM &amp; IM Mapping'!$A$2:$A$270,0)),"Not Mapped"))</f>
        <v>Ravishankar gowda</v>
      </c>
      <c r="D90" s="14" t="str">
        <f aca="false" t="array" ref="D90:D90">IF(B90="","",IFERROR(INDEX('CLM &amp; IM Mapping'!$C$2:$C$270,MATCH(TRIM(B90),'CLM &amp; IM Mapping'!$A$2:$A$270,0)),"Not Mapped"))</f>
        <v>Kishor K</v>
      </c>
      <c r="E90" s="14"/>
      <c r="F90" s="14"/>
      <c r="G90" s="14" t="n">
        <v>6</v>
      </c>
      <c r="H90" s="14" t="n">
        <v>6</v>
      </c>
      <c r="I90" s="53" t="n">
        <v>2007.73</v>
      </c>
      <c r="J90" s="12" t="s">
        <v>745</v>
      </c>
      <c r="K90" s="12" t="s">
        <v>746</v>
      </c>
      <c r="L90" s="23"/>
      <c r="M90" s="23"/>
      <c r="N90" s="23"/>
      <c r="O90" s="23"/>
      <c r="P90" s="23"/>
      <c r="Q90" s="23"/>
      <c r="R90" s="23"/>
      <c r="S90" s="23"/>
      <c r="T90" s="23"/>
      <c r="U90" s="23"/>
      <c r="V90" s="23"/>
      <c r="W90" s="23"/>
      <c r="X90" s="23"/>
      <c r="Y90" s="23"/>
      <c r="Z90" s="23"/>
    </row>
    <row r="91" customFormat="false" ht="15.75" hidden="false" customHeight="true" outlineLevel="0" collapsed="false">
      <c r="A91" s="52" t="n">
        <v>46303</v>
      </c>
      <c r="B91" s="14" t="s">
        <v>364</v>
      </c>
      <c r="C91" s="14" t="str">
        <f aca="false" t="array" ref="C91:C91">IF(B91="","",IFERROR(INDEX('CLM &amp; IM Mapping'!$B$2:$B$270,MATCH(TRIM(B91),'CLM &amp; IM Mapping'!$A$2:$A$270,0)),"Not Mapped"))</f>
        <v>Raghavendra Vernekar</v>
      </c>
      <c r="D91" s="14" t="str">
        <f aca="false" t="array" ref="D91:D91">IF(B91="","",IFERROR(INDEX('CLM &amp; IM Mapping'!$C$2:$C$270,MATCH(TRIM(B91),'CLM &amp; IM Mapping'!$A$2:$A$270,0)),"Not Mapped"))</f>
        <v>Prakash BS</v>
      </c>
      <c r="E91" s="14" t="n">
        <v>5</v>
      </c>
      <c r="F91" s="14"/>
      <c r="G91" s="14" t="n">
        <v>6</v>
      </c>
      <c r="H91" s="14" t="n">
        <v>11</v>
      </c>
      <c r="I91" s="53" t="n">
        <v>1904.4</v>
      </c>
      <c r="J91" s="12" t="s">
        <v>729</v>
      </c>
      <c r="K91" s="11"/>
      <c r="L91" s="23"/>
      <c r="M91" s="23"/>
      <c r="N91" s="23"/>
      <c r="O91" s="23"/>
      <c r="P91" s="23"/>
      <c r="Q91" s="23"/>
      <c r="R91" s="23"/>
      <c r="S91" s="23"/>
      <c r="T91" s="23"/>
      <c r="U91" s="23"/>
      <c r="V91" s="23"/>
      <c r="W91" s="23"/>
      <c r="X91" s="23"/>
      <c r="Y91" s="23"/>
      <c r="Z91" s="23"/>
    </row>
    <row r="92" customFormat="false" ht="15.75" hidden="false" customHeight="true" outlineLevel="0" collapsed="false">
      <c r="A92" s="52" t="n">
        <v>46303</v>
      </c>
      <c r="B92" s="14" t="s">
        <v>518</v>
      </c>
      <c r="C92" s="14" t="str">
        <f aca="false" t="array" ref="C92:C92">IF(B92="","",IFERROR(INDEX('CLM &amp; IM Mapping'!$B$2:$B$270,MATCH(TRIM(B92),'CLM &amp; IM Mapping'!$A$2:$A$270,0)),"Not Mapped"))</f>
        <v>Basil Scariya</v>
      </c>
      <c r="D92" s="14" t="str">
        <f aca="false" t="array" ref="D92:D92">IF(B92="","",IFERROR(INDEX('CLM &amp; IM Mapping'!$C$2:$C$270,MATCH(TRIM(B92),'CLM &amp; IM Mapping'!$A$2:$A$270,0)),"Not Mapped"))</f>
        <v>Prakash BS</v>
      </c>
      <c r="E92" s="14"/>
      <c r="F92" s="14"/>
      <c r="G92" s="14" t="n">
        <v>69</v>
      </c>
      <c r="H92" s="14" t="n">
        <v>69</v>
      </c>
      <c r="I92" s="53" t="n">
        <v>1881.47</v>
      </c>
      <c r="J92" s="12" t="s">
        <v>729</v>
      </c>
      <c r="K92" s="11"/>
      <c r="L92" s="23"/>
      <c r="M92" s="23"/>
      <c r="N92" s="23"/>
      <c r="O92" s="23"/>
      <c r="P92" s="23"/>
      <c r="Q92" s="23"/>
      <c r="R92" s="23"/>
      <c r="S92" s="23"/>
      <c r="T92" s="23"/>
      <c r="U92" s="23"/>
      <c r="V92" s="23"/>
      <c r="W92" s="23"/>
      <c r="X92" s="23"/>
      <c r="Y92" s="23"/>
      <c r="Z92" s="23"/>
    </row>
    <row r="93" customFormat="false" ht="15.75" hidden="false" customHeight="true" outlineLevel="0" collapsed="false">
      <c r="A93" s="52" t="n">
        <v>46303</v>
      </c>
      <c r="B93" s="14" t="s">
        <v>24</v>
      </c>
      <c r="C93" s="14" t="str">
        <f aca="false" t="array" ref="C93:C93">IF(B93="","",IFERROR(INDEX('CLM &amp; IM Mapping'!$B$2:$B$270,MATCH(TRIM(B93),'CLM &amp; IM Mapping'!$A$2:$A$270,0)),"Not Mapped"))</f>
        <v>Arun Raj</v>
      </c>
      <c r="D93" s="14" t="str">
        <f aca="false" t="array" ref="D93:D93">IF(B93="","",IFERROR(INDEX('CLM &amp; IM Mapping'!$C$2:$C$270,MATCH(TRIM(B93),'CLM &amp; IM Mapping'!$A$2:$A$270,0)),"Not Mapped"))</f>
        <v>Simon Manoharan</v>
      </c>
      <c r="E93" s="14"/>
      <c r="F93" s="14"/>
      <c r="G93" s="14" t="n">
        <v>18</v>
      </c>
      <c r="H93" s="14" t="n">
        <v>18</v>
      </c>
      <c r="I93" s="53" t="n">
        <v>1764.67</v>
      </c>
      <c r="J93" s="11"/>
      <c r="K93" s="11"/>
      <c r="L93" s="23"/>
      <c r="M93" s="23"/>
      <c r="N93" s="23"/>
      <c r="O93" s="23"/>
      <c r="P93" s="23"/>
      <c r="Q93" s="23"/>
      <c r="R93" s="23"/>
      <c r="S93" s="23"/>
      <c r="T93" s="23"/>
      <c r="U93" s="23"/>
      <c r="V93" s="23"/>
      <c r="W93" s="23"/>
      <c r="X93" s="23"/>
      <c r="Y93" s="23"/>
      <c r="Z93" s="23"/>
    </row>
    <row r="94" customFormat="false" ht="15.75" hidden="false" customHeight="true" outlineLevel="0" collapsed="false">
      <c r="A94" s="52" t="n">
        <v>46303</v>
      </c>
      <c r="B94" s="14" t="s">
        <v>388</v>
      </c>
      <c r="C94" s="14" t="str">
        <f aca="false" t="array" ref="C94:C94">IF(B94="","",IFERROR(INDEX('CLM &amp; IM Mapping'!$B$2:$B$270,MATCH(TRIM(B94),'CLM &amp; IM Mapping'!$A$2:$A$270,0)),"Not Mapped"))</f>
        <v>Arun Raj</v>
      </c>
      <c r="D94" s="14" t="str">
        <f aca="false" t="array" ref="D94:D94">IF(B94="","",IFERROR(INDEX('CLM &amp; IM Mapping'!$C$2:$C$270,MATCH(TRIM(B94),'CLM &amp; IM Mapping'!$A$2:$A$270,0)),"Not Mapped"))</f>
        <v>Simon Manoharan</v>
      </c>
      <c r="E94" s="14"/>
      <c r="F94" s="14" t="n">
        <v>1</v>
      </c>
      <c r="G94" s="14" t="n">
        <v>3</v>
      </c>
      <c r="H94" s="14" t="n">
        <v>4</v>
      </c>
      <c r="I94" s="53" t="n">
        <v>1723.71</v>
      </c>
      <c r="J94" s="11"/>
      <c r="K94" s="11"/>
      <c r="L94" s="23"/>
      <c r="M94" s="23"/>
      <c r="N94" s="23"/>
      <c r="O94" s="23"/>
      <c r="P94" s="23"/>
      <c r="Q94" s="23"/>
      <c r="R94" s="23"/>
      <c r="S94" s="23"/>
      <c r="T94" s="23"/>
      <c r="U94" s="23"/>
      <c r="V94" s="23"/>
      <c r="W94" s="23"/>
      <c r="X94" s="23"/>
      <c r="Y94" s="23"/>
      <c r="Z94" s="23"/>
    </row>
    <row r="95" customFormat="false" ht="15.75" hidden="false" customHeight="true" outlineLevel="0" collapsed="false">
      <c r="A95" s="52" t="n">
        <v>46303</v>
      </c>
      <c r="B95" s="14" t="s">
        <v>371</v>
      </c>
      <c r="C95" s="14" t="str">
        <f aca="false" t="array" ref="C95:C95">IF(B95="","",IFERROR(INDEX('CLM &amp; IM Mapping'!$B$2:$B$270,MATCH(TRIM(B95),'CLM &amp; IM Mapping'!$A$2:$A$270,0)),"Not Mapped"))</f>
        <v>Akshay P</v>
      </c>
      <c r="D95" s="14" t="str">
        <f aca="false" t="array" ref="D95:D95">IF(B95="","",IFERROR(INDEX('CLM &amp; IM Mapping'!$C$2:$C$270,MATCH(TRIM(B95),'CLM &amp; IM Mapping'!$A$2:$A$270,0)),"Not Mapped"))</f>
        <v>Srittam Dhal</v>
      </c>
      <c r="E95" s="14" t="n">
        <v>42</v>
      </c>
      <c r="F95" s="14"/>
      <c r="G95" s="14"/>
      <c r="H95" s="14" t="n">
        <v>42</v>
      </c>
      <c r="I95" s="53" t="n">
        <v>1628.72</v>
      </c>
      <c r="J95" s="11"/>
      <c r="K95" s="11"/>
      <c r="L95" s="23"/>
      <c r="M95" s="23"/>
      <c r="N95" s="23"/>
      <c r="O95" s="23"/>
      <c r="P95" s="23"/>
      <c r="Q95" s="23"/>
      <c r="R95" s="23"/>
      <c r="S95" s="23"/>
      <c r="T95" s="23"/>
      <c r="U95" s="23"/>
      <c r="V95" s="23"/>
      <c r="W95" s="23"/>
      <c r="X95" s="23"/>
      <c r="Y95" s="23"/>
      <c r="Z95" s="23"/>
    </row>
    <row r="96" customFormat="false" ht="15.75" hidden="false" customHeight="true" outlineLevel="0" collapsed="false">
      <c r="A96" s="52" t="n">
        <v>46303</v>
      </c>
      <c r="B96" s="14" t="s">
        <v>257</v>
      </c>
      <c r="C96" s="14" t="str">
        <f aca="false" t="array" ref="C96:C96">IF(B96="","",IFERROR(INDEX('CLM &amp; IM Mapping'!$B$2:$B$270,MATCH(TRIM(B96),'CLM &amp; IM Mapping'!$A$2:$A$270,0)),"Not Mapped"))</f>
        <v>Raghavendra Vernekar</v>
      </c>
      <c r="D96" s="14" t="str">
        <f aca="false" t="array" ref="D96:D96">IF(B96="","",IFERROR(INDEX('CLM &amp; IM Mapping'!$C$2:$C$270,MATCH(TRIM(B96),'CLM &amp; IM Mapping'!$A$2:$A$270,0)),"Not Mapped"))</f>
        <v>Prakash BS</v>
      </c>
      <c r="E96" s="14"/>
      <c r="F96" s="14"/>
      <c r="G96" s="14" t="n">
        <v>2</v>
      </c>
      <c r="H96" s="14" t="n">
        <v>2</v>
      </c>
      <c r="I96" s="53" t="n">
        <v>1602.13</v>
      </c>
      <c r="J96" s="12" t="s">
        <v>729</v>
      </c>
      <c r="K96" s="11"/>
      <c r="L96" s="23"/>
      <c r="M96" s="23"/>
      <c r="N96" s="23"/>
      <c r="O96" s="23"/>
      <c r="P96" s="23"/>
      <c r="Q96" s="23"/>
      <c r="R96" s="23"/>
      <c r="S96" s="23"/>
      <c r="T96" s="23"/>
      <c r="U96" s="23"/>
      <c r="V96" s="23"/>
      <c r="W96" s="23"/>
      <c r="X96" s="23"/>
      <c r="Y96" s="23"/>
      <c r="Z96" s="23"/>
    </row>
    <row r="97" customFormat="false" ht="15.75" hidden="false" customHeight="true" outlineLevel="0" collapsed="false">
      <c r="A97" s="52" t="n">
        <v>46303</v>
      </c>
      <c r="B97" s="14" t="s">
        <v>159</v>
      </c>
      <c r="C97" s="14" t="str">
        <f aca="false" t="array" ref="C97:C97">IF(B97="","",IFERROR(INDEX('CLM &amp; IM Mapping'!$B$2:$B$270,MATCH(TRIM(B97),'CLM &amp; IM Mapping'!$A$2:$A$270,0)),"Not Mapped"))</f>
        <v>Rizwan Ahmed</v>
      </c>
      <c r="D97" s="14" t="str">
        <f aca="false" t="array" ref="D97:D97">IF(B97="","",IFERROR(INDEX('CLM &amp; IM Mapping'!$C$2:$C$270,MATCH(TRIM(B97),'CLM &amp; IM Mapping'!$A$2:$A$270,0)),"Not Mapped"))</f>
        <v>Un Mapped</v>
      </c>
      <c r="E97" s="14"/>
      <c r="F97" s="14"/>
      <c r="G97" s="14" t="n">
        <v>5</v>
      </c>
      <c r="H97" s="14" t="n">
        <v>5</v>
      </c>
      <c r="I97" s="53" t="n">
        <v>1545.36</v>
      </c>
      <c r="J97" s="11"/>
      <c r="K97" s="11"/>
      <c r="L97" s="23"/>
      <c r="M97" s="23"/>
      <c r="N97" s="23"/>
      <c r="O97" s="23"/>
      <c r="P97" s="23"/>
      <c r="Q97" s="23"/>
      <c r="R97" s="23"/>
      <c r="S97" s="23"/>
      <c r="T97" s="23"/>
      <c r="U97" s="23"/>
      <c r="V97" s="23"/>
      <c r="W97" s="23"/>
      <c r="X97" s="23"/>
      <c r="Y97" s="23"/>
      <c r="Z97" s="23"/>
    </row>
    <row r="98" customFormat="false" ht="15.75" hidden="false" customHeight="true" outlineLevel="0" collapsed="false">
      <c r="A98" s="52" t="n">
        <v>46303</v>
      </c>
      <c r="B98" s="14" t="s">
        <v>92</v>
      </c>
      <c r="C98" s="14" t="str">
        <f aca="false" t="array" ref="C98:C98">IF(B98="","",IFERROR(INDEX('CLM &amp; IM Mapping'!$B$2:$B$270,MATCH(TRIM(B98),'CLM &amp; IM Mapping'!$A$2:$A$270,0)),"Not Mapped"))</f>
        <v>Balaji G</v>
      </c>
      <c r="D98" s="14" t="str">
        <f aca="false" t="array" ref="D98:D98">IF(B98="","",IFERROR(INDEX('CLM &amp; IM Mapping'!$C$2:$C$270,MATCH(TRIM(B98),'CLM &amp; IM Mapping'!$A$2:$A$270,0)),"Not Mapped"))</f>
        <v>Mohammed Akbar</v>
      </c>
      <c r="E98" s="14"/>
      <c r="F98" s="14"/>
      <c r="G98" s="14" t="n">
        <v>6</v>
      </c>
      <c r="H98" s="14" t="n">
        <v>6</v>
      </c>
      <c r="I98" s="53" t="n">
        <v>1426.91</v>
      </c>
      <c r="J98" s="12" t="s">
        <v>739</v>
      </c>
      <c r="K98" s="54" t="n">
        <v>0.708333333333333</v>
      </c>
      <c r="L98" s="23"/>
      <c r="M98" s="23"/>
      <c r="N98" s="23"/>
      <c r="O98" s="23"/>
      <c r="P98" s="23"/>
      <c r="Q98" s="23"/>
      <c r="R98" s="23"/>
      <c r="S98" s="23"/>
      <c r="T98" s="23"/>
      <c r="U98" s="23"/>
      <c r="V98" s="23"/>
      <c r="W98" s="23"/>
      <c r="X98" s="23"/>
      <c r="Y98" s="23"/>
      <c r="Z98" s="23"/>
    </row>
    <row r="99" customFormat="false" ht="15.75" hidden="false" customHeight="true" outlineLevel="0" collapsed="false">
      <c r="A99" s="52" t="n">
        <v>46303</v>
      </c>
      <c r="B99" s="14" t="s">
        <v>465</v>
      </c>
      <c r="C99" s="14" t="str">
        <f aca="false" t="array" ref="C99:C99">IF(B99="","",IFERROR(INDEX('CLM &amp; IM Mapping'!$B$2:$B$270,MATCH(TRIM(B99),'CLM &amp; IM Mapping'!$A$2:$A$270,0)),"Not Mapped"))</f>
        <v>Suhas N</v>
      </c>
      <c r="D99" s="14" t="str">
        <f aca="false" t="array" ref="D99:D99">IF(B99="","",IFERROR(INDEX('CLM &amp; IM Mapping'!$C$2:$C$270,MATCH(TRIM(B99),'CLM &amp; IM Mapping'!$A$2:$A$270,0)),"Not Mapped"))</f>
        <v>Aravind S</v>
      </c>
      <c r="E99" s="14"/>
      <c r="F99" s="14"/>
      <c r="G99" s="14" t="n">
        <v>10</v>
      </c>
      <c r="H99" s="14" t="n">
        <v>10</v>
      </c>
      <c r="I99" s="53" t="n">
        <v>1406.56</v>
      </c>
      <c r="J99" s="11"/>
      <c r="K99" s="11"/>
      <c r="L99" s="23"/>
      <c r="M99" s="23"/>
      <c r="N99" s="23"/>
      <c r="O99" s="23"/>
      <c r="P99" s="23"/>
      <c r="Q99" s="23"/>
      <c r="R99" s="23"/>
      <c r="S99" s="23"/>
      <c r="T99" s="23"/>
      <c r="U99" s="23"/>
      <c r="V99" s="23"/>
      <c r="W99" s="23"/>
      <c r="X99" s="23"/>
      <c r="Y99" s="23"/>
      <c r="Z99" s="23"/>
    </row>
    <row r="100" customFormat="false" ht="15.75" hidden="false" customHeight="true" outlineLevel="0" collapsed="false">
      <c r="A100" s="52" t="n">
        <v>46303</v>
      </c>
      <c r="B100" s="14" t="s">
        <v>390</v>
      </c>
      <c r="C100" s="14" t="str">
        <f aca="false" t="array" ref="C100:C100">IF(B100="","",IFERROR(INDEX('CLM &amp; IM Mapping'!$B$2:$B$270,MATCH(TRIM(B100),'CLM &amp; IM Mapping'!$A$2:$A$270,0)),"Not Mapped"))</f>
        <v>Sundaresh S</v>
      </c>
      <c r="D100" s="14" t="str">
        <f aca="false" t="array" ref="D100:D100">IF(B100="","",IFERROR(INDEX('CLM &amp; IM Mapping'!$C$2:$C$270,MATCH(TRIM(B100),'CLM &amp; IM Mapping'!$A$2:$A$270,0)),"Not Mapped"))</f>
        <v>Un Mapped</v>
      </c>
      <c r="E100" s="14" t="n">
        <v>20</v>
      </c>
      <c r="F100" s="14"/>
      <c r="G100" s="14"/>
      <c r="H100" s="14" t="n">
        <v>20</v>
      </c>
      <c r="I100" s="53" t="n">
        <v>1247.18</v>
      </c>
      <c r="J100" s="11"/>
      <c r="K100" s="11"/>
      <c r="L100" s="23"/>
      <c r="M100" s="23"/>
      <c r="N100" s="23"/>
      <c r="O100" s="23"/>
      <c r="P100" s="23"/>
      <c r="Q100" s="23"/>
      <c r="R100" s="23"/>
      <c r="S100" s="23"/>
      <c r="T100" s="23"/>
      <c r="U100" s="23"/>
      <c r="V100" s="23"/>
      <c r="W100" s="23"/>
      <c r="X100" s="23"/>
      <c r="Y100" s="23"/>
      <c r="Z100" s="23"/>
    </row>
    <row r="101" customFormat="false" ht="15.75" hidden="false" customHeight="true" outlineLevel="0" collapsed="false">
      <c r="A101" s="52" t="n">
        <v>46303</v>
      </c>
      <c r="B101" s="14" t="s">
        <v>425</v>
      </c>
      <c r="C101" s="14" t="str">
        <f aca="false" t="array" ref="C101:C101">IF(B101="","",IFERROR(INDEX('CLM &amp; IM Mapping'!$B$2:$B$270,MATCH(TRIM(B101),'CLM &amp; IM Mapping'!$A$2:$A$270,0)),"Not Mapped"))</f>
        <v>Santhosha M</v>
      </c>
      <c r="D101" s="14" t="str">
        <f aca="false" t="array" ref="D101:D101">IF(B101="","",IFERROR(INDEX('CLM &amp; IM Mapping'!$C$2:$C$270,MATCH(TRIM(B101),'CLM &amp; IM Mapping'!$A$2:$A$270,0)),"Not Mapped"))</f>
        <v>Aravind S</v>
      </c>
      <c r="E101" s="14"/>
      <c r="F101" s="14"/>
      <c r="G101" s="14" t="n">
        <v>7</v>
      </c>
      <c r="H101" s="14" t="n">
        <v>7</v>
      </c>
      <c r="I101" s="53" t="n">
        <v>1153.61</v>
      </c>
      <c r="J101" s="11"/>
      <c r="K101" s="11"/>
      <c r="L101" s="23"/>
      <c r="M101" s="23"/>
      <c r="N101" s="23"/>
      <c r="O101" s="23"/>
      <c r="P101" s="23"/>
      <c r="Q101" s="23"/>
      <c r="R101" s="23"/>
      <c r="S101" s="23"/>
      <c r="T101" s="23"/>
      <c r="U101" s="23"/>
      <c r="V101" s="23"/>
      <c r="W101" s="23"/>
      <c r="X101" s="23"/>
      <c r="Y101" s="23"/>
      <c r="Z101" s="23"/>
    </row>
    <row r="102" customFormat="false" ht="15.75" hidden="false" customHeight="true" outlineLevel="0" collapsed="false">
      <c r="A102" s="52" t="n">
        <v>46303</v>
      </c>
      <c r="B102" s="14" t="s">
        <v>397</v>
      </c>
      <c r="C102" s="14" t="str">
        <f aca="false" t="array" ref="C102:C102">IF(B102="","",IFERROR(INDEX('CLM &amp; IM Mapping'!$B$2:$B$270,MATCH(TRIM(B102),'CLM &amp; IM Mapping'!$A$2:$A$270,0)),"Not Mapped"))</f>
        <v>Akshay P</v>
      </c>
      <c r="D102" s="14" t="str">
        <f aca="false" t="array" ref="D102:D102">IF(B102="","",IFERROR(INDEX('CLM &amp; IM Mapping'!$C$2:$C$270,MATCH(TRIM(B102),'CLM &amp; IM Mapping'!$A$2:$A$270,0)),"Not Mapped"))</f>
        <v>Srittam Dhal</v>
      </c>
      <c r="E102" s="14" t="n">
        <v>53</v>
      </c>
      <c r="F102" s="14"/>
      <c r="G102" s="14"/>
      <c r="H102" s="14" t="n">
        <v>53</v>
      </c>
      <c r="I102" s="53" t="n">
        <v>1060.28</v>
      </c>
      <c r="J102" s="11"/>
      <c r="K102" s="11"/>
      <c r="L102" s="23"/>
      <c r="M102" s="23"/>
      <c r="N102" s="23"/>
      <c r="O102" s="23"/>
      <c r="P102" s="23"/>
      <c r="Q102" s="23"/>
      <c r="R102" s="23"/>
      <c r="S102" s="23"/>
      <c r="T102" s="23"/>
      <c r="U102" s="23"/>
      <c r="V102" s="23"/>
      <c r="W102" s="23"/>
      <c r="X102" s="23"/>
      <c r="Y102" s="23"/>
      <c r="Z102" s="23"/>
    </row>
    <row r="103" customFormat="false" ht="15.75" hidden="false" customHeight="true" outlineLevel="0" collapsed="false">
      <c r="A103" s="52" t="n">
        <v>46303</v>
      </c>
      <c r="B103" s="14" t="s">
        <v>311</v>
      </c>
      <c r="C103" s="14" t="str">
        <f aca="false" t="array" ref="C103:C103">IF(B103="","",IFERROR(INDEX('CLM &amp; IM Mapping'!$B$2:$B$270,MATCH(TRIM(B103),'CLM &amp; IM Mapping'!$A$2:$A$270,0)),"Not Mapped"))</f>
        <v>Manjunatha V</v>
      </c>
      <c r="D103" s="14" t="str">
        <f aca="false" t="array" ref="D103:D103">IF(B103="","",IFERROR(INDEX('CLM &amp; IM Mapping'!$C$2:$C$270,MATCH(TRIM(B103),'CLM &amp; IM Mapping'!$A$2:$A$270,0)),"Not Mapped"))</f>
        <v>Un Mapped</v>
      </c>
      <c r="E103" s="14" t="n">
        <v>6</v>
      </c>
      <c r="F103" s="14"/>
      <c r="G103" s="14" t="n">
        <v>1</v>
      </c>
      <c r="H103" s="14" t="n">
        <v>7</v>
      </c>
      <c r="I103" s="53" t="n">
        <v>1025.28</v>
      </c>
      <c r="J103" s="11"/>
      <c r="K103" s="11"/>
      <c r="L103" s="23"/>
      <c r="M103" s="23"/>
      <c r="N103" s="23"/>
      <c r="O103" s="23"/>
      <c r="P103" s="23"/>
      <c r="Q103" s="23"/>
      <c r="R103" s="23"/>
      <c r="S103" s="23"/>
      <c r="T103" s="23"/>
      <c r="U103" s="23"/>
      <c r="V103" s="23"/>
      <c r="W103" s="23"/>
      <c r="X103" s="23"/>
      <c r="Y103" s="23"/>
      <c r="Z103" s="23"/>
    </row>
    <row r="104" customFormat="false" ht="15.75" hidden="false" customHeight="true" outlineLevel="0" collapsed="false">
      <c r="A104" s="52" t="n">
        <v>46303</v>
      </c>
      <c r="B104" s="14" t="s">
        <v>118</v>
      </c>
      <c r="C104" s="14" t="str">
        <f aca="false" t="array" ref="C104:C104">IF(B104="","",IFERROR(INDEX('CLM &amp; IM Mapping'!$B$2:$B$270,MATCH(TRIM(B104),'CLM &amp; IM Mapping'!$A$2:$A$270,0)),"Not Mapped"))</f>
        <v>Adhavan Subramani</v>
      </c>
      <c r="D104" s="14" t="str">
        <f aca="false" t="array" ref="D104:D104">IF(B104="","",IFERROR(INDEX('CLM &amp; IM Mapping'!$C$2:$C$270,MATCH(TRIM(B104),'CLM &amp; IM Mapping'!$A$2:$A$270,0)),"Not Mapped"))</f>
        <v>Mohammed Akbar</v>
      </c>
      <c r="E104" s="14"/>
      <c r="F104" s="14"/>
      <c r="G104" s="14" t="n">
        <v>15</v>
      </c>
      <c r="H104" s="14" t="n">
        <v>15</v>
      </c>
      <c r="I104" s="53" t="n">
        <v>1012.41</v>
      </c>
      <c r="J104" s="12" t="s">
        <v>736</v>
      </c>
      <c r="K104" s="54" t="n">
        <v>0.0833333333333333</v>
      </c>
      <c r="L104" s="23"/>
      <c r="M104" s="23"/>
      <c r="N104" s="23"/>
      <c r="O104" s="23"/>
      <c r="P104" s="23"/>
      <c r="Q104" s="23"/>
      <c r="R104" s="23"/>
      <c r="S104" s="23"/>
      <c r="T104" s="23"/>
      <c r="U104" s="23"/>
      <c r="V104" s="23"/>
      <c r="W104" s="23"/>
      <c r="X104" s="23"/>
      <c r="Y104" s="23"/>
      <c r="Z104" s="23"/>
    </row>
    <row r="105" customFormat="false" ht="15.75" hidden="false" customHeight="true" outlineLevel="0" collapsed="false">
      <c r="A105" s="52" t="n">
        <v>46303</v>
      </c>
      <c r="B105" s="14" t="s">
        <v>184</v>
      </c>
      <c r="C105" s="14" t="str">
        <f aca="false" t="array" ref="C105:C105">IF(B105="","",IFERROR(INDEX('CLM &amp; IM Mapping'!$B$2:$B$270,MATCH(TRIM(B105),'CLM &amp; IM Mapping'!$A$2:$A$270,0)),"Not Mapped"))</f>
        <v>Richard Harris</v>
      </c>
      <c r="D105" s="14" t="str">
        <f aca="false" t="array" ref="D105:D105">IF(B105="","",IFERROR(INDEX('CLM &amp; IM Mapping'!$C$2:$C$270,MATCH(TRIM(B105),'CLM &amp; IM Mapping'!$A$2:$A$270,0)),"Not Mapped"))</f>
        <v>Kantha Kumar</v>
      </c>
      <c r="E105" s="14"/>
      <c r="F105" s="14"/>
      <c r="G105" s="14" t="n">
        <v>2</v>
      </c>
      <c r="H105" s="14" t="n">
        <v>2</v>
      </c>
      <c r="I105" s="53" t="n">
        <v>829.34</v>
      </c>
      <c r="J105" s="11"/>
      <c r="K105" s="11"/>
      <c r="L105" s="23"/>
      <c r="M105" s="23"/>
      <c r="N105" s="23"/>
      <c r="O105" s="23"/>
      <c r="P105" s="23"/>
      <c r="Q105" s="23"/>
      <c r="R105" s="23"/>
      <c r="S105" s="23"/>
      <c r="T105" s="23"/>
      <c r="U105" s="23"/>
      <c r="V105" s="23"/>
      <c r="W105" s="23"/>
      <c r="X105" s="23"/>
      <c r="Y105" s="23"/>
      <c r="Z105" s="23"/>
    </row>
    <row r="106" customFormat="false" ht="15.75" hidden="false" customHeight="true" outlineLevel="0" collapsed="false">
      <c r="A106" s="52" t="n">
        <v>46303</v>
      </c>
      <c r="B106" s="14" t="s">
        <v>441</v>
      </c>
      <c r="C106" s="14" t="str">
        <f aca="false" t="array" ref="C106:C106">IF(B106="","",IFERROR(INDEX('CLM &amp; IM Mapping'!$B$2:$B$270,MATCH(TRIM(B106),'CLM &amp; IM Mapping'!$A$2:$A$270,0)),"Not Mapped"))</f>
        <v>Vijay M</v>
      </c>
      <c r="D106" s="14" t="str">
        <f aca="false" t="array" ref="D106:D106">IF(B106="","",IFERROR(INDEX('CLM &amp; IM Mapping'!$C$2:$C$270,MATCH(TRIM(B106),'CLM &amp; IM Mapping'!$A$2:$A$270,0)),"Not Mapped"))</f>
        <v>Kantha Kumar</v>
      </c>
      <c r="E106" s="14"/>
      <c r="F106" s="14"/>
      <c r="G106" s="14" t="n">
        <v>11</v>
      </c>
      <c r="H106" s="14" t="n">
        <v>11</v>
      </c>
      <c r="I106" s="53" t="n">
        <v>767.93</v>
      </c>
      <c r="J106" s="11"/>
      <c r="K106" s="11"/>
      <c r="L106" s="23"/>
      <c r="M106" s="23"/>
      <c r="N106" s="23"/>
      <c r="O106" s="23"/>
      <c r="P106" s="23"/>
      <c r="Q106" s="23"/>
      <c r="R106" s="23"/>
      <c r="S106" s="23"/>
      <c r="T106" s="23"/>
      <c r="U106" s="23"/>
      <c r="V106" s="23"/>
      <c r="W106" s="23"/>
      <c r="X106" s="23"/>
      <c r="Y106" s="23"/>
      <c r="Z106" s="23"/>
    </row>
    <row r="107" customFormat="false" ht="15.75" hidden="false" customHeight="true" outlineLevel="0" collapsed="false">
      <c r="A107" s="52" t="n">
        <v>46303</v>
      </c>
      <c r="B107" s="14" t="s">
        <v>53</v>
      </c>
      <c r="C107" s="14" t="str">
        <f aca="false" t="array" ref="C107:C107">IF(B107="","",IFERROR(INDEX('CLM &amp; IM Mapping'!$B$2:$B$270,MATCH(TRIM(B107),'CLM &amp; IM Mapping'!$A$2:$A$270,0)),"Not Mapped"))</f>
        <v>Richard Harris</v>
      </c>
      <c r="D107" s="14" t="str">
        <f aca="false" t="array" ref="D107:D107">IF(B107="","",IFERROR(INDEX('CLM &amp; IM Mapping'!$C$2:$C$270,MATCH(TRIM(B107),'CLM &amp; IM Mapping'!$A$2:$A$270,0)),"Not Mapped"))</f>
        <v>Kantha Kumar</v>
      </c>
      <c r="E107" s="14"/>
      <c r="F107" s="14"/>
      <c r="G107" s="14" t="n">
        <v>7</v>
      </c>
      <c r="H107" s="14" t="n">
        <v>7</v>
      </c>
      <c r="I107" s="53" t="n">
        <v>756.44</v>
      </c>
      <c r="J107" s="11"/>
      <c r="K107" s="11"/>
      <c r="L107" s="23"/>
      <c r="M107" s="23"/>
      <c r="N107" s="23"/>
      <c r="O107" s="23"/>
      <c r="P107" s="23"/>
      <c r="Q107" s="23"/>
      <c r="R107" s="23"/>
      <c r="S107" s="23"/>
      <c r="T107" s="23"/>
      <c r="U107" s="23"/>
      <c r="V107" s="23"/>
      <c r="W107" s="23"/>
      <c r="X107" s="23"/>
      <c r="Y107" s="23"/>
      <c r="Z107" s="23"/>
    </row>
    <row r="108" customFormat="false" ht="15.75" hidden="false" customHeight="true" outlineLevel="0" collapsed="false">
      <c r="A108" s="52" t="n">
        <v>46303</v>
      </c>
      <c r="B108" s="14" t="s">
        <v>189</v>
      </c>
      <c r="C108" s="14" t="str">
        <f aca="false" t="array" ref="C108:C108">IF(B108="","",IFERROR(INDEX('CLM &amp; IM Mapping'!$B$2:$B$270,MATCH(TRIM(B108),'CLM &amp; IM Mapping'!$A$2:$A$270,0)),"Not Mapped"))</f>
        <v>Girish N</v>
      </c>
      <c r="D108" s="14" t="str">
        <f aca="false" t="array" ref="D108:D108">IF(B108="","",IFERROR(INDEX('CLM &amp; IM Mapping'!$C$2:$C$270,MATCH(TRIM(B108),'CLM &amp; IM Mapping'!$A$2:$A$270,0)),"Not Mapped"))</f>
        <v>Un Mapped</v>
      </c>
      <c r="E108" s="14"/>
      <c r="F108" s="14"/>
      <c r="G108" s="14" t="n">
        <v>9</v>
      </c>
      <c r="H108" s="14" t="n">
        <v>9</v>
      </c>
      <c r="I108" s="53" t="n">
        <v>714.71</v>
      </c>
      <c r="J108" s="11"/>
      <c r="K108" s="11"/>
      <c r="L108" s="23"/>
      <c r="M108" s="23"/>
      <c r="N108" s="23"/>
      <c r="O108" s="23"/>
      <c r="P108" s="23"/>
      <c r="Q108" s="23"/>
      <c r="R108" s="23"/>
      <c r="S108" s="23"/>
      <c r="T108" s="23"/>
      <c r="U108" s="23"/>
      <c r="V108" s="23"/>
      <c r="W108" s="23"/>
      <c r="X108" s="23"/>
      <c r="Y108" s="23"/>
      <c r="Z108" s="23"/>
    </row>
    <row r="109" customFormat="false" ht="15.75" hidden="false" customHeight="true" outlineLevel="0" collapsed="false">
      <c r="A109" s="52" t="n">
        <v>46303</v>
      </c>
      <c r="B109" s="14" t="s">
        <v>395</v>
      </c>
      <c r="C109" s="14" t="str">
        <f aca="false" t="array" ref="C109:C109">IF(B109="","",IFERROR(INDEX('CLM &amp; IM Mapping'!$B$2:$B$270,MATCH(TRIM(B109),'CLM &amp; IM Mapping'!$A$2:$A$270,0)),"Not Mapped"))</f>
        <v>Bangareppa CS</v>
      </c>
      <c r="D109" s="14" t="str">
        <f aca="false" t="array" ref="D109:D109">IF(B109="","",IFERROR(INDEX('CLM &amp; IM Mapping'!$C$2:$C$270,MATCH(TRIM(B109),'CLM &amp; IM Mapping'!$A$2:$A$270,0)),"Not Mapped"))</f>
        <v>Kishor K</v>
      </c>
      <c r="E109" s="14" t="n">
        <v>7</v>
      </c>
      <c r="F109" s="14"/>
      <c r="G109" s="14"/>
      <c r="H109" s="14" t="n">
        <v>7</v>
      </c>
      <c r="I109" s="53" t="n">
        <v>701.09</v>
      </c>
      <c r="J109" s="12" t="s">
        <v>747</v>
      </c>
      <c r="K109" s="12" t="s">
        <v>741</v>
      </c>
      <c r="L109" s="23"/>
      <c r="M109" s="23"/>
      <c r="N109" s="23"/>
      <c r="O109" s="23"/>
      <c r="P109" s="23"/>
      <c r="Q109" s="23"/>
      <c r="R109" s="23"/>
      <c r="S109" s="23"/>
      <c r="T109" s="23"/>
      <c r="U109" s="23"/>
      <c r="V109" s="23"/>
      <c r="W109" s="23"/>
      <c r="X109" s="23"/>
      <c r="Y109" s="23"/>
      <c r="Z109" s="23"/>
    </row>
    <row r="110" customFormat="false" ht="15.75" hidden="false" customHeight="true" outlineLevel="0" collapsed="false">
      <c r="A110" s="52" t="n">
        <v>46303</v>
      </c>
      <c r="B110" s="14" t="s">
        <v>507</v>
      </c>
      <c r="C110" s="14" t="str">
        <f aca="false" t="array" ref="C110:C110">IF(B110="","",IFERROR(INDEX('CLM &amp; IM Mapping'!$B$2:$B$270,MATCH(TRIM(B110),'CLM &amp; IM Mapping'!$A$2:$A$270,0)),"Not Mapped"))</f>
        <v>Raghavendra Vernekar</v>
      </c>
      <c r="D110" s="14" t="str">
        <f aca="false" t="array" ref="D110:D110">IF(B110="","",IFERROR(INDEX('CLM &amp; IM Mapping'!$C$2:$C$270,MATCH(TRIM(B110),'CLM &amp; IM Mapping'!$A$2:$A$270,0)),"Not Mapped"))</f>
        <v>Prakash BS</v>
      </c>
      <c r="E110" s="14"/>
      <c r="F110" s="14"/>
      <c r="G110" s="14" t="n">
        <v>2</v>
      </c>
      <c r="H110" s="14" t="n">
        <v>2</v>
      </c>
      <c r="I110" s="53" t="n">
        <v>687.72</v>
      </c>
      <c r="J110" s="12" t="s">
        <v>729</v>
      </c>
      <c r="K110" s="11"/>
      <c r="L110" s="23"/>
      <c r="M110" s="23"/>
      <c r="N110" s="23"/>
      <c r="O110" s="23"/>
      <c r="P110" s="23"/>
      <c r="Q110" s="23"/>
      <c r="R110" s="23"/>
      <c r="S110" s="23"/>
      <c r="T110" s="23"/>
      <c r="U110" s="23"/>
      <c r="V110" s="23"/>
      <c r="W110" s="23"/>
      <c r="X110" s="23"/>
      <c r="Y110" s="23"/>
      <c r="Z110" s="23"/>
    </row>
    <row r="111" customFormat="false" ht="15.75" hidden="false" customHeight="true" outlineLevel="0" collapsed="false">
      <c r="A111" s="52" t="n">
        <v>46303</v>
      </c>
      <c r="B111" s="14" t="s">
        <v>512</v>
      </c>
      <c r="C111" s="14" t="str">
        <f aca="false" t="array" ref="C111:C111">IF(B111="","",IFERROR(INDEX('CLM &amp; IM Mapping'!$B$2:$B$270,MATCH(TRIM(B111),'CLM &amp; IM Mapping'!$A$2:$A$270,0)),"Not Mapped"))</f>
        <v>Saddam Hussain</v>
      </c>
      <c r="D111" s="14" t="str">
        <f aca="false" t="array" ref="D111:D111">IF(B111="","",IFERROR(INDEX('CLM &amp; IM Mapping'!$C$2:$C$270,MATCH(TRIM(B111),'CLM &amp; IM Mapping'!$A$2:$A$270,0)),"Not Mapped"))</f>
        <v>Un Mapped</v>
      </c>
      <c r="E111" s="14"/>
      <c r="F111" s="14"/>
      <c r="G111" s="14" t="n">
        <v>6</v>
      </c>
      <c r="H111" s="14" t="n">
        <v>6</v>
      </c>
      <c r="I111" s="53" t="n">
        <v>682.7</v>
      </c>
      <c r="J111" s="11"/>
      <c r="K111" s="11"/>
      <c r="L111" s="23"/>
      <c r="M111" s="23"/>
      <c r="N111" s="23"/>
      <c r="O111" s="23"/>
      <c r="P111" s="23"/>
      <c r="Q111" s="23"/>
      <c r="R111" s="23"/>
      <c r="S111" s="23"/>
      <c r="T111" s="23"/>
      <c r="U111" s="23"/>
      <c r="V111" s="23"/>
      <c r="W111" s="23"/>
      <c r="X111" s="23"/>
      <c r="Y111" s="23"/>
      <c r="Z111" s="23"/>
    </row>
    <row r="112" customFormat="false" ht="15.75" hidden="false" customHeight="true" outlineLevel="0" collapsed="false">
      <c r="A112" s="52" t="n">
        <v>46303</v>
      </c>
      <c r="B112" s="14" t="s">
        <v>178</v>
      </c>
      <c r="C112" s="14" t="str">
        <f aca="false" t="array" ref="C112:C112">IF(B112="","",IFERROR(INDEX('CLM &amp; IM Mapping'!$B$2:$B$270,MATCH(TRIM(B112),'CLM &amp; IM Mapping'!$A$2:$A$270,0)),"Not Mapped"))</f>
        <v>Balaji G</v>
      </c>
      <c r="D112" s="14" t="str">
        <f aca="false" t="array" ref="D112:D112">IF(B112="","",IFERROR(INDEX('CLM &amp; IM Mapping'!$C$2:$C$270,MATCH(TRIM(B112),'CLM &amp; IM Mapping'!$A$2:$A$270,0)),"Not Mapped"))</f>
        <v>Mohammed Akbar</v>
      </c>
      <c r="E112" s="14"/>
      <c r="F112" s="14"/>
      <c r="G112" s="14" t="n">
        <v>25</v>
      </c>
      <c r="H112" s="14" t="n">
        <v>25</v>
      </c>
      <c r="I112" s="53" t="n">
        <v>667.95</v>
      </c>
      <c r="J112" s="12" t="s">
        <v>736</v>
      </c>
      <c r="K112" s="54" t="n">
        <v>0.958333333333333</v>
      </c>
      <c r="L112" s="23"/>
      <c r="M112" s="23"/>
      <c r="N112" s="23"/>
      <c r="O112" s="23"/>
      <c r="P112" s="23"/>
      <c r="Q112" s="23"/>
      <c r="R112" s="23"/>
      <c r="S112" s="23"/>
      <c r="T112" s="23"/>
      <c r="U112" s="23"/>
      <c r="V112" s="23"/>
      <c r="W112" s="23"/>
      <c r="X112" s="23"/>
      <c r="Y112" s="23"/>
      <c r="Z112" s="23"/>
    </row>
    <row r="113" customFormat="false" ht="15.75" hidden="false" customHeight="true" outlineLevel="0" collapsed="false">
      <c r="A113" s="52" t="n">
        <v>46303</v>
      </c>
      <c r="B113" s="14" t="s">
        <v>379</v>
      </c>
      <c r="C113" s="14" t="str">
        <f aca="false" t="array" ref="C113:C113">IF(B113="","",IFERROR(INDEX('CLM &amp; IM Mapping'!$B$2:$B$270,MATCH(TRIM(B113),'CLM &amp; IM Mapping'!$A$2:$A$270,0)),"Not Mapped"))</f>
        <v>Richard Harris</v>
      </c>
      <c r="D113" s="14" t="str">
        <f aca="false" t="array" ref="D113:D113">IF(B113="","",IFERROR(INDEX('CLM &amp; IM Mapping'!$C$2:$C$270,MATCH(TRIM(B113),'CLM &amp; IM Mapping'!$A$2:$A$270,0)),"Not Mapped"))</f>
        <v>Kantha Kumar</v>
      </c>
      <c r="E113" s="14"/>
      <c r="F113" s="14"/>
      <c r="G113" s="14" t="n">
        <v>4</v>
      </c>
      <c r="H113" s="14" t="n">
        <v>4</v>
      </c>
      <c r="I113" s="53" t="n">
        <v>546.64</v>
      </c>
      <c r="J113" s="11"/>
      <c r="K113" s="11"/>
      <c r="L113" s="23"/>
      <c r="M113" s="23"/>
      <c r="N113" s="23"/>
      <c r="O113" s="23"/>
      <c r="P113" s="23"/>
      <c r="Q113" s="23"/>
      <c r="R113" s="23"/>
      <c r="S113" s="23"/>
      <c r="T113" s="23"/>
      <c r="U113" s="23"/>
      <c r="V113" s="23"/>
      <c r="W113" s="23"/>
      <c r="X113" s="23"/>
      <c r="Y113" s="23"/>
      <c r="Z113" s="23"/>
    </row>
    <row r="114" customFormat="false" ht="15.75" hidden="false" customHeight="true" outlineLevel="0" collapsed="false">
      <c r="A114" s="52" t="n">
        <v>46303</v>
      </c>
      <c r="B114" s="14" t="s">
        <v>530</v>
      </c>
      <c r="C114" s="14" t="str">
        <f aca="false" t="array" ref="C114:C114">IF(B114="","",IFERROR(INDEX('CLM &amp; IM Mapping'!$B$2:$B$270,MATCH(TRIM(B114),'CLM &amp; IM Mapping'!$A$2:$A$270,0)),"Not Mapped"))</f>
        <v>Balaji G</v>
      </c>
      <c r="D114" s="14" t="str">
        <f aca="false" t="array" ref="D114:D114">IF(B114="","",IFERROR(INDEX('CLM &amp; IM Mapping'!$C$2:$C$270,MATCH(TRIM(B114),'CLM &amp; IM Mapping'!$A$2:$A$270,0)),"Not Mapped"))</f>
        <v>Mohammed Akbar</v>
      </c>
      <c r="E114" s="14" t="n">
        <v>5</v>
      </c>
      <c r="F114" s="14"/>
      <c r="G114" s="14"/>
      <c r="H114" s="14" t="n">
        <v>5</v>
      </c>
      <c r="I114" s="53" t="n">
        <v>510.57</v>
      </c>
      <c r="J114" s="12" t="s">
        <v>748</v>
      </c>
      <c r="K114" s="54" t="n">
        <v>0.958333333333333</v>
      </c>
      <c r="L114" s="23"/>
      <c r="M114" s="23"/>
      <c r="N114" s="23"/>
      <c r="O114" s="23"/>
      <c r="P114" s="23"/>
      <c r="Q114" s="23"/>
      <c r="R114" s="23"/>
      <c r="S114" s="23"/>
      <c r="T114" s="23"/>
      <c r="U114" s="23"/>
      <c r="V114" s="23"/>
      <c r="W114" s="23"/>
      <c r="X114" s="23"/>
      <c r="Y114" s="23"/>
      <c r="Z114" s="23"/>
    </row>
    <row r="115" customFormat="false" ht="15.75" hidden="false" customHeight="true" outlineLevel="0" collapsed="false">
      <c r="A115" s="52" t="n">
        <v>46303</v>
      </c>
      <c r="B115" s="14" t="s">
        <v>248</v>
      </c>
      <c r="C115" s="14" t="str">
        <f aca="false" t="array" ref="C115:C115">IF(B115="","",IFERROR(INDEX('CLM &amp; IM Mapping'!$B$2:$B$270,MATCH(TRIM(B115),'CLM &amp; IM Mapping'!$A$2:$A$270,0)),"Not Mapped"))</f>
        <v>Arun Raj</v>
      </c>
      <c r="D115" s="14" t="str">
        <f aca="false" t="array" ref="D115:D115">IF(B115="","",IFERROR(INDEX('CLM &amp; IM Mapping'!$C$2:$C$270,MATCH(TRIM(B115),'CLM &amp; IM Mapping'!$A$2:$A$270,0)),"Not Mapped"))</f>
        <v>Simon Manoharan</v>
      </c>
      <c r="E115" s="14"/>
      <c r="F115" s="14"/>
      <c r="G115" s="14" t="n">
        <v>8</v>
      </c>
      <c r="H115" s="14" t="n">
        <v>8</v>
      </c>
      <c r="I115" s="53" t="n">
        <v>478.95</v>
      </c>
      <c r="J115" s="11"/>
      <c r="K115" s="11"/>
      <c r="L115" s="23"/>
      <c r="M115" s="23"/>
      <c r="N115" s="23"/>
      <c r="O115" s="23"/>
      <c r="P115" s="23"/>
      <c r="Q115" s="23"/>
      <c r="R115" s="23"/>
      <c r="S115" s="23"/>
      <c r="T115" s="23"/>
      <c r="U115" s="23"/>
      <c r="V115" s="23"/>
      <c r="W115" s="23"/>
      <c r="X115" s="23"/>
      <c r="Y115" s="23"/>
      <c r="Z115" s="23"/>
    </row>
    <row r="116" customFormat="false" ht="15.75" hidden="false" customHeight="true" outlineLevel="0" collapsed="false">
      <c r="A116" s="52" t="n">
        <v>46303</v>
      </c>
      <c r="B116" s="14" t="s">
        <v>527</v>
      </c>
      <c r="C116" s="14" t="str">
        <f aca="false" t="array" ref="C116:C116">IF(B116="","",IFERROR(INDEX('CLM &amp; IM Mapping'!$B$2:$B$270,MATCH(TRIM(B116),'CLM &amp; IM Mapping'!$A$2:$A$270,0)),"Not Mapped"))</f>
        <v>Suhas N</v>
      </c>
      <c r="D116" s="14" t="str">
        <f aca="false" t="array" ref="D116:D116">IF(B116="","",IFERROR(INDEX('CLM &amp; IM Mapping'!$C$2:$C$270,MATCH(TRIM(B116),'CLM &amp; IM Mapping'!$A$2:$A$270,0)),"Not Mapped"))</f>
        <v>Aravind S</v>
      </c>
      <c r="E116" s="14"/>
      <c r="F116" s="14"/>
      <c r="G116" s="14" t="n">
        <v>4</v>
      </c>
      <c r="H116" s="14" t="n">
        <v>4</v>
      </c>
      <c r="I116" s="53" t="n">
        <v>476.1</v>
      </c>
      <c r="J116" s="11"/>
      <c r="K116" s="11"/>
      <c r="L116" s="23"/>
      <c r="M116" s="23"/>
      <c r="N116" s="23"/>
      <c r="O116" s="23"/>
      <c r="P116" s="23"/>
      <c r="Q116" s="23"/>
      <c r="R116" s="23"/>
      <c r="S116" s="23"/>
      <c r="T116" s="23"/>
      <c r="U116" s="23"/>
      <c r="V116" s="23"/>
      <c r="W116" s="23"/>
      <c r="X116" s="23"/>
      <c r="Y116" s="23"/>
      <c r="Z116" s="23"/>
    </row>
    <row r="117" customFormat="false" ht="15.75" hidden="false" customHeight="true" outlineLevel="0" collapsed="false">
      <c r="A117" s="52" t="n">
        <v>46303</v>
      </c>
      <c r="B117" s="14" t="s">
        <v>513</v>
      </c>
      <c r="C117" s="14" t="str">
        <f aca="false" t="array" ref="C117:C117">IF(B117="","",IFERROR(INDEX('CLM &amp; IM Mapping'!$B$2:$B$270,MATCH(TRIM(B117),'CLM &amp; IM Mapping'!$A$2:$A$270,0)),"Not Mapped"))</f>
        <v>Manoj Kj</v>
      </c>
      <c r="D117" s="14" t="str">
        <f aca="false" t="array" ref="D117:D117">IF(B117="","",IFERROR(INDEX('CLM &amp; IM Mapping'!$C$2:$C$270,MATCH(TRIM(B117),'CLM &amp; IM Mapping'!$A$2:$A$270,0)),"Not Mapped"))</f>
        <v>Srittam Dhal</v>
      </c>
      <c r="E117" s="14" t="n">
        <v>3</v>
      </c>
      <c r="F117" s="14"/>
      <c r="G117" s="14"/>
      <c r="H117" s="14" t="n">
        <v>3</v>
      </c>
      <c r="I117" s="53" t="n">
        <v>408.78</v>
      </c>
      <c r="J117" s="11"/>
      <c r="K117" s="11"/>
      <c r="L117" s="23"/>
      <c r="M117" s="23"/>
      <c r="N117" s="23"/>
      <c r="O117" s="23"/>
      <c r="P117" s="23"/>
      <c r="Q117" s="23"/>
      <c r="R117" s="23"/>
      <c r="S117" s="23"/>
      <c r="T117" s="23"/>
      <c r="U117" s="23"/>
      <c r="V117" s="23"/>
      <c r="W117" s="23"/>
      <c r="X117" s="23"/>
      <c r="Y117" s="23"/>
      <c r="Z117" s="23"/>
    </row>
    <row r="118" customFormat="false" ht="15.75" hidden="false" customHeight="true" outlineLevel="0" collapsed="false">
      <c r="A118" s="52" t="n">
        <v>46303</v>
      </c>
      <c r="B118" s="14" t="s">
        <v>348</v>
      </c>
      <c r="C118" s="14" t="str">
        <f aca="false" t="array" ref="C118:C118">IF(B118="","",IFERROR(INDEX('CLM &amp; IM Mapping'!$B$2:$B$270,MATCH(TRIM(B118),'CLM &amp; IM Mapping'!$A$2:$A$270,0)),"Not Mapped"))</f>
        <v>Arun Raj</v>
      </c>
      <c r="D118" s="14" t="str">
        <f aca="false" t="array" ref="D118:D118">IF(B118="","",IFERROR(INDEX('CLM &amp; IM Mapping'!$C$2:$C$270,MATCH(TRIM(B118),'CLM &amp; IM Mapping'!$A$2:$A$270,0)),"Not Mapped"))</f>
        <v>Simon Manoharan</v>
      </c>
      <c r="E118" s="14"/>
      <c r="F118" s="14"/>
      <c r="G118" s="14" t="n">
        <v>2</v>
      </c>
      <c r="H118" s="14" t="n">
        <v>2</v>
      </c>
      <c r="I118" s="53" t="n">
        <v>387.42</v>
      </c>
      <c r="J118" s="11"/>
      <c r="K118" s="11"/>
      <c r="L118" s="23"/>
      <c r="M118" s="23"/>
      <c r="N118" s="23"/>
      <c r="O118" s="23"/>
      <c r="P118" s="23"/>
      <c r="Q118" s="23"/>
      <c r="R118" s="23"/>
      <c r="S118" s="23"/>
      <c r="T118" s="23"/>
      <c r="U118" s="23"/>
      <c r="V118" s="23"/>
      <c r="W118" s="23"/>
      <c r="X118" s="23"/>
      <c r="Y118" s="23"/>
      <c r="Z118" s="23"/>
    </row>
    <row r="119" customFormat="false" ht="15.75" hidden="false" customHeight="true" outlineLevel="0" collapsed="false">
      <c r="A119" s="52" t="n">
        <v>46303</v>
      </c>
      <c r="B119" s="14" t="s">
        <v>314</v>
      </c>
      <c r="C119" s="14" t="str">
        <f aca="false" t="array" ref="C119:C119">IF(B119="","",IFERROR(INDEX('CLM &amp; IM Mapping'!$B$2:$B$270,MATCH(TRIM(B119),'CLM &amp; IM Mapping'!$A$2:$A$270,0)),"Not Mapped"))</f>
        <v>Basil Scariya</v>
      </c>
      <c r="D119" s="14" t="str">
        <f aca="false" t="array" ref="D119:D119">IF(B119="","",IFERROR(INDEX('CLM &amp; IM Mapping'!$C$2:$C$270,MATCH(TRIM(B119),'CLM &amp; IM Mapping'!$A$2:$A$270,0)),"Not Mapped"))</f>
        <v>Prakash BS</v>
      </c>
      <c r="E119" s="14" t="n">
        <v>4</v>
      </c>
      <c r="F119" s="14"/>
      <c r="G119" s="14"/>
      <c r="H119" s="14" t="n">
        <v>4</v>
      </c>
      <c r="I119" s="53" t="n">
        <v>385.77</v>
      </c>
      <c r="J119" s="12" t="s">
        <v>729</v>
      </c>
      <c r="K119" s="11"/>
      <c r="L119" s="23"/>
      <c r="M119" s="23"/>
      <c r="N119" s="23"/>
      <c r="O119" s="23"/>
      <c r="P119" s="23"/>
      <c r="Q119" s="23"/>
      <c r="R119" s="23"/>
      <c r="S119" s="23"/>
      <c r="T119" s="23"/>
      <c r="U119" s="23"/>
      <c r="V119" s="23"/>
      <c r="W119" s="23"/>
      <c r="X119" s="23"/>
      <c r="Y119" s="23"/>
      <c r="Z119" s="23"/>
    </row>
    <row r="120" customFormat="false" ht="15.75" hidden="false" customHeight="true" outlineLevel="0" collapsed="false">
      <c r="A120" s="52" t="n">
        <v>46303</v>
      </c>
      <c r="B120" s="14" t="s">
        <v>281</v>
      </c>
      <c r="C120" s="14" t="str">
        <f aca="false" t="array" ref="C120:C120">IF(B120="","",IFERROR(INDEX('CLM &amp; IM Mapping'!$B$2:$B$270,MATCH(TRIM(B120),'CLM &amp; IM Mapping'!$A$2:$A$270,0)),"Not Mapped"))</f>
        <v>Balaji G</v>
      </c>
      <c r="D120" s="14" t="str">
        <f aca="false" t="array" ref="D120:D120">IF(B120="","",IFERROR(INDEX('CLM &amp; IM Mapping'!$C$2:$C$270,MATCH(TRIM(B120),'CLM &amp; IM Mapping'!$A$2:$A$270,0)),"Not Mapped"))</f>
        <v>Mohammed Akbar</v>
      </c>
      <c r="E120" s="14"/>
      <c r="F120" s="14"/>
      <c r="G120" s="14" t="n">
        <v>3</v>
      </c>
      <c r="H120" s="14" t="n">
        <v>3</v>
      </c>
      <c r="I120" s="53" t="n">
        <v>291.99</v>
      </c>
      <c r="J120" s="12" t="s">
        <v>748</v>
      </c>
      <c r="K120" s="54" t="n">
        <v>0.958333333333333</v>
      </c>
      <c r="L120" s="23"/>
      <c r="M120" s="23"/>
      <c r="N120" s="23"/>
      <c r="O120" s="23"/>
      <c r="P120" s="23"/>
      <c r="Q120" s="23"/>
      <c r="R120" s="23"/>
      <c r="S120" s="23"/>
      <c r="T120" s="23"/>
      <c r="U120" s="23"/>
      <c r="V120" s="23"/>
      <c r="W120" s="23"/>
      <c r="X120" s="23"/>
      <c r="Y120" s="23"/>
      <c r="Z120" s="23"/>
    </row>
    <row r="121" customFormat="false" ht="15.75" hidden="false" customHeight="true" outlineLevel="0" collapsed="false">
      <c r="A121" s="52" t="n">
        <v>46303</v>
      </c>
      <c r="B121" s="14" t="s">
        <v>250</v>
      </c>
      <c r="C121" s="14" t="str">
        <f aca="false" t="array" ref="C121:C121">IF(B121="","",IFERROR(INDEX('CLM &amp; IM Mapping'!$B$2:$B$270,MATCH(TRIM(B121),'CLM &amp; IM Mapping'!$A$2:$A$270,0)),"Not Mapped"))</f>
        <v>Akshay P</v>
      </c>
      <c r="D121" s="14" t="str">
        <f aca="false" t="array" ref="D121:D121">IF(B121="","",IFERROR(INDEX('CLM &amp; IM Mapping'!$C$2:$C$270,MATCH(TRIM(B121),'CLM &amp; IM Mapping'!$A$2:$A$270,0)),"Not Mapped"))</f>
        <v>Srittam Dhal</v>
      </c>
      <c r="E121" s="14"/>
      <c r="F121" s="14"/>
      <c r="G121" s="14" t="n">
        <v>3</v>
      </c>
      <c r="H121" s="14" t="n">
        <v>3</v>
      </c>
      <c r="I121" s="53" t="n">
        <v>233.7</v>
      </c>
      <c r="J121" s="11"/>
      <c r="K121" s="11"/>
      <c r="L121" s="23"/>
      <c r="M121" s="23"/>
      <c r="N121" s="23"/>
      <c r="O121" s="23"/>
      <c r="P121" s="23"/>
      <c r="Q121" s="23"/>
      <c r="R121" s="23"/>
      <c r="S121" s="23"/>
      <c r="T121" s="23"/>
      <c r="U121" s="23"/>
      <c r="V121" s="23"/>
      <c r="W121" s="23"/>
      <c r="X121" s="23"/>
      <c r="Y121" s="23"/>
      <c r="Z121" s="23"/>
    </row>
    <row r="122" customFormat="false" ht="15.75" hidden="false" customHeight="true" outlineLevel="0" collapsed="false">
      <c r="A122" s="52" t="n">
        <v>46303</v>
      </c>
      <c r="B122" s="14" t="s">
        <v>392</v>
      </c>
      <c r="C122" s="14" t="str">
        <f aca="false" t="array" ref="C122:C122">IF(B122="","",IFERROR(INDEX('CLM &amp; IM Mapping'!$B$2:$B$270,MATCH(TRIM(B122),'CLM &amp; IM Mapping'!$A$2:$A$270,0)),"Not Mapped"))</f>
        <v>Balaji G</v>
      </c>
      <c r="D122" s="14" t="str">
        <f aca="false" t="array" ref="D122:D122">IF(B122="","",IFERROR(INDEX('CLM &amp; IM Mapping'!$C$2:$C$270,MATCH(TRIM(B122),'CLM &amp; IM Mapping'!$A$2:$A$270,0)),"Not Mapped"))</f>
        <v>Mohammed Akbar</v>
      </c>
      <c r="E122" s="14"/>
      <c r="F122" s="14"/>
      <c r="G122" s="14" t="n">
        <v>2</v>
      </c>
      <c r="H122" s="14" t="n">
        <v>2</v>
      </c>
      <c r="I122" s="53" t="n">
        <v>231.55</v>
      </c>
      <c r="J122" s="12" t="s">
        <v>737</v>
      </c>
      <c r="K122" s="11"/>
      <c r="L122" s="23"/>
      <c r="M122" s="23"/>
      <c r="N122" s="23"/>
      <c r="O122" s="23"/>
      <c r="P122" s="23"/>
      <c r="Q122" s="23"/>
      <c r="R122" s="23"/>
      <c r="S122" s="23"/>
      <c r="T122" s="23"/>
      <c r="U122" s="23"/>
      <c r="V122" s="23"/>
      <c r="W122" s="23"/>
      <c r="X122" s="23"/>
      <c r="Y122" s="23"/>
      <c r="Z122" s="23"/>
    </row>
    <row r="123" customFormat="false" ht="15.75" hidden="false" customHeight="true" outlineLevel="0" collapsed="false">
      <c r="A123" s="52" t="n">
        <v>46303</v>
      </c>
      <c r="B123" s="14" t="s">
        <v>132</v>
      </c>
      <c r="C123" s="14" t="str">
        <f aca="false" t="array" ref="C123:C123">IF(B123="","",IFERROR(INDEX('CLM &amp; IM Mapping'!$B$2:$B$270,MATCH(TRIM(B123),'CLM &amp; IM Mapping'!$A$2:$A$270,0)),"Not Mapped"))</f>
        <v>Saddam Hussain</v>
      </c>
      <c r="D123" s="14" t="str">
        <f aca="false" t="array" ref="D123:D123">IF(B123="","",IFERROR(INDEX('CLM &amp; IM Mapping'!$C$2:$C$270,MATCH(TRIM(B123),'CLM &amp; IM Mapping'!$A$2:$A$270,0)),"Not Mapped"))</f>
        <v>Un Mapped</v>
      </c>
      <c r="E123" s="14"/>
      <c r="F123" s="14"/>
      <c r="G123" s="14" t="n">
        <v>3</v>
      </c>
      <c r="H123" s="14" t="n">
        <v>3</v>
      </c>
      <c r="I123" s="53" t="n">
        <v>225.76</v>
      </c>
      <c r="J123" s="11"/>
      <c r="K123" s="11"/>
      <c r="L123" s="23"/>
      <c r="M123" s="23"/>
      <c r="N123" s="23"/>
      <c r="O123" s="23"/>
      <c r="P123" s="23"/>
      <c r="Q123" s="23"/>
      <c r="R123" s="23"/>
      <c r="S123" s="23"/>
      <c r="T123" s="23"/>
      <c r="U123" s="23"/>
      <c r="V123" s="23"/>
      <c r="W123" s="23"/>
      <c r="X123" s="23"/>
      <c r="Y123" s="23"/>
      <c r="Z123" s="23"/>
    </row>
    <row r="124" customFormat="false" ht="15.75" hidden="false" customHeight="true" outlineLevel="0" collapsed="false">
      <c r="A124" s="52" t="n">
        <v>46303</v>
      </c>
      <c r="B124" s="14" t="s">
        <v>515</v>
      </c>
      <c r="C124" s="14" t="str">
        <f aca="false" t="array" ref="C124:C124">IF(B124="","",IFERROR(INDEX('CLM &amp; IM Mapping'!$B$2:$B$270,MATCH(TRIM(B124),'CLM &amp; IM Mapping'!$A$2:$A$270,0)),"Not Mapped"))</f>
        <v>Balaji G</v>
      </c>
      <c r="D124" s="14" t="str">
        <f aca="false" t="array" ref="D124:D124">IF(B124="","",IFERROR(INDEX('CLM &amp; IM Mapping'!$C$2:$C$270,MATCH(TRIM(B124),'CLM &amp; IM Mapping'!$A$2:$A$270,0)),"Not Mapped"))</f>
        <v>Mohammed Akbar</v>
      </c>
      <c r="E124" s="14" t="n">
        <v>1</v>
      </c>
      <c r="F124" s="14"/>
      <c r="G124" s="14"/>
      <c r="H124" s="14" t="n">
        <v>1</v>
      </c>
      <c r="I124" s="53" t="n">
        <v>168.53</v>
      </c>
      <c r="J124" s="12" t="s">
        <v>737</v>
      </c>
      <c r="K124" s="11"/>
      <c r="L124" s="23"/>
      <c r="M124" s="23"/>
      <c r="N124" s="23"/>
      <c r="O124" s="23"/>
      <c r="P124" s="23"/>
      <c r="Q124" s="23"/>
      <c r="R124" s="23"/>
      <c r="S124" s="23"/>
      <c r="T124" s="23"/>
      <c r="U124" s="23"/>
      <c r="V124" s="23"/>
      <c r="W124" s="23"/>
      <c r="X124" s="23"/>
      <c r="Y124" s="23"/>
      <c r="Z124" s="23"/>
    </row>
    <row r="125" customFormat="false" ht="15.75" hidden="false" customHeight="true" outlineLevel="0" collapsed="false">
      <c r="A125" s="52" t="n">
        <v>46303</v>
      </c>
      <c r="B125" s="14" t="s">
        <v>422</v>
      </c>
      <c r="C125" s="14" t="str">
        <f aca="false" t="array" ref="C125:C125">IF(B125="","",IFERROR(INDEX('CLM &amp; IM Mapping'!$B$2:$B$270,MATCH(TRIM(B125),'CLM &amp; IM Mapping'!$A$2:$A$270,0)),"Not Mapped"))</f>
        <v>Manjunatha V</v>
      </c>
      <c r="D125" s="14" t="str">
        <f aca="false" t="array" ref="D125:D125">IF(B125="","",IFERROR(INDEX('CLM &amp; IM Mapping'!$C$2:$C$270,MATCH(TRIM(B125),'CLM &amp; IM Mapping'!$A$2:$A$270,0)),"Not Mapped"))</f>
        <v>Un Mapped</v>
      </c>
      <c r="E125" s="14"/>
      <c r="F125" s="14"/>
      <c r="G125" s="14" t="n">
        <v>4</v>
      </c>
      <c r="H125" s="14" t="n">
        <v>4</v>
      </c>
      <c r="I125" s="53" t="n">
        <v>165.08</v>
      </c>
      <c r="J125" s="11"/>
      <c r="K125" s="11"/>
      <c r="L125" s="23"/>
      <c r="M125" s="23"/>
      <c r="N125" s="23"/>
      <c r="O125" s="23"/>
      <c r="P125" s="23"/>
      <c r="Q125" s="23"/>
      <c r="R125" s="23"/>
      <c r="S125" s="23"/>
      <c r="T125" s="23"/>
      <c r="U125" s="23"/>
      <c r="V125" s="23"/>
      <c r="W125" s="23"/>
      <c r="X125" s="23"/>
      <c r="Y125" s="23"/>
      <c r="Z125" s="23"/>
    </row>
    <row r="126" customFormat="false" ht="15.75" hidden="false" customHeight="true" outlineLevel="0" collapsed="false">
      <c r="A126" s="52" t="n">
        <v>46303</v>
      </c>
      <c r="B126" s="14" t="s">
        <v>376</v>
      </c>
      <c r="C126" s="14" t="str">
        <f aca="false" t="array" ref="C126:C126">IF(B126="","",IFERROR(INDEX('CLM &amp; IM Mapping'!$B$2:$B$270,MATCH(TRIM(B126),'CLM &amp; IM Mapping'!$A$2:$A$270,0)),"Not Mapped"))</f>
        <v>Sundaresh S</v>
      </c>
      <c r="D126" s="14" t="str">
        <f aca="false" t="array" ref="D126:D126">IF(B126="","",IFERROR(INDEX('CLM &amp; IM Mapping'!$C$2:$C$270,MATCH(TRIM(B126),'CLM &amp; IM Mapping'!$A$2:$A$270,0)),"Not Mapped"))</f>
        <v>Un Mapped</v>
      </c>
      <c r="E126" s="14" t="n">
        <v>2</v>
      </c>
      <c r="F126" s="14"/>
      <c r="G126" s="14"/>
      <c r="H126" s="14" t="n">
        <v>2</v>
      </c>
      <c r="I126" s="53" t="n">
        <v>158.16</v>
      </c>
      <c r="J126" s="11"/>
      <c r="K126" s="11"/>
      <c r="L126" s="23"/>
      <c r="M126" s="23"/>
      <c r="N126" s="23"/>
      <c r="O126" s="23"/>
      <c r="P126" s="23"/>
      <c r="Q126" s="23"/>
      <c r="R126" s="23"/>
      <c r="S126" s="23"/>
      <c r="T126" s="23"/>
      <c r="U126" s="23"/>
      <c r="V126" s="23"/>
      <c r="W126" s="23"/>
      <c r="X126" s="23"/>
      <c r="Y126" s="23"/>
      <c r="Z126" s="23"/>
    </row>
    <row r="127" customFormat="false" ht="15.75" hidden="false" customHeight="true" outlineLevel="0" collapsed="false">
      <c r="A127" s="52" t="n">
        <v>46303</v>
      </c>
      <c r="B127" s="14" t="s">
        <v>229</v>
      </c>
      <c r="C127" s="14" t="str">
        <f aca="false" t="array" ref="C127:C127">IF(B127="","",IFERROR(INDEX('CLM &amp; IM Mapping'!$B$2:$B$270,MATCH(TRIM(B127),'CLM &amp; IM Mapping'!$A$2:$A$270,0)),"Not Mapped"))</f>
        <v>Arun Raj</v>
      </c>
      <c r="D127" s="14" t="str">
        <f aca="false" t="array" ref="D127:D127">IF(B127="","",IFERROR(INDEX('CLM &amp; IM Mapping'!$C$2:$C$270,MATCH(TRIM(B127),'CLM &amp; IM Mapping'!$A$2:$A$270,0)),"Not Mapped"))</f>
        <v>Simon Manoharan</v>
      </c>
      <c r="E127" s="14"/>
      <c r="F127" s="14"/>
      <c r="G127" s="14" t="n">
        <v>2</v>
      </c>
      <c r="H127" s="14" t="n">
        <v>2</v>
      </c>
      <c r="I127" s="53" t="n">
        <v>145.86</v>
      </c>
      <c r="J127" s="11"/>
      <c r="K127" s="11"/>
      <c r="L127" s="23"/>
      <c r="M127" s="23"/>
      <c r="N127" s="23"/>
      <c r="O127" s="23"/>
      <c r="P127" s="23"/>
      <c r="Q127" s="23"/>
      <c r="R127" s="23"/>
      <c r="S127" s="23"/>
      <c r="T127" s="23"/>
      <c r="U127" s="23"/>
      <c r="V127" s="23"/>
      <c r="W127" s="23"/>
      <c r="X127" s="23"/>
      <c r="Y127" s="23"/>
      <c r="Z127" s="23"/>
    </row>
    <row r="128" customFormat="false" ht="15.75" hidden="false" customHeight="true" outlineLevel="0" collapsed="false">
      <c r="A128" s="52" t="n">
        <v>46303</v>
      </c>
      <c r="B128" s="14" t="s">
        <v>474</v>
      </c>
      <c r="C128" s="14" t="str">
        <f aca="false" t="array" ref="C128:C128">IF(B128="","",IFERROR(INDEX('CLM &amp; IM Mapping'!$B$2:$B$270,MATCH(TRIM(B128),'CLM &amp; IM Mapping'!$A$2:$A$270,0)),"Not Mapped"))</f>
        <v>Silambarasan E</v>
      </c>
      <c r="D128" s="14" t="str">
        <f aca="false" t="array" ref="D128:D128">IF(B128="","",IFERROR(INDEX('CLM &amp; IM Mapping'!$C$2:$C$270,MATCH(TRIM(B128),'CLM &amp; IM Mapping'!$A$2:$A$270,0)),"Not Mapped"))</f>
        <v>Arivind S</v>
      </c>
      <c r="E128" s="14"/>
      <c r="F128" s="14"/>
      <c r="G128" s="14" t="n">
        <v>1</v>
      </c>
      <c r="H128" s="14" t="n">
        <v>1</v>
      </c>
      <c r="I128" s="53" t="n">
        <v>128.9</v>
      </c>
      <c r="J128" s="11"/>
      <c r="K128" s="11"/>
      <c r="L128" s="23"/>
      <c r="M128" s="23"/>
      <c r="N128" s="23"/>
      <c r="O128" s="23"/>
      <c r="P128" s="23"/>
      <c r="Q128" s="23"/>
      <c r="R128" s="23"/>
      <c r="S128" s="23"/>
      <c r="T128" s="23"/>
      <c r="U128" s="23"/>
      <c r="V128" s="23"/>
      <c r="W128" s="23"/>
      <c r="X128" s="23"/>
      <c r="Y128" s="23"/>
      <c r="Z128" s="23"/>
    </row>
    <row r="129" customFormat="false" ht="15.75" hidden="false" customHeight="true" outlineLevel="0" collapsed="false">
      <c r="A129" s="52" t="n">
        <v>46303</v>
      </c>
      <c r="B129" s="14" t="s">
        <v>200</v>
      </c>
      <c r="C129" s="14" t="str">
        <f aca="false" t="array" ref="C129:C129">IF(B129="","",IFERROR(INDEX('CLM &amp; IM Mapping'!$B$2:$B$270,MATCH(TRIM(B129),'CLM &amp; IM Mapping'!$A$2:$A$270,0)),"Not Mapped"))</f>
        <v>Adhavan Subramani</v>
      </c>
      <c r="D129" s="14" t="str">
        <f aca="false" t="array" ref="D129:D129">IF(B129="","",IFERROR(INDEX('CLM &amp; IM Mapping'!$C$2:$C$270,MATCH(TRIM(B129),'CLM &amp; IM Mapping'!$A$2:$A$270,0)),"Not Mapped"))</f>
        <v>Mohammed Akbar</v>
      </c>
      <c r="E129" s="14"/>
      <c r="F129" s="14"/>
      <c r="G129" s="14" t="n">
        <v>1</v>
      </c>
      <c r="H129" s="14" t="n">
        <v>1</v>
      </c>
      <c r="I129" s="53" t="n">
        <v>95.94</v>
      </c>
      <c r="J129" s="12" t="s">
        <v>736</v>
      </c>
      <c r="K129" s="54" t="n">
        <v>0.958333333333333</v>
      </c>
      <c r="L129" s="23"/>
      <c r="M129" s="23"/>
      <c r="N129" s="23"/>
      <c r="O129" s="23"/>
      <c r="P129" s="23"/>
      <c r="Q129" s="23"/>
      <c r="R129" s="23"/>
      <c r="S129" s="23"/>
      <c r="T129" s="23"/>
      <c r="U129" s="23"/>
      <c r="V129" s="23"/>
      <c r="W129" s="23"/>
      <c r="X129" s="23"/>
      <c r="Y129" s="23"/>
      <c r="Z129" s="23"/>
    </row>
    <row r="130" customFormat="false" ht="15.75" hidden="false" customHeight="true" outlineLevel="0" collapsed="false">
      <c r="A130" s="52" t="n">
        <v>46303</v>
      </c>
      <c r="B130" s="14" t="s">
        <v>524</v>
      </c>
      <c r="C130" s="14" t="str">
        <f aca="false" t="array" ref="C130:C130">IF(B130="","",IFERROR(INDEX('CLM &amp; IM Mapping'!$B$2:$B$270,MATCH(TRIM(B130),'CLM &amp; IM Mapping'!$A$2:$A$270,0)),"Not Mapped"))</f>
        <v>Balaji G</v>
      </c>
      <c r="D130" s="14" t="str">
        <f aca="false" t="array" ref="D130:D130">IF(B130="","",IFERROR(INDEX('CLM &amp; IM Mapping'!$C$2:$C$270,MATCH(TRIM(B130),'CLM &amp; IM Mapping'!$A$2:$A$270,0)),"Not Mapped"))</f>
        <v>Mohammed Akbar</v>
      </c>
      <c r="E130" s="14"/>
      <c r="F130" s="14"/>
      <c r="G130" s="14" t="n">
        <v>1</v>
      </c>
      <c r="H130" s="14" t="n">
        <v>1</v>
      </c>
      <c r="I130" s="53" t="n">
        <v>95.85</v>
      </c>
      <c r="J130" s="12" t="s">
        <v>735</v>
      </c>
      <c r="K130" s="54" t="n">
        <v>0.583333333333333</v>
      </c>
      <c r="L130" s="23"/>
      <c r="M130" s="23"/>
      <c r="N130" s="23"/>
      <c r="O130" s="23"/>
      <c r="P130" s="23"/>
      <c r="Q130" s="23"/>
      <c r="R130" s="23"/>
      <c r="S130" s="23"/>
      <c r="T130" s="23"/>
      <c r="U130" s="23"/>
      <c r="V130" s="23"/>
      <c r="W130" s="23"/>
      <c r="X130" s="23"/>
      <c r="Y130" s="23"/>
      <c r="Z130" s="23"/>
    </row>
    <row r="131" customFormat="false" ht="15.75" hidden="false" customHeight="true" outlineLevel="0" collapsed="false">
      <c r="A131" s="52" t="n">
        <v>46303</v>
      </c>
      <c r="B131" s="14" t="s">
        <v>288</v>
      </c>
      <c r="C131" s="14" t="str">
        <f aca="false" t="array" ref="C131:C131">IF(B131="","",IFERROR(INDEX('CLM &amp; IM Mapping'!$B$2:$B$270,MATCH(TRIM(B131),'CLM &amp; IM Mapping'!$A$2:$A$270,0)),"Not Mapped"))</f>
        <v>Arun Raj</v>
      </c>
      <c r="D131" s="14" t="str">
        <f aca="false" t="array" ref="D131:D131">IF(B131="","",IFERROR(INDEX('CLM &amp; IM Mapping'!$C$2:$C$270,MATCH(TRIM(B131),'CLM &amp; IM Mapping'!$A$2:$A$270,0)),"Not Mapped"))</f>
        <v>Simon Manoharan</v>
      </c>
      <c r="E131" s="14"/>
      <c r="F131" s="14"/>
      <c r="G131" s="14" t="n">
        <v>2</v>
      </c>
      <c r="H131" s="14" t="n">
        <v>2</v>
      </c>
      <c r="I131" s="53" t="n">
        <v>91.41</v>
      </c>
      <c r="J131" s="11"/>
      <c r="K131" s="11"/>
      <c r="L131" s="23"/>
      <c r="M131" s="23"/>
      <c r="N131" s="23"/>
      <c r="O131" s="23"/>
      <c r="P131" s="23"/>
      <c r="Q131" s="23"/>
      <c r="R131" s="23"/>
      <c r="S131" s="23"/>
      <c r="T131" s="23"/>
      <c r="U131" s="23"/>
      <c r="V131" s="23"/>
      <c r="W131" s="23"/>
      <c r="X131" s="23"/>
      <c r="Y131" s="23"/>
      <c r="Z131" s="23"/>
    </row>
    <row r="132" customFormat="false" ht="15.75" hidden="false" customHeight="true" outlineLevel="0" collapsed="false">
      <c r="A132" s="52" t="n">
        <v>46303</v>
      </c>
      <c r="B132" s="14" t="s">
        <v>420</v>
      </c>
      <c r="C132" s="14" t="str">
        <f aca="false" t="array" ref="C132:C132">IF(B132="","",IFERROR(INDEX('CLM &amp; IM Mapping'!$B$2:$B$270,MATCH(TRIM(B132),'CLM &amp; IM Mapping'!$A$2:$A$270,0)),"Not Mapped"))</f>
        <v>Ravishankar gowda</v>
      </c>
      <c r="D132" s="14" t="str">
        <f aca="false" t="array" ref="D132:D132">IF(B132="","",IFERROR(INDEX('CLM &amp; IM Mapping'!$C$2:$C$270,MATCH(TRIM(B132),'CLM &amp; IM Mapping'!$A$2:$A$270,0)),"Not Mapped"))</f>
        <v>Kishor K</v>
      </c>
      <c r="E132" s="14"/>
      <c r="F132" s="14"/>
      <c r="G132" s="14" t="n">
        <v>1</v>
      </c>
      <c r="H132" s="14" t="n">
        <v>1</v>
      </c>
      <c r="I132" s="53" t="n">
        <v>86.18</v>
      </c>
      <c r="J132" s="12" t="s">
        <v>749</v>
      </c>
      <c r="K132" s="12" t="s">
        <v>741</v>
      </c>
      <c r="L132" s="23"/>
      <c r="M132" s="23"/>
      <c r="N132" s="23"/>
      <c r="O132" s="23"/>
      <c r="P132" s="23"/>
      <c r="Q132" s="23"/>
      <c r="R132" s="23"/>
      <c r="S132" s="23"/>
      <c r="T132" s="23"/>
      <c r="U132" s="23"/>
      <c r="V132" s="23"/>
      <c r="W132" s="23"/>
      <c r="X132" s="23"/>
      <c r="Y132" s="23"/>
      <c r="Z132" s="23"/>
    </row>
    <row r="133" customFormat="false" ht="15.75" hidden="false" customHeight="true" outlineLevel="0" collapsed="false">
      <c r="A133" s="52" t="n">
        <v>46303</v>
      </c>
      <c r="B133" s="14" t="s">
        <v>267</v>
      </c>
      <c r="C133" s="14" t="str">
        <f aca="false" t="array" ref="C133:C133">IF(B133="","",IFERROR(INDEX('CLM &amp; IM Mapping'!$B$2:$B$270,MATCH(TRIM(B133),'CLM &amp; IM Mapping'!$A$2:$A$270,0)),"Not Mapped"))</f>
        <v>Balaji G</v>
      </c>
      <c r="D133" s="14" t="str">
        <f aca="false" t="array" ref="D133:D133">IF(B133="","",IFERROR(INDEX('CLM &amp; IM Mapping'!$C$2:$C$270,MATCH(TRIM(B133),'CLM &amp; IM Mapping'!$A$2:$A$270,0)),"Not Mapped"))</f>
        <v>Mohammed Akbar</v>
      </c>
      <c r="E133" s="14" t="n">
        <v>1</v>
      </c>
      <c r="F133" s="14"/>
      <c r="G133" s="14"/>
      <c r="H133" s="14" t="n">
        <v>1</v>
      </c>
      <c r="I133" s="53" t="n">
        <v>43.8</v>
      </c>
      <c r="J133" s="12" t="s">
        <v>735</v>
      </c>
      <c r="K133" s="54" t="n">
        <v>0.958333333333333</v>
      </c>
      <c r="L133" s="23"/>
      <c r="M133" s="23"/>
      <c r="N133" s="23"/>
      <c r="O133" s="23"/>
      <c r="P133" s="23"/>
      <c r="Q133" s="23"/>
      <c r="R133" s="23"/>
      <c r="S133" s="23"/>
      <c r="T133" s="23"/>
      <c r="U133" s="23"/>
      <c r="V133" s="23"/>
      <c r="W133" s="23"/>
      <c r="X133" s="23"/>
      <c r="Y133" s="23"/>
      <c r="Z133" s="23"/>
    </row>
    <row r="134" customFormat="false" ht="15.75" hidden="false" customHeight="true" outlineLevel="0" collapsed="false">
      <c r="A134" s="52" t="n">
        <v>46303</v>
      </c>
      <c r="B134" s="14" t="s">
        <v>361</v>
      </c>
      <c r="C134" s="14" t="str">
        <f aca="false" t="array" ref="C134:C134">IF(B134="","",IFERROR(INDEX('CLM &amp; IM Mapping'!$B$2:$B$270,MATCH(TRIM(B134),'CLM &amp; IM Mapping'!$A$2:$A$270,0)),"Not Mapped"))</f>
        <v>Santhosha M</v>
      </c>
      <c r="D134" s="14" t="str">
        <f aca="false" t="array" ref="D134:D134">IF(B134="","",IFERROR(INDEX('CLM &amp; IM Mapping'!$C$2:$C$270,MATCH(TRIM(B134),'CLM &amp; IM Mapping'!$A$2:$A$270,0)),"Not Mapped"))</f>
        <v>Aravind S</v>
      </c>
      <c r="E134" s="14"/>
      <c r="F134" s="14"/>
      <c r="G134" s="14" t="n">
        <v>1</v>
      </c>
      <c r="H134" s="14" t="n">
        <v>1</v>
      </c>
      <c r="I134" s="53" t="n">
        <v>37.45</v>
      </c>
      <c r="J134" s="11"/>
      <c r="K134" s="11"/>
      <c r="L134" s="23"/>
      <c r="M134" s="23"/>
      <c r="N134" s="23"/>
      <c r="O134" s="23"/>
      <c r="P134" s="23"/>
      <c r="Q134" s="23"/>
      <c r="R134" s="23"/>
      <c r="S134" s="23"/>
      <c r="T134" s="23"/>
      <c r="U134" s="23"/>
      <c r="V134" s="23"/>
      <c r="W134" s="23"/>
      <c r="X134" s="23"/>
      <c r="Y134" s="23"/>
      <c r="Z134" s="23"/>
    </row>
    <row r="135" customFormat="false" ht="15.75" hidden="false" customHeight="true" outlineLevel="0" collapsed="false">
      <c r="A135" s="52" t="n">
        <v>46304</v>
      </c>
      <c r="B135" s="14" t="s">
        <v>191</v>
      </c>
      <c r="C135" s="14" t="str">
        <f aca="false" t="array" ref="C135:C135">IF(B135="","",IFERROR(INDEX('CLM &amp; IM Mapping'!$B$2:$B$270,MATCH(TRIM(B135),'CLM &amp; IM Mapping'!$A$2:$A$270,0)),"Not Mapped"))</f>
        <v>Adhavan Subramani</v>
      </c>
      <c r="D135" s="14" t="str">
        <f aca="false" t="array" ref="D135:D135">IF(B135="","",IFERROR(INDEX('CLM &amp; IM Mapping'!$C$2:$C$270,MATCH(TRIM(B135),'CLM &amp; IM Mapping'!$A$2:$A$270,0)),"Not Mapped"))</f>
        <v>Mohammed Akbar</v>
      </c>
      <c r="E135" s="14"/>
      <c r="F135" s="14"/>
      <c r="G135" s="14" t="n">
        <v>1632</v>
      </c>
      <c r="H135" s="14" t="n">
        <v>1632</v>
      </c>
      <c r="I135" s="53" t="n">
        <v>107784.43</v>
      </c>
      <c r="J135" s="12"/>
      <c r="K135" s="12"/>
      <c r="L135" s="23"/>
      <c r="M135" s="23"/>
      <c r="N135" s="23"/>
      <c r="O135" s="23"/>
      <c r="P135" s="23"/>
      <c r="Q135" s="23"/>
      <c r="R135" s="23"/>
      <c r="S135" s="23"/>
      <c r="T135" s="23"/>
      <c r="U135" s="23"/>
      <c r="V135" s="23"/>
      <c r="W135" s="23"/>
      <c r="X135" s="23"/>
      <c r="Y135" s="23"/>
      <c r="Z135" s="23"/>
    </row>
    <row r="136" customFormat="false" ht="15.75" hidden="false" customHeight="true" outlineLevel="0" collapsed="false">
      <c r="A136" s="52" t="n">
        <v>46304</v>
      </c>
      <c r="B136" s="14" t="s">
        <v>226</v>
      </c>
      <c r="C136" s="14" t="str">
        <f aca="false" t="array" ref="C136:C136">IF(B136="","",IFERROR(INDEX('CLM &amp; IM Mapping'!$B$2:$B$270,MATCH(TRIM(B136),'CLM &amp; IM Mapping'!$A$2:$A$270,0)),"Not Mapped"))</f>
        <v>Manoj Kj</v>
      </c>
      <c r="D136" s="14" t="str">
        <f aca="false" t="array" ref="D136:D136">IF(B136="","",IFERROR(INDEX('CLM &amp; IM Mapping'!$C$2:$C$270,MATCH(TRIM(B136),'CLM &amp; IM Mapping'!$A$2:$A$270,0)),"Not Mapped"))</f>
        <v>Srittam Dhal</v>
      </c>
      <c r="E136" s="14"/>
      <c r="F136" s="14"/>
      <c r="G136" s="14" t="n">
        <v>882</v>
      </c>
      <c r="H136" s="14" t="n">
        <v>882</v>
      </c>
      <c r="I136" s="53" t="n">
        <v>104228.83</v>
      </c>
      <c r="J136" s="12" t="s">
        <v>750</v>
      </c>
      <c r="K136" s="12"/>
      <c r="L136" s="23"/>
      <c r="M136" s="23"/>
      <c r="N136" s="23"/>
      <c r="O136" s="23"/>
      <c r="P136" s="23"/>
      <c r="Q136" s="23"/>
      <c r="R136" s="23"/>
      <c r="S136" s="23"/>
      <c r="T136" s="23"/>
      <c r="U136" s="23"/>
      <c r="V136" s="23"/>
      <c r="W136" s="23"/>
      <c r="X136" s="23"/>
      <c r="Y136" s="23"/>
      <c r="Z136" s="23"/>
    </row>
    <row r="137" customFormat="false" ht="15.75" hidden="false" customHeight="true" outlineLevel="0" collapsed="false">
      <c r="A137" s="52" t="n">
        <v>46304</v>
      </c>
      <c r="B137" s="14" t="s">
        <v>271</v>
      </c>
      <c r="C137" s="14" t="str">
        <f aca="false" t="array" ref="C137:C137">IF(B137="","",IFERROR(INDEX('CLM &amp; IM Mapping'!$B$2:$B$270,MATCH(TRIM(B137),'CLM &amp; IM Mapping'!$A$2:$A$270,0)),"Not Mapped"))</f>
        <v>Rizwan Ahmed</v>
      </c>
      <c r="D137" s="14" t="str">
        <f aca="false" t="array" ref="D137:D137">IF(B137="","",IFERROR(INDEX('CLM &amp; IM Mapping'!$C$2:$C$270,MATCH(TRIM(B137),'CLM &amp; IM Mapping'!$A$2:$A$270,0)),"Not Mapped"))</f>
        <v>Prakash BS</v>
      </c>
      <c r="E137" s="14"/>
      <c r="F137" s="14" t="n">
        <v>62</v>
      </c>
      <c r="G137" s="14" t="n">
        <v>215</v>
      </c>
      <c r="H137" s="14" t="n">
        <v>277</v>
      </c>
      <c r="I137" s="53" t="n">
        <v>85500.47</v>
      </c>
      <c r="J137" s="12" t="s">
        <v>751</v>
      </c>
      <c r="K137" s="12" t="s">
        <v>752</v>
      </c>
      <c r="L137" s="23"/>
      <c r="M137" s="23"/>
      <c r="N137" s="23"/>
      <c r="O137" s="23"/>
      <c r="P137" s="23"/>
      <c r="Q137" s="23"/>
      <c r="R137" s="23"/>
      <c r="S137" s="23"/>
      <c r="T137" s="23"/>
      <c r="U137" s="23"/>
      <c r="V137" s="23"/>
      <c r="W137" s="23"/>
      <c r="X137" s="23"/>
      <c r="Y137" s="23"/>
      <c r="Z137" s="23"/>
    </row>
    <row r="138" customFormat="false" ht="15.75" hidden="false" customHeight="true" outlineLevel="0" collapsed="false">
      <c r="A138" s="52" t="n">
        <v>46304</v>
      </c>
      <c r="B138" s="14" t="s">
        <v>150</v>
      </c>
      <c r="C138" s="14" t="str">
        <f aca="false" t="array" ref="C138:C138">IF(B138="","",IFERROR(INDEX('CLM &amp; IM Mapping'!$B$2:$B$270,MATCH(TRIM(B138),'CLM &amp; IM Mapping'!$A$2:$A$270,0)),"Not Mapped"))</f>
        <v>Akshay P</v>
      </c>
      <c r="D138" s="14" t="str">
        <f aca="false" t="array" ref="D138:D138">IF(B138="","",IFERROR(INDEX('CLM &amp; IM Mapping'!$C$2:$C$270,MATCH(TRIM(B138),'CLM &amp; IM Mapping'!$A$2:$A$270,0)),"Not Mapped"))</f>
        <v>Srittam Dhal</v>
      </c>
      <c r="E138" s="14"/>
      <c r="F138" s="14" t="n">
        <v>221</v>
      </c>
      <c r="G138" s="14" t="n">
        <v>486</v>
      </c>
      <c r="H138" s="14" t="n">
        <v>707</v>
      </c>
      <c r="I138" s="53" t="n">
        <v>54526.72</v>
      </c>
      <c r="J138" s="12"/>
      <c r="K138" s="12"/>
      <c r="L138" s="23"/>
      <c r="M138" s="23"/>
      <c r="N138" s="23"/>
      <c r="O138" s="23"/>
      <c r="P138" s="23"/>
      <c r="Q138" s="23"/>
      <c r="R138" s="23"/>
      <c r="S138" s="23"/>
      <c r="T138" s="23"/>
      <c r="U138" s="23"/>
      <c r="V138" s="23"/>
      <c r="W138" s="23"/>
      <c r="X138" s="23"/>
      <c r="Y138" s="23"/>
      <c r="Z138" s="23"/>
    </row>
    <row r="139" customFormat="false" ht="15.75" hidden="false" customHeight="true" outlineLevel="0" collapsed="false">
      <c r="A139" s="52" t="n">
        <v>46304</v>
      </c>
      <c r="B139" s="14" t="s">
        <v>479</v>
      </c>
      <c r="C139" s="14" t="str">
        <f aca="false" t="array" ref="C139:C139">IF(B139="","",IFERROR(INDEX('CLM &amp; IM Mapping'!$B$2:$B$270,MATCH(TRIM(B139),'CLM &amp; IM Mapping'!$A$2:$A$270,0)),"Not Mapped"))</f>
        <v>Arun Raj</v>
      </c>
      <c r="D139" s="14" t="str">
        <f aca="false" t="array" ref="D139:D139">IF(B139="","",IFERROR(INDEX('CLM &amp; IM Mapping'!$C$2:$C$270,MATCH(TRIM(B139),'CLM &amp; IM Mapping'!$A$2:$A$270,0)),"Not Mapped"))</f>
        <v>Simon Manoharan</v>
      </c>
      <c r="E139" s="14"/>
      <c r="F139" s="14"/>
      <c r="G139" s="14" t="n">
        <v>235</v>
      </c>
      <c r="H139" s="14" t="n">
        <v>235</v>
      </c>
      <c r="I139" s="53" t="n">
        <v>45403.21</v>
      </c>
      <c r="J139" s="12"/>
      <c r="K139" s="12"/>
      <c r="L139" s="23"/>
      <c r="M139" s="23"/>
      <c r="N139" s="23"/>
      <c r="O139" s="23"/>
      <c r="P139" s="23"/>
      <c r="Q139" s="23"/>
      <c r="R139" s="23"/>
      <c r="S139" s="23"/>
      <c r="T139" s="23"/>
      <c r="U139" s="23"/>
      <c r="V139" s="23"/>
      <c r="W139" s="23"/>
      <c r="X139" s="23"/>
      <c r="Y139" s="23"/>
      <c r="Z139" s="23"/>
    </row>
    <row r="140" customFormat="false" ht="15.75" hidden="false" customHeight="true" outlineLevel="0" collapsed="false">
      <c r="A140" s="52" t="n">
        <v>46304</v>
      </c>
      <c r="B140" s="14" t="s">
        <v>532</v>
      </c>
      <c r="C140" s="14" t="str">
        <f aca="false" t="array" ref="C140:C140">IF(B140="","",IFERROR(INDEX('CLM &amp; IM Mapping'!$B$2:$B$270,MATCH(TRIM(B140),'CLM &amp; IM Mapping'!$A$2:$A$270,0)),"Not Mapped"))</f>
        <v>Arun Raj</v>
      </c>
      <c r="D140" s="14" t="str">
        <f aca="false" t="array" ref="D140:D140">IF(B140="","",IFERROR(INDEX('CLM &amp; IM Mapping'!$C$2:$C$270,MATCH(TRIM(B140),'CLM &amp; IM Mapping'!$A$2:$A$270,0)),"Not Mapped"))</f>
        <v>Simon Manoharan</v>
      </c>
      <c r="E140" s="14"/>
      <c r="F140" s="14"/>
      <c r="G140" s="14" t="n">
        <v>131</v>
      </c>
      <c r="H140" s="14" t="n">
        <v>131</v>
      </c>
      <c r="I140" s="53" t="n">
        <v>40275.92</v>
      </c>
      <c r="J140" s="12"/>
      <c r="K140" s="12"/>
      <c r="L140" s="23"/>
      <c r="M140" s="23"/>
      <c r="N140" s="23"/>
      <c r="O140" s="23"/>
      <c r="P140" s="23"/>
      <c r="Q140" s="23"/>
      <c r="R140" s="23"/>
      <c r="S140" s="23"/>
      <c r="T140" s="23"/>
      <c r="U140" s="23"/>
      <c r="V140" s="23"/>
      <c r="W140" s="23"/>
      <c r="X140" s="23"/>
      <c r="Y140" s="23"/>
      <c r="Z140" s="23"/>
    </row>
    <row r="141" customFormat="false" ht="15.75" hidden="false" customHeight="true" outlineLevel="0" collapsed="false">
      <c r="A141" s="52" t="n">
        <v>46304</v>
      </c>
      <c r="B141" s="14" t="s">
        <v>70</v>
      </c>
      <c r="C141" s="14" t="str">
        <f aca="false" t="array" ref="C141:C141">IF(B141="","",IFERROR(INDEX('CLM &amp; IM Mapping'!$B$2:$B$270,MATCH(TRIM(B141),'CLM &amp; IM Mapping'!$A$2:$A$270,0)),"Not Mapped"))</f>
        <v>Rizwan Ahmed</v>
      </c>
      <c r="D141" s="14" t="str">
        <f aca="false" t="array" ref="D141:D141">IF(B141="","",IFERROR(INDEX('CLM &amp; IM Mapping'!$C$2:$C$270,MATCH(TRIM(B141),'CLM &amp; IM Mapping'!$A$2:$A$270,0)),"Not Mapped"))</f>
        <v>Un Mapped</v>
      </c>
      <c r="E141" s="14"/>
      <c r="F141" s="14" t="n">
        <v>111</v>
      </c>
      <c r="G141" s="14" t="n">
        <v>512</v>
      </c>
      <c r="H141" s="14" t="n">
        <v>623</v>
      </c>
      <c r="I141" s="53" t="n">
        <v>36928.15</v>
      </c>
      <c r="J141" s="12"/>
      <c r="K141" s="12"/>
      <c r="L141" s="23"/>
      <c r="M141" s="23"/>
      <c r="N141" s="23"/>
      <c r="O141" s="23"/>
      <c r="P141" s="23"/>
      <c r="Q141" s="23"/>
      <c r="R141" s="23"/>
      <c r="S141" s="23"/>
      <c r="T141" s="23"/>
      <c r="U141" s="23"/>
      <c r="V141" s="23"/>
      <c r="W141" s="23"/>
      <c r="X141" s="23"/>
      <c r="Y141" s="23"/>
      <c r="Z141" s="23"/>
    </row>
    <row r="142" customFormat="false" ht="15.75" hidden="false" customHeight="true" outlineLevel="0" collapsed="false">
      <c r="A142" s="52" t="n">
        <v>46304</v>
      </c>
      <c r="B142" s="14" t="s">
        <v>502</v>
      </c>
      <c r="C142" s="14" t="str">
        <f aca="false" t="array" ref="C142:C142">IF(B142="","",IFERROR(INDEX('CLM &amp; IM Mapping'!$B$2:$B$270,MATCH(TRIM(B142),'CLM &amp; IM Mapping'!$A$2:$A$270,0)),"Not Mapped"))</f>
        <v>Manjunatha V</v>
      </c>
      <c r="D142" s="14" t="str">
        <f aca="false" t="array" ref="D142:D142">IF(B142="","",IFERROR(INDEX('CLM &amp; IM Mapping'!$C$2:$C$270,MATCH(TRIM(B142),'CLM &amp; IM Mapping'!$A$2:$A$270,0)),"Not Mapped"))</f>
        <v>Un Mapped</v>
      </c>
      <c r="E142" s="14" t="n">
        <v>47</v>
      </c>
      <c r="F142" s="14"/>
      <c r="G142" s="14" t="n">
        <v>267</v>
      </c>
      <c r="H142" s="14" t="n">
        <v>314</v>
      </c>
      <c r="I142" s="53" t="n">
        <v>34682.88</v>
      </c>
      <c r="J142" s="12"/>
      <c r="K142" s="12"/>
      <c r="L142" s="23"/>
      <c r="M142" s="23"/>
      <c r="N142" s="23"/>
      <c r="O142" s="23"/>
      <c r="P142" s="23"/>
      <c r="Q142" s="23"/>
      <c r="R142" s="23"/>
      <c r="S142" s="23"/>
      <c r="T142" s="23"/>
      <c r="U142" s="23"/>
      <c r="V142" s="23"/>
      <c r="W142" s="23"/>
      <c r="X142" s="23"/>
      <c r="Y142" s="23"/>
      <c r="Z142" s="23"/>
    </row>
    <row r="143" customFormat="false" ht="15.75" hidden="false" customHeight="true" outlineLevel="0" collapsed="false">
      <c r="A143" s="52" t="n">
        <v>46304</v>
      </c>
      <c r="B143" s="14" t="s">
        <v>83</v>
      </c>
      <c r="C143" s="14" t="str">
        <f aca="false" t="array" ref="C143:C143">IF(B143="","",IFERROR(INDEX('CLM &amp; IM Mapping'!$B$2:$B$270,MATCH(TRIM(B143),'CLM &amp; IM Mapping'!$A$2:$A$270,0)),"Not Mapped"))</f>
        <v>Keshav G</v>
      </c>
      <c r="D143" s="14" t="str">
        <f aca="false" t="array" ref="D143:D143">IF(B143="","",IFERROR(INDEX('CLM &amp; IM Mapping'!$C$2:$C$270,MATCH(TRIM(B143),'CLM &amp; IM Mapping'!$A$2:$A$270,0)),"Not Mapped"))</f>
        <v>Mohammed Akbar</v>
      </c>
      <c r="E143" s="14"/>
      <c r="F143" s="14" t="n">
        <v>48</v>
      </c>
      <c r="G143" s="14" t="n">
        <v>595</v>
      </c>
      <c r="H143" s="14" t="n">
        <v>643</v>
      </c>
      <c r="I143" s="53" t="n">
        <v>32683.25</v>
      </c>
      <c r="J143" s="12"/>
      <c r="K143" s="12"/>
      <c r="L143" s="23"/>
      <c r="M143" s="23"/>
      <c r="N143" s="23"/>
      <c r="O143" s="23"/>
      <c r="P143" s="23"/>
      <c r="Q143" s="23"/>
      <c r="R143" s="23"/>
      <c r="S143" s="23"/>
      <c r="T143" s="23"/>
      <c r="U143" s="23"/>
      <c r="V143" s="23"/>
      <c r="W143" s="23"/>
      <c r="X143" s="23"/>
      <c r="Y143" s="23"/>
      <c r="Z143" s="23"/>
    </row>
    <row r="144" customFormat="false" ht="15.75" hidden="false" customHeight="true" outlineLevel="0" collapsed="false">
      <c r="A144" s="52" t="n">
        <v>46304</v>
      </c>
      <c r="B144" s="14" t="s">
        <v>198</v>
      </c>
      <c r="C144" s="14" t="str">
        <f aca="false" t="array" ref="C144:C144">IF(B144="","",IFERROR(INDEX('CLM &amp; IM Mapping'!$B$2:$B$270,MATCH(TRIM(B144),'CLM &amp; IM Mapping'!$A$2:$A$270,0)),"Not Mapped"))</f>
        <v>Manjunatha V</v>
      </c>
      <c r="D144" s="14" t="str">
        <f aca="false" t="array" ref="D144:D144">IF(B144="","",IFERROR(INDEX('CLM &amp; IM Mapping'!$C$2:$C$270,MATCH(TRIM(B144),'CLM &amp; IM Mapping'!$A$2:$A$270,0)),"Not Mapped"))</f>
        <v>Un Mapped</v>
      </c>
      <c r="E144" s="14" t="n">
        <v>153</v>
      </c>
      <c r="F144" s="14" t="n">
        <v>343</v>
      </c>
      <c r="G144" s="14" t="n">
        <v>44</v>
      </c>
      <c r="H144" s="14" t="n">
        <v>540</v>
      </c>
      <c r="I144" s="53" t="n">
        <v>31210.3</v>
      </c>
      <c r="J144" s="12"/>
      <c r="K144" s="12"/>
      <c r="L144" s="23"/>
      <c r="M144" s="23"/>
      <c r="N144" s="23"/>
      <c r="O144" s="23"/>
      <c r="P144" s="23"/>
      <c r="Q144" s="23"/>
      <c r="R144" s="23"/>
      <c r="S144" s="23"/>
      <c r="T144" s="23"/>
      <c r="U144" s="23"/>
      <c r="V144" s="23"/>
      <c r="W144" s="23"/>
      <c r="X144" s="23"/>
      <c r="Y144" s="23"/>
      <c r="Z144" s="23"/>
    </row>
    <row r="145" customFormat="false" ht="15.75" hidden="false" customHeight="true" outlineLevel="0" collapsed="false">
      <c r="A145" s="52" t="n">
        <v>46304</v>
      </c>
      <c r="B145" s="14" t="s">
        <v>38</v>
      </c>
      <c r="C145" s="14" t="str">
        <f aca="false" t="array" ref="C145:C145">IF(B145="","",IFERROR(INDEX('CLM &amp; IM Mapping'!$B$2:$B$270,MATCH(TRIM(B145),'CLM &amp; IM Mapping'!$A$2:$A$270,0)),"Not Mapped"))</f>
        <v>Vijay M</v>
      </c>
      <c r="D145" s="14" t="str">
        <f aca="false" t="array" ref="D145:D145">IF(B145="","",IFERROR(INDEX('CLM &amp; IM Mapping'!$C$2:$C$270,MATCH(TRIM(B145),'CLM &amp; IM Mapping'!$A$2:$A$270,0)),"Not Mapped"))</f>
        <v>Kantha Kumar</v>
      </c>
      <c r="E145" s="14" t="n">
        <v>57</v>
      </c>
      <c r="F145" s="14" t="n">
        <v>35</v>
      </c>
      <c r="G145" s="14" t="n">
        <v>186</v>
      </c>
      <c r="H145" s="14" t="n">
        <v>278</v>
      </c>
      <c r="I145" s="53" t="n">
        <v>30442.23</v>
      </c>
      <c r="J145" s="12"/>
      <c r="K145" s="12"/>
      <c r="L145" s="23"/>
      <c r="M145" s="23"/>
      <c r="N145" s="23"/>
      <c r="O145" s="23"/>
      <c r="P145" s="23"/>
      <c r="Q145" s="23"/>
      <c r="R145" s="23"/>
      <c r="S145" s="23"/>
      <c r="T145" s="23"/>
      <c r="U145" s="23"/>
      <c r="V145" s="23"/>
      <c r="W145" s="23"/>
      <c r="X145" s="23"/>
      <c r="Y145" s="23"/>
      <c r="Z145" s="23"/>
    </row>
    <row r="146" customFormat="false" ht="15.75" hidden="false" customHeight="true" outlineLevel="0" collapsed="false">
      <c r="A146" s="52" t="n">
        <v>46304</v>
      </c>
      <c r="B146" s="14" t="s">
        <v>123</v>
      </c>
      <c r="C146" s="14" t="str">
        <f aca="false" t="array" ref="C146:C146">IF(B146="","",IFERROR(INDEX('CLM &amp; IM Mapping'!$B$2:$B$270,MATCH(TRIM(B146),'CLM &amp; IM Mapping'!$A$2:$A$270,0)),"Not Mapped"))</f>
        <v>Silambarasan E</v>
      </c>
      <c r="D146" s="14" t="str">
        <f aca="false" t="array" ref="D146:D146">IF(B146="","",IFERROR(INDEX('CLM &amp; IM Mapping'!$C$2:$C$270,MATCH(TRIM(B146),'CLM &amp; IM Mapping'!$A$2:$A$270,0)),"Not Mapped"))</f>
        <v>Arivind S</v>
      </c>
      <c r="E146" s="14" t="n">
        <v>124</v>
      </c>
      <c r="F146" s="14" t="n">
        <v>3</v>
      </c>
      <c r="G146" s="14" t="n">
        <v>171</v>
      </c>
      <c r="H146" s="14" t="n">
        <v>298</v>
      </c>
      <c r="I146" s="53" t="n">
        <v>29851.78</v>
      </c>
      <c r="J146" s="12" t="s">
        <v>753</v>
      </c>
      <c r="K146" s="55" t="n">
        <v>0.708333333333333</v>
      </c>
      <c r="L146" s="23"/>
      <c r="M146" s="23"/>
      <c r="N146" s="23"/>
      <c r="O146" s="23"/>
      <c r="P146" s="23"/>
      <c r="Q146" s="23"/>
      <c r="R146" s="23"/>
      <c r="S146" s="23"/>
      <c r="T146" s="23"/>
      <c r="U146" s="23"/>
      <c r="V146" s="23"/>
      <c r="W146" s="23"/>
      <c r="X146" s="23"/>
      <c r="Y146" s="23"/>
      <c r="Z146" s="23"/>
    </row>
    <row r="147" customFormat="false" ht="15.75" hidden="false" customHeight="true" outlineLevel="0" collapsed="false">
      <c r="A147" s="52" t="n">
        <v>46304</v>
      </c>
      <c r="B147" s="14" t="s">
        <v>208</v>
      </c>
      <c r="C147" s="14" t="str">
        <f aca="false" t="array" ref="C147:C147">IF(B147="","",IFERROR(INDEX('CLM &amp; IM Mapping'!$B$2:$B$270,MATCH(TRIM(B147),'CLM &amp; IM Mapping'!$A$2:$A$270,0)),"Not Mapped"))</f>
        <v>Silambarasan E</v>
      </c>
      <c r="D147" s="14" t="str">
        <f aca="false" t="array" ref="D147:D147">IF(B147="","",IFERROR(INDEX('CLM &amp; IM Mapping'!$C$2:$C$270,MATCH(TRIM(B147),'CLM &amp; IM Mapping'!$A$2:$A$270,0)),"Not Mapped"))</f>
        <v>Arivind S</v>
      </c>
      <c r="E147" s="14"/>
      <c r="F147" s="14"/>
      <c r="G147" s="14" t="n">
        <v>150</v>
      </c>
      <c r="H147" s="14" t="n">
        <v>150</v>
      </c>
      <c r="I147" s="53" t="n">
        <v>29727.63</v>
      </c>
      <c r="J147" s="12"/>
      <c r="K147" s="12"/>
      <c r="L147" s="23"/>
      <c r="M147" s="23"/>
      <c r="N147" s="23"/>
      <c r="O147" s="23"/>
      <c r="P147" s="23"/>
      <c r="Q147" s="23"/>
      <c r="R147" s="23"/>
      <c r="S147" s="23"/>
      <c r="T147" s="23"/>
      <c r="U147" s="23"/>
      <c r="V147" s="23"/>
      <c r="W147" s="23"/>
      <c r="X147" s="23"/>
      <c r="Y147" s="23"/>
      <c r="Z147" s="23"/>
    </row>
    <row r="148" customFormat="false" ht="15.75" hidden="false" customHeight="true" outlineLevel="0" collapsed="false">
      <c r="A148" s="52" t="n">
        <v>46304</v>
      </c>
      <c r="B148" s="14" t="s">
        <v>517</v>
      </c>
      <c r="C148" s="14" t="str">
        <f aca="false" t="array" ref="C148:C148">IF(B148="","",IFERROR(INDEX('CLM &amp; IM Mapping'!$B$2:$B$270,MATCH(TRIM(B148),'CLM &amp; IM Mapping'!$A$2:$A$270,0)),"Not Mapped"))</f>
        <v>Manoj Kj</v>
      </c>
      <c r="D148" s="14" t="str">
        <f aca="false" t="array" ref="D148:D148">IF(B148="","",IFERROR(INDEX('CLM &amp; IM Mapping'!$C$2:$C$270,MATCH(TRIM(B148),'CLM &amp; IM Mapping'!$A$2:$A$270,0)),"Not Mapped"))</f>
        <v>Srittam Dhal</v>
      </c>
      <c r="E148" s="14" t="n">
        <v>382</v>
      </c>
      <c r="F148" s="14"/>
      <c r="G148" s="14"/>
      <c r="H148" s="14" t="n">
        <v>382</v>
      </c>
      <c r="I148" s="53" t="n">
        <v>29648.51</v>
      </c>
      <c r="J148" s="12"/>
      <c r="K148" s="12"/>
      <c r="L148" s="23"/>
      <c r="M148" s="23"/>
      <c r="N148" s="23"/>
      <c r="O148" s="23"/>
      <c r="P148" s="23"/>
      <c r="Q148" s="23"/>
      <c r="R148" s="23"/>
      <c r="S148" s="23"/>
      <c r="T148" s="23"/>
      <c r="U148" s="23"/>
      <c r="V148" s="23"/>
      <c r="W148" s="23"/>
      <c r="X148" s="23"/>
      <c r="Y148" s="23"/>
      <c r="Z148" s="23"/>
    </row>
    <row r="149" customFormat="false" ht="15.75" hidden="false" customHeight="true" outlineLevel="0" collapsed="false">
      <c r="A149" s="52" t="n">
        <v>46304</v>
      </c>
      <c r="B149" s="14" t="s">
        <v>33</v>
      </c>
      <c r="C149" s="14" t="str">
        <f aca="false" t="array" ref="C149:C149">IF(B149="","",IFERROR(INDEX('CLM &amp; IM Mapping'!$B$2:$B$270,MATCH(TRIM(B149),'CLM &amp; IM Mapping'!$A$2:$A$270,0)),"Not Mapped"))</f>
        <v>Manoj Kj</v>
      </c>
      <c r="D149" s="14" t="str">
        <f aca="false" t="array" ref="D149:D149">IF(B149="","",IFERROR(INDEX('CLM &amp; IM Mapping'!$C$2:$C$270,MATCH(TRIM(B149),'CLM &amp; IM Mapping'!$A$2:$A$270,0)),"Not Mapped"))</f>
        <v>Srittam Dhal</v>
      </c>
      <c r="E149" s="14"/>
      <c r="F149" s="14"/>
      <c r="G149" s="14" t="n">
        <v>516</v>
      </c>
      <c r="H149" s="14" t="n">
        <v>516</v>
      </c>
      <c r="I149" s="53" t="n">
        <v>27727.38</v>
      </c>
      <c r="J149" s="12"/>
      <c r="K149" s="12"/>
      <c r="L149" s="23"/>
      <c r="M149" s="23"/>
      <c r="N149" s="23"/>
      <c r="O149" s="23"/>
      <c r="P149" s="23"/>
      <c r="Q149" s="23"/>
      <c r="R149" s="23"/>
      <c r="S149" s="23"/>
      <c r="T149" s="23"/>
      <c r="U149" s="23"/>
      <c r="V149" s="23"/>
      <c r="W149" s="23"/>
      <c r="X149" s="23"/>
      <c r="Y149" s="23"/>
      <c r="Z149" s="23"/>
    </row>
    <row r="150" customFormat="false" ht="15.75" hidden="false" customHeight="true" outlineLevel="0" collapsed="false">
      <c r="A150" s="52" t="n">
        <v>46304</v>
      </c>
      <c r="B150" s="14" t="s">
        <v>227</v>
      </c>
      <c r="C150" s="14" t="str">
        <f aca="false" t="array" ref="C150:C150">IF(B150="","",IFERROR(INDEX('CLM &amp; IM Mapping'!$B$2:$B$270,MATCH(TRIM(B150),'CLM &amp; IM Mapping'!$A$2:$A$270,0)),"Not Mapped"))</f>
        <v>Vijay M</v>
      </c>
      <c r="D150" s="14" t="str">
        <f aca="false" t="array" ref="D150:D150">IF(B150="","",IFERROR(INDEX('CLM &amp; IM Mapping'!$C$2:$C$270,MATCH(TRIM(B150),'CLM &amp; IM Mapping'!$A$2:$A$270,0)),"Not Mapped"))</f>
        <v>Kantha Kumar</v>
      </c>
      <c r="E150" s="14" t="n">
        <v>138</v>
      </c>
      <c r="F150" s="14"/>
      <c r="G150" s="14" t="n">
        <v>168</v>
      </c>
      <c r="H150" s="14" t="n">
        <v>306</v>
      </c>
      <c r="I150" s="53" t="n">
        <v>25072.87</v>
      </c>
      <c r="J150" s="12"/>
      <c r="K150" s="12"/>
      <c r="L150" s="23"/>
      <c r="M150" s="23"/>
      <c r="N150" s="23"/>
      <c r="O150" s="23"/>
      <c r="P150" s="23"/>
      <c r="Q150" s="23"/>
      <c r="R150" s="23"/>
      <c r="S150" s="23"/>
      <c r="T150" s="23"/>
      <c r="U150" s="23"/>
      <c r="V150" s="23"/>
      <c r="W150" s="23"/>
      <c r="X150" s="23"/>
      <c r="Y150" s="23"/>
      <c r="Z150" s="23"/>
    </row>
    <row r="151" customFormat="false" ht="15.75" hidden="false" customHeight="true" outlineLevel="0" collapsed="false">
      <c r="A151" s="52" t="n">
        <v>46304</v>
      </c>
      <c r="B151" s="14" t="s">
        <v>186</v>
      </c>
      <c r="C151" s="14" t="str">
        <f aca="false" t="array" ref="C151:C151">IF(B151="","",IFERROR(INDEX('CLM &amp; IM Mapping'!$B$2:$B$270,MATCH(TRIM(B151),'CLM &amp; IM Mapping'!$A$2:$A$270,0)),"Not Mapped"))</f>
        <v>Silambarasan E</v>
      </c>
      <c r="D151" s="14" t="str">
        <f aca="false" t="array" ref="D151:D151">IF(B151="","",IFERROR(INDEX('CLM &amp; IM Mapping'!$C$2:$C$270,MATCH(TRIM(B151),'CLM &amp; IM Mapping'!$A$2:$A$270,0)),"Not Mapped"))</f>
        <v>Arivind S</v>
      </c>
      <c r="E151" s="14" t="n">
        <v>137</v>
      </c>
      <c r="F151" s="14" t="n">
        <v>178</v>
      </c>
      <c r="G151" s="14"/>
      <c r="H151" s="14" t="n">
        <v>315</v>
      </c>
      <c r="I151" s="53" t="n">
        <v>18189.35</v>
      </c>
      <c r="J151" s="12" t="s">
        <v>754</v>
      </c>
      <c r="K151" s="55" t="n">
        <v>0.75</v>
      </c>
      <c r="L151" s="23"/>
      <c r="M151" s="23"/>
      <c r="N151" s="23"/>
      <c r="O151" s="23"/>
      <c r="P151" s="23"/>
      <c r="Q151" s="23"/>
      <c r="R151" s="23"/>
      <c r="S151" s="23"/>
      <c r="T151" s="23"/>
      <c r="U151" s="23"/>
      <c r="V151" s="23"/>
      <c r="W151" s="23"/>
      <c r="X151" s="23"/>
      <c r="Y151" s="23"/>
      <c r="Z151" s="23"/>
    </row>
    <row r="152" customFormat="false" ht="15.75" hidden="false" customHeight="true" outlineLevel="0" collapsed="false">
      <c r="A152" s="52" t="n">
        <v>46304</v>
      </c>
      <c r="B152" s="14" t="s">
        <v>404</v>
      </c>
      <c r="C152" s="14" t="str">
        <f aca="false" t="array" ref="C152:C152">IF(B152="","",IFERROR(INDEX('CLM &amp; IM Mapping'!$B$2:$B$270,MATCH(TRIM(B152),'CLM &amp; IM Mapping'!$A$2:$A$270,0)),"Not Mapped"))</f>
        <v>Arun Raj</v>
      </c>
      <c r="D152" s="14" t="str">
        <f aca="false" t="array" ref="D152:D152">IF(B152="","",IFERROR(INDEX('CLM &amp; IM Mapping'!$C$2:$C$270,MATCH(TRIM(B152),'CLM &amp; IM Mapping'!$A$2:$A$270,0)),"Not Mapped"))</f>
        <v>Simon Manoharan</v>
      </c>
      <c r="E152" s="14"/>
      <c r="F152" s="14"/>
      <c r="G152" s="14" t="n">
        <v>58</v>
      </c>
      <c r="H152" s="14" t="n">
        <v>58</v>
      </c>
      <c r="I152" s="53" t="n">
        <v>17164.43</v>
      </c>
      <c r="J152" s="12"/>
      <c r="K152" s="12"/>
      <c r="L152" s="23"/>
      <c r="M152" s="23"/>
      <c r="N152" s="23"/>
      <c r="O152" s="23"/>
      <c r="P152" s="23"/>
      <c r="Q152" s="23"/>
      <c r="R152" s="23"/>
      <c r="S152" s="23"/>
      <c r="T152" s="23"/>
      <c r="U152" s="23"/>
      <c r="V152" s="23"/>
      <c r="W152" s="23"/>
      <c r="X152" s="23"/>
      <c r="Y152" s="23"/>
      <c r="Z152" s="23"/>
    </row>
    <row r="153" customFormat="false" ht="15.75" hidden="false" customHeight="true" outlineLevel="0" collapsed="false">
      <c r="A153" s="52" t="n">
        <v>46304</v>
      </c>
      <c r="B153" s="14" t="s">
        <v>173</v>
      </c>
      <c r="C153" s="14" t="str">
        <f aca="false" t="array" ref="C153:C153">IF(B153="","",IFERROR(INDEX('CLM &amp; IM Mapping'!$B$2:$B$270,MATCH(TRIM(B153),'CLM &amp; IM Mapping'!$A$2:$A$270,0)),"Not Mapped"))</f>
        <v>Akshay P</v>
      </c>
      <c r="D153" s="14" t="str">
        <f aca="false" t="array" ref="D153:D153">IF(B153="","",IFERROR(INDEX('CLM &amp; IM Mapping'!$C$2:$C$270,MATCH(TRIM(B153),'CLM &amp; IM Mapping'!$A$2:$A$270,0)),"Not Mapped"))</f>
        <v>Srittam Dhal</v>
      </c>
      <c r="E153" s="14"/>
      <c r="F153" s="14" t="n">
        <v>226</v>
      </c>
      <c r="G153" s="14" t="n">
        <v>107</v>
      </c>
      <c r="H153" s="14" t="n">
        <v>333</v>
      </c>
      <c r="I153" s="53" t="n">
        <v>16138.72</v>
      </c>
      <c r="J153" s="12"/>
      <c r="K153" s="12"/>
      <c r="L153" s="23"/>
      <c r="M153" s="23"/>
      <c r="N153" s="23"/>
      <c r="O153" s="23"/>
      <c r="P153" s="23"/>
      <c r="Q153" s="23"/>
      <c r="R153" s="23"/>
      <c r="S153" s="23"/>
      <c r="T153" s="23"/>
      <c r="U153" s="23"/>
      <c r="V153" s="23"/>
      <c r="W153" s="23"/>
      <c r="X153" s="23"/>
      <c r="Y153" s="23"/>
      <c r="Z153" s="23"/>
    </row>
    <row r="154" customFormat="false" ht="15.75" hidden="false" customHeight="true" outlineLevel="0" collapsed="false">
      <c r="A154" s="52" t="n">
        <v>46304</v>
      </c>
      <c r="B154" s="14" t="s">
        <v>443</v>
      </c>
      <c r="C154" s="14" t="str">
        <f aca="false" t="array" ref="C154:C154">IF(B154="","",IFERROR(INDEX('CLM &amp; IM Mapping'!$B$2:$B$270,MATCH(TRIM(B154),'CLM &amp; IM Mapping'!$A$2:$A$270,0)),"Not Mapped"))</f>
        <v>Manoj Kj</v>
      </c>
      <c r="D154" s="14" t="str">
        <f aca="false" t="array" ref="D154:D154">IF(B154="","",IFERROR(INDEX('CLM &amp; IM Mapping'!$C$2:$C$270,MATCH(TRIM(B154),'CLM &amp; IM Mapping'!$A$2:$A$270,0)),"Not Mapped"))</f>
        <v>Srittam Dhal</v>
      </c>
      <c r="E154" s="14" t="n">
        <v>90</v>
      </c>
      <c r="F154" s="14"/>
      <c r="G154" s="14"/>
      <c r="H154" s="14" t="n">
        <v>90</v>
      </c>
      <c r="I154" s="53" t="n">
        <v>15703.59</v>
      </c>
      <c r="J154" s="12"/>
      <c r="K154" s="12"/>
      <c r="L154" s="23"/>
      <c r="M154" s="23"/>
      <c r="N154" s="23"/>
      <c r="O154" s="23"/>
      <c r="P154" s="23"/>
      <c r="Q154" s="23"/>
      <c r="R154" s="23"/>
      <c r="S154" s="23"/>
      <c r="T154" s="23"/>
      <c r="U154" s="23"/>
      <c r="V154" s="23"/>
      <c r="W154" s="23"/>
      <c r="X154" s="23"/>
      <c r="Y154" s="23"/>
      <c r="Z154" s="23"/>
    </row>
    <row r="155" customFormat="false" ht="15.75" hidden="false" customHeight="true" outlineLevel="0" collapsed="false">
      <c r="A155" s="52" t="n">
        <v>46304</v>
      </c>
      <c r="B155" s="14" t="s">
        <v>327</v>
      </c>
      <c r="C155" s="14" t="str">
        <f aca="false" t="array" ref="C155:C155">IF(B155="","",IFERROR(INDEX('CLM &amp; IM Mapping'!$B$2:$B$270,MATCH(TRIM(B155),'CLM &amp; IM Mapping'!$A$2:$A$270,0)),"Not Mapped"))</f>
        <v>Suhas N</v>
      </c>
      <c r="D155" s="14" t="str">
        <f aca="false" t="array" ref="D155:D155">IF(B155="","",IFERROR(INDEX('CLM &amp; IM Mapping'!$C$2:$C$270,MATCH(TRIM(B155),'CLM &amp; IM Mapping'!$A$2:$A$270,0)),"Not Mapped"))</f>
        <v>Aravind S</v>
      </c>
      <c r="E155" s="14" t="n">
        <v>221</v>
      </c>
      <c r="F155" s="14"/>
      <c r="G155" s="14" t="n">
        <v>64</v>
      </c>
      <c r="H155" s="14" t="n">
        <v>285</v>
      </c>
      <c r="I155" s="53" t="n">
        <v>14083.42</v>
      </c>
      <c r="J155" s="12" t="s">
        <v>755</v>
      </c>
      <c r="K155" s="56" t="n">
        <v>46304</v>
      </c>
      <c r="L155" s="23"/>
      <c r="M155" s="23"/>
      <c r="N155" s="23"/>
      <c r="O155" s="23"/>
      <c r="P155" s="23"/>
      <c r="Q155" s="23"/>
      <c r="R155" s="23"/>
      <c r="S155" s="23"/>
      <c r="T155" s="23"/>
      <c r="U155" s="23"/>
      <c r="V155" s="23"/>
      <c r="W155" s="23"/>
      <c r="X155" s="23"/>
      <c r="Y155" s="23"/>
      <c r="Z155" s="23"/>
    </row>
    <row r="156" customFormat="false" ht="15.75" hidden="false" customHeight="true" outlineLevel="0" collapsed="false">
      <c r="A156" s="52" t="n">
        <v>46304</v>
      </c>
      <c r="B156" s="14" t="s">
        <v>505</v>
      </c>
      <c r="C156" s="14" t="str">
        <f aca="false" t="array" ref="C156:C156">IF(B156="","",IFERROR(INDEX('CLM &amp; IM Mapping'!$B$2:$B$270,MATCH(TRIM(B156),'CLM &amp; IM Mapping'!$A$2:$A$270,0)),"Not Mapped"))</f>
        <v>Basil Scariya</v>
      </c>
      <c r="D156" s="14" t="str">
        <f aca="false" t="array" ref="D156:D156">IF(B156="","",IFERROR(INDEX('CLM &amp; IM Mapping'!$C$2:$C$270,MATCH(TRIM(B156),'CLM &amp; IM Mapping'!$A$2:$A$270,0)),"Not Mapped"))</f>
        <v>Prakash BS</v>
      </c>
      <c r="E156" s="14"/>
      <c r="F156" s="14" t="n">
        <v>32</v>
      </c>
      <c r="G156" s="14" t="n">
        <v>3</v>
      </c>
      <c r="H156" s="14" t="n">
        <v>35</v>
      </c>
      <c r="I156" s="53" t="n">
        <v>13998.36</v>
      </c>
      <c r="J156" s="12" t="s">
        <v>756</v>
      </c>
      <c r="K156" s="12"/>
      <c r="L156" s="23"/>
      <c r="M156" s="23"/>
      <c r="N156" s="23"/>
      <c r="O156" s="23"/>
      <c r="P156" s="23"/>
      <c r="Q156" s="23"/>
      <c r="R156" s="23"/>
      <c r="S156" s="23"/>
      <c r="T156" s="23"/>
      <c r="U156" s="23"/>
      <c r="V156" s="23"/>
      <c r="W156" s="23"/>
      <c r="X156" s="23"/>
      <c r="Y156" s="23"/>
      <c r="Z156" s="23"/>
    </row>
    <row r="157" customFormat="false" ht="15.75" hidden="false" customHeight="true" outlineLevel="0" collapsed="false">
      <c r="A157" s="52" t="n">
        <v>46304</v>
      </c>
      <c r="B157" s="14" t="s">
        <v>188</v>
      </c>
      <c r="C157" s="14" t="str">
        <f aca="false" t="array" ref="C157:C157">IF(B157="","",IFERROR(INDEX('CLM &amp; IM Mapping'!$B$2:$B$270,MATCH(TRIM(B157),'CLM &amp; IM Mapping'!$A$2:$A$270,0)),"Not Mapped"))</f>
        <v>Richard Harris</v>
      </c>
      <c r="D157" s="14" t="str">
        <f aca="false" t="array" ref="D157:D157">IF(B157="","",IFERROR(INDEX('CLM &amp; IM Mapping'!$C$2:$C$270,MATCH(TRIM(B157),'CLM &amp; IM Mapping'!$A$2:$A$270,0)),"Not Mapped"))</f>
        <v>Kantha Kumar</v>
      </c>
      <c r="E157" s="14"/>
      <c r="F157" s="14"/>
      <c r="G157" s="14" t="n">
        <v>37</v>
      </c>
      <c r="H157" s="14" t="n">
        <v>37</v>
      </c>
      <c r="I157" s="53" t="n">
        <v>13082.59</v>
      </c>
      <c r="J157" s="12"/>
      <c r="K157" s="12"/>
      <c r="L157" s="23"/>
      <c r="M157" s="23"/>
      <c r="N157" s="23"/>
      <c r="O157" s="23"/>
      <c r="P157" s="23"/>
      <c r="Q157" s="23"/>
      <c r="R157" s="23"/>
      <c r="S157" s="23"/>
      <c r="T157" s="23"/>
      <c r="U157" s="23"/>
      <c r="V157" s="23"/>
      <c r="W157" s="23"/>
      <c r="X157" s="23"/>
      <c r="Y157" s="23"/>
      <c r="Z157" s="23"/>
    </row>
    <row r="158" customFormat="false" ht="15.75" hidden="false" customHeight="true" outlineLevel="0" collapsed="false">
      <c r="A158" s="52" t="n">
        <v>46304</v>
      </c>
      <c r="B158" s="14" t="s">
        <v>156</v>
      </c>
      <c r="C158" s="14" t="str">
        <f aca="false" t="array" ref="C158:C158">IF(B158="","",IFERROR(INDEX('CLM &amp; IM Mapping'!$B$2:$B$270,MATCH(TRIM(B158),'CLM &amp; IM Mapping'!$A$2:$A$270,0)),"Not Mapped"))</f>
        <v>Manoj Kj</v>
      </c>
      <c r="D158" s="14" t="str">
        <f aca="false" t="array" ref="D158:D158">IF(B158="","",IFERROR(INDEX('CLM &amp; IM Mapping'!$C$2:$C$270,MATCH(TRIM(B158),'CLM &amp; IM Mapping'!$A$2:$A$270,0)),"Not Mapped"))</f>
        <v>Srittam Dhal</v>
      </c>
      <c r="E158" s="14" t="n">
        <v>4</v>
      </c>
      <c r="F158" s="14" t="n">
        <v>163</v>
      </c>
      <c r="G158" s="14" t="n">
        <v>93</v>
      </c>
      <c r="H158" s="14" t="n">
        <v>260</v>
      </c>
      <c r="I158" s="53" t="n">
        <v>13063.34</v>
      </c>
      <c r="J158" s="12"/>
      <c r="K158" s="12"/>
      <c r="L158" s="23"/>
      <c r="M158" s="23"/>
      <c r="N158" s="23"/>
      <c r="O158" s="23"/>
      <c r="P158" s="23"/>
      <c r="Q158" s="23"/>
      <c r="R158" s="23"/>
      <c r="S158" s="23"/>
      <c r="T158" s="23"/>
      <c r="U158" s="23"/>
      <c r="V158" s="23"/>
      <c r="W158" s="23"/>
      <c r="X158" s="23"/>
      <c r="Y158" s="23"/>
      <c r="Z158" s="23"/>
    </row>
    <row r="159" customFormat="false" ht="15.75" hidden="false" customHeight="true" outlineLevel="0" collapsed="false">
      <c r="A159" s="52" t="n">
        <v>46304</v>
      </c>
      <c r="B159" s="14" t="s">
        <v>265</v>
      </c>
      <c r="C159" s="14" t="str">
        <f aca="false" t="array" ref="C159:C159">IF(B159="","",IFERROR(INDEX('CLM &amp; IM Mapping'!$B$2:$B$270,MATCH(TRIM(B159),'CLM &amp; IM Mapping'!$A$2:$A$270,0)),"Not Mapped"))</f>
        <v>Adhavan Subramani</v>
      </c>
      <c r="D159" s="14" t="str">
        <f aca="false" t="array" ref="D159:D159">IF(B159="","",IFERROR(INDEX('CLM &amp; IM Mapping'!$C$2:$C$270,MATCH(TRIM(B159),'CLM &amp; IM Mapping'!$A$2:$A$270,0)),"Not Mapped"))</f>
        <v>Mohammed Akbar</v>
      </c>
      <c r="E159" s="14" t="n">
        <v>10</v>
      </c>
      <c r="F159" s="14" t="n">
        <v>94</v>
      </c>
      <c r="G159" s="14"/>
      <c r="H159" s="14" t="n">
        <v>104</v>
      </c>
      <c r="I159" s="53" t="n">
        <v>12043.97</v>
      </c>
      <c r="J159" s="12"/>
      <c r="K159" s="12"/>
      <c r="L159" s="23"/>
      <c r="M159" s="23"/>
      <c r="N159" s="23"/>
      <c r="O159" s="23"/>
      <c r="P159" s="23"/>
      <c r="Q159" s="23"/>
      <c r="R159" s="23"/>
      <c r="S159" s="23"/>
      <c r="T159" s="23"/>
      <c r="U159" s="23"/>
      <c r="V159" s="23"/>
      <c r="W159" s="23"/>
      <c r="X159" s="23"/>
      <c r="Y159" s="23"/>
      <c r="Z159" s="23"/>
    </row>
    <row r="160" customFormat="false" ht="15.75" hidden="false" customHeight="true" outlineLevel="0" collapsed="false">
      <c r="A160" s="52" t="n">
        <v>46304</v>
      </c>
      <c r="B160" s="14" t="s">
        <v>317</v>
      </c>
      <c r="C160" s="14" t="str">
        <f aca="false" t="array" ref="C160:C160">IF(B160="","",IFERROR(INDEX('CLM &amp; IM Mapping'!$B$2:$B$270,MATCH(TRIM(B160),'CLM &amp; IM Mapping'!$A$2:$A$270,0)),"Not Mapped"))</f>
        <v>Akshay P</v>
      </c>
      <c r="D160" s="14" t="str">
        <f aca="false" t="array" ref="D160:D160">IF(B160="","",IFERROR(INDEX('CLM &amp; IM Mapping'!$C$2:$C$270,MATCH(TRIM(B160),'CLM &amp; IM Mapping'!$A$2:$A$270,0)),"Not Mapped"))</f>
        <v>Srittam Dhal</v>
      </c>
      <c r="E160" s="14" t="n">
        <v>53</v>
      </c>
      <c r="F160" s="14"/>
      <c r="G160" s="14" t="n">
        <v>58</v>
      </c>
      <c r="H160" s="14" t="n">
        <v>111</v>
      </c>
      <c r="I160" s="53" t="n">
        <v>11422.81</v>
      </c>
      <c r="J160" s="12"/>
      <c r="K160" s="12"/>
      <c r="L160" s="23"/>
      <c r="M160" s="23"/>
      <c r="N160" s="23"/>
      <c r="O160" s="23"/>
      <c r="P160" s="23"/>
      <c r="Q160" s="23"/>
      <c r="R160" s="23"/>
      <c r="S160" s="23"/>
      <c r="T160" s="23"/>
      <c r="U160" s="23"/>
      <c r="V160" s="23"/>
      <c r="W160" s="23"/>
      <c r="X160" s="23"/>
      <c r="Y160" s="23"/>
      <c r="Z160" s="23"/>
    </row>
    <row r="161" customFormat="false" ht="15.75" hidden="false" customHeight="true" outlineLevel="0" collapsed="false">
      <c r="A161" s="52" t="n">
        <v>46304</v>
      </c>
      <c r="B161" s="14" t="s">
        <v>65</v>
      </c>
      <c r="C161" s="14" t="str">
        <f aca="false" t="array" ref="C161:C161">IF(B161="","",IFERROR(INDEX('CLM &amp; IM Mapping'!$B$2:$B$270,MATCH(TRIM(B161),'CLM &amp; IM Mapping'!$A$2:$A$270,0)),"Not Mapped"))</f>
        <v>Adhavan Subramani</v>
      </c>
      <c r="D161" s="14" t="str">
        <f aca="false" t="array" ref="D161:D161">IF(B161="","",IFERROR(INDEX('CLM &amp; IM Mapping'!$C$2:$C$270,MATCH(TRIM(B161),'CLM &amp; IM Mapping'!$A$2:$A$270,0)),"Not Mapped"))</f>
        <v>Mohammed Akbar</v>
      </c>
      <c r="E161" s="14"/>
      <c r="F161" s="14" t="n">
        <v>94</v>
      </c>
      <c r="G161" s="14" t="n">
        <v>16</v>
      </c>
      <c r="H161" s="14" t="n">
        <v>110</v>
      </c>
      <c r="I161" s="53" t="n">
        <v>11102.63</v>
      </c>
      <c r="J161" s="12"/>
      <c r="K161" s="12"/>
      <c r="L161" s="23"/>
      <c r="M161" s="23"/>
      <c r="N161" s="23"/>
      <c r="O161" s="23"/>
      <c r="P161" s="23"/>
      <c r="Q161" s="23"/>
      <c r="R161" s="23"/>
      <c r="S161" s="23"/>
      <c r="T161" s="23"/>
      <c r="U161" s="23"/>
      <c r="V161" s="23"/>
      <c r="W161" s="23"/>
      <c r="X161" s="23"/>
      <c r="Y161" s="23"/>
      <c r="Z161" s="23"/>
    </row>
    <row r="162" customFormat="false" ht="15.75" hidden="false" customHeight="true" outlineLevel="0" collapsed="false">
      <c r="A162" s="52" t="n">
        <v>46304</v>
      </c>
      <c r="B162" s="14" t="s">
        <v>483</v>
      </c>
      <c r="C162" s="14" t="str">
        <f aca="false" t="array" ref="C162:C162">IF(B162="","",IFERROR(INDEX('CLM &amp; IM Mapping'!$B$2:$B$270,MATCH(TRIM(B162),'CLM &amp; IM Mapping'!$A$2:$A$270,0)),"Not Mapped"))</f>
        <v>Sundaresh S</v>
      </c>
      <c r="D162" s="14" t="str">
        <f aca="false" t="array" ref="D162:D162">IF(B162="","",IFERROR(INDEX('CLM &amp; IM Mapping'!$C$2:$C$270,MATCH(TRIM(B162),'CLM &amp; IM Mapping'!$A$2:$A$270,0)),"Not Mapped"))</f>
        <v>Un Mapped</v>
      </c>
      <c r="E162" s="14"/>
      <c r="F162" s="14" t="n">
        <v>2</v>
      </c>
      <c r="G162" s="14" t="n">
        <v>11</v>
      </c>
      <c r="H162" s="14" t="n">
        <v>13</v>
      </c>
      <c r="I162" s="53" t="n">
        <v>11024.28</v>
      </c>
      <c r="J162" s="12"/>
      <c r="K162" s="12"/>
      <c r="L162" s="23"/>
      <c r="M162" s="23"/>
      <c r="N162" s="23"/>
      <c r="O162" s="23"/>
      <c r="P162" s="23"/>
      <c r="Q162" s="23"/>
      <c r="R162" s="23"/>
      <c r="S162" s="23"/>
      <c r="T162" s="23"/>
      <c r="U162" s="23"/>
      <c r="V162" s="23"/>
      <c r="W162" s="23"/>
      <c r="X162" s="23"/>
      <c r="Y162" s="23"/>
      <c r="Z162" s="23"/>
    </row>
    <row r="163" customFormat="false" ht="15.75" hidden="false" customHeight="true" outlineLevel="0" collapsed="false">
      <c r="A163" s="52" t="n">
        <v>46304</v>
      </c>
      <c r="B163" s="14" t="s">
        <v>153</v>
      </c>
      <c r="C163" s="14" t="str">
        <f aca="false" t="array" ref="C163:C163">IF(B163="","",IFERROR(INDEX('CLM &amp; IM Mapping'!$B$2:$B$270,MATCH(TRIM(B163),'CLM &amp; IM Mapping'!$A$2:$A$270,0)),"Not Mapped"))</f>
        <v>Ashwath S</v>
      </c>
      <c r="D163" s="14" t="str">
        <f aca="false" t="array" ref="D163:D163">IF(B163="","",IFERROR(INDEX('CLM &amp; IM Mapping'!$C$2:$C$270,MATCH(TRIM(B163),'CLM &amp; IM Mapping'!$A$2:$A$270,0)),"Not Mapped"))</f>
        <v>Kantha Kumar</v>
      </c>
      <c r="E163" s="14" t="n">
        <v>46</v>
      </c>
      <c r="F163" s="14"/>
      <c r="G163" s="14" t="n">
        <v>7</v>
      </c>
      <c r="H163" s="14" t="n">
        <v>53</v>
      </c>
      <c r="I163" s="53" t="n">
        <v>10260.24</v>
      </c>
      <c r="J163" s="12"/>
      <c r="K163" s="12"/>
      <c r="L163" s="23"/>
      <c r="M163" s="23"/>
      <c r="N163" s="23"/>
      <c r="O163" s="23"/>
      <c r="P163" s="23"/>
      <c r="Q163" s="23"/>
      <c r="R163" s="23"/>
      <c r="S163" s="23"/>
      <c r="T163" s="23"/>
      <c r="U163" s="23"/>
      <c r="V163" s="23"/>
      <c r="W163" s="23"/>
      <c r="X163" s="23"/>
      <c r="Y163" s="23"/>
      <c r="Z163" s="23"/>
    </row>
    <row r="164" customFormat="false" ht="15.75" hidden="false" customHeight="true" outlineLevel="0" collapsed="false">
      <c r="A164" s="52" t="n">
        <v>46304</v>
      </c>
      <c r="B164" s="14" t="s">
        <v>50</v>
      </c>
      <c r="C164" s="14" t="str">
        <f aca="false" t="array" ref="C164:C164">IF(B164="","",IFERROR(INDEX('CLM &amp; IM Mapping'!$B$2:$B$270,MATCH(TRIM(B164),'CLM &amp; IM Mapping'!$A$2:$A$270,0)),"Not Mapped"))</f>
        <v>Arun Raj</v>
      </c>
      <c r="D164" s="14" t="str">
        <f aca="false" t="array" ref="D164:D164">IF(B164="","",IFERROR(INDEX('CLM &amp; IM Mapping'!$C$2:$C$270,MATCH(TRIM(B164),'CLM &amp; IM Mapping'!$A$2:$A$270,0)),"Not Mapped"))</f>
        <v>Simon Manoharan</v>
      </c>
      <c r="E164" s="14"/>
      <c r="F164" s="14"/>
      <c r="G164" s="14" t="n">
        <v>51</v>
      </c>
      <c r="H164" s="14" t="n">
        <v>51</v>
      </c>
      <c r="I164" s="53" t="n">
        <v>9470.79</v>
      </c>
      <c r="J164" s="12"/>
      <c r="K164" s="12"/>
      <c r="L164" s="23"/>
      <c r="M164" s="23"/>
      <c r="N164" s="23"/>
      <c r="O164" s="23"/>
      <c r="P164" s="23"/>
      <c r="Q164" s="23"/>
      <c r="R164" s="23"/>
      <c r="S164" s="23"/>
      <c r="T164" s="23"/>
      <c r="U164" s="23"/>
      <c r="V164" s="23"/>
      <c r="W164" s="23"/>
      <c r="X164" s="23"/>
      <c r="Y164" s="23"/>
      <c r="Z164" s="23"/>
    </row>
    <row r="165" customFormat="false" ht="15.75" hidden="false" customHeight="true" outlineLevel="0" collapsed="false">
      <c r="A165" s="52" t="n">
        <v>46304</v>
      </c>
      <c r="B165" s="14" t="s">
        <v>144</v>
      </c>
      <c r="C165" s="14" t="str">
        <f aca="false" t="array" ref="C165:C165">IF(B165="","",IFERROR(INDEX('CLM &amp; IM Mapping'!$B$2:$B$270,MATCH(TRIM(B165),'CLM &amp; IM Mapping'!$A$2:$A$270,0)),"Not Mapped"))</f>
        <v>Mohaideen DH</v>
      </c>
      <c r="D165" s="14" t="str">
        <f aca="false" t="array" ref="D165:D165">IF(B165="","",IFERROR(INDEX('CLM &amp; IM Mapping'!$C$2:$C$270,MATCH(TRIM(B165),'CLM &amp; IM Mapping'!$A$2:$A$270,0)),"Not Mapped"))</f>
        <v>Mohammed Akbar</v>
      </c>
      <c r="E165" s="14" t="n">
        <v>16</v>
      </c>
      <c r="F165" s="14"/>
      <c r="G165" s="14" t="n">
        <v>45</v>
      </c>
      <c r="H165" s="14" t="n">
        <v>61</v>
      </c>
      <c r="I165" s="53" t="n">
        <v>9381.66</v>
      </c>
      <c r="J165" s="12"/>
      <c r="K165" s="12"/>
      <c r="L165" s="23"/>
      <c r="M165" s="23"/>
      <c r="N165" s="23"/>
      <c r="O165" s="23"/>
      <c r="P165" s="23"/>
      <c r="Q165" s="23"/>
      <c r="R165" s="23"/>
      <c r="S165" s="23"/>
      <c r="T165" s="23"/>
      <c r="U165" s="23"/>
      <c r="V165" s="23"/>
      <c r="W165" s="23"/>
      <c r="X165" s="23"/>
      <c r="Y165" s="23"/>
      <c r="Z165" s="23"/>
    </row>
    <row r="166" customFormat="false" ht="15.75" hidden="false" customHeight="true" outlineLevel="0" collapsed="false">
      <c r="A166" s="52" t="n">
        <v>46304</v>
      </c>
      <c r="B166" s="14" t="s">
        <v>364</v>
      </c>
      <c r="C166" s="14" t="str">
        <f aca="false" t="array" ref="C166:C166">IF(B166="","",IFERROR(INDEX('CLM &amp; IM Mapping'!$B$2:$B$270,MATCH(TRIM(B166),'CLM &amp; IM Mapping'!$A$2:$A$270,0)),"Not Mapped"))</f>
        <v>Raghavendra Vernekar</v>
      </c>
      <c r="D166" s="14" t="str">
        <f aca="false" t="array" ref="D166:D166">IF(B166="","",IFERROR(INDEX('CLM &amp; IM Mapping'!$C$2:$C$270,MATCH(TRIM(B166),'CLM &amp; IM Mapping'!$A$2:$A$270,0)),"Not Mapped"))</f>
        <v>Prakash BS</v>
      </c>
      <c r="E166" s="14" t="n">
        <v>237</v>
      </c>
      <c r="F166" s="14" t="n">
        <v>5</v>
      </c>
      <c r="G166" s="14"/>
      <c r="H166" s="14" t="n">
        <v>242</v>
      </c>
      <c r="I166" s="53" t="n">
        <v>9250.29</v>
      </c>
      <c r="J166" s="12" t="s">
        <v>757</v>
      </c>
      <c r="K166" s="12"/>
      <c r="L166" s="23"/>
      <c r="M166" s="23"/>
      <c r="N166" s="23"/>
      <c r="O166" s="23"/>
      <c r="P166" s="23"/>
      <c r="Q166" s="23"/>
      <c r="R166" s="23"/>
      <c r="S166" s="23"/>
      <c r="T166" s="23"/>
      <c r="U166" s="23"/>
      <c r="V166" s="23"/>
      <c r="W166" s="23"/>
      <c r="X166" s="23"/>
      <c r="Y166" s="23"/>
      <c r="Z166" s="23"/>
    </row>
    <row r="167" customFormat="false" ht="15.75" hidden="false" customHeight="true" outlineLevel="0" collapsed="false">
      <c r="A167" s="52" t="n">
        <v>46304</v>
      </c>
      <c r="B167" s="14" t="s">
        <v>472</v>
      </c>
      <c r="C167" s="14" t="str">
        <f aca="false" t="array" ref="C167:C167">IF(B167="","",IFERROR(INDEX('CLM &amp; IM Mapping'!$B$2:$B$270,MATCH(TRIM(B167),'CLM &amp; IM Mapping'!$A$2:$A$270,0)),"Not Mapped"))</f>
        <v>Bangareppa CS</v>
      </c>
      <c r="D167" s="14" t="str">
        <f aca="false" t="array" ref="D167:D167">IF(B167="","",IFERROR(INDEX('CLM &amp; IM Mapping'!$C$2:$C$270,MATCH(TRIM(B167),'CLM &amp; IM Mapping'!$A$2:$A$270,0)),"Not Mapped"))</f>
        <v>Kishor K</v>
      </c>
      <c r="E167" s="14" t="n">
        <v>76</v>
      </c>
      <c r="F167" s="14"/>
      <c r="G167" s="14" t="n">
        <v>158</v>
      </c>
      <c r="H167" s="14" t="n">
        <v>234</v>
      </c>
      <c r="I167" s="53" t="n">
        <v>8871.83</v>
      </c>
      <c r="J167" s="12" t="s">
        <v>758</v>
      </c>
      <c r="K167" s="12" t="s">
        <v>759</v>
      </c>
      <c r="L167" s="23"/>
      <c r="M167" s="23"/>
      <c r="N167" s="23"/>
      <c r="O167" s="23"/>
      <c r="P167" s="23"/>
      <c r="Q167" s="23"/>
      <c r="R167" s="23"/>
      <c r="S167" s="23"/>
      <c r="T167" s="23"/>
      <c r="U167" s="23"/>
      <c r="V167" s="23"/>
      <c r="W167" s="23"/>
      <c r="X167" s="23"/>
      <c r="Y167" s="23"/>
      <c r="Z167" s="23"/>
    </row>
    <row r="168" customFormat="false" ht="15.75" hidden="false" customHeight="true" outlineLevel="0" collapsed="false">
      <c r="A168" s="52" t="n">
        <v>46304</v>
      </c>
      <c r="B168" s="14" t="s">
        <v>564</v>
      </c>
      <c r="C168" s="14" t="str">
        <f aca="false" t="array" ref="C168:C168">IF(B168="","",IFERROR(INDEX('CLM &amp; IM Mapping'!$B$2:$B$270,MATCH(TRIM(B168),'CLM &amp; IM Mapping'!$A$2:$A$270,0)),"Not Mapped"))</f>
        <v>Basil Scariya</v>
      </c>
      <c r="D168" s="14" t="str">
        <f aca="false" t="array" ref="D168:D168">IF(B168="","",IFERROR(INDEX('CLM &amp; IM Mapping'!$C$2:$C$270,MATCH(TRIM(B168),'CLM &amp; IM Mapping'!$A$2:$A$270,0)),"Not Mapped"))</f>
        <v>Prakash BS</v>
      </c>
      <c r="E168" s="14"/>
      <c r="F168" s="14"/>
      <c r="G168" s="14" t="n">
        <v>44</v>
      </c>
      <c r="H168" s="14" t="n">
        <v>44</v>
      </c>
      <c r="I168" s="53" t="n">
        <v>8295.49</v>
      </c>
      <c r="J168" s="12" t="s">
        <v>760</v>
      </c>
      <c r="K168" s="12"/>
      <c r="L168" s="23"/>
      <c r="M168" s="23"/>
      <c r="N168" s="23"/>
      <c r="O168" s="23"/>
      <c r="P168" s="23"/>
      <c r="Q168" s="23"/>
      <c r="R168" s="23"/>
      <c r="S168" s="23"/>
      <c r="T168" s="23"/>
      <c r="U168" s="23"/>
      <c r="V168" s="23"/>
      <c r="W168" s="23"/>
      <c r="X168" s="23"/>
      <c r="Y168" s="23"/>
      <c r="Z168" s="23"/>
    </row>
    <row r="169" customFormat="false" ht="15.75" hidden="false" customHeight="true" outlineLevel="0" collapsed="false">
      <c r="A169" s="52" t="n">
        <v>46304</v>
      </c>
      <c r="B169" s="14" t="s">
        <v>412</v>
      </c>
      <c r="C169" s="14" t="str">
        <f aca="false" t="array" ref="C169:C169">IF(B169="","",IFERROR(INDEX('CLM &amp; IM Mapping'!$B$2:$B$270,MATCH(TRIM(B169),'CLM &amp; IM Mapping'!$A$2:$A$270,0)),"Not Mapped"))</f>
        <v>Richard Harris</v>
      </c>
      <c r="D169" s="14" t="str">
        <f aca="false" t="array" ref="D169:D169">IF(B169="","",IFERROR(INDEX('CLM &amp; IM Mapping'!$C$2:$C$270,MATCH(TRIM(B169),'CLM &amp; IM Mapping'!$A$2:$A$270,0)),"Not Mapped"))</f>
        <v>Kantha Kumar</v>
      </c>
      <c r="E169" s="14"/>
      <c r="F169" s="14" t="n">
        <v>9</v>
      </c>
      <c r="G169" s="14"/>
      <c r="H169" s="14" t="n">
        <v>9</v>
      </c>
      <c r="I169" s="53" t="n">
        <v>8055.75</v>
      </c>
      <c r="J169" s="12"/>
      <c r="K169" s="12"/>
      <c r="L169" s="23"/>
      <c r="M169" s="23"/>
      <c r="N169" s="23"/>
      <c r="O169" s="23"/>
      <c r="P169" s="23"/>
      <c r="Q169" s="23"/>
      <c r="R169" s="23"/>
      <c r="S169" s="23"/>
      <c r="T169" s="23"/>
      <c r="U169" s="23"/>
      <c r="V169" s="23"/>
      <c r="W169" s="23"/>
      <c r="X169" s="23"/>
      <c r="Y169" s="23"/>
      <c r="Z169" s="23"/>
    </row>
    <row r="170" customFormat="false" ht="15.75" hidden="false" customHeight="true" outlineLevel="0" collapsed="false">
      <c r="A170" s="52" t="n">
        <v>46304</v>
      </c>
      <c r="B170" s="14" t="s">
        <v>396</v>
      </c>
      <c r="C170" s="14" t="str">
        <f aca="false" t="array" ref="C170:C170">IF(B170="","",IFERROR(INDEX('CLM &amp; IM Mapping'!$B$2:$B$270,MATCH(TRIM(B170),'CLM &amp; IM Mapping'!$A$2:$A$270,0)),"Not Mapped"))</f>
        <v>Ravishankar gowda</v>
      </c>
      <c r="D170" s="14" t="str">
        <f aca="false" t="array" ref="D170:D170">IF(B170="","",IFERROR(INDEX('CLM &amp; IM Mapping'!$C$2:$C$270,MATCH(TRIM(B170),'CLM &amp; IM Mapping'!$A$2:$A$270,0)),"Not Mapped"))</f>
        <v>Kishor K</v>
      </c>
      <c r="E170" s="14" t="n">
        <v>39</v>
      </c>
      <c r="F170" s="14"/>
      <c r="G170" s="14" t="n">
        <v>47</v>
      </c>
      <c r="H170" s="14" t="n">
        <v>86</v>
      </c>
      <c r="I170" s="53" t="n">
        <v>7887.81</v>
      </c>
      <c r="J170" s="12" t="s">
        <v>761</v>
      </c>
      <c r="K170" s="12" t="s">
        <v>762</v>
      </c>
      <c r="L170" s="23"/>
      <c r="M170" s="23"/>
      <c r="N170" s="23"/>
      <c r="O170" s="23"/>
      <c r="P170" s="23"/>
      <c r="Q170" s="23"/>
      <c r="R170" s="23"/>
      <c r="S170" s="23"/>
      <c r="T170" s="23"/>
      <c r="U170" s="23"/>
      <c r="V170" s="23"/>
      <c r="W170" s="23"/>
      <c r="X170" s="23"/>
      <c r="Y170" s="23"/>
      <c r="Z170" s="23"/>
    </row>
    <row r="171" customFormat="false" ht="15.75" hidden="false" customHeight="true" outlineLevel="0" collapsed="false">
      <c r="A171" s="52" t="n">
        <v>46304</v>
      </c>
      <c r="B171" s="14" t="s">
        <v>233</v>
      </c>
      <c r="C171" s="14" t="str">
        <f aca="false" t="array" ref="C171:C171">IF(B171="","",IFERROR(INDEX('CLM &amp; IM Mapping'!$B$2:$B$270,MATCH(TRIM(B171),'CLM &amp; IM Mapping'!$A$2:$A$270,0)),"Not Mapped"))</f>
        <v>Suhas N</v>
      </c>
      <c r="D171" s="14" t="str">
        <f aca="false" t="array" ref="D171:D171">IF(B171="","",IFERROR(INDEX('CLM &amp; IM Mapping'!$C$2:$C$270,MATCH(TRIM(B171),'CLM &amp; IM Mapping'!$A$2:$A$270,0)),"Not Mapped"))</f>
        <v>Aravind S</v>
      </c>
      <c r="E171" s="14" t="n">
        <v>86</v>
      </c>
      <c r="F171" s="14"/>
      <c r="G171" s="14"/>
      <c r="H171" s="14" t="n">
        <v>86</v>
      </c>
      <c r="I171" s="53" t="n">
        <v>7869.46</v>
      </c>
      <c r="J171" s="12" t="s">
        <v>763</v>
      </c>
      <c r="K171" s="56" t="n">
        <v>46304</v>
      </c>
      <c r="L171" s="23"/>
      <c r="M171" s="23"/>
      <c r="N171" s="23"/>
      <c r="O171" s="23"/>
      <c r="P171" s="23"/>
      <c r="Q171" s="23"/>
      <c r="R171" s="23"/>
      <c r="S171" s="23"/>
      <c r="T171" s="23"/>
      <c r="U171" s="23"/>
      <c r="V171" s="23"/>
      <c r="W171" s="23"/>
      <c r="X171" s="23"/>
      <c r="Y171" s="23"/>
      <c r="Z171" s="23"/>
    </row>
    <row r="172" customFormat="false" ht="15.75" hidden="false" customHeight="true" outlineLevel="0" collapsed="false">
      <c r="A172" s="52" t="n">
        <v>46304</v>
      </c>
      <c r="B172" s="14" t="s">
        <v>29</v>
      </c>
      <c r="C172" s="14" t="str">
        <f aca="false" t="array" ref="C172:C172">IF(B172="","",IFERROR(INDEX('CLM &amp; IM Mapping'!$B$2:$B$270,MATCH(TRIM(B172),'CLM &amp; IM Mapping'!$A$2:$A$270,0)),"Not Mapped"))</f>
        <v>Arun Raj</v>
      </c>
      <c r="D172" s="14" t="str">
        <f aca="false" t="array" ref="D172:D172">IF(B172="","",IFERROR(INDEX('CLM &amp; IM Mapping'!$C$2:$C$270,MATCH(TRIM(B172),'CLM &amp; IM Mapping'!$A$2:$A$270,0)),"Not Mapped"))</f>
        <v>Simon Manoharan</v>
      </c>
      <c r="E172" s="14"/>
      <c r="F172" s="14"/>
      <c r="G172" s="14" t="n">
        <v>29</v>
      </c>
      <c r="H172" s="14" t="n">
        <v>29</v>
      </c>
      <c r="I172" s="53" t="n">
        <v>7769.62</v>
      </c>
      <c r="J172" s="12"/>
      <c r="K172" s="12"/>
      <c r="L172" s="23"/>
      <c r="M172" s="23"/>
      <c r="N172" s="23"/>
      <c r="O172" s="23"/>
      <c r="P172" s="23"/>
      <c r="Q172" s="23"/>
      <c r="R172" s="23"/>
      <c r="S172" s="23"/>
      <c r="T172" s="23"/>
      <c r="U172" s="23"/>
      <c r="V172" s="23"/>
      <c r="W172" s="23"/>
      <c r="X172" s="23"/>
      <c r="Y172" s="23"/>
      <c r="Z172" s="23"/>
    </row>
    <row r="173" customFormat="false" ht="15.75" hidden="false" customHeight="true" outlineLevel="0" collapsed="false">
      <c r="A173" s="52" t="n">
        <v>46304</v>
      </c>
      <c r="B173" s="14" t="s">
        <v>195</v>
      </c>
      <c r="C173" s="14" t="str">
        <f aca="false" t="array" ref="C173:C173">IF(B173="","",IFERROR(INDEX('CLM &amp; IM Mapping'!$B$2:$B$270,MATCH(TRIM(B173),'CLM &amp; IM Mapping'!$A$2:$A$270,0)),"Not Mapped"))</f>
        <v>Adhavan Subramani</v>
      </c>
      <c r="D173" s="14" t="str">
        <f aca="false" t="array" ref="D173:D173">IF(B173="","",IFERROR(INDEX('CLM &amp; IM Mapping'!$C$2:$C$270,MATCH(TRIM(B173),'CLM &amp; IM Mapping'!$A$2:$A$270,0)),"Not Mapped"))</f>
        <v>Mohammed Akbar</v>
      </c>
      <c r="E173" s="14"/>
      <c r="F173" s="14" t="n">
        <v>2</v>
      </c>
      <c r="G173" s="14" t="n">
        <v>39</v>
      </c>
      <c r="H173" s="14" t="n">
        <v>41</v>
      </c>
      <c r="I173" s="53" t="n">
        <v>6943.58</v>
      </c>
      <c r="J173" s="12"/>
      <c r="K173" s="12"/>
      <c r="L173" s="23"/>
      <c r="M173" s="23"/>
      <c r="N173" s="23"/>
      <c r="O173" s="23"/>
      <c r="P173" s="23"/>
      <c r="Q173" s="23"/>
      <c r="R173" s="23"/>
      <c r="S173" s="23"/>
      <c r="T173" s="23"/>
      <c r="U173" s="23"/>
      <c r="V173" s="23"/>
      <c r="W173" s="23"/>
      <c r="X173" s="23"/>
      <c r="Y173" s="23"/>
      <c r="Z173" s="23"/>
    </row>
    <row r="174" customFormat="false" ht="15.75" hidden="false" customHeight="true" outlineLevel="0" collapsed="false">
      <c r="A174" s="52" t="n">
        <v>46304</v>
      </c>
      <c r="B174" s="14" t="s">
        <v>136</v>
      </c>
      <c r="C174" s="14" t="str">
        <f aca="false" t="array" ref="C174:C174">IF(B174="","",IFERROR(INDEX('CLM &amp; IM Mapping'!$B$2:$B$270,MATCH(TRIM(B174),'CLM &amp; IM Mapping'!$A$2:$A$270,0)),"Not Mapped"))</f>
        <v>Arun Raj</v>
      </c>
      <c r="D174" s="14" t="str">
        <f aca="false" t="array" ref="D174:D174">IF(B174="","",IFERROR(INDEX('CLM &amp; IM Mapping'!$C$2:$C$270,MATCH(TRIM(B174),'CLM &amp; IM Mapping'!$A$2:$A$270,0)),"Not Mapped"))</f>
        <v>Simon Manoharan</v>
      </c>
      <c r="E174" s="14"/>
      <c r="F174" s="14"/>
      <c r="G174" s="14" t="n">
        <v>29</v>
      </c>
      <c r="H174" s="14" t="n">
        <v>29</v>
      </c>
      <c r="I174" s="53" t="n">
        <v>6550.58</v>
      </c>
      <c r="J174" s="12"/>
      <c r="K174" s="12"/>
      <c r="L174" s="23"/>
      <c r="M174" s="23"/>
      <c r="N174" s="23"/>
      <c r="O174" s="23"/>
      <c r="P174" s="23"/>
      <c r="Q174" s="23"/>
      <c r="R174" s="23"/>
      <c r="S174" s="23"/>
      <c r="T174" s="23"/>
      <c r="U174" s="23"/>
      <c r="V174" s="23"/>
      <c r="W174" s="23"/>
      <c r="X174" s="23"/>
      <c r="Y174" s="23"/>
      <c r="Z174" s="23"/>
    </row>
    <row r="175" customFormat="false" ht="15.75" hidden="false" customHeight="true" outlineLevel="0" collapsed="false">
      <c r="A175" s="52" t="n">
        <v>46304</v>
      </c>
      <c r="B175" s="14" t="s">
        <v>47</v>
      </c>
      <c r="C175" s="14" t="str">
        <f aca="false" t="array" ref="C175:C175">IF(B175="","",IFERROR(INDEX('CLM &amp; IM Mapping'!$B$2:$B$270,MATCH(TRIM(B175),'CLM &amp; IM Mapping'!$A$2:$A$270,0)),"Not Mapped"))</f>
        <v>Saddam Hussain</v>
      </c>
      <c r="D175" s="14" t="str">
        <f aca="false" t="array" ref="D175:D175">IF(B175="","",IFERROR(INDEX('CLM &amp; IM Mapping'!$C$2:$C$270,MATCH(TRIM(B175),'CLM &amp; IM Mapping'!$A$2:$A$270,0)),"Not Mapped"))</f>
        <v>Un Mapped</v>
      </c>
      <c r="E175" s="14" t="n">
        <v>2</v>
      </c>
      <c r="F175" s="14"/>
      <c r="G175" s="14" t="n">
        <v>19</v>
      </c>
      <c r="H175" s="14" t="n">
        <v>21</v>
      </c>
      <c r="I175" s="53" t="n">
        <v>6446.3</v>
      </c>
      <c r="J175" s="12"/>
      <c r="K175" s="12"/>
      <c r="L175" s="23"/>
      <c r="M175" s="23"/>
      <c r="N175" s="23"/>
      <c r="O175" s="23"/>
      <c r="P175" s="23"/>
      <c r="Q175" s="23"/>
      <c r="R175" s="23"/>
      <c r="S175" s="23"/>
      <c r="T175" s="23"/>
      <c r="U175" s="23"/>
      <c r="V175" s="23"/>
      <c r="W175" s="23"/>
      <c r="X175" s="23"/>
      <c r="Y175" s="23"/>
      <c r="Z175" s="23"/>
    </row>
    <row r="176" customFormat="false" ht="15.75" hidden="false" customHeight="true" outlineLevel="0" collapsed="false">
      <c r="A176" s="52" t="n">
        <v>46304</v>
      </c>
      <c r="B176" s="14" t="s">
        <v>162</v>
      </c>
      <c r="C176" s="14" t="str">
        <f aca="false" t="array" ref="C176:C176">IF(B176="","",IFERROR(INDEX('CLM &amp; IM Mapping'!$B$2:$B$270,MATCH(TRIM(B176),'CLM &amp; IM Mapping'!$A$2:$A$270,0)),"Not Mapped"))</f>
        <v>Ashwath S</v>
      </c>
      <c r="D176" s="14" t="str">
        <f aca="false" t="array" ref="D176:D176">IF(B176="","",IFERROR(INDEX('CLM &amp; IM Mapping'!$C$2:$C$270,MATCH(TRIM(B176),'CLM &amp; IM Mapping'!$A$2:$A$270,0)),"Not Mapped"))</f>
        <v>Kantha Kumar</v>
      </c>
      <c r="E176" s="14" t="n">
        <v>56</v>
      </c>
      <c r="F176" s="14"/>
      <c r="G176" s="14" t="n">
        <v>52</v>
      </c>
      <c r="H176" s="14" t="n">
        <v>108</v>
      </c>
      <c r="I176" s="53" t="n">
        <v>6183.94</v>
      </c>
      <c r="J176" s="12"/>
      <c r="K176" s="12"/>
      <c r="L176" s="23"/>
      <c r="M176" s="23"/>
      <c r="N176" s="23"/>
      <c r="O176" s="23"/>
      <c r="P176" s="23"/>
      <c r="Q176" s="23"/>
      <c r="R176" s="23"/>
      <c r="S176" s="23"/>
      <c r="T176" s="23"/>
      <c r="U176" s="23"/>
      <c r="V176" s="23"/>
      <c r="W176" s="23"/>
      <c r="X176" s="23"/>
      <c r="Y176" s="23"/>
      <c r="Z176" s="23"/>
    </row>
    <row r="177" customFormat="false" ht="15.75" hidden="false" customHeight="true" outlineLevel="0" collapsed="false">
      <c r="A177" s="52" t="n">
        <v>46304</v>
      </c>
      <c r="B177" s="14" t="s">
        <v>290</v>
      </c>
      <c r="C177" s="14" t="str">
        <f aca="false" t="array" ref="C177:C177">IF(B177="","",IFERROR(INDEX('CLM &amp; IM Mapping'!$B$2:$B$270,MATCH(TRIM(B177),'CLM &amp; IM Mapping'!$A$2:$A$270,0)),"Not Mapped"))</f>
        <v>Akshay P</v>
      </c>
      <c r="D177" s="14" t="str">
        <f aca="false" t="array" ref="D177:D177">IF(B177="","",IFERROR(INDEX('CLM &amp; IM Mapping'!$C$2:$C$270,MATCH(TRIM(B177),'CLM &amp; IM Mapping'!$A$2:$A$270,0)),"Not Mapped"))</f>
        <v>Srittam Dhal</v>
      </c>
      <c r="E177" s="14"/>
      <c r="F177" s="14" t="n">
        <v>53</v>
      </c>
      <c r="G177" s="14"/>
      <c r="H177" s="14" t="n">
        <v>53</v>
      </c>
      <c r="I177" s="53" t="n">
        <v>6158.16</v>
      </c>
      <c r="J177" s="12"/>
      <c r="K177" s="12"/>
      <c r="L177" s="23"/>
      <c r="M177" s="23"/>
      <c r="N177" s="23"/>
      <c r="O177" s="23"/>
      <c r="P177" s="23"/>
      <c r="Q177" s="23"/>
      <c r="R177" s="23"/>
      <c r="S177" s="23"/>
      <c r="T177" s="23"/>
      <c r="U177" s="23"/>
      <c r="V177" s="23"/>
      <c r="W177" s="23"/>
      <c r="X177" s="23"/>
      <c r="Y177" s="23"/>
      <c r="Z177" s="23"/>
    </row>
    <row r="178" customFormat="false" ht="15.75" hidden="false" customHeight="true" outlineLevel="0" collapsed="false">
      <c r="A178" s="52" t="n">
        <v>46304</v>
      </c>
      <c r="B178" s="14" t="s">
        <v>205</v>
      </c>
      <c r="C178" s="14" t="str">
        <f aca="false" t="array" ref="C178:C178">IF(B178="","",IFERROR(INDEX('CLM &amp; IM Mapping'!$B$2:$B$270,MATCH(TRIM(B178),'CLM &amp; IM Mapping'!$A$2:$A$270,0)),"Not Mapped"))</f>
        <v>Akshay P</v>
      </c>
      <c r="D178" s="14" t="str">
        <f aca="false" t="array" ref="D178:D178">IF(B178="","",IFERROR(INDEX('CLM &amp; IM Mapping'!$C$2:$C$270,MATCH(TRIM(B178),'CLM &amp; IM Mapping'!$A$2:$A$270,0)),"Not Mapped"))</f>
        <v>Srittam Dhal</v>
      </c>
      <c r="E178" s="14"/>
      <c r="F178" s="14"/>
      <c r="G178" s="14" t="n">
        <v>100</v>
      </c>
      <c r="H178" s="14" t="n">
        <v>100</v>
      </c>
      <c r="I178" s="53" t="n">
        <v>6078.88</v>
      </c>
      <c r="J178" s="12"/>
      <c r="K178" s="12"/>
      <c r="L178" s="23"/>
      <c r="M178" s="23"/>
      <c r="N178" s="23"/>
      <c r="O178" s="23"/>
      <c r="P178" s="23"/>
      <c r="Q178" s="23"/>
      <c r="R178" s="23"/>
      <c r="S178" s="23"/>
      <c r="T178" s="23"/>
      <c r="U178" s="23"/>
      <c r="V178" s="23"/>
      <c r="W178" s="23"/>
      <c r="X178" s="23"/>
      <c r="Y178" s="23"/>
      <c r="Z178" s="23"/>
    </row>
    <row r="179" customFormat="false" ht="15.75" hidden="false" customHeight="true" outlineLevel="0" collapsed="false">
      <c r="A179" s="52" t="n">
        <v>46304</v>
      </c>
      <c r="B179" s="14" t="s">
        <v>250</v>
      </c>
      <c r="C179" s="14" t="str">
        <f aca="false" t="array" ref="C179:C179">IF(B179="","",IFERROR(INDEX('CLM &amp; IM Mapping'!$B$2:$B$270,MATCH(TRIM(B179),'CLM &amp; IM Mapping'!$A$2:$A$270,0)),"Not Mapped"))</f>
        <v>Akshay P</v>
      </c>
      <c r="D179" s="14" t="str">
        <f aca="false" t="array" ref="D179:D179">IF(B179="","",IFERROR(INDEX('CLM &amp; IM Mapping'!$C$2:$C$270,MATCH(TRIM(B179),'CLM &amp; IM Mapping'!$A$2:$A$270,0)),"Not Mapped"))</f>
        <v>Srittam Dhal</v>
      </c>
      <c r="E179" s="14" t="n">
        <v>51</v>
      </c>
      <c r="F179" s="14"/>
      <c r="G179" s="14" t="n">
        <v>3</v>
      </c>
      <c r="H179" s="14" t="n">
        <v>54</v>
      </c>
      <c r="I179" s="53" t="n">
        <v>5862.13</v>
      </c>
      <c r="J179" s="12"/>
      <c r="K179" s="12"/>
      <c r="L179" s="23"/>
      <c r="M179" s="23"/>
      <c r="N179" s="23"/>
      <c r="O179" s="23"/>
      <c r="P179" s="23"/>
      <c r="Q179" s="23"/>
      <c r="R179" s="23"/>
      <c r="S179" s="23"/>
      <c r="T179" s="23"/>
      <c r="U179" s="23"/>
      <c r="V179" s="23"/>
      <c r="W179" s="23"/>
      <c r="X179" s="23"/>
      <c r="Y179" s="23"/>
      <c r="Z179" s="23"/>
    </row>
    <row r="180" customFormat="false" ht="15.75" hidden="false" customHeight="true" outlineLevel="0" collapsed="false">
      <c r="A180" s="52" t="n">
        <v>46304</v>
      </c>
      <c r="B180" s="14" t="s">
        <v>89</v>
      </c>
      <c r="C180" s="14" t="str">
        <f aca="false" t="array" ref="C180:C180">IF(B180="","",IFERROR(INDEX('CLM &amp; IM Mapping'!$B$2:$B$270,MATCH(TRIM(B180),'CLM &amp; IM Mapping'!$A$2:$A$270,0)),"Not Mapped"))</f>
        <v>Raghavendra Vernekar</v>
      </c>
      <c r="D180" s="14" t="str">
        <f aca="false" t="array" ref="D180:D180">IF(B180="","",IFERROR(INDEX('CLM &amp; IM Mapping'!$C$2:$C$270,MATCH(TRIM(B180),'CLM &amp; IM Mapping'!$A$2:$A$270,0)),"Not Mapped"))</f>
        <v>Prakash BS</v>
      </c>
      <c r="E180" s="14" t="n">
        <v>15</v>
      </c>
      <c r="F180" s="14" t="n">
        <v>15</v>
      </c>
      <c r="G180" s="14" t="n">
        <v>12</v>
      </c>
      <c r="H180" s="14" t="n">
        <v>42</v>
      </c>
      <c r="I180" s="53" t="n">
        <v>5638.52</v>
      </c>
      <c r="J180" s="12" t="s">
        <v>764</v>
      </c>
      <c r="K180" s="12"/>
      <c r="L180" s="23"/>
      <c r="M180" s="23"/>
      <c r="N180" s="23"/>
      <c r="O180" s="23"/>
      <c r="P180" s="23"/>
      <c r="Q180" s="23"/>
      <c r="R180" s="23"/>
      <c r="S180" s="23"/>
      <c r="T180" s="23"/>
      <c r="U180" s="23"/>
      <c r="V180" s="23"/>
      <c r="W180" s="23"/>
      <c r="X180" s="23"/>
      <c r="Y180" s="23"/>
      <c r="Z180" s="23"/>
    </row>
    <row r="181" customFormat="false" ht="15.75" hidden="false" customHeight="true" outlineLevel="0" collapsed="false">
      <c r="A181" s="52" t="n">
        <v>46304</v>
      </c>
      <c r="B181" s="14" t="s">
        <v>342</v>
      </c>
      <c r="C181" s="14" t="str">
        <f aca="false" t="array" ref="C181:C181">IF(B181="","",IFERROR(INDEX('CLM &amp; IM Mapping'!$B$2:$B$270,MATCH(TRIM(B181),'CLM &amp; IM Mapping'!$A$2:$A$270,0)),"Not Mapped"))</f>
        <v>Saddam Hussain</v>
      </c>
      <c r="D181" s="14" t="str">
        <f aca="false" t="array" ref="D181:D181">IF(B181="","",IFERROR(INDEX('CLM &amp; IM Mapping'!$C$2:$C$270,MATCH(TRIM(B181),'CLM &amp; IM Mapping'!$A$2:$A$270,0)),"Not Mapped"))</f>
        <v>Un Mapped</v>
      </c>
      <c r="E181" s="14"/>
      <c r="F181" s="14"/>
      <c r="G181" s="14" t="n">
        <v>11</v>
      </c>
      <c r="H181" s="14" t="n">
        <v>11</v>
      </c>
      <c r="I181" s="53" t="n">
        <v>5405.31</v>
      </c>
      <c r="J181" s="12"/>
      <c r="K181" s="12"/>
      <c r="L181" s="23"/>
      <c r="M181" s="23"/>
      <c r="N181" s="23"/>
      <c r="O181" s="23"/>
      <c r="P181" s="23"/>
      <c r="Q181" s="23"/>
      <c r="R181" s="23"/>
      <c r="S181" s="23"/>
      <c r="T181" s="23"/>
      <c r="U181" s="23"/>
      <c r="V181" s="23"/>
      <c r="W181" s="23"/>
      <c r="X181" s="23"/>
      <c r="Y181" s="23"/>
      <c r="Z181" s="23"/>
    </row>
    <row r="182" customFormat="false" ht="15.75" hidden="false" customHeight="true" outlineLevel="0" collapsed="false">
      <c r="A182" s="52" t="n">
        <v>46304</v>
      </c>
      <c r="B182" s="14" t="s">
        <v>105</v>
      </c>
      <c r="C182" s="14" t="str">
        <f aca="false" t="array" ref="C182:C182">IF(B182="","",IFERROR(INDEX('CLM &amp; IM Mapping'!$B$2:$B$270,MATCH(TRIM(B182),'CLM &amp; IM Mapping'!$A$2:$A$270,0)),"Not Mapped"))</f>
        <v>Suhas N</v>
      </c>
      <c r="D182" s="14" t="str">
        <f aca="false" t="array" ref="D182:D182">IF(B182="","",IFERROR(INDEX('CLM &amp; IM Mapping'!$C$2:$C$270,MATCH(TRIM(B182),'CLM &amp; IM Mapping'!$A$2:$A$270,0)),"Not Mapped"))</f>
        <v>Aravind S</v>
      </c>
      <c r="E182" s="14"/>
      <c r="F182" s="14"/>
      <c r="G182" s="14" t="n">
        <v>56</v>
      </c>
      <c r="H182" s="14" t="n">
        <v>56</v>
      </c>
      <c r="I182" s="53" t="n">
        <v>5227.66</v>
      </c>
      <c r="J182" s="12" t="s">
        <v>755</v>
      </c>
      <c r="K182" s="56" t="n">
        <v>46304</v>
      </c>
      <c r="L182" s="23"/>
      <c r="M182" s="23"/>
      <c r="N182" s="23"/>
      <c r="O182" s="23"/>
      <c r="P182" s="23"/>
      <c r="Q182" s="23"/>
      <c r="R182" s="23"/>
      <c r="S182" s="23"/>
      <c r="T182" s="23"/>
      <c r="U182" s="23"/>
      <c r="V182" s="23"/>
      <c r="W182" s="23"/>
      <c r="X182" s="23"/>
      <c r="Y182" s="23"/>
      <c r="Z182" s="23"/>
    </row>
    <row r="183" customFormat="false" ht="15.75" hidden="false" customHeight="true" outlineLevel="0" collapsed="false">
      <c r="A183" s="52" t="n">
        <v>46304</v>
      </c>
      <c r="B183" s="14" t="s">
        <v>171</v>
      </c>
      <c r="C183" s="14" t="str">
        <f aca="false" t="array" ref="C183:C183">IF(B183="","",IFERROR(INDEX('CLM &amp; IM Mapping'!$B$2:$B$270,MATCH(TRIM(B183),'CLM &amp; IM Mapping'!$A$2:$A$270,0)),"Not Mapped"))</f>
        <v>Ashwath S</v>
      </c>
      <c r="D183" s="14" t="str">
        <f aca="false" t="array" ref="D183:D183">IF(B183="","",IFERROR(INDEX('CLM &amp; IM Mapping'!$C$2:$C$270,MATCH(TRIM(B183),'CLM &amp; IM Mapping'!$A$2:$A$270,0)),"Not Mapped"))</f>
        <v>Kantha Kumar</v>
      </c>
      <c r="E183" s="14"/>
      <c r="F183" s="14"/>
      <c r="G183" s="14" t="n">
        <v>14</v>
      </c>
      <c r="H183" s="14" t="n">
        <v>14</v>
      </c>
      <c r="I183" s="53" t="n">
        <v>5024.49</v>
      </c>
      <c r="J183" s="12"/>
      <c r="K183" s="12"/>
      <c r="L183" s="23"/>
      <c r="M183" s="23"/>
      <c r="N183" s="23"/>
      <c r="O183" s="23"/>
      <c r="P183" s="23"/>
      <c r="Q183" s="23"/>
      <c r="R183" s="23"/>
      <c r="S183" s="23"/>
      <c r="T183" s="23"/>
      <c r="U183" s="23"/>
      <c r="V183" s="23"/>
      <c r="W183" s="23"/>
      <c r="X183" s="23"/>
      <c r="Y183" s="23"/>
      <c r="Z183" s="23"/>
    </row>
    <row r="184" customFormat="false" ht="15.75" hidden="false" customHeight="true" outlineLevel="0" collapsed="false">
      <c r="A184" s="52" t="n">
        <v>46304</v>
      </c>
      <c r="B184" s="14" t="s">
        <v>322</v>
      </c>
      <c r="C184" s="14" t="str">
        <f aca="false" t="array" ref="C184:C184">IF(B184="","",IFERROR(INDEX('CLM &amp; IM Mapping'!$B$2:$B$270,MATCH(TRIM(B184),'CLM &amp; IM Mapping'!$A$2:$A$270,0)),"Not Mapped"))</f>
        <v>Ashwath S</v>
      </c>
      <c r="D184" s="14" t="str">
        <f aca="false" t="array" ref="D184:D184">IF(B184="","",IFERROR(INDEX('CLM &amp; IM Mapping'!$C$2:$C$270,MATCH(TRIM(B184),'CLM &amp; IM Mapping'!$A$2:$A$270,0)),"Not Mapped"))</f>
        <v>Kantha Kumar</v>
      </c>
      <c r="E184" s="14" t="n">
        <v>29</v>
      </c>
      <c r="F184" s="14"/>
      <c r="G184" s="14" t="n">
        <v>29</v>
      </c>
      <c r="H184" s="14" t="n">
        <v>58</v>
      </c>
      <c r="I184" s="53" t="n">
        <v>4943.28</v>
      </c>
      <c r="J184" s="12"/>
      <c r="K184" s="12"/>
      <c r="L184" s="23"/>
      <c r="M184" s="23"/>
      <c r="N184" s="23"/>
      <c r="O184" s="23"/>
      <c r="P184" s="23"/>
      <c r="Q184" s="23"/>
      <c r="R184" s="23"/>
      <c r="S184" s="23"/>
      <c r="T184" s="23"/>
      <c r="U184" s="23"/>
      <c r="V184" s="23"/>
      <c r="W184" s="23"/>
      <c r="X184" s="23"/>
      <c r="Y184" s="23"/>
      <c r="Z184" s="23"/>
    </row>
    <row r="185" customFormat="false" ht="15.75" hidden="false" customHeight="true" outlineLevel="0" collapsed="false">
      <c r="A185" s="52" t="n">
        <v>46304</v>
      </c>
      <c r="B185" s="14" t="s">
        <v>488</v>
      </c>
      <c r="C185" s="14" t="str">
        <f aca="false" t="array" ref="C185:C185">IF(B185="","",IFERROR(INDEX('CLM &amp; IM Mapping'!$B$2:$B$270,MATCH(TRIM(B185),'CLM &amp; IM Mapping'!$A$2:$A$270,0)),"Not Mapped"))</f>
        <v>Sundaresh S</v>
      </c>
      <c r="D185" s="14" t="str">
        <f aca="false" t="array" ref="D185:D185">IF(B185="","",IFERROR(INDEX('CLM &amp; IM Mapping'!$C$2:$C$270,MATCH(TRIM(B185),'CLM &amp; IM Mapping'!$A$2:$A$270,0)),"Not Mapped"))</f>
        <v>Un Mapped</v>
      </c>
      <c r="E185" s="14"/>
      <c r="F185" s="14" t="n">
        <v>127</v>
      </c>
      <c r="G185" s="14"/>
      <c r="H185" s="14" t="n">
        <v>127</v>
      </c>
      <c r="I185" s="53" t="n">
        <v>4887.29</v>
      </c>
      <c r="J185" s="12"/>
      <c r="K185" s="12"/>
      <c r="L185" s="23"/>
      <c r="M185" s="23"/>
      <c r="N185" s="23"/>
      <c r="O185" s="23"/>
      <c r="P185" s="23"/>
      <c r="Q185" s="23"/>
      <c r="R185" s="23"/>
      <c r="S185" s="23"/>
      <c r="T185" s="23"/>
      <c r="U185" s="23"/>
      <c r="V185" s="23"/>
      <c r="W185" s="23"/>
      <c r="X185" s="23"/>
      <c r="Y185" s="23"/>
      <c r="Z185" s="23"/>
    </row>
    <row r="186" customFormat="false" ht="15.75" hidden="false" customHeight="true" outlineLevel="0" collapsed="false">
      <c r="A186" s="52" t="n">
        <v>46304</v>
      </c>
      <c r="B186" s="14" t="s">
        <v>455</v>
      </c>
      <c r="C186" s="14" t="str">
        <f aca="false" t="array" ref="C186:C186">IF(B186="","",IFERROR(INDEX('CLM &amp; IM Mapping'!$B$2:$B$270,MATCH(TRIM(B186),'CLM &amp; IM Mapping'!$A$2:$A$270,0)),"Not Mapped"))</f>
        <v>Rizwan Ahmed</v>
      </c>
      <c r="D186" s="14" t="str">
        <f aca="false" t="array" ref="D186:D186">IF(B186="","",IFERROR(INDEX('CLM &amp; IM Mapping'!$C$2:$C$270,MATCH(TRIM(B186),'CLM &amp; IM Mapping'!$A$2:$A$270,0)),"Not Mapped"))</f>
        <v>Un Mapped</v>
      </c>
      <c r="E186" s="14" t="n">
        <v>72</v>
      </c>
      <c r="F186" s="14"/>
      <c r="G186" s="14" t="n">
        <v>32</v>
      </c>
      <c r="H186" s="14" t="n">
        <v>104</v>
      </c>
      <c r="I186" s="53" t="n">
        <v>4798.49</v>
      </c>
      <c r="J186" s="12"/>
      <c r="K186" s="12"/>
      <c r="L186" s="23"/>
      <c r="M186" s="23"/>
      <c r="N186" s="23"/>
      <c r="O186" s="23"/>
      <c r="P186" s="23"/>
      <c r="Q186" s="23"/>
      <c r="R186" s="23"/>
      <c r="S186" s="23"/>
      <c r="T186" s="23"/>
      <c r="U186" s="23"/>
      <c r="V186" s="23"/>
      <c r="W186" s="23"/>
      <c r="X186" s="23"/>
      <c r="Y186" s="23"/>
      <c r="Z186" s="23"/>
    </row>
    <row r="187" customFormat="false" ht="15.75" hidden="false" customHeight="true" outlineLevel="0" collapsed="false">
      <c r="A187" s="52" t="n">
        <v>46304</v>
      </c>
      <c r="B187" s="14" t="s">
        <v>449</v>
      </c>
      <c r="C187" s="14" t="str">
        <f aca="false" t="array" ref="C187:C187">IF(B187="","",IFERROR(INDEX('CLM &amp; IM Mapping'!$B$2:$B$270,MATCH(TRIM(B187),'CLM &amp; IM Mapping'!$A$2:$A$270,0)),"Not Mapped"))</f>
        <v>Manjunatha V</v>
      </c>
      <c r="D187" s="14" t="str">
        <f aca="false" t="array" ref="D187:D187">IF(B187="","",IFERROR(INDEX('CLM &amp; IM Mapping'!$C$2:$C$270,MATCH(TRIM(B187),'CLM &amp; IM Mapping'!$A$2:$A$270,0)),"Not Mapped"))</f>
        <v>Un Mapped</v>
      </c>
      <c r="E187" s="14"/>
      <c r="F187" s="14"/>
      <c r="G187" s="14" t="n">
        <v>3</v>
      </c>
      <c r="H187" s="14" t="n">
        <v>3</v>
      </c>
      <c r="I187" s="53" t="n">
        <v>4739.25</v>
      </c>
      <c r="J187" s="12"/>
      <c r="K187" s="12"/>
      <c r="L187" s="23"/>
      <c r="M187" s="23"/>
      <c r="N187" s="23"/>
      <c r="O187" s="23"/>
      <c r="P187" s="23"/>
      <c r="Q187" s="23"/>
      <c r="R187" s="23"/>
      <c r="S187" s="23"/>
      <c r="T187" s="23"/>
      <c r="U187" s="23"/>
      <c r="V187" s="23"/>
      <c r="W187" s="23"/>
      <c r="X187" s="23"/>
      <c r="Y187" s="23"/>
      <c r="Z187" s="23"/>
    </row>
    <row r="188" customFormat="false" ht="15.75" hidden="false" customHeight="true" outlineLevel="0" collapsed="false">
      <c r="A188" s="52" t="n">
        <v>46304</v>
      </c>
      <c r="B188" s="14" t="s">
        <v>218</v>
      </c>
      <c r="C188" s="14" t="str">
        <f aca="false" t="array" ref="C188:C188">IF(B188="","",IFERROR(INDEX('CLM &amp; IM Mapping'!$B$2:$B$270,MATCH(TRIM(B188),'CLM &amp; IM Mapping'!$A$2:$A$270,0)),"Not Mapped"))</f>
        <v>Ashwath S</v>
      </c>
      <c r="D188" s="14" t="str">
        <f aca="false" t="array" ref="D188:D188">IF(B188="","",IFERROR(INDEX('CLM &amp; IM Mapping'!$C$2:$C$270,MATCH(TRIM(B188),'CLM &amp; IM Mapping'!$A$2:$A$270,0)),"Not Mapped"))</f>
        <v>Kantha Kumar</v>
      </c>
      <c r="E188" s="14"/>
      <c r="F188" s="14" t="n">
        <v>45</v>
      </c>
      <c r="G188" s="14" t="n">
        <v>7</v>
      </c>
      <c r="H188" s="14" t="n">
        <v>52</v>
      </c>
      <c r="I188" s="53" t="n">
        <v>4694.34</v>
      </c>
      <c r="J188" s="12"/>
      <c r="K188" s="12"/>
      <c r="L188" s="23"/>
      <c r="M188" s="23"/>
      <c r="N188" s="23"/>
      <c r="O188" s="23"/>
      <c r="P188" s="23"/>
      <c r="Q188" s="23"/>
      <c r="R188" s="23"/>
      <c r="S188" s="23"/>
      <c r="T188" s="23"/>
      <c r="U188" s="23"/>
      <c r="V188" s="23"/>
      <c r="W188" s="23"/>
      <c r="X188" s="23"/>
      <c r="Y188" s="23"/>
      <c r="Z188" s="23"/>
    </row>
    <row r="189" customFormat="false" ht="15.75" hidden="false" customHeight="true" outlineLevel="0" collapsed="false">
      <c r="A189" s="52" t="n">
        <v>46304</v>
      </c>
      <c r="B189" s="14" t="s">
        <v>142</v>
      </c>
      <c r="C189" s="14" t="str">
        <f aca="false" t="array" ref="C189:C189">IF(B189="","",IFERROR(INDEX('CLM &amp; IM Mapping'!$B$2:$B$270,MATCH(TRIM(B189),'CLM &amp; IM Mapping'!$A$2:$A$270,0)),"Not Mapped"))</f>
        <v>Sundaresh S</v>
      </c>
      <c r="D189" s="14" t="str">
        <f aca="false" t="array" ref="D189:D189">IF(B189="","",IFERROR(INDEX('CLM &amp; IM Mapping'!$C$2:$C$270,MATCH(TRIM(B189),'CLM &amp; IM Mapping'!$A$2:$A$270,0)),"Not Mapped"))</f>
        <v>Un Mapped</v>
      </c>
      <c r="E189" s="14"/>
      <c r="F189" s="14"/>
      <c r="G189" s="14" t="n">
        <v>9</v>
      </c>
      <c r="H189" s="14" t="n">
        <v>9</v>
      </c>
      <c r="I189" s="53" t="n">
        <v>4633.12</v>
      </c>
      <c r="J189" s="12"/>
      <c r="K189" s="12"/>
      <c r="L189" s="23"/>
      <c r="M189" s="23"/>
      <c r="N189" s="23"/>
      <c r="O189" s="23"/>
      <c r="P189" s="23"/>
      <c r="Q189" s="23"/>
      <c r="R189" s="23"/>
      <c r="S189" s="23"/>
      <c r="T189" s="23"/>
      <c r="U189" s="23"/>
      <c r="V189" s="23"/>
      <c r="W189" s="23"/>
      <c r="X189" s="23"/>
      <c r="Y189" s="23"/>
      <c r="Z189" s="23"/>
    </row>
    <row r="190" customFormat="false" ht="15.75" hidden="false" customHeight="true" outlineLevel="0" collapsed="false">
      <c r="A190" s="52" t="n">
        <v>46304</v>
      </c>
      <c r="B190" s="14" t="s">
        <v>139</v>
      </c>
      <c r="C190" s="14" t="str">
        <f aca="false" t="array" ref="C190:C190">IF(B190="","",IFERROR(INDEX('CLM &amp; IM Mapping'!$B$2:$B$270,MATCH(TRIM(B190),'CLM &amp; IM Mapping'!$A$2:$A$270,0)),"Not Mapped"))</f>
        <v>Mohaideen DH</v>
      </c>
      <c r="D190" s="14" t="str">
        <f aca="false" t="array" ref="D190:D190">IF(B190="","",IFERROR(INDEX('CLM &amp; IM Mapping'!$C$2:$C$270,MATCH(TRIM(B190),'CLM &amp; IM Mapping'!$A$2:$A$270,0)),"Not Mapped"))</f>
        <v>Mohammed Akbar</v>
      </c>
      <c r="E190" s="14"/>
      <c r="F190" s="14" t="n">
        <v>48</v>
      </c>
      <c r="G190" s="14"/>
      <c r="H190" s="14" t="n">
        <v>48</v>
      </c>
      <c r="I190" s="53" t="n">
        <v>4449.99</v>
      </c>
      <c r="J190" s="12"/>
      <c r="K190" s="12"/>
      <c r="L190" s="23"/>
      <c r="M190" s="23"/>
      <c r="N190" s="23"/>
      <c r="O190" s="23"/>
      <c r="P190" s="23"/>
      <c r="Q190" s="23"/>
      <c r="R190" s="23"/>
      <c r="S190" s="23"/>
      <c r="T190" s="23"/>
      <c r="U190" s="23"/>
      <c r="V190" s="23"/>
      <c r="W190" s="23"/>
      <c r="X190" s="23"/>
      <c r="Y190" s="23"/>
      <c r="Z190" s="23"/>
    </row>
    <row r="191" customFormat="false" ht="15.75" hidden="false" customHeight="true" outlineLevel="0" collapsed="false">
      <c r="A191" s="52" t="n">
        <v>46304</v>
      </c>
      <c r="B191" s="14" t="s">
        <v>76</v>
      </c>
      <c r="C191" s="14" t="str">
        <f aca="false" t="array" ref="C191:C191">IF(B191="","",IFERROR(INDEX('CLM &amp; IM Mapping'!$B$2:$B$270,MATCH(TRIM(B191),'CLM &amp; IM Mapping'!$A$2:$A$270,0)),"Not Mapped"))</f>
        <v>Silambarasan E</v>
      </c>
      <c r="D191" s="14" t="str">
        <f aca="false" t="array" ref="D191:D191">IF(B191="","",IFERROR(INDEX('CLM &amp; IM Mapping'!$C$2:$C$270,MATCH(TRIM(B191),'CLM &amp; IM Mapping'!$A$2:$A$270,0)),"Not Mapped"))</f>
        <v>Arivind S</v>
      </c>
      <c r="E191" s="14"/>
      <c r="F191" s="14" t="n">
        <v>2</v>
      </c>
      <c r="G191" s="14" t="n">
        <v>2</v>
      </c>
      <c r="H191" s="14" t="n">
        <v>4</v>
      </c>
      <c r="I191" s="53" t="n">
        <v>4371.12</v>
      </c>
      <c r="J191" s="12"/>
      <c r="K191" s="12"/>
      <c r="L191" s="23"/>
      <c r="M191" s="23"/>
      <c r="N191" s="23"/>
      <c r="O191" s="23"/>
      <c r="P191" s="23"/>
      <c r="Q191" s="23"/>
      <c r="R191" s="23"/>
      <c r="S191" s="23"/>
      <c r="T191" s="23"/>
      <c r="U191" s="23"/>
      <c r="V191" s="23"/>
      <c r="W191" s="23"/>
      <c r="X191" s="23"/>
      <c r="Y191" s="23"/>
      <c r="Z191" s="23"/>
    </row>
    <row r="192" customFormat="false" ht="15.75" hidden="false" customHeight="true" outlineLevel="0" collapsed="false">
      <c r="A192" s="52" t="n">
        <v>46304</v>
      </c>
      <c r="B192" s="14" t="s">
        <v>437</v>
      </c>
      <c r="C192" s="14" t="str">
        <f aca="false" t="array" ref="C192:C192">IF(B192="","",IFERROR(INDEX('CLM &amp; IM Mapping'!$B$2:$B$270,MATCH(TRIM(B192),'CLM &amp; IM Mapping'!$A$2:$A$270,0)),"Not Mapped"))</f>
        <v>Balaji G</v>
      </c>
      <c r="D192" s="14" t="str">
        <f aca="false" t="array" ref="D192:D192">IF(B192="","",IFERROR(INDEX('CLM &amp; IM Mapping'!$C$2:$C$270,MATCH(TRIM(B192),'CLM &amp; IM Mapping'!$A$2:$A$270,0)),"Not Mapped"))</f>
        <v>Mohammed Akbar</v>
      </c>
      <c r="E192" s="14"/>
      <c r="F192" s="14"/>
      <c r="G192" s="14" t="n">
        <v>10</v>
      </c>
      <c r="H192" s="14" t="n">
        <v>10</v>
      </c>
      <c r="I192" s="53" t="n">
        <v>4213.19</v>
      </c>
      <c r="J192" s="12"/>
      <c r="K192" s="12"/>
      <c r="L192" s="23"/>
      <c r="M192" s="23"/>
      <c r="N192" s="23"/>
      <c r="O192" s="23"/>
      <c r="P192" s="23"/>
      <c r="Q192" s="23"/>
      <c r="R192" s="23"/>
      <c r="S192" s="23"/>
      <c r="T192" s="23"/>
      <c r="U192" s="23"/>
      <c r="V192" s="23"/>
      <c r="W192" s="23"/>
      <c r="X192" s="23"/>
      <c r="Y192" s="23"/>
      <c r="Z192" s="23"/>
    </row>
    <row r="193" customFormat="false" ht="15.75" hidden="false" customHeight="true" outlineLevel="0" collapsed="false">
      <c r="A193" s="52" t="n">
        <v>46304</v>
      </c>
      <c r="B193" s="14" t="s">
        <v>454</v>
      </c>
      <c r="C193" s="14" t="str">
        <f aca="false" t="array" ref="C193:C193">IF(B193="","",IFERROR(INDEX('CLM &amp; IM Mapping'!$B$2:$B$270,MATCH(TRIM(B193),'CLM &amp; IM Mapping'!$A$2:$A$270,0)),"Not Mapped"))</f>
        <v>Balaji G</v>
      </c>
      <c r="D193" s="14" t="str">
        <f aca="false" t="array" ref="D193:D193">IF(B193="","",IFERROR(INDEX('CLM &amp; IM Mapping'!$C$2:$C$270,MATCH(TRIM(B193),'CLM &amp; IM Mapping'!$A$2:$A$270,0)),"Not Mapped"))</f>
        <v>Mohammed Akbar</v>
      </c>
      <c r="E193" s="14"/>
      <c r="F193" s="14" t="n">
        <v>2</v>
      </c>
      <c r="G193" s="14" t="n">
        <v>11</v>
      </c>
      <c r="H193" s="14" t="n">
        <v>13</v>
      </c>
      <c r="I193" s="53" t="n">
        <v>3875.93</v>
      </c>
      <c r="J193" s="12"/>
      <c r="K193" s="12"/>
      <c r="L193" s="23"/>
      <c r="M193" s="23"/>
      <c r="N193" s="23"/>
      <c r="O193" s="23"/>
      <c r="P193" s="23"/>
      <c r="Q193" s="23"/>
      <c r="R193" s="23"/>
      <c r="S193" s="23"/>
      <c r="T193" s="23"/>
      <c r="U193" s="23"/>
      <c r="V193" s="23"/>
      <c r="W193" s="23"/>
      <c r="X193" s="23"/>
      <c r="Y193" s="23"/>
      <c r="Z193" s="23"/>
    </row>
    <row r="194" customFormat="false" ht="15.75" hidden="false" customHeight="true" outlineLevel="0" collapsed="false">
      <c r="A194" s="52" t="n">
        <v>46304</v>
      </c>
      <c r="B194" s="14" t="s">
        <v>357</v>
      </c>
      <c r="C194" s="14" t="str">
        <f aca="false" t="array" ref="C194:C194">IF(B194="","",IFERROR(INDEX('CLM &amp; IM Mapping'!$B$2:$B$270,MATCH(TRIM(B194),'CLM &amp; IM Mapping'!$A$2:$A$270,0)),"Not Mapped"))</f>
        <v>Arun Raj</v>
      </c>
      <c r="D194" s="14" t="str">
        <f aca="false" t="array" ref="D194:D194">IF(B194="","",IFERROR(INDEX('CLM &amp; IM Mapping'!$C$2:$C$270,MATCH(TRIM(B194),'CLM &amp; IM Mapping'!$A$2:$A$270,0)),"Not Mapped"))</f>
        <v>Simon Manoharan</v>
      </c>
      <c r="E194" s="14"/>
      <c r="F194" s="14"/>
      <c r="G194" s="14" t="n">
        <v>17</v>
      </c>
      <c r="H194" s="14" t="n">
        <v>17</v>
      </c>
      <c r="I194" s="53" t="n">
        <v>3816.69</v>
      </c>
      <c r="J194" s="12"/>
      <c r="K194" s="12"/>
      <c r="L194" s="23"/>
      <c r="M194" s="23"/>
      <c r="N194" s="23"/>
      <c r="O194" s="23"/>
      <c r="P194" s="23"/>
      <c r="Q194" s="23"/>
      <c r="R194" s="23"/>
      <c r="S194" s="23"/>
      <c r="T194" s="23"/>
      <c r="U194" s="23"/>
      <c r="V194" s="23"/>
      <c r="W194" s="23"/>
      <c r="X194" s="23"/>
      <c r="Y194" s="23"/>
      <c r="Z194" s="23"/>
    </row>
    <row r="195" customFormat="false" ht="15.75" hidden="false" customHeight="true" outlineLevel="0" collapsed="false">
      <c r="A195" s="52" t="n">
        <v>46304</v>
      </c>
      <c r="B195" s="14" t="s">
        <v>451</v>
      </c>
      <c r="C195" s="14" t="str">
        <f aca="false" t="array" ref="C195:C195">IF(B195="","",IFERROR(INDEX('CLM &amp; IM Mapping'!$B$2:$B$270,MATCH(TRIM(B195),'CLM &amp; IM Mapping'!$A$2:$A$270,0)),"Not Mapped"))</f>
        <v>Ashwath S</v>
      </c>
      <c r="D195" s="14" t="str">
        <f aca="false" t="array" ref="D195:D195">IF(B195="","",IFERROR(INDEX('CLM &amp; IM Mapping'!$C$2:$C$270,MATCH(TRIM(B195),'CLM &amp; IM Mapping'!$A$2:$A$270,0)),"Not Mapped"))</f>
        <v>Kantha Kumar</v>
      </c>
      <c r="E195" s="14"/>
      <c r="F195" s="14"/>
      <c r="G195" s="14" t="n">
        <v>21</v>
      </c>
      <c r="H195" s="14" t="n">
        <v>21</v>
      </c>
      <c r="I195" s="53" t="n">
        <v>3728.34</v>
      </c>
      <c r="J195" s="12"/>
      <c r="K195" s="12"/>
      <c r="L195" s="23"/>
      <c r="M195" s="23"/>
      <c r="N195" s="23"/>
      <c r="O195" s="23"/>
      <c r="P195" s="23"/>
      <c r="Q195" s="23"/>
      <c r="R195" s="23"/>
      <c r="S195" s="23"/>
      <c r="T195" s="23"/>
      <c r="U195" s="23"/>
      <c r="V195" s="23"/>
      <c r="W195" s="23"/>
      <c r="X195" s="23"/>
      <c r="Y195" s="23"/>
      <c r="Z195" s="23"/>
    </row>
    <row r="196" customFormat="false" ht="15.75" hidden="false" customHeight="true" outlineLevel="0" collapsed="false">
      <c r="A196" s="52" t="n">
        <v>46304</v>
      </c>
      <c r="B196" s="14" t="s">
        <v>80</v>
      </c>
      <c r="C196" s="14" t="str">
        <f aca="false" t="array" ref="C196:C196">IF(B196="","",IFERROR(INDEX('CLM &amp; IM Mapping'!$B$2:$B$270,MATCH(TRIM(B196),'CLM &amp; IM Mapping'!$A$2:$A$270,0)),"Not Mapped"))</f>
        <v>Sundaresh S</v>
      </c>
      <c r="D196" s="14" t="str">
        <f aca="false" t="array" ref="D196:D196">IF(B196="","",IFERROR(INDEX('CLM &amp; IM Mapping'!$C$2:$C$270,MATCH(TRIM(B196),'CLM &amp; IM Mapping'!$A$2:$A$270,0)),"Not Mapped"))</f>
        <v>Un Mapped</v>
      </c>
      <c r="E196" s="14"/>
      <c r="F196" s="14"/>
      <c r="G196" s="14" t="n">
        <v>38</v>
      </c>
      <c r="H196" s="14" t="n">
        <v>38</v>
      </c>
      <c r="I196" s="53" t="n">
        <v>3684.76</v>
      </c>
      <c r="J196" s="12"/>
      <c r="K196" s="12"/>
      <c r="L196" s="23"/>
      <c r="M196" s="23"/>
      <c r="N196" s="23"/>
      <c r="O196" s="23"/>
      <c r="P196" s="23"/>
      <c r="Q196" s="23"/>
      <c r="R196" s="23"/>
      <c r="S196" s="23"/>
      <c r="T196" s="23"/>
      <c r="U196" s="23"/>
      <c r="V196" s="23"/>
      <c r="W196" s="23"/>
      <c r="X196" s="23"/>
      <c r="Y196" s="23"/>
      <c r="Z196" s="23"/>
    </row>
    <row r="197" customFormat="false" ht="15.75" hidden="false" customHeight="true" outlineLevel="0" collapsed="false">
      <c r="A197" s="52" t="n">
        <v>46304</v>
      </c>
      <c r="B197" s="14" t="s">
        <v>381</v>
      </c>
      <c r="C197" s="14" t="str">
        <f aca="false" t="array" ref="C197:C197">IF(B197="","",IFERROR(INDEX('CLM &amp; IM Mapping'!$B$2:$B$270,MATCH(TRIM(B197),'CLM &amp; IM Mapping'!$A$2:$A$270,0)),"Not Mapped"))</f>
        <v>Balaji G</v>
      </c>
      <c r="D197" s="14" t="str">
        <f aca="false" t="array" ref="D197:D197">IF(B197="","",IFERROR(INDEX('CLM &amp; IM Mapping'!$C$2:$C$270,MATCH(TRIM(B197),'CLM &amp; IM Mapping'!$A$2:$A$270,0)),"Not Mapped"))</f>
        <v>Mohammed Akbar</v>
      </c>
      <c r="E197" s="14"/>
      <c r="F197" s="14" t="n">
        <v>22</v>
      </c>
      <c r="G197" s="14"/>
      <c r="H197" s="14" t="n">
        <v>22</v>
      </c>
      <c r="I197" s="53" t="n">
        <v>3266.74</v>
      </c>
      <c r="J197" s="12"/>
      <c r="K197" s="12"/>
      <c r="L197" s="23"/>
      <c r="M197" s="23"/>
      <c r="N197" s="23"/>
      <c r="O197" s="23"/>
      <c r="P197" s="23"/>
      <c r="Q197" s="23"/>
      <c r="R197" s="23"/>
      <c r="S197" s="23"/>
      <c r="T197" s="23"/>
      <c r="U197" s="23"/>
      <c r="V197" s="23"/>
      <c r="W197" s="23"/>
      <c r="X197" s="23"/>
      <c r="Y197" s="23"/>
      <c r="Z197" s="23"/>
    </row>
    <row r="198" customFormat="false" ht="15.75" hidden="false" customHeight="true" outlineLevel="0" collapsed="false">
      <c r="A198" s="52" t="n">
        <v>46304</v>
      </c>
      <c r="B198" s="14" t="s">
        <v>498</v>
      </c>
      <c r="C198" s="14" t="str">
        <f aca="false" t="array" ref="C198:C198">IF(B198="","",IFERROR(INDEX('CLM &amp; IM Mapping'!$B$2:$B$270,MATCH(TRIM(B198),'CLM &amp; IM Mapping'!$A$2:$A$270,0)),"Not Mapped"))</f>
        <v>Adhavan Subramani</v>
      </c>
      <c r="D198" s="14" t="str">
        <f aca="false" t="array" ref="D198:D198">IF(B198="","",IFERROR(INDEX('CLM &amp; IM Mapping'!$C$2:$C$270,MATCH(TRIM(B198),'CLM &amp; IM Mapping'!$A$2:$A$270,0)),"Not Mapped"))</f>
        <v>Mohammed Akbar</v>
      </c>
      <c r="E198" s="14" t="n">
        <v>10</v>
      </c>
      <c r="F198" s="14" t="n">
        <v>6</v>
      </c>
      <c r="G198" s="14" t="n">
        <v>11</v>
      </c>
      <c r="H198" s="14" t="n">
        <v>27</v>
      </c>
      <c r="I198" s="53" t="n">
        <v>3249.24</v>
      </c>
      <c r="J198" s="12"/>
      <c r="K198" s="12"/>
      <c r="L198" s="23"/>
      <c r="M198" s="23"/>
      <c r="N198" s="23"/>
      <c r="O198" s="23"/>
      <c r="P198" s="23"/>
      <c r="Q198" s="23"/>
      <c r="R198" s="23"/>
      <c r="S198" s="23"/>
      <c r="T198" s="23"/>
      <c r="U198" s="23"/>
      <c r="V198" s="23"/>
      <c r="W198" s="23"/>
      <c r="X198" s="23"/>
      <c r="Y198" s="23"/>
      <c r="Z198" s="23"/>
    </row>
    <row r="199" customFormat="false" ht="15.75" hidden="false" customHeight="true" outlineLevel="0" collapsed="false">
      <c r="A199" s="52" t="n">
        <v>46304</v>
      </c>
      <c r="B199" s="14" t="s">
        <v>296</v>
      </c>
      <c r="C199" s="14" t="str">
        <f aca="false" t="array" ref="C199:C199">IF(B199="","",IFERROR(INDEX('CLM &amp; IM Mapping'!$B$2:$B$270,MATCH(TRIM(B199),'CLM &amp; IM Mapping'!$A$2:$A$270,0)),"Not Mapped"))</f>
        <v>Balaji G</v>
      </c>
      <c r="D199" s="14" t="str">
        <f aca="false" t="array" ref="D199:D199">IF(B199="","",IFERROR(INDEX('CLM &amp; IM Mapping'!$C$2:$C$270,MATCH(TRIM(B199),'CLM &amp; IM Mapping'!$A$2:$A$270,0)),"Not Mapped"))</f>
        <v>Mohammed Akbar</v>
      </c>
      <c r="E199" s="14"/>
      <c r="F199" s="14"/>
      <c r="G199" s="14" t="n">
        <v>16</v>
      </c>
      <c r="H199" s="14" t="n">
        <v>16</v>
      </c>
      <c r="I199" s="53" t="n">
        <v>3078.58</v>
      </c>
      <c r="J199" s="12"/>
      <c r="K199" s="12"/>
      <c r="L199" s="23"/>
      <c r="M199" s="23"/>
      <c r="N199" s="23"/>
      <c r="O199" s="23"/>
      <c r="P199" s="23"/>
      <c r="Q199" s="23"/>
      <c r="R199" s="23"/>
      <c r="S199" s="23"/>
      <c r="T199" s="23"/>
      <c r="U199" s="23"/>
      <c r="V199" s="23"/>
      <c r="W199" s="23"/>
      <c r="X199" s="23"/>
      <c r="Y199" s="23"/>
      <c r="Z199" s="23"/>
    </row>
    <row r="200" customFormat="false" ht="15.75" hidden="false" customHeight="true" outlineLevel="0" collapsed="false">
      <c r="A200" s="52" t="n">
        <v>46304</v>
      </c>
      <c r="B200" s="14" t="s">
        <v>521</v>
      </c>
      <c r="C200" s="14" t="str">
        <f aca="false" t="array" ref="C200:C200">IF(B200="","",IFERROR(INDEX('CLM &amp; IM Mapping'!$B$2:$B$270,MATCH(TRIM(B200),'CLM &amp; IM Mapping'!$A$2:$A$270,0)),"Not Mapped"))</f>
        <v>Mohaideen DH</v>
      </c>
      <c r="D200" s="14" t="str">
        <f aca="false" t="array" ref="D200:D200">IF(B200="","",IFERROR(INDEX('CLM &amp; IM Mapping'!$C$2:$C$270,MATCH(TRIM(B200),'CLM &amp; IM Mapping'!$A$2:$A$270,0)),"Not Mapped"))</f>
        <v>Mohammed Akbar</v>
      </c>
      <c r="E200" s="14"/>
      <c r="F200" s="14"/>
      <c r="G200" s="14" t="n">
        <v>63</v>
      </c>
      <c r="H200" s="14" t="n">
        <v>63</v>
      </c>
      <c r="I200" s="53" t="n">
        <v>2954.22</v>
      </c>
      <c r="J200" s="12"/>
      <c r="K200" s="12"/>
      <c r="L200" s="23"/>
      <c r="M200" s="23"/>
      <c r="N200" s="23"/>
      <c r="O200" s="23"/>
      <c r="P200" s="23"/>
      <c r="Q200" s="23"/>
      <c r="R200" s="23"/>
      <c r="S200" s="23"/>
      <c r="T200" s="23"/>
      <c r="U200" s="23"/>
      <c r="V200" s="23"/>
      <c r="W200" s="23"/>
      <c r="X200" s="23"/>
      <c r="Y200" s="23"/>
      <c r="Z200" s="23"/>
    </row>
    <row r="201" customFormat="false" ht="15.75" hidden="false" customHeight="true" outlineLevel="0" collapsed="false">
      <c r="A201" s="52" t="n">
        <v>46304</v>
      </c>
      <c r="B201" s="14" t="s">
        <v>333</v>
      </c>
      <c r="C201" s="14" t="str">
        <f aca="false" t="array" ref="C201:C201">IF(B201="","",IFERROR(INDEX('CLM &amp; IM Mapping'!$B$2:$B$270,MATCH(TRIM(B201),'CLM &amp; IM Mapping'!$A$2:$A$270,0)),"Not Mapped"))</f>
        <v>Basil Scariya</v>
      </c>
      <c r="D201" s="14" t="str">
        <f aca="false" t="array" ref="D201:D201">IF(B201="","",IFERROR(INDEX('CLM &amp; IM Mapping'!$C$2:$C$270,MATCH(TRIM(B201),'CLM &amp; IM Mapping'!$A$2:$A$270,0)),"Not Mapped"))</f>
        <v>Prakash BS</v>
      </c>
      <c r="E201" s="14"/>
      <c r="F201" s="14"/>
      <c r="G201" s="14" t="n">
        <v>9</v>
      </c>
      <c r="H201" s="14" t="n">
        <v>9</v>
      </c>
      <c r="I201" s="53" t="n">
        <v>2813.72</v>
      </c>
      <c r="J201" s="12" t="s">
        <v>756</v>
      </c>
      <c r="K201" s="12"/>
      <c r="L201" s="23"/>
      <c r="M201" s="23"/>
      <c r="N201" s="23"/>
      <c r="O201" s="23"/>
      <c r="P201" s="23"/>
      <c r="Q201" s="23"/>
      <c r="R201" s="23"/>
      <c r="S201" s="23"/>
      <c r="T201" s="23"/>
      <c r="U201" s="23"/>
      <c r="V201" s="23"/>
      <c r="W201" s="23"/>
      <c r="X201" s="23"/>
      <c r="Y201" s="23"/>
      <c r="Z201" s="23"/>
    </row>
    <row r="202" customFormat="false" ht="15.75" hidden="false" customHeight="true" outlineLevel="0" collapsed="false">
      <c r="A202" s="52" t="n">
        <v>46304</v>
      </c>
      <c r="B202" s="14" t="s">
        <v>259</v>
      </c>
      <c r="C202" s="14" t="str">
        <f aca="false" t="array" ref="C202:C202">IF(B202="","",IFERROR(INDEX('CLM &amp; IM Mapping'!$B$2:$B$270,MATCH(TRIM(B202),'CLM &amp; IM Mapping'!$A$2:$A$270,0)),"Not Mapped"))</f>
        <v>Raghavendra Vernekar</v>
      </c>
      <c r="D202" s="14" t="str">
        <f aca="false" t="array" ref="D202:D202">IF(B202="","",IFERROR(INDEX('CLM &amp; IM Mapping'!$C$2:$C$270,MATCH(TRIM(B202),'CLM &amp; IM Mapping'!$A$2:$A$270,0)),"Not Mapped"))</f>
        <v>Prakash BS</v>
      </c>
      <c r="E202" s="14"/>
      <c r="F202" s="14"/>
      <c r="G202" s="14" t="n">
        <v>15</v>
      </c>
      <c r="H202" s="14" t="n">
        <v>15</v>
      </c>
      <c r="I202" s="53" t="n">
        <v>2597.2</v>
      </c>
      <c r="J202" s="12" t="s">
        <v>756</v>
      </c>
      <c r="K202" s="12"/>
      <c r="L202" s="23"/>
      <c r="M202" s="23"/>
      <c r="N202" s="23"/>
      <c r="O202" s="23"/>
      <c r="P202" s="23"/>
      <c r="Q202" s="23"/>
      <c r="R202" s="23"/>
      <c r="S202" s="23"/>
      <c r="T202" s="23"/>
      <c r="U202" s="23"/>
      <c r="V202" s="23"/>
      <c r="W202" s="23"/>
      <c r="X202" s="23"/>
      <c r="Y202" s="23"/>
      <c r="Z202" s="23"/>
    </row>
    <row r="203" customFormat="false" ht="15.75" hidden="false" customHeight="true" outlineLevel="0" collapsed="false">
      <c r="A203" s="52" t="n">
        <v>46304</v>
      </c>
      <c r="B203" s="14" t="s">
        <v>73</v>
      </c>
      <c r="C203" s="14" t="str">
        <f aca="false" t="array" ref="C203:C203">IF(B203="","",IFERROR(INDEX('CLM &amp; IM Mapping'!$B$2:$B$270,MATCH(TRIM(B203),'CLM &amp; IM Mapping'!$A$2:$A$270,0)),"Not Mapped"))</f>
        <v>Narasimhamurthy R</v>
      </c>
      <c r="D203" s="14" t="str">
        <f aca="false" t="array" ref="D203:D203">IF(B203="","",IFERROR(INDEX('CLM &amp; IM Mapping'!$C$2:$C$270,MATCH(TRIM(B203),'CLM &amp; IM Mapping'!$A$2:$A$270,0)),"Not Mapped"))</f>
        <v>Kishor K</v>
      </c>
      <c r="E203" s="14"/>
      <c r="F203" s="14"/>
      <c r="G203" s="14" t="n">
        <v>47</v>
      </c>
      <c r="H203" s="14" t="n">
        <v>47</v>
      </c>
      <c r="I203" s="53" t="n">
        <v>2595.98</v>
      </c>
      <c r="J203" s="12" t="s">
        <v>765</v>
      </c>
      <c r="K203" s="12" t="s">
        <v>762</v>
      </c>
      <c r="L203" s="23"/>
      <c r="M203" s="23"/>
      <c r="N203" s="23"/>
      <c r="O203" s="23"/>
      <c r="P203" s="23"/>
      <c r="Q203" s="23"/>
      <c r="R203" s="23"/>
      <c r="S203" s="23"/>
      <c r="T203" s="23"/>
      <c r="U203" s="23"/>
      <c r="V203" s="23"/>
      <c r="W203" s="23"/>
      <c r="X203" s="23"/>
      <c r="Y203" s="23"/>
      <c r="Z203" s="23"/>
    </row>
    <row r="204" customFormat="false" ht="15.75" hidden="false" customHeight="true" outlineLevel="0" collapsed="false">
      <c r="A204" s="52" t="n">
        <v>46304</v>
      </c>
      <c r="B204" s="14" t="s">
        <v>62</v>
      </c>
      <c r="C204" s="14" t="str">
        <f aca="false" t="array" ref="C204:C204">IF(B204="","",IFERROR(INDEX('CLM &amp; IM Mapping'!$B$2:$B$270,MATCH(TRIM(B204),'CLM &amp; IM Mapping'!$A$2:$A$270,0)),"Not Mapped"))</f>
        <v>Basil Scariya</v>
      </c>
      <c r="D204" s="14" t="str">
        <f aca="false" t="array" ref="D204:D204">IF(B204="","",IFERROR(INDEX('CLM &amp; IM Mapping'!$C$2:$C$270,MATCH(TRIM(B204),'CLM &amp; IM Mapping'!$A$2:$A$270,0)),"Not Mapped"))</f>
        <v>Prakash BS</v>
      </c>
      <c r="E204" s="14"/>
      <c r="F204" s="14"/>
      <c r="G204" s="14" t="n">
        <v>17</v>
      </c>
      <c r="H204" s="14" t="n">
        <v>17</v>
      </c>
      <c r="I204" s="53" t="n">
        <v>2532.31</v>
      </c>
      <c r="J204" s="12" t="s">
        <v>756</v>
      </c>
      <c r="K204" s="12"/>
      <c r="L204" s="23"/>
      <c r="M204" s="23"/>
      <c r="N204" s="23"/>
      <c r="O204" s="23"/>
      <c r="P204" s="23"/>
      <c r="Q204" s="23"/>
      <c r="R204" s="23"/>
      <c r="S204" s="23"/>
      <c r="T204" s="23"/>
      <c r="U204" s="23"/>
      <c r="V204" s="23"/>
      <c r="W204" s="23"/>
      <c r="X204" s="23"/>
      <c r="Y204" s="23"/>
      <c r="Z204" s="23"/>
    </row>
    <row r="205" customFormat="false" ht="15.75" hidden="false" customHeight="true" outlineLevel="0" collapsed="false">
      <c r="A205" s="52" t="n">
        <v>46304</v>
      </c>
      <c r="B205" s="14" t="s">
        <v>344</v>
      </c>
      <c r="C205" s="14" t="str">
        <f aca="false" t="array" ref="C205:C205">IF(B205="","",IFERROR(INDEX('CLM &amp; IM Mapping'!$B$2:$B$270,MATCH(TRIM(B205),'CLM &amp; IM Mapping'!$A$2:$A$270,0)),"Not Mapped"))</f>
        <v>Arun Raj</v>
      </c>
      <c r="D205" s="14" t="str">
        <f aca="false" t="array" ref="D205:D205">IF(B205="","",IFERROR(INDEX('CLM &amp; IM Mapping'!$C$2:$C$270,MATCH(TRIM(B205),'CLM &amp; IM Mapping'!$A$2:$A$270,0)),"Not Mapped"))</f>
        <v>Simon Manoharan</v>
      </c>
      <c r="E205" s="14"/>
      <c r="F205" s="14"/>
      <c r="G205" s="14" t="n">
        <v>10</v>
      </c>
      <c r="H205" s="14" t="n">
        <v>10</v>
      </c>
      <c r="I205" s="53" t="n">
        <v>2526.13</v>
      </c>
      <c r="J205" s="12"/>
      <c r="K205" s="12"/>
      <c r="L205" s="23"/>
      <c r="M205" s="23"/>
      <c r="N205" s="23"/>
      <c r="O205" s="23"/>
      <c r="P205" s="23"/>
      <c r="Q205" s="23"/>
      <c r="R205" s="23"/>
      <c r="S205" s="23"/>
      <c r="T205" s="23"/>
      <c r="U205" s="23"/>
      <c r="V205" s="23"/>
      <c r="W205" s="23"/>
      <c r="X205" s="23"/>
      <c r="Y205" s="23"/>
      <c r="Z205" s="23"/>
    </row>
    <row r="206" customFormat="false" ht="15.75" hidden="false" customHeight="true" outlineLevel="0" collapsed="false">
      <c r="A206" s="52" t="n">
        <v>46304</v>
      </c>
      <c r="B206" s="14" t="s">
        <v>254</v>
      </c>
      <c r="C206" s="14" t="str">
        <f aca="false" t="array" ref="C206:C206">IF(B206="","",IFERROR(INDEX('CLM &amp; IM Mapping'!$B$2:$B$270,MATCH(TRIM(B206),'CLM &amp; IM Mapping'!$A$2:$A$270,0)),"Not Mapped"))</f>
        <v>Basil Scariya</v>
      </c>
      <c r="D206" s="14" t="str">
        <f aca="false" t="array" ref="D206:D206">IF(B206="","",IFERROR(INDEX('CLM &amp; IM Mapping'!$C$2:$C$270,MATCH(TRIM(B206),'CLM &amp; IM Mapping'!$A$2:$A$270,0)),"Not Mapped"))</f>
        <v>Prakash BS</v>
      </c>
      <c r="E206" s="14"/>
      <c r="F206" s="14"/>
      <c r="G206" s="14" t="n">
        <v>73</v>
      </c>
      <c r="H206" s="14" t="n">
        <v>73</v>
      </c>
      <c r="I206" s="53" t="n">
        <v>2470.27</v>
      </c>
      <c r="J206" s="12" t="s">
        <v>756</v>
      </c>
      <c r="K206" s="12"/>
      <c r="L206" s="23"/>
      <c r="M206" s="23"/>
      <c r="N206" s="23"/>
      <c r="O206" s="23"/>
      <c r="P206" s="23"/>
      <c r="Q206" s="23"/>
      <c r="R206" s="23"/>
      <c r="S206" s="23"/>
      <c r="T206" s="23"/>
      <c r="U206" s="23"/>
      <c r="V206" s="23"/>
      <c r="W206" s="23"/>
      <c r="X206" s="23"/>
      <c r="Y206" s="23"/>
      <c r="Z206" s="23"/>
    </row>
    <row r="207" customFormat="false" ht="15.75" hidden="false" customHeight="true" outlineLevel="0" collapsed="false">
      <c r="A207" s="52" t="n">
        <v>46304</v>
      </c>
      <c r="B207" s="14" t="s">
        <v>120</v>
      </c>
      <c r="C207" s="14" t="str">
        <f aca="false" t="array" ref="C207:C207">IF(B207="","",IFERROR(INDEX('CLM &amp; IM Mapping'!$B$2:$B$270,MATCH(TRIM(B207),'CLM &amp; IM Mapping'!$A$2:$A$270,0)),"Not Mapped"))</f>
        <v>Balaji G</v>
      </c>
      <c r="D207" s="14" t="str">
        <f aca="false" t="array" ref="D207:D207">IF(B207="","",IFERROR(INDEX('CLM &amp; IM Mapping'!$C$2:$C$270,MATCH(TRIM(B207),'CLM &amp; IM Mapping'!$A$2:$A$270,0)),"Not Mapped"))</f>
        <v>Mohammed Akbar</v>
      </c>
      <c r="E207" s="14"/>
      <c r="F207" s="14"/>
      <c r="G207" s="14" t="n">
        <v>7</v>
      </c>
      <c r="H207" s="14" t="n">
        <v>7</v>
      </c>
      <c r="I207" s="53" t="n">
        <v>2210.82</v>
      </c>
      <c r="J207" s="12"/>
      <c r="K207" s="12"/>
      <c r="L207" s="23"/>
      <c r="M207" s="23"/>
      <c r="N207" s="23"/>
      <c r="O207" s="23"/>
      <c r="P207" s="23"/>
      <c r="Q207" s="23"/>
      <c r="R207" s="23"/>
      <c r="S207" s="23"/>
      <c r="T207" s="23"/>
      <c r="U207" s="23"/>
      <c r="V207" s="23"/>
      <c r="W207" s="23"/>
      <c r="X207" s="23"/>
      <c r="Y207" s="23"/>
      <c r="Z207" s="23"/>
    </row>
    <row r="208" customFormat="false" ht="15.75" hidden="false" customHeight="true" outlineLevel="0" collapsed="false">
      <c r="A208" s="52" t="n">
        <v>46304</v>
      </c>
      <c r="B208" s="14" t="s">
        <v>468</v>
      </c>
      <c r="C208" s="14" t="str">
        <f aca="false" t="array" ref="C208:C208">IF(B208="","",IFERROR(INDEX('CLM &amp; IM Mapping'!$B$2:$B$270,MATCH(TRIM(B208),'CLM &amp; IM Mapping'!$A$2:$A$270,0)),"Not Mapped"))</f>
        <v>Suhas N</v>
      </c>
      <c r="D208" s="14" t="str">
        <f aca="false" t="array" ref="D208:D208">IF(B208="","",IFERROR(INDEX('CLM &amp; IM Mapping'!$C$2:$C$270,MATCH(TRIM(B208),'CLM &amp; IM Mapping'!$A$2:$A$270,0)),"Not Mapped"))</f>
        <v>Aravind S</v>
      </c>
      <c r="E208" s="14"/>
      <c r="F208" s="14" t="n">
        <v>4</v>
      </c>
      <c r="G208" s="14" t="n">
        <v>40</v>
      </c>
      <c r="H208" s="14" t="n">
        <v>44</v>
      </c>
      <c r="I208" s="53" t="n">
        <v>2099.49</v>
      </c>
      <c r="J208" s="12" t="s">
        <v>755</v>
      </c>
      <c r="K208" s="56" t="n">
        <v>46304</v>
      </c>
      <c r="L208" s="23"/>
      <c r="M208" s="23"/>
      <c r="N208" s="23"/>
      <c r="O208" s="23"/>
      <c r="P208" s="23"/>
      <c r="Q208" s="23"/>
      <c r="R208" s="23"/>
      <c r="S208" s="23"/>
      <c r="T208" s="23"/>
      <c r="U208" s="23"/>
      <c r="V208" s="23"/>
      <c r="W208" s="23"/>
      <c r="X208" s="23"/>
      <c r="Y208" s="23"/>
      <c r="Z208" s="23"/>
    </row>
    <row r="209" customFormat="false" ht="15.75" hidden="false" customHeight="true" outlineLevel="0" collapsed="false">
      <c r="A209" s="52" t="n">
        <v>46304</v>
      </c>
      <c r="B209" s="14" t="s">
        <v>508</v>
      </c>
      <c r="C209" s="14" t="str">
        <f aca="false" t="array" ref="C209:C209">IF(B209="","",IFERROR(INDEX('CLM &amp; IM Mapping'!$B$2:$B$270,MATCH(TRIM(B209),'CLM &amp; IM Mapping'!$A$2:$A$270,0)),"Not Mapped"))</f>
        <v>Ravishankar gowda</v>
      </c>
      <c r="D209" s="14" t="str">
        <f aca="false" t="array" ref="D209:D209">IF(B209="","",IFERROR(INDEX('CLM &amp; IM Mapping'!$C$2:$C$270,MATCH(TRIM(B209),'CLM &amp; IM Mapping'!$A$2:$A$270,0)),"Not Mapped"))</f>
        <v>Kishor K</v>
      </c>
      <c r="E209" s="14"/>
      <c r="F209" s="14"/>
      <c r="G209" s="14" t="n">
        <v>6</v>
      </c>
      <c r="H209" s="14" t="n">
        <v>6</v>
      </c>
      <c r="I209" s="53" t="n">
        <v>2007.93</v>
      </c>
      <c r="J209" s="12" t="s">
        <v>766</v>
      </c>
      <c r="K209" s="12" t="s">
        <v>655</v>
      </c>
      <c r="L209" s="23"/>
      <c r="M209" s="23"/>
      <c r="N209" s="23"/>
      <c r="O209" s="23"/>
      <c r="P209" s="23"/>
      <c r="Q209" s="23"/>
      <c r="R209" s="23"/>
      <c r="S209" s="23"/>
      <c r="T209" s="23"/>
      <c r="U209" s="23"/>
      <c r="V209" s="23"/>
      <c r="W209" s="23"/>
      <c r="X209" s="23"/>
      <c r="Y209" s="23"/>
      <c r="Z209" s="23"/>
    </row>
    <row r="210" customFormat="false" ht="15.75" hidden="false" customHeight="true" outlineLevel="0" collapsed="false">
      <c r="A210" s="52" t="n">
        <v>46304</v>
      </c>
      <c r="B210" s="14" t="s">
        <v>518</v>
      </c>
      <c r="C210" s="14" t="str">
        <f aca="false" t="array" ref="C210:C210">IF(B210="","",IFERROR(INDEX('CLM &amp; IM Mapping'!$B$2:$B$270,MATCH(TRIM(B210),'CLM &amp; IM Mapping'!$A$2:$A$270,0)),"Not Mapped"))</f>
        <v>Basil Scariya</v>
      </c>
      <c r="D210" s="14" t="str">
        <f aca="false" t="array" ref="D210:D210">IF(B210="","",IFERROR(INDEX('CLM &amp; IM Mapping'!$C$2:$C$270,MATCH(TRIM(B210),'CLM &amp; IM Mapping'!$A$2:$A$270,0)),"Not Mapped"))</f>
        <v>Prakash BS</v>
      </c>
      <c r="E210" s="14"/>
      <c r="F210" s="14"/>
      <c r="G210" s="14" t="n">
        <v>69</v>
      </c>
      <c r="H210" s="14" t="n">
        <v>69</v>
      </c>
      <c r="I210" s="53" t="n">
        <v>1872.56</v>
      </c>
      <c r="J210" s="12" t="s">
        <v>756</v>
      </c>
      <c r="K210" s="12"/>
      <c r="L210" s="23"/>
      <c r="M210" s="23"/>
      <c r="N210" s="23"/>
      <c r="O210" s="23"/>
      <c r="P210" s="23"/>
      <c r="Q210" s="23"/>
      <c r="R210" s="23"/>
      <c r="S210" s="23"/>
      <c r="T210" s="23"/>
      <c r="U210" s="23"/>
      <c r="V210" s="23"/>
      <c r="W210" s="23"/>
      <c r="X210" s="23"/>
      <c r="Y210" s="23"/>
      <c r="Z210" s="23"/>
    </row>
    <row r="211" customFormat="false" ht="15.75" hidden="false" customHeight="true" outlineLevel="0" collapsed="false">
      <c r="A211" s="52" t="n">
        <v>46304</v>
      </c>
      <c r="B211" s="14" t="s">
        <v>24</v>
      </c>
      <c r="C211" s="14" t="str">
        <f aca="false" t="array" ref="C211:C211">IF(B211="","",IFERROR(INDEX('CLM &amp; IM Mapping'!$B$2:$B$270,MATCH(TRIM(B211),'CLM &amp; IM Mapping'!$A$2:$A$270,0)),"Not Mapped"))</f>
        <v>Arun Raj</v>
      </c>
      <c r="D211" s="14" t="str">
        <f aca="false" t="array" ref="D211:D211">IF(B211="","",IFERROR(INDEX('CLM &amp; IM Mapping'!$C$2:$C$270,MATCH(TRIM(B211),'CLM &amp; IM Mapping'!$A$2:$A$270,0)),"Not Mapped"))</f>
        <v>Simon Manoharan</v>
      </c>
      <c r="E211" s="14"/>
      <c r="F211" s="14"/>
      <c r="G211" s="14" t="n">
        <v>18</v>
      </c>
      <c r="H211" s="14" t="n">
        <v>18</v>
      </c>
      <c r="I211" s="53" t="n">
        <v>1764.05</v>
      </c>
      <c r="J211" s="12"/>
      <c r="K211" s="12"/>
      <c r="L211" s="23"/>
      <c r="M211" s="23"/>
      <c r="N211" s="23"/>
      <c r="O211" s="23"/>
      <c r="P211" s="23"/>
      <c r="Q211" s="23"/>
      <c r="R211" s="23"/>
      <c r="S211" s="23"/>
      <c r="T211" s="23"/>
      <c r="U211" s="23"/>
      <c r="V211" s="23"/>
      <c r="W211" s="23"/>
      <c r="X211" s="23"/>
      <c r="Y211" s="23"/>
      <c r="Z211" s="23"/>
    </row>
    <row r="212" customFormat="false" ht="15.75" hidden="false" customHeight="true" outlineLevel="0" collapsed="false">
      <c r="A212" s="52" t="n">
        <v>46304</v>
      </c>
      <c r="B212" s="14" t="s">
        <v>314</v>
      </c>
      <c r="C212" s="14" t="str">
        <f aca="false" t="array" ref="C212:C212">IF(B212="","",IFERROR(INDEX('CLM &amp; IM Mapping'!$B$2:$B$270,MATCH(TRIM(B212),'CLM &amp; IM Mapping'!$A$2:$A$270,0)),"Not Mapped"))</f>
        <v>Basil Scariya</v>
      </c>
      <c r="D212" s="14" t="str">
        <f aca="false" t="array" ref="D212:D212">IF(B212="","",IFERROR(INDEX('CLM &amp; IM Mapping'!$C$2:$C$270,MATCH(TRIM(B212),'CLM &amp; IM Mapping'!$A$2:$A$270,0)),"Not Mapped"))</f>
        <v>Prakash BS</v>
      </c>
      <c r="E212" s="14" t="n">
        <v>10</v>
      </c>
      <c r="F212" s="14" t="n">
        <v>4</v>
      </c>
      <c r="G212" s="14"/>
      <c r="H212" s="14" t="n">
        <v>14</v>
      </c>
      <c r="I212" s="53" t="n">
        <v>1629.25</v>
      </c>
      <c r="J212" s="12" t="s">
        <v>767</v>
      </c>
      <c r="K212" s="12"/>
      <c r="L212" s="23"/>
      <c r="M212" s="23"/>
      <c r="N212" s="23"/>
      <c r="O212" s="23"/>
      <c r="P212" s="23"/>
      <c r="Q212" s="23"/>
      <c r="R212" s="23"/>
      <c r="S212" s="23"/>
      <c r="T212" s="23"/>
      <c r="U212" s="23"/>
      <c r="V212" s="23"/>
      <c r="W212" s="23"/>
      <c r="X212" s="23"/>
      <c r="Y212" s="23"/>
      <c r="Z212" s="23"/>
    </row>
    <row r="213" customFormat="false" ht="15.75" hidden="false" customHeight="true" outlineLevel="0" collapsed="false">
      <c r="A213" s="52" t="n">
        <v>46304</v>
      </c>
      <c r="B213" s="14" t="s">
        <v>257</v>
      </c>
      <c r="C213" s="14" t="str">
        <f aca="false" t="array" ref="C213:C213">IF(B213="","",IFERROR(INDEX('CLM &amp; IM Mapping'!$B$2:$B$270,MATCH(TRIM(B213),'CLM &amp; IM Mapping'!$A$2:$A$270,0)),"Not Mapped"))</f>
        <v>Raghavendra Vernekar</v>
      </c>
      <c r="D213" s="14" t="str">
        <f aca="false" t="array" ref="D213:D213">IF(B213="","",IFERROR(INDEX('CLM &amp; IM Mapping'!$C$2:$C$270,MATCH(TRIM(B213),'CLM &amp; IM Mapping'!$A$2:$A$270,0)),"Not Mapped"))</f>
        <v>Prakash BS</v>
      </c>
      <c r="E213" s="14"/>
      <c r="F213" s="14"/>
      <c r="G213" s="14" t="n">
        <v>2</v>
      </c>
      <c r="H213" s="14" t="n">
        <v>2</v>
      </c>
      <c r="I213" s="53" t="n">
        <v>1601.97</v>
      </c>
      <c r="J213" s="12" t="s">
        <v>756</v>
      </c>
      <c r="K213" s="12"/>
      <c r="L213" s="23"/>
      <c r="M213" s="23"/>
      <c r="N213" s="23"/>
      <c r="O213" s="23"/>
      <c r="P213" s="23"/>
      <c r="Q213" s="23"/>
      <c r="R213" s="23"/>
      <c r="S213" s="23"/>
      <c r="T213" s="23"/>
      <c r="U213" s="23"/>
      <c r="V213" s="23"/>
      <c r="W213" s="23"/>
      <c r="X213" s="23"/>
      <c r="Y213" s="23"/>
      <c r="Z213" s="23"/>
    </row>
    <row r="214" customFormat="false" ht="15.75" hidden="false" customHeight="true" outlineLevel="0" collapsed="false">
      <c r="A214" s="52" t="n">
        <v>46304</v>
      </c>
      <c r="B214" s="14" t="s">
        <v>159</v>
      </c>
      <c r="C214" s="14" t="str">
        <f aca="false" t="array" ref="C214:C214">IF(B214="","",IFERROR(INDEX('CLM &amp; IM Mapping'!$B$2:$B$270,MATCH(TRIM(B214),'CLM &amp; IM Mapping'!$A$2:$A$270,0)),"Not Mapped"))</f>
        <v>Rizwan Ahmed</v>
      </c>
      <c r="D214" s="14" t="str">
        <f aca="false" t="array" ref="D214:D214">IF(B214="","",IFERROR(INDEX('CLM &amp; IM Mapping'!$C$2:$C$270,MATCH(TRIM(B214),'CLM &amp; IM Mapping'!$A$2:$A$270,0)),"Not Mapped"))</f>
        <v>Un Mapped</v>
      </c>
      <c r="E214" s="14"/>
      <c r="F214" s="14"/>
      <c r="G214" s="14" t="n">
        <v>5</v>
      </c>
      <c r="H214" s="14" t="n">
        <v>5</v>
      </c>
      <c r="I214" s="53" t="n">
        <v>1541.23</v>
      </c>
      <c r="J214" s="12"/>
      <c r="K214" s="12"/>
      <c r="L214" s="23"/>
      <c r="M214" s="23"/>
      <c r="N214" s="23"/>
      <c r="O214" s="23"/>
      <c r="P214" s="23"/>
      <c r="Q214" s="23"/>
      <c r="R214" s="23"/>
      <c r="S214" s="23"/>
      <c r="T214" s="23"/>
      <c r="U214" s="23"/>
      <c r="V214" s="23"/>
      <c r="W214" s="23"/>
      <c r="X214" s="23"/>
      <c r="Y214" s="23"/>
      <c r="Z214" s="23"/>
    </row>
    <row r="215" customFormat="false" ht="15.75" hidden="false" customHeight="true" outlineLevel="0" collapsed="false">
      <c r="A215" s="52" t="n">
        <v>46304</v>
      </c>
      <c r="B215" s="14" t="s">
        <v>92</v>
      </c>
      <c r="C215" s="14" t="str">
        <f aca="false" t="array" ref="C215:C215">IF(B215="","",IFERROR(INDEX('CLM &amp; IM Mapping'!$B$2:$B$270,MATCH(TRIM(B215),'CLM &amp; IM Mapping'!$A$2:$A$270,0)),"Not Mapped"))</f>
        <v>Balaji G</v>
      </c>
      <c r="D215" s="14" t="str">
        <f aca="false" t="array" ref="D215:D215">IF(B215="","",IFERROR(INDEX('CLM &amp; IM Mapping'!$C$2:$C$270,MATCH(TRIM(B215),'CLM &amp; IM Mapping'!$A$2:$A$270,0)),"Not Mapped"))</f>
        <v>Mohammed Akbar</v>
      </c>
      <c r="E215" s="14"/>
      <c r="F215" s="14"/>
      <c r="G215" s="14" t="n">
        <v>6</v>
      </c>
      <c r="H215" s="14" t="n">
        <v>6</v>
      </c>
      <c r="I215" s="53" t="n">
        <v>1426.7</v>
      </c>
      <c r="J215" s="12"/>
      <c r="K215" s="12"/>
      <c r="L215" s="23"/>
      <c r="M215" s="23"/>
      <c r="N215" s="23"/>
      <c r="O215" s="23"/>
      <c r="P215" s="23"/>
      <c r="Q215" s="23"/>
      <c r="R215" s="23"/>
      <c r="S215" s="23"/>
      <c r="T215" s="23"/>
      <c r="U215" s="23"/>
      <c r="V215" s="23"/>
      <c r="W215" s="23"/>
      <c r="X215" s="23"/>
      <c r="Y215" s="23"/>
      <c r="Z215" s="23"/>
    </row>
    <row r="216" customFormat="false" ht="15.75" hidden="false" customHeight="true" outlineLevel="0" collapsed="false">
      <c r="A216" s="52" t="n">
        <v>46304</v>
      </c>
      <c r="B216" s="14" t="s">
        <v>465</v>
      </c>
      <c r="C216" s="14" t="str">
        <f aca="false" t="array" ref="C216:C216">IF(B216="","",IFERROR(INDEX('CLM &amp; IM Mapping'!$B$2:$B$270,MATCH(TRIM(B216),'CLM &amp; IM Mapping'!$A$2:$A$270,0)),"Not Mapped"))</f>
        <v>Suhas N</v>
      </c>
      <c r="D216" s="14" t="str">
        <f aca="false" t="array" ref="D216:D216">IF(B216="","",IFERROR(INDEX('CLM &amp; IM Mapping'!$C$2:$C$270,MATCH(TRIM(B216),'CLM &amp; IM Mapping'!$A$2:$A$270,0)),"Not Mapped"))</f>
        <v>Aravind S</v>
      </c>
      <c r="E216" s="14"/>
      <c r="F216" s="14"/>
      <c r="G216" s="14" t="n">
        <v>10</v>
      </c>
      <c r="H216" s="14" t="n">
        <v>10</v>
      </c>
      <c r="I216" s="53" t="n">
        <v>1406.57</v>
      </c>
      <c r="J216" s="12"/>
      <c r="K216" s="12"/>
      <c r="L216" s="23"/>
      <c r="M216" s="23"/>
      <c r="N216" s="23"/>
      <c r="O216" s="23"/>
      <c r="P216" s="23"/>
      <c r="Q216" s="23"/>
      <c r="R216" s="23"/>
      <c r="S216" s="23"/>
      <c r="T216" s="23"/>
      <c r="U216" s="23"/>
      <c r="V216" s="23"/>
      <c r="W216" s="23"/>
      <c r="X216" s="23"/>
      <c r="Y216" s="23"/>
      <c r="Z216" s="23"/>
    </row>
    <row r="217" customFormat="false" ht="15.75" hidden="false" customHeight="true" outlineLevel="0" collapsed="false">
      <c r="A217" s="52" t="n">
        <v>46304</v>
      </c>
      <c r="B217" s="14" t="s">
        <v>134</v>
      </c>
      <c r="C217" s="14" t="str">
        <f aca="false" t="array" ref="C217:C217">IF(B217="","",IFERROR(INDEX('CLM &amp; IM Mapping'!$B$2:$B$270,MATCH(TRIM(B217),'CLM &amp; IM Mapping'!$A$2:$A$270,0)),"Not Mapped"))</f>
        <v>Raghavendra Vernekar</v>
      </c>
      <c r="D217" s="14" t="str">
        <f aca="false" t="array" ref="D217:D217">IF(B217="","",IFERROR(INDEX('CLM &amp; IM Mapping'!$C$2:$C$270,MATCH(TRIM(B217),'CLM &amp; IM Mapping'!$A$2:$A$270,0)),"Not Mapped"))</f>
        <v>Prakash BS</v>
      </c>
      <c r="E217" s="14"/>
      <c r="F217" s="14" t="n">
        <v>30</v>
      </c>
      <c r="G217" s="14"/>
      <c r="H217" s="14" t="n">
        <v>30</v>
      </c>
      <c r="I217" s="53" t="n">
        <v>1268.25</v>
      </c>
      <c r="J217" s="12" t="s">
        <v>767</v>
      </c>
      <c r="K217" s="12"/>
      <c r="L217" s="23"/>
      <c r="M217" s="23"/>
      <c r="N217" s="23"/>
      <c r="O217" s="23"/>
      <c r="P217" s="23"/>
      <c r="Q217" s="23"/>
      <c r="R217" s="23"/>
      <c r="S217" s="23"/>
      <c r="T217" s="23"/>
      <c r="U217" s="23"/>
      <c r="V217" s="23"/>
      <c r="W217" s="23"/>
      <c r="X217" s="23"/>
      <c r="Y217" s="23"/>
      <c r="Z217" s="23"/>
    </row>
    <row r="218" customFormat="false" ht="15.75" hidden="false" customHeight="true" outlineLevel="0" collapsed="false">
      <c r="A218" s="52" t="n">
        <v>46304</v>
      </c>
      <c r="B218" s="14" t="s">
        <v>397</v>
      </c>
      <c r="C218" s="14" t="str">
        <f aca="false" t="array" ref="C218:C218">IF(B218="","",IFERROR(INDEX('CLM &amp; IM Mapping'!$B$2:$B$270,MATCH(TRIM(B218),'CLM &amp; IM Mapping'!$A$2:$A$270,0)),"Not Mapped"))</f>
        <v>Akshay P</v>
      </c>
      <c r="D218" s="14" t="str">
        <f aca="false" t="array" ref="D218:D218">IF(B218="","",IFERROR(INDEX('CLM &amp; IM Mapping'!$C$2:$C$270,MATCH(TRIM(B218),'CLM &amp; IM Mapping'!$A$2:$A$270,0)),"Not Mapped"))</f>
        <v>Srittam Dhal</v>
      </c>
      <c r="E218" s="14"/>
      <c r="F218" s="14" t="n">
        <v>53</v>
      </c>
      <c r="G218" s="14"/>
      <c r="H218" s="14" t="n">
        <v>53</v>
      </c>
      <c r="I218" s="53" t="n">
        <v>1062.44</v>
      </c>
      <c r="J218" s="12"/>
      <c r="K218" s="12"/>
      <c r="L218" s="23"/>
      <c r="M218" s="23"/>
      <c r="N218" s="23"/>
      <c r="O218" s="23"/>
      <c r="P218" s="23"/>
      <c r="Q218" s="23"/>
      <c r="R218" s="23"/>
      <c r="S218" s="23"/>
      <c r="T218" s="23"/>
      <c r="U218" s="23"/>
      <c r="V218" s="23"/>
      <c r="W218" s="23"/>
      <c r="X218" s="23"/>
      <c r="Y218" s="23"/>
      <c r="Z218" s="23"/>
    </row>
    <row r="219" customFormat="false" ht="15.75" hidden="false" customHeight="true" outlineLevel="0" collapsed="false">
      <c r="A219" s="52" t="n">
        <v>46304</v>
      </c>
      <c r="B219" s="14" t="s">
        <v>118</v>
      </c>
      <c r="C219" s="14" t="str">
        <f aca="false" t="array" ref="C219:C219">IF(B219="","",IFERROR(INDEX('CLM &amp; IM Mapping'!$B$2:$B$270,MATCH(TRIM(B219),'CLM &amp; IM Mapping'!$A$2:$A$270,0)),"Not Mapped"))</f>
        <v>Adhavan Subramani</v>
      </c>
      <c r="D219" s="14" t="str">
        <f aca="false" t="array" ref="D219:D219">IF(B219="","",IFERROR(INDEX('CLM &amp; IM Mapping'!$C$2:$C$270,MATCH(TRIM(B219),'CLM &amp; IM Mapping'!$A$2:$A$270,0)),"Not Mapped"))</f>
        <v>Mohammed Akbar</v>
      </c>
      <c r="E219" s="14"/>
      <c r="F219" s="14"/>
      <c r="G219" s="14" t="n">
        <v>15</v>
      </c>
      <c r="H219" s="14" t="n">
        <v>15</v>
      </c>
      <c r="I219" s="53" t="n">
        <v>1012.68</v>
      </c>
      <c r="J219" s="12"/>
      <c r="K219" s="12"/>
      <c r="L219" s="23"/>
      <c r="M219" s="23"/>
      <c r="N219" s="23"/>
      <c r="O219" s="23"/>
      <c r="P219" s="23"/>
      <c r="Q219" s="23"/>
      <c r="R219" s="23"/>
      <c r="S219" s="23"/>
      <c r="T219" s="23"/>
      <c r="U219" s="23"/>
      <c r="V219" s="23"/>
      <c r="W219" s="23"/>
      <c r="X219" s="23"/>
      <c r="Y219" s="23"/>
      <c r="Z219" s="23"/>
    </row>
    <row r="220" customFormat="false" ht="15.75" hidden="false" customHeight="true" outlineLevel="0" collapsed="false">
      <c r="A220" s="52" t="n">
        <v>46304</v>
      </c>
      <c r="B220" s="14" t="s">
        <v>311</v>
      </c>
      <c r="C220" s="14" t="str">
        <f aca="false" t="array" ref="C220:C220">IF(B220="","",IFERROR(INDEX('CLM &amp; IM Mapping'!$B$2:$B$270,MATCH(TRIM(B220),'CLM &amp; IM Mapping'!$A$2:$A$270,0)),"Not Mapped"))</f>
        <v>Manjunatha V</v>
      </c>
      <c r="D220" s="14" t="str">
        <f aca="false" t="array" ref="D220:D220">IF(B220="","",IFERROR(INDEX('CLM &amp; IM Mapping'!$C$2:$C$270,MATCH(TRIM(B220),'CLM &amp; IM Mapping'!$A$2:$A$270,0)),"Not Mapped"))</f>
        <v>Un Mapped</v>
      </c>
      <c r="E220" s="14"/>
      <c r="F220" s="14" t="n">
        <v>6</v>
      </c>
      <c r="G220" s="14"/>
      <c r="H220" s="14" t="n">
        <v>6</v>
      </c>
      <c r="I220" s="53" t="n">
        <v>939.88</v>
      </c>
      <c r="J220" s="12"/>
      <c r="K220" s="12"/>
      <c r="L220" s="23"/>
      <c r="M220" s="23"/>
      <c r="N220" s="23"/>
      <c r="O220" s="23"/>
      <c r="P220" s="23"/>
      <c r="Q220" s="23"/>
      <c r="R220" s="23"/>
      <c r="S220" s="23"/>
      <c r="T220" s="23"/>
      <c r="U220" s="23"/>
      <c r="V220" s="23"/>
      <c r="W220" s="23"/>
      <c r="X220" s="23"/>
      <c r="Y220" s="23"/>
      <c r="Z220" s="23"/>
    </row>
    <row r="221" customFormat="false" ht="15.75" hidden="false" customHeight="true" outlineLevel="0" collapsed="false">
      <c r="A221" s="52" t="n">
        <v>46304</v>
      </c>
      <c r="B221" s="14" t="s">
        <v>492</v>
      </c>
      <c r="C221" s="14" t="str">
        <f aca="false" t="array" ref="C221:C221">IF(B221="","",IFERROR(INDEX('CLM &amp; IM Mapping'!$B$2:$B$270,MATCH(TRIM(B221),'CLM &amp; IM Mapping'!$A$2:$A$270,0)),"Not Mapped"))</f>
        <v>Balaji G</v>
      </c>
      <c r="D221" s="14" t="str">
        <f aca="false" t="array" ref="D221:D221">IF(B221="","",IFERROR(INDEX('CLM &amp; IM Mapping'!$C$2:$C$270,MATCH(TRIM(B221),'CLM &amp; IM Mapping'!$A$2:$A$270,0)),"Not Mapped"))</f>
        <v>Mohammed Akbar</v>
      </c>
      <c r="E221" s="14" t="n">
        <v>4</v>
      </c>
      <c r="F221" s="14"/>
      <c r="G221" s="14"/>
      <c r="H221" s="14" t="n">
        <v>4</v>
      </c>
      <c r="I221" s="53" t="n">
        <v>876.73</v>
      </c>
      <c r="J221" s="12"/>
      <c r="K221" s="12"/>
      <c r="L221" s="23"/>
      <c r="M221" s="23"/>
      <c r="N221" s="23"/>
      <c r="O221" s="23"/>
      <c r="P221" s="23"/>
      <c r="Q221" s="23"/>
      <c r="R221" s="23"/>
      <c r="S221" s="23"/>
      <c r="T221" s="23"/>
      <c r="U221" s="23"/>
      <c r="V221" s="23"/>
      <c r="W221" s="23"/>
      <c r="X221" s="23"/>
      <c r="Y221" s="23"/>
      <c r="Z221" s="23"/>
    </row>
    <row r="222" customFormat="false" ht="15.75" hidden="false" customHeight="true" outlineLevel="0" collapsed="false">
      <c r="A222" s="52" t="n">
        <v>46304</v>
      </c>
      <c r="B222" s="14" t="s">
        <v>175</v>
      </c>
      <c r="C222" s="14" t="str">
        <f aca="false" t="array" ref="C222:C222">IF(B222="","",IFERROR(INDEX('CLM &amp; IM Mapping'!$B$2:$B$270,MATCH(TRIM(B222),'CLM &amp; IM Mapping'!$A$2:$A$270,0)),"Not Mapped"))</f>
        <v>Arun Raj</v>
      </c>
      <c r="D222" s="14" t="str">
        <f aca="false" t="array" ref="D222:D222">IF(B222="","",IFERROR(INDEX('CLM &amp; IM Mapping'!$C$2:$C$270,MATCH(TRIM(B222),'CLM &amp; IM Mapping'!$A$2:$A$270,0)),"Not Mapped"))</f>
        <v>Simon Manoharan</v>
      </c>
      <c r="E222" s="14"/>
      <c r="F222" s="14"/>
      <c r="G222" s="14" t="n">
        <v>2</v>
      </c>
      <c r="H222" s="14" t="n">
        <v>2</v>
      </c>
      <c r="I222" s="53" t="n">
        <v>848.03</v>
      </c>
      <c r="J222" s="12"/>
      <c r="K222" s="12"/>
      <c r="L222" s="23"/>
      <c r="M222" s="23"/>
      <c r="N222" s="23"/>
      <c r="O222" s="23"/>
      <c r="P222" s="23"/>
      <c r="Q222" s="23"/>
      <c r="R222" s="23"/>
      <c r="S222" s="23"/>
      <c r="T222" s="23"/>
      <c r="U222" s="23"/>
      <c r="V222" s="23"/>
      <c r="W222" s="23"/>
      <c r="X222" s="23"/>
      <c r="Y222" s="23"/>
      <c r="Z222" s="23"/>
    </row>
    <row r="223" customFormat="false" ht="15.75" hidden="false" customHeight="true" outlineLevel="0" collapsed="false">
      <c r="A223" s="52" t="n">
        <v>46304</v>
      </c>
      <c r="B223" s="14" t="s">
        <v>184</v>
      </c>
      <c r="C223" s="14" t="str">
        <f aca="false" t="array" ref="C223:C223">IF(B223="","",IFERROR(INDEX('CLM &amp; IM Mapping'!$B$2:$B$270,MATCH(TRIM(B223),'CLM &amp; IM Mapping'!$A$2:$A$270,0)),"Not Mapped"))</f>
        <v>Richard Harris</v>
      </c>
      <c r="D223" s="14" t="str">
        <f aca="false" t="array" ref="D223:D223">IF(B223="","",IFERROR(INDEX('CLM &amp; IM Mapping'!$C$2:$C$270,MATCH(TRIM(B223),'CLM &amp; IM Mapping'!$A$2:$A$270,0)),"Not Mapped"))</f>
        <v>Kantha Kumar</v>
      </c>
      <c r="E223" s="14"/>
      <c r="F223" s="14"/>
      <c r="G223" s="14" t="n">
        <v>2</v>
      </c>
      <c r="H223" s="14" t="n">
        <v>2</v>
      </c>
      <c r="I223" s="53" t="n">
        <v>829.34</v>
      </c>
      <c r="J223" s="12"/>
      <c r="K223" s="12"/>
      <c r="L223" s="23"/>
      <c r="M223" s="23"/>
      <c r="N223" s="23"/>
      <c r="O223" s="23"/>
      <c r="P223" s="23"/>
      <c r="Q223" s="23"/>
      <c r="R223" s="23"/>
      <c r="S223" s="23"/>
      <c r="T223" s="23"/>
      <c r="U223" s="23"/>
      <c r="V223" s="23"/>
      <c r="W223" s="23"/>
      <c r="X223" s="23"/>
      <c r="Y223" s="23"/>
      <c r="Z223" s="23"/>
    </row>
    <row r="224" customFormat="false" ht="15.75" hidden="false" customHeight="true" outlineLevel="0" collapsed="false">
      <c r="A224" s="52" t="n">
        <v>46304</v>
      </c>
      <c r="B224" s="14" t="s">
        <v>132</v>
      </c>
      <c r="C224" s="14" t="str">
        <f aca="false" t="array" ref="C224:C224">IF(B224="","",IFERROR(INDEX('CLM &amp; IM Mapping'!$B$2:$B$270,MATCH(TRIM(B224),'CLM &amp; IM Mapping'!$A$2:$A$270,0)),"Not Mapped"))</f>
        <v>Saddam Hussain</v>
      </c>
      <c r="D224" s="14" t="str">
        <f aca="false" t="array" ref="D224:D224">IF(B224="","",IFERROR(INDEX('CLM &amp; IM Mapping'!$C$2:$C$270,MATCH(TRIM(B224),'CLM &amp; IM Mapping'!$A$2:$A$270,0)),"Not Mapped"))</f>
        <v>Un Mapped</v>
      </c>
      <c r="E224" s="14" t="n">
        <v>5</v>
      </c>
      <c r="F224" s="14"/>
      <c r="G224" s="14" t="n">
        <v>3</v>
      </c>
      <c r="H224" s="14" t="n">
        <v>8</v>
      </c>
      <c r="I224" s="53" t="n">
        <v>816.45</v>
      </c>
      <c r="J224" s="12"/>
      <c r="K224" s="12"/>
      <c r="L224" s="23"/>
      <c r="M224" s="23"/>
      <c r="N224" s="23"/>
      <c r="O224" s="23"/>
      <c r="P224" s="23"/>
      <c r="Q224" s="23"/>
      <c r="R224" s="23"/>
      <c r="S224" s="23"/>
      <c r="T224" s="23"/>
      <c r="U224" s="23"/>
      <c r="V224" s="23"/>
      <c r="W224" s="23"/>
      <c r="X224" s="23"/>
      <c r="Y224" s="23"/>
      <c r="Z224" s="23"/>
    </row>
    <row r="225" customFormat="false" ht="15.75" hidden="false" customHeight="true" outlineLevel="0" collapsed="false">
      <c r="A225" s="52" t="n">
        <v>46304</v>
      </c>
      <c r="B225" s="14" t="s">
        <v>441</v>
      </c>
      <c r="C225" s="14" t="str">
        <f aca="false" t="array" ref="C225:C225">IF(B225="","",IFERROR(INDEX('CLM &amp; IM Mapping'!$B$2:$B$270,MATCH(TRIM(B225),'CLM &amp; IM Mapping'!$A$2:$A$270,0)),"Not Mapped"))</f>
        <v>Vijay M</v>
      </c>
      <c r="D225" s="14" t="str">
        <f aca="false" t="array" ref="D225:D225">IF(B225="","",IFERROR(INDEX('CLM &amp; IM Mapping'!$C$2:$C$270,MATCH(TRIM(B225),'CLM &amp; IM Mapping'!$A$2:$A$270,0)),"Not Mapped"))</f>
        <v>Kantha Kumar</v>
      </c>
      <c r="E225" s="14"/>
      <c r="F225" s="14"/>
      <c r="G225" s="14" t="n">
        <v>11</v>
      </c>
      <c r="H225" s="14" t="n">
        <v>11</v>
      </c>
      <c r="I225" s="53" t="n">
        <v>768.18</v>
      </c>
      <c r="J225" s="12"/>
      <c r="K225" s="12"/>
      <c r="L225" s="23"/>
      <c r="M225" s="23"/>
      <c r="N225" s="23"/>
      <c r="O225" s="23"/>
      <c r="P225" s="23"/>
      <c r="Q225" s="23"/>
      <c r="R225" s="23"/>
      <c r="S225" s="23"/>
      <c r="T225" s="23"/>
      <c r="U225" s="23"/>
      <c r="V225" s="23"/>
      <c r="W225" s="23"/>
      <c r="X225" s="23"/>
      <c r="Y225" s="23"/>
      <c r="Z225" s="23"/>
    </row>
    <row r="226" customFormat="false" ht="15.75" hidden="false" customHeight="true" outlineLevel="0" collapsed="false">
      <c r="A226" s="52" t="n">
        <v>46304</v>
      </c>
      <c r="B226" s="14" t="s">
        <v>526</v>
      </c>
      <c r="C226" s="14" t="str">
        <f aca="false" t="array" ref="C226:C226">IF(B226="","",IFERROR(INDEX('CLM &amp; IM Mapping'!$B$2:$B$270,MATCH(TRIM(B226),'CLM &amp; IM Mapping'!$A$2:$A$270,0)),"Not Mapped"))</f>
        <v>Sundaresh S</v>
      </c>
      <c r="D226" s="14" t="str">
        <f aca="false" t="array" ref="D226:D226">IF(B226="","",IFERROR(INDEX('CLM &amp; IM Mapping'!$C$2:$C$270,MATCH(TRIM(B226),'CLM &amp; IM Mapping'!$A$2:$A$270,0)),"Not Mapped"))</f>
        <v>Un Mapped</v>
      </c>
      <c r="E226" s="14"/>
      <c r="F226" s="14"/>
      <c r="G226" s="14" t="n">
        <v>12</v>
      </c>
      <c r="H226" s="14" t="n">
        <v>12</v>
      </c>
      <c r="I226" s="53" t="n">
        <v>735.25</v>
      </c>
      <c r="J226" s="12"/>
      <c r="K226" s="12"/>
      <c r="L226" s="23"/>
      <c r="M226" s="23"/>
      <c r="N226" s="23"/>
      <c r="O226" s="23"/>
      <c r="P226" s="23"/>
      <c r="Q226" s="23"/>
      <c r="R226" s="23"/>
      <c r="S226" s="23"/>
      <c r="T226" s="23"/>
      <c r="U226" s="23"/>
      <c r="V226" s="23"/>
      <c r="W226" s="23"/>
      <c r="X226" s="23"/>
      <c r="Y226" s="23"/>
      <c r="Z226" s="23"/>
    </row>
    <row r="227" customFormat="false" ht="15.75" hidden="false" customHeight="true" outlineLevel="0" collapsed="false">
      <c r="A227" s="52" t="n">
        <v>46304</v>
      </c>
      <c r="B227" s="14" t="s">
        <v>348</v>
      </c>
      <c r="C227" s="14" t="str">
        <f aca="false" t="array" ref="C227:C227">IF(B227="","",IFERROR(INDEX('CLM &amp; IM Mapping'!$B$2:$B$270,MATCH(TRIM(B227),'CLM &amp; IM Mapping'!$A$2:$A$270,0)),"Not Mapped"))</f>
        <v>Arun Raj</v>
      </c>
      <c r="D227" s="14" t="str">
        <f aca="false" t="array" ref="D227:D227">IF(B227="","",IFERROR(INDEX('CLM &amp; IM Mapping'!$C$2:$C$270,MATCH(TRIM(B227),'CLM &amp; IM Mapping'!$A$2:$A$270,0)),"Not Mapped"))</f>
        <v>Simon Manoharan</v>
      </c>
      <c r="E227" s="14" t="n">
        <v>3</v>
      </c>
      <c r="F227" s="14"/>
      <c r="G227" s="14" t="n">
        <v>2</v>
      </c>
      <c r="H227" s="14" t="n">
        <v>5</v>
      </c>
      <c r="I227" s="53" t="n">
        <v>720.08</v>
      </c>
      <c r="J227" s="12"/>
      <c r="K227" s="12"/>
      <c r="L227" s="23"/>
      <c r="M227" s="23"/>
      <c r="N227" s="23"/>
      <c r="O227" s="23"/>
      <c r="P227" s="23"/>
      <c r="Q227" s="23"/>
      <c r="R227" s="23"/>
      <c r="S227" s="23"/>
      <c r="T227" s="23"/>
      <c r="U227" s="23"/>
      <c r="V227" s="23"/>
      <c r="W227" s="23"/>
      <c r="X227" s="23"/>
      <c r="Y227" s="23"/>
      <c r="Z227" s="23"/>
    </row>
    <row r="228" customFormat="false" ht="15.75" hidden="false" customHeight="true" outlineLevel="0" collapsed="false">
      <c r="A228" s="52" t="n">
        <v>46304</v>
      </c>
      <c r="B228" s="14" t="s">
        <v>189</v>
      </c>
      <c r="C228" s="14" t="str">
        <f aca="false" t="array" ref="C228:C228">IF(B228="","",IFERROR(INDEX('CLM &amp; IM Mapping'!$B$2:$B$270,MATCH(TRIM(B228),'CLM &amp; IM Mapping'!$A$2:$A$270,0)),"Not Mapped"))</f>
        <v>Girish N</v>
      </c>
      <c r="D228" s="14" t="str">
        <f aca="false" t="array" ref="D228:D228">IF(B228="","",IFERROR(INDEX('CLM &amp; IM Mapping'!$C$2:$C$270,MATCH(TRIM(B228),'CLM &amp; IM Mapping'!$A$2:$A$270,0)),"Not Mapped"))</f>
        <v>Un Mapped</v>
      </c>
      <c r="E228" s="14"/>
      <c r="F228" s="14"/>
      <c r="G228" s="14" t="n">
        <v>9</v>
      </c>
      <c r="H228" s="14" t="n">
        <v>9</v>
      </c>
      <c r="I228" s="53" t="n">
        <v>714.96</v>
      </c>
      <c r="J228" s="12"/>
      <c r="K228" s="12"/>
      <c r="L228" s="23"/>
      <c r="M228" s="23"/>
      <c r="N228" s="23"/>
      <c r="O228" s="23"/>
      <c r="P228" s="23"/>
      <c r="Q228" s="23"/>
      <c r="R228" s="23"/>
      <c r="S228" s="23"/>
      <c r="T228" s="23"/>
      <c r="U228" s="23"/>
      <c r="V228" s="23"/>
      <c r="W228" s="23"/>
      <c r="X228" s="23"/>
      <c r="Y228" s="23"/>
      <c r="Z228" s="23"/>
    </row>
    <row r="229" customFormat="false" ht="15.75" hidden="false" customHeight="true" outlineLevel="0" collapsed="false">
      <c r="A229" s="52" t="n">
        <v>46304</v>
      </c>
      <c r="B229" s="14" t="s">
        <v>395</v>
      </c>
      <c r="C229" s="14" t="str">
        <f aca="false" t="array" ref="C229:C229">IF(B229="","",IFERROR(INDEX('CLM &amp; IM Mapping'!$B$2:$B$270,MATCH(TRIM(B229),'CLM &amp; IM Mapping'!$A$2:$A$270,0)),"Not Mapped"))</f>
        <v>Bangareppa CS</v>
      </c>
      <c r="D229" s="14" t="str">
        <f aca="false" t="array" ref="D229:D229">IF(B229="","",IFERROR(INDEX('CLM &amp; IM Mapping'!$C$2:$C$270,MATCH(TRIM(B229),'CLM &amp; IM Mapping'!$A$2:$A$270,0)),"Not Mapped"))</f>
        <v>Kishor K</v>
      </c>
      <c r="E229" s="14"/>
      <c r="F229" s="14" t="n">
        <v>7</v>
      </c>
      <c r="G229" s="14"/>
      <c r="H229" s="14" t="n">
        <v>7</v>
      </c>
      <c r="I229" s="53" t="n">
        <v>701.09</v>
      </c>
      <c r="J229" s="12" t="s">
        <v>768</v>
      </c>
      <c r="K229" s="12" t="s">
        <v>623</v>
      </c>
      <c r="L229" s="23"/>
      <c r="M229" s="23"/>
      <c r="N229" s="23"/>
      <c r="O229" s="23"/>
      <c r="P229" s="23"/>
      <c r="Q229" s="23"/>
      <c r="R229" s="23"/>
      <c r="S229" s="23"/>
      <c r="T229" s="23"/>
      <c r="U229" s="23"/>
      <c r="V229" s="23"/>
      <c r="W229" s="23"/>
      <c r="X229" s="23"/>
      <c r="Y229" s="23"/>
      <c r="Z229" s="23"/>
    </row>
    <row r="230" customFormat="false" ht="15.75" hidden="false" customHeight="true" outlineLevel="0" collapsed="false">
      <c r="A230" s="52" t="n">
        <v>46304</v>
      </c>
      <c r="B230" s="14" t="s">
        <v>512</v>
      </c>
      <c r="C230" s="14" t="str">
        <f aca="false" t="array" ref="C230:C230">IF(B230="","",IFERROR(INDEX('CLM &amp; IM Mapping'!$B$2:$B$270,MATCH(TRIM(B230),'CLM &amp; IM Mapping'!$A$2:$A$270,0)),"Not Mapped"))</f>
        <v>Saddam Hussain</v>
      </c>
      <c r="D230" s="14" t="str">
        <f aca="false" t="array" ref="D230:D230">IF(B230="","",IFERROR(INDEX('CLM &amp; IM Mapping'!$C$2:$C$270,MATCH(TRIM(B230),'CLM &amp; IM Mapping'!$A$2:$A$270,0)),"Not Mapped"))</f>
        <v>Un Mapped</v>
      </c>
      <c r="E230" s="14"/>
      <c r="F230" s="14"/>
      <c r="G230" s="14" t="n">
        <v>6</v>
      </c>
      <c r="H230" s="14" t="n">
        <v>6</v>
      </c>
      <c r="I230" s="53" t="n">
        <v>682.87</v>
      </c>
      <c r="J230" s="12"/>
      <c r="K230" s="12"/>
      <c r="L230" s="23"/>
      <c r="M230" s="23"/>
      <c r="N230" s="23"/>
      <c r="O230" s="23"/>
      <c r="P230" s="23"/>
      <c r="Q230" s="23"/>
      <c r="R230" s="23"/>
      <c r="S230" s="23"/>
      <c r="T230" s="23"/>
      <c r="U230" s="23"/>
      <c r="V230" s="23"/>
      <c r="W230" s="23"/>
      <c r="X230" s="23"/>
      <c r="Y230" s="23"/>
      <c r="Z230" s="23"/>
    </row>
    <row r="231" customFormat="false" ht="15.75" hidden="false" customHeight="true" outlineLevel="0" collapsed="false">
      <c r="A231" s="52" t="n">
        <v>46304</v>
      </c>
      <c r="B231" s="14" t="s">
        <v>178</v>
      </c>
      <c r="C231" s="14" t="str">
        <f aca="false" t="array" ref="C231:C231">IF(B231="","",IFERROR(INDEX('CLM &amp; IM Mapping'!$B$2:$B$270,MATCH(TRIM(B231),'CLM &amp; IM Mapping'!$A$2:$A$270,0)),"Not Mapped"))</f>
        <v>Balaji G</v>
      </c>
      <c r="D231" s="14" t="str">
        <f aca="false" t="array" ref="D231:D231">IF(B231="","",IFERROR(INDEX('CLM &amp; IM Mapping'!$C$2:$C$270,MATCH(TRIM(B231),'CLM &amp; IM Mapping'!$A$2:$A$270,0)),"Not Mapped"))</f>
        <v>Mohammed Akbar</v>
      </c>
      <c r="E231" s="14"/>
      <c r="F231" s="14"/>
      <c r="G231" s="14" t="n">
        <v>25</v>
      </c>
      <c r="H231" s="14" t="n">
        <v>25</v>
      </c>
      <c r="I231" s="53" t="n">
        <v>671.4</v>
      </c>
      <c r="J231" s="12"/>
      <c r="K231" s="12"/>
      <c r="L231" s="23"/>
      <c r="M231" s="23"/>
      <c r="N231" s="23"/>
      <c r="O231" s="23"/>
      <c r="P231" s="23"/>
      <c r="Q231" s="23"/>
      <c r="R231" s="23"/>
      <c r="S231" s="23"/>
      <c r="T231" s="23"/>
      <c r="U231" s="23"/>
      <c r="V231" s="23"/>
      <c r="W231" s="23"/>
      <c r="X231" s="23"/>
      <c r="Y231" s="23"/>
      <c r="Z231" s="23"/>
    </row>
    <row r="232" customFormat="false" ht="15.75" hidden="false" customHeight="true" outlineLevel="0" collapsed="false">
      <c r="A232" s="52" t="n">
        <v>46304</v>
      </c>
      <c r="B232" s="14" t="s">
        <v>530</v>
      </c>
      <c r="C232" s="14" t="str">
        <f aca="false" t="array" ref="C232:C232">IF(B232="","",IFERROR(INDEX('CLM &amp; IM Mapping'!$B$2:$B$270,MATCH(TRIM(B232),'CLM &amp; IM Mapping'!$A$2:$A$270,0)),"Not Mapped"))</f>
        <v>Balaji G</v>
      </c>
      <c r="D232" s="14" t="str">
        <f aca="false" t="array" ref="D232:D232">IF(B232="","",IFERROR(INDEX('CLM &amp; IM Mapping'!$C$2:$C$270,MATCH(TRIM(B232),'CLM &amp; IM Mapping'!$A$2:$A$270,0)),"Not Mapped"))</f>
        <v>Mohammed Akbar</v>
      </c>
      <c r="E232" s="14" t="n">
        <v>1</v>
      </c>
      <c r="F232" s="14" t="n">
        <v>5</v>
      </c>
      <c r="G232" s="14"/>
      <c r="H232" s="14" t="n">
        <v>6</v>
      </c>
      <c r="I232" s="53" t="n">
        <v>601.76</v>
      </c>
      <c r="J232" s="12"/>
      <c r="K232" s="12"/>
      <c r="L232" s="23"/>
      <c r="M232" s="23"/>
      <c r="N232" s="23"/>
      <c r="O232" s="23"/>
      <c r="P232" s="23"/>
      <c r="Q232" s="23"/>
      <c r="R232" s="23"/>
      <c r="S232" s="23"/>
      <c r="T232" s="23"/>
      <c r="U232" s="23"/>
      <c r="V232" s="23"/>
      <c r="W232" s="23"/>
      <c r="X232" s="23"/>
      <c r="Y232" s="23"/>
      <c r="Z232" s="23"/>
    </row>
    <row r="233" customFormat="false" ht="15.75" hidden="false" customHeight="true" outlineLevel="0" collapsed="false">
      <c r="A233" s="52" t="n">
        <v>46304</v>
      </c>
      <c r="B233" s="14" t="s">
        <v>474</v>
      </c>
      <c r="C233" s="14" t="str">
        <f aca="false" t="array" ref="C233:C233">IF(B233="","",IFERROR(INDEX('CLM &amp; IM Mapping'!$B$2:$B$270,MATCH(TRIM(B233),'CLM &amp; IM Mapping'!$A$2:$A$270,0)),"Not Mapped"))</f>
        <v>Silambarasan E</v>
      </c>
      <c r="D233" s="14" t="str">
        <f aca="false" t="array" ref="D233:D233">IF(B233="","",IFERROR(INDEX('CLM &amp; IM Mapping'!$C$2:$C$270,MATCH(TRIM(B233),'CLM &amp; IM Mapping'!$A$2:$A$270,0)),"Not Mapped"))</f>
        <v>Arivind S</v>
      </c>
      <c r="E233" s="14" t="n">
        <v>4</v>
      </c>
      <c r="F233" s="14"/>
      <c r="G233" s="14" t="n">
        <v>1</v>
      </c>
      <c r="H233" s="14" t="n">
        <v>5</v>
      </c>
      <c r="I233" s="53" t="n">
        <v>601.7</v>
      </c>
      <c r="J233" s="12"/>
      <c r="K233" s="12"/>
      <c r="L233" s="23"/>
      <c r="M233" s="23"/>
      <c r="N233" s="23"/>
      <c r="O233" s="23"/>
      <c r="P233" s="23"/>
      <c r="Q233" s="23"/>
      <c r="R233" s="23"/>
      <c r="S233" s="23"/>
      <c r="T233" s="23"/>
      <c r="U233" s="23"/>
      <c r="V233" s="23"/>
      <c r="W233" s="23"/>
      <c r="X233" s="23"/>
      <c r="Y233" s="23"/>
      <c r="Z233" s="23"/>
    </row>
    <row r="234" customFormat="false" ht="15.75" hidden="false" customHeight="true" outlineLevel="0" collapsed="false">
      <c r="A234" s="52" t="n">
        <v>46304</v>
      </c>
      <c r="B234" s="14" t="s">
        <v>379</v>
      </c>
      <c r="C234" s="14" t="str">
        <f aca="false" t="array" ref="C234:C234">IF(B234="","",IFERROR(INDEX('CLM &amp; IM Mapping'!$B$2:$B$270,MATCH(TRIM(B234),'CLM &amp; IM Mapping'!$A$2:$A$270,0)),"Not Mapped"))</f>
        <v>Richard Harris</v>
      </c>
      <c r="D234" s="14" t="str">
        <f aca="false" t="array" ref="D234:D234">IF(B234="","",IFERROR(INDEX('CLM &amp; IM Mapping'!$C$2:$C$270,MATCH(TRIM(B234),'CLM &amp; IM Mapping'!$A$2:$A$270,0)),"Not Mapped"))</f>
        <v>Kantha Kumar</v>
      </c>
      <c r="E234" s="14"/>
      <c r="F234" s="14"/>
      <c r="G234" s="14" t="n">
        <v>4</v>
      </c>
      <c r="H234" s="14" t="n">
        <v>4</v>
      </c>
      <c r="I234" s="53" t="n">
        <v>546.48</v>
      </c>
      <c r="J234" s="12"/>
      <c r="K234" s="12"/>
      <c r="L234" s="23"/>
      <c r="M234" s="23"/>
      <c r="N234" s="23"/>
      <c r="O234" s="23"/>
      <c r="P234" s="23"/>
      <c r="Q234" s="23"/>
      <c r="R234" s="23"/>
      <c r="S234" s="23"/>
      <c r="T234" s="23"/>
      <c r="U234" s="23"/>
      <c r="V234" s="23"/>
      <c r="W234" s="23"/>
      <c r="X234" s="23"/>
      <c r="Y234" s="23"/>
      <c r="Z234" s="23"/>
    </row>
    <row r="235" customFormat="false" ht="15.75" hidden="false" customHeight="true" outlineLevel="0" collapsed="false">
      <c r="A235" s="52" t="n">
        <v>46304</v>
      </c>
      <c r="B235" s="14" t="s">
        <v>44</v>
      </c>
      <c r="C235" s="14" t="str">
        <f aca="false" t="array" ref="C235:C235">IF(B235="","",IFERROR(INDEX('CLM &amp; IM Mapping'!$B$2:$B$270,MATCH(TRIM(B235),'CLM &amp; IM Mapping'!$A$2:$A$270,0)),"Not Mapped"))</f>
        <v>Rizwan Ahmed</v>
      </c>
      <c r="D235" s="14" t="str">
        <f aca="false" t="array" ref="D235:D235">IF(B235="","",IFERROR(INDEX('CLM &amp; IM Mapping'!$C$2:$C$270,MATCH(TRIM(B235),'CLM &amp; IM Mapping'!$A$2:$A$270,0)),"Not Mapped"))</f>
        <v>Un Mapped</v>
      </c>
      <c r="E235" s="14" t="n">
        <v>15</v>
      </c>
      <c r="F235" s="14"/>
      <c r="G235" s="14"/>
      <c r="H235" s="14" t="n">
        <v>15</v>
      </c>
      <c r="I235" s="53" t="n">
        <v>490.84</v>
      </c>
      <c r="J235" s="12"/>
      <c r="K235" s="12"/>
      <c r="L235" s="23"/>
      <c r="M235" s="23"/>
      <c r="N235" s="23"/>
      <c r="O235" s="23"/>
      <c r="P235" s="23"/>
      <c r="Q235" s="23"/>
      <c r="R235" s="23"/>
      <c r="S235" s="23"/>
      <c r="T235" s="23"/>
      <c r="U235" s="23"/>
      <c r="V235" s="23"/>
      <c r="W235" s="23"/>
      <c r="X235" s="23"/>
      <c r="Y235" s="23"/>
      <c r="Z235" s="23"/>
    </row>
    <row r="236" customFormat="false" ht="15.75" hidden="false" customHeight="true" outlineLevel="0" collapsed="false">
      <c r="A236" s="52" t="n">
        <v>46304</v>
      </c>
      <c r="B236" s="14" t="s">
        <v>248</v>
      </c>
      <c r="C236" s="14" t="str">
        <f aca="false" t="array" ref="C236:C236">IF(B236="","",IFERROR(INDEX('CLM &amp; IM Mapping'!$B$2:$B$270,MATCH(TRIM(B236),'CLM &amp; IM Mapping'!$A$2:$A$270,0)),"Not Mapped"))</f>
        <v>Arun Raj</v>
      </c>
      <c r="D236" s="14" t="str">
        <f aca="false" t="array" ref="D236:D236">IF(B236="","",IFERROR(INDEX('CLM &amp; IM Mapping'!$C$2:$C$270,MATCH(TRIM(B236),'CLM &amp; IM Mapping'!$A$2:$A$270,0)),"Not Mapped"))</f>
        <v>Simon Manoharan</v>
      </c>
      <c r="E236" s="14"/>
      <c r="F236" s="14"/>
      <c r="G236" s="14" t="n">
        <v>8</v>
      </c>
      <c r="H236" s="14" t="n">
        <v>8</v>
      </c>
      <c r="I236" s="53" t="n">
        <v>478.97</v>
      </c>
      <c r="J236" s="12"/>
      <c r="K236" s="12"/>
      <c r="L236" s="23"/>
      <c r="M236" s="23"/>
      <c r="N236" s="23"/>
      <c r="O236" s="23"/>
      <c r="P236" s="23"/>
      <c r="Q236" s="23"/>
      <c r="R236" s="23"/>
      <c r="S236" s="23"/>
      <c r="T236" s="23"/>
      <c r="U236" s="23"/>
      <c r="V236" s="23"/>
      <c r="W236" s="23"/>
      <c r="X236" s="23"/>
      <c r="Y236" s="23"/>
      <c r="Z236" s="23"/>
    </row>
    <row r="237" customFormat="false" ht="15.75" hidden="false" customHeight="true" outlineLevel="0" collapsed="false">
      <c r="A237" s="52" t="n">
        <v>46304</v>
      </c>
      <c r="B237" s="14" t="s">
        <v>527</v>
      </c>
      <c r="C237" s="14" t="str">
        <f aca="false" t="array" ref="C237:C237">IF(B237="","",IFERROR(INDEX('CLM &amp; IM Mapping'!$B$2:$B$270,MATCH(TRIM(B237),'CLM &amp; IM Mapping'!$A$2:$A$270,0)),"Not Mapped"))</f>
        <v>Suhas N</v>
      </c>
      <c r="D237" s="14" t="str">
        <f aca="false" t="array" ref="D237:D237">IF(B237="","",IFERROR(INDEX('CLM &amp; IM Mapping'!$C$2:$C$270,MATCH(TRIM(B237),'CLM &amp; IM Mapping'!$A$2:$A$270,0)),"Not Mapped"))</f>
        <v>Aravind S</v>
      </c>
      <c r="E237" s="14"/>
      <c r="F237" s="14"/>
      <c r="G237" s="14" t="n">
        <v>4</v>
      </c>
      <c r="H237" s="14" t="n">
        <v>4</v>
      </c>
      <c r="I237" s="53" t="n">
        <v>476.32</v>
      </c>
      <c r="J237" s="12"/>
      <c r="K237" s="12"/>
      <c r="L237" s="23"/>
      <c r="M237" s="23"/>
      <c r="N237" s="23"/>
      <c r="O237" s="23"/>
      <c r="P237" s="23"/>
      <c r="Q237" s="23"/>
      <c r="R237" s="23"/>
      <c r="S237" s="23"/>
      <c r="T237" s="23"/>
      <c r="U237" s="23"/>
      <c r="V237" s="23"/>
      <c r="W237" s="23"/>
      <c r="X237" s="23"/>
      <c r="Y237" s="23"/>
      <c r="Z237" s="23"/>
    </row>
    <row r="238" customFormat="false" ht="15.75" hidden="false" customHeight="true" outlineLevel="0" collapsed="false">
      <c r="A238" s="52" t="n">
        <v>46304</v>
      </c>
      <c r="B238" s="14" t="s">
        <v>513</v>
      </c>
      <c r="C238" s="14" t="str">
        <f aca="false" t="array" ref="C238:C238">IF(B238="","",IFERROR(INDEX('CLM &amp; IM Mapping'!$B$2:$B$270,MATCH(TRIM(B238),'CLM &amp; IM Mapping'!$A$2:$A$270,0)),"Not Mapped"))</f>
        <v>Manoj Kj</v>
      </c>
      <c r="D238" s="14" t="str">
        <f aca="false" t="array" ref="D238:D238">IF(B238="","",IFERROR(INDEX('CLM &amp; IM Mapping'!$C$2:$C$270,MATCH(TRIM(B238),'CLM &amp; IM Mapping'!$A$2:$A$270,0)),"Not Mapped"))</f>
        <v>Srittam Dhal</v>
      </c>
      <c r="E238" s="14"/>
      <c r="F238" s="14" t="n">
        <v>3</v>
      </c>
      <c r="G238" s="14"/>
      <c r="H238" s="14" t="n">
        <v>3</v>
      </c>
      <c r="I238" s="53" t="n">
        <v>409.08</v>
      </c>
      <c r="J238" s="12"/>
      <c r="K238" s="12"/>
      <c r="L238" s="23"/>
      <c r="M238" s="23"/>
      <c r="N238" s="23"/>
      <c r="O238" s="23"/>
      <c r="P238" s="23"/>
      <c r="Q238" s="23"/>
      <c r="R238" s="23"/>
      <c r="S238" s="23"/>
      <c r="T238" s="23"/>
      <c r="U238" s="23"/>
      <c r="V238" s="23"/>
      <c r="W238" s="23"/>
      <c r="X238" s="23"/>
      <c r="Y238" s="23"/>
      <c r="Z238" s="23"/>
    </row>
    <row r="239" customFormat="false" ht="15.75" hidden="false" customHeight="true" outlineLevel="0" collapsed="false">
      <c r="A239" s="52" t="n">
        <v>46304</v>
      </c>
      <c r="B239" s="14" t="s">
        <v>281</v>
      </c>
      <c r="C239" s="14" t="str">
        <f aca="false" t="array" ref="C239:C239">IF(B239="","",IFERROR(INDEX('CLM &amp; IM Mapping'!$B$2:$B$270,MATCH(TRIM(B239),'CLM &amp; IM Mapping'!$A$2:$A$270,0)),"Not Mapped"))</f>
        <v>Balaji G</v>
      </c>
      <c r="D239" s="14" t="str">
        <f aca="false" t="array" ref="D239:D239">IF(B239="","",IFERROR(INDEX('CLM &amp; IM Mapping'!$C$2:$C$270,MATCH(TRIM(B239),'CLM &amp; IM Mapping'!$A$2:$A$270,0)),"Not Mapped"))</f>
        <v>Mohammed Akbar</v>
      </c>
      <c r="E239" s="14" t="n">
        <v>1</v>
      </c>
      <c r="F239" s="14"/>
      <c r="G239" s="14" t="n">
        <v>3</v>
      </c>
      <c r="H239" s="14" t="n">
        <v>4</v>
      </c>
      <c r="I239" s="53" t="n">
        <v>408.84</v>
      </c>
      <c r="J239" s="12"/>
      <c r="K239" s="12"/>
      <c r="L239" s="23"/>
      <c r="M239" s="23"/>
      <c r="N239" s="23"/>
      <c r="O239" s="23"/>
      <c r="P239" s="23"/>
      <c r="Q239" s="23"/>
      <c r="R239" s="23"/>
      <c r="S239" s="23"/>
      <c r="T239" s="23"/>
      <c r="U239" s="23"/>
      <c r="V239" s="23"/>
      <c r="W239" s="23"/>
      <c r="X239" s="23"/>
      <c r="Y239" s="23"/>
      <c r="Z239" s="23"/>
    </row>
    <row r="240" customFormat="false" ht="15.75" hidden="false" customHeight="true" outlineLevel="0" collapsed="false">
      <c r="A240" s="52" t="n">
        <v>46304</v>
      </c>
      <c r="B240" s="14" t="s">
        <v>294</v>
      </c>
      <c r="C240" s="14" t="str">
        <f aca="false" t="array" ref="C240:C240">IF(B240="","",IFERROR(INDEX('CLM &amp; IM Mapping'!$B$2:$B$270,MATCH(TRIM(B240),'CLM &amp; IM Mapping'!$A$2:$A$270,0)),"Not Mapped"))</f>
        <v>Manoj Kj</v>
      </c>
      <c r="D240" s="14" t="str">
        <f aca="false" t="array" ref="D240:D240">IF(B240="","",IFERROR(INDEX('CLM &amp; IM Mapping'!$C$2:$C$270,MATCH(TRIM(B240),'CLM &amp; IM Mapping'!$A$2:$A$270,0)),"Not Mapped"))</f>
        <v>Srittam Dhal</v>
      </c>
      <c r="E240" s="14" t="n">
        <v>6</v>
      </c>
      <c r="F240" s="14"/>
      <c r="G240" s="14"/>
      <c r="H240" s="14" t="n">
        <v>6</v>
      </c>
      <c r="I240" s="53" t="n">
        <v>274.26</v>
      </c>
      <c r="J240" s="12"/>
      <c r="K240" s="12"/>
      <c r="L240" s="23"/>
      <c r="M240" s="23"/>
      <c r="N240" s="23"/>
      <c r="O240" s="23"/>
      <c r="P240" s="23"/>
      <c r="Q240" s="23"/>
      <c r="R240" s="23"/>
      <c r="S240" s="23"/>
      <c r="T240" s="23"/>
      <c r="U240" s="23"/>
      <c r="V240" s="23"/>
      <c r="W240" s="23"/>
      <c r="X240" s="23"/>
      <c r="Y240" s="23"/>
      <c r="Z240" s="23"/>
    </row>
    <row r="241" customFormat="false" ht="15.75" hidden="false" customHeight="true" outlineLevel="0" collapsed="false">
      <c r="A241" s="52" t="n">
        <v>46304</v>
      </c>
      <c r="B241" s="14" t="s">
        <v>392</v>
      </c>
      <c r="C241" s="14" t="str">
        <f aca="false" t="array" ref="C241:C241">IF(B241="","",IFERROR(INDEX('CLM &amp; IM Mapping'!$B$2:$B$270,MATCH(TRIM(B241),'CLM &amp; IM Mapping'!$A$2:$A$270,0)),"Not Mapped"))</f>
        <v>Balaji G</v>
      </c>
      <c r="D241" s="14" t="str">
        <f aca="false" t="array" ref="D241:D241">IF(B241="","",IFERROR(INDEX('CLM &amp; IM Mapping'!$C$2:$C$270,MATCH(TRIM(B241),'CLM &amp; IM Mapping'!$A$2:$A$270,0)),"Not Mapped"))</f>
        <v>Mohammed Akbar</v>
      </c>
      <c r="E241" s="14"/>
      <c r="F241" s="14"/>
      <c r="G241" s="14" t="n">
        <v>2</v>
      </c>
      <c r="H241" s="14" t="n">
        <v>2</v>
      </c>
      <c r="I241" s="53" t="n">
        <v>231.55</v>
      </c>
      <c r="J241" s="12"/>
      <c r="K241" s="12"/>
      <c r="L241" s="23"/>
      <c r="M241" s="23"/>
      <c r="N241" s="23"/>
      <c r="O241" s="23"/>
      <c r="P241" s="23"/>
      <c r="Q241" s="23"/>
      <c r="R241" s="23"/>
      <c r="S241" s="23"/>
      <c r="T241" s="23"/>
      <c r="U241" s="23"/>
      <c r="V241" s="23"/>
      <c r="W241" s="23"/>
      <c r="X241" s="23"/>
      <c r="Y241" s="23"/>
      <c r="Z241" s="23"/>
    </row>
    <row r="242" customFormat="false" ht="15.75" hidden="false" customHeight="true" outlineLevel="0" collapsed="false">
      <c r="A242" s="52" t="n">
        <v>46304</v>
      </c>
      <c r="B242" s="14" t="s">
        <v>515</v>
      </c>
      <c r="C242" s="14" t="str">
        <f aca="false" t="array" ref="C242:C242">IF(B242="","",IFERROR(INDEX('CLM &amp; IM Mapping'!$B$2:$B$270,MATCH(TRIM(B242),'CLM &amp; IM Mapping'!$A$2:$A$270,0)),"Not Mapped"))</f>
        <v>Balaji G</v>
      </c>
      <c r="D242" s="14" t="str">
        <f aca="false" t="array" ref="D242:D242">IF(B242="","",IFERROR(INDEX('CLM &amp; IM Mapping'!$C$2:$C$270,MATCH(TRIM(B242),'CLM &amp; IM Mapping'!$A$2:$A$270,0)),"Not Mapped"))</f>
        <v>Mohammed Akbar</v>
      </c>
      <c r="E242" s="14"/>
      <c r="F242" s="14" t="n">
        <v>1</v>
      </c>
      <c r="G242" s="14"/>
      <c r="H242" s="14" t="n">
        <v>1</v>
      </c>
      <c r="I242" s="53" t="n">
        <v>168.53</v>
      </c>
      <c r="J242" s="12"/>
      <c r="K242" s="12"/>
      <c r="L242" s="23"/>
      <c r="M242" s="23"/>
      <c r="N242" s="23"/>
      <c r="O242" s="23"/>
      <c r="P242" s="23"/>
      <c r="Q242" s="23"/>
      <c r="R242" s="23"/>
      <c r="S242" s="23"/>
      <c r="T242" s="23"/>
      <c r="U242" s="23"/>
      <c r="V242" s="23"/>
      <c r="W242" s="23"/>
      <c r="X242" s="23"/>
      <c r="Y242" s="23"/>
      <c r="Z242" s="23"/>
    </row>
    <row r="243" customFormat="false" ht="15.75" hidden="false" customHeight="true" outlineLevel="0" collapsed="false">
      <c r="A243" s="52" t="n">
        <v>46304</v>
      </c>
      <c r="B243" s="14" t="s">
        <v>422</v>
      </c>
      <c r="C243" s="14" t="str">
        <f aca="false" t="array" ref="C243:C243">IF(B243="","",IFERROR(INDEX('CLM &amp; IM Mapping'!$B$2:$B$270,MATCH(TRIM(B243),'CLM &amp; IM Mapping'!$A$2:$A$270,0)),"Not Mapped"))</f>
        <v>Manjunatha V</v>
      </c>
      <c r="D243" s="14" t="str">
        <f aca="false" t="array" ref="D243:D243">IF(B243="","",IFERROR(INDEX('CLM &amp; IM Mapping'!$C$2:$C$270,MATCH(TRIM(B243),'CLM &amp; IM Mapping'!$A$2:$A$270,0)),"Not Mapped"))</f>
        <v>Un Mapped</v>
      </c>
      <c r="E243" s="14"/>
      <c r="F243" s="14"/>
      <c r="G243" s="14" t="n">
        <v>4</v>
      </c>
      <c r="H243" s="14" t="n">
        <v>4</v>
      </c>
      <c r="I243" s="53" t="n">
        <v>165.07</v>
      </c>
      <c r="J243" s="12"/>
      <c r="K243" s="12"/>
      <c r="L243" s="23"/>
      <c r="M243" s="23"/>
      <c r="N243" s="23"/>
      <c r="O243" s="23"/>
      <c r="P243" s="23"/>
      <c r="Q243" s="23"/>
      <c r="R243" s="23"/>
      <c r="S243" s="23"/>
      <c r="T243" s="23"/>
      <c r="U243" s="23"/>
      <c r="V243" s="23"/>
      <c r="W243" s="23"/>
      <c r="X243" s="23"/>
      <c r="Y243" s="23"/>
      <c r="Z243" s="23"/>
    </row>
    <row r="244" customFormat="false" ht="15.75" hidden="false" customHeight="true" outlineLevel="0" collapsed="false">
      <c r="A244" s="52" t="n">
        <v>46304</v>
      </c>
      <c r="B244" s="14" t="s">
        <v>376</v>
      </c>
      <c r="C244" s="14" t="str">
        <f aca="false" t="array" ref="C244:C244">IF(B244="","",IFERROR(INDEX('CLM &amp; IM Mapping'!$B$2:$B$270,MATCH(TRIM(B244),'CLM &amp; IM Mapping'!$A$2:$A$270,0)),"Not Mapped"))</f>
        <v>Sundaresh S</v>
      </c>
      <c r="D244" s="14" t="str">
        <f aca="false" t="array" ref="D244:D244">IF(B244="","",IFERROR(INDEX('CLM &amp; IM Mapping'!$C$2:$C$270,MATCH(TRIM(B244),'CLM &amp; IM Mapping'!$A$2:$A$270,0)),"Not Mapped"))</f>
        <v>Un Mapped</v>
      </c>
      <c r="E244" s="14"/>
      <c r="F244" s="14" t="n">
        <v>2</v>
      </c>
      <c r="G244" s="14"/>
      <c r="H244" s="14" t="n">
        <v>2</v>
      </c>
      <c r="I244" s="53" t="n">
        <v>158.12</v>
      </c>
      <c r="J244" s="12"/>
      <c r="K244" s="12"/>
      <c r="L244" s="23"/>
      <c r="M244" s="23"/>
      <c r="N244" s="23"/>
      <c r="O244" s="23"/>
      <c r="P244" s="23"/>
      <c r="Q244" s="23"/>
      <c r="R244" s="23"/>
      <c r="S244" s="23"/>
      <c r="T244" s="23"/>
      <c r="U244" s="23"/>
      <c r="V244" s="23"/>
      <c r="W244" s="23"/>
      <c r="X244" s="23"/>
      <c r="Y244" s="23"/>
      <c r="Z244" s="23"/>
    </row>
    <row r="245" customFormat="false" ht="15.75" hidden="false" customHeight="true" outlineLevel="0" collapsed="false">
      <c r="A245" s="52" t="n">
        <v>46304</v>
      </c>
      <c r="B245" s="14" t="s">
        <v>219</v>
      </c>
      <c r="C245" s="14" t="str">
        <f aca="false" t="array" ref="C245:C245">IF(B245="","",IFERROR(INDEX('CLM &amp; IM Mapping'!$B$2:$B$270,MATCH(TRIM(B245),'CLM &amp; IM Mapping'!$A$2:$A$270,0)),"Not Mapped"))</f>
        <v>Arun Raj</v>
      </c>
      <c r="D245" s="14" t="str">
        <f aca="false" t="array" ref="D245:D245">IF(B245="","",IFERROR(INDEX('CLM &amp; IM Mapping'!$C$2:$C$270,MATCH(TRIM(B245),'CLM &amp; IM Mapping'!$A$2:$A$270,0)),"Not Mapped"))</f>
        <v>Simon Manoharan</v>
      </c>
      <c r="E245" s="14"/>
      <c r="F245" s="14"/>
      <c r="G245" s="14" t="n">
        <v>2</v>
      </c>
      <c r="H245" s="14" t="n">
        <v>2</v>
      </c>
      <c r="I245" s="53" t="n">
        <v>153.91</v>
      </c>
      <c r="J245" s="12"/>
      <c r="K245" s="12"/>
      <c r="L245" s="23"/>
      <c r="M245" s="23"/>
      <c r="N245" s="23"/>
      <c r="O245" s="23"/>
      <c r="P245" s="23"/>
      <c r="Q245" s="23"/>
      <c r="R245" s="23"/>
      <c r="S245" s="23"/>
      <c r="T245" s="23"/>
      <c r="U245" s="23"/>
      <c r="V245" s="23"/>
      <c r="W245" s="23"/>
      <c r="X245" s="23"/>
      <c r="Y245" s="23"/>
      <c r="Z245" s="23"/>
    </row>
    <row r="246" customFormat="false" ht="15.75" hidden="false" customHeight="true" outlineLevel="0" collapsed="false">
      <c r="A246" s="52" t="n">
        <v>46304</v>
      </c>
      <c r="B246" s="14" t="s">
        <v>100</v>
      </c>
      <c r="C246" s="14" t="str">
        <f aca="false" t="array" ref="C246:C246">IF(B246="","",IFERROR(INDEX('CLM &amp; IM Mapping'!$B$2:$B$270,MATCH(TRIM(B246),'CLM &amp; IM Mapping'!$A$2:$A$270,0)),"Not Mapped"))</f>
        <v>Sundaresh S</v>
      </c>
      <c r="D246" s="14" t="str">
        <f aca="false" t="array" ref="D246:D246">IF(B246="","",IFERROR(INDEX('CLM &amp; IM Mapping'!$C$2:$C$270,MATCH(TRIM(B246),'CLM &amp; IM Mapping'!$A$2:$A$270,0)),"Not Mapped"))</f>
        <v>Un Mapped</v>
      </c>
      <c r="E246" s="14"/>
      <c r="F246" s="14"/>
      <c r="G246" s="14" t="n">
        <v>1</v>
      </c>
      <c r="H246" s="14" t="n">
        <v>1</v>
      </c>
      <c r="I246" s="53" t="n">
        <v>97.14</v>
      </c>
      <c r="J246" s="12"/>
      <c r="K246" s="12"/>
      <c r="L246" s="23"/>
      <c r="M246" s="23"/>
      <c r="N246" s="23"/>
      <c r="O246" s="23"/>
      <c r="P246" s="23"/>
      <c r="Q246" s="23"/>
      <c r="R246" s="23"/>
      <c r="S246" s="23"/>
      <c r="T246" s="23"/>
      <c r="U246" s="23"/>
      <c r="V246" s="23"/>
      <c r="W246" s="23"/>
      <c r="X246" s="23"/>
      <c r="Y246" s="23"/>
      <c r="Z246" s="23"/>
    </row>
    <row r="247" customFormat="false" ht="15.75" hidden="false" customHeight="true" outlineLevel="0" collapsed="false">
      <c r="A247" s="52" t="n">
        <v>46304</v>
      </c>
      <c r="B247" s="14" t="s">
        <v>524</v>
      </c>
      <c r="C247" s="14" t="str">
        <f aca="false" t="array" ref="C247:C247">IF(B247="","",IFERROR(INDEX('CLM &amp; IM Mapping'!$B$2:$B$270,MATCH(TRIM(B247),'CLM &amp; IM Mapping'!$A$2:$A$270,0)),"Not Mapped"))</f>
        <v>Balaji G</v>
      </c>
      <c r="D247" s="14" t="str">
        <f aca="false" t="array" ref="D247:D247">IF(B247="","",IFERROR(INDEX('CLM &amp; IM Mapping'!$C$2:$C$270,MATCH(TRIM(B247),'CLM &amp; IM Mapping'!$A$2:$A$270,0)),"Not Mapped"))</f>
        <v>Mohammed Akbar</v>
      </c>
      <c r="E247" s="14"/>
      <c r="F247" s="14"/>
      <c r="G247" s="14" t="n">
        <v>1</v>
      </c>
      <c r="H247" s="14" t="n">
        <v>1</v>
      </c>
      <c r="I247" s="53" t="n">
        <v>95.99</v>
      </c>
      <c r="J247" s="12"/>
      <c r="K247" s="12"/>
      <c r="L247" s="23"/>
      <c r="M247" s="23"/>
      <c r="N247" s="23"/>
      <c r="O247" s="23"/>
      <c r="P247" s="23"/>
      <c r="Q247" s="23"/>
      <c r="R247" s="23"/>
      <c r="S247" s="23"/>
      <c r="T247" s="23"/>
      <c r="U247" s="23"/>
      <c r="V247" s="23"/>
      <c r="W247" s="23"/>
      <c r="X247" s="23"/>
      <c r="Y247" s="23"/>
      <c r="Z247" s="23"/>
    </row>
    <row r="248" customFormat="false" ht="15.75" hidden="false" customHeight="true" outlineLevel="0" collapsed="false">
      <c r="A248" s="52" t="n">
        <v>46304</v>
      </c>
      <c r="B248" s="14" t="s">
        <v>200</v>
      </c>
      <c r="C248" s="14" t="str">
        <f aca="false" t="array" ref="C248:C248">IF(B248="","",IFERROR(INDEX('CLM &amp; IM Mapping'!$B$2:$B$270,MATCH(TRIM(B248),'CLM &amp; IM Mapping'!$A$2:$A$270,0)),"Not Mapped"))</f>
        <v>Adhavan Subramani</v>
      </c>
      <c r="D248" s="14" t="str">
        <f aca="false" t="array" ref="D248:D248">IF(B248="","",IFERROR(INDEX('CLM &amp; IM Mapping'!$C$2:$C$270,MATCH(TRIM(B248),'CLM &amp; IM Mapping'!$A$2:$A$270,0)),"Not Mapped"))</f>
        <v>Mohammed Akbar</v>
      </c>
      <c r="E248" s="14"/>
      <c r="F248" s="14"/>
      <c r="G248" s="14" t="n">
        <v>1</v>
      </c>
      <c r="H248" s="14" t="n">
        <v>1</v>
      </c>
      <c r="I248" s="53" t="n">
        <v>95.94</v>
      </c>
      <c r="J248" s="12"/>
      <c r="K248" s="12"/>
      <c r="L248" s="23"/>
      <c r="M248" s="23"/>
      <c r="N248" s="23"/>
      <c r="O248" s="23"/>
      <c r="P248" s="23"/>
      <c r="Q248" s="23"/>
      <c r="R248" s="23"/>
      <c r="S248" s="23"/>
      <c r="T248" s="23"/>
      <c r="U248" s="23"/>
      <c r="V248" s="23"/>
      <c r="W248" s="23"/>
      <c r="X248" s="23"/>
      <c r="Y248" s="23"/>
      <c r="Z248" s="23"/>
    </row>
    <row r="249" customFormat="false" ht="15.75" hidden="false" customHeight="true" outlineLevel="0" collapsed="false">
      <c r="A249" s="52" t="n">
        <v>46304</v>
      </c>
      <c r="B249" s="14" t="s">
        <v>216</v>
      </c>
      <c r="C249" s="14" t="str">
        <f aca="false" t="array" ref="C249:C249">IF(B249="","",IFERROR(INDEX('CLM &amp; IM Mapping'!$B$2:$B$270,MATCH(TRIM(B249),'CLM &amp; IM Mapping'!$A$2:$A$270,0)),"Not Mapped"))</f>
        <v>Silambarasan E</v>
      </c>
      <c r="D249" s="14" t="str">
        <f aca="false" t="array" ref="D249:D249">IF(B249="","",IFERROR(INDEX('CLM &amp; IM Mapping'!$C$2:$C$270,MATCH(TRIM(B249),'CLM &amp; IM Mapping'!$A$2:$A$270,0)),"Not Mapped"))</f>
        <v>Arivind S</v>
      </c>
      <c r="E249" s="14"/>
      <c r="F249" s="14"/>
      <c r="G249" s="14" t="n">
        <v>2</v>
      </c>
      <c r="H249" s="14" t="n">
        <v>2</v>
      </c>
      <c r="I249" s="53" t="n">
        <v>94</v>
      </c>
      <c r="J249" s="12"/>
      <c r="K249" s="12"/>
      <c r="L249" s="23"/>
      <c r="M249" s="23"/>
      <c r="N249" s="23"/>
      <c r="O249" s="23"/>
      <c r="P249" s="23"/>
      <c r="Q249" s="23"/>
      <c r="R249" s="23"/>
      <c r="S249" s="23"/>
      <c r="T249" s="23"/>
      <c r="U249" s="23"/>
      <c r="V249" s="23"/>
      <c r="W249" s="23"/>
      <c r="X249" s="23"/>
      <c r="Y249" s="23"/>
      <c r="Z249" s="23"/>
    </row>
    <row r="250" customFormat="false" ht="15.75" hidden="false" customHeight="true" outlineLevel="0" collapsed="false">
      <c r="A250" s="52" t="n">
        <v>46304</v>
      </c>
      <c r="B250" s="14" t="s">
        <v>288</v>
      </c>
      <c r="C250" s="14" t="str">
        <f aca="false" t="array" ref="C250:C250">IF(B250="","",IFERROR(INDEX('CLM &amp; IM Mapping'!$B$2:$B$270,MATCH(TRIM(B250),'CLM &amp; IM Mapping'!$A$2:$A$270,0)),"Not Mapped"))</f>
        <v>Arun Raj</v>
      </c>
      <c r="D250" s="14" t="str">
        <f aca="false" t="array" ref="D250:D250">IF(B250="","",IFERROR(INDEX('CLM &amp; IM Mapping'!$C$2:$C$270,MATCH(TRIM(B250),'CLM &amp; IM Mapping'!$A$2:$A$270,0)),"Not Mapped"))</f>
        <v>Simon Manoharan</v>
      </c>
      <c r="E250" s="14"/>
      <c r="F250" s="14"/>
      <c r="G250" s="14" t="n">
        <v>2</v>
      </c>
      <c r="H250" s="14" t="n">
        <v>2</v>
      </c>
      <c r="I250" s="53" t="n">
        <v>91.4</v>
      </c>
      <c r="J250" s="12"/>
      <c r="K250" s="12"/>
      <c r="L250" s="23"/>
      <c r="M250" s="23"/>
      <c r="N250" s="23"/>
      <c r="O250" s="23"/>
      <c r="P250" s="23"/>
      <c r="Q250" s="23"/>
      <c r="R250" s="23"/>
      <c r="S250" s="23"/>
      <c r="T250" s="23"/>
      <c r="U250" s="23"/>
      <c r="V250" s="23"/>
      <c r="W250" s="23"/>
      <c r="X250" s="23"/>
      <c r="Y250" s="23"/>
      <c r="Z250" s="23"/>
    </row>
    <row r="251" customFormat="false" ht="15.75" hidden="false" customHeight="true" outlineLevel="0" collapsed="false">
      <c r="A251" s="52" t="n">
        <v>46304</v>
      </c>
      <c r="B251" s="14" t="s">
        <v>267</v>
      </c>
      <c r="C251" s="14" t="str">
        <f aca="false" t="array" ref="C251:C251">IF(B251="","",IFERROR(INDEX('CLM &amp; IM Mapping'!$B$2:$B$270,MATCH(TRIM(B251),'CLM &amp; IM Mapping'!$A$2:$A$270,0)),"Not Mapped"))</f>
        <v>Balaji G</v>
      </c>
      <c r="D251" s="14" t="str">
        <f aca="false" t="array" ref="D251:D251">IF(B251="","",IFERROR(INDEX('CLM &amp; IM Mapping'!$C$2:$C$270,MATCH(TRIM(B251),'CLM &amp; IM Mapping'!$A$2:$A$270,0)),"Not Mapped"))</f>
        <v>Mohammed Akbar</v>
      </c>
      <c r="E251" s="14"/>
      <c r="F251" s="14" t="n">
        <v>2</v>
      </c>
      <c r="G251" s="14"/>
      <c r="H251" s="14" t="n">
        <v>2</v>
      </c>
      <c r="I251" s="53" t="n">
        <v>87.6</v>
      </c>
      <c r="J251" s="12"/>
      <c r="K251" s="12"/>
      <c r="L251" s="23"/>
      <c r="M251" s="23"/>
      <c r="N251" s="23"/>
      <c r="O251" s="23"/>
      <c r="P251" s="23"/>
      <c r="Q251" s="23"/>
      <c r="R251" s="23"/>
      <c r="S251" s="23"/>
      <c r="T251" s="23"/>
      <c r="U251" s="23"/>
      <c r="V251" s="23"/>
      <c r="W251" s="23"/>
      <c r="X251" s="23"/>
      <c r="Y251" s="23"/>
      <c r="Z251" s="23"/>
    </row>
    <row r="252" customFormat="false" ht="15.75" hidden="false" customHeight="true" outlineLevel="0" collapsed="false">
      <c r="A252" s="52" t="n">
        <v>46304</v>
      </c>
      <c r="B252" s="14" t="s">
        <v>361</v>
      </c>
      <c r="C252" s="14" t="str">
        <f aca="false" t="array" ref="C252:C252">IF(B252="","",IFERROR(INDEX('CLM &amp; IM Mapping'!$B$2:$B$270,MATCH(TRIM(B252),'CLM &amp; IM Mapping'!$A$2:$A$270,0)),"Not Mapped"))</f>
        <v>Santhosha M</v>
      </c>
      <c r="D252" s="14" t="str">
        <f aca="false" t="array" ref="D252:D252">IF(B252="","",IFERROR(INDEX('CLM &amp; IM Mapping'!$C$2:$C$270,MATCH(TRIM(B252),'CLM &amp; IM Mapping'!$A$2:$A$270,0)),"Not Mapped"))</f>
        <v>Aravind S</v>
      </c>
      <c r="E252" s="14"/>
      <c r="F252" s="14"/>
      <c r="G252" s="14" t="n">
        <v>1</v>
      </c>
      <c r="H252" s="14" t="n">
        <v>1</v>
      </c>
      <c r="I252" s="53" t="n">
        <v>37.45</v>
      </c>
      <c r="J252" s="12"/>
      <c r="K252" s="12"/>
      <c r="L252" s="23"/>
      <c r="M252" s="23"/>
      <c r="N252" s="23"/>
      <c r="O252" s="23"/>
      <c r="P252" s="23"/>
      <c r="Q252" s="23"/>
      <c r="R252" s="23"/>
      <c r="S252" s="23"/>
      <c r="T252" s="23"/>
      <c r="U252" s="23"/>
      <c r="V252" s="23"/>
      <c r="W252" s="23"/>
      <c r="X252" s="23"/>
      <c r="Y252" s="23"/>
      <c r="Z252" s="23"/>
    </row>
    <row r="253" customFormat="false" ht="15.75" hidden="false" customHeight="true" outlineLevel="0" collapsed="false">
      <c r="A253" s="52" t="n">
        <v>46304</v>
      </c>
      <c r="B253" s="14" t="s">
        <v>97</v>
      </c>
      <c r="C253" s="14" t="str">
        <f aca="false" t="array" ref="C253:C253">IF(B253="","",IFERROR(INDEX('CLM &amp; IM Mapping'!$B$2:$B$270,MATCH(TRIM(B253),'CLM &amp; IM Mapping'!$A$2:$A$270,0)),"Not Mapped"))</f>
        <v>Raghavendra Vernekar</v>
      </c>
      <c r="D253" s="14" t="str">
        <f aca="false" t="array" ref="D253:D253">IF(B253="","",IFERROR(INDEX('CLM &amp; IM Mapping'!$C$2:$C$270,MATCH(TRIM(B253),'CLM &amp; IM Mapping'!$A$2:$A$270,0)),"Not Mapped"))</f>
        <v>Prakash BS</v>
      </c>
      <c r="E253" s="14"/>
      <c r="F253" s="14"/>
      <c r="G253" s="14" t="n">
        <v>1</v>
      </c>
      <c r="H253" s="14" t="n">
        <v>1</v>
      </c>
      <c r="I253" s="53" t="n">
        <v>34.34</v>
      </c>
      <c r="J253" s="12" t="s">
        <v>756</v>
      </c>
      <c r="K253" s="12"/>
      <c r="L253" s="23"/>
      <c r="M253" s="23"/>
      <c r="N253" s="23"/>
      <c r="O253" s="23"/>
      <c r="P253" s="23"/>
      <c r="Q253" s="23"/>
      <c r="R253" s="23"/>
      <c r="S253" s="23"/>
      <c r="T253" s="23"/>
      <c r="U253" s="23"/>
      <c r="V253" s="23"/>
      <c r="W253" s="23"/>
      <c r="X253" s="23"/>
      <c r="Y253" s="23"/>
      <c r="Z253" s="23"/>
    </row>
    <row r="254" customFormat="false" ht="15.75" hidden="false" customHeight="true" outlineLevel="0" collapsed="false">
      <c r="A254" s="23"/>
      <c r="B254" s="23"/>
      <c r="C254" s="23"/>
      <c r="D254" s="23"/>
      <c r="E254" s="23"/>
      <c r="F254" s="23"/>
      <c r="G254" s="23"/>
      <c r="H254" s="23"/>
      <c r="I254" s="57"/>
      <c r="J254" s="23"/>
      <c r="K254" s="23"/>
      <c r="L254" s="23"/>
      <c r="M254" s="23"/>
      <c r="N254" s="23"/>
      <c r="O254" s="23"/>
      <c r="P254" s="23"/>
      <c r="Q254" s="23"/>
      <c r="R254" s="23"/>
      <c r="S254" s="23"/>
      <c r="T254" s="23"/>
      <c r="U254" s="23"/>
      <c r="V254" s="23"/>
      <c r="W254" s="23"/>
      <c r="X254" s="23"/>
      <c r="Y254" s="23"/>
      <c r="Z254" s="23"/>
    </row>
    <row r="255" customFormat="false" ht="15.75" hidden="false" customHeight="true" outlineLevel="0" collapsed="false">
      <c r="A255" s="23"/>
      <c r="B255" s="23"/>
      <c r="C255" s="23"/>
      <c r="D255" s="23"/>
      <c r="E255" s="23"/>
      <c r="F255" s="23"/>
      <c r="G255" s="23"/>
      <c r="H255" s="23"/>
      <c r="I255" s="57"/>
      <c r="J255" s="23"/>
      <c r="K255" s="23"/>
      <c r="L255" s="23"/>
      <c r="M255" s="23"/>
      <c r="N255" s="23"/>
      <c r="O255" s="23"/>
      <c r="P255" s="23"/>
      <c r="Q255" s="23"/>
      <c r="R255" s="23"/>
      <c r="S255" s="23"/>
      <c r="T255" s="23"/>
      <c r="U255" s="23"/>
      <c r="V255" s="23"/>
      <c r="W255" s="23"/>
      <c r="X255" s="23"/>
      <c r="Y255" s="23"/>
      <c r="Z255" s="23"/>
    </row>
    <row r="256" customFormat="false" ht="15.75" hidden="false" customHeight="true" outlineLevel="0" collapsed="false">
      <c r="A256" s="23"/>
      <c r="B256" s="23"/>
      <c r="C256" s="23"/>
      <c r="D256" s="23"/>
      <c r="E256" s="23"/>
      <c r="F256" s="23"/>
      <c r="G256" s="23"/>
      <c r="H256" s="23"/>
      <c r="I256" s="57"/>
      <c r="J256" s="23"/>
      <c r="K256" s="23"/>
      <c r="L256" s="23"/>
      <c r="M256" s="23"/>
      <c r="N256" s="23"/>
      <c r="O256" s="23"/>
      <c r="P256" s="23"/>
      <c r="Q256" s="23"/>
      <c r="R256" s="23"/>
      <c r="S256" s="23"/>
      <c r="T256" s="23"/>
      <c r="U256" s="23"/>
      <c r="V256" s="23"/>
      <c r="W256" s="23"/>
      <c r="X256" s="23"/>
      <c r="Y256" s="23"/>
      <c r="Z256" s="23"/>
    </row>
    <row r="257" customFormat="false" ht="15.75" hidden="false" customHeight="true" outlineLevel="0" collapsed="false">
      <c r="A257" s="23"/>
      <c r="B257" s="23"/>
      <c r="C257" s="23"/>
      <c r="D257" s="23"/>
      <c r="E257" s="23"/>
      <c r="F257" s="23"/>
      <c r="G257" s="23"/>
      <c r="H257" s="23"/>
      <c r="I257" s="57"/>
      <c r="J257" s="23"/>
      <c r="K257" s="23"/>
      <c r="L257" s="23"/>
      <c r="M257" s="23"/>
      <c r="N257" s="23"/>
      <c r="O257" s="23"/>
      <c r="P257" s="23"/>
      <c r="Q257" s="23"/>
      <c r="R257" s="23"/>
      <c r="S257" s="23"/>
      <c r="T257" s="23"/>
      <c r="U257" s="23"/>
      <c r="V257" s="23"/>
      <c r="W257" s="23"/>
      <c r="X257" s="23"/>
      <c r="Y257" s="23"/>
      <c r="Z257" s="23"/>
    </row>
    <row r="258" customFormat="false" ht="15.75" hidden="false" customHeight="true" outlineLevel="0" collapsed="false">
      <c r="A258" s="23"/>
      <c r="B258" s="23"/>
      <c r="C258" s="23"/>
      <c r="D258" s="23"/>
      <c r="E258" s="23"/>
      <c r="F258" s="23"/>
      <c r="G258" s="23"/>
      <c r="H258" s="23"/>
      <c r="I258" s="57"/>
      <c r="J258" s="23"/>
      <c r="K258" s="23"/>
      <c r="L258" s="23"/>
      <c r="M258" s="23"/>
      <c r="N258" s="23"/>
      <c r="O258" s="23"/>
      <c r="P258" s="23"/>
      <c r="Q258" s="23"/>
      <c r="R258" s="23"/>
      <c r="S258" s="23"/>
      <c r="T258" s="23"/>
      <c r="U258" s="23"/>
      <c r="V258" s="23"/>
      <c r="W258" s="23"/>
      <c r="X258" s="23"/>
      <c r="Y258" s="23"/>
      <c r="Z258" s="23"/>
    </row>
    <row r="259" customFormat="false" ht="15.75" hidden="false" customHeight="true" outlineLevel="0" collapsed="false">
      <c r="A259" s="23"/>
      <c r="B259" s="23"/>
      <c r="C259" s="23"/>
      <c r="D259" s="23"/>
      <c r="E259" s="23"/>
      <c r="F259" s="23"/>
      <c r="G259" s="23"/>
      <c r="H259" s="23"/>
      <c r="I259" s="57"/>
      <c r="J259" s="23"/>
      <c r="K259" s="23"/>
      <c r="L259" s="23"/>
      <c r="M259" s="23"/>
      <c r="N259" s="23"/>
      <c r="O259" s="23"/>
      <c r="P259" s="23"/>
      <c r="Q259" s="23"/>
      <c r="R259" s="23"/>
      <c r="S259" s="23"/>
      <c r="T259" s="23"/>
      <c r="U259" s="23"/>
      <c r="V259" s="23"/>
      <c r="W259" s="23"/>
      <c r="X259" s="23"/>
      <c r="Y259" s="23"/>
      <c r="Z259" s="23"/>
    </row>
    <row r="260" customFormat="false" ht="15.75" hidden="false" customHeight="true" outlineLevel="0" collapsed="false">
      <c r="A260" s="23"/>
      <c r="B260" s="23"/>
      <c r="C260" s="23"/>
      <c r="D260" s="23"/>
      <c r="E260" s="23"/>
      <c r="F260" s="23"/>
      <c r="G260" s="23"/>
      <c r="H260" s="23"/>
      <c r="I260" s="57"/>
      <c r="J260" s="23"/>
      <c r="K260" s="23"/>
      <c r="L260" s="23"/>
      <c r="M260" s="23"/>
      <c r="N260" s="23"/>
      <c r="O260" s="23"/>
      <c r="P260" s="23"/>
      <c r="Q260" s="23"/>
      <c r="R260" s="23"/>
      <c r="S260" s="23"/>
      <c r="T260" s="23"/>
      <c r="U260" s="23"/>
      <c r="V260" s="23"/>
      <c r="W260" s="23"/>
      <c r="X260" s="23"/>
      <c r="Y260" s="23"/>
      <c r="Z260" s="23"/>
    </row>
    <row r="261" customFormat="false" ht="15.75" hidden="false" customHeight="true" outlineLevel="0" collapsed="false">
      <c r="A261" s="23"/>
      <c r="B261" s="23"/>
      <c r="C261" s="23"/>
      <c r="D261" s="23"/>
      <c r="E261" s="23"/>
      <c r="F261" s="23"/>
      <c r="G261" s="23"/>
      <c r="H261" s="23"/>
      <c r="I261" s="57"/>
      <c r="J261" s="23"/>
      <c r="K261" s="23"/>
      <c r="L261" s="23"/>
      <c r="M261" s="23"/>
      <c r="N261" s="23"/>
      <c r="O261" s="23"/>
      <c r="P261" s="23"/>
      <c r="Q261" s="23"/>
      <c r="R261" s="23"/>
      <c r="S261" s="23"/>
      <c r="T261" s="23"/>
      <c r="U261" s="23"/>
      <c r="V261" s="23"/>
      <c r="W261" s="23"/>
      <c r="X261" s="23"/>
      <c r="Y261" s="23"/>
      <c r="Z261" s="23"/>
    </row>
    <row r="262" customFormat="false" ht="15.75" hidden="false" customHeight="true" outlineLevel="0" collapsed="false">
      <c r="A262" s="23"/>
      <c r="B262" s="23"/>
      <c r="C262" s="23"/>
      <c r="D262" s="23"/>
      <c r="E262" s="23"/>
      <c r="F262" s="23"/>
      <c r="G262" s="23"/>
      <c r="H262" s="23"/>
      <c r="I262" s="57"/>
      <c r="J262" s="23"/>
      <c r="K262" s="23"/>
      <c r="L262" s="23"/>
      <c r="M262" s="23"/>
      <c r="N262" s="23"/>
      <c r="O262" s="23"/>
      <c r="P262" s="23"/>
      <c r="Q262" s="23"/>
      <c r="R262" s="23"/>
      <c r="S262" s="23"/>
      <c r="T262" s="23"/>
      <c r="U262" s="23"/>
      <c r="V262" s="23"/>
      <c r="W262" s="23"/>
      <c r="X262" s="23"/>
      <c r="Y262" s="23"/>
      <c r="Z262" s="23"/>
    </row>
    <row r="263" customFormat="false" ht="15.75" hidden="false" customHeight="true" outlineLevel="0" collapsed="false">
      <c r="A263" s="23"/>
      <c r="B263" s="23"/>
      <c r="C263" s="23"/>
      <c r="D263" s="23"/>
      <c r="E263" s="23"/>
      <c r="F263" s="23"/>
      <c r="G263" s="23"/>
      <c r="H263" s="23"/>
      <c r="I263" s="57"/>
      <c r="J263" s="23"/>
      <c r="K263" s="23"/>
      <c r="L263" s="23"/>
      <c r="M263" s="23"/>
      <c r="N263" s="23"/>
      <c r="O263" s="23"/>
      <c r="P263" s="23"/>
      <c r="Q263" s="23"/>
      <c r="R263" s="23"/>
      <c r="S263" s="23"/>
      <c r="T263" s="23"/>
      <c r="U263" s="23"/>
      <c r="V263" s="23"/>
      <c r="W263" s="23"/>
      <c r="X263" s="23"/>
      <c r="Y263" s="23"/>
      <c r="Z263" s="23"/>
    </row>
    <row r="264" customFormat="false" ht="15.75" hidden="false" customHeight="true" outlineLevel="0" collapsed="false">
      <c r="A264" s="23"/>
      <c r="B264" s="23"/>
      <c r="C264" s="23"/>
      <c r="D264" s="23"/>
      <c r="E264" s="23"/>
      <c r="F264" s="23"/>
      <c r="G264" s="23"/>
      <c r="H264" s="23"/>
      <c r="I264" s="57"/>
      <c r="J264" s="23"/>
      <c r="K264" s="23"/>
      <c r="L264" s="23"/>
      <c r="M264" s="23"/>
      <c r="N264" s="23"/>
      <c r="O264" s="23"/>
      <c r="P264" s="23"/>
      <c r="Q264" s="23"/>
      <c r="R264" s="23"/>
      <c r="S264" s="23"/>
      <c r="T264" s="23"/>
      <c r="U264" s="23"/>
      <c r="V264" s="23"/>
      <c r="W264" s="23"/>
      <c r="X264" s="23"/>
      <c r="Y264" s="23"/>
      <c r="Z264" s="23"/>
    </row>
    <row r="265" customFormat="false" ht="15.75" hidden="false" customHeight="true" outlineLevel="0" collapsed="false">
      <c r="A265" s="23"/>
      <c r="B265" s="23"/>
      <c r="C265" s="23"/>
      <c r="D265" s="23"/>
      <c r="E265" s="23"/>
      <c r="F265" s="23"/>
      <c r="G265" s="23"/>
      <c r="H265" s="23"/>
      <c r="I265" s="57"/>
      <c r="J265" s="23"/>
      <c r="K265" s="23"/>
      <c r="L265" s="23"/>
      <c r="M265" s="23"/>
      <c r="N265" s="23"/>
      <c r="O265" s="23"/>
      <c r="P265" s="23"/>
      <c r="Q265" s="23"/>
      <c r="R265" s="23"/>
      <c r="S265" s="23"/>
      <c r="T265" s="23"/>
      <c r="U265" s="23"/>
      <c r="V265" s="23"/>
      <c r="W265" s="23"/>
      <c r="X265" s="23"/>
      <c r="Y265" s="23"/>
      <c r="Z265" s="23"/>
    </row>
    <row r="266" customFormat="false" ht="15.75" hidden="false" customHeight="true" outlineLevel="0" collapsed="false">
      <c r="A266" s="23"/>
      <c r="B266" s="23"/>
      <c r="C266" s="23"/>
      <c r="D266" s="23"/>
      <c r="E266" s="23"/>
      <c r="F266" s="23"/>
      <c r="G266" s="23"/>
      <c r="H266" s="23"/>
      <c r="I266" s="57"/>
      <c r="J266" s="23"/>
      <c r="K266" s="23"/>
      <c r="L266" s="23"/>
      <c r="M266" s="23"/>
      <c r="N266" s="23"/>
      <c r="O266" s="23"/>
      <c r="P266" s="23"/>
      <c r="Q266" s="23"/>
      <c r="R266" s="23"/>
      <c r="S266" s="23"/>
      <c r="T266" s="23"/>
      <c r="U266" s="23"/>
      <c r="V266" s="23"/>
      <c r="W266" s="23"/>
      <c r="X266" s="23"/>
      <c r="Y266" s="23"/>
      <c r="Z266" s="23"/>
    </row>
    <row r="267" customFormat="false" ht="15.75" hidden="false" customHeight="true" outlineLevel="0" collapsed="false">
      <c r="A267" s="23"/>
      <c r="B267" s="23"/>
      <c r="C267" s="23"/>
      <c r="D267" s="23"/>
      <c r="E267" s="23"/>
      <c r="F267" s="23"/>
      <c r="G267" s="23"/>
      <c r="H267" s="23"/>
      <c r="I267" s="57"/>
      <c r="J267" s="23"/>
      <c r="K267" s="23"/>
      <c r="L267" s="23"/>
      <c r="M267" s="23"/>
      <c r="N267" s="23"/>
      <c r="O267" s="23"/>
      <c r="P267" s="23"/>
      <c r="Q267" s="23"/>
      <c r="R267" s="23"/>
      <c r="S267" s="23"/>
      <c r="T267" s="23"/>
      <c r="U267" s="23"/>
      <c r="V267" s="23"/>
      <c r="W267" s="23"/>
      <c r="X267" s="23"/>
      <c r="Y267" s="23"/>
      <c r="Z267" s="23"/>
    </row>
    <row r="268" customFormat="false" ht="15.75" hidden="false" customHeight="true" outlineLevel="0" collapsed="false">
      <c r="A268" s="23"/>
      <c r="B268" s="23"/>
      <c r="C268" s="23"/>
      <c r="D268" s="23"/>
      <c r="E268" s="23"/>
      <c r="F268" s="23"/>
      <c r="G268" s="23"/>
      <c r="H268" s="23"/>
      <c r="I268" s="57"/>
      <c r="J268" s="23"/>
      <c r="K268" s="23"/>
      <c r="L268" s="23"/>
      <c r="M268" s="23"/>
      <c r="N268" s="23"/>
      <c r="O268" s="23"/>
      <c r="P268" s="23"/>
      <c r="Q268" s="23"/>
      <c r="R268" s="23"/>
      <c r="S268" s="23"/>
      <c r="T268" s="23"/>
      <c r="U268" s="23"/>
      <c r="V268" s="23"/>
      <c r="W268" s="23"/>
      <c r="X268" s="23"/>
      <c r="Y268" s="23"/>
      <c r="Z268" s="23"/>
    </row>
    <row r="269" customFormat="false" ht="15.75" hidden="false" customHeight="true" outlineLevel="0" collapsed="false">
      <c r="A269" s="23"/>
      <c r="B269" s="23"/>
      <c r="C269" s="23"/>
      <c r="D269" s="23"/>
      <c r="E269" s="23"/>
      <c r="F269" s="23"/>
      <c r="G269" s="23"/>
      <c r="H269" s="23"/>
      <c r="I269" s="57"/>
      <c r="J269" s="23"/>
      <c r="K269" s="23"/>
      <c r="L269" s="23"/>
      <c r="M269" s="23"/>
      <c r="N269" s="23"/>
      <c r="O269" s="23"/>
      <c r="P269" s="23"/>
      <c r="Q269" s="23"/>
      <c r="R269" s="23"/>
      <c r="S269" s="23"/>
      <c r="T269" s="23"/>
      <c r="U269" s="23"/>
      <c r="V269" s="23"/>
      <c r="W269" s="23"/>
      <c r="X269" s="23"/>
      <c r="Y269" s="23"/>
      <c r="Z269" s="23"/>
    </row>
    <row r="270" customFormat="false" ht="15.75" hidden="false" customHeight="true" outlineLevel="0" collapsed="false">
      <c r="A270" s="23"/>
      <c r="B270" s="23"/>
      <c r="C270" s="23"/>
      <c r="D270" s="23"/>
      <c r="E270" s="23"/>
      <c r="F270" s="23"/>
      <c r="G270" s="23"/>
      <c r="H270" s="23"/>
      <c r="I270" s="57"/>
      <c r="J270" s="23"/>
      <c r="K270" s="23"/>
      <c r="L270" s="23"/>
      <c r="M270" s="23"/>
      <c r="N270" s="23"/>
      <c r="O270" s="23"/>
      <c r="P270" s="23"/>
      <c r="Q270" s="23"/>
      <c r="R270" s="23"/>
      <c r="S270" s="23"/>
      <c r="T270" s="23"/>
      <c r="U270" s="23"/>
      <c r="V270" s="23"/>
      <c r="W270" s="23"/>
      <c r="X270" s="23"/>
      <c r="Y270" s="23"/>
      <c r="Z270" s="23"/>
    </row>
    <row r="271" customFormat="false" ht="15.75" hidden="false" customHeight="true" outlineLevel="0" collapsed="false">
      <c r="A271" s="23"/>
      <c r="B271" s="23"/>
      <c r="C271" s="23"/>
      <c r="D271" s="23"/>
      <c r="E271" s="23"/>
      <c r="F271" s="23"/>
      <c r="G271" s="23"/>
      <c r="H271" s="23"/>
      <c r="I271" s="57"/>
      <c r="J271" s="23"/>
      <c r="K271" s="23"/>
      <c r="L271" s="23"/>
      <c r="M271" s="23"/>
      <c r="N271" s="23"/>
      <c r="O271" s="23"/>
      <c r="P271" s="23"/>
      <c r="Q271" s="23"/>
      <c r="R271" s="23"/>
      <c r="S271" s="23"/>
      <c r="T271" s="23"/>
      <c r="U271" s="23"/>
      <c r="V271" s="23"/>
      <c r="W271" s="23"/>
      <c r="X271" s="23"/>
      <c r="Y271" s="23"/>
      <c r="Z271" s="23"/>
    </row>
    <row r="272" customFormat="false" ht="15.75" hidden="false" customHeight="true" outlineLevel="0" collapsed="false">
      <c r="A272" s="23"/>
      <c r="B272" s="23"/>
      <c r="C272" s="23"/>
      <c r="D272" s="23"/>
      <c r="E272" s="23"/>
      <c r="F272" s="23"/>
      <c r="G272" s="23"/>
      <c r="H272" s="23"/>
      <c r="I272" s="57"/>
      <c r="J272" s="23"/>
      <c r="K272" s="23"/>
      <c r="L272" s="23"/>
      <c r="M272" s="23"/>
      <c r="N272" s="23"/>
      <c r="O272" s="23"/>
      <c r="P272" s="23"/>
      <c r="Q272" s="23"/>
      <c r="R272" s="23"/>
      <c r="S272" s="23"/>
      <c r="T272" s="23"/>
      <c r="U272" s="23"/>
      <c r="V272" s="23"/>
      <c r="W272" s="23"/>
      <c r="X272" s="23"/>
      <c r="Y272" s="23"/>
      <c r="Z272" s="23"/>
    </row>
    <row r="273" customFormat="false" ht="15.75" hidden="false" customHeight="true" outlineLevel="0" collapsed="false">
      <c r="A273" s="23"/>
      <c r="B273" s="23"/>
      <c r="C273" s="23"/>
      <c r="D273" s="23"/>
      <c r="E273" s="23"/>
      <c r="F273" s="23"/>
      <c r="G273" s="23"/>
      <c r="H273" s="23"/>
      <c r="I273" s="57"/>
      <c r="J273" s="23"/>
      <c r="K273" s="23"/>
      <c r="L273" s="23"/>
      <c r="M273" s="23"/>
      <c r="N273" s="23"/>
      <c r="O273" s="23"/>
      <c r="P273" s="23"/>
      <c r="Q273" s="23"/>
      <c r="R273" s="23"/>
      <c r="S273" s="23"/>
      <c r="T273" s="23"/>
      <c r="U273" s="23"/>
      <c r="V273" s="23"/>
      <c r="W273" s="23"/>
      <c r="X273" s="23"/>
      <c r="Y273" s="23"/>
      <c r="Z273" s="23"/>
    </row>
    <row r="274" customFormat="false" ht="15.75" hidden="false" customHeight="true" outlineLevel="0" collapsed="false">
      <c r="A274" s="23"/>
      <c r="B274" s="23"/>
      <c r="C274" s="23"/>
      <c r="D274" s="23"/>
      <c r="E274" s="23"/>
      <c r="F274" s="23"/>
      <c r="G274" s="23"/>
      <c r="H274" s="23"/>
      <c r="I274" s="57"/>
      <c r="J274" s="23"/>
      <c r="K274" s="23"/>
      <c r="L274" s="23"/>
      <c r="M274" s="23"/>
      <c r="N274" s="23"/>
      <c r="O274" s="23"/>
      <c r="P274" s="23"/>
      <c r="Q274" s="23"/>
      <c r="R274" s="23"/>
      <c r="S274" s="23"/>
      <c r="T274" s="23"/>
      <c r="U274" s="23"/>
      <c r="V274" s="23"/>
      <c r="W274" s="23"/>
      <c r="X274" s="23"/>
      <c r="Y274" s="23"/>
      <c r="Z274" s="23"/>
    </row>
    <row r="275" customFormat="false" ht="15.75" hidden="false" customHeight="true" outlineLevel="0" collapsed="false">
      <c r="A275" s="23"/>
      <c r="B275" s="23"/>
      <c r="C275" s="23"/>
      <c r="D275" s="23"/>
      <c r="E275" s="23"/>
      <c r="F275" s="23"/>
      <c r="G275" s="23"/>
      <c r="H275" s="23"/>
      <c r="I275" s="57"/>
      <c r="J275" s="23"/>
      <c r="K275" s="23"/>
      <c r="L275" s="23"/>
      <c r="M275" s="23"/>
      <c r="N275" s="23"/>
      <c r="O275" s="23"/>
      <c r="P275" s="23"/>
      <c r="Q275" s="23"/>
      <c r="R275" s="23"/>
      <c r="S275" s="23"/>
      <c r="T275" s="23"/>
      <c r="U275" s="23"/>
      <c r="V275" s="23"/>
      <c r="W275" s="23"/>
      <c r="X275" s="23"/>
      <c r="Y275" s="23"/>
      <c r="Z275" s="23"/>
    </row>
    <row r="276" customFormat="false" ht="15.75" hidden="false" customHeight="true" outlineLevel="0" collapsed="false">
      <c r="A276" s="23"/>
      <c r="B276" s="23"/>
      <c r="C276" s="23"/>
      <c r="D276" s="23"/>
      <c r="E276" s="23"/>
      <c r="F276" s="23"/>
      <c r="G276" s="23"/>
      <c r="H276" s="23"/>
      <c r="I276" s="57"/>
      <c r="J276" s="23"/>
      <c r="K276" s="23"/>
      <c r="L276" s="23"/>
      <c r="M276" s="23"/>
      <c r="N276" s="23"/>
      <c r="O276" s="23"/>
      <c r="P276" s="23"/>
      <c r="Q276" s="23"/>
      <c r="R276" s="23"/>
      <c r="S276" s="23"/>
      <c r="T276" s="23"/>
      <c r="U276" s="23"/>
      <c r="V276" s="23"/>
      <c r="W276" s="23"/>
      <c r="X276" s="23"/>
      <c r="Y276" s="23"/>
      <c r="Z276" s="23"/>
    </row>
    <row r="277" customFormat="false" ht="15.75" hidden="false" customHeight="true" outlineLevel="0" collapsed="false">
      <c r="A277" s="23"/>
      <c r="B277" s="23"/>
      <c r="C277" s="23"/>
      <c r="D277" s="23"/>
      <c r="E277" s="23"/>
      <c r="F277" s="23"/>
      <c r="G277" s="23"/>
      <c r="H277" s="23"/>
      <c r="I277" s="57"/>
      <c r="J277" s="23"/>
      <c r="K277" s="23"/>
      <c r="L277" s="23"/>
      <c r="M277" s="23"/>
      <c r="N277" s="23"/>
      <c r="O277" s="23"/>
      <c r="P277" s="23"/>
      <c r="Q277" s="23"/>
      <c r="R277" s="23"/>
      <c r="S277" s="23"/>
      <c r="T277" s="23"/>
      <c r="U277" s="23"/>
      <c r="V277" s="23"/>
      <c r="W277" s="23"/>
      <c r="X277" s="23"/>
      <c r="Y277" s="23"/>
      <c r="Z277" s="23"/>
    </row>
    <row r="278" customFormat="false" ht="15.75" hidden="false" customHeight="true" outlineLevel="0" collapsed="false">
      <c r="A278" s="23"/>
      <c r="B278" s="23"/>
      <c r="C278" s="23"/>
      <c r="D278" s="23"/>
      <c r="E278" s="23"/>
      <c r="F278" s="23"/>
      <c r="G278" s="23"/>
      <c r="H278" s="23"/>
      <c r="I278" s="57"/>
      <c r="J278" s="23"/>
      <c r="K278" s="23"/>
      <c r="L278" s="23"/>
      <c r="M278" s="23"/>
      <c r="N278" s="23"/>
      <c r="O278" s="23"/>
      <c r="P278" s="23"/>
      <c r="Q278" s="23"/>
      <c r="R278" s="23"/>
      <c r="S278" s="23"/>
      <c r="T278" s="23"/>
      <c r="U278" s="23"/>
      <c r="V278" s="23"/>
      <c r="W278" s="23"/>
      <c r="X278" s="23"/>
      <c r="Y278" s="23"/>
      <c r="Z278" s="23"/>
    </row>
    <row r="279" customFormat="false" ht="15.75" hidden="false" customHeight="true" outlineLevel="0" collapsed="false">
      <c r="A279" s="23"/>
      <c r="B279" s="23"/>
      <c r="C279" s="23"/>
      <c r="D279" s="23"/>
      <c r="E279" s="23"/>
      <c r="F279" s="23"/>
      <c r="G279" s="23"/>
      <c r="H279" s="23"/>
      <c r="I279" s="57"/>
      <c r="J279" s="23"/>
      <c r="K279" s="23"/>
      <c r="L279" s="23"/>
      <c r="M279" s="23"/>
      <c r="N279" s="23"/>
      <c r="O279" s="23"/>
      <c r="P279" s="23"/>
      <c r="Q279" s="23"/>
      <c r="R279" s="23"/>
      <c r="S279" s="23"/>
      <c r="T279" s="23"/>
      <c r="U279" s="23"/>
      <c r="V279" s="23"/>
      <c r="W279" s="23"/>
      <c r="X279" s="23"/>
      <c r="Y279" s="23"/>
      <c r="Z279" s="23"/>
    </row>
    <row r="280" customFormat="false" ht="15.75" hidden="false" customHeight="true" outlineLevel="0" collapsed="false">
      <c r="A280" s="23"/>
      <c r="B280" s="23"/>
      <c r="C280" s="23"/>
      <c r="D280" s="23"/>
      <c r="E280" s="23"/>
      <c r="F280" s="23"/>
      <c r="G280" s="23"/>
      <c r="H280" s="23"/>
      <c r="I280" s="57"/>
      <c r="J280" s="23"/>
      <c r="K280" s="23"/>
      <c r="L280" s="23"/>
      <c r="M280" s="23"/>
      <c r="N280" s="23"/>
      <c r="O280" s="23"/>
      <c r="P280" s="23"/>
      <c r="Q280" s="23"/>
      <c r="R280" s="23"/>
      <c r="S280" s="23"/>
      <c r="T280" s="23"/>
      <c r="U280" s="23"/>
      <c r="V280" s="23"/>
      <c r="W280" s="23"/>
      <c r="X280" s="23"/>
      <c r="Y280" s="23"/>
      <c r="Z280" s="23"/>
    </row>
    <row r="281" customFormat="false" ht="15.75" hidden="false" customHeight="true" outlineLevel="0" collapsed="false">
      <c r="A281" s="23"/>
      <c r="B281" s="23"/>
      <c r="C281" s="23"/>
      <c r="D281" s="23"/>
      <c r="E281" s="23"/>
      <c r="F281" s="23"/>
      <c r="G281" s="23"/>
      <c r="H281" s="23"/>
      <c r="I281" s="57"/>
      <c r="J281" s="23"/>
      <c r="K281" s="23"/>
      <c r="L281" s="23"/>
      <c r="M281" s="23"/>
      <c r="N281" s="23"/>
      <c r="O281" s="23"/>
      <c r="P281" s="23"/>
      <c r="Q281" s="23"/>
      <c r="R281" s="23"/>
      <c r="S281" s="23"/>
      <c r="T281" s="23"/>
      <c r="U281" s="23"/>
      <c r="V281" s="23"/>
      <c r="W281" s="23"/>
      <c r="X281" s="23"/>
      <c r="Y281" s="23"/>
      <c r="Z281" s="23"/>
    </row>
    <row r="282" customFormat="false" ht="15.75" hidden="false" customHeight="true" outlineLevel="0" collapsed="false">
      <c r="A282" s="23"/>
      <c r="B282" s="23"/>
      <c r="C282" s="23"/>
      <c r="D282" s="23"/>
      <c r="E282" s="23"/>
      <c r="F282" s="23"/>
      <c r="G282" s="23"/>
      <c r="H282" s="23"/>
      <c r="I282" s="57"/>
      <c r="J282" s="23"/>
      <c r="K282" s="23"/>
      <c r="L282" s="23"/>
      <c r="M282" s="23"/>
      <c r="N282" s="23"/>
      <c r="O282" s="23"/>
      <c r="P282" s="23"/>
      <c r="Q282" s="23"/>
      <c r="R282" s="23"/>
      <c r="S282" s="23"/>
      <c r="T282" s="23"/>
      <c r="U282" s="23"/>
      <c r="V282" s="23"/>
      <c r="W282" s="23"/>
      <c r="X282" s="23"/>
      <c r="Y282" s="23"/>
      <c r="Z282" s="23"/>
    </row>
    <row r="283" customFormat="false" ht="15.75" hidden="false" customHeight="true" outlineLevel="0" collapsed="false">
      <c r="A283" s="23"/>
      <c r="B283" s="23"/>
      <c r="C283" s="23"/>
      <c r="D283" s="23"/>
      <c r="E283" s="23"/>
      <c r="F283" s="23"/>
      <c r="G283" s="23"/>
      <c r="H283" s="23"/>
      <c r="I283" s="57"/>
      <c r="J283" s="23"/>
      <c r="K283" s="23"/>
      <c r="L283" s="23"/>
      <c r="M283" s="23"/>
      <c r="N283" s="23"/>
      <c r="O283" s="23"/>
      <c r="P283" s="23"/>
      <c r="Q283" s="23"/>
      <c r="R283" s="23"/>
      <c r="S283" s="23"/>
      <c r="T283" s="23"/>
      <c r="U283" s="23"/>
      <c r="V283" s="23"/>
      <c r="W283" s="23"/>
      <c r="X283" s="23"/>
      <c r="Y283" s="23"/>
      <c r="Z283" s="23"/>
    </row>
    <row r="284" customFormat="false" ht="15.75" hidden="false" customHeight="true" outlineLevel="0" collapsed="false">
      <c r="A284" s="23"/>
      <c r="B284" s="23"/>
      <c r="C284" s="23"/>
      <c r="D284" s="23"/>
      <c r="E284" s="23"/>
      <c r="F284" s="23"/>
      <c r="G284" s="23"/>
      <c r="H284" s="23"/>
      <c r="I284" s="57"/>
      <c r="J284" s="23"/>
      <c r="K284" s="23"/>
      <c r="L284" s="23"/>
      <c r="M284" s="23"/>
      <c r="N284" s="23"/>
      <c r="O284" s="23"/>
      <c r="P284" s="23"/>
      <c r="Q284" s="23"/>
      <c r="R284" s="23"/>
      <c r="S284" s="23"/>
      <c r="T284" s="23"/>
      <c r="U284" s="23"/>
      <c r="V284" s="23"/>
      <c r="W284" s="23"/>
      <c r="X284" s="23"/>
      <c r="Y284" s="23"/>
      <c r="Z284" s="23"/>
    </row>
    <row r="285" customFormat="false" ht="15.75" hidden="false" customHeight="true" outlineLevel="0" collapsed="false">
      <c r="A285" s="23"/>
      <c r="B285" s="23"/>
      <c r="C285" s="23"/>
      <c r="D285" s="23"/>
      <c r="E285" s="23"/>
      <c r="F285" s="23"/>
      <c r="G285" s="23"/>
      <c r="H285" s="23"/>
      <c r="I285" s="57"/>
      <c r="J285" s="23"/>
      <c r="K285" s="23"/>
      <c r="L285" s="23"/>
      <c r="M285" s="23"/>
      <c r="N285" s="23"/>
      <c r="O285" s="23"/>
      <c r="P285" s="23"/>
      <c r="Q285" s="23"/>
      <c r="R285" s="23"/>
      <c r="S285" s="23"/>
      <c r="T285" s="23"/>
      <c r="U285" s="23"/>
      <c r="V285" s="23"/>
      <c r="W285" s="23"/>
      <c r="X285" s="23"/>
      <c r="Y285" s="23"/>
      <c r="Z285" s="23"/>
    </row>
    <row r="286" customFormat="false" ht="15.75" hidden="false" customHeight="true" outlineLevel="0" collapsed="false">
      <c r="A286" s="23"/>
      <c r="B286" s="23"/>
      <c r="C286" s="23"/>
      <c r="D286" s="23"/>
      <c r="E286" s="23"/>
      <c r="F286" s="23"/>
      <c r="G286" s="23"/>
      <c r="H286" s="23"/>
      <c r="I286" s="57"/>
      <c r="J286" s="23"/>
      <c r="K286" s="23"/>
      <c r="L286" s="23"/>
      <c r="M286" s="23"/>
      <c r="N286" s="23"/>
      <c r="O286" s="23"/>
      <c r="P286" s="23"/>
      <c r="Q286" s="23"/>
      <c r="R286" s="23"/>
      <c r="S286" s="23"/>
      <c r="T286" s="23"/>
      <c r="U286" s="23"/>
      <c r="V286" s="23"/>
      <c r="W286" s="23"/>
      <c r="X286" s="23"/>
      <c r="Y286" s="23"/>
      <c r="Z286" s="23"/>
    </row>
    <row r="287" customFormat="false" ht="15.75" hidden="false" customHeight="true" outlineLevel="0" collapsed="false">
      <c r="A287" s="23"/>
      <c r="B287" s="23"/>
      <c r="C287" s="23"/>
      <c r="D287" s="23"/>
      <c r="E287" s="23"/>
      <c r="F287" s="23"/>
      <c r="G287" s="23"/>
      <c r="H287" s="23"/>
      <c r="I287" s="57"/>
      <c r="J287" s="23"/>
      <c r="K287" s="23"/>
      <c r="L287" s="23"/>
      <c r="M287" s="23"/>
      <c r="N287" s="23"/>
      <c r="O287" s="23"/>
      <c r="P287" s="23"/>
      <c r="Q287" s="23"/>
      <c r="R287" s="23"/>
      <c r="S287" s="23"/>
      <c r="T287" s="23"/>
      <c r="U287" s="23"/>
      <c r="V287" s="23"/>
      <c r="W287" s="23"/>
      <c r="X287" s="23"/>
      <c r="Y287" s="23"/>
      <c r="Z287" s="23"/>
    </row>
    <row r="288" customFormat="false" ht="15.75" hidden="false" customHeight="true" outlineLevel="0" collapsed="false">
      <c r="A288" s="23"/>
      <c r="B288" s="23"/>
      <c r="C288" s="23"/>
      <c r="D288" s="23"/>
      <c r="E288" s="23"/>
      <c r="F288" s="23"/>
      <c r="G288" s="23"/>
      <c r="H288" s="23"/>
      <c r="I288" s="57"/>
      <c r="J288" s="23"/>
      <c r="K288" s="23"/>
      <c r="L288" s="23"/>
      <c r="M288" s="23"/>
      <c r="N288" s="23"/>
      <c r="O288" s="23"/>
      <c r="P288" s="23"/>
      <c r="Q288" s="23"/>
      <c r="R288" s="23"/>
      <c r="S288" s="23"/>
      <c r="T288" s="23"/>
      <c r="U288" s="23"/>
      <c r="V288" s="23"/>
      <c r="W288" s="23"/>
      <c r="X288" s="23"/>
      <c r="Y288" s="23"/>
      <c r="Z288" s="23"/>
    </row>
    <row r="289" customFormat="false" ht="15.75" hidden="false" customHeight="true" outlineLevel="0" collapsed="false">
      <c r="A289" s="23"/>
      <c r="B289" s="23"/>
      <c r="C289" s="23"/>
      <c r="D289" s="23"/>
      <c r="E289" s="23"/>
      <c r="F289" s="23"/>
      <c r="G289" s="23"/>
      <c r="H289" s="23"/>
      <c r="I289" s="57"/>
      <c r="J289" s="23"/>
      <c r="K289" s="23"/>
      <c r="L289" s="23"/>
      <c r="M289" s="23"/>
      <c r="N289" s="23"/>
      <c r="O289" s="23"/>
      <c r="P289" s="23"/>
      <c r="Q289" s="23"/>
      <c r="R289" s="23"/>
      <c r="S289" s="23"/>
      <c r="T289" s="23"/>
      <c r="U289" s="23"/>
      <c r="V289" s="23"/>
      <c r="W289" s="23"/>
      <c r="X289" s="23"/>
      <c r="Y289" s="23"/>
      <c r="Z289" s="23"/>
    </row>
    <row r="290" customFormat="false" ht="15.75" hidden="false" customHeight="true" outlineLevel="0" collapsed="false">
      <c r="A290" s="23"/>
      <c r="B290" s="23"/>
      <c r="C290" s="23"/>
      <c r="D290" s="23"/>
      <c r="E290" s="23"/>
      <c r="F290" s="23"/>
      <c r="G290" s="23"/>
      <c r="H290" s="23"/>
      <c r="I290" s="57"/>
      <c r="J290" s="23"/>
      <c r="K290" s="23"/>
      <c r="L290" s="23"/>
      <c r="M290" s="23"/>
      <c r="N290" s="23"/>
      <c r="O290" s="23"/>
      <c r="P290" s="23"/>
      <c r="Q290" s="23"/>
      <c r="R290" s="23"/>
      <c r="S290" s="23"/>
      <c r="T290" s="23"/>
      <c r="U290" s="23"/>
      <c r="V290" s="23"/>
      <c r="W290" s="23"/>
      <c r="X290" s="23"/>
      <c r="Y290" s="23"/>
      <c r="Z290" s="23"/>
    </row>
    <row r="291" customFormat="false" ht="15.75" hidden="false" customHeight="true" outlineLevel="0" collapsed="false">
      <c r="A291" s="23"/>
      <c r="B291" s="23"/>
      <c r="C291" s="23"/>
      <c r="D291" s="23"/>
      <c r="E291" s="23"/>
      <c r="F291" s="23"/>
      <c r="G291" s="23"/>
      <c r="H291" s="23"/>
      <c r="I291" s="57"/>
      <c r="J291" s="23"/>
      <c r="K291" s="23"/>
      <c r="L291" s="23"/>
      <c r="M291" s="23"/>
      <c r="N291" s="23"/>
      <c r="O291" s="23"/>
      <c r="P291" s="23"/>
      <c r="Q291" s="23"/>
      <c r="R291" s="23"/>
      <c r="S291" s="23"/>
      <c r="T291" s="23"/>
      <c r="U291" s="23"/>
      <c r="V291" s="23"/>
      <c r="W291" s="23"/>
      <c r="X291" s="23"/>
      <c r="Y291" s="23"/>
      <c r="Z291" s="23"/>
    </row>
    <row r="292" customFormat="false" ht="15.75" hidden="false" customHeight="true" outlineLevel="0" collapsed="false">
      <c r="A292" s="23"/>
      <c r="B292" s="23"/>
      <c r="C292" s="23"/>
      <c r="D292" s="23"/>
      <c r="E292" s="23"/>
      <c r="F292" s="23"/>
      <c r="G292" s="23"/>
      <c r="H292" s="23"/>
      <c r="I292" s="57"/>
      <c r="J292" s="23"/>
      <c r="K292" s="23"/>
      <c r="L292" s="23"/>
      <c r="M292" s="23"/>
      <c r="N292" s="23"/>
      <c r="O292" s="23"/>
      <c r="P292" s="23"/>
      <c r="Q292" s="23"/>
      <c r="R292" s="23"/>
      <c r="S292" s="23"/>
      <c r="T292" s="23"/>
      <c r="U292" s="23"/>
      <c r="V292" s="23"/>
      <c r="W292" s="23"/>
      <c r="X292" s="23"/>
      <c r="Y292" s="23"/>
      <c r="Z292" s="23"/>
    </row>
    <row r="293" customFormat="false" ht="15.75" hidden="false" customHeight="true" outlineLevel="0" collapsed="false">
      <c r="A293" s="23"/>
      <c r="B293" s="23"/>
      <c r="C293" s="23"/>
      <c r="D293" s="23"/>
      <c r="E293" s="23"/>
      <c r="F293" s="23"/>
      <c r="G293" s="23"/>
      <c r="H293" s="23"/>
      <c r="I293" s="57"/>
      <c r="J293" s="23"/>
      <c r="K293" s="23"/>
      <c r="L293" s="23"/>
      <c r="M293" s="23"/>
      <c r="N293" s="23"/>
      <c r="O293" s="23"/>
      <c r="P293" s="23"/>
      <c r="Q293" s="23"/>
      <c r="R293" s="23"/>
      <c r="S293" s="23"/>
      <c r="T293" s="23"/>
      <c r="U293" s="23"/>
      <c r="V293" s="23"/>
      <c r="W293" s="23"/>
      <c r="X293" s="23"/>
      <c r="Y293" s="23"/>
      <c r="Z293" s="23"/>
    </row>
    <row r="294" customFormat="false" ht="15.75" hidden="false" customHeight="true" outlineLevel="0" collapsed="false">
      <c r="A294" s="23"/>
      <c r="B294" s="23"/>
      <c r="C294" s="23"/>
      <c r="D294" s="23"/>
      <c r="E294" s="23"/>
      <c r="F294" s="23"/>
      <c r="G294" s="23"/>
      <c r="H294" s="23"/>
      <c r="I294" s="57"/>
      <c r="J294" s="23"/>
      <c r="K294" s="23"/>
      <c r="L294" s="23"/>
      <c r="M294" s="23"/>
      <c r="N294" s="23"/>
      <c r="O294" s="23"/>
      <c r="P294" s="23"/>
      <c r="Q294" s="23"/>
      <c r="R294" s="23"/>
      <c r="S294" s="23"/>
      <c r="T294" s="23"/>
      <c r="U294" s="23"/>
      <c r="V294" s="23"/>
      <c r="W294" s="23"/>
      <c r="X294" s="23"/>
      <c r="Y294" s="23"/>
      <c r="Z294" s="23"/>
    </row>
    <row r="295" customFormat="false" ht="15.75" hidden="false" customHeight="true" outlineLevel="0" collapsed="false">
      <c r="A295" s="23"/>
      <c r="B295" s="23"/>
      <c r="C295" s="23"/>
      <c r="D295" s="23"/>
      <c r="E295" s="23"/>
      <c r="F295" s="23"/>
      <c r="G295" s="23"/>
      <c r="H295" s="23"/>
      <c r="I295" s="57"/>
      <c r="J295" s="23"/>
      <c r="K295" s="23"/>
      <c r="L295" s="23"/>
      <c r="M295" s="23"/>
      <c r="N295" s="23"/>
      <c r="O295" s="23"/>
      <c r="P295" s="23"/>
      <c r="Q295" s="23"/>
      <c r="R295" s="23"/>
      <c r="S295" s="23"/>
      <c r="T295" s="23"/>
      <c r="U295" s="23"/>
      <c r="V295" s="23"/>
      <c r="W295" s="23"/>
      <c r="X295" s="23"/>
      <c r="Y295" s="23"/>
      <c r="Z295" s="23"/>
    </row>
    <row r="296" customFormat="false" ht="15.75" hidden="false" customHeight="true" outlineLevel="0" collapsed="false">
      <c r="A296" s="23"/>
      <c r="B296" s="23"/>
      <c r="C296" s="23"/>
      <c r="D296" s="23"/>
      <c r="E296" s="23"/>
      <c r="F296" s="23"/>
      <c r="G296" s="23"/>
      <c r="H296" s="23"/>
      <c r="I296" s="57"/>
      <c r="J296" s="23"/>
      <c r="K296" s="23"/>
      <c r="L296" s="23"/>
      <c r="M296" s="23"/>
      <c r="N296" s="23"/>
      <c r="O296" s="23"/>
      <c r="P296" s="23"/>
      <c r="Q296" s="23"/>
      <c r="R296" s="23"/>
      <c r="S296" s="23"/>
      <c r="T296" s="23"/>
      <c r="U296" s="23"/>
      <c r="V296" s="23"/>
      <c r="W296" s="23"/>
      <c r="X296" s="23"/>
      <c r="Y296" s="23"/>
      <c r="Z296" s="23"/>
    </row>
    <row r="297" customFormat="false" ht="15.75" hidden="false" customHeight="true" outlineLevel="0" collapsed="false">
      <c r="A297" s="23"/>
      <c r="B297" s="23"/>
      <c r="C297" s="23"/>
      <c r="D297" s="23"/>
      <c r="E297" s="23"/>
      <c r="F297" s="23"/>
      <c r="G297" s="23"/>
      <c r="H297" s="23"/>
      <c r="I297" s="57"/>
      <c r="J297" s="23"/>
      <c r="K297" s="23"/>
      <c r="L297" s="23"/>
      <c r="M297" s="23"/>
      <c r="N297" s="23"/>
      <c r="O297" s="23"/>
      <c r="P297" s="23"/>
      <c r="Q297" s="23"/>
      <c r="R297" s="23"/>
      <c r="S297" s="23"/>
      <c r="T297" s="23"/>
      <c r="U297" s="23"/>
      <c r="V297" s="23"/>
      <c r="W297" s="23"/>
      <c r="X297" s="23"/>
      <c r="Y297" s="23"/>
      <c r="Z297" s="23"/>
    </row>
    <row r="298" customFormat="false" ht="15.75" hidden="false" customHeight="true" outlineLevel="0" collapsed="false">
      <c r="A298" s="23"/>
      <c r="B298" s="23"/>
      <c r="C298" s="23"/>
      <c r="D298" s="23"/>
      <c r="E298" s="23"/>
      <c r="F298" s="23"/>
      <c r="G298" s="23"/>
      <c r="H298" s="23"/>
      <c r="I298" s="57"/>
      <c r="J298" s="23"/>
      <c r="K298" s="23"/>
      <c r="L298" s="23"/>
      <c r="M298" s="23"/>
      <c r="N298" s="23"/>
      <c r="O298" s="23"/>
      <c r="P298" s="23"/>
      <c r="Q298" s="23"/>
      <c r="R298" s="23"/>
      <c r="S298" s="23"/>
      <c r="T298" s="23"/>
      <c r="U298" s="23"/>
      <c r="V298" s="23"/>
      <c r="W298" s="23"/>
      <c r="X298" s="23"/>
      <c r="Y298" s="23"/>
      <c r="Z298" s="23"/>
    </row>
    <row r="299" customFormat="false" ht="15.75" hidden="false" customHeight="true" outlineLevel="0" collapsed="false">
      <c r="A299" s="23"/>
      <c r="B299" s="23"/>
      <c r="C299" s="23"/>
      <c r="D299" s="23"/>
      <c r="E299" s="23"/>
      <c r="F299" s="23"/>
      <c r="G299" s="23"/>
      <c r="H299" s="23"/>
      <c r="I299" s="57"/>
      <c r="J299" s="23"/>
      <c r="K299" s="23"/>
      <c r="L299" s="23"/>
      <c r="M299" s="23"/>
      <c r="N299" s="23"/>
      <c r="O299" s="23"/>
      <c r="P299" s="23"/>
      <c r="Q299" s="23"/>
      <c r="R299" s="23"/>
      <c r="S299" s="23"/>
      <c r="T299" s="23"/>
      <c r="U299" s="23"/>
      <c r="V299" s="23"/>
      <c r="W299" s="23"/>
      <c r="X299" s="23"/>
      <c r="Y299" s="23"/>
      <c r="Z299" s="23"/>
    </row>
    <row r="300" customFormat="false" ht="15.75" hidden="false" customHeight="true" outlineLevel="0" collapsed="false">
      <c r="A300" s="23"/>
      <c r="B300" s="23"/>
      <c r="C300" s="23"/>
      <c r="D300" s="23"/>
      <c r="E300" s="23"/>
      <c r="F300" s="23"/>
      <c r="G300" s="23"/>
      <c r="H300" s="23"/>
      <c r="I300" s="57"/>
      <c r="J300" s="23"/>
      <c r="K300" s="23"/>
      <c r="L300" s="23"/>
      <c r="M300" s="23"/>
      <c r="N300" s="23"/>
      <c r="O300" s="23"/>
      <c r="P300" s="23"/>
      <c r="Q300" s="23"/>
      <c r="R300" s="23"/>
      <c r="S300" s="23"/>
      <c r="T300" s="23"/>
      <c r="U300" s="23"/>
      <c r="V300" s="23"/>
      <c r="W300" s="23"/>
      <c r="X300" s="23"/>
      <c r="Y300" s="23"/>
      <c r="Z300" s="23"/>
    </row>
    <row r="301" customFormat="false" ht="15.75" hidden="false" customHeight="true" outlineLevel="0" collapsed="false">
      <c r="A301" s="23"/>
      <c r="B301" s="23"/>
      <c r="C301" s="23"/>
      <c r="D301" s="23"/>
      <c r="E301" s="23"/>
      <c r="F301" s="23"/>
      <c r="G301" s="23"/>
      <c r="H301" s="23"/>
      <c r="I301" s="57"/>
      <c r="J301" s="23"/>
      <c r="K301" s="23"/>
      <c r="L301" s="23"/>
      <c r="M301" s="23"/>
      <c r="N301" s="23"/>
      <c r="O301" s="23"/>
      <c r="P301" s="23"/>
      <c r="Q301" s="23"/>
      <c r="R301" s="23"/>
      <c r="S301" s="23"/>
      <c r="T301" s="23"/>
      <c r="U301" s="23"/>
      <c r="V301" s="23"/>
      <c r="W301" s="23"/>
      <c r="X301" s="23"/>
      <c r="Y301" s="23"/>
      <c r="Z301" s="23"/>
    </row>
    <row r="302" customFormat="false" ht="15.75" hidden="false" customHeight="true" outlineLevel="0" collapsed="false">
      <c r="A302" s="23"/>
      <c r="B302" s="23"/>
      <c r="C302" s="23"/>
      <c r="D302" s="23"/>
      <c r="E302" s="23"/>
      <c r="F302" s="23"/>
      <c r="G302" s="23"/>
      <c r="H302" s="23"/>
      <c r="I302" s="57"/>
      <c r="J302" s="23"/>
      <c r="K302" s="23"/>
      <c r="L302" s="23"/>
      <c r="M302" s="23"/>
      <c r="N302" s="23"/>
      <c r="O302" s="23"/>
      <c r="P302" s="23"/>
      <c r="Q302" s="23"/>
      <c r="R302" s="23"/>
      <c r="S302" s="23"/>
      <c r="T302" s="23"/>
      <c r="U302" s="23"/>
      <c r="V302" s="23"/>
      <c r="W302" s="23"/>
      <c r="X302" s="23"/>
      <c r="Y302" s="23"/>
      <c r="Z302" s="23"/>
    </row>
    <row r="303" customFormat="false" ht="15.75" hidden="false" customHeight="true" outlineLevel="0" collapsed="false">
      <c r="A303" s="23"/>
      <c r="B303" s="23"/>
      <c r="C303" s="23"/>
      <c r="D303" s="23"/>
      <c r="E303" s="23"/>
      <c r="F303" s="23"/>
      <c r="G303" s="23"/>
      <c r="H303" s="23"/>
      <c r="I303" s="57"/>
      <c r="J303" s="23"/>
      <c r="K303" s="23"/>
      <c r="L303" s="23"/>
      <c r="M303" s="23"/>
      <c r="N303" s="23"/>
      <c r="O303" s="23"/>
      <c r="P303" s="23"/>
      <c r="Q303" s="23"/>
      <c r="R303" s="23"/>
      <c r="S303" s="23"/>
      <c r="T303" s="23"/>
      <c r="U303" s="23"/>
      <c r="V303" s="23"/>
      <c r="W303" s="23"/>
      <c r="X303" s="23"/>
      <c r="Y303" s="23"/>
      <c r="Z303" s="23"/>
    </row>
    <row r="304" customFormat="false" ht="15.75" hidden="false" customHeight="true" outlineLevel="0" collapsed="false">
      <c r="A304" s="23"/>
      <c r="B304" s="23"/>
      <c r="C304" s="23"/>
      <c r="D304" s="23"/>
      <c r="E304" s="23"/>
      <c r="F304" s="23"/>
      <c r="G304" s="23"/>
      <c r="H304" s="23"/>
      <c r="I304" s="57"/>
      <c r="J304" s="23"/>
      <c r="K304" s="23"/>
      <c r="L304" s="23"/>
      <c r="M304" s="23"/>
      <c r="N304" s="23"/>
      <c r="O304" s="23"/>
      <c r="P304" s="23"/>
      <c r="Q304" s="23"/>
      <c r="R304" s="23"/>
      <c r="S304" s="23"/>
      <c r="T304" s="23"/>
      <c r="U304" s="23"/>
      <c r="V304" s="23"/>
      <c r="W304" s="23"/>
      <c r="X304" s="23"/>
      <c r="Y304" s="23"/>
      <c r="Z304" s="23"/>
    </row>
    <row r="305" customFormat="false" ht="15.75" hidden="false" customHeight="true" outlineLevel="0" collapsed="false">
      <c r="A305" s="23"/>
      <c r="B305" s="23"/>
      <c r="C305" s="23"/>
      <c r="D305" s="23"/>
      <c r="E305" s="23"/>
      <c r="F305" s="23"/>
      <c r="G305" s="23"/>
      <c r="H305" s="23"/>
      <c r="I305" s="57"/>
      <c r="J305" s="23"/>
      <c r="K305" s="23"/>
      <c r="L305" s="23"/>
      <c r="M305" s="23"/>
      <c r="N305" s="23"/>
      <c r="O305" s="23"/>
      <c r="P305" s="23"/>
      <c r="Q305" s="23"/>
      <c r="R305" s="23"/>
      <c r="S305" s="23"/>
      <c r="T305" s="23"/>
      <c r="U305" s="23"/>
      <c r="V305" s="23"/>
      <c r="W305" s="23"/>
      <c r="X305" s="23"/>
      <c r="Y305" s="23"/>
      <c r="Z305" s="23"/>
    </row>
    <row r="306" customFormat="false" ht="15.75" hidden="false" customHeight="true" outlineLevel="0" collapsed="false">
      <c r="A306" s="23"/>
      <c r="B306" s="23"/>
      <c r="C306" s="23"/>
      <c r="D306" s="23"/>
      <c r="E306" s="23"/>
      <c r="F306" s="23"/>
      <c r="G306" s="23"/>
      <c r="H306" s="23"/>
      <c r="I306" s="57"/>
      <c r="J306" s="23"/>
      <c r="K306" s="23"/>
      <c r="L306" s="23"/>
      <c r="M306" s="23"/>
      <c r="N306" s="23"/>
      <c r="O306" s="23"/>
      <c r="P306" s="23"/>
      <c r="Q306" s="23"/>
      <c r="R306" s="23"/>
      <c r="S306" s="23"/>
      <c r="T306" s="23"/>
      <c r="U306" s="23"/>
      <c r="V306" s="23"/>
      <c r="W306" s="23"/>
      <c r="X306" s="23"/>
      <c r="Y306" s="23"/>
      <c r="Z306" s="23"/>
    </row>
    <row r="307" customFormat="false" ht="15.75" hidden="false" customHeight="true" outlineLevel="0" collapsed="false">
      <c r="A307" s="23"/>
      <c r="B307" s="23"/>
      <c r="C307" s="23"/>
      <c r="D307" s="23"/>
      <c r="E307" s="23"/>
      <c r="F307" s="23"/>
      <c r="G307" s="23"/>
      <c r="H307" s="23"/>
      <c r="I307" s="57"/>
      <c r="J307" s="23"/>
      <c r="K307" s="23"/>
      <c r="L307" s="23"/>
      <c r="M307" s="23"/>
      <c r="N307" s="23"/>
      <c r="O307" s="23"/>
      <c r="P307" s="23"/>
      <c r="Q307" s="23"/>
      <c r="R307" s="23"/>
      <c r="S307" s="23"/>
      <c r="T307" s="23"/>
      <c r="U307" s="23"/>
      <c r="V307" s="23"/>
      <c r="W307" s="23"/>
      <c r="X307" s="23"/>
      <c r="Y307" s="23"/>
      <c r="Z307" s="23"/>
    </row>
    <row r="308" customFormat="false" ht="15.75" hidden="false" customHeight="true" outlineLevel="0" collapsed="false">
      <c r="A308" s="23"/>
      <c r="B308" s="23"/>
      <c r="C308" s="23"/>
      <c r="D308" s="23"/>
      <c r="E308" s="23"/>
      <c r="F308" s="23"/>
      <c r="G308" s="23"/>
      <c r="H308" s="23"/>
      <c r="I308" s="57"/>
      <c r="J308" s="23"/>
      <c r="K308" s="23"/>
      <c r="L308" s="23"/>
      <c r="M308" s="23"/>
      <c r="N308" s="23"/>
      <c r="O308" s="23"/>
      <c r="P308" s="23"/>
      <c r="Q308" s="23"/>
      <c r="R308" s="23"/>
      <c r="S308" s="23"/>
      <c r="T308" s="23"/>
      <c r="U308" s="23"/>
      <c r="V308" s="23"/>
      <c r="W308" s="23"/>
      <c r="X308" s="23"/>
      <c r="Y308" s="23"/>
      <c r="Z308" s="23"/>
    </row>
    <row r="309" customFormat="false" ht="15.75" hidden="false" customHeight="true" outlineLevel="0" collapsed="false">
      <c r="A309" s="23"/>
      <c r="B309" s="23"/>
      <c r="C309" s="23"/>
      <c r="D309" s="23"/>
      <c r="E309" s="23"/>
      <c r="F309" s="23"/>
      <c r="G309" s="23"/>
      <c r="H309" s="23"/>
      <c r="I309" s="57"/>
      <c r="J309" s="23"/>
      <c r="K309" s="23"/>
      <c r="L309" s="23"/>
      <c r="M309" s="23"/>
      <c r="N309" s="23"/>
      <c r="O309" s="23"/>
      <c r="P309" s="23"/>
      <c r="Q309" s="23"/>
      <c r="R309" s="23"/>
      <c r="S309" s="23"/>
      <c r="T309" s="23"/>
      <c r="U309" s="23"/>
      <c r="V309" s="23"/>
      <c r="W309" s="23"/>
      <c r="X309" s="23"/>
      <c r="Y309" s="23"/>
      <c r="Z309" s="23"/>
    </row>
    <row r="310" customFormat="false" ht="15.75" hidden="false" customHeight="true" outlineLevel="0" collapsed="false">
      <c r="A310" s="23"/>
      <c r="B310" s="23"/>
      <c r="C310" s="23"/>
      <c r="D310" s="23"/>
      <c r="E310" s="23"/>
      <c r="F310" s="23"/>
      <c r="G310" s="23"/>
      <c r="H310" s="23"/>
      <c r="I310" s="57"/>
      <c r="J310" s="23"/>
      <c r="K310" s="23"/>
      <c r="L310" s="23"/>
      <c r="M310" s="23"/>
      <c r="N310" s="23"/>
      <c r="O310" s="23"/>
      <c r="P310" s="23"/>
      <c r="Q310" s="23"/>
      <c r="R310" s="23"/>
      <c r="S310" s="23"/>
      <c r="T310" s="23"/>
      <c r="U310" s="23"/>
      <c r="V310" s="23"/>
      <c r="W310" s="23"/>
      <c r="X310" s="23"/>
      <c r="Y310" s="23"/>
      <c r="Z310" s="23"/>
    </row>
    <row r="311" customFormat="false" ht="15.75" hidden="false" customHeight="true" outlineLevel="0" collapsed="false">
      <c r="A311" s="23"/>
      <c r="B311" s="23"/>
      <c r="C311" s="23"/>
      <c r="D311" s="23"/>
      <c r="E311" s="23"/>
      <c r="F311" s="23"/>
      <c r="G311" s="23"/>
      <c r="H311" s="23"/>
      <c r="I311" s="57"/>
      <c r="J311" s="23"/>
      <c r="K311" s="23"/>
      <c r="L311" s="23"/>
      <c r="M311" s="23"/>
      <c r="N311" s="23"/>
      <c r="O311" s="23"/>
      <c r="P311" s="23"/>
      <c r="Q311" s="23"/>
      <c r="R311" s="23"/>
      <c r="S311" s="23"/>
      <c r="T311" s="23"/>
      <c r="U311" s="23"/>
      <c r="V311" s="23"/>
      <c r="W311" s="23"/>
      <c r="X311" s="23"/>
      <c r="Y311" s="23"/>
      <c r="Z311" s="23"/>
    </row>
    <row r="312" customFormat="false" ht="15.75" hidden="false" customHeight="true" outlineLevel="0" collapsed="false">
      <c r="A312" s="23"/>
      <c r="B312" s="23"/>
      <c r="C312" s="23"/>
      <c r="D312" s="23"/>
      <c r="E312" s="23"/>
      <c r="F312" s="23"/>
      <c r="G312" s="23"/>
      <c r="H312" s="23"/>
      <c r="I312" s="57"/>
      <c r="J312" s="23"/>
      <c r="K312" s="23"/>
      <c r="L312" s="23"/>
      <c r="M312" s="23"/>
      <c r="N312" s="23"/>
      <c r="O312" s="23"/>
      <c r="P312" s="23"/>
      <c r="Q312" s="23"/>
      <c r="R312" s="23"/>
      <c r="S312" s="23"/>
      <c r="T312" s="23"/>
      <c r="U312" s="23"/>
      <c r="V312" s="23"/>
      <c r="W312" s="23"/>
      <c r="X312" s="23"/>
      <c r="Y312" s="23"/>
      <c r="Z312" s="23"/>
    </row>
    <row r="313" customFormat="false" ht="15.75" hidden="false" customHeight="true" outlineLevel="0" collapsed="false">
      <c r="A313" s="23"/>
      <c r="B313" s="23"/>
      <c r="C313" s="23"/>
      <c r="D313" s="23"/>
      <c r="E313" s="23"/>
      <c r="F313" s="23"/>
      <c r="G313" s="23"/>
      <c r="H313" s="23"/>
      <c r="I313" s="57"/>
      <c r="J313" s="23"/>
      <c r="K313" s="23"/>
      <c r="L313" s="23"/>
      <c r="M313" s="23"/>
      <c r="N313" s="23"/>
      <c r="O313" s="23"/>
      <c r="P313" s="23"/>
      <c r="Q313" s="23"/>
      <c r="R313" s="23"/>
      <c r="S313" s="23"/>
      <c r="T313" s="23"/>
      <c r="U313" s="23"/>
      <c r="V313" s="23"/>
      <c r="W313" s="23"/>
      <c r="X313" s="23"/>
      <c r="Y313" s="23"/>
      <c r="Z313" s="23"/>
    </row>
    <row r="314" customFormat="false" ht="15.75" hidden="false" customHeight="true" outlineLevel="0" collapsed="false">
      <c r="A314" s="23"/>
      <c r="B314" s="23"/>
      <c r="C314" s="23"/>
      <c r="D314" s="23"/>
      <c r="E314" s="23"/>
      <c r="F314" s="23"/>
      <c r="G314" s="23"/>
      <c r="H314" s="23"/>
      <c r="I314" s="57"/>
      <c r="J314" s="23"/>
      <c r="K314" s="23"/>
      <c r="L314" s="23"/>
      <c r="M314" s="23"/>
      <c r="N314" s="23"/>
      <c r="O314" s="23"/>
      <c r="P314" s="23"/>
      <c r="Q314" s="23"/>
      <c r="R314" s="23"/>
      <c r="S314" s="23"/>
      <c r="T314" s="23"/>
      <c r="U314" s="23"/>
      <c r="V314" s="23"/>
      <c r="W314" s="23"/>
      <c r="X314" s="23"/>
      <c r="Y314" s="23"/>
      <c r="Z314" s="23"/>
    </row>
    <row r="315" customFormat="false" ht="15.75" hidden="false" customHeight="true" outlineLevel="0" collapsed="false">
      <c r="A315" s="23"/>
      <c r="B315" s="23"/>
      <c r="C315" s="23"/>
      <c r="D315" s="23"/>
      <c r="E315" s="23"/>
      <c r="F315" s="23"/>
      <c r="G315" s="23"/>
      <c r="H315" s="23"/>
      <c r="I315" s="57"/>
      <c r="J315" s="23"/>
      <c r="K315" s="23"/>
      <c r="L315" s="23"/>
      <c r="M315" s="23"/>
      <c r="N315" s="23"/>
      <c r="O315" s="23"/>
      <c r="P315" s="23"/>
      <c r="Q315" s="23"/>
      <c r="R315" s="23"/>
      <c r="S315" s="23"/>
      <c r="T315" s="23"/>
      <c r="U315" s="23"/>
      <c r="V315" s="23"/>
      <c r="W315" s="23"/>
      <c r="X315" s="23"/>
      <c r="Y315" s="23"/>
      <c r="Z315" s="23"/>
    </row>
    <row r="316" customFormat="false" ht="15.75" hidden="false" customHeight="true" outlineLevel="0" collapsed="false">
      <c r="A316" s="23"/>
      <c r="B316" s="23"/>
      <c r="C316" s="23"/>
      <c r="D316" s="23"/>
      <c r="E316" s="23"/>
      <c r="F316" s="23"/>
      <c r="G316" s="23"/>
      <c r="H316" s="23"/>
      <c r="I316" s="57"/>
      <c r="J316" s="23"/>
      <c r="K316" s="23"/>
      <c r="L316" s="23"/>
      <c r="M316" s="23"/>
      <c r="N316" s="23"/>
      <c r="O316" s="23"/>
      <c r="P316" s="23"/>
      <c r="Q316" s="23"/>
      <c r="R316" s="23"/>
      <c r="S316" s="23"/>
      <c r="T316" s="23"/>
      <c r="U316" s="23"/>
      <c r="V316" s="23"/>
      <c r="W316" s="23"/>
      <c r="X316" s="23"/>
      <c r="Y316" s="23"/>
      <c r="Z316" s="23"/>
    </row>
    <row r="317" customFormat="false" ht="15.75" hidden="false" customHeight="true" outlineLevel="0" collapsed="false">
      <c r="A317" s="23"/>
      <c r="B317" s="23"/>
      <c r="C317" s="23"/>
      <c r="D317" s="23"/>
      <c r="E317" s="23"/>
      <c r="F317" s="23"/>
      <c r="G317" s="23"/>
      <c r="H317" s="23"/>
      <c r="I317" s="57"/>
      <c r="J317" s="23"/>
      <c r="K317" s="23"/>
      <c r="L317" s="23"/>
      <c r="M317" s="23"/>
      <c r="N317" s="23"/>
      <c r="O317" s="23"/>
      <c r="P317" s="23"/>
      <c r="Q317" s="23"/>
      <c r="R317" s="23"/>
      <c r="S317" s="23"/>
      <c r="T317" s="23"/>
      <c r="U317" s="23"/>
      <c r="V317" s="23"/>
      <c r="W317" s="23"/>
      <c r="X317" s="23"/>
      <c r="Y317" s="23"/>
      <c r="Z317" s="23"/>
    </row>
    <row r="318" customFormat="false" ht="15.75" hidden="false" customHeight="true" outlineLevel="0" collapsed="false">
      <c r="A318" s="23"/>
      <c r="B318" s="23"/>
      <c r="C318" s="23"/>
      <c r="D318" s="23"/>
      <c r="E318" s="23"/>
      <c r="F318" s="23"/>
      <c r="G318" s="23"/>
      <c r="H318" s="23"/>
      <c r="I318" s="57"/>
      <c r="J318" s="23"/>
      <c r="K318" s="23"/>
      <c r="L318" s="23"/>
      <c r="M318" s="23"/>
      <c r="N318" s="23"/>
      <c r="O318" s="23"/>
      <c r="P318" s="23"/>
      <c r="Q318" s="23"/>
      <c r="R318" s="23"/>
      <c r="S318" s="23"/>
      <c r="T318" s="23"/>
      <c r="U318" s="23"/>
      <c r="V318" s="23"/>
      <c r="W318" s="23"/>
      <c r="X318" s="23"/>
      <c r="Y318" s="23"/>
      <c r="Z318" s="23"/>
    </row>
    <row r="319" customFormat="false" ht="15.75" hidden="false" customHeight="true" outlineLevel="0" collapsed="false">
      <c r="A319" s="23"/>
      <c r="B319" s="23"/>
      <c r="C319" s="23"/>
      <c r="D319" s="23"/>
      <c r="E319" s="23"/>
      <c r="F319" s="23"/>
      <c r="G319" s="23"/>
      <c r="H319" s="23"/>
      <c r="I319" s="57"/>
      <c r="J319" s="23"/>
      <c r="K319" s="23"/>
      <c r="L319" s="23"/>
      <c r="M319" s="23"/>
      <c r="N319" s="23"/>
      <c r="O319" s="23"/>
      <c r="P319" s="23"/>
      <c r="Q319" s="23"/>
      <c r="R319" s="23"/>
      <c r="S319" s="23"/>
      <c r="T319" s="23"/>
      <c r="U319" s="23"/>
      <c r="V319" s="23"/>
      <c r="W319" s="23"/>
      <c r="X319" s="23"/>
      <c r="Y319" s="23"/>
      <c r="Z319" s="23"/>
    </row>
    <row r="320" customFormat="false" ht="15.75" hidden="false" customHeight="true" outlineLevel="0" collapsed="false">
      <c r="A320" s="23"/>
      <c r="B320" s="23"/>
      <c r="C320" s="23"/>
      <c r="D320" s="23"/>
      <c r="E320" s="23"/>
      <c r="F320" s="23"/>
      <c r="G320" s="23"/>
      <c r="H320" s="23"/>
      <c r="I320" s="57"/>
      <c r="J320" s="23"/>
      <c r="K320" s="23"/>
      <c r="L320" s="23"/>
      <c r="M320" s="23"/>
      <c r="N320" s="23"/>
      <c r="O320" s="23"/>
      <c r="P320" s="23"/>
      <c r="Q320" s="23"/>
      <c r="R320" s="23"/>
      <c r="S320" s="23"/>
      <c r="T320" s="23"/>
      <c r="U320" s="23"/>
      <c r="V320" s="23"/>
      <c r="W320" s="23"/>
      <c r="X320" s="23"/>
      <c r="Y320" s="23"/>
      <c r="Z320" s="23"/>
    </row>
    <row r="321" customFormat="false" ht="15.75" hidden="false" customHeight="true" outlineLevel="0" collapsed="false">
      <c r="A321" s="23"/>
      <c r="B321" s="23"/>
      <c r="C321" s="23"/>
      <c r="D321" s="23"/>
      <c r="E321" s="23"/>
      <c r="F321" s="23"/>
      <c r="G321" s="23"/>
      <c r="H321" s="23"/>
      <c r="I321" s="57"/>
      <c r="J321" s="23"/>
      <c r="K321" s="23"/>
      <c r="L321" s="23"/>
      <c r="M321" s="23"/>
      <c r="N321" s="23"/>
      <c r="O321" s="23"/>
      <c r="P321" s="23"/>
      <c r="Q321" s="23"/>
      <c r="R321" s="23"/>
      <c r="S321" s="23"/>
      <c r="T321" s="23"/>
      <c r="U321" s="23"/>
      <c r="V321" s="23"/>
      <c r="W321" s="23"/>
      <c r="X321" s="23"/>
      <c r="Y321" s="23"/>
      <c r="Z321" s="23"/>
    </row>
    <row r="322" customFormat="false" ht="15.75" hidden="false" customHeight="true" outlineLevel="0" collapsed="false">
      <c r="A322" s="23"/>
      <c r="B322" s="23"/>
      <c r="C322" s="23"/>
      <c r="D322" s="23"/>
      <c r="E322" s="23"/>
      <c r="F322" s="23"/>
      <c r="G322" s="23"/>
      <c r="H322" s="23"/>
      <c r="I322" s="57"/>
      <c r="J322" s="23"/>
      <c r="K322" s="23"/>
      <c r="L322" s="23"/>
      <c r="M322" s="23"/>
      <c r="N322" s="23"/>
      <c r="O322" s="23"/>
      <c r="P322" s="23"/>
      <c r="Q322" s="23"/>
      <c r="R322" s="23"/>
      <c r="S322" s="23"/>
      <c r="T322" s="23"/>
      <c r="U322" s="23"/>
      <c r="V322" s="23"/>
      <c r="W322" s="23"/>
      <c r="X322" s="23"/>
      <c r="Y322" s="23"/>
      <c r="Z322" s="23"/>
    </row>
    <row r="323" customFormat="false" ht="15.75" hidden="false" customHeight="true" outlineLevel="0" collapsed="false">
      <c r="A323" s="23"/>
      <c r="B323" s="23"/>
      <c r="C323" s="23"/>
      <c r="D323" s="23"/>
      <c r="E323" s="23"/>
      <c r="F323" s="23"/>
      <c r="G323" s="23"/>
      <c r="H323" s="23"/>
      <c r="I323" s="57"/>
      <c r="J323" s="23"/>
      <c r="K323" s="23"/>
      <c r="L323" s="23"/>
      <c r="M323" s="23"/>
      <c r="N323" s="23"/>
      <c r="O323" s="23"/>
      <c r="P323" s="23"/>
      <c r="Q323" s="23"/>
      <c r="R323" s="23"/>
      <c r="S323" s="23"/>
      <c r="T323" s="23"/>
      <c r="U323" s="23"/>
      <c r="V323" s="23"/>
      <c r="W323" s="23"/>
      <c r="X323" s="23"/>
      <c r="Y323" s="23"/>
      <c r="Z323" s="23"/>
    </row>
    <row r="324" customFormat="false" ht="15.75" hidden="false" customHeight="true" outlineLevel="0" collapsed="false">
      <c r="A324" s="23"/>
      <c r="B324" s="23"/>
      <c r="C324" s="23"/>
      <c r="D324" s="23"/>
      <c r="E324" s="23"/>
      <c r="F324" s="23"/>
      <c r="G324" s="23"/>
      <c r="H324" s="23"/>
      <c r="I324" s="57"/>
      <c r="J324" s="23"/>
      <c r="K324" s="23"/>
      <c r="L324" s="23"/>
      <c r="M324" s="23"/>
      <c r="N324" s="23"/>
      <c r="O324" s="23"/>
      <c r="P324" s="23"/>
      <c r="Q324" s="23"/>
      <c r="R324" s="23"/>
      <c r="S324" s="23"/>
      <c r="T324" s="23"/>
      <c r="U324" s="23"/>
      <c r="V324" s="23"/>
      <c r="W324" s="23"/>
      <c r="X324" s="23"/>
      <c r="Y324" s="23"/>
      <c r="Z324" s="23"/>
    </row>
    <row r="325" customFormat="false" ht="15.75" hidden="false" customHeight="true" outlineLevel="0" collapsed="false">
      <c r="A325" s="23"/>
      <c r="B325" s="23"/>
      <c r="C325" s="23"/>
      <c r="D325" s="23"/>
      <c r="E325" s="23"/>
      <c r="F325" s="23"/>
      <c r="G325" s="23"/>
      <c r="H325" s="23"/>
      <c r="I325" s="57"/>
      <c r="J325" s="23"/>
      <c r="K325" s="23"/>
      <c r="L325" s="23"/>
      <c r="M325" s="23"/>
      <c r="N325" s="23"/>
      <c r="O325" s="23"/>
      <c r="P325" s="23"/>
      <c r="Q325" s="23"/>
      <c r="R325" s="23"/>
      <c r="S325" s="23"/>
      <c r="T325" s="23"/>
      <c r="U325" s="23"/>
      <c r="V325" s="23"/>
      <c r="W325" s="23"/>
      <c r="X325" s="23"/>
      <c r="Y325" s="23"/>
      <c r="Z325" s="23"/>
    </row>
    <row r="326" customFormat="false" ht="15.75" hidden="false" customHeight="true" outlineLevel="0" collapsed="false">
      <c r="A326" s="23"/>
      <c r="B326" s="23"/>
      <c r="C326" s="23"/>
      <c r="D326" s="23"/>
      <c r="E326" s="23"/>
      <c r="F326" s="23"/>
      <c r="G326" s="23"/>
      <c r="H326" s="23"/>
      <c r="I326" s="57"/>
      <c r="J326" s="23"/>
      <c r="K326" s="23"/>
      <c r="L326" s="23"/>
      <c r="M326" s="23"/>
      <c r="N326" s="23"/>
      <c r="O326" s="23"/>
      <c r="P326" s="23"/>
      <c r="Q326" s="23"/>
      <c r="R326" s="23"/>
      <c r="S326" s="23"/>
      <c r="T326" s="23"/>
      <c r="U326" s="23"/>
      <c r="V326" s="23"/>
      <c r="W326" s="23"/>
      <c r="X326" s="23"/>
      <c r="Y326" s="23"/>
      <c r="Z326" s="23"/>
    </row>
    <row r="327" customFormat="false" ht="15.75" hidden="false" customHeight="true" outlineLevel="0" collapsed="false">
      <c r="A327" s="23"/>
      <c r="B327" s="23"/>
      <c r="C327" s="23"/>
      <c r="D327" s="23"/>
      <c r="E327" s="23"/>
      <c r="F327" s="23"/>
      <c r="G327" s="23"/>
      <c r="H327" s="23"/>
      <c r="I327" s="57"/>
      <c r="J327" s="23"/>
      <c r="K327" s="23"/>
      <c r="L327" s="23"/>
      <c r="M327" s="23"/>
      <c r="N327" s="23"/>
      <c r="O327" s="23"/>
      <c r="P327" s="23"/>
      <c r="Q327" s="23"/>
      <c r="R327" s="23"/>
      <c r="S327" s="23"/>
      <c r="T327" s="23"/>
      <c r="U327" s="23"/>
      <c r="V327" s="23"/>
      <c r="W327" s="23"/>
      <c r="X327" s="23"/>
      <c r="Y327" s="23"/>
      <c r="Z327" s="23"/>
    </row>
    <row r="328" customFormat="false" ht="15.75" hidden="false" customHeight="true" outlineLevel="0" collapsed="false">
      <c r="A328" s="23"/>
      <c r="B328" s="23"/>
      <c r="C328" s="23"/>
      <c r="D328" s="23"/>
      <c r="E328" s="23"/>
      <c r="F328" s="23"/>
      <c r="G328" s="23"/>
      <c r="H328" s="23"/>
      <c r="I328" s="57"/>
      <c r="J328" s="23"/>
      <c r="K328" s="23"/>
      <c r="L328" s="23"/>
      <c r="M328" s="23"/>
      <c r="N328" s="23"/>
      <c r="O328" s="23"/>
      <c r="P328" s="23"/>
      <c r="Q328" s="23"/>
      <c r="R328" s="23"/>
      <c r="S328" s="23"/>
      <c r="T328" s="23"/>
      <c r="U328" s="23"/>
      <c r="V328" s="23"/>
      <c r="W328" s="23"/>
      <c r="X328" s="23"/>
      <c r="Y328" s="23"/>
      <c r="Z328" s="23"/>
    </row>
    <row r="329" customFormat="false" ht="15.75" hidden="false" customHeight="true" outlineLevel="0" collapsed="false">
      <c r="A329" s="23"/>
      <c r="B329" s="23"/>
      <c r="C329" s="23"/>
      <c r="D329" s="23"/>
      <c r="E329" s="23"/>
      <c r="F329" s="23"/>
      <c r="G329" s="23"/>
      <c r="H329" s="23"/>
      <c r="I329" s="57"/>
      <c r="J329" s="23"/>
      <c r="K329" s="23"/>
      <c r="L329" s="23"/>
      <c r="M329" s="23"/>
      <c r="N329" s="23"/>
      <c r="O329" s="23"/>
      <c r="P329" s="23"/>
      <c r="Q329" s="23"/>
      <c r="R329" s="23"/>
      <c r="S329" s="23"/>
      <c r="T329" s="23"/>
      <c r="U329" s="23"/>
      <c r="V329" s="23"/>
      <c r="W329" s="23"/>
      <c r="X329" s="23"/>
      <c r="Y329" s="23"/>
      <c r="Z329" s="23"/>
    </row>
    <row r="330" customFormat="false" ht="15.75" hidden="false" customHeight="true" outlineLevel="0" collapsed="false">
      <c r="A330" s="23"/>
      <c r="B330" s="23"/>
      <c r="C330" s="23"/>
      <c r="D330" s="23"/>
      <c r="E330" s="23"/>
      <c r="F330" s="23"/>
      <c r="G330" s="23"/>
      <c r="H330" s="23"/>
      <c r="I330" s="57"/>
      <c r="J330" s="23"/>
      <c r="K330" s="23"/>
      <c r="L330" s="23"/>
      <c r="M330" s="23"/>
      <c r="N330" s="23"/>
      <c r="O330" s="23"/>
      <c r="P330" s="23"/>
      <c r="Q330" s="23"/>
      <c r="R330" s="23"/>
      <c r="S330" s="23"/>
      <c r="T330" s="23"/>
      <c r="U330" s="23"/>
      <c r="V330" s="23"/>
      <c r="W330" s="23"/>
      <c r="X330" s="23"/>
      <c r="Y330" s="23"/>
      <c r="Z330" s="23"/>
    </row>
    <row r="331" customFormat="false" ht="15.75" hidden="false" customHeight="true" outlineLevel="0" collapsed="false">
      <c r="A331" s="23"/>
      <c r="B331" s="23"/>
      <c r="C331" s="23"/>
      <c r="D331" s="23"/>
      <c r="E331" s="23"/>
      <c r="F331" s="23"/>
      <c r="G331" s="23"/>
      <c r="H331" s="23"/>
      <c r="I331" s="57"/>
      <c r="J331" s="23"/>
      <c r="K331" s="23"/>
      <c r="L331" s="23"/>
      <c r="M331" s="23"/>
      <c r="N331" s="23"/>
      <c r="O331" s="23"/>
      <c r="P331" s="23"/>
      <c r="Q331" s="23"/>
      <c r="R331" s="23"/>
      <c r="S331" s="23"/>
      <c r="T331" s="23"/>
      <c r="U331" s="23"/>
      <c r="V331" s="23"/>
      <c r="W331" s="23"/>
      <c r="X331" s="23"/>
      <c r="Y331" s="23"/>
      <c r="Z331" s="23"/>
    </row>
    <row r="332" customFormat="false" ht="15.75" hidden="false" customHeight="true" outlineLevel="0" collapsed="false">
      <c r="A332" s="23"/>
      <c r="B332" s="23"/>
      <c r="C332" s="23"/>
      <c r="D332" s="23"/>
      <c r="E332" s="23"/>
      <c r="F332" s="23"/>
      <c r="G332" s="23"/>
      <c r="H332" s="23"/>
      <c r="I332" s="57"/>
      <c r="J332" s="23"/>
      <c r="K332" s="23"/>
      <c r="L332" s="23"/>
      <c r="M332" s="23"/>
      <c r="N332" s="23"/>
      <c r="O332" s="23"/>
      <c r="P332" s="23"/>
      <c r="Q332" s="23"/>
      <c r="R332" s="23"/>
      <c r="S332" s="23"/>
      <c r="T332" s="23"/>
      <c r="U332" s="23"/>
      <c r="V332" s="23"/>
      <c r="W332" s="23"/>
      <c r="X332" s="23"/>
      <c r="Y332" s="23"/>
      <c r="Z332" s="23"/>
    </row>
    <row r="333" customFormat="false" ht="15.75" hidden="false" customHeight="true" outlineLevel="0" collapsed="false">
      <c r="A333" s="23"/>
      <c r="B333" s="23"/>
      <c r="C333" s="23"/>
      <c r="D333" s="23"/>
      <c r="E333" s="23"/>
      <c r="F333" s="23"/>
      <c r="G333" s="23"/>
      <c r="H333" s="23"/>
      <c r="I333" s="57"/>
      <c r="J333" s="23"/>
      <c r="K333" s="23"/>
      <c r="L333" s="23"/>
      <c r="M333" s="23"/>
      <c r="N333" s="23"/>
      <c r="O333" s="23"/>
      <c r="P333" s="23"/>
      <c r="Q333" s="23"/>
      <c r="R333" s="23"/>
      <c r="S333" s="23"/>
      <c r="T333" s="23"/>
      <c r="U333" s="23"/>
      <c r="V333" s="23"/>
      <c r="W333" s="23"/>
      <c r="X333" s="23"/>
      <c r="Y333" s="23"/>
      <c r="Z333" s="23"/>
    </row>
    <row r="334" customFormat="false" ht="15.75" hidden="false" customHeight="true" outlineLevel="0" collapsed="false">
      <c r="A334" s="23"/>
      <c r="B334" s="23"/>
      <c r="C334" s="23"/>
      <c r="D334" s="23"/>
      <c r="E334" s="23"/>
      <c r="F334" s="23"/>
      <c r="G334" s="23"/>
      <c r="H334" s="23"/>
      <c r="I334" s="57"/>
      <c r="J334" s="23"/>
      <c r="K334" s="23"/>
      <c r="L334" s="23"/>
      <c r="M334" s="23"/>
      <c r="N334" s="23"/>
      <c r="O334" s="23"/>
      <c r="P334" s="23"/>
      <c r="Q334" s="23"/>
      <c r="R334" s="23"/>
      <c r="S334" s="23"/>
      <c r="T334" s="23"/>
      <c r="U334" s="23"/>
      <c r="V334" s="23"/>
      <c r="W334" s="23"/>
      <c r="X334" s="23"/>
      <c r="Y334" s="23"/>
      <c r="Z334" s="23"/>
    </row>
    <row r="335" customFormat="false" ht="15.75" hidden="false" customHeight="true" outlineLevel="0" collapsed="false">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ustomFormat="false" ht="15.75" hidden="false" customHeight="true" outlineLevel="0" collapsed="false">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ustomFormat="false" ht="15.75" hidden="false" customHeight="true" outlineLevel="0" collapsed="false">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ustomFormat="false" ht="15.75" hidden="false" customHeight="true" outlineLevel="0" collapsed="false">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ustomFormat="false" ht="15.75" hidden="false" customHeight="true" outlineLevel="0" collapsed="false">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ustomFormat="false" ht="15.75" hidden="false" customHeight="true" outlineLevel="0" collapsed="false">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ustomFormat="false" ht="15.75" hidden="false" customHeight="true" outlineLevel="0" collapsed="false">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ustomFormat="false" ht="15.75" hidden="false" customHeight="true" outlineLevel="0" collapsed="false">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ustomFormat="false" ht="15.75" hidden="false" customHeight="true" outlineLevel="0" collapsed="false">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ustomFormat="false" ht="15.75" hidden="false" customHeight="true" outlineLevel="0" collapsed="false">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ustomFormat="false" ht="15.75" hidden="false" customHeight="true" outlineLevel="0" collapsed="false">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ustomFormat="false" ht="15.75" hidden="false" customHeight="true" outlineLevel="0" collapsed="false">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ustomFormat="false" ht="15.75" hidden="false" customHeight="true" outlineLevel="0" collapsed="false">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ustomFormat="false" ht="15.75" hidden="false" customHeight="true" outlineLevel="0" collapsed="false">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ustomFormat="false" ht="15.75" hidden="false" customHeight="true" outlineLevel="0" collapsed="false">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ustomFormat="false" ht="15.75" hidden="false" customHeight="true" outlineLevel="0" collapsed="false">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ustomFormat="false" ht="15.75" hidden="false" customHeight="true" outlineLevel="0" collapsed="false">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ustomFormat="false" ht="15.75" hidden="false" customHeight="true" outlineLevel="0" collapsed="false">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ustomFormat="false" ht="15.75" hidden="false" customHeight="true" outlineLevel="0" collapsed="false">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ustomFormat="false" ht="15.75" hidden="false" customHeight="true" outlineLevel="0" collapsed="false">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ustomFormat="false" ht="15.75" hidden="false" customHeight="true" outlineLevel="0" collapsed="false">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ustomFormat="false" ht="15.75" hidden="false" customHeight="true" outlineLevel="0" collapsed="false">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ustomFormat="false" ht="15.75" hidden="false" customHeight="true" outlineLevel="0" collapsed="false">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ustomFormat="false" ht="15.75" hidden="false" customHeight="true" outlineLevel="0" collapsed="false">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ustomFormat="false" ht="15.75" hidden="false" customHeight="true" outlineLevel="0" collapsed="false">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ustomFormat="false" ht="15.75" hidden="false" customHeight="true" outlineLevel="0" collapsed="false">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ustomFormat="false" ht="15.75" hidden="false" customHeight="true" outlineLevel="0" collapsed="false">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ustomFormat="false" ht="15.75" hidden="false" customHeight="true" outlineLevel="0" collapsed="false">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ustomFormat="false" ht="15.75" hidden="false" customHeight="true" outlineLevel="0" collapsed="false">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ustomFormat="false" ht="15.75" hidden="false" customHeight="true" outlineLevel="0" collapsed="false">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ustomFormat="false" ht="15.75" hidden="false" customHeight="true" outlineLevel="0" collapsed="false">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ustomFormat="false" ht="15.75" hidden="false" customHeight="true" outlineLevel="0" collapsed="false">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ustomFormat="false" ht="15.75" hidden="false" customHeight="true" outlineLevel="0" collapsed="false">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ustomFormat="false" ht="15.75" hidden="false" customHeight="true" outlineLevel="0" collapsed="false">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ustomFormat="false" ht="15.75" hidden="false" customHeight="true" outlineLevel="0" collapsed="false">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ustomFormat="false" ht="15.75" hidden="false" customHeight="true" outlineLevel="0" collapsed="false">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ustomFormat="false" ht="15.75" hidden="false" customHeight="true" outlineLevel="0" collapsed="false">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ustomFormat="false" ht="15.75" hidden="false" customHeight="true" outlineLevel="0" collapsed="false">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ustomFormat="false" ht="15.75" hidden="false" customHeight="true" outlineLevel="0" collapsed="false">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ustomFormat="false" ht="15.75" hidden="false" customHeight="true" outlineLevel="0" collapsed="false">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ustomFormat="false" ht="15.75" hidden="false" customHeight="true" outlineLevel="0" collapsed="false">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ustomFormat="false" ht="15.75" hidden="false" customHeight="true" outlineLevel="0" collapsed="false">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ustomFormat="false" ht="15.75" hidden="false" customHeight="true" outlineLevel="0" collapsed="false">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ustomFormat="false" ht="15.75" hidden="false" customHeight="true" outlineLevel="0" collapsed="false">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ustomFormat="false" ht="15.75" hidden="false" customHeight="true" outlineLevel="0" collapsed="false">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ustomFormat="false" ht="15.75" hidden="false" customHeight="true" outlineLevel="0" collapsed="false">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ustomFormat="false" ht="15.75" hidden="false" customHeight="true" outlineLevel="0" collapsed="false">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ustomFormat="false" ht="15.75" hidden="false" customHeight="true" outlineLevel="0" collapsed="false">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ustomFormat="false" ht="15.75" hidden="false" customHeight="true" outlineLevel="0" collapsed="false">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ustomFormat="false" ht="15.75" hidden="false" customHeight="true" outlineLevel="0" collapsed="false">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ustomFormat="false" ht="15.75" hidden="false" customHeight="true" outlineLevel="0" collapsed="false">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ustomFormat="false" ht="15.75" hidden="false" customHeight="true" outlineLevel="0" collapsed="false">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ustomFormat="false" ht="15.75" hidden="false" customHeight="true" outlineLevel="0" collapsed="false">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ustomFormat="false" ht="15.75" hidden="false" customHeight="true" outlineLevel="0" collapsed="false">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ustomFormat="false" ht="15.75" hidden="false" customHeight="true" outlineLevel="0" collapsed="false">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ustomFormat="false" ht="15.75" hidden="false" customHeight="true" outlineLevel="0" collapsed="false">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ustomFormat="false" ht="15.75" hidden="false" customHeight="true" outlineLevel="0" collapsed="false">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ustomFormat="false" ht="15.75" hidden="false" customHeight="true" outlineLevel="0" collapsed="false">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ustomFormat="false" ht="15.75" hidden="false" customHeight="true" outlineLevel="0" collapsed="false">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ustomFormat="false" ht="15.75" hidden="false" customHeight="true" outlineLevel="0" collapsed="false">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ustomFormat="false" ht="15.75" hidden="false" customHeight="true" outlineLevel="0" collapsed="false">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ustomFormat="false" ht="15.75" hidden="false" customHeight="true" outlineLevel="0" collapsed="false">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ustomFormat="false" ht="15.75" hidden="false" customHeight="true" outlineLevel="0" collapsed="false">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ustomFormat="false" ht="15.75" hidden="false" customHeight="true" outlineLevel="0" collapsed="false">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ustomFormat="false" ht="15.75" hidden="false" customHeight="true" outlineLevel="0" collapsed="false">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ustomFormat="false" ht="15.75" hidden="false" customHeight="true" outlineLevel="0" collapsed="false">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ustomFormat="false" ht="15.75" hidden="false" customHeight="true" outlineLevel="0" collapsed="false">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ustomFormat="false" ht="15.75" hidden="false" customHeight="true" outlineLevel="0" collapsed="false">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ustomFormat="false" ht="15.75" hidden="false" customHeight="true" outlineLevel="0" collapsed="false">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ustomFormat="false" ht="15.75" hidden="false" customHeight="true" outlineLevel="0" collapsed="false">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ustomFormat="false" ht="15.75" hidden="false" customHeight="true" outlineLevel="0" collapsed="false">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ustomFormat="false" ht="15.75" hidden="false" customHeight="true" outlineLevel="0" collapsed="false">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ustomFormat="false" ht="15.75" hidden="false" customHeight="true" outlineLevel="0" collapsed="false">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ustomFormat="false" ht="15.75" hidden="false" customHeight="true" outlineLevel="0" collapsed="false">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ustomFormat="false" ht="15.75" hidden="false" customHeight="true" outlineLevel="0" collapsed="false">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ustomFormat="false" ht="15.75" hidden="false" customHeight="true" outlineLevel="0" collapsed="false">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ustomFormat="false" ht="15.75" hidden="false" customHeight="true" outlineLevel="0" collapsed="false">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ustomFormat="false" ht="15.75" hidden="false" customHeight="true" outlineLevel="0" collapsed="false">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ustomFormat="false" ht="15.75" hidden="false" customHeight="true" outlineLevel="0" collapsed="false">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ustomFormat="false" ht="15.75" hidden="false" customHeight="true" outlineLevel="0" collapsed="false">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ustomFormat="false" ht="15.75" hidden="false" customHeight="true" outlineLevel="0" collapsed="false">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ustomFormat="false" ht="15.75" hidden="false" customHeight="true" outlineLevel="0" collapsed="false">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ustomFormat="false" ht="15.75" hidden="false" customHeight="true" outlineLevel="0" collapsed="false">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ustomFormat="false" ht="15.75" hidden="false" customHeight="true" outlineLevel="0" collapsed="false">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ustomFormat="false" ht="15.75" hidden="false" customHeight="true" outlineLevel="0" collapsed="false">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ustomFormat="false" ht="15.75" hidden="false" customHeight="true" outlineLevel="0" collapsed="false">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ustomFormat="false" ht="15.75" hidden="false" customHeight="true" outlineLevel="0" collapsed="false">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ustomFormat="false" ht="15.75" hidden="false" customHeight="true" outlineLevel="0" collapsed="false">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ustomFormat="false" ht="15.75" hidden="false" customHeight="true" outlineLevel="0" collapsed="false">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ustomFormat="false" ht="15.75" hidden="false" customHeight="true" outlineLevel="0" collapsed="false">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ustomFormat="false" ht="15.75" hidden="false" customHeight="true" outlineLevel="0" collapsed="false">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ustomFormat="false" ht="15.75" hidden="false" customHeight="true" outlineLevel="0" collapsed="false">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ustomFormat="false" ht="15.75" hidden="false" customHeight="true" outlineLevel="0" collapsed="false">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ustomFormat="false" ht="15.75" hidden="false" customHeight="true" outlineLevel="0" collapsed="false">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ustomFormat="false" ht="15.75" hidden="false" customHeight="true" outlineLevel="0" collapsed="false">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ustomFormat="false" ht="15.75" hidden="false" customHeight="true" outlineLevel="0" collapsed="false">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ustomFormat="false" ht="15.75" hidden="false" customHeight="true" outlineLevel="0" collapsed="false">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ustomFormat="false" ht="15.75" hidden="false" customHeight="true" outlineLevel="0" collapsed="false">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ustomFormat="false" ht="15.75" hidden="false" customHeight="true" outlineLevel="0" collapsed="false">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ustomFormat="false" ht="15.75" hidden="false" customHeight="true" outlineLevel="0" collapsed="false">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ustomFormat="false" ht="15.75" hidden="false" customHeight="true" outlineLevel="0" collapsed="false">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ustomFormat="false" ht="15.75" hidden="false" customHeight="true" outlineLevel="0" collapsed="false">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ustomFormat="false" ht="15.75" hidden="false" customHeight="true" outlineLevel="0" collapsed="false">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ustomFormat="false" ht="15.75" hidden="false" customHeight="true" outlineLevel="0" collapsed="false">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ustomFormat="false" ht="15.75" hidden="false" customHeight="true" outlineLevel="0" collapsed="false">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ustomFormat="false" ht="15.75" hidden="false" customHeight="true" outlineLevel="0" collapsed="false">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ustomFormat="false" ht="15.75" hidden="false" customHeight="true" outlineLevel="0" collapsed="false">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ustomFormat="false" ht="15.75" hidden="false" customHeight="true" outlineLevel="0" collapsed="false">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ustomFormat="false" ht="15.75" hidden="false" customHeight="true" outlineLevel="0" collapsed="false">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ustomFormat="false" ht="15.75" hidden="false" customHeight="true" outlineLevel="0" collapsed="false">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ustomFormat="false" ht="15.75" hidden="false" customHeight="true" outlineLevel="0" collapsed="false">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ustomFormat="false" ht="15.75" hidden="false" customHeight="true" outlineLevel="0" collapsed="false">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ustomFormat="false" ht="15.75" hidden="false" customHeight="true" outlineLevel="0" collapsed="false">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ustomFormat="false" ht="15.75" hidden="false" customHeight="true" outlineLevel="0" collapsed="false">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ustomFormat="false" ht="15.75" hidden="false" customHeight="true" outlineLevel="0" collapsed="false">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ustomFormat="false" ht="15.75" hidden="false" customHeight="true" outlineLevel="0" collapsed="false">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ustomFormat="false" ht="15.75" hidden="false" customHeight="true" outlineLevel="0" collapsed="false">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ustomFormat="false" ht="15.75" hidden="false" customHeight="true" outlineLevel="0" collapsed="false">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ustomFormat="false" ht="15.75" hidden="false" customHeight="true" outlineLevel="0" collapsed="false">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Z253">
    <filterColumn colId="3">
      <filters>
        <filter val="Arivind S"/>
      </filters>
    </filterColumn>
  </autoFilter>
  <conditionalFormatting sqref="E2:E253">
    <cfRule type="colorScale" priority="2">
      <colorScale>
        <cfvo type="min" val="0"/>
        <cfvo type="percentile" val="50"/>
        <cfvo type="max" val="0"/>
        <color rgb="FF63BE7B"/>
        <color rgb="FFFFEB84"/>
        <color rgb="FFF8696B"/>
      </colorScale>
    </cfRule>
  </conditionalFormatting>
  <conditionalFormatting sqref="F2:F253">
    <cfRule type="colorScale" priority="3">
      <colorScale>
        <cfvo type="min" val="0"/>
        <cfvo type="percentile" val="50"/>
        <cfvo type="max" val="0"/>
        <color rgb="FF63BE7B"/>
        <color rgb="FFFFEB84"/>
        <color rgb="FFF8696B"/>
      </colorScale>
    </cfRule>
  </conditionalFormatting>
  <conditionalFormatting sqref="G2:G253">
    <cfRule type="colorScale" priority="4">
      <colorScale>
        <cfvo type="min" val="0"/>
        <cfvo type="percentile" val="50"/>
        <cfvo type="max" val="0"/>
        <color rgb="FF63BE7B"/>
        <color rgb="FFFFEB84"/>
        <color rgb="FFF8696B"/>
      </colorScale>
    </cfRule>
  </conditionalFormatting>
  <conditionalFormatting sqref="H2:H253">
    <cfRule type="colorScale" priority="5">
      <colorScale>
        <cfvo type="min" val="0"/>
        <cfvo type="percentile" val="50"/>
        <cfvo type="max" val="0"/>
        <color rgb="FF63BE7B"/>
        <color rgb="FFFFEB84"/>
        <color rgb="FFF8696B"/>
      </colorScale>
    </cfRule>
  </conditionalFormatting>
  <conditionalFormatting sqref="I2:I253">
    <cfRule type="colorScale" priority="6">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zeroHeight="false" outlineLevelRow="0" outlineLevelCol="0"/>
  <cols>
    <col collapsed="false" customWidth="true" hidden="false" outlineLevel="0" max="1" min="1" style="0" width="5.88"/>
    <col collapsed="false" customWidth="true" hidden="false" outlineLevel="0" max="2" min="2" style="0" width="36.38"/>
    <col collapsed="false" customWidth="true" hidden="false" outlineLevel="0" max="3" min="3" style="0" width="22.25"/>
    <col collapsed="false" customWidth="true" hidden="false" outlineLevel="0" max="4" min="4" style="0" width="18.13"/>
    <col collapsed="false" customWidth="true" hidden="false" outlineLevel="0" max="5" min="5" style="0" width="13.63"/>
    <col collapsed="false" customWidth="true" hidden="false" outlineLevel="0" max="6" min="6" style="0" width="15.75"/>
    <col collapsed="false" customWidth="true" hidden="false" outlineLevel="0" max="7" min="7" style="0" width="13.75"/>
    <col collapsed="false" customWidth="true" hidden="false" outlineLevel="0" max="8" min="8" style="0" width="16.63"/>
    <col collapsed="false" customWidth="true" hidden="false" outlineLevel="0" max="10" min="9" style="0" width="7"/>
    <col collapsed="false" customWidth="true" hidden="false" outlineLevel="0" max="11" min="11" style="0" width="14.63"/>
    <col collapsed="false" customWidth="true" hidden="false" outlineLevel="0" max="12" min="12" style="0" width="84.13"/>
    <col collapsed="false" customWidth="true" hidden="false" outlineLevel="0" max="13" min="13" style="0" width="50.75"/>
  </cols>
  <sheetData>
    <row r="1" customFormat="false" ht="15.75" hidden="false" customHeight="true" outlineLevel="0" collapsed="false">
      <c r="A1" s="50" t="s">
        <v>0</v>
      </c>
      <c r="B1" s="50" t="s">
        <v>712</v>
      </c>
      <c r="C1" s="50" t="s">
        <v>4</v>
      </c>
      <c r="D1" s="50" t="s">
        <v>5</v>
      </c>
      <c r="E1" s="50" t="s">
        <v>769</v>
      </c>
      <c r="F1" s="50" t="s">
        <v>770</v>
      </c>
      <c r="G1" s="50" t="s">
        <v>771</v>
      </c>
      <c r="H1" s="50" t="s">
        <v>772</v>
      </c>
      <c r="I1" s="50" t="s">
        <v>773</v>
      </c>
      <c r="J1" s="50" t="s">
        <v>774</v>
      </c>
      <c r="K1" s="50" t="s">
        <v>716</v>
      </c>
      <c r="L1" s="58" t="s">
        <v>560</v>
      </c>
      <c r="M1" s="50" t="s">
        <v>561</v>
      </c>
      <c r="N1" s="23"/>
      <c r="O1" s="23"/>
      <c r="P1" s="23"/>
      <c r="Q1" s="23"/>
      <c r="R1" s="23"/>
      <c r="S1" s="23"/>
      <c r="T1" s="23"/>
      <c r="U1" s="23"/>
      <c r="V1" s="23"/>
      <c r="W1" s="23"/>
      <c r="X1" s="23"/>
      <c r="Y1" s="23"/>
      <c r="Z1" s="23"/>
    </row>
    <row r="2" customFormat="false" ht="15.75" hidden="false" customHeight="true" outlineLevel="0" collapsed="false">
      <c r="A2" s="52" t="n">
        <v>46303</v>
      </c>
      <c r="B2" s="14" t="s">
        <v>191</v>
      </c>
      <c r="C2" s="14" t="str">
        <f aca="false" t="array" ref="C2:C2">IF(B2="","",IFERROR(INDEX('CLM &amp; IM Mapping'!$B$2:$B$270,MATCH(TRIM(B2),'CLM &amp; IM Mapping'!$A$2:$A$270,0)),"Not Mapped"))</f>
        <v>Adhavan Subramani</v>
      </c>
      <c r="D2" s="14" t="str">
        <f aca="false" t="array" ref="D2:D2">IF(B2="","",IFERROR(INDEX('CLM &amp; IM Mapping'!$C$2:$C$270,MATCH(TRIM(B2),'CLM &amp; IM Mapping'!$A$2:$A$270,0)),"Not Mapped"))</f>
        <v>Mohammed Akbar</v>
      </c>
      <c r="E2" s="14"/>
      <c r="F2" s="14"/>
      <c r="G2" s="14" t="n">
        <v>3010</v>
      </c>
      <c r="H2" s="14" t="n">
        <v>7631</v>
      </c>
      <c r="I2" s="14" t="n">
        <v>10641</v>
      </c>
      <c r="J2" s="14" t="n">
        <v>0</v>
      </c>
      <c r="K2" s="14" t="n">
        <v>10641</v>
      </c>
      <c r="L2" s="12" t="s">
        <v>775</v>
      </c>
      <c r="M2" s="12" t="s">
        <v>776</v>
      </c>
      <c r="N2" s="23"/>
      <c r="O2" s="23"/>
      <c r="P2" s="23"/>
      <c r="Q2" s="23"/>
      <c r="R2" s="23"/>
      <c r="S2" s="23"/>
      <c r="T2" s="23"/>
      <c r="U2" s="23"/>
      <c r="V2" s="23"/>
      <c r="W2" s="23"/>
      <c r="X2" s="23"/>
      <c r="Y2" s="23"/>
      <c r="Z2" s="23"/>
    </row>
    <row r="3" customFormat="false" ht="15.75" hidden="false" customHeight="true" outlineLevel="0" collapsed="false">
      <c r="A3" s="52" t="n">
        <v>46303</v>
      </c>
      <c r="B3" s="14" t="s">
        <v>479</v>
      </c>
      <c r="C3" s="14" t="str">
        <f aca="false" t="array" ref="C3:C3">IF(B3="","",IFERROR(INDEX('CLM &amp; IM Mapping'!$B$2:$B$270,MATCH(TRIM(B3),'CLM &amp; IM Mapping'!$A$2:$A$270,0)),"Not Mapped"))</f>
        <v>Arun Raj</v>
      </c>
      <c r="D3" s="14" t="str">
        <f aca="false" t="array" ref="D3:D3">IF(B3="","",IFERROR(INDEX('CLM &amp; IM Mapping'!$C$2:$C$270,MATCH(TRIM(B3),'CLM &amp; IM Mapping'!$A$2:$A$270,0)),"Not Mapped"))</f>
        <v>Simon Manoharan</v>
      </c>
      <c r="E3" s="14"/>
      <c r="F3" s="14"/>
      <c r="G3" s="14"/>
      <c r="H3" s="14" t="n">
        <v>4863</v>
      </c>
      <c r="I3" s="14" t="n">
        <v>4863</v>
      </c>
      <c r="J3" s="14" t="n">
        <v>0</v>
      </c>
      <c r="K3" s="14" t="n">
        <v>4863</v>
      </c>
      <c r="L3" s="12" t="s">
        <v>777</v>
      </c>
      <c r="M3" s="11"/>
      <c r="N3" s="23"/>
      <c r="O3" s="23"/>
      <c r="P3" s="23"/>
      <c r="Q3" s="23"/>
      <c r="R3" s="23"/>
      <c r="S3" s="23"/>
      <c r="T3" s="23"/>
      <c r="U3" s="23"/>
      <c r="V3" s="23"/>
      <c r="W3" s="23"/>
      <c r="X3" s="23"/>
      <c r="Y3" s="23"/>
      <c r="Z3" s="23"/>
    </row>
    <row r="4" customFormat="false" ht="15.75" hidden="false" customHeight="true" outlineLevel="0" collapsed="false">
      <c r="A4" s="52" t="n">
        <v>46303</v>
      </c>
      <c r="B4" s="14" t="s">
        <v>532</v>
      </c>
      <c r="C4" s="14" t="str">
        <f aca="false" t="array" ref="C4:C4">IF(B4="","",IFERROR(INDEX('CLM &amp; IM Mapping'!$B$2:$B$270,MATCH(TRIM(B4),'CLM &amp; IM Mapping'!$A$2:$A$270,0)),"Not Mapped"))</f>
        <v>Arun Raj</v>
      </c>
      <c r="D4" s="14" t="str">
        <f aca="false" t="array" ref="D4:D4">IF(B4="","",IFERROR(INDEX('CLM &amp; IM Mapping'!$C$2:$C$270,MATCH(TRIM(B4),'CLM &amp; IM Mapping'!$A$2:$A$270,0)),"Not Mapped"))</f>
        <v>Simon Manoharan</v>
      </c>
      <c r="E4" s="14" t="n">
        <v>408</v>
      </c>
      <c r="F4" s="14"/>
      <c r="G4" s="14" t="n">
        <v>4150</v>
      </c>
      <c r="H4" s="14" t="n">
        <v>1</v>
      </c>
      <c r="I4" s="14" t="n">
        <v>4538</v>
      </c>
      <c r="J4" s="14" t="n">
        <v>21</v>
      </c>
      <c r="K4" s="14" t="n">
        <v>4559</v>
      </c>
      <c r="L4" s="12" t="s">
        <v>778</v>
      </c>
      <c r="M4" s="12" t="s">
        <v>567</v>
      </c>
      <c r="N4" s="23"/>
      <c r="O4" s="23"/>
      <c r="P4" s="23"/>
      <c r="Q4" s="23"/>
      <c r="R4" s="23"/>
      <c r="S4" s="23"/>
      <c r="T4" s="23"/>
      <c r="U4" s="23"/>
      <c r="V4" s="23"/>
      <c r="W4" s="23"/>
      <c r="X4" s="23"/>
      <c r="Y4" s="23"/>
      <c r="Z4" s="23"/>
    </row>
    <row r="5" customFormat="false" ht="15.75" hidden="false" customHeight="true" outlineLevel="0" collapsed="false">
      <c r="A5" s="52" t="n">
        <v>46303</v>
      </c>
      <c r="B5" s="14" t="s">
        <v>491</v>
      </c>
      <c r="C5" s="14" t="str">
        <f aca="false" t="array" ref="C5:C5">IF(B5="","",IFERROR(INDEX('CLM &amp; IM Mapping'!$B$2:$B$270,MATCH(TRIM(B5),'CLM &amp; IM Mapping'!$A$2:$A$270,0)),"Not Mapped"))</f>
        <v>Manjunatha V</v>
      </c>
      <c r="D5" s="14" t="str">
        <f aca="false" t="array" ref="D5:D5">IF(B5="","",IFERROR(INDEX('CLM &amp; IM Mapping'!$C$2:$C$270,MATCH(TRIM(B5),'CLM &amp; IM Mapping'!$A$2:$A$270,0)),"Not Mapped"))</f>
        <v>Un Mapped</v>
      </c>
      <c r="E5" s="14" t="n">
        <v>1595</v>
      </c>
      <c r="F5" s="14"/>
      <c r="G5" s="14" t="n">
        <v>382</v>
      </c>
      <c r="H5" s="14" t="n">
        <v>5</v>
      </c>
      <c r="I5" s="14" t="n">
        <v>1895</v>
      </c>
      <c r="J5" s="14" t="n">
        <v>87</v>
      </c>
      <c r="K5" s="14" t="n">
        <v>1982</v>
      </c>
      <c r="L5" s="12" t="s">
        <v>779</v>
      </c>
      <c r="M5" s="11"/>
      <c r="N5" s="23"/>
      <c r="O5" s="23"/>
      <c r="P5" s="23"/>
      <c r="Q5" s="23"/>
      <c r="R5" s="23"/>
      <c r="S5" s="23"/>
      <c r="T5" s="23"/>
      <c r="U5" s="23"/>
      <c r="V5" s="23"/>
      <c r="W5" s="23"/>
      <c r="X5" s="23"/>
      <c r="Y5" s="23"/>
      <c r="Z5" s="23"/>
    </row>
    <row r="6" customFormat="false" ht="15.75" hidden="false" customHeight="true" outlineLevel="0" collapsed="false">
      <c r="A6" s="52" t="n">
        <v>46303</v>
      </c>
      <c r="B6" s="14" t="s">
        <v>147</v>
      </c>
      <c r="C6" s="14" t="str">
        <f aca="false" t="array" ref="C6:C6">IF(B6="","",IFERROR(INDEX('CLM &amp; IM Mapping'!$B$2:$B$270,MATCH(TRIM(B6),'CLM &amp; IM Mapping'!$A$2:$A$270,0)),"Not Mapped"))</f>
        <v>Manjunatha V</v>
      </c>
      <c r="D6" s="14" t="str">
        <f aca="false" t="array" ref="D6:D6">IF(B6="","",IFERROR(INDEX('CLM &amp; IM Mapping'!$C$2:$C$270,MATCH(TRIM(B6),'CLM &amp; IM Mapping'!$A$2:$A$270,0)),"Not Mapped"))</f>
        <v>Un Mapped</v>
      </c>
      <c r="E6" s="14" t="n">
        <v>1822</v>
      </c>
      <c r="F6" s="14"/>
      <c r="G6" s="14"/>
      <c r="H6" s="14"/>
      <c r="I6" s="14" t="n">
        <v>1822</v>
      </c>
      <c r="J6" s="14" t="n">
        <v>0</v>
      </c>
      <c r="K6" s="14" t="n">
        <v>1822</v>
      </c>
      <c r="L6" s="21"/>
      <c r="M6" s="11"/>
      <c r="N6" s="23"/>
      <c r="O6" s="23"/>
      <c r="P6" s="23"/>
      <c r="Q6" s="23"/>
      <c r="R6" s="23"/>
      <c r="S6" s="23"/>
      <c r="T6" s="23"/>
      <c r="U6" s="23"/>
      <c r="V6" s="23"/>
      <c r="W6" s="23"/>
      <c r="X6" s="23"/>
      <c r="Y6" s="23"/>
      <c r="Z6" s="23"/>
    </row>
    <row r="7" customFormat="false" ht="15.75" hidden="false" customHeight="true" outlineLevel="0" collapsed="false">
      <c r="A7" s="52" t="n">
        <v>46303</v>
      </c>
      <c r="B7" s="14" t="s">
        <v>505</v>
      </c>
      <c r="C7" s="14" t="str">
        <f aca="false" t="array" ref="C7:C7">IF(B7="","",IFERROR(INDEX('CLM &amp; IM Mapping'!$B$2:$B$270,MATCH(TRIM(B7),'CLM &amp; IM Mapping'!$A$2:$A$270,0)),"Not Mapped"))</f>
        <v>Basil Scariya</v>
      </c>
      <c r="D7" s="14" t="str">
        <f aca="false" t="array" ref="D7:D7">IF(B7="","",IFERROR(INDEX('CLM &amp; IM Mapping'!$C$2:$C$270,MATCH(TRIM(B7),'CLM &amp; IM Mapping'!$A$2:$A$270,0)),"Not Mapped"))</f>
        <v>Prakash BS</v>
      </c>
      <c r="E7" s="14" t="n">
        <v>1598</v>
      </c>
      <c r="F7" s="14"/>
      <c r="G7" s="14" t="n">
        <v>1</v>
      </c>
      <c r="H7" s="14"/>
      <c r="I7" s="14" t="n">
        <v>1599</v>
      </c>
      <c r="J7" s="14" t="n">
        <v>0</v>
      </c>
      <c r="K7" s="14" t="n">
        <v>1599</v>
      </c>
      <c r="L7" s="12" t="s">
        <v>780</v>
      </c>
      <c r="M7" s="11"/>
      <c r="N7" s="23"/>
      <c r="O7" s="23"/>
      <c r="P7" s="23"/>
      <c r="Q7" s="23"/>
      <c r="R7" s="23"/>
      <c r="S7" s="23"/>
      <c r="T7" s="23"/>
      <c r="U7" s="23"/>
      <c r="V7" s="23"/>
      <c r="W7" s="23"/>
      <c r="X7" s="23"/>
      <c r="Y7" s="23"/>
      <c r="Z7" s="23"/>
    </row>
    <row r="8" customFormat="false" ht="15.75" hidden="false" customHeight="true" outlineLevel="0" collapsed="false">
      <c r="A8" s="52" t="n">
        <v>46303</v>
      </c>
      <c r="B8" s="14" t="s">
        <v>381</v>
      </c>
      <c r="C8" s="14" t="str">
        <f aca="false" t="array" ref="C8:C8">IF(B8="","",IFERROR(INDEX('CLM &amp; IM Mapping'!$B$2:$B$270,MATCH(TRIM(B8),'CLM &amp; IM Mapping'!$A$2:$A$270,0)),"Not Mapped"))</f>
        <v>Balaji G</v>
      </c>
      <c r="D8" s="14" t="str">
        <f aca="false" t="array" ref="D8:D8">IF(B8="","",IFERROR(INDEX('CLM &amp; IM Mapping'!$C$2:$C$270,MATCH(TRIM(B8),'CLM &amp; IM Mapping'!$A$2:$A$270,0)),"Not Mapped"))</f>
        <v>Mohammed Akbar</v>
      </c>
      <c r="E8" s="14" t="n">
        <v>1509</v>
      </c>
      <c r="F8" s="14"/>
      <c r="G8" s="14"/>
      <c r="H8" s="14"/>
      <c r="I8" s="14" t="n">
        <v>1509</v>
      </c>
      <c r="J8" s="14" t="n">
        <v>0</v>
      </c>
      <c r="K8" s="14" t="n">
        <v>1509</v>
      </c>
      <c r="L8" s="12" t="s">
        <v>781</v>
      </c>
      <c r="M8" s="54" t="n">
        <v>0.666666666666667</v>
      </c>
      <c r="N8" s="23"/>
      <c r="O8" s="23"/>
      <c r="P8" s="23"/>
      <c r="Q8" s="23"/>
      <c r="R8" s="23"/>
      <c r="S8" s="23"/>
      <c r="T8" s="23"/>
      <c r="U8" s="23"/>
      <c r="V8" s="23"/>
      <c r="W8" s="23"/>
      <c r="X8" s="23"/>
      <c r="Y8" s="23"/>
      <c r="Z8" s="23"/>
    </row>
    <row r="9" customFormat="false" ht="15.75" hidden="false" customHeight="true" outlineLevel="0" collapsed="false">
      <c r="A9" s="52" t="n">
        <v>46303</v>
      </c>
      <c r="B9" s="14" t="s">
        <v>59</v>
      </c>
      <c r="C9" s="14" t="str">
        <f aca="false" t="array" ref="C9:C9">IF(B9="","",IFERROR(INDEX('CLM &amp; IM Mapping'!$B$2:$B$270,MATCH(TRIM(B9),'CLM &amp; IM Mapping'!$A$2:$A$270,0)),"Not Mapped"))</f>
        <v>Saddam Hussain</v>
      </c>
      <c r="D9" s="14" t="str">
        <f aca="false" t="array" ref="D9:D9">IF(B9="","",IFERROR(INDEX('CLM &amp; IM Mapping'!$C$2:$C$270,MATCH(TRIM(B9),'CLM &amp; IM Mapping'!$A$2:$A$270,0)),"Not Mapped"))</f>
        <v>Un Mapped</v>
      </c>
      <c r="E9" s="14" t="n">
        <v>1489</v>
      </c>
      <c r="F9" s="14"/>
      <c r="G9" s="14"/>
      <c r="H9" s="14" t="n">
        <v>7</v>
      </c>
      <c r="I9" s="14" t="n">
        <v>1490</v>
      </c>
      <c r="J9" s="14" t="n">
        <v>6</v>
      </c>
      <c r="K9" s="14" t="n">
        <v>1496</v>
      </c>
      <c r="L9" s="21"/>
      <c r="M9" s="11"/>
      <c r="N9" s="23"/>
      <c r="O9" s="23"/>
      <c r="P9" s="23"/>
      <c r="Q9" s="23"/>
      <c r="R9" s="23"/>
      <c r="S9" s="23"/>
      <c r="T9" s="23"/>
      <c r="U9" s="23"/>
      <c r="V9" s="23"/>
      <c r="W9" s="23"/>
      <c r="X9" s="23"/>
      <c r="Y9" s="23"/>
      <c r="Z9" s="23"/>
    </row>
    <row r="10" customFormat="false" ht="15.75" hidden="false" customHeight="true" outlineLevel="0" collapsed="false">
      <c r="A10" s="52" t="n">
        <v>46303</v>
      </c>
      <c r="B10" s="14" t="s">
        <v>294</v>
      </c>
      <c r="C10" s="14" t="str">
        <f aca="false" t="array" ref="C10:C10">IF(B10="","",IFERROR(INDEX('CLM &amp; IM Mapping'!$B$2:$B$270,MATCH(TRIM(B10),'CLM &amp; IM Mapping'!$A$2:$A$270,0)),"Not Mapped"))</f>
        <v>Manoj Kj</v>
      </c>
      <c r="D10" s="14" t="str">
        <f aca="false" t="array" ref="D10:D10">IF(B10="","",IFERROR(INDEX('CLM &amp; IM Mapping'!$C$2:$C$270,MATCH(TRIM(B10),'CLM &amp; IM Mapping'!$A$2:$A$270,0)),"Not Mapped"))</f>
        <v>Srittam Dhal</v>
      </c>
      <c r="E10" s="14" t="n">
        <v>1463</v>
      </c>
      <c r="F10" s="14"/>
      <c r="G10" s="14"/>
      <c r="H10" s="14"/>
      <c r="I10" s="14" t="n">
        <v>1463</v>
      </c>
      <c r="J10" s="14" t="n">
        <v>0</v>
      </c>
      <c r="K10" s="14" t="n">
        <v>1463</v>
      </c>
      <c r="L10" s="21"/>
      <c r="M10" s="11"/>
      <c r="N10" s="23"/>
      <c r="O10" s="23"/>
      <c r="P10" s="23"/>
      <c r="Q10" s="23"/>
      <c r="R10" s="23"/>
      <c r="S10" s="23"/>
      <c r="T10" s="23"/>
      <c r="U10" s="23"/>
      <c r="V10" s="23"/>
      <c r="W10" s="23"/>
      <c r="X10" s="23"/>
      <c r="Y10" s="23"/>
      <c r="Z10" s="23"/>
    </row>
    <row r="11" customFormat="false" ht="15.75" hidden="false" customHeight="true" outlineLevel="0" collapsed="false">
      <c r="A11" s="52" t="n">
        <v>46303</v>
      </c>
      <c r="B11" s="14" t="s">
        <v>259</v>
      </c>
      <c r="C11" s="14" t="str">
        <f aca="false" t="array" ref="C11:C11">IF(B11="","",IFERROR(INDEX('CLM &amp; IM Mapping'!$B$2:$B$270,MATCH(TRIM(B11),'CLM &amp; IM Mapping'!$A$2:$A$270,0)),"Not Mapped"))</f>
        <v>Raghavendra Vernekar</v>
      </c>
      <c r="D11" s="14" t="str">
        <f aca="false" t="array" ref="D11:D11">IF(B11="","",IFERROR(INDEX('CLM &amp; IM Mapping'!$C$2:$C$270,MATCH(TRIM(B11),'CLM &amp; IM Mapping'!$A$2:$A$270,0)),"Not Mapped"))</f>
        <v>Prakash BS</v>
      </c>
      <c r="E11" s="14" t="n">
        <v>1222</v>
      </c>
      <c r="F11" s="14"/>
      <c r="G11" s="14" t="n">
        <v>230</v>
      </c>
      <c r="H11" s="14"/>
      <c r="I11" s="14" t="n">
        <v>1426</v>
      </c>
      <c r="J11" s="14" t="n">
        <v>26</v>
      </c>
      <c r="K11" s="14" t="n">
        <v>1452</v>
      </c>
      <c r="L11" s="12" t="s">
        <v>780</v>
      </c>
      <c r="M11" s="11"/>
      <c r="N11" s="23"/>
      <c r="O11" s="23"/>
      <c r="P11" s="23"/>
      <c r="Q11" s="23"/>
      <c r="R11" s="23"/>
      <c r="S11" s="23"/>
      <c r="T11" s="23"/>
      <c r="U11" s="23"/>
      <c r="V11" s="23"/>
      <c r="W11" s="23"/>
      <c r="X11" s="23"/>
      <c r="Y11" s="23"/>
      <c r="Z11" s="23"/>
    </row>
    <row r="12" customFormat="false" ht="15.75" hidden="false" customHeight="true" outlineLevel="0" collapsed="false">
      <c r="A12" s="52" t="n">
        <v>46303</v>
      </c>
      <c r="B12" s="14" t="s">
        <v>463</v>
      </c>
      <c r="C12" s="14" t="str">
        <f aca="false" t="array" ref="C12:C12">IF(B12="","",IFERROR(INDEX('CLM &amp; IM Mapping'!$B$2:$B$270,MATCH(TRIM(B12),'CLM &amp; IM Mapping'!$A$2:$A$270,0)),"Not Mapped"))</f>
        <v>Ashwath S</v>
      </c>
      <c r="D12" s="14" t="str">
        <f aca="false" t="array" ref="D12:D12">IF(B12="","",IFERROR(INDEX('CLM &amp; IM Mapping'!$C$2:$C$270,MATCH(TRIM(B12),'CLM &amp; IM Mapping'!$A$2:$A$270,0)),"Not Mapped"))</f>
        <v>Kantha Kumar</v>
      </c>
      <c r="E12" s="14" t="n">
        <v>1451</v>
      </c>
      <c r="F12" s="14"/>
      <c r="G12" s="14" t="n">
        <v>1</v>
      </c>
      <c r="H12" s="14"/>
      <c r="I12" s="14" t="n">
        <v>1452</v>
      </c>
      <c r="J12" s="14" t="n">
        <v>0</v>
      </c>
      <c r="K12" s="14" t="n">
        <v>1452</v>
      </c>
      <c r="L12" s="21"/>
      <c r="M12" s="11"/>
      <c r="N12" s="23"/>
      <c r="O12" s="23"/>
      <c r="P12" s="23"/>
      <c r="Q12" s="23"/>
      <c r="R12" s="23"/>
      <c r="S12" s="23"/>
      <c r="T12" s="23"/>
      <c r="U12" s="23"/>
      <c r="V12" s="23"/>
      <c r="W12" s="23"/>
      <c r="X12" s="23"/>
      <c r="Y12" s="23"/>
      <c r="Z12" s="23"/>
    </row>
    <row r="13" customFormat="false" ht="15.75" hidden="false" customHeight="true" outlineLevel="0" collapsed="false">
      <c r="A13" s="52" t="n">
        <v>46303</v>
      </c>
      <c r="B13" s="14" t="s">
        <v>73</v>
      </c>
      <c r="C13" s="14" t="str">
        <f aca="false" t="array" ref="C13:C13">IF(B13="","",IFERROR(INDEX('CLM &amp; IM Mapping'!$B$2:$B$270,MATCH(TRIM(B13),'CLM &amp; IM Mapping'!$A$2:$A$270,0)),"Not Mapped"))</f>
        <v>Narasimhamurthy R</v>
      </c>
      <c r="D13" s="14" t="str">
        <f aca="false" t="array" ref="D13:D13">IF(B13="","",IFERROR(INDEX('CLM &amp; IM Mapping'!$C$2:$C$270,MATCH(TRIM(B13),'CLM &amp; IM Mapping'!$A$2:$A$270,0)),"Not Mapped"))</f>
        <v>Kishor K</v>
      </c>
      <c r="E13" s="14" t="n">
        <v>860</v>
      </c>
      <c r="F13" s="14"/>
      <c r="G13" s="14" t="n">
        <v>259</v>
      </c>
      <c r="H13" s="14" t="n">
        <v>301</v>
      </c>
      <c r="I13" s="14" t="n">
        <v>1420</v>
      </c>
      <c r="J13" s="14" t="n">
        <v>0</v>
      </c>
      <c r="K13" s="14" t="n">
        <v>1420</v>
      </c>
      <c r="L13" s="12" t="s">
        <v>740</v>
      </c>
      <c r="M13" s="12" t="s">
        <v>782</v>
      </c>
      <c r="N13" s="23"/>
      <c r="O13" s="23"/>
      <c r="P13" s="23"/>
      <c r="Q13" s="23"/>
      <c r="R13" s="23"/>
      <c r="S13" s="23"/>
      <c r="T13" s="23"/>
      <c r="U13" s="23"/>
      <c r="V13" s="23"/>
      <c r="W13" s="23"/>
      <c r="X13" s="23"/>
      <c r="Y13" s="23"/>
      <c r="Z13" s="23"/>
    </row>
    <row r="14" customFormat="false" ht="15.75" hidden="false" customHeight="true" outlineLevel="0" collapsed="false">
      <c r="A14" s="52" t="n">
        <v>46303</v>
      </c>
      <c r="B14" s="14" t="s">
        <v>527</v>
      </c>
      <c r="C14" s="14" t="str">
        <f aca="false" t="array" ref="C14:C14">IF(B14="","",IFERROR(INDEX('CLM &amp; IM Mapping'!$B$2:$B$270,MATCH(TRIM(B14),'CLM &amp; IM Mapping'!$A$2:$A$270,0)),"Not Mapped"))</f>
        <v>Suhas N</v>
      </c>
      <c r="D14" s="14" t="str">
        <f aca="false" t="array" ref="D14:D14">IF(B14="","",IFERROR(INDEX('CLM &amp; IM Mapping'!$C$2:$C$270,MATCH(TRIM(B14),'CLM &amp; IM Mapping'!$A$2:$A$270,0)),"Not Mapped"))</f>
        <v>Aravind S</v>
      </c>
      <c r="E14" s="14" t="n">
        <v>765</v>
      </c>
      <c r="F14" s="14"/>
      <c r="G14" s="14" t="n">
        <v>352</v>
      </c>
      <c r="H14" s="14"/>
      <c r="I14" s="14" t="n">
        <v>768</v>
      </c>
      <c r="J14" s="14" t="n">
        <v>349</v>
      </c>
      <c r="K14" s="14" t="n">
        <v>1117</v>
      </c>
      <c r="L14" s="21"/>
      <c r="M14" s="11"/>
      <c r="N14" s="23"/>
      <c r="O14" s="23"/>
      <c r="P14" s="23"/>
      <c r="Q14" s="23"/>
      <c r="R14" s="23"/>
      <c r="S14" s="23"/>
      <c r="T14" s="23"/>
      <c r="U14" s="23"/>
      <c r="V14" s="23"/>
      <c r="W14" s="23"/>
      <c r="X14" s="23"/>
      <c r="Y14" s="23"/>
      <c r="Z14" s="23"/>
    </row>
    <row r="15" customFormat="false" ht="15.75" hidden="false" customHeight="true" outlineLevel="0" collapsed="false">
      <c r="A15" s="52" t="n">
        <v>46303</v>
      </c>
      <c r="B15" s="14" t="s">
        <v>168</v>
      </c>
      <c r="C15" s="14" t="str">
        <f aca="false" t="array" ref="C15:C15">IF(B15="","",IFERROR(INDEX('CLM &amp; IM Mapping'!$B$2:$B$270,MATCH(TRIM(B15),'CLM &amp; IM Mapping'!$A$2:$A$270,0)),"Not Mapped"))</f>
        <v>Vijay M</v>
      </c>
      <c r="D15" s="14" t="str">
        <f aca="false" t="array" ref="D15:D15">IF(B15="","",IFERROR(INDEX('CLM &amp; IM Mapping'!$C$2:$C$270,MATCH(TRIM(B15),'CLM &amp; IM Mapping'!$A$2:$A$270,0)),"Not Mapped"))</f>
        <v>Kantha Kumar</v>
      </c>
      <c r="E15" s="14" t="n">
        <v>999</v>
      </c>
      <c r="F15" s="14"/>
      <c r="G15" s="14" t="n">
        <v>8</v>
      </c>
      <c r="H15" s="14" t="n">
        <v>2</v>
      </c>
      <c r="I15" s="14" t="n">
        <v>1009</v>
      </c>
      <c r="J15" s="14" t="n">
        <v>0</v>
      </c>
      <c r="K15" s="14" t="n">
        <v>1009</v>
      </c>
      <c r="L15" s="21"/>
      <c r="M15" s="11"/>
      <c r="N15" s="23"/>
      <c r="O15" s="23"/>
      <c r="P15" s="23"/>
      <c r="Q15" s="23"/>
      <c r="R15" s="23"/>
      <c r="S15" s="23"/>
      <c r="T15" s="23"/>
      <c r="U15" s="23"/>
      <c r="V15" s="23"/>
      <c r="W15" s="23"/>
      <c r="X15" s="23"/>
      <c r="Y15" s="23"/>
      <c r="Z15" s="23"/>
    </row>
    <row r="16" customFormat="false" ht="15.75" hidden="false" customHeight="true" outlineLevel="0" collapsed="false">
      <c r="A16" s="52" t="n">
        <v>46303</v>
      </c>
      <c r="B16" s="14" t="s">
        <v>497</v>
      </c>
      <c r="C16" s="14" t="str">
        <f aca="false" t="array" ref="C16:C16">IF(B16="","",IFERROR(INDEX('CLM &amp; IM Mapping'!$B$2:$B$270,MATCH(TRIM(B16),'CLM &amp; IM Mapping'!$A$2:$A$270,0)),"Not Mapped"))</f>
        <v>Narasimhamurthy R</v>
      </c>
      <c r="D16" s="14" t="str">
        <f aca="false" t="array" ref="D16:D16">IF(B16="","",IFERROR(INDEX('CLM &amp; IM Mapping'!$C$2:$C$270,MATCH(TRIM(B16),'CLM &amp; IM Mapping'!$A$2:$A$270,0)),"Not Mapped"))</f>
        <v>Kishor K</v>
      </c>
      <c r="E16" s="14" t="n">
        <v>997</v>
      </c>
      <c r="F16" s="14"/>
      <c r="G16" s="14"/>
      <c r="H16" s="14"/>
      <c r="I16" s="14" t="n">
        <v>997</v>
      </c>
      <c r="J16" s="14" t="n">
        <v>0</v>
      </c>
      <c r="K16" s="14" t="n">
        <v>997</v>
      </c>
      <c r="L16" s="12" t="s">
        <v>783</v>
      </c>
      <c r="M16" s="12" t="s">
        <v>741</v>
      </c>
      <c r="N16" s="23"/>
      <c r="O16" s="23"/>
      <c r="P16" s="23"/>
      <c r="Q16" s="23"/>
      <c r="R16" s="23"/>
      <c r="S16" s="23"/>
      <c r="T16" s="23"/>
      <c r="U16" s="23"/>
      <c r="V16" s="23"/>
      <c r="W16" s="23"/>
      <c r="X16" s="23"/>
      <c r="Y16" s="23"/>
      <c r="Z16" s="23"/>
    </row>
    <row r="17" customFormat="false" ht="15.75" hidden="false" customHeight="true" outlineLevel="0" collapsed="false">
      <c r="A17" s="52" t="n">
        <v>46303</v>
      </c>
      <c r="B17" s="14" t="s">
        <v>65</v>
      </c>
      <c r="C17" s="14" t="str">
        <f aca="false" t="array" ref="C17:C17">IF(B17="","",IFERROR(INDEX('CLM &amp; IM Mapping'!$B$2:$B$270,MATCH(TRIM(B17),'CLM &amp; IM Mapping'!$A$2:$A$270,0)),"Not Mapped"))</f>
        <v>Adhavan Subramani</v>
      </c>
      <c r="D17" s="14" t="str">
        <f aca="false" t="array" ref="D17:D17">IF(B17="","",IFERROR(INDEX('CLM &amp; IM Mapping'!$C$2:$C$270,MATCH(TRIM(B17),'CLM &amp; IM Mapping'!$A$2:$A$270,0)),"Not Mapped"))</f>
        <v>Mohammed Akbar</v>
      </c>
      <c r="E17" s="14" t="n">
        <v>993</v>
      </c>
      <c r="F17" s="14"/>
      <c r="G17" s="14"/>
      <c r="H17" s="14"/>
      <c r="I17" s="14" t="n">
        <v>993</v>
      </c>
      <c r="J17" s="14" t="n">
        <v>0</v>
      </c>
      <c r="K17" s="14" t="n">
        <v>993</v>
      </c>
      <c r="L17" s="12" t="s">
        <v>784</v>
      </c>
      <c r="M17" s="12" t="s">
        <v>785</v>
      </c>
      <c r="N17" s="23"/>
      <c r="O17" s="23"/>
      <c r="P17" s="23"/>
      <c r="Q17" s="23"/>
      <c r="R17" s="23"/>
      <c r="S17" s="23"/>
      <c r="T17" s="23"/>
      <c r="U17" s="23"/>
      <c r="V17" s="23"/>
      <c r="W17" s="23"/>
      <c r="X17" s="23"/>
      <c r="Y17" s="23"/>
      <c r="Z17" s="23"/>
    </row>
    <row r="18" customFormat="false" ht="15.75" hidden="false" customHeight="true" outlineLevel="0" collapsed="false">
      <c r="A18" s="52" t="n">
        <v>46303</v>
      </c>
      <c r="B18" s="14" t="s">
        <v>398</v>
      </c>
      <c r="C18" s="14" t="str">
        <f aca="false" t="array" ref="C18:C18">IF(B18="","",IFERROR(INDEX('CLM &amp; IM Mapping'!$B$2:$B$270,MATCH(TRIM(B18),'CLM &amp; IM Mapping'!$A$2:$A$270,0)),"Not Mapped"))</f>
        <v>Raghavendra Vernekar</v>
      </c>
      <c r="D18" s="14" t="str">
        <f aca="false" t="array" ref="D18:D18">IF(B18="","",IFERROR(INDEX('CLM &amp; IM Mapping'!$C$2:$C$270,MATCH(TRIM(B18),'CLM &amp; IM Mapping'!$A$2:$A$270,0)),"Not Mapped"))</f>
        <v>Prakash BS</v>
      </c>
      <c r="E18" s="14" t="n">
        <v>876</v>
      </c>
      <c r="F18" s="14"/>
      <c r="G18" s="14" t="n">
        <v>16</v>
      </c>
      <c r="H18" s="14"/>
      <c r="I18" s="14" t="n">
        <v>875</v>
      </c>
      <c r="J18" s="14" t="n">
        <v>17</v>
      </c>
      <c r="K18" s="14" t="n">
        <v>892</v>
      </c>
      <c r="L18" s="12" t="s">
        <v>780</v>
      </c>
      <c r="M18" s="11"/>
      <c r="N18" s="23"/>
      <c r="O18" s="23"/>
      <c r="P18" s="23"/>
      <c r="Q18" s="23"/>
      <c r="R18" s="23"/>
      <c r="S18" s="23"/>
      <c r="T18" s="23"/>
      <c r="U18" s="23"/>
      <c r="V18" s="23"/>
      <c r="W18" s="23"/>
      <c r="X18" s="23"/>
      <c r="Y18" s="23"/>
      <c r="Z18" s="23"/>
    </row>
    <row r="19" customFormat="false" ht="15.75" hidden="false" customHeight="true" outlineLevel="0" collapsed="false">
      <c r="A19" s="52" t="n">
        <v>46303</v>
      </c>
      <c r="B19" s="14" t="s">
        <v>444</v>
      </c>
      <c r="C19" s="14" t="str">
        <f aca="false" t="array" ref="C19:C19">IF(B19="","",IFERROR(INDEX('CLM &amp; IM Mapping'!$B$2:$B$270,MATCH(TRIM(B19),'CLM &amp; IM Mapping'!$A$2:$A$270,0)),"Not Mapped"))</f>
        <v>Narasimhamurthy R</v>
      </c>
      <c r="D19" s="14" t="str">
        <f aca="false" t="array" ref="D19:D19">IF(B19="","",IFERROR(INDEX('CLM &amp; IM Mapping'!$C$2:$C$270,MATCH(TRIM(B19),'CLM &amp; IM Mapping'!$A$2:$A$270,0)),"Not Mapped"))</f>
        <v>Kishor K</v>
      </c>
      <c r="E19" s="14" t="n">
        <v>804</v>
      </c>
      <c r="F19" s="14"/>
      <c r="G19" s="14"/>
      <c r="H19" s="14"/>
      <c r="I19" s="14" t="n">
        <v>804</v>
      </c>
      <c r="J19" s="14" t="n">
        <v>0</v>
      </c>
      <c r="K19" s="14" t="n">
        <v>804</v>
      </c>
      <c r="L19" s="12" t="s">
        <v>783</v>
      </c>
      <c r="M19" s="12" t="s">
        <v>746</v>
      </c>
      <c r="N19" s="23"/>
      <c r="O19" s="23"/>
      <c r="P19" s="23"/>
      <c r="Q19" s="23"/>
      <c r="R19" s="23"/>
      <c r="S19" s="23"/>
      <c r="T19" s="23"/>
      <c r="U19" s="23"/>
      <c r="V19" s="23"/>
      <c r="W19" s="23"/>
      <c r="X19" s="23"/>
      <c r="Y19" s="23"/>
      <c r="Z19" s="23"/>
    </row>
    <row r="20" customFormat="false" ht="15.75" hidden="false" customHeight="true" outlineLevel="0" collapsed="false">
      <c r="A20" s="52" t="n">
        <v>46303</v>
      </c>
      <c r="B20" s="14" t="s">
        <v>500</v>
      </c>
      <c r="C20" s="14" t="str">
        <f aca="false" t="array" ref="C20:C20">IF(B20="","",IFERROR(INDEX('CLM &amp; IM Mapping'!$B$2:$B$270,MATCH(TRIM(B20),'CLM &amp; IM Mapping'!$A$2:$A$270,0)),"Not Mapped"))</f>
        <v>Ravishankar gowda</v>
      </c>
      <c r="D20" s="14" t="str">
        <f aca="false" t="array" ref="D20:D20">IF(B20="","",IFERROR(INDEX('CLM &amp; IM Mapping'!$C$2:$C$270,MATCH(TRIM(B20),'CLM &amp; IM Mapping'!$A$2:$A$270,0)),"Not Mapped"))</f>
        <v>Kishor K</v>
      </c>
      <c r="E20" s="14" t="n">
        <v>622</v>
      </c>
      <c r="F20" s="14"/>
      <c r="G20" s="14"/>
      <c r="H20" s="14"/>
      <c r="I20" s="14" t="n">
        <v>622</v>
      </c>
      <c r="J20" s="14" t="n">
        <v>0</v>
      </c>
      <c r="K20" s="14" t="n">
        <v>622</v>
      </c>
      <c r="L20" s="12" t="s">
        <v>783</v>
      </c>
      <c r="M20" s="12" t="s">
        <v>741</v>
      </c>
      <c r="N20" s="23"/>
      <c r="O20" s="23"/>
      <c r="P20" s="23"/>
      <c r="Q20" s="23"/>
      <c r="R20" s="23"/>
      <c r="S20" s="23"/>
      <c r="T20" s="23"/>
      <c r="U20" s="23"/>
      <c r="V20" s="23"/>
      <c r="W20" s="23"/>
      <c r="X20" s="23"/>
      <c r="Y20" s="23"/>
      <c r="Z20" s="23"/>
    </row>
    <row r="21" customFormat="false" ht="15.75" hidden="false" customHeight="true" outlineLevel="0" collapsed="false">
      <c r="A21" s="52" t="n">
        <v>46303</v>
      </c>
      <c r="B21" s="14" t="s">
        <v>344</v>
      </c>
      <c r="C21" s="14" t="str">
        <f aca="false" t="array" ref="C21:C21">IF(B21="","",IFERROR(INDEX('CLM &amp; IM Mapping'!$B$2:$B$270,MATCH(TRIM(B21),'CLM &amp; IM Mapping'!$A$2:$A$270,0)),"Not Mapped"))</f>
        <v>Arun Raj</v>
      </c>
      <c r="D21" s="14" t="str">
        <f aca="false" t="array" ref="D21:D21">IF(B21="","",IFERROR(INDEX('CLM &amp; IM Mapping'!$C$2:$C$270,MATCH(TRIM(B21),'CLM &amp; IM Mapping'!$A$2:$A$270,0)),"Not Mapped"))</f>
        <v>Simon Manoharan</v>
      </c>
      <c r="E21" s="14" t="n">
        <v>399</v>
      </c>
      <c r="F21" s="14"/>
      <c r="G21" s="14" t="n">
        <v>116</v>
      </c>
      <c r="H21" s="14" t="n">
        <v>38</v>
      </c>
      <c r="I21" s="14" t="n">
        <v>553</v>
      </c>
      <c r="J21" s="14" t="n">
        <v>0</v>
      </c>
      <c r="K21" s="14" t="n">
        <v>553</v>
      </c>
      <c r="L21" s="12" t="s">
        <v>786</v>
      </c>
      <c r="M21" s="12" t="s">
        <v>741</v>
      </c>
      <c r="N21" s="23"/>
      <c r="O21" s="23"/>
      <c r="P21" s="23"/>
      <c r="Q21" s="23"/>
      <c r="R21" s="23"/>
      <c r="S21" s="23"/>
      <c r="T21" s="23"/>
      <c r="U21" s="23"/>
      <c r="V21" s="23"/>
      <c r="W21" s="23"/>
      <c r="X21" s="23"/>
      <c r="Y21" s="23"/>
      <c r="Z21" s="23"/>
    </row>
    <row r="22" customFormat="false" ht="15.75" hidden="false" customHeight="true" outlineLevel="0" collapsed="false">
      <c r="A22" s="52" t="n">
        <v>46303</v>
      </c>
      <c r="B22" s="14" t="s">
        <v>290</v>
      </c>
      <c r="C22" s="14" t="str">
        <f aca="false" t="array" ref="C22:C22">IF(B22="","",IFERROR(INDEX('CLM &amp; IM Mapping'!$B$2:$B$270,MATCH(TRIM(B22),'CLM &amp; IM Mapping'!$A$2:$A$270,0)),"Not Mapped"))</f>
        <v>Akshay P</v>
      </c>
      <c r="D22" s="14" t="str">
        <f aca="false" t="array" ref="D22:D22">IF(B22="","",IFERROR(INDEX('CLM &amp; IM Mapping'!$C$2:$C$270,MATCH(TRIM(B22),'CLM &amp; IM Mapping'!$A$2:$A$270,0)),"Not Mapped"))</f>
        <v>Srittam Dhal</v>
      </c>
      <c r="E22" s="14"/>
      <c r="F22" s="14"/>
      <c r="G22" s="14" t="n">
        <v>498</v>
      </c>
      <c r="H22" s="14" t="n">
        <v>11</v>
      </c>
      <c r="I22" s="14" t="n">
        <v>5</v>
      </c>
      <c r="J22" s="14" t="n">
        <v>504</v>
      </c>
      <c r="K22" s="14" t="n">
        <v>509</v>
      </c>
      <c r="L22" s="21"/>
      <c r="M22" s="11"/>
      <c r="N22" s="23"/>
      <c r="O22" s="23"/>
      <c r="P22" s="23"/>
      <c r="Q22" s="23"/>
      <c r="R22" s="23"/>
      <c r="S22" s="23"/>
      <c r="T22" s="23"/>
      <c r="U22" s="23"/>
      <c r="V22" s="23"/>
      <c r="W22" s="23"/>
      <c r="X22" s="23"/>
      <c r="Y22" s="23"/>
      <c r="Z22" s="23"/>
    </row>
    <row r="23" customFormat="false" ht="15.75" hidden="false" customHeight="true" outlineLevel="0" collapsed="false">
      <c r="A23" s="52" t="n">
        <v>46303</v>
      </c>
      <c r="B23" s="14" t="s">
        <v>94</v>
      </c>
      <c r="C23" s="14" t="str">
        <f aca="false" t="array" ref="C23:C23">IF(B23="","",IFERROR(INDEX('CLM &amp; IM Mapping'!$B$2:$B$270,MATCH(TRIM(B23),'CLM &amp; IM Mapping'!$A$2:$A$270,0)),"Not Mapped"))</f>
        <v>Ashwath S</v>
      </c>
      <c r="D23" s="14" t="str">
        <f aca="false" t="array" ref="D23:D23">IF(B23="","",IFERROR(INDEX('CLM &amp; IM Mapping'!$C$2:$C$270,MATCH(TRIM(B23),'CLM &amp; IM Mapping'!$A$2:$A$270,0)),"Not Mapped"))</f>
        <v>Kantha Kumar</v>
      </c>
      <c r="E23" s="14"/>
      <c r="F23" s="14"/>
      <c r="G23" s="14" t="n">
        <v>500</v>
      </c>
      <c r="H23" s="14"/>
      <c r="I23" s="14" t="n">
        <v>500</v>
      </c>
      <c r="J23" s="14" t="n">
        <v>0</v>
      </c>
      <c r="K23" s="14" t="n">
        <v>500</v>
      </c>
      <c r="L23" s="21"/>
      <c r="M23" s="11"/>
      <c r="N23" s="23"/>
      <c r="O23" s="23"/>
      <c r="P23" s="23"/>
      <c r="Q23" s="23"/>
      <c r="R23" s="23"/>
      <c r="S23" s="23"/>
      <c r="T23" s="23"/>
      <c r="U23" s="23"/>
      <c r="V23" s="23"/>
      <c r="W23" s="23"/>
      <c r="X23" s="23"/>
      <c r="Y23" s="23"/>
      <c r="Z23" s="23"/>
    </row>
    <row r="24" customFormat="false" ht="15.75" hidden="false" customHeight="true" outlineLevel="0" collapsed="false">
      <c r="A24" s="52" t="n">
        <v>46303</v>
      </c>
      <c r="B24" s="14" t="s">
        <v>189</v>
      </c>
      <c r="C24" s="14" t="str">
        <f aca="false" t="array" ref="C24:C24">IF(B24="","",IFERROR(INDEX('CLM &amp; IM Mapping'!$B$2:$B$270,MATCH(TRIM(B24),'CLM &amp; IM Mapping'!$A$2:$A$270,0)),"Not Mapped"))</f>
        <v>Girish N</v>
      </c>
      <c r="D24" s="14" t="str">
        <f aca="false" t="array" ref="D24:D24">IF(B24="","",IFERROR(INDEX('CLM &amp; IM Mapping'!$C$2:$C$270,MATCH(TRIM(B24),'CLM &amp; IM Mapping'!$A$2:$A$270,0)),"Not Mapped"))</f>
        <v>Un Mapped</v>
      </c>
      <c r="E24" s="14"/>
      <c r="F24" s="14"/>
      <c r="G24" s="14" t="n">
        <v>498</v>
      </c>
      <c r="H24" s="14" t="n">
        <v>1</v>
      </c>
      <c r="I24" s="14" t="n">
        <v>481</v>
      </c>
      <c r="J24" s="14" t="n">
        <v>18</v>
      </c>
      <c r="K24" s="14" t="n">
        <v>499</v>
      </c>
      <c r="L24" s="21"/>
      <c r="M24" s="11"/>
      <c r="N24" s="23"/>
      <c r="O24" s="23"/>
      <c r="P24" s="23"/>
      <c r="Q24" s="23"/>
      <c r="R24" s="23"/>
      <c r="S24" s="23"/>
      <c r="T24" s="23"/>
      <c r="U24" s="23"/>
      <c r="V24" s="23"/>
      <c r="W24" s="23"/>
      <c r="X24" s="23"/>
      <c r="Y24" s="23"/>
      <c r="Z24" s="23"/>
    </row>
    <row r="25" customFormat="false" ht="15.75" hidden="false" customHeight="true" outlineLevel="0" collapsed="false">
      <c r="A25" s="52" t="n">
        <v>46303</v>
      </c>
      <c r="B25" s="14" t="s">
        <v>450</v>
      </c>
      <c r="C25" s="14" t="str">
        <f aca="false" t="array" ref="C25:C25">IF(B25="","",IFERROR(INDEX('CLM &amp; IM Mapping'!$B$2:$B$270,MATCH(TRIM(B25),'CLM &amp; IM Mapping'!$A$2:$A$270,0)),"Not Mapped"))</f>
        <v>Santhosha M</v>
      </c>
      <c r="D25" s="14" t="str">
        <f aca="false" t="array" ref="D25:D25">IF(B25="","",IFERROR(INDEX('CLM &amp; IM Mapping'!$C$2:$C$270,MATCH(TRIM(B25),'CLM &amp; IM Mapping'!$A$2:$A$270,0)),"Not Mapped"))</f>
        <v>Aravind S</v>
      </c>
      <c r="E25" s="14" t="n">
        <v>496</v>
      </c>
      <c r="F25" s="14"/>
      <c r="G25" s="14"/>
      <c r="H25" s="14"/>
      <c r="I25" s="14" t="n">
        <v>496</v>
      </c>
      <c r="J25" s="14" t="n">
        <v>0</v>
      </c>
      <c r="K25" s="14" t="n">
        <v>496</v>
      </c>
      <c r="L25" s="21"/>
      <c r="M25" s="11"/>
      <c r="N25" s="23"/>
      <c r="O25" s="23"/>
      <c r="P25" s="23"/>
      <c r="Q25" s="23"/>
      <c r="R25" s="23"/>
      <c r="S25" s="23"/>
      <c r="T25" s="23"/>
      <c r="U25" s="23"/>
      <c r="V25" s="23"/>
      <c r="W25" s="23"/>
      <c r="X25" s="23"/>
      <c r="Y25" s="23"/>
      <c r="Z25" s="23"/>
    </row>
    <row r="26" customFormat="false" ht="15.75" hidden="false" customHeight="true" outlineLevel="0" collapsed="false">
      <c r="A26" s="52" t="n">
        <v>46303</v>
      </c>
      <c r="B26" s="14" t="s">
        <v>437</v>
      </c>
      <c r="C26" s="14" t="str">
        <f aca="false" t="array" ref="C26:C26">IF(B26="","",IFERROR(INDEX('CLM &amp; IM Mapping'!$B$2:$B$270,MATCH(TRIM(B26),'CLM &amp; IM Mapping'!$A$2:$A$270,0)),"Not Mapped"))</f>
        <v>Balaji G</v>
      </c>
      <c r="D26" s="14" t="str">
        <f aca="false" t="array" ref="D26:D26">IF(B26="","",IFERROR(INDEX('CLM &amp; IM Mapping'!$C$2:$C$270,MATCH(TRIM(B26),'CLM &amp; IM Mapping'!$A$2:$A$270,0)),"Not Mapped"))</f>
        <v>Mohammed Akbar</v>
      </c>
      <c r="E26" s="14" t="n">
        <v>477</v>
      </c>
      <c r="F26" s="14"/>
      <c r="G26" s="14"/>
      <c r="H26" s="14"/>
      <c r="I26" s="14" t="n">
        <v>443</v>
      </c>
      <c r="J26" s="14" t="n">
        <v>34</v>
      </c>
      <c r="K26" s="14" t="n">
        <v>477</v>
      </c>
      <c r="L26" s="12" t="s">
        <v>735</v>
      </c>
      <c r="M26" s="54" t="n">
        <v>0.75</v>
      </c>
      <c r="N26" s="23"/>
      <c r="O26" s="23"/>
      <c r="P26" s="23"/>
      <c r="Q26" s="23"/>
      <c r="R26" s="23"/>
      <c r="S26" s="23"/>
      <c r="T26" s="23"/>
      <c r="U26" s="23"/>
      <c r="V26" s="23"/>
      <c r="W26" s="23"/>
      <c r="X26" s="23"/>
      <c r="Y26" s="23"/>
      <c r="Z26" s="23"/>
    </row>
    <row r="27" customFormat="false" ht="15.75" hidden="false" customHeight="true" outlineLevel="0" collapsed="false">
      <c r="A27" s="52" t="n">
        <v>46303</v>
      </c>
      <c r="B27" s="14" t="s">
        <v>50</v>
      </c>
      <c r="C27" s="14" t="str">
        <f aca="false" t="array" ref="C27:C27">IF(B27="","",IFERROR(INDEX('CLM &amp; IM Mapping'!$B$2:$B$270,MATCH(TRIM(B27),'CLM &amp; IM Mapping'!$A$2:$A$270,0)),"Not Mapped"))</f>
        <v>Arun Raj</v>
      </c>
      <c r="D27" s="14" t="str">
        <f aca="false" t="array" ref="D27:D27">IF(B27="","",IFERROR(INDEX('CLM &amp; IM Mapping'!$C$2:$C$270,MATCH(TRIM(B27),'CLM &amp; IM Mapping'!$A$2:$A$270,0)),"Not Mapped"))</f>
        <v>Simon Manoharan</v>
      </c>
      <c r="E27" s="14" t="n">
        <v>298</v>
      </c>
      <c r="F27" s="14"/>
      <c r="G27" s="14" t="n">
        <v>102</v>
      </c>
      <c r="H27" s="14" t="n">
        <v>34</v>
      </c>
      <c r="I27" s="14" t="n">
        <v>322</v>
      </c>
      <c r="J27" s="14" t="n">
        <v>112</v>
      </c>
      <c r="K27" s="14" t="n">
        <v>434</v>
      </c>
      <c r="L27" s="21"/>
      <c r="M27" s="11"/>
      <c r="N27" s="23"/>
      <c r="O27" s="23"/>
      <c r="P27" s="23"/>
      <c r="Q27" s="23"/>
      <c r="R27" s="23"/>
      <c r="S27" s="23"/>
      <c r="T27" s="23"/>
      <c r="U27" s="23"/>
      <c r="V27" s="23"/>
      <c r="W27" s="23"/>
      <c r="X27" s="23"/>
      <c r="Y27" s="23"/>
      <c r="Z27" s="23"/>
    </row>
    <row r="28" customFormat="false" ht="15.75" hidden="false" customHeight="true" outlineLevel="0" collapsed="false">
      <c r="A28" s="52" t="n">
        <v>46303</v>
      </c>
      <c r="B28" s="14" t="s">
        <v>382</v>
      </c>
      <c r="C28" s="14" t="str">
        <f aca="false" t="array" ref="C28:C28">IF(B28="","",IFERROR(INDEX('CLM &amp; IM Mapping'!$B$2:$B$270,MATCH(TRIM(B28),'CLM &amp; IM Mapping'!$A$2:$A$270,0)),"Not Mapped"))</f>
        <v>Arun Raj</v>
      </c>
      <c r="D28" s="14" t="str">
        <f aca="false" t="array" ref="D28:D28">IF(B28="","",IFERROR(INDEX('CLM &amp; IM Mapping'!$C$2:$C$270,MATCH(TRIM(B28),'CLM &amp; IM Mapping'!$A$2:$A$270,0)),"Not Mapped"))</f>
        <v>Simon Manoharan</v>
      </c>
      <c r="E28" s="14" t="n">
        <v>300</v>
      </c>
      <c r="F28" s="14"/>
      <c r="G28" s="14" t="n">
        <v>124</v>
      </c>
      <c r="H28" s="14"/>
      <c r="I28" s="14" t="n">
        <v>300</v>
      </c>
      <c r="J28" s="14" t="n">
        <v>124</v>
      </c>
      <c r="K28" s="14" t="n">
        <v>424</v>
      </c>
      <c r="L28" s="21"/>
      <c r="M28" s="11"/>
      <c r="N28" s="23"/>
      <c r="O28" s="23"/>
      <c r="P28" s="23"/>
      <c r="Q28" s="23"/>
      <c r="R28" s="23"/>
      <c r="S28" s="23"/>
      <c r="T28" s="23"/>
      <c r="U28" s="23"/>
      <c r="V28" s="23"/>
      <c r="W28" s="23"/>
      <c r="X28" s="23"/>
      <c r="Y28" s="23"/>
      <c r="Z28" s="23"/>
    </row>
    <row r="29" customFormat="false" ht="15.75" hidden="false" customHeight="true" outlineLevel="0" collapsed="false">
      <c r="A29" s="52" t="n">
        <v>46303</v>
      </c>
      <c r="B29" s="14" t="s">
        <v>388</v>
      </c>
      <c r="C29" s="14" t="str">
        <f aca="false" t="array" ref="C29:C29">IF(B29="","",IFERROR(INDEX('CLM &amp; IM Mapping'!$B$2:$B$270,MATCH(TRIM(B29),'CLM &amp; IM Mapping'!$A$2:$A$270,0)),"Not Mapped"))</f>
        <v>Arun Raj</v>
      </c>
      <c r="D29" s="14" t="str">
        <f aca="false" t="array" ref="D29:D29">IF(B29="","",IFERROR(INDEX('CLM &amp; IM Mapping'!$C$2:$C$270,MATCH(TRIM(B29),'CLM &amp; IM Mapping'!$A$2:$A$270,0)),"Not Mapped"))</f>
        <v>Simon Manoharan</v>
      </c>
      <c r="E29" s="14" t="n">
        <v>300</v>
      </c>
      <c r="F29" s="14"/>
      <c r="G29" s="14" t="n">
        <v>103</v>
      </c>
      <c r="H29" s="14" t="n">
        <v>15</v>
      </c>
      <c r="I29" s="14" t="n">
        <v>418</v>
      </c>
      <c r="J29" s="14" t="n">
        <v>0</v>
      </c>
      <c r="K29" s="14" t="n">
        <v>418</v>
      </c>
      <c r="L29" s="21"/>
      <c r="M29" s="11"/>
      <c r="N29" s="23"/>
      <c r="O29" s="23"/>
      <c r="P29" s="23"/>
      <c r="Q29" s="23"/>
      <c r="R29" s="23"/>
      <c r="S29" s="23"/>
      <c r="T29" s="23"/>
      <c r="U29" s="23"/>
      <c r="V29" s="23"/>
      <c r="W29" s="23"/>
      <c r="X29" s="23"/>
      <c r="Y29" s="23"/>
      <c r="Z29" s="23"/>
    </row>
    <row r="30" customFormat="false" ht="15.75" hidden="false" customHeight="true" outlineLevel="0" collapsed="false">
      <c r="A30" s="52" t="n">
        <v>46303</v>
      </c>
      <c r="B30" s="14" t="s">
        <v>219</v>
      </c>
      <c r="C30" s="14" t="str">
        <f aca="false" t="array" ref="C30:C30">IF(B30="","",IFERROR(INDEX('CLM &amp; IM Mapping'!$B$2:$B$270,MATCH(TRIM(B30),'CLM &amp; IM Mapping'!$A$2:$A$270,0)),"Not Mapped"))</f>
        <v>Arun Raj</v>
      </c>
      <c r="D30" s="14" t="str">
        <f aca="false" t="array" ref="D30:D30">IF(B30="","",IFERROR(INDEX('CLM &amp; IM Mapping'!$C$2:$C$270,MATCH(TRIM(B30),'CLM &amp; IM Mapping'!$A$2:$A$270,0)),"Not Mapped"))</f>
        <v>Simon Manoharan</v>
      </c>
      <c r="E30" s="14" t="n">
        <v>299</v>
      </c>
      <c r="F30" s="14"/>
      <c r="G30" s="14" t="n">
        <v>117</v>
      </c>
      <c r="H30" s="14"/>
      <c r="I30" s="14" t="n">
        <v>416</v>
      </c>
      <c r="J30" s="14" t="n">
        <v>0</v>
      </c>
      <c r="K30" s="14" t="n">
        <v>416</v>
      </c>
      <c r="L30" s="21"/>
      <c r="M30" s="11"/>
      <c r="N30" s="23"/>
      <c r="O30" s="23"/>
      <c r="P30" s="23"/>
      <c r="Q30" s="23"/>
      <c r="R30" s="23"/>
      <c r="S30" s="23"/>
      <c r="T30" s="23"/>
      <c r="U30" s="23"/>
      <c r="V30" s="23"/>
      <c r="W30" s="23"/>
      <c r="X30" s="23"/>
      <c r="Y30" s="23"/>
      <c r="Z30" s="23"/>
    </row>
    <row r="31" customFormat="false" ht="15.75" hidden="false" customHeight="true" outlineLevel="0" collapsed="false">
      <c r="A31" s="52" t="n">
        <v>46303</v>
      </c>
      <c r="B31" s="14" t="s">
        <v>494</v>
      </c>
      <c r="C31" s="14" t="str">
        <f aca="false" t="array" ref="C31:C31">IF(B31="","",IFERROR(INDEX('CLM &amp; IM Mapping'!$B$2:$B$270,MATCH(TRIM(B31),'CLM &amp; IM Mapping'!$A$2:$A$270,0)),"Not Mapped"))</f>
        <v>Arun Raj</v>
      </c>
      <c r="D31" s="14" t="str">
        <f aca="false" t="array" ref="D31:D31">IF(B31="","",IFERROR(INDEX('CLM &amp; IM Mapping'!$C$2:$C$270,MATCH(TRIM(B31),'CLM &amp; IM Mapping'!$A$2:$A$270,0)),"Not Mapped"))</f>
        <v>Simon Manoharan</v>
      </c>
      <c r="E31" s="14" t="n">
        <v>300</v>
      </c>
      <c r="F31" s="14"/>
      <c r="G31" s="14" t="n">
        <v>105</v>
      </c>
      <c r="H31" s="14"/>
      <c r="I31" s="14" t="n">
        <v>394</v>
      </c>
      <c r="J31" s="14" t="n">
        <v>11</v>
      </c>
      <c r="K31" s="14" t="n">
        <v>405</v>
      </c>
      <c r="L31" s="21"/>
      <c r="M31" s="11"/>
      <c r="N31" s="23"/>
      <c r="O31" s="23"/>
      <c r="P31" s="23"/>
      <c r="Q31" s="23"/>
      <c r="R31" s="23"/>
      <c r="S31" s="23"/>
      <c r="T31" s="23"/>
      <c r="U31" s="23"/>
      <c r="V31" s="23"/>
      <c r="W31" s="23"/>
      <c r="X31" s="23"/>
      <c r="Y31" s="23"/>
      <c r="Z31" s="23"/>
    </row>
    <row r="32" customFormat="false" ht="15.75" hidden="false" customHeight="true" outlineLevel="0" collapsed="false">
      <c r="A32" s="52" t="n">
        <v>46303</v>
      </c>
      <c r="B32" s="14" t="s">
        <v>348</v>
      </c>
      <c r="C32" s="14" t="str">
        <f aca="false" t="array" ref="C32:C32">IF(B32="","",IFERROR(INDEX('CLM &amp; IM Mapping'!$B$2:$B$270,MATCH(TRIM(B32),'CLM &amp; IM Mapping'!$A$2:$A$270,0)),"Not Mapped"))</f>
        <v>Arun Raj</v>
      </c>
      <c r="D32" s="14" t="str">
        <f aca="false" t="array" ref="D32:D32">IF(B32="","",IFERROR(INDEX('CLM &amp; IM Mapping'!$C$2:$C$270,MATCH(TRIM(B32),'CLM &amp; IM Mapping'!$A$2:$A$270,0)),"Not Mapped"))</f>
        <v>Simon Manoharan</v>
      </c>
      <c r="E32" s="14" t="n">
        <v>300</v>
      </c>
      <c r="F32" s="14"/>
      <c r="G32" s="14" t="n">
        <v>54</v>
      </c>
      <c r="H32" s="14"/>
      <c r="I32" s="14" t="n">
        <v>274</v>
      </c>
      <c r="J32" s="14" t="n">
        <v>80</v>
      </c>
      <c r="K32" s="14" t="n">
        <v>354</v>
      </c>
      <c r="L32" s="21"/>
      <c r="M32" s="11"/>
      <c r="N32" s="23"/>
      <c r="O32" s="23"/>
      <c r="P32" s="23"/>
      <c r="Q32" s="23"/>
      <c r="R32" s="23"/>
      <c r="S32" s="23"/>
      <c r="T32" s="23"/>
      <c r="U32" s="23"/>
      <c r="V32" s="23"/>
      <c r="W32" s="23"/>
      <c r="X32" s="23"/>
      <c r="Y32" s="23"/>
      <c r="Z32" s="23"/>
    </row>
    <row r="33" customFormat="false" ht="15.75" hidden="false" customHeight="true" outlineLevel="0" collapsed="false">
      <c r="A33" s="52" t="n">
        <v>46303</v>
      </c>
      <c r="B33" s="14" t="s">
        <v>29</v>
      </c>
      <c r="C33" s="14" t="str">
        <f aca="false" t="array" ref="C33:C33">IF(B33="","",IFERROR(INDEX('CLM &amp; IM Mapping'!$B$2:$B$270,MATCH(TRIM(B33),'CLM &amp; IM Mapping'!$A$2:$A$270,0)),"Not Mapped"))</f>
        <v>Arun Raj</v>
      </c>
      <c r="D33" s="14" t="str">
        <f aca="false" t="array" ref="D33:D33">IF(B33="","",IFERROR(INDEX('CLM &amp; IM Mapping'!$C$2:$C$270,MATCH(TRIM(B33),'CLM &amp; IM Mapping'!$A$2:$A$270,0)),"Not Mapped"))</f>
        <v>Simon Manoharan</v>
      </c>
      <c r="E33" s="14" t="n">
        <v>300</v>
      </c>
      <c r="F33" s="14"/>
      <c r="G33" s="14" t="n">
        <v>49</v>
      </c>
      <c r="H33" s="14"/>
      <c r="I33" s="14" t="n">
        <v>349</v>
      </c>
      <c r="J33" s="14" t="n">
        <v>0</v>
      </c>
      <c r="K33" s="14" t="n">
        <v>349</v>
      </c>
      <c r="L33" s="21"/>
      <c r="M33" s="11"/>
      <c r="N33" s="23"/>
      <c r="O33" s="23"/>
      <c r="P33" s="23"/>
      <c r="Q33" s="23"/>
      <c r="R33" s="23"/>
      <c r="S33" s="23"/>
      <c r="T33" s="23"/>
      <c r="U33" s="23"/>
      <c r="V33" s="23"/>
      <c r="W33" s="23"/>
      <c r="X33" s="23"/>
      <c r="Y33" s="23"/>
      <c r="Z33" s="23"/>
    </row>
    <row r="34" customFormat="false" ht="15.75" hidden="false" customHeight="true" outlineLevel="0" collapsed="false">
      <c r="A34" s="52" t="n">
        <v>46303</v>
      </c>
      <c r="B34" s="14" t="s">
        <v>271</v>
      </c>
      <c r="C34" s="14" t="str">
        <f aca="false" t="array" ref="C34:C34">IF(B34="","",IFERROR(INDEX('CLM &amp; IM Mapping'!$B$2:$B$270,MATCH(TRIM(B34),'CLM &amp; IM Mapping'!$A$2:$A$270,0)),"Not Mapped"))</f>
        <v>Rizwan Ahmed</v>
      </c>
      <c r="D34" s="14" t="str">
        <f aca="false" t="array" ref="D34:D34">IF(B34="","",IFERROR(INDEX('CLM &amp; IM Mapping'!$C$2:$C$270,MATCH(TRIM(B34),'CLM &amp; IM Mapping'!$A$2:$A$270,0)),"Not Mapped"))</f>
        <v>Prakash BS</v>
      </c>
      <c r="E34" s="14"/>
      <c r="F34" s="14"/>
      <c r="G34" s="14" t="n">
        <v>2</v>
      </c>
      <c r="H34" s="14" t="n">
        <v>335</v>
      </c>
      <c r="I34" s="14" t="n">
        <v>337</v>
      </c>
      <c r="J34" s="14" t="n">
        <v>0</v>
      </c>
      <c r="K34" s="14" t="n">
        <v>337</v>
      </c>
      <c r="L34" s="12" t="s">
        <v>729</v>
      </c>
      <c r="M34" s="11"/>
      <c r="N34" s="23"/>
      <c r="O34" s="23"/>
      <c r="P34" s="23"/>
      <c r="Q34" s="23"/>
      <c r="R34" s="23"/>
      <c r="S34" s="23"/>
      <c r="T34" s="23"/>
      <c r="U34" s="23"/>
      <c r="V34" s="23"/>
      <c r="W34" s="23"/>
      <c r="X34" s="23"/>
      <c r="Y34" s="23"/>
      <c r="Z34" s="23"/>
    </row>
    <row r="35" customFormat="false" ht="15.75" hidden="false" customHeight="true" outlineLevel="0" collapsed="false">
      <c r="A35" s="52" t="n">
        <v>46303</v>
      </c>
      <c r="B35" s="14" t="s">
        <v>404</v>
      </c>
      <c r="C35" s="14" t="str">
        <f aca="false" t="array" ref="C35:C35">IF(B35="","",IFERROR(INDEX('CLM &amp; IM Mapping'!$B$2:$B$270,MATCH(TRIM(B35),'CLM &amp; IM Mapping'!$A$2:$A$270,0)),"Not Mapped"))</f>
        <v>Arun Raj</v>
      </c>
      <c r="D35" s="14" t="str">
        <f aca="false" t="array" ref="D35:D35">IF(B35="","",IFERROR(INDEX('CLM &amp; IM Mapping'!$C$2:$C$270,MATCH(TRIM(B35),'CLM &amp; IM Mapping'!$A$2:$A$270,0)),"Not Mapped"))</f>
        <v>Simon Manoharan</v>
      </c>
      <c r="E35" s="14" t="n">
        <v>300</v>
      </c>
      <c r="F35" s="14"/>
      <c r="G35" s="14"/>
      <c r="H35" s="14" t="n">
        <v>8</v>
      </c>
      <c r="I35" s="14" t="n">
        <v>300</v>
      </c>
      <c r="J35" s="14" t="n">
        <v>8</v>
      </c>
      <c r="K35" s="14" t="n">
        <v>308</v>
      </c>
      <c r="L35" s="21"/>
      <c r="M35" s="11"/>
      <c r="N35" s="23"/>
      <c r="O35" s="23"/>
      <c r="P35" s="23"/>
      <c r="Q35" s="23"/>
      <c r="R35" s="23"/>
      <c r="S35" s="23"/>
      <c r="T35" s="23"/>
      <c r="U35" s="23"/>
      <c r="V35" s="23"/>
      <c r="W35" s="23"/>
      <c r="X35" s="23"/>
      <c r="Y35" s="23"/>
      <c r="Z35" s="23"/>
    </row>
    <row r="36" customFormat="false" ht="15.75" hidden="false" customHeight="true" outlineLevel="0" collapsed="false">
      <c r="A36" s="52" t="n">
        <v>46303</v>
      </c>
      <c r="B36" s="14" t="s">
        <v>490</v>
      </c>
      <c r="C36" s="14" t="str">
        <f aca="false" t="array" ref="C36:C36">IF(B36="","",IFERROR(INDEX('CLM &amp; IM Mapping'!$B$2:$B$270,MATCH(TRIM(B36),'CLM &amp; IM Mapping'!$A$2:$A$270,0)),"Not Mapped"))</f>
        <v>Arun Raj</v>
      </c>
      <c r="D36" s="14" t="str">
        <f aca="false" t="array" ref="D36:D36">IF(B36="","",IFERROR(INDEX('CLM &amp; IM Mapping'!$C$2:$C$270,MATCH(TRIM(B36),'CLM &amp; IM Mapping'!$A$2:$A$270,0)),"Not Mapped"))</f>
        <v>Simon Manoharan</v>
      </c>
      <c r="E36" s="14" t="n">
        <v>299</v>
      </c>
      <c r="F36" s="14"/>
      <c r="G36" s="14" t="n">
        <v>7</v>
      </c>
      <c r="H36" s="14"/>
      <c r="I36" s="14" t="n">
        <v>285</v>
      </c>
      <c r="J36" s="14" t="n">
        <v>21</v>
      </c>
      <c r="K36" s="14" t="n">
        <v>306</v>
      </c>
      <c r="L36" s="21"/>
      <c r="M36" s="11"/>
      <c r="N36" s="23"/>
      <c r="O36" s="23"/>
      <c r="P36" s="23"/>
      <c r="Q36" s="23"/>
      <c r="R36" s="23"/>
      <c r="S36" s="23"/>
      <c r="T36" s="23"/>
      <c r="U36" s="23"/>
      <c r="V36" s="23"/>
      <c r="W36" s="23"/>
      <c r="X36" s="23"/>
      <c r="Y36" s="23"/>
      <c r="Z36" s="23"/>
    </row>
    <row r="37" customFormat="false" ht="15.75" hidden="false" customHeight="true" outlineLevel="0" collapsed="false">
      <c r="A37" s="52" t="n">
        <v>46303</v>
      </c>
      <c r="B37" s="14" t="s">
        <v>136</v>
      </c>
      <c r="C37" s="14" t="str">
        <f aca="false" t="array" ref="C37:C37">IF(B37="","",IFERROR(INDEX('CLM &amp; IM Mapping'!$B$2:$B$270,MATCH(TRIM(B37),'CLM &amp; IM Mapping'!$A$2:$A$270,0)),"Not Mapped"))</f>
        <v>Arun Raj</v>
      </c>
      <c r="D37" s="14" t="str">
        <f aca="false" t="array" ref="D37:D37">IF(B37="","",IFERROR(INDEX('CLM &amp; IM Mapping'!$C$2:$C$270,MATCH(TRIM(B37),'CLM &amp; IM Mapping'!$A$2:$A$270,0)),"Not Mapped"))</f>
        <v>Simon Manoharan</v>
      </c>
      <c r="E37" s="14" t="n">
        <v>300</v>
      </c>
      <c r="F37" s="14"/>
      <c r="G37" s="14"/>
      <c r="H37" s="14" t="n">
        <v>5</v>
      </c>
      <c r="I37" s="14" t="n">
        <v>305</v>
      </c>
      <c r="J37" s="14" t="n">
        <v>0</v>
      </c>
      <c r="K37" s="14" t="n">
        <v>305</v>
      </c>
      <c r="L37" s="21"/>
      <c r="M37" s="11"/>
      <c r="N37" s="23"/>
      <c r="O37" s="23"/>
      <c r="P37" s="23"/>
      <c r="Q37" s="23"/>
      <c r="R37" s="23"/>
      <c r="S37" s="23"/>
      <c r="T37" s="23"/>
      <c r="U37" s="23"/>
      <c r="V37" s="23"/>
      <c r="W37" s="23"/>
      <c r="X37" s="23"/>
      <c r="Y37" s="23"/>
      <c r="Z37" s="23"/>
    </row>
    <row r="38" customFormat="false" ht="15.75" hidden="false" customHeight="true" outlineLevel="0" collapsed="false">
      <c r="A38" s="52" t="n">
        <v>46303</v>
      </c>
      <c r="B38" s="14" t="s">
        <v>288</v>
      </c>
      <c r="C38" s="14" t="str">
        <f aca="false" t="array" ref="C38:C38">IF(B38="","",IFERROR(INDEX('CLM &amp; IM Mapping'!$B$2:$B$270,MATCH(TRIM(B38),'CLM &amp; IM Mapping'!$A$2:$A$270,0)),"Not Mapped"))</f>
        <v>Arun Raj</v>
      </c>
      <c r="D38" s="14" t="str">
        <f aca="false" t="array" ref="D38:D38">IF(B38="","",IFERROR(INDEX('CLM &amp; IM Mapping'!$C$2:$C$270,MATCH(TRIM(B38),'CLM &amp; IM Mapping'!$A$2:$A$270,0)),"Not Mapped"))</f>
        <v>Simon Manoharan</v>
      </c>
      <c r="E38" s="14" t="n">
        <v>300</v>
      </c>
      <c r="F38" s="14"/>
      <c r="G38" s="14" t="n">
        <v>4</v>
      </c>
      <c r="H38" s="14"/>
      <c r="I38" s="14" t="n">
        <v>300</v>
      </c>
      <c r="J38" s="14" t="n">
        <v>4</v>
      </c>
      <c r="K38" s="14" t="n">
        <v>304</v>
      </c>
      <c r="L38" s="21"/>
      <c r="M38" s="11"/>
      <c r="N38" s="23"/>
      <c r="O38" s="23"/>
      <c r="P38" s="23"/>
      <c r="Q38" s="23"/>
      <c r="R38" s="23"/>
      <c r="S38" s="23"/>
      <c r="T38" s="23"/>
      <c r="U38" s="23"/>
      <c r="V38" s="23"/>
      <c r="W38" s="23"/>
      <c r="X38" s="23"/>
      <c r="Y38" s="23"/>
      <c r="Z38" s="23"/>
    </row>
    <row r="39" customFormat="false" ht="15.75" hidden="false" customHeight="true" outlineLevel="0" collapsed="false">
      <c r="A39" s="52" t="n">
        <v>46303</v>
      </c>
      <c r="B39" s="14" t="s">
        <v>461</v>
      </c>
      <c r="C39" s="14" t="str">
        <f aca="false" t="array" ref="C39:C39">IF(B39="","",IFERROR(INDEX('CLM &amp; IM Mapping'!$B$2:$B$270,MATCH(TRIM(B39),'CLM &amp; IM Mapping'!$A$2:$A$270,0)),"Not Mapped"))</f>
        <v>Arun Raj</v>
      </c>
      <c r="D39" s="14" t="str">
        <f aca="false" t="array" ref="D39:D39">IF(B39="","",IFERROR(INDEX('CLM &amp; IM Mapping'!$C$2:$C$270,MATCH(TRIM(B39),'CLM &amp; IM Mapping'!$A$2:$A$270,0)),"Not Mapped"))</f>
        <v>Simon Manoharan</v>
      </c>
      <c r="E39" s="14" t="n">
        <v>300</v>
      </c>
      <c r="F39" s="14"/>
      <c r="G39" s="14" t="n">
        <v>1</v>
      </c>
      <c r="H39" s="14"/>
      <c r="I39" s="14" t="n">
        <v>301</v>
      </c>
      <c r="J39" s="14" t="n">
        <v>0</v>
      </c>
      <c r="K39" s="14" t="n">
        <v>301</v>
      </c>
      <c r="L39" s="21"/>
      <c r="M39" s="11"/>
      <c r="N39" s="23"/>
      <c r="O39" s="23"/>
      <c r="P39" s="23"/>
      <c r="Q39" s="23"/>
      <c r="R39" s="23"/>
      <c r="S39" s="23"/>
      <c r="T39" s="23"/>
      <c r="U39" s="23"/>
      <c r="V39" s="23"/>
      <c r="W39" s="23"/>
      <c r="X39" s="23"/>
      <c r="Y39" s="23"/>
      <c r="Z39" s="23"/>
    </row>
    <row r="40" customFormat="false" ht="15.75" hidden="false" customHeight="true" outlineLevel="0" collapsed="false">
      <c r="A40" s="52" t="n">
        <v>46303</v>
      </c>
      <c r="B40" s="14" t="s">
        <v>248</v>
      </c>
      <c r="C40" s="14" t="str">
        <f aca="false" t="array" ref="C40:C40">IF(B40="","",IFERROR(INDEX('CLM &amp; IM Mapping'!$B$2:$B$270,MATCH(TRIM(B40),'CLM &amp; IM Mapping'!$A$2:$A$270,0)),"Not Mapped"))</f>
        <v>Arun Raj</v>
      </c>
      <c r="D40" s="14" t="str">
        <f aca="false" t="array" ref="D40:D40">IF(B40="","",IFERROR(INDEX('CLM &amp; IM Mapping'!$C$2:$C$270,MATCH(TRIM(B40),'CLM &amp; IM Mapping'!$A$2:$A$270,0)),"Not Mapped"))</f>
        <v>Simon Manoharan</v>
      </c>
      <c r="E40" s="14" t="n">
        <v>300</v>
      </c>
      <c r="F40" s="14"/>
      <c r="G40" s="14"/>
      <c r="H40" s="14"/>
      <c r="I40" s="14" t="n">
        <v>300</v>
      </c>
      <c r="J40" s="14" t="n">
        <v>0</v>
      </c>
      <c r="K40" s="14" t="n">
        <v>300</v>
      </c>
      <c r="L40" s="21"/>
      <c r="M40" s="11"/>
      <c r="N40" s="23"/>
      <c r="O40" s="23"/>
      <c r="P40" s="23"/>
      <c r="Q40" s="23"/>
      <c r="R40" s="23"/>
      <c r="S40" s="23"/>
      <c r="T40" s="23"/>
      <c r="U40" s="23"/>
      <c r="V40" s="23"/>
      <c r="W40" s="23"/>
      <c r="X40" s="23"/>
      <c r="Y40" s="23"/>
      <c r="Z40" s="23"/>
    </row>
    <row r="41" customFormat="false" ht="15.75" hidden="false" customHeight="true" outlineLevel="0" collapsed="false">
      <c r="A41" s="52" t="n">
        <v>46303</v>
      </c>
      <c r="B41" s="14" t="s">
        <v>357</v>
      </c>
      <c r="C41" s="14" t="str">
        <f aca="false" t="array" ref="C41:C41">IF(B41="","",IFERROR(INDEX('CLM &amp; IM Mapping'!$B$2:$B$270,MATCH(TRIM(B41),'CLM &amp; IM Mapping'!$A$2:$A$270,0)),"Not Mapped"))</f>
        <v>Arun Raj</v>
      </c>
      <c r="D41" s="14" t="str">
        <f aca="false" t="array" ref="D41:D41">IF(B41="","",IFERROR(INDEX('CLM &amp; IM Mapping'!$C$2:$C$270,MATCH(TRIM(B41),'CLM &amp; IM Mapping'!$A$2:$A$270,0)),"Not Mapped"))</f>
        <v>Simon Manoharan</v>
      </c>
      <c r="E41" s="14" t="n">
        <v>300</v>
      </c>
      <c r="F41" s="14"/>
      <c r="G41" s="14"/>
      <c r="H41" s="14"/>
      <c r="I41" s="14" t="n">
        <v>300</v>
      </c>
      <c r="J41" s="14" t="n">
        <v>0</v>
      </c>
      <c r="K41" s="14" t="n">
        <v>300</v>
      </c>
      <c r="L41" s="21"/>
      <c r="M41" s="11"/>
      <c r="N41" s="23"/>
      <c r="O41" s="23"/>
      <c r="P41" s="23"/>
      <c r="Q41" s="23"/>
      <c r="R41" s="23"/>
      <c r="S41" s="23"/>
      <c r="T41" s="23"/>
      <c r="U41" s="23"/>
      <c r="V41" s="23"/>
      <c r="W41" s="23"/>
      <c r="X41" s="23"/>
      <c r="Y41" s="23"/>
      <c r="Z41" s="23"/>
    </row>
    <row r="42" customFormat="false" ht="15.75" hidden="false" customHeight="true" outlineLevel="0" collapsed="false">
      <c r="A42" s="52" t="n">
        <v>46303</v>
      </c>
      <c r="B42" s="14" t="s">
        <v>548</v>
      </c>
      <c r="C42" s="14" t="str">
        <f aca="false" t="array" ref="C42:C42">IF(B42="","",IFERROR(INDEX('CLM &amp; IM Mapping'!$B$2:$B$270,MATCH(TRIM(B42),'CLM &amp; IM Mapping'!$A$2:$A$270,0)),"Not Mapped"))</f>
        <v>Arun Raj</v>
      </c>
      <c r="D42" s="14" t="str">
        <f aca="false" t="array" ref="D42:D42">IF(B42="","",IFERROR(INDEX('CLM &amp; IM Mapping'!$C$2:$C$270,MATCH(TRIM(B42),'CLM &amp; IM Mapping'!$A$2:$A$270,0)),"Not Mapped"))</f>
        <v>Simon Manoharan</v>
      </c>
      <c r="E42" s="14" t="n">
        <v>300</v>
      </c>
      <c r="F42" s="14"/>
      <c r="G42" s="14"/>
      <c r="H42" s="14"/>
      <c r="I42" s="14" t="n">
        <v>300</v>
      </c>
      <c r="J42" s="14" t="n">
        <v>0</v>
      </c>
      <c r="K42" s="14" t="n">
        <v>300</v>
      </c>
      <c r="L42" s="21"/>
      <c r="M42" s="11"/>
      <c r="N42" s="23"/>
      <c r="O42" s="23"/>
      <c r="P42" s="23"/>
      <c r="Q42" s="23"/>
      <c r="R42" s="23"/>
      <c r="S42" s="23"/>
      <c r="T42" s="23"/>
      <c r="U42" s="23"/>
      <c r="V42" s="23"/>
      <c r="W42" s="23"/>
      <c r="X42" s="23"/>
      <c r="Y42" s="23"/>
      <c r="Z42" s="23"/>
    </row>
    <row r="43" customFormat="false" ht="15.75" hidden="false" customHeight="true" outlineLevel="0" collapsed="false">
      <c r="A43" s="52" t="n">
        <v>46303</v>
      </c>
      <c r="B43" s="14" t="s">
        <v>224</v>
      </c>
      <c r="C43" s="14" t="str">
        <f aca="false" t="array" ref="C43:C43">IF(B43="","",IFERROR(INDEX('CLM &amp; IM Mapping'!$B$2:$B$270,MATCH(TRIM(B43),'CLM &amp; IM Mapping'!$A$2:$A$270,0)),"Not Mapped"))</f>
        <v>Vishnu V</v>
      </c>
      <c r="D43" s="14" t="str">
        <f aca="false" t="array" ref="D43:D43">IF(B43="","",IFERROR(INDEX('CLM &amp; IM Mapping'!$C$2:$C$270,MATCH(TRIM(B43),'CLM &amp; IM Mapping'!$A$2:$A$270,0)),"Not Mapped"))</f>
        <v>Arivind S</v>
      </c>
      <c r="E43" s="14" t="n">
        <v>300</v>
      </c>
      <c r="F43" s="14"/>
      <c r="G43" s="14"/>
      <c r="H43" s="14"/>
      <c r="I43" s="14" t="n">
        <v>300</v>
      </c>
      <c r="J43" s="14" t="n">
        <v>0</v>
      </c>
      <c r="K43" s="14" t="n">
        <v>300</v>
      </c>
      <c r="L43" s="12" t="s">
        <v>787</v>
      </c>
      <c r="M43" s="12" t="s">
        <v>641</v>
      </c>
      <c r="N43" s="23"/>
      <c r="O43" s="23"/>
      <c r="P43" s="23"/>
      <c r="Q43" s="23"/>
      <c r="R43" s="23"/>
      <c r="S43" s="23"/>
      <c r="T43" s="23"/>
      <c r="U43" s="23"/>
      <c r="V43" s="23"/>
      <c r="W43" s="23"/>
      <c r="X43" s="23"/>
      <c r="Y43" s="23"/>
      <c r="Z43" s="23"/>
    </row>
    <row r="44" customFormat="false" ht="15.75" hidden="false" customHeight="true" outlineLevel="0" collapsed="false">
      <c r="A44" s="52" t="n">
        <v>46303</v>
      </c>
      <c r="B44" s="14" t="s">
        <v>231</v>
      </c>
      <c r="C44" s="14" t="str">
        <f aca="false" t="array" ref="C44:C44">IF(B44="","",IFERROR(INDEX('CLM &amp; IM Mapping'!$B$2:$B$270,MATCH(TRIM(B44),'CLM &amp; IM Mapping'!$A$2:$A$270,0)),"Not Mapped"))</f>
        <v>Arun Raj</v>
      </c>
      <c r="D44" s="14" t="str">
        <f aca="false" t="array" ref="D44:D44">IF(B44="","",IFERROR(INDEX('CLM &amp; IM Mapping'!$C$2:$C$270,MATCH(TRIM(B44),'CLM &amp; IM Mapping'!$A$2:$A$270,0)),"Not Mapped"))</f>
        <v>Simon Manoharan</v>
      </c>
      <c r="E44" s="14" t="n">
        <v>300</v>
      </c>
      <c r="F44" s="14"/>
      <c r="G44" s="14"/>
      <c r="H44" s="14"/>
      <c r="I44" s="14" t="n">
        <v>1</v>
      </c>
      <c r="J44" s="14" t="n">
        <v>299</v>
      </c>
      <c r="K44" s="14" t="n">
        <v>300</v>
      </c>
      <c r="L44" s="21"/>
      <c r="M44" s="11"/>
      <c r="N44" s="23"/>
      <c r="O44" s="23"/>
      <c r="P44" s="23"/>
      <c r="Q44" s="23"/>
      <c r="R44" s="23"/>
      <c r="S44" s="23"/>
      <c r="T44" s="23"/>
      <c r="U44" s="23"/>
      <c r="V44" s="23"/>
      <c r="W44" s="23"/>
      <c r="X44" s="23"/>
      <c r="Y44" s="23"/>
      <c r="Z44" s="23"/>
    </row>
    <row r="45" customFormat="false" ht="15.75" hidden="false" customHeight="true" outlineLevel="0" collapsed="false">
      <c r="A45" s="52" t="n">
        <v>46303</v>
      </c>
      <c r="B45" s="14" t="s">
        <v>386</v>
      </c>
      <c r="C45" s="14" t="str">
        <f aca="false" t="array" ref="C45:C45">IF(B45="","",IFERROR(INDEX('CLM &amp; IM Mapping'!$B$2:$B$270,MATCH(TRIM(B45),'CLM &amp; IM Mapping'!$A$2:$A$270,0)),"Not Mapped"))</f>
        <v>Arun Raj</v>
      </c>
      <c r="D45" s="14" t="str">
        <f aca="false" t="array" ref="D45:D45">IF(B45="","",IFERROR(INDEX('CLM &amp; IM Mapping'!$C$2:$C$270,MATCH(TRIM(B45),'CLM &amp; IM Mapping'!$A$2:$A$270,0)),"Not Mapped"))</f>
        <v>Simon Manoharan</v>
      </c>
      <c r="E45" s="14" t="n">
        <v>299</v>
      </c>
      <c r="F45" s="14"/>
      <c r="G45" s="14"/>
      <c r="H45" s="14"/>
      <c r="I45" s="14" t="n">
        <v>299</v>
      </c>
      <c r="J45" s="14" t="n">
        <v>0</v>
      </c>
      <c r="K45" s="14" t="n">
        <v>299</v>
      </c>
      <c r="L45" s="21"/>
      <c r="M45" s="11"/>
      <c r="N45" s="23"/>
      <c r="O45" s="23"/>
      <c r="P45" s="23"/>
      <c r="Q45" s="23"/>
      <c r="R45" s="23"/>
      <c r="S45" s="23"/>
      <c r="T45" s="23"/>
      <c r="U45" s="23"/>
      <c r="V45" s="23"/>
      <c r="W45" s="23"/>
      <c r="X45" s="23"/>
      <c r="Y45" s="23"/>
      <c r="Z45" s="23"/>
    </row>
    <row r="46" customFormat="false" ht="15.75" hidden="false" customHeight="true" outlineLevel="0" collapsed="false">
      <c r="A46" s="52" t="n">
        <v>46303</v>
      </c>
      <c r="B46" s="14" t="s">
        <v>175</v>
      </c>
      <c r="C46" s="14" t="str">
        <f aca="false" t="array" ref="C46:C46">IF(B46="","",IFERROR(INDEX('CLM &amp; IM Mapping'!$B$2:$B$270,MATCH(TRIM(B46),'CLM &amp; IM Mapping'!$A$2:$A$270,0)),"Not Mapped"))</f>
        <v>Arun Raj</v>
      </c>
      <c r="D46" s="14" t="str">
        <f aca="false" t="array" ref="D46:D46">IF(B46="","",IFERROR(INDEX('CLM &amp; IM Mapping'!$C$2:$C$270,MATCH(TRIM(B46),'CLM &amp; IM Mapping'!$A$2:$A$270,0)),"Not Mapped"))</f>
        <v>Simon Manoharan</v>
      </c>
      <c r="E46" s="14" t="n">
        <v>299</v>
      </c>
      <c r="F46" s="14"/>
      <c r="G46" s="14"/>
      <c r="H46" s="14"/>
      <c r="I46" s="14" t="n">
        <v>299</v>
      </c>
      <c r="J46" s="14" t="n">
        <v>0</v>
      </c>
      <c r="K46" s="14" t="n">
        <v>299</v>
      </c>
      <c r="L46" s="21"/>
      <c r="M46" s="11"/>
      <c r="N46" s="23"/>
      <c r="O46" s="23"/>
      <c r="P46" s="23"/>
      <c r="Q46" s="23"/>
      <c r="R46" s="23"/>
      <c r="S46" s="23"/>
      <c r="T46" s="23"/>
      <c r="U46" s="23"/>
      <c r="V46" s="23"/>
      <c r="W46" s="23"/>
      <c r="X46" s="23"/>
      <c r="Y46" s="23"/>
      <c r="Z46" s="23"/>
    </row>
    <row r="47" customFormat="false" ht="15.75" hidden="false" customHeight="true" outlineLevel="0" collapsed="false">
      <c r="A47" s="52" t="n">
        <v>46303</v>
      </c>
      <c r="B47" s="14" t="s">
        <v>413</v>
      </c>
      <c r="C47" s="14" t="str">
        <f aca="false" t="array" ref="C47:C47">IF(B47="","",IFERROR(INDEX('CLM &amp; IM Mapping'!$B$2:$B$270,MATCH(TRIM(B47),'CLM &amp; IM Mapping'!$A$2:$A$270,0)),"Not Mapped"))</f>
        <v>Arun Raj</v>
      </c>
      <c r="D47" s="14" t="str">
        <f aca="false" t="array" ref="D47:D47">IF(B47="","",IFERROR(INDEX('CLM &amp; IM Mapping'!$C$2:$C$270,MATCH(TRIM(B47),'CLM &amp; IM Mapping'!$A$2:$A$270,0)),"Not Mapped"))</f>
        <v>Simon Manoharan</v>
      </c>
      <c r="E47" s="14" t="n">
        <v>299</v>
      </c>
      <c r="F47" s="14"/>
      <c r="G47" s="14"/>
      <c r="H47" s="14"/>
      <c r="I47" s="14" t="n">
        <v>299</v>
      </c>
      <c r="J47" s="14" t="n">
        <v>0</v>
      </c>
      <c r="K47" s="14" t="n">
        <v>299</v>
      </c>
      <c r="L47" s="21"/>
      <c r="M47" s="11"/>
      <c r="N47" s="23"/>
      <c r="O47" s="23"/>
      <c r="P47" s="23"/>
      <c r="Q47" s="23"/>
      <c r="R47" s="23"/>
      <c r="S47" s="23"/>
      <c r="T47" s="23"/>
      <c r="U47" s="23"/>
      <c r="V47" s="23"/>
      <c r="W47" s="23"/>
      <c r="X47" s="23"/>
      <c r="Y47" s="23"/>
      <c r="Z47" s="23"/>
    </row>
    <row r="48" customFormat="false" ht="15.75" hidden="false" customHeight="true" outlineLevel="0" collapsed="false">
      <c r="A48" s="52" t="n">
        <v>46303</v>
      </c>
      <c r="B48" s="14" t="s">
        <v>229</v>
      </c>
      <c r="C48" s="14" t="str">
        <f aca="false" t="array" ref="C48:C48">IF(B48="","",IFERROR(INDEX('CLM &amp; IM Mapping'!$B$2:$B$270,MATCH(TRIM(B48),'CLM &amp; IM Mapping'!$A$2:$A$270,0)),"Not Mapped"))</f>
        <v>Arun Raj</v>
      </c>
      <c r="D48" s="14" t="str">
        <f aca="false" t="array" ref="D48:D48">IF(B48="","",IFERROR(INDEX('CLM &amp; IM Mapping'!$C$2:$C$270,MATCH(TRIM(B48),'CLM &amp; IM Mapping'!$A$2:$A$270,0)),"Not Mapped"))</f>
        <v>Simon Manoharan</v>
      </c>
      <c r="E48" s="14" t="n">
        <v>299</v>
      </c>
      <c r="F48" s="14"/>
      <c r="G48" s="14"/>
      <c r="H48" s="14"/>
      <c r="I48" s="14" t="n">
        <v>299</v>
      </c>
      <c r="J48" s="14" t="n">
        <v>0</v>
      </c>
      <c r="K48" s="14" t="n">
        <v>299</v>
      </c>
      <c r="L48" s="21"/>
      <c r="M48" s="11"/>
      <c r="N48" s="23"/>
      <c r="O48" s="23"/>
      <c r="P48" s="23"/>
      <c r="Q48" s="23"/>
      <c r="R48" s="23"/>
      <c r="S48" s="23"/>
      <c r="T48" s="23"/>
      <c r="U48" s="23"/>
      <c r="V48" s="23"/>
      <c r="W48" s="23"/>
      <c r="X48" s="23"/>
      <c r="Y48" s="23"/>
      <c r="Z48" s="23"/>
    </row>
    <row r="49" customFormat="false" ht="15.75" hidden="false" customHeight="true" outlineLevel="0" collapsed="false">
      <c r="A49" s="52" t="n">
        <v>46303</v>
      </c>
      <c r="B49" s="14" t="s">
        <v>272</v>
      </c>
      <c r="C49" s="14" t="str">
        <f aca="false" t="array" ref="C49:C49">IF(B49="","",IFERROR(INDEX('CLM &amp; IM Mapping'!$B$2:$B$270,MATCH(TRIM(B49),'CLM &amp; IM Mapping'!$A$2:$A$270,0)),"Not Mapped"))</f>
        <v>Arun Raj</v>
      </c>
      <c r="D49" s="14" t="str">
        <f aca="false" t="array" ref="D49:D49">IF(B49="","",IFERROR(INDEX('CLM &amp; IM Mapping'!$C$2:$C$270,MATCH(TRIM(B49),'CLM &amp; IM Mapping'!$A$2:$A$270,0)),"Not Mapped"))</f>
        <v>Simon Manoharan</v>
      </c>
      <c r="E49" s="14" t="n">
        <v>298</v>
      </c>
      <c r="F49" s="14"/>
      <c r="G49" s="14"/>
      <c r="H49" s="14"/>
      <c r="I49" s="14" t="n">
        <v>298</v>
      </c>
      <c r="J49" s="14" t="n">
        <v>0</v>
      </c>
      <c r="K49" s="14" t="n">
        <v>298</v>
      </c>
      <c r="L49" s="21"/>
      <c r="M49" s="11"/>
      <c r="N49" s="23"/>
      <c r="O49" s="23"/>
      <c r="P49" s="23"/>
      <c r="Q49" s="23"/>
      <c r="R49" s="23"/>
      <c r="S49" s="23"/>
      <c r="T49" s="23"/>
      <c r="U49" s="23"/>
      <c r="V49" s="23"/>
      <c r="W49" s="23"/>
      <c r="X49" s="23"/>
      <c r="Y49" s="23"/>
      <c r="Z49" s="23"/>
    </row>
    <row r="50" customFormat="false" ht="15.75" hidden="false" customHeight="true" outlineLevel="0" collapsed="false">
      <c r="A50" s="52" t="n">
        <v>46303</v>
      </c>
      <c r="B50" s="14" t="s">
        <v>24</v>
      </c>
      <c r="C50" s="14" t="str">
        <f aca="false" t="array" ref="C50:C50">IF(B50="","",IFERROR(INDEX('CLM &amp; IM Mapping'!$B$2:$B$270,MATCH(TRIM(B50),'CLM &amp; IM Mapping'!$A$2:$A$270,0)),"Not Mapped"))</f>
        <v>Arun Raj</v>
      </c>
      <c r="D50" s="14" t="str">
        <f aca="false" t="array" ref="D50:D50">IF(B50="","",IFERROR(INDEX('CLM &amp; IM Mapping'!$C$2:$C$270,MATCH(TRIM(B50),'CLM &amp; IM Mapping'!$A$2:$A$270,0)),"Not Mapped"))</f>
        <v>Simon Manoharan</v>
      </c>
      <c r="E50" s="14" t="n">
        <v>198</v>
      </c>
      <c r="F50" s="14"/>
      <c r="G50" s="14" t="n">
        <v>80</v>
      </c>
      <c r="H50" s="14" t="n">
        <v>3</v>
      </c>
      <c r="I50" s="14" t="n">
        <v>202</v>
      </c>
      <c r="J50" s="14" t="n">
        <v>79</v>
      </c>
      <c r="K50" s="14" t="n">
        <v>281</v>
      </c>
      <c r="L50" s="21"/>
      <c r="M50" s="11"/>
      <c r="N50" s="23"/>
      <c r="O50" s="23"/>
      <c r="P50" s="23"/>
      <c r="Q50" s="23"/>
      <c r="R50" s="23"/>
      <c r="S50" s="23"/>
      <c r="T50" s="23"/>
      <c r="U50" s="23"/>
      <c r="V50" s="23"/>
      <c r="W50" s="23"/>
      <c r="X50" s="23"/>
      <c r="Y50" s="23"/>
      <c r="Z50" s="23"/>
    </row>
    <row r="51" customFormat="false" ht="15.75" hidden="false" customHeight="true" outlineLevel="0" collapsed="false">
      <c r="A51" s="52" t="n">
        <v>46303</v>
      </c>
      <c r="B51" s="14" t="s">
        <v>153</v>
      </c>
      <c r="C51" s="14" t="str">
        <f aca="false" t="array" ref="C51:C51">IF(B51="","",IFERROR(INDEX('CLM &amp; IM Mapping'!$B$2:$B$270,MATCH(TRIM(B51),'CLM &amp; IM Mapping'!$A$2:$A$270,0)),"Not Mapped"))</f>
        <v>Ashwath S</v>
      </c>
      <c r="D51" s="14" t="str">
        <f aca="false" t="array" ref="D51:D51">IF(B51="","",IFERROR(INDEX('CLM &amp; IM Mapping'!$C$2:$C$270,MATCH(TRIM(B51),'CLM &amp; IM Mapping'!$A$2:$A$270,0)),"Not Mapped"))</f>
        <v>Kantha Kumar</v>
      </c>
      <c r="E51" s="14"/>
      <c r="F51" s="14"/>
      <c r="G51" s="14" t="n">
        <v>8</v>
      </c>
      <c r="H51" s="14" t="n">
        <v>269</v>
      </c>
      <c r="I51" s="14" t="n">
        <v>277</v>
      </c>
      <c r="J51" s="14" t="n">
        <v>0</v>
      </c>
      <c r="K51" s="14" t="n">
        <v>277</v>
      </c>
      <c r="L51" s="21"/>
      <c r="M51" s="11"/>
      <c r="N51" s="23"/>
      <c r="O51" s="23"/>
      <c r="P51" s="23"/>
      <c r="Q51" s="23"/>
      <c r="R51" s="23"/>
      <c r="S51" s="23"/>
      <c r="T51" s="23"/>
      <c r="U51" s="23"/>
      <c r="V51" s="23"/>
      <c r="W51" s="23"/>
      <c r="X51" s="23"/>
      <c r="Y51" s="23"/>
      <c r="Z51" s="23"/>
    </row>
    <row r="52" customFormat="false" ht="15.75" hidden="false" customHeight="true" outlineLevel="0" collapsed="false">
      <c r="A52" s="52" t="n">
        <v>46303</v>
      </c>
      <c r="B52" s="14" t="s">
        <v>205</v>
      </c>
      <c r="C52" s="14" t="str">
        <f aca="false" t="array" ref="C52:C52">IF(B52="","",IFERROR(INDEX('CLM &amp; IM Mapping'!$B$2:$B$270,MATCH(TRIM(B52),'CLM &amp; IM Mapping'!$A$2:$A$270,0)),"Not Mapped"))</f>
        <v>Akshay P</v>
      </c>
      <c r="D52" s="14" t="str">
        <f aca="false" t="array" ref="D52:D52">IF(B52="","",IFERROR(INDEX('CLM &amp; IM Mapping'!$C$2:$C$270,MATCH(TRIM(B52),'CLM &amp; IM Mapping'!$A$2:$A$270,0)),"Not Mapped"))</f>
        <v>Srittam Dhal</v>
      </c>
      <c r="E52" s="14"/>
      <c r="F52" s="14"/>
      <c r="G52" s="14"/>
      <c r="H52" s="14" t="n">
        <v>236</v>
      </c>
      <c r="I52" s="14" t="n">
        <v>236</v>
      </c>
      <c r="J52" s="14" t="n">
        <v>0</v>
      </c>
      <c r="K52" s="14" t="n">
        <v>236</v>
      </c>
      <c r="L52" s="21"/>
      <c r="M52" s="11"/>
      <c r="N52" s="23"/>
      <c r="O52" s="23"/>
      <c r="P52" s="23"/>
      <c r="Q52" s="23"/>
      <c r="R52" s="23"/>
      <c r="S52" s="23"/>
      <c r="T52" s="23"/>
      <c r="U52" s="23"/>
      <c r="V52" s="23"/>
      <c r="W52" s="23"/>
      <c r="X52" s="23"/>
      <c r="Y52" s="23"/>
      <c r="Z52" s="23"/>
    </row>
    <row r="53" customFormat="false" ht="15.75" hidden="false" customHeight="true" outlineLevel="0" collapsed="false">
      <c r="A53" s="52" t="n">
        <v>46303</v>
      </c>
      <c r="B53" s="14" t="s">
        <v>144</v>
      </c>
      <c r="C53" s="14" t="str">
        <f aca="false" t="array" ref="C53:C53">IF(B53="","",IFERROR(INDEX('CLM &amp; IM Mapping'!$B$2:$B$270,MATCH(TRIM(B53),'CLM &amp; IM Mapping'!$A$2:$A$270,0)),"Not Mapped"))</f>
        <v>Mohaideen DH</v>
      </c>
      <c r="D53" s="14" t="str">
        <f aca="false" t="array" ref="D53:D53">IF(B53="","",IFERROR(INDEX('CLM &amp; IM Mapping'!$C$2:$C$270,MATCH(TRIM(B53),'CLM &amp; IM Mapping'!$A$2:$A$270,0)),"Not Mapped"))</f>
        <v>Mohammed Akbar</v>
      </c>
      <c r="E53" s="14"/>
      <c r="F53" s="14"/>
      <c r="G53" s="14" t="n">
        <v>13</v>
      </c>
      <c r="H53" s="14" t="n">
        <v>210</v>
      </c>
      <c r="I53" s="14" t="n">
        <v>222</v>
      </c>
      <c r="J53" s="14" t="n">
        <v>1</v>
      </c>
      <c r="K53" s="14" t="n">
        <v>223</v>
      </c>
      <c r="L53" s="12" t="s">
        <v>736</v>
      </c>
      <c r="M53" s="54" t="n">
        <v>0.875</v>
      </c>
      <c r="N53" s="23"/>
      <c r="O53" s="23"/>
      <c r="P53" s="23"/>
      <c r="Q53" s="23"/>
      <c r="R53" s="23"/>
      <c r="S53" s="23"/>
      <c r="T53" s="23"/>
      <c r="U53" s="23"/>
      <c r="V53" s="23"/>
      <c r="W53" s="23"/>
      <c r="X53" s="23"/>
      <c r="Y53" s="23"/>
      <c r="Z53" s="23"/>
    </row>
    <row r="54" customFormat="false" ht="15.75" hidden="false" customHeight="true" outlineLevel="0" collapsed="false">
      <c r="A54" s="52" t="n">
        <v>46303</v>
      </c>
      <c r="B54" s="14" t="s">
        <v>367</v>
      </c>
      <c r="C54" s="14" t="str">
        <f aca="false" t="array" ref="C54:C54">IF(B54="","",IFERROR(INDEX('CLM &amp; IM Mapping'!$B$2:$B$270,MATCH(TRIM(B54),'CLM &amp; IM Mapping'!$A$2:$A$270,0)),"Not Mapped"))</f>
        <v>Akshay P</v>
      </c>
      <c r="D54" s="14" t="str">
        <f aca="false" t="array" ref="D54:D54">IF(B54="","",IFERROR(INDEX('CLM &amp; IM Mapping'!$C$2:$C$270,MATCH(TRIM(B54),'CLM &amp; IM Mapping'!$A$2:$A$270,0)),"Not Mapped"))</f>
        <v>Srittam Dhal</v>
      </c>
      <c r="E54" s="14"/>
      <c r="F54" s="14"/>
      <c r="G54" s="14" t="n">
        <v>17</v>
      </c>
      <c r="H54" s="14" t="n">
        <v>118</v>
      </c>
      <c r="I54" s="14" t="n">
        <v>135</v>
      </c>
      <c r="J54" s="14" t="n">
        <v>0</v>
      </c>
      <c r="K54" s="14" t="n">
        <v>135</v>
      </c>
      <c r="L54" s="21"/>
      <c r="M54" s="11"/>
      <c r="N54" s="23"/>
      <c r="O54" s="23"/>
      <c r="P54" s="23"/>
      <c r="Q54" s="23"/>
      <c r="R54" s="23"/>
      <c r="S54" s="23"/>
      <c r="T54" s="23"/>
      <c r="U54" s="23"/>
      <c r="V54" s="23"/>
      <c r="W54" s="23"/>
      <c r="X54" s="23"/>
      <c r="Y54" s="23"/>
      <c r="Z54" s="23"/>
    </row>
    <row r="55" customFormat="false" ht="15.75" hidden="false" customHeight="true" outlineLevel="0" collapsed="false">
      <c r="A55" s="52" t="n">
        <v>46303</v>
      </c>
      <c r="B55" s="14" t="s">
        <v>83</v>
      </c>
      <c r="C55" s="14" t="str">
        <f aca="false" t="array" ref="C55:C55">IF(B55="","",IFERROR(INDEX('CLM &amp; IM Mapping'!$B$2:$B$270,MATCH(TRIM(B55),'CLM &amp; IM Mapping'!$A$2:$A$270,0)),"Not Mapped"))</f>
        <v>Keshav G</v>
      </c>
      <c r="D55" s="14" t="str">
        <f aca="false" t="array" ref="D55:D55">IF(B55="","",IFERROR(INDEX('CLM &amp; IM Mapping'!$C$2:$C$270,MATCH(TRIM(B55),'CLM &amp; IM Mapping'!$A$2:$A$270,0)),"Not Mapped"))</f>
        <v>Mohammed Akbar</v>
      </c>
      <c r="E55" s="14"/>
      <c r="F55" s="14"/>
      <c r="G55" s="14" t="n">
        <v>1</v>
      </c>
      <c r="H55" s="14" t="n">
        <v>129</v>
      </c>
      <c r="I55" s="14" t="n">
        <v>130</v>
      </c>
      <c r="J55" s="14" t="n">
        <v>0</v>
      </c>
      <c r="K55" s="14" t="n">
        <v>130</v>
      </c>
      <c r="L55" s="21"/>
      <c r="M55" s="11"/>
      <c r="N55" s="23"/>
      <c r="O55" s="23"/>
      <c r="P55" s="23"/>
      <c r="Q55" s="23"/>
      <c r="R55" s="23"/>
      <c r="S55" s="23"/>
      <c r="T55" s="23"/>
      <c r="U55" s="23"/>
      <c r="V55" s="23"/>
      <c r="W55" s="23"/>
      <c r="X55" s="23"/>
      <c r="Y55" s="23"/>
      <c r="Z55" s="23"/>
    </row>
    <row r="56" customFormat="false" ht="15.75" hidden="false" customHeight="true" outlineLevel="0" collapsed="false">
      <c r="A56" s="52" t="n">
        <v>46303</v>
      </c>
      <c r="B56" s="14" t="s">
        <v>305</v>
      </c>
      <c r="C56" s="14" t="str">
        <f aca="false" t="array" ref="C56:C56">IF(B56="","",IFERROR(INDEX('CLM &amp; IM Mapping'!$B$2:$B$270,MATCH(TRIM(B56),'CLM &amp; IM Mapping'!$A$2:$A$270,0)),"Not Mapped"))</f>
        <v>Manjunatha V</v>
      </c>
      <c r="D56" s="14" t="str">
        <f aca="false" t="array" ref="D56:D56">IF(B56="","",IFERROR(INDEX('CLM &amp; IM Mapping'!$C$2:$C$270,MATCH(TRIM(B56),'CLM &amp; IM Mapping'!$A$2:$A$270,0)),"Not Mapped"))</f>
        <v>Un Mapped</v>
      </c>
      <c r="E56" s="14"/>
      <c r="F56" s="14"/>
      <c r="G56" s="14" t="n">
        <v>8</v>
      </c>
      <c r="H56" s="14" t="n">
        <v>87</v>
      </c>
      <c r="I56" s="14" t="n">
        <v>0</v>
      </c>
      <c r="J56" s="14" t="n">
        <v>95</v>
      </c>
      <c r="K56" s="14" t="n">
        <v>95</v>
      </c>
      <c r="L56" s="21"/>
      <c r="M56" s="11"/>
      <c r="N56" s="23"/>
      <c r="O56" s="23"/>
      <c r="P56" s="23"/>
      <c r="Q56" s="23"/>
      <c r="R56" s="23"/>
      <c r="S56" s="23"/>
      <c r="T56" s="23"/>
      <c r="U56" s="23"/>
      <c r="V56" s="23"/>
      <c r="W56" s="23"/>
      <c r="X56" s="23"/>
      <c r="Y56" s="23"/>
      <c r="Z56" s="23"/>
    </row>
    <row r="57" customFormat="false" ht="15.75" hidden="false" customHeight="true" outlineLevel="0" collapsed="false">
      <c r="A57" s="52" t="n">
        <v>46303</v>
      </c>
      <c r="B57" s="14" t="s">
        <v>33</v>
      </c>
      <c r="C57" s="14" t="str">
        <f aca="false" t="array" ref="C57:C57">IF(B57="","",IFERROR(INDEX('CLM &amp; IM Mapping'!$B$2:$B$270,MATCH(TRIM(B57),'CLM &amp; IM Mapping'!$A$2:$A$270,0)),"Not Mapped"))</f>
        <v>Manoj Kj</v>
      </c>
      <c r="D57" s="14" t="str">
        <f aca="false" t="array" ref="D57:D57">IF(B57="","",IFERROR(INDEX('CLM &amp; IM Mapping'!$C$2:$C$270,MATCH(TRIM(B57),'CLM &amp; IM Mapping'!$A$2:$A$270,0)),"Not Mapped"))</f>
        <v>Srittam Dhal</v>
      </c>
      <c r="E57" s="14" t="n">
        <v>29</v>
      </c>
      <c r="F57" s="14"/>
      <c r="G57" s="14"/>
      <c r="H57" s="14" t="n">
        <v>50</v>
      </c>
      <c r="I57" s="14" t="n">
        <v>48</v>
      </c>
      <c r="J57" s="14" t="n">
        <v>31</v>
      </c>
      <c r="K57" s="14" t="n">
        <v>79</v>
      </c>
      <c r="L57" s="21"/>
      <c r="M57" s="11"/>
      <c r="N57" s="23"/>
      <c r="O57" s="23"/>
      <c r="P57" s="23"/>
      <c r="Q57" s="23"/>
      <c r="R57" s="23"/>
      <c r="S57" s="23"/>
      <c r="T57" s="23"/>
      <c r="U57" s="23"/>
      <c r="V57" s="23"/>
      <c r="W57" s="23"/>
      <c r="X57" s="23"/>
      <c r="Y57" s="23"/>
      <c r="Z57" s="23"/>
    </row>
    <row r="58" customFormat="false" ht="15.75" hidden="false" customHeight="true" outlineLevel="0" collapsed="false">
      <c r="A58" s="52" t="n">
        <v>46303</v>
      </c>
      <c r="B58" s="14" t="s">
        <v>165</v>
      </c>
      <c r="C58" s="14" t="str">
        <f aca="false" t="array" ref="C58:C58">IF(B58="","",IFERROR(INDEX('CLM &amp; IM Mapping'!$B$2:$B$270,MATCH(TRIM(B58),'CLM &amp; IM Mapping'!$A$2:$A$270,0)),"Not Mapped"))</f>
        <v>Akshay P</v>
      </c>
      <c r="D58" s="14" t="str">
        <f aca="false" t="array" ref="D58:D58">IF(B58="","",IFERROR(INDEX('CLM &amp; IM Mapping'!$C$2:$C$270,MATCH(TRIM(B58),'CLM &amp; IM Mapping'!$A$2:$A$270,0)),"Not Mapped"))</f>
        <v>Srittam Dhal</v>
      </c>
      <c r="E58" s="14"/>
      <c r="F58" s="14"/>
      <c r="G58" s="14" t="n">
        <v>2</v>
      </c>
      <c r="H58" s="14" t="n">
        <v>77</v>
      </c>
      <c r="I58" s="14" t="n">
        <v>67</v>
      </c>
      <c r="J58" s="14" t="n">
        <v>12</v>
      </c>
      <c r="K58" s="14" t="n">
        <v>79</v>
      </c>
      <c r="L58" s="21"/>
      <c r="M58" s="11"/>
      <c r="N58" s="23"/>
      <c r="O58" s="23"/>
      <c r="P58" s="23"/>
      <c r="Q58" s="23"/>
      <c r="R58" s="23"/>
      <c r="S58" s="23"/>
      <c r="T58" s="23"/>
      <c r="U58" s="23"/>
      <c r="V58" s="23"/>
      <c r="W58" s="23"/>
      <c r="X58" s="23"/>
      <c r="Y58" s="23"/>
      <c r="Z58" s="23"/>
    </row>
    <row r="59" customFormat="false" ht="15.75" hidden="false" customHeight="true" outlineLevel="0" collapsed="false">
      <c r="A59" s="52" t="n">
        <v>46303</v>
      </c>
      <c r="B59" s="14" t="s">
        <v>267</v>
      </c>
      <c r="C59" s="14" t="str">
        <f aca="false" t="array" ref="C59:C59">IF(B59="","",IFERROR(INDEX('CLM &amp; IM Mapping'!$B$2:$B$270,MATCH(TRIM(B59),'CLM &amp; IM Mapping'!$A$2:$A$270,0)),"Not Mapped"))</f>
        <v>Balaji G</v>
      </c>
      <c r="D59" s="14" t="str">
        <f aca="false" t="array" ref="D59:D59">IF(B59="","",IFERROR(INDEX('CLM &amp; IM Mapping'!$C$2:$C$270,MATCH(TRIM(B59),'CLM &amp; IM Mapping'!$A$2:$A$270,0)),"Not Mapped"))</f>
        <v>Mohammed Akbar</v>
      </c>
      <c r="E59" s="14"/>
      <c r="F59" s="14" t="n">
        <v>64</v>
      </c>
      <c r="G59" s="14"/>
      <c r="H59" s="14"/>
      <c r="I59" s="14" t="n">
        <v>0</v>
      </c>
      <c r="J59" s="14" t="n">
        <v>64</v>
      </c>
      <c r="K59" s="14" t="n">
        <v>64</v>
      </c>
      <c r="L59" s="12" t="s">
        <v>735</v>
      </c>
      <c r="M59" s="54" t="n">
        <v>0.958333333333333</v>
      </c>
      <c r="N59" s="23"/>
      <c r="O59" s="23"/>
      <c r="P59" s="23"/>
      <c r="Q59" s="23"/>
      <c r="R59" s="23"/>
      <c r="S59" s="23"/>
      <c r="T59" s="23"/>
      <c r="U59" s="23"/>
      <c r="V59" s="23"/>
      <c r="W59" s="23"/>
      <c r="X59" s="23"/>
      <c r="Y59" s="23"/>
      <c r="Z59" s="23"/>
    </row>
    <row r="60" customFormat="false" ht="15.75" hidden="false" customHeight="true" outlineLevel="0" collapsed="false">
      <c r="A60" s="52" t="n">
        <v>46303</v>
      </c>
      <c r="B60" s="14" t="s">
        <v>198</v>
      </c>
      <c r="C60" s="14" t="str">
        <f aca="false" t="array" ref="C60:C60">IF(B60="","",IFERROR(INDEX('CLM &amp; IM Mapping'!$B$2:$B$270,MATCH(TRIM(B60),'CLM &amp; IM Mapping'!$A$2:$A$270,0)),"Not Mapped"))</f>
        <v>Manjunatha V</v>
      </c>
      <c r="D60" s="14" t="str">
        <f aca="false" t="array" ref="D60:D60">IF(B60="","",IFERROR(INDEX('CLM &amp; IM Mapping'!$C$2:$C$270,MATCH(TRIM(B60),'CLM &amp; IM Mapping'!$A$2:$A$270,0)),"Not Mapped"))</f>
        <v>Un Mapped</v>
      </c>
      <c r="E60" s="14"/>
      <c r="F60" s="14"/>
      <c r="G60" s="14" t="n">
        <v>15</v>
      </c>
      <c r="H60" s="14" t="n">
        <v>29</v>
      </c>
      <c r="I60" s="14" t="n">
        <v>38</v>
      </c>
      <c r="J60" s="14" t="n">
        <v>6</v>
      </c>
      <c r="K60" s="14" t="n">
        <v>44</v>
      </c>
      <c r="L60" s="21"/>
      <c r="M60" s="11"/>
      <c r="N60" s="23"/>
      <c r="O60" s="23"/>
      <c r="P60" s="23"/>
      <c r="Q60" s="23"/>
      <c r="R60" s="23"/>
      <c r="S60" s="23"/>
      <c r="T60" s="23"/>
      <c r="U60" s="23"/>
      <c r="V60" s="23"/>
      <c r="W60" s="23"/>
      <c r="X60" s="23"/>
      <c r="Y60" s="23"/>
      <c r="Z60" s="23"/>
    </row>
    <row r="61" customFormat="false" ht="15.75" hidden="false" customHeight="true" outlineLevel="0" collapsed="false">
      <c r="A61" s="52" t="n">
        <v>46303</v>
      </c>
      <c r="B61" s="14" t="s">
        <v>516</v>
      </c>
      <c r="C61" s="14" t="str">
        <f aca="false" t="array" ref="C61:C61">IF(B61="","",IFERROR(INDEX('CLM &amp; IM Mapping'!$B$2:$B$270,MATCH(TRIM(B61),'CLM &amp; IM Mapping'!$A$2:$A$270,0)),"Not Mapped"))</f>
        <v>Sundaresh S</v>
      </c>
      <c r="D61" s="14" t="str">
        <f aca="false" t="array" ref="D61:D61">IF(B61="","",IFERROR(INDEX('CLM &amp; IM Mapping'!$C$2:$C$270,MATCH(TRIM(B61),'CLM &amp; IM Mapping'!$A$2:$A$270,0)),"Not Mapped"))</f>
        <v>Un Mapped</v>
      </c>
      <c r="E61" s="14"/>
      <c r="F61" s="14" t="n">
        <v>43</v>
      </c>
      <c r="G61" s="14"/>
      <c r="H61" s="14"/>
      <c r="I61" s="14" t="n">
        <v>0</v>
      </c>
      <c r="J61" s="14" t="n">
        <v>43</v>
      </c>
      <c r="K61" s="14" t="n">
        <v>43</v>
      </c>
      <c r="L61" s="21"/>
      <c r="M61" s="11"/>
      <c r="N61" s="23"/>
      <c r="O61" s="23"/>
      <c r="P61" s="23"/>
      <c r="Q61" s="23"/>
      <c r="R61" s="23"/>
      <c r="S61" s="23"/>
      <c r="T61" s="23"/>
      <c r="U61" s="23"/>
      <c r="V61" s="23"/>
      <c r="W61" s="23"/>
      <c r="X61" s="23"/>
      <c r="Y61" s="23"/>
      <c r="Z61" s="23"/>
    </row>
    <row r="62" customFormat="false" ht="15.75" hidden="false" customHeight="true" outlineLevel="0" collapsed="false">
      <c r="A62" s="52" t="n">
        <v>46303</v>
      </c>
      <c r="B62" s="14" t="s">
        <v>512</v>
      </c>
      <c r="C62" s="14" t="str">
        <f aca="false" t="array" ref="C62:C62">IF(B62="","",IFERROR(INDEX('CLM &amp; IM Mapping'!$B$2:$B$270,MATCH(TRIM(B62),'CLM &amp; IM Mapping'!$A$2:$A$270,0)),"Not Mapped"))</f>
        <v>Saddam Hussain</v>
      </c>
      <c r="D62" s="14" t="str">
        <f aca="false" t="array" ref="D62:D62">IF(B62="","",IFERROR(INDEX('CLM &amp; IM Mapping'!$C$2:$C$270,MATCH(TRIM(B62),'CLM &amp; IM Mapping'!$A$2:$A$270,0)),"Not Mapped"))</f>
        <v>Un Mapped</v>
      </c>
      <c r="E62" s="14"/>
      <c r="F62" s="14"/>
      <c r="G62" s="14" t="n">
        <v>24</v>
      </c>
      <c r="H62" s="14" t="n">
        <v>18</v>
      </c>
      <c r="I62" s="14" t="n">
        <v>42</v>
      </c>
      <c r="J62" s="14" t="n">
        <v>0</v>
      </c>
      <c r="K62" s="14" t="n">
        <v>42</v>
      </c>
      <c r="L62" s="21"/>
      <c r="M62" s="11"/>
      <c r="N62" s="23"/>
      <c r="O62" s="23"/>
      <c r="P62" s="23"/>
      <c r="Q62" s="23"/>
      <c r="R62" s="23"/>
      <c r="S62" s="23"/>
      <c r="T62" s="23"/>
      <c r="U62" s="23"/>
      <c r="V62" s="23"/>
      <c r="W62" s="23"/>
      <c r="X62" s="23"/>
      <c r="Y62" s="23"/>
      <c r="Z62" s="23"/>
    </row>
    <row r="63" customFormat="false" ht="15.75" hidden="false" customHeight="true" outlineLevel="0" collapsed="false">
      <c r="A63" s="52" t="n">
        <v>46303</v>
      </c>
      <c r="B63" s="14" t="s">
        <v>227</v>
      </c>
      <c r="C63" s="14" t="str">
        <f aca="false" t="array" ref="C63:C63">IF(B63="","",IFERROR(INDEX('CLM &amp; IM Mapping'!$B$2:$B$270,MATCH(TRIM(B63),'CLM &amp; IM Mapping'!$A$2:$A$270,0)),"Not Mapped"))</f>
        <v>Vijay M</v>
      </c>
      <c r="D63" s="14" t="str">
        <f aca="false" t="array" ref="D63:D63">IF(B63="","",IFERROR(INDEX('CLM &amp; IM Mapping'!$C$2:$C$270,MATCH(TRIM(B63),'CLM &amp; IM Mapping'!$A$2:$A$270,0)),"Not Mapped"))</f>
        <v>Kantha Kumar</v>
      </c>
      <c r="E63" s="14"/>
      <c r="F63" s="14"/>
      <c r="G63" s="14" t="n">
        <v>5</v>
      </c>
      <c r="H63" s="14" t="n">
        <v>27</v>
      </c>
      <c r="I63" s="14" t="n">
        <v>32</v>
      </c>
      <c r="J63" s="14" t="n">
        <v>0</v>
      </c>
      <c r="K63" s="14" t="n">
        <v>32</v>
      </c>
      <c r="L63" s="21"/>
      <c r="M63" s="11"/>
      <c r="N63" s="23"/>
      <c r="O63" s="23"/>
      <c r="P63" s="23"/>
      <c r="Q63" s="23"/>
      <c r="R63" s="23"/>
      <c r="S63" s="23"/>
      <c r="T63" s="23"/>
      <c r="U63" s="23"/>
      <c r="V63" s="23"/>
      <c r="W63" s="23"/>
      <c r="X63" s="23"/>
      <c r="Y63" s="23"/>
      <c r="Z63" s="23"/>
    </row>
    <row r="64" customFormat="false" ht="15.75" hidden="false" customHeight="true" outlineLevel="0" collapsed="false">
      <c r="A64" s="52" t="n">
        <v>46303</v>
      </c>
      <c r="B64" s="14" t="s">
        <v>316</v>
      </c>
      <c r="C64" s="14" t="str">
        <f aca="false" t="array" ref="C64:C64">IF(B64="","",IFERROR(INDEX('CLM &amp; IM Mapping'!$B$2:$B$270,MATCH(TRIM(B64),'CLM &amp; IM Mapping'!$A$2:$A$270,0)),"Not Mapped"))</f>
        <v>Vishnu V</v>
      </c>
      <c r="D64" s="14" t="str">
        <f aca="false" t="array" ref="D64:D64">IF(B64="","",IFERROR(INDEX('CLM &amp; IM Mapping'!$C$2:$C$270,MATCH(TRIM(B64),'CLM &amp; IM Mapping'!$A$2:$A$270,0)),"Not Mapped"))</f>
        <v>Arivind S</v>
      </c>
      <c r="E64" s="14"/>
      <c r="F64" s="14"/>
      <c r="G64" s="14" t="n">
        <v>7</v>
      </c>
      <c r="H64" s="14" t="n">
        <v>23</v>
      </c>
      <c r="I64" s="14" t="n">
        <v>30</v>
      </c>
      <c r="J64" s="14" t="n">
        <v>0</v>
      </c>
      <c r="K64" s="14" t="n">
        <v>30</v>
      </c>
      <c r="L64" s="21"/>
      <c r="M64" s="11"/>
      <c r="N64" s="23"/>
      <c r="O64" s="23"/>
      <c r="P64" s="23"/>
      <c r="Q64" s="23"/>
      <c r="R64" s="23"/>
      <c r="S64" s="23"/>
      <c r="T64" s="23"/>
      <c r="U64" s="23"/>
      <c r="V64" s="23"/>
      <c r="W64" s="23"/>
      <c r="X64" s="23"/>
      <c r="Y64" s="23"/>
      <c r="Z64" s="23"/>
    </row>
    <row r="65" customFormat="false" ht="15.75" hidden="false" customHeight="true" outlineLevel="0" collapsed="false">
      <c r="A65" s="52" t="n">
        <v>46303</v>
      </c>
      <c r="B65" s="14" t="s">
        <v>181</v>
      </c>
      <c r="C65" s="14" t="str">
        <f aca="false" t="array" ref="C65:C65">IF(B65="","",IFERROR(INDEX('CLM &amp; IM Mapping'!$B$2:$B$270,MATCH(TRIM(B65),'CLM &amp; IM Mapping'!$A$2:$A$270,0)),"Not Mapped"))</f>
        <v>Silambarasan E</v>
      </c>
      <c r="D65" s="14" t="str">
        <f aca="false" t="array" ref="D65:D65">IF(B65="","",IFERROR(INDEX('CLM &amp; IM Mapping'!$C$2:$C$270,MATCH(TRIM(B65),'CLM &amp; IM Mapping'!$A$2:$A$270,0)),"Not Mapped"))</f>
        <v>Arivind S</v>
      </c>
      <c r="E65" s="14"/>
      <c r="F65" s="14" t="n">
        <v>11</v>
      </c>
      <c r="G65" s="14" t="n">
        <v>4</v>
      </c>
      <c r="H65" s="14" t="n">
        <v>10</v>
      </c>
      <c r="I65" s="14" t="n">
        <v>0</v>
      </c>
      <c r="J65" s="14" t="n">
        <v>25</v>
      </c>
      <c r="K65" s="14" t="n">
        <v>25</v>
      </c>
      <c r="L65" s="21"/>
      <c r="M65" s="11"/>
      <c r="N65" s="23"/>
      <c r="O65" s="23"/>
      <c r="P65" s="23"/>
      <c r="Q65" s="23"/>
      <c r="R65" s="23"/>
      <c r="S65" s="23"/>
      <c r="T65" s="23"/>
      <c r="U65" s="23"/>
      <c r="V65" s="23"/>
      <c r="W65" s="23"/>
      <c r="X65" s="23"/>
      <c r="Y65" s="23"/>
      <c r="Z65" s="23"/>
    </row>
    <row r="66" customFormat="false" ht="15.75" hidden="false" customHeight="true" outlineLevel="0" collapsed="false">
      <c r="A66" s="52" t="n">
        <v>46303</v>
      </c>
      <c r="B66" s="14" t="s">
        <v>296</v>
      </c>
      <c r="C66" s="14" t="str">
        <f aca="false" t="array" ref="C66:C66">IF(B66="","",IFERROR(INDEX('CLM &amp; IM Mapping'!$B$2:$B$270,MATCH(TRIM(B66),'CLM &amp; IM Mapping'!$A$2:$A$270,0)),"Not Mapped"))</f>
        <v>Balaji G</v>
      </c>
      <c r="D66" s="14" t="str">
        <f aca="false" t="array" ref="D66:D66">IF(B66="","",IFERROR(INDEX('CLM &amp; IM Mapping'!$C$2:$C$270,MATCH(TRIM(B66),'CLM &amp; IM Mapping'!$A$2:$A$270,0)),"Not Mapped"))</f>
        <v>Mohammed Akbar</v>
      </c>
      <c r="E66" s="14"/>
      <c r="F66" s="14"/>
      <c r="G66" s="14"/>
      <c r="H66" s="14" t="n">
        <v>25</v>
      </c>
      <c r="I66" s="14" t="n">
        <v>25</v>
      </c>
      <c r="J66" s="14" t="n">
        <v>0</v>
      </c>
      <c r="K66" s="14" t="n">
        <v>25</v>
      </c>
      <c r="L66" s="12" t="s">
        <v>788</v>
      </c>
      <c r="M66" s="11"/>
      <c r="N66" s="23"/>
      <c r="O66" s="23"/>
      <c r="P66" s="23"/>
      <c r="Q66" s="23"/>
      <c r="R66" s="23"/>
      <c r="S66" s="23"/>
      <c r="T66" s="23"/>
      <c r="U66" s="23"/>
      <c r="V66" s="23"/>
      <c r="W66" s="23"/>
      <c r="X66" s="23"/>
      <c r="Y66" s="23"/>
      <c r="Z66" s="23"/>
    </row>
    <row r="67" customFormat="false" ht="15.75" hidden="false" customHeight="true" outlineLevel="0" collapsed="false">
      <c r="A67" s="52" t="n">
        <v>46303</v>
      </c>
      <c r="B67" s="14" t="s">
        <v>97</v>
      </c>
      <c r="C67" s="14" t="str">
        <f aca="false" t="array" ref="C67:C67">IF(B67="","",IFERROR(INDEX('CLM &amp; IM Mapping'!$B$2:$B$270,MATCH(TRIM(B67),'CLM &amp; IM Mapping'!$A$2:$A$270,0)),"Not Mapped"))</f>
        <v>Raghavendra Vernekar</v>
      </c>
      <c r="D67" s="14" t="str">
        <f aca="false" t="array" ref="D67:D67">IF(B67="","",IFERROR(INDEX('CLM &amp; IM Mapping'!$C$2:$C$270,MATCH(TRIM(B67),'CLM &amp; IM Mapping'!$A$2:$A$270,0)),"Not Mapped"))</f>
        <v>Prakash BS</v>
      </c>
      <c r="E67" s="14"/>
      <c r="F67" s="14"/>
      <c r="G67" s="14" t="n">
        <v>24</v>
      </c>
      <c r="H67" s="14"/>
      <c r="I67" s="14" t="n">
        <v>24</v>
      </c>
      <c r="J67" s="14" t="n">
        <v>0</v>
      </c>
      <c r="K67" s="14" t="n">
        <v>24</v>
      </c>
      <c r="L67" s="12" t="s">
        <v>729</v>
      </c>
      <c r="M67" s="11"/>
      <c r="N67" s="23"/>
      <c r="O67" s="23"/>
      <c r="P67" s="23"/>
      <c r="Q67" s="23"/>
      <c r="R67" s="23"/>
      <c r="S67" s="23"/>
      <c r="T67" s="23"/>
      <c r="U67" s="23"/>
      <c r="V67" s="23"/>
      <c r="W67" s="23"/>
      <c r="X67" s="23"/>
      <c r="Y67" s="23"/>
      <c r="Z67" s="23"/>
    </row>
    <row r="68" customFormat="false" ht="15.75" hidden="false" customHeight="true" outlineLevel="0" collapsed="false">
      <c r="A68" s="52" t="n">
        <v>46303</v>
      </c>
      <c r="B68" s="14" t="s">
        <v>76</v>
      </c>
      <c r="C68" s="14" t="str">
        <f aca="false" t="array" ref="C68:C68">IF(B68="","",IFERROR(INDEX('CLM &amp; IM Mapping'!$B$2:$B$270,MATCH(TRIM(B68),'CLM &amp; IM Mapping'!$A$2:$A$270,0)),"Not Mapped"))</f>
        <v>Silambarasan E</v>
      </c>
      <c r="D68" s="14" t="str">
        <f aca="false" t="array" ref="D68:D68">IF(B68="","",IFERROR(INDEX('CLM &amp; IM Mapping'!$C$2:$C$270,MATCH(TRIM(B68),'CLM &amp; IM Mapping'!$A$2:$A$270,0)),"Not Mapped"))</f>
        <v>Arivind S</v>
      </c>
      <c r="E68" s="14"/>
      <c r="F68" s="14"/>
      <c r="G68" s="14" t="n">
        <v>6</v>
      </c>
      <c r="H68" s="14" t="n">
        <v>17</v>
      </c>
      <c r="I68" s="14" t="n">
        <v>6</v>
      </c>
      <c r="J68" s="14" t="n">
        <v>17</v>
      </c>
      <c r="K68" s="14" t="n">
        <v>23</v>
      </c>
      <c r="L68" s="21"/>
      <c r="M68" s="11"/>
      <c r="N68" s="23"/>
      <c r="O68" s="23"/>
      <c r="P68" s="23"/>
      <c r="Q68" s="23"/>
      <c r="R68" s="23"/>
      <c r="S68" s="23"/>
      <c r="T68" s="23"/>
      <c r="U68" s="23"/>
      <c r="V68" s="23"/>
      <c r="W68" s="23"/>
      <c r="X68" s="23"/>
      <c r="Y68" s="23"/>
      <c r="Z68" s="23"/>
    </row>
    <row r="69" customFormat="false" ht="15.75" hidden="false" customHeight="true" outlineLevel="0" collapsed="false">
      <c r="A69" s="52" t="n">
        <v>46303</v>
      </c>
      <c r="B69" s="14" t="s">
        <v>502</v>
      </c>
      <c r="C69" s="14" t="str">
        <f aca="false" t="array" ref="C69:C69">IF(B69="","",IFERROR(INDEX('CLM &amp; IM Mapping'!$B$2:$B$270,MATCH(TRIM(B69),'CLM &amp; IM Mapping'!$A$2:$A$270,0)),"Not Mapped"))</f>
        <v>Manjunatha V</v>
      </c>
      <c r="D69" s="14" t="str">
        <f aca="false" t="array" ref="D69:D69">IF(B69="","",IFERROR(INDEX('CLM &amp; IM Mapping'!$C$2:$C$270,MATCH(TRIM(B69),'CLM &amp; IM Mapping'!$A$2:$A$270,0)),"Not Mapped"))</f>
        <v>Un Mapped</v>
      </c>
      <c r="E69" s="14"/>
      <c r="F69" s="14"/>
      <c r="G69" s="14" t="n">
        <v>22</v>
      </c>
      <c r="H69" s="14"/>
      <c r="I69" s="14" t="n">
        <v>22</v>
      </c>
      <c r="J69" s="14" t="n">
        <v>0</v>
      </c>
      <c r="K69" s="14" t="n">
        <v>22</v>
      </c>
      <c r="L69" s="21"/>
      <c r="M69" s="11"/>
      <c r="N69" s="23"/>
      <c r="O69" s="23"/>
      <c r="P69" s="23"/>
      <c r="Q69" s="23"/>
      <c r="R69" s="23"/>
      <c r="S69" s="23"/>
      <c r="T69" s="23"/>
      <c r="U69" s="23"/>
      <c r="V69" s="23"/>
      <c r="W69" s="23"/>
      <c r="X69" s="23"/>
      <c r="Y69" s="23"/>
      <c r="Z69" s="23"/>
    </row>
    <row r="70" customFormat="false" ht="15.75" hidden="false" customHeight="true" outlineLevel="0" collapsed="false">
      <c r="A70" s="52" t="n">
        <v>46303</v>
      </c>
      <c r="B70" s="14" t="s">
        <v>53</v>
      </c>
      <c r="C70" s="14" t="str">
        <f aca="false" t="array" ref="C70:C70">IF(B70="","",IFERROR(INDEX('CLM &amp; IM Mapping'!$B$2:$B$270,MATCH(TRIM(B70),'CLM &amp; IM Mapping'!$A$2:$A$270,0)),"Not Mapped"))</f>
        <v>Richard Harris</v>
      </c>
      <c r="D70" s="14" t="str">
        <f aca="false" t="array" ref="D70:D70">IF(B70="","",IFERROR(INDEX('CLM &amp; IM Mapping'!$C$2:$C$270,MATCH(TRIM(B70),'CLM &amp; IM Mapping'!$A$2:$A$270,0)),"Not Mapped"))</f>
        <v>Kantha Kumar</v>
      </c>
      <c r="E70" s="14"/>
      <c r="F70" s="14"/>
      <c r="G70" s="14" t="n">
        <v>21</v>
      </c>
      <c r="H70" s="14"/>
      <c r="I70" s="14" t="n">
        <v>21</v>
      </c>
      <c r="J70" s="14" t="n">
        <v>0</v>
      </c>
      <c r="K70" s="14" t="n">
        <v>21</v>
      </c>
      <c r="L70" s="21"/>
      <c r="M70" s="11"/>
      <c r="N70" s="23"/>
      <c r="O70" s="23"/>
      <c r="P70" s="23"/>
      <c r="Q70" s="23"/>
      <c r="R70" s="23"/>
      <c r="S70" s="23"/>
      <c r="T70" s="23"/>
      <c r="U70" s="23"/>
      <c r="V70" s="23"/>
      <c r="W70" s="23"/>
      <c r="X70" s="23"/>
      <c r="Y70" s="23"/>
      <c r="Z70" s="23"/>
    </row>
    <row r="71" customFormat="false" ht="15.75" hidden="false" customHeight="true" outlineLevel="0" collapsed="false">
      <c r="A71" s="52" t="n">
        <v>46303</v>
      </c>
      <c r="B71" s="14" t="s">
        <v>233</v>
      </c>
      <c r="C71" s="14" t="str">
        <f aca="false" t="array" ref="C71:C71">IF(B71="","",IFERROR(INDEX('CLM &amp; IM Mapping'!$B$2:$B$270,MATCH(TRIM(B71),'CLM &amp; IM Mapping'!$A$2:$A$270,0)),"Not Mapped"))</f>
        <v>Suhas N</v>
      </c>
      <c r="D71" s="14" t="str">
        <f aca="false" t="array" ref="D71:D71">IF(B71="","",IFERROR(INDEX('CLM &amp; IM Mapping'!$C$2:$C$270,MATCH(TRIM(B71),'CLM &amp; IM Mapping'!$A$2:$A$270,0)),"Not Mapped"))</f>
        <v>Aravind S</v>
      </c>
      <c r="E71" s="14"/>
      <c r="F71" s="14"/>
      <c r="G71" s="14" t="n">
        <v>19</v>
      </c>
      <c r="H71" s="14" t="n">
        <v>1</v>
      </c>
      <c r="I71" s="14" t="n">
        <v>19</v>
      </c>
      <c r="J71" s="14" t="n">
        <v>1</v>
      </c>
      <c r="K71" s="14" t="n">
        <v>20</v>
      </c>
      <c r="L71" s="21"/>
      <c r="M71" s="11"/>
      <c r="N71" s="23"/>
      <c r="O71" s="23"/>
      <c r="P71" s="23"/>
      <c r="Q71" s="23"/>
      <c r="R71" s="23"/>
      <c r="S71" s="23"/>
      <c r="T71" s="23"/>
      <c r="U71" s="23"/>
      <c r="V71" s="23"/>
      <c r="W71" s="23"/>
      <c r="X71" s="23"/>
      <c r="Y71" s="23"/>
      <c r="Z71" s="23"/>
    </row>
    <row r="72" customFormat="false" ht="15.75" hidden="false" customHeight="true" outlineLevel="0" collapsed="false">
      <c r="A72" s="52" t="n">
        <v>46303</v>
      </c>
      <c r="B72" s="14" t="s">
        <v>171</v>
      </c>
      <c r="C72" s="14" t="str">
        <f aca="false" t="array" ref="C72:C72">IF(B72="","",IFERROR(INDEX('CLM &amp; IM Mapping'!$B$2:$B$270,MATCH(TRIM(B72),'CLM &amp; IM Mapping'!$A$2:$A$270,0)),"Not Mapped"))</f>
        <v>Ashwath S</v>
      </c>
      <c r="D72" s="14" t="str">
        <f aca="false" t="array" ref="D72:D72">IF(B72="","",IFERROR(INDEX('CLM &amp; IM Mapping'!$C$2:$C$270,MATCH(TRIM(B72),'CLM &amp; IM Mapping'!$A$2:$A$270,0)),"Not Mapped"))</f>
        <v>Kantha Kumar</v>
      </c>
      <c r="E72" s="14"/>
      <c r="F72" s="14"/>
      <c r="G72" s="14" t="n">
        <v>19</v>
      </c>
      <c r="H72" s="14"/>
      <c r="I72" s="14" t="n">
        <v>19</v>
      </c>
      <c r="J72" s="14" t="n">
        <v>0</v>
      </c>
      <c r="K72" s="14" t="n">
        <v>19</v>
      </c>
      <c r="L72" s="21"/>
      <c r="M72" s="11"/>
      <c r="N72" s="23"/>
      <c r="O72" s="23"/>
      <c r="P72" s="23"/>
      <c r="Q72" s="23"/>
      <c r="R72" s="23"/>
      <c r="S72" s="23"/>
      <c r="T72" s="23"/>
      <c r="U72" s="23"/>
      <c r="V72" s="23"/>
      <c r="W72" s="23"/>
      <c r="X72" s="23"/>
      <c r="Y72" s="23"/>
      <c r="Z72" s="23"/>
    </row>
    <row r="73" customFormat="false" ht="15.75" hidden="false" customHeight="true" outlineLevel="0" collapsed="false">
      <c r="A73" s="52" t="n">
        <v>46303</v>
      </c>
      <c r="B73" s="14" t="s">
        <v>250</v>
      </c>
      <c r="C73" s="14" t="str">
        <f aca="false" t="array" ref="C73:C73">IF(B73="","",IFERROR(INDEX('CLM &amp; IM Mapping'!$B$2:$B$270,MATCH(TRIM(B73),'CLM &amp; IM Mapping'!$A$2:$A$270,0)),"Not Mapped"))</f>
        <v>Akshay P</v>
      </c>
      <c r="D73" s="14" t="str">
        <f aca="false" t="array" ref="D73:D73">IF(B73="","",IFERROR(INDEX('CLM &amp; IM Mapping'!$C$2:$C$270,MATCH(TRIM(B73),'CLM &amp; IM Mapping'!$A$2:$A$270,0)),"Not Mapped"))</f>
        <v>Srittam Dhal</v>
      </c>
      <c r="E73" s="14"/>
      <c r="F73" s="14"/>
      <c r="G73" s="14" t="n">
        <v>12</v>
      </c>
      <c r="H73" s="14" t="n">
        <v>7</v>
      </c>
      <c r="I73" s="14" t="n">
        <v>19</v>
      </c>
      <c r="J73" s="14" t="n">
        <v>0</v>
      </c>
      <c r="K73" s="14" t="n">
        <v>19</v>
      </c>
      <c r="L73" s="21"/>
      <c r="M73" s="11"/>
      <c r="N73" s="23"/>
      <c r="O73" s="23"/>
      <c r="P73" s="23"/>
      <c r="Q73" s="23"/>
      <c r="R73" s="23"/>
      <c r="S73" s="23"/>
      <c r="T73" s="23"/>
      <c r="U73" s="23"/>
      <c r="V73" s="23"/>
      <c r="W73" s="23"/>
      <c r="X73" s="23"/>
      <c r="Y73" s="23"/>
      <c r="Z73" s="23"/>
    </row>
    <row r="74" customFormat="false" ht="15.75" hidden="false" customHeight="true" outlineLevel="0" collapsed="false">
      <c r="A74" s="52" t="n">
        <v>46303</v>
      </c>
      <c r="B74" s="14" t="s">
        <v>402</v>
      </c>
      <c r="C74" s="14" t="str">
        <f aca="false" t="array" ref="C74:C74">IF(B74="","",IFERROR(INDEX('CLM &amp; IM Mapping'!$B$2:$B$270,MATCH(TRIM(B74),'CLM &amp; IM Mapping'!$A$2:$A$270,0)),"Not Mapped"))</f>
        <v>Narasimhamurthy R</v>
      </c>
      <c r="D74" s="14" t="str">
        <f aca="false" t="array" ref="D74:D74">IF(B74="","",IFERROR(INDEX('CLM &amp; IM Mapping'!$C$2:$C$270,MATCH(TRIM(B74),'CLM &amp; IM Mapping'!$A$2:$A$270,0)),"Not Mapped"))</f>
        <v>Kishor K</v>
      </c>
      <c r="E74" s="14"/>
      <c r="F74" s="14"/>
      <c r="G74" s="14" t="n">
        <v>18</v>
      </c>
      <c r="H74" s="14"/>
      <c r="I74" s="14" t="n">
        <v>18</v>
      </c>
      <c r="J74" s="14" t="n">
        <v>0</v>
      </c>
      <c r="K74" s="14" t="n">
        <v>18</v>
      </c>
      <c r="L74" s="12" t="s">
        <v>789</v>
      </c>
      <c r="M74" s="12" t="s">
        <v>741</v>
      </c>
      <c r="N74" s="23"/>
      <c r="O74" s="23"/>
      <c r="P74" s="23"/>
      <c r="Q74" s="23"/>
      <c r="R74" s="23"/>
      <c r="S74" s="23"/>
      <c r="T74" s="23"/>
      <c r="U74" s="23"/>
      <c r="V74" s="23"/>
      <c r="W74" s="23"/>
      <c r="X74" s="23"/>
      <c r="Y74" s="23"/>
      <c r="Z74" s="23"/>
    </row>
    <row r="75" customFormat="false" ht="15.75" hidden="false" customHeight="true" outlineLevel="0" collapsed="false">
      <c r="A75" s="52" t="n">
        <v>46303</v>
      </c>
      <c r="B75" s="14" t="s">
        <v>327</v>
      </c>
      <c r="C75" s="14" t="str">
        <f aca="false" t="array" ref="C75:C75">IF(B75="","",IFERROR(INDEX('CLM &amp; IM Mapping'!$B$2:$B$270,MATCH(TRIM(B75),'CLM &amp; IM Mapping'!$A$2:$A$270,0)),"Not Mapped"))</f>
        <v>Suhas N</v>
      </c>
      <c r="D75" s="14" t="str">
        <f aca="false" t="array" ref="D75:D75">IF(B75="","",IFERROR(INDEX('CLM &amp; IM Mapping'!$C$2:$C$270,MATCH(TRIM(B75),'CLM &amp; IM Mapping'!$A$2:$A$270,0)),"Not Mapped"))</f>
        <v>Aravind S</v>
      </c>
      <c r="E75" s="14"/>
      <c r="F75" s="14"/>
      <c r="G75" s="14" t="n">
        <v>17</v>
      </c>
      <c r="H75" s="14"/>
      <c r="I75" s="14" t="n">
        <v>17</v>
      </c>
      <c r="J75" s="14" t="n">
        <v>0</v>
      </c>
      <c r="K75" s="14" t="n">
        <v>17</v>
      </c>
      <c r="L75" s="21"/>
      <c r="M75" s="11"/>
      <c r="N75" s="23"/>
      <c r="O75" s="23"/>
      <c r="P75" s="23"/>
      <c r="Q75" s="23"/>
      <c r="R75" s="23"/>
      <c r="S75" s="23"/>
      <c r="T75" s="23"/>
      <c r="U75" s="23"/>
      <c r="V75" s="23"/>
      <c r="W75" s="23"/>
      <c r="X75" s="23"/>
      <c r="Y75" s="23"/>
      <c r="Z75" s="23"/>
    </row>
    <row r="76" customFormat="false" ht="15.75" hidden="false" customHeight="true" outlineLevel="0" collapsed="false">
      <c r="A76" s="52" t="n">
        <v>46303</v>
      </c>
      <c r="B76" s="14" t="s">
        <v>465</v>
      </c>
      <c r="C76" s="14" t="str">
        <f aca="false" t="array" ref="C76:C76">IF(B76="","",IFERROR(INDEX('CLM &amp; IM Mapping'!$B$2:$B$270,MATCH(TRIM(B76),'CLM &amp; IM Mapping'!$A$2:$A$270,0)),"Not Mapped"))</f>
        <v>Suhas N</v>
      </c>
      <c r="D76" s="14" t="str">
        <f aca="false" t="array" ref="D76:D76">IF(B76="","",IFERROR(INDEX('CLM &amp; IM Mapping'!$C$2:$C$270,MATCH(TRIM(B76),'CLM &amp; IM Mapping'!$A$2:$A$270,0)),"Not Mapped"))</f>
        <v>Aravind S</v>
      </c>
      <c r="E76" s="14"/>
      <c r="F76" s="14"/>
      <c r="G76" s="14" t="n">
        <v>16</v>
      </c>
      <c r="H76" s="14" t="n">
        <v>1</v>
      </c>
      <c r="I76" s="14" t="n">
        <v>17</v>
      </c>
      <c r="J76" s="14" t="n">
        <v>0</v>
      </c>
      <c r="K76" s="14" t="n">
        <v>17</v>
      </c>
      <c r="L76" s="21"/>
      <c r="M76" s="11"/>
      <c r="N76" s="23"/>
      <c r="O76" s="23"/>
      <c r="P76" s="23"/>
      <c r="Q76" s="23"/>
      <c r="R76" s="23"/>
      <c r="S76" s="23"/>
      <c r="T76" s="23"/>
      <c r="U76" s="23"/>
      <c r="V76" s="23"/>
      <c r="W76" s="23"/>
      <c r="X76" s="23"/>
      <c r="Y76" s="23"/>
      <c r="Z76" s="23"/>
    </row>
    <row r="77" customFormat="false" ht="15.75" hidden="false" customHeight="true" outlineLevel="0" collapsed="false">
      <c r="A77" s="52" t="n">
        <v>46303</v>
      </c>
      <c r="B77" s="14" t="s">
        <v>517</v>
      </c>
      <c r="C77" s="14" t="str">
        <f aca="false" t="array" ref="C77:C77">IF(B77="","",IFERROR(INDEX('CLM &amp; IM Mapping'!$B$2:$B$270,MATCH(TRIM(B77),'CLM &amp; IM Mapping'!$A$2:$A$270,0)),"Not Mapped"))</f>
        <v>Manoj Kj</v>
      </c>
      <c r="D77" s="14" t="str">
        <f aca="false" t="array" ref="D77:D77">IF(B77="","",IFERROR(INDEX('CLM &amp; IM Mapping'!$C$2:$C$270,MATCH(TRIM(B77),'CLM &amp; IM Mapping'!$A$2:$A$270,0)),"Not Mapped"))</f>
        <v>Srittam Dhal</v>
      </c>
      <c r="E77" s="14"/>
      <c r="F77" s="14" t="n">
        <v>16</v>
      </c>
      <c r="G77" s="14"/>
      <c r="H77" s="14"/>
      <c r="I77" s="14" t="n">
        <v>16</v>
      </c>
      <c r="J77" s="14" t="n">
        <v>0</v>
      </c>
      <c r="K77" s="14" t="n">
        <v>16</v>
      </c>
      <c r="L77" s="21"/>
      <c r="M77" s="11"/>
      <c r="N77" s="23"/>
      <c r="O77" s="23"/>
      <c r="P77" s="23"/>
      <c r="Q77" s="23"/>
      <c r="R77" s="23"/>
      <c r="S77" s="23"/>
      <c r="T77" s="23"/>
      <c r="U77" s="23"/>
      <c r="V77" s="23"/>
      <c r="W77" s="23"/>
      <c r="X77" s="23"/>
      <c r="Y77" s="23"/>
      <c r="Z77" s="23"/>
    </row>
    <row r="78" customFormat="false" ht="15.75" hidden="false" customHeight="true" outlineLevel="0" collapsed="false">
      <c r="A78" s="52" t="n">
        <v>46303</v>
      </c>
      <c r="B78" s="14" t="s">
        <v>314</v>
      </c>
      <c r="C78" s="14" t="str">
        <f aca="false" t="array" ref="C78:C78">IF(B78="","",IFERROR(INDEX('CLM &amp; IM Mapping'!$B$2:$B$270,MATCH(TRIM(B78),'CLM &amp; IM Mapping'!$A$2:$A$270,0)),"Not Mapped"))</f>
        <v>Basil Scariya</v>
      </c>
      <c r="D78" s="14" t="str">
        <f aca="false" t="array" ref="D78:D78">IF(B78="","",IFERROR(INDEX('CLM &amp; IM Mapping'!$C$2:$C$270,MATCH(TRIM(B78),'CLM &amp; IM Mapping'!$A$2:$A$270,0)),"Not Mapped"))</f>
        <v>Prakash BS</v>
      </c>
      <c r="E78" s="14"/>
      <c r="F78" s="14"/>
      <c r="G78" s="14" t="n">
        <v>1</v>
      </c>
      <c r="H78" s="14" t="n">
        <v>14</v>
      </c>
      <c r="I78" s="14" t="n">
        <v>15</v>
      </c>
      <c r="J78" s="14" t="n">
        <v>0</v>
      </c>
      <c r="K78" s="14" t="n">
        <v>15</v>
      </c>
      <c r="L78" s="12" t="s">
        <v>729</v>
      </c>
      <c r="M78" s="11"/>
      <c r="N78" s="23"/>
      <c r="O78" s="23"/>
      <c r="P78" s="23"/>
      <c r="Q78" s="23"/>
      <c r="R78" s="23"/>
      <c r="S78" s="23"/>
      <c r="T78" s="23"/>
      <c r="U78" s="23"/>
      <c r="V78" s="23"/>
      <c r="W78" s="23"/>
      <c r="X78" s="23"/>
      <c r="Y78" s="23"/>
      <c r="Z78" s="23"/>
    </row>
    <row r="79" customFormat="false" ht="15.75" hidden="false" customHeight="true" outlineLevel="0" collapsed="false">
      <c r="A79" s="52" t="n">
        <v>46303</v>
      </c>
      <c r="B79" s="14" t="s">
        <v>455</v>
      </c>
      <c r="C79" s="14" t="str">
        <f aca="false" t="array" ref="C79:C79">IF(B79="","",IFERROR(INDEX('CLM &amp; IM Mapping'!$B$2:$B$270,MATCH(TRIM(B79),'CLM &amp; IM Mapping'!$A$2:$A$270,0)),"Not Mapped"))</f>
        <v>Rizwan Ahmed</v>
      </c>
      <c r="D79" s="14" t="str">
        <f aca="false" t="array" ref="D79:D79">IF(B79="","",IFERROR(INDEX('CLM &amp; IM Mapping'!$C$2:$C$270,MATCH(TRIM(B79),'CLM &amp; IM Mapping'!$A$2:$A$270,0)),"Not Mapped"))</f>
        <v>Un Mapped</v>
      </c>
      <c r="E79" s="14"/>
      <c r="F79" s="14"/>
      <c r="G79" s="14" t="n">
        <v>10</v>
      </c>
      <c r="H79" s="14" t="n">
        <v>3</v>
      </c>
      <c r="I79" s="14" t="n">
        <v>11</v>
      </c>
      <c r="J79" s="14" t="n">
        <v>2</v>
      </c>
      <c r="K79" s="14" t="n">
        <v>13</v>
      </c>
      <c r="L79" s="21"/>
      <c r="M79" s="11"/>
      <c r="N79" s="23"/>
      <c r="O79" s="23"/>
      <c r="P79" s="23"/>
      <c r="Q79" s="23"/>
      <c r="R79" s="23"/>
      <c r="S79" s="23"/>
      <c r="T79" s="23"/>
      <c r="U79" s="23"/>
      <c r="V79" s="23"/>
      <c r="W79" s="23"/>
      <c r="X79" s="23"/>
      <c r="Y79" s="23"/>
      <c r="Z79" s="23"/>
    </row>
    <row r="80" customFormat="false" ht="15.75" hidden="false" customHeight="true" outlineLevel="0" collapsed="false">
      <c r="A80" s="52" t="n">
        <v>46303</v>
      </c>
      <c r="B80" s="14" t="s">
        <v>423</v>
      </c>
      <c r="C80" s="14" t="str">
        <f aca="false" t="array" ref="C80:C80">IF(B80="","",IFERROR(INDEX('CLM &amp; IM Mapping'!$B$2:$B$270,MATCH(TRIM(B80),'CLM &amp; IM Mapping'!$A$2:$A$270,0)),"Not Mapped"))</f>
        <v>Ashwath S</v>
      </c>
      <c r="D80" s="14" t="str">
        <f aca="false" t="array" ref="D80:D80">IF(B80="","",IFERROR(INDEX('CLM &amp; IM Mapping'!$C$2:$C$270,MATCH(TRIM(B80),'CLM &amp; IM Mapping'!$A$2:$A$270,0)),"Not Mapped"))</f>
        <v>Kantha Kumar</v>
      </c>
      <c r="E80" s="14"/>
      <c r="F80" s="14"/>
      <c r="G80" s="14" t="n">
        <v>7</v>
      </c>
      <c r="H80" s="14" t="n">
        <v>6</v>
      </c>
      <c r="I80" s="14" t="n">
        <v>13</v>
      </c>
      <c r="J80" s="14" t="n">
        <v>0</v>
      </c>
      <c r="K80" s="14" t="n">
        <v>13</v>
      </c>
      <c r="L80" s="21"/>
      <c r="M80" s="11"/>
      <c r="N80" s="23"/>
      <c r="O80" s="23"/>
      <c r="P80" s="23"/>
      <c r="Q80" s="23"/>
      <c r="R80" s="23"/>
      <c r="S80" s="23"/>
      <c r="T80" s="23"/>
      <c r="U80" s="23"/>
      <c r="V80" s="23"/>
      <c r="W80" s="23"/>
      <c r="X80" s="23"/>
      <c r="Y80" s="23"/>
      <c r="Z80" s="23"/>
    </row>
    <row r="81" customFormat="false" ht="15.75" hidden="false" customHeight="true" outlineLevel="0" collapsed="false">
      <c r="A81" s="52" t="n">
        <v>46303</v>
      </c>
      <c r="B81" s="14" t="s">
        <v>123</v>
      </c>
      <c r="C81" s="14" t="str">
        <f aca="false" t="array" ref="C81:C81">IF(B81="","",IFERROR(INDEX('CLM &amp; IM Mapping'!$B$2:$B$270,MATCH(TRIM(B81),'CLM &amp; IM Mapping'!$A$2:$A$270,0)),"Not Mapped"))</f>
        <v>Silambarasan E</v>
      </c>
      <c r="D81" s="14" t="str">
        <f aca="false" t="array" ref="D81:D81">IF(B81="","",IFERROR(INDEX('CLM &amp; IM Mapping'!$C$2:$C$270,MATCH(TRIM(B81),'CLM &amp; IM Mapping'!$A$2:$A$270,0)),"Not Mapped"))</f>
        <v>Arivind S</v>
      </c>
      <c r="E81" s="14"/>
      <c r="F81" s="14"/>
      <c r="G81" s="14"/>
      <c r="H81" s="14" t="n">
        <v>12</v>
      </c>
      <c r="I81" s="14" t="n">
        <v>0</v>
      </c>
      <c r="J81" s="14" t="n">
        <v>12</v>
      </c>
      <c r="K81" s="14" t="n">
        <v>12</v>
      </c>
      <c r="L81" s="21"/>
      <c r="M81" s="11"/>
      <c r="N81" s="23"/>
      <c r="O81" s="23"/>
      <c r="P81" s="23"/>
      <c r="Q81" s="23"/>
      <c r="R81" s="23"/>
      <c r="S81" s="23"/>
      <c r="T81" s="23"/>
      <c r="U81" s="23"/>
      <c r="V81" s="23"/>
      <c r="W81" s="23"/>
      <c r="X81" s="23"/>
      <c r="Y81" s="23"/>
      <c r="Z81" s="23"/>
    </row>
    <row r="82" customFormat="false" ht="15.75" hidden="false" customHeight="true" outlineLevel="0" collapsed="false">
      <c r="A82" s="52" t="n">
        <v>46303</v>
      </c>
      <c r="B82" s="14" t="s">
        <v>334</v>
      </c>
      <c r="C82" s="14" t="str">
        <f aca="false" t="array" ref="C82:C82">IF(B82="","",IFERROR(INDEX('CLM &amp; IM Mapping'!$B$2:$B$270,MATCH(TRIM(B82),'CLM &amp; IM Mapping'!$A$2:$A$270,0)),"Not Mapped"))</f>
        <v>Akshay P</v>
      </c>
      <c r="D82" s="14" t="str">
        <f aca="false" t="array" ref="D82:D82">IF(B82="","",IFERROR(INDEX('CLM &amp; IM Mapping'!$C$2:$C$270,MATCH(TRIM(B82),'CLM &amp; IM Mapping'!$A$2:$A$270,0)),"Not Mapped"))</f>
        <v>Srittam Dhal</v>
      </c>
      <c r="E82" s="14"/>
      <c r="F82" s="14"/>
      <c r="G82" s="14" t="n">
        <v>12</v>
      </c>
      <c r="H82" s="14"/>
      <c r="I82" s="14" t="n">
        <v>0</v>
      </c>
      <c r="J82" s="14" t="n">
        <v>12</v>
      </c>
      <c r="K82" s="14" t="n">
        <v>12</v>
      </c>
      <c r="L82" s="21"/>
      <c r="M82" s="11"/>
      <c r="N82" s="23"/>
      <c r="O82" s="23"/>
      <c r="P82" s="23"/>
      <c r="Q82" s="23"/>
      <c r="R82" s="23"/>
      <c r="S82" s="23"/>
      <c r="T82" s="23"/>
      <c r="U82" s="23"/>
      <c r="V82" s="23"/>
      <c r="W82" s="23"/>
      <c r="X82" s="23"/>
      <c r="Y82" s="23"/>
      <c r="Z82" s="23"/>
    </row>
    <row r="83" customFormat="false" ht="15.75" hidden="false" customHeight="true" outlineLevel="0" collapsed="false">
      <c r="A83" s="52" t="n">
        <v>46303</v>
      </c>
      <c r="B83" s="14" t="s">
        <v>322</v>
      </c>
      <c r="C83" s="14" t="str">
        <f aca="false" t="array" ref="C83:C83">IF(B83="","",IFERROR(INDEX('CLM &amp; IM Mapping'!$B$2:$B$270,MATCH(TRIM(B83),'CLM &amp; IM Mapping'!$A$2:$A$270,0)),"Not Mapped"))</f>
        <v>Ashwath S</v>
      </c>
      <c r="D83" s="14" t="str">
        <f aca="false" t="array" ref="D83:D83">IF(B83="","",IFERROR(INDEX('CLM &amp; IM Mapping'!$C$2:$C$270,MATCH(TRIM(B83),'CLM &amp; IM Mapping'!$A$2:$A$270,0)),"Not Mapped"))</f>
        <v>Kantha Kumar</v>
      </c>
      <c r="E83" s="14"/>
      <c r="F83" s="14"/>
      <c r="G83" s="14" t="n">
        <v>8</v>
      </c>
      <c r="H83" s="14" t="n">
        <v>3</v>
      </c>
      <c r="I83" s="14" t="n">
        <v>11</v>
      </c>
      <c r="J83" s="14" t="n">
        <v>0</v>
      </c>
      <c r="K83" s="14" t="n">
        <v>11</v>
      </c>
      <c r="L83" s="21"/>
      <c r="M83" s="11"/>
      <c r="N83" s="23"/>
      <c r="O83" s="23"/>
      <c r="P83" s="23"/>
      <c r="Q83" s="23"/>
      <c r="R83" s="23"/>
      <c r="S83" s="23"/>
      <c r="T83" s="23"/>
      <c r="U83" s="23"/>
      <c r="V83" s="23"/>
      <c r="W83" s="23"/>
      <c r="X83" s="23"/>
      <c r="Y83" s="23"/>
      <c r="Z83" s="23"/>
    </row>
    <row r="84" customFormat="false" ht="15.75" hidden="false" customHeight="true" outlineLevel="0" collapsed="false">
      <c r="A84" s="52" t="n">
        <v>46303</v>
      </c>
      <c r="B84" s="14" t="s">
        <v>114</v>
      </c>
      <c r="C84" s="14" t="str">
        <f aca="false" t="array" ref="C84:C84">IF(B84="","",IFERROR(INDEX('CLM &amp; IM Mapping'!$B$2:$B$270,MATCH(TRIM(B84),'CLM &amp; IM Mapping'!$A$2:$A$270,0)),"Not Mapped"))</f>
        <v>Adhavan Subramani</v>
      </c>
      <c r="D84" s="14" t="str">
        <f aca="false" t="array" ref="D84:D84">IF(B84="","",IFERROR(INDEX('CLM &amp; IM Mapping'!$C$2:$C$270,MATCH(TRIM(B84),'CLM &amp; IM Mapping'!$A$2:$A$270,0)),"Not Mapped"))</f>
        <v>Mohammed Akbar</v>
      </c>
      <c r="E84" s="14"/>
      <c r="F84" s="14"/>
      <c r="G84" s="14"/>
      <c r="H84" s="14" t="n">
        <v>11</v>
      </c>
      <c r="I84" s="14" t="n">
        <v>5</v>
      </c>
      <c r="J84" s="14" t="n">
        <v>6</v>
      </c>
      <c r="K84" s="14" t="n">
        <v>11</v>
      </c>
      <c r="L84" s="12" t="s">
        <v>737</v>
      </c>
      <c r="M84" s="11"/>
      <c r="N84" s="23"/>
      <c r="O84" s="23"/>
      <c r="P84" s="23"/>
      <c r="Q84" s="23"/>
      <c r="R84" s="23"/>
      <c r="S84" s="23"/>
      <c r="T84" s="23"/>
      <c r="U84" s="23"/>
      <c r="V84" s="23"/>
      <c r="W84" s="23"/>
      <c r="X84" s="23"/>
      <c r="Y84" s="23"/>
      <c r="Z84" s="23"/>
    </row>
    <row r="85" customFormat="false" ht="15.75" hidden="false" customHeight="true" outlineLevel="0" collapsed="false">
      <c r="A85" s="52" t="n">
        <v>46303</v>
      </c>
      <c r="B85" s="14" t="s">
        <v>118</v>
      </c>
      <c r="C85" s="14" t="str">
        <f aca="false" t="array" ref="C85:C85">IF(B85="","",IFERROR(INDEX('CLM &amp; IM Mapping'!$B$2:$B$270,MATCH(TRIM(B85),'CLM &amp; IM Mapping'!$A$2:$A$270,0)),"Not Mapped"))</f>
        <v>Adhavan Subramani</v>
      </c>
      <c r="D85" s="14" t="str">
        <f aca="false" t="array" ref="D85:D85">IF(B85="","",IFERROR(INDEX('CLM &amp; IM Mapping'!$C$2:$C$270,MATCH(TRIM(B85),'CLM &amp; IM Mapping'!$A$2:$A$270,0)),"Not Mapped"))</f>
        <v>Mohammed Akbar</v>
      </c>
      <c r="E85" s="14"/>
      <c r="F85" s="14"/>
      <c r="G85" s="14" t="n">
        <v>4</v>
      </c>
      <c r="H85" s="14" t="n">
        <v>7</v>
      </c>
      <c r="I85" s="14" t="n">
        <v>11</v>
      </c>
      <c r="J85" s="14" t="n">
        <v>0</v>
      </c>
      <c r="K85" s="14" t="n">
        <v>11</v>
      </c>
      <c r="L85" s="12" t="s">
        <v>744</v>
      </c>
      <c r="M85" s="54" t="n">
        <v>0.625</v>
      </c>
      <c r="N85" s="23"/>
      <c r="O85" s="23"/>
      <c r="P85" s="23"/>
      <c r="Q85" s="23"/>
      <c r="R85" s="23"/>
      <c r="S85" s="23"/>
      <c r="T85" s="23"/>
      <c r="U85" s="23"/>
      <c r="V85" s="23"/>
      <c r="W85" s="23"/>
      <c r="X85" s="23"/>
      <c r="Y85" s="23"/>
      <c r="Z85" s="23"/>
    </row>
    <row r="86" customFormat="false" ht="15.75" hidden="false" customHeight="true" outlineLevel="0" collapsed="false">
      <c r="A86" s="52" t="n">
        <v>46303</v>
      </c>
      <c r="B86" s="14" t="s">
        <v>173</v>
      </c>
      <c r="C86" s="14" t="str">
        <f aca="false" t="array" ref="C86:C86">IF(B86="","",IFERROR(INDEX('CLM &amp; IM Mapping'!$B$2:$B$270,MATCH(TRIM(B86),'CLM &amp; IM Mapping'!$A$2:$A$270,0)),"Not Mapped"))</f>
        <v>Akshay P</v>
      </c>
      <c r="D86" s="14" t="str">
        <f aca="false" t="array" ref="D86:D86">IF(B86="","",IFERROR(INDEX('CLM &amp; IM Mapping'!$C$2:$C$270,MATCH(TRIM(B86),'CLM &amp; IM Mapping'!$A$2:$A$270,0)),"Not Mapped"))</f>
        <v>Srittam Dhal</v>
      </c>
      <c r="E86" s="14"/>
      <c r="F86" s="14"/>
      <c r="G86" s="14" t="n">
        <v>8</v>
      </c>
      <c r="H86" s="14" t="n">
        <v>2</v>
      </c>
      <c r="I86" s="14" t="n">
        <v>10</v>
      </c>
      <c r="J86" s="14" t="n">
        <v>0</v>
      </c>
      <c r="K86" s="14" t="n">
        <v>10</v>
      </c>
      <c r="L86" s="21"/>
      <c r="M86" s="11"/>
      <c r="N86" s="23"/>
      <c r="O86" s="23"/>
      <c r="P86" s="23"/>
      <c r="Q86" s="23"/>
      <c r="R86" s="23"/>
      <c r="S86" s="23"/>
      <c r="T86" s="23"/>
      <c r="U86" s="23"/>
      <c r="V86" s="23"/>
      <c r="W86" s="23"/>
      <c r="X86" s="23"/>
      <c r="Y86" s="23"/>
      <c r="Z86" s="23"/>
    </row>
    <row r="87" customFormat="false" ht="15.75" hidden="false" customHeight="true" outlineLevel="0" collapsed="false">
      <c r="A87" s="52" t="n">
        <v>46303</v>
      </c>
      <c r="B87" s="14" t="s">
        <v>460</v>
      </c>
      <c r="C87" s="14" t="str">
        <f aca="false" t="array" ref="C87:C87">IF(B87="","",IFERROR(INDEX('CLM &amp; IM Mapping'!$B$2:$B$270,MATCH(TRIM(B87),'CLM &amp; IM Mapping'!$A$2:$A$270,0)),"Not Mapped"))</f>
        <v>Vijay M</v>
      </c>
      <c r="D87" s="14" t="str">
        <f aca="false" t="array" ref="D87:D87">IF(B87="","",IFERROR(INDEX('CLM &amp; IM Mapping'!$C$2:$C$270,MATCH(TRIM(B87),'CLM &amp; IM Mapping'!$A$2:$A$270,0)),"Not Mapped"))</f>
        <v>Kantha Kumar</v>
      </c>
      <c r="E87" s="14"/>
      <c r="F87" s="14" t="n">
        <v>9</v>
      </c>
      <c r="G87" s="14" t="n">
        <v>1</v>
      </c>
      <c r="H87" s="14"/>
      <c r="I87" s="14" t="n">
        <v>10</v>
      </c>
      <c r="J87" s="14" t="n">
        <v>0</v>
      </c>
      <c r="K87" s="14" t="n">
        <v>10</v>
      </c>
      <c r="L87" s="21"/>
      <c r="M87" s="11"/>
      <c r="N87" s="23"/>
      <c r="O87" s="23"/>
      <c r="P87" s="23"/>
      <c r="Q87" s="23"/>
      <c r="R87" s="23"/>
      <c r="S87" s="23"/>
      <c r="T87" s="23"/>
      <c r="U87" s="23"/>
      <c r="V87" s="23"/>
      <c r="W87" s="23"/>
      <c r="X87" s="23"/>
      <c r="Y87" s="23"/>
      <c r="Z87" s="23"/>
    </row>
    <row r="88" customFormat="false" ht="15.75" hidden="false" customHeight="true" outlineLevel="0" collapsed="false">
      <c r="A88" s="52" t="n">
        <v>46303</v>
      </c>
      <c r="B88" s="14" t="s">
        <v>242</v>
      </c>
      <c r="C88" s="14" t="str">
        <f aca="false" t="array" ref="C88:C88">IF(B88="","",IFERROR(INDEX('CLM &amp; IM Mapping'!$B$2:$B$270,MATCH(TRIM(B88),'CLM &amp; IM Mapping'!$A$2:$A$270,0)),"Not Mapped"))</f>
        <v>Suhas N</v>
      </c>
      <c r="D88" s="14" t="str">
        <f aca="false" t="array" ref="D88:D88">IF(B88="","",IFERROR(INDEX('CLM &amp; IM Mapping'!$C$2:$C$270,MATCH(TRIM(B88),'CLM &amp; IM Mapping'!$A$2:$A$270,0)),"Not Mapped"))</f>
        <v>Aravind S</v>
      </c>
      <c r="E88" s="14"/>
      <c r="F88" s="14"/>
      <c r="G88" s="14" t="n">
        <v>10</v>
      </c>
      <c r="H88" s="14"/>
      <c r="I88" s="14" t="n">
        <v>0</v>
      </c>
      <c r="J88" s="14" t="n">
        <v>10</v>
      </c>
      <c r="K88" s="14" t="n">
        <v>10</v>
      </c>
      <c r="L88" s="21"/>
      <c r="M88" s="11"/>
      <c r="N88" s="23"/>
      <c r="O88" s="23"/>
      <c r="P88" s="23"/>
      <c r="Q88" s="23"/>
      <c r="R88" s="23"/>
      <c r="S88" s="23"/>
      <c r="T88" s="23"/>
      <c r="U88" s="23"/>
      <c r="V88" s="23"/>
      <c r="W88" s="23"/>
      <c r="X88" s="23"/>
      <c r="Y88" s="23"/>
      <c r="Z88" s="23"/>
    </row>
    <row r="89" customFormat="false" ht="15.75" hidden="false" customHeight="true" outlineLevel="0" collapsed="false">
      <c r="A89" s="52" t="n">
        <v>46303</v>
      </c>
      <c r="B89" s="14" t="s">
        <v>306</v>
      </c>
      <c r="C89" s="14" t="str">
        <f aca="false" t="array" ref="C89:C89">IF(B89="","",IFERROR(INDEX('CLM &amp; IM Mapping'!$B$2:$B$270,MATCH(TRIM(B89),'CLM &amp; IM Mapping'!$A$2:$A$270,0)),"Not Mapped"))</f>
        <v>Narasimhamurthy R</v>
      </c>
      <c r="D89" s="14" t="str">
        <f aca="false" t="array" ref="D89:D89">IF(B89="","",IFERROR(INDEX('CLM &amp; IM Mapping'!$C$2:$C$270,MATCH(TRIM(B89),'CLM &amp; IM Mapping'!$A$2:$A$270,0)),"Not Mapped"))</f>
        <v>Kishor K</v>
      </c>
      <c r="E89" s="14"/>
      <c r="F89" s="14"/>
      <c r="G89" s="14" t="n">
        <v>8</v>
      </c>
      <c r="H89" s="14" t="n">
        <v>1</v>
      </c>
      <c r="I89" s="14" t="n">
        <v>0</v>
      </c>
      <c r="J89" s="14" t="n">
        <v>9</v>
      </c>
      <c r="K89" s="14" t="n">
        <v>9</v>
      </c>
      <c r="L89" s="12" t="s">
        <v>790</v>
      </c>
      <c r="M89" s="12" t="s">
        <v>746</v>
      </c>
      <c r="N89" s="23"/>
      <c r="O89" s="23"/>
      <c r="P89" s="23"/>
      <c r="Q89" s="23"/>
      <c r="R89" s="23"/>
      <c r="S89" s="23"/>
      <c r="T89" s="23"/>
      <c r="U89" s="23"/>
      <c r="V89" s="23"/>
      <c r="W89" s="23"/>
      <c r="X89" s="23"/>
      <c r="Y89" s="23"/>
      <c r="Z89" s="23"/>
    </row>
    <row r="90" customFormat="false" ht="15.75" hidden="false" customHeight="true" outlineLevel="0" collapsed="false">
      <c r="A90" s="52" t="n">
        <v>46303</v>
      </c>
      <c r="B90" s="14" t="s">
        <v>291</v>
      </c>
      <c r="C90" s="14" t="str">
        <f aca="false" t="array" ref="C90:C90">IF(B90="","",IFERROR(INDEX('CLM &amp; IM Mapping'!$B$2:$B$270,MATCH(TRIM(B90),'CLM &amp; IM Mapping'!$A$2:$A$270,0)),"Not Mapped"))</f>
        <v>Ashwath S</v>
      </c>
      <c r="D90" s="14" t="str">
        <f aca="false" t="array" ref="D90:D90">IF(B90="","",IFERROR(INDEX('CLM &amp; IM Mapping'!$C$2:$C$270,MATCH(TRIM(B90),'CLM &amp; IM Mapping'!$A$2:$A$270,0)),"Not Mapped"))</f>
        <v>Kantha Kumar</v>
      </c>
      <c r="E90" s="14"/>
      <c r="F90" s="14"/>
      <c r="G90" s="14" t="n">
        <v>9</v>
      </c>
      <c r="H90" s="14"/>
      <c r="I90" s="14" t="n">
        <v>2</v>
      </c>
      <c r="J90" s="14" t="n">
        <v>7</v>
      </c>
      <c r="K90" s="14" t="n">
        <v>9</v>
      </c>
      <c r="L90" s="21"/>
      <c r="M90" s="11"/>
      <c r="N90" s="23"/>
      <c r="O90" s="23"/>
      <c r="P90" s="23"/>
      <c r="Q90" s="23"/>
      <c r="R90" s="23"/>
      <c r="S90" s="23"/>
      <c r="T90" s="23"/>
      <c r="U90" s="23"/>
      <c r="V90" s="23"/>
      <c r="W90" s="23"/>
      <c r="X90" s="23"/>
      <c r="Y90" s="23"/>
      <c r="Z90" s="23"/>
    </row>
    <row r="91" customFormat="false" ht="15.75" hidden="false" customHeight="true" outlineLevel="0" collapsed="false">
      <c r="A91" s="52" t="n">
        <v>46303</v>
      </c>
      <c r="B91" s="14" t="s">
        <v>410</v>
      </c>
      <c r="C91" s="14" t="str">
        <f aca="false" t="array" ref="C91:C91">IF(B91="","",IFERROR(INDEX('CLM &amp; IM Mapping'!$B$2:$B$270,MATCH(TRIM(B91),'CLM &amp; IM Mapping'!$A$2:$A$270,0)),"Not Mapped"))</f>
        <v>Akshay P</v>
      </c>
      <c r="D91" s="14" t="str">
        <f aca="false" t="array" ref="D91:D91">IF(B91="","",IFERROR(INDEX('CLM &amp; IM Mapping'!$C$2:$C$270,MATCH(TRIM(B91),'CLM &amp; IM Mapping'!$A$2:$A$270,0)),"Not Mapped"))</f>
        <v>Srittam Dhal</v>
      </c>
      <c r="E91" s="14"/>
      <c r="F91" s="14" t="n">
        <v>8</v>
      </c>
      <c r="G91" s="14"/>
      <c r="H91" s="14" t="n">
        <v>1</v>
      </c>
      <c r="I91" s="14" t="n">
        <v>9</v>
      </c>
      <c r="J91" s="14" t="n">
        <v>0</v>
      </c>
      <c r="K91" s="14" t="n">
        <v>9</v>
      </c>
      <c r="L91" s="21"/>
      <c r="M91" s="11"/>
      <c r="N91" s="23"/>
      <c r="O91" s="23"/>
      <c r="P91" s="23"/>
      <c r="Q91" s="23"/>
      <c r="R91" s="23"/>
      <c r="S91" s="23"/>
      <c r="T91" s="23"/>
      <c r="U91" s="23"/>
      <c r="V91" s="23"/>
      <c r="W91" s="23"/>
      <c r="X91" s="23"/>
      <c r="Y91" s="23"/>
      <c r="Z91" s="23"/>
    </row>
    <row r="92" customFormat="false" ht="15.75" hidden="false" customHeight="true" outlineLevel="0" collapsed="false">
      <c r="A92" s="52" t="n">
        <v>46303</v>
      </c>
      <c r="B92" s="14" t="s">
        <v>186</v>
      </c>
      <c r="C92" s="14" t="str">
        <f aca="false" t="array" ref="C92:C92">IF(B92="","",IFERROR(INDEX('CLM &amp; IM Mapping'!$B$2:$B$270,MATCH(TRIM(B92),'CLM &amp; IM Mapping'!$A$2:$A$270,0)),"Not Mapped"))</f>
        <v>Silambarasan E</v>
      </c>
      <c r="D92" s="14" t="str">
        <f aca="false" t="array" ref="D92:D92">IF(B92="","",IFERROR(INDEX('CLM &amp; IM Mapping'!$C$2:$C$270,MATCH(TRIM(B92),'CLM &amp; IM Mapping'!$A$2:$A$270,0)),"Not Mapped"))</f>
        <v>Arivind S</v>
      </c>
      <c r="E92" s="14"/>
      <c r="F92" s="14"/>
      <c r="G92" s="14" t="n">
        <v>8</v>
      </c>
      <c r="H92" s="14" t="n">
        <v>1</v>
      </c>
      <c r="I92" s="14" t="n">
        <v>9</v>
      </c>
      <c r="J92" s="14" t="n">
        <v>0</v>
      </c>
      <c r="K92" s="14" t="n">
        <v>9</v>
      </c>
      <c r="L92" s="21"/>
      <c r="M92" s="11"/>
      <c r="N92" s="23"/>
      <c r="O92" s="23"/>
      <c r="P92" s="23"/>
      <c r="Q92" s="23"/>
      <c r="R92" s="23"/>
      <c r="S92" s="23"/>
      <c r="T92" s="23"/>
      <c r="U92" s="23"/>
      <c r="V92" s="23"/>
      <c r="W92" s="23"/>
      <c r="X92" s="23"/>
      <c r="Y92" s="23"/>
      <c r="Z92" s="23"/>
    </row>
    <row r="93" customFormat="false" ht="15.75" hidden="false" customHeight="true" outlineLevel="0" collapsed="false">
      <c r="A93" s="52" t="n">
        <v>46303</v>
      </c>
      <c r="B93" s="14" t="s">
        <v>159</v>
      </c>
      <c r="C93" s="14" t="str">
        <f aca="false" t="array" ref="C93:C93">IF(B93="","",IFERROR(INDEX('CLM &amp; IM Mapping'!$B$2:$B$270,MATCH(TRIM(B93),'CLM &amp; IM Mapping'!$A$2:$A$270,0)),"Not Mapped"))</f>
        <v>Rizwan Ahmed</v>
      </c>
      <c r="D93" s="14" t="str">
        <f aca="false" t="array" ref="D93:D93">IF(B93="","",IFERROR(INDEX('CLM &amp; IM Mapping'!$C$2:$C$270,MATCH(TRIM(B93),'CLM &amp; IM Mapping'!$A$2:$A$270,0)),"Not Mapped"))</f>
        <v>Un Mapped</v>
      </c>
      <c r="E93" s="14"/>
      <c r="F93" s="14"/>
      <c r="G93" s="14" t="n">
        <v>7</v>
      </c>
      <c r="H93" s="14" t="n">
        <v>2</v>
      </c>
      <c r="I93" s="14" t="n">
        <v>0</v>
      </c>
      <c r="J93" s="14" t="n">
        <v>9</v>
      </c>
      <c r="K93" s="14" t="n">
        <v>9</v>
      </c>
      <c r="L93" s="21"/>
      <c r="M93" s="11"/>
      <c r="N93" s="23"/>
      <c r="O93" s="23"/>
      <c r="P93" s="23"/>
      <c r="Q93" s="23"/>
      <c r="R93" s="23"/>
      <c r="S93" s="23"/>
      <c r="T93" s="23"/>
      <c r="U93" s="23"/>
      <c r="V93" s="23"/>
      <c r="W93" s="23"/>
      <c r="X93" s="23"/>
      <c r="Y93" s="23"/>
      <c r="Z93" s="23"/>
    </row>
    <row r="94" customFormat="false" ht="15.75" hidden="false" customHeight="true" outlineLevel="0" collapsed="false">
      <c r="A94" s="52" t="n">
        <v>46303</v>
      </c>
      <c r="B94" s="14" t="s">
        <v>427</v>
      </c>
      <c r="C94" s="14" t="str">
        <f aca="false" t="array" ref="C94:C94">IF(B94="","",IFERROR(INDEX('CLM &amp; IM Mapping'!$B$2:$B$270,MATCH(TRIM(B94),'CLM &amp; IM Mapping'!$A$2:$A$270,0)),"Not Mapped"))</f>
        <v>John Britto</v>
      </c>
      <c r="D94" s="14" t="str">
        <f aca="false" t="array" ref="D94:D94">IF(B94="","",IFERROR(INDEX('CLM &amp; IM Mapping'!$C$2:$C$270,MATCH(TRIM(B94),'CLM &amp; IM Mapping'!$A$2:$A$270,0)),"Not Mapped"))</f>
        <v>Aravind S</v>
      </c>
      <c r="E94" s="14"/>
      <c r="F94" s="14"/>
      <c r="G94" s="14" t="n">
        <v>8</v>
      </c>
      <c r="H94" s="14"/>
      <c r="I94" s="14" t="n">
        <v>8</v>
      </c>
      <c r="J94" s="14" t="n">
        <v>0</v>
      </c>
      <c r="K94" s="14" t="n">
        <v>8</v>
      </c>
      <c r="L94" s="21"/>
      <c r="M94" s="11"/>
      <c r="N94" s="23"/>
      <c r="O94" s="23"/>
      <c r="P94" s="23"/>
      <c r="Q94" s="23"/>
      <c r="R94" s="23"/>
      <c r="S94" s="23"/>
      <c r="T94" s="23"/>
      <c r="U94" s="23"/>
      <c r="V94" s="23"/>
      <c r="W94" s="23"/>
      <c r="X94" s="23"/>
      <c r="Y94" s="23"/>
      <c r="Z94" s="23"/>
    </row>
    <row r="95" customFormat="false" ht="15.75" hidden="false" customHeight="true" outlineLevel="0" collapsed="false">
      <c r="A95" s="52" t="n">
        <v>46303</v>
      </c>
      <c r="B95" s="14" t="s">
        <v>483</v>
      </c>
      <c r="C95" s="14" t="str">
        <f aca="false" t="array" ref="C95:C95">IF(B95="","",IFERROR(INDEX('CLM &amp; IM Mapping'!$B$2:$B$270,MATCH(TRIM(B95),'CLM &amp; IM Mapping'!$A$2:$A$270,0)),"Not Mapped"))</f>
        <v>Sundaresh S</v>
      </c>
      <c r="D95" s="14" t="str">
        <f aca="false" t="array" ref="D95:D95">IF(B95="","",IFERROR(INDEX('CLM &amp; IM Mapping'!$C$2:$C$270,MATCH(TRIM(B95),'CLM &amp; IM Mapping'!$A$2:$A$270,0)),"Not Mapped"))</f>
        <v>Un Mapped</v>
      </c>
      <c r="E95" s="14"/>
      <c r="F95" s="14"/>
      <c r="G95" s="14" t="n">
        <v>6</v>
      </c>
      <c r="H95" s="14" t="n">
        <v>1</v>
      </c>
      <c r="I95" s="14" t="n">
        <v>7</v>
      </c>
      <c r="J95" s="14" t="n">
        <v>0</v>
      </c>
      <c r="K95" s="14" t="n">
        <v>7</v>
      </c>
      <c r="L95" s="21"/>
      <c r="M95" s="11"/>
      <c r="N95" s="23"/>
      <c r="O95" s="23"/>
      <c r="P95" s="23"/>
      <c r="Q95" s="23"/>
      <c r="R95" s="23"/>
      <c r="S95" s="23"/>
      <c r="T95" s="23"/>
      <c r="U95" s="23"/>
      <c r="V95" s="23"/>
      <c r="W95" s="23"/>
      <c r="X95" s="23"/>
      <c r="Y95" s="23"/>
      <c r="Z95" s="23"/>
    </row>
    <row r="96" customFormat="false" ht="15.75" hidden="false" customHeight="true" outlineLevel="0" collapsed="false">
      <c r="A96" s="52" t="n">
        <v>46303</v>
      </c>
      <c r="B96" s="14" t="s">
        <v>364</v>
      </c>
      <c r="C96" s="14" t="str">
        <f aca="false" t="array" ref="C96:C96">IF(B96="","",IFERROR(INDEX('CLM &amp; IM Mapping'!$B$2:$B$270,MATCH(TRIM(B96),'CLM &amp; IM Mapping'!$A$2:$A$270,0)),"Not Mapped"))</f>
        <v>Raghavendra Vernekar</v>
      </c>
      <c r="D96" s="14" t="str">
        <f aca="false" t="array" ref="D96:D96">IF(B96="","",IFERROR(INDEX('CLM &amp; IM Mapping'!$C$2:$C$270,MATCH(TRIM(B96),'CLM &amp; IM Mapping'!$A$2:$A$270,0)),"Not Mapped"))</f>
        <v>Prakash BS</v>
      </c>
      <c r="E96" s="14" t="n">
        <v>6</v>
      </c>
      <c r="F96" s="14"/>
      <c r="G96" s="14" t="n">
        <v>1</v>
      </c>
      <c r="H96" s="14"/>
      <c r="I96" s="14" t="n">
        <v>0</v>
      </c>
      <c r="J96" s="14" t="n">
        <v>7</v>
      </c>
      <c r="K96" s="14" t="n">
        <v>7</v>
      </c>
      <c r="L96" s="12" t="s">
        <v>729</v>
      </c>
      <c r="M96" s="11"/>
      <c r="N96" s="23"/>
      <c r="O96" s="23"/>
      <c r="P96" s="23"/>
      <c r="Q96" s="23"/>
      <c r="R96" s="23"/>
      <c r="S96" s="23"/>
      <c r="T96" s="23"/>
      <c r="U96" s="23"/>
      <c r="V96" s="23"/>
      <c r="W96" s="23"/>
      <c r="X96" s="23"/>
      <c r="Y96" s="23"/>
      <c r="Z96" s="23"/>
    </row>
    <row r="97" customFormat="false" ht="15.75" hidden="false" customHeight="true" outlineLevel="0" collapsed="false">
      <c r="A97" s="52" t="n">
        <v>46303</v>
      </c>
      <c r="B97" s="14" t="s">
        <v>526</v>
      </c>
      <c r="C97" s="14" t="str">
        <f aca="false" t="array" ref="C97:C97">IF(B97="","",IFERROR(INDEX('CLM &amp; IM Mapping'!$B$2:$B$270,MATCH(TRIM(B97),'CLM &amp; IM Mapping'!$A$2:$A$270,0)),"Not Mapped"))</f>
        <v>Sundaresh S</v>
      </c>
      <c r="D97" s="14" t="str">
        <f aca="false" t="array" ref="D97:D97">IF(B97="","",IFERROR(INDEX('CLM &amp; IM Mapping'!$C$2:$C$270,MATCH(TRIM(B97),'CLM &amp; IM Mapping'!$A$2:$A$270,0)),"Not Mapped"))</f>
        <v>Un Mapped</v>
      </c>
      <c r="E97" s="14"/>
      <c r="F97" s="14"/>
      <c r="G97" s="14" t="n">
        <v>5</v>
      </c>
      <c r="H97" s="14" t="n">
        <v>2</v>
      </c>
      <c r="I97" s="14" t="n">
        <v>7</v>
      </c>
      <c r="J97" s="14" t="n">
        <v>0</v>
      </c>
      <c r="K97" s="14" t="n">
        <v>7</v>
      </c>
      <c r="L97" s="21"/>
      <c r="M97" s="11"/>
      <c r="N97" s="23"/>
      <c r="O97" s="23"/>
      <c r="P97" s="23"/>
      <c r="Q97" s="23"/>
      <c r="R97" s="23"/>
      <c r="S97" s="23"/>
      <c r="T97" s="23"/>
      <c r="U97" s="23"/>
      <c r="V97" s="23"/>
      <c r="W97" s="23"/>
      <c r="X97" s="23"/>
      <c r="Y97" s="23"/>
      <c r="Z97" s="23"/>
    </row>
    <row r="98" customFormat="false" ht="15.75" hidden="false" customHeight="true" outlineLevel="0" collapsed="false">
      <c r="A98" s="52" t="n">
        <v>46303</v>
      </c>
      <c r="B98" s="14" t="s">
        <v>277</v>
      </c>
      <c r="C98" s="14" t="str">
        <f aca="false" t="array" ref="C98:C98">IF(B98="","",IFERROR(INDEX('CLM &amp; IM Mapping'!$B$2:$B$270,MATCH(TRIM(B98),'CLM &amp; IM Mapping'!$A$2:$A$270,0)),"Not Mapped"))</f>
        <v>Santhosha M</v>
      </c>
      <c r="D98" s="14" t="str">
        <f aca="false" t="array" ref="D98:D98">IF(B98="","",IFERROR(INDEX('CLM &amp; IM Mapping'!$C$2:$C$270,MATCH(TRIM(B98),'CLM &amp; IM Mapping'!$A$2:$A$270,0)),"Not Mapped"))</f>
        <v>Aravind S</v>
      </c>
      <c r="E98" s="14"/>
      <c r="F98" s="14"/>
      <c r="G98" s="14" t="n">
        <v>5</v>
      </c>
      <c r="H98" s="14" t="n">
        <v>2</v>
      </c>
      <c r="I98" s="14" t="n">
        <v>7</v>
      </c>
      <c r="J98" s="14" t="n">
        <v>0</v>
      </c>
      <c r="K98" s="14" t="n">
        <v>7</v>
      </c>
      <c r="L98" s="21"/>
      <c r="M98" s="11"/>
      <c r="N98" s="23"/>
      <c r="O98" s="23"/>
      <c r="P98" s="23"/>
      <c r="Q98" s="23"/>
      <c r="R98" s="23"/>
      <c r="S98" s="23"/>
      <c r="T98" s="23"/>
      <c r="U98" s="23"/>
      <c r="V98" s="23"/>
      <c r="W98" s="23"/>
      <c r="X98" s="23"/>
      <c r="Y98" s="23"/>
      <c r="Z98" s="23"/>
    </row>
    <row r="99" customFormat="false" ht="15.75" hidden="false" customHeight="true" outlineLevel="0" collapsed="false">
      <c r="A99" s="52" t="n">
        <v>46303</v>
      </c>
      <c r="B99" s="14" t="s">
        <v>331</v>
      </c>
      <c r="C99" s="14" t="str">
        <f aca="false" t="array" ref="C99:C99">IF(B99="","",IFERROR(INDEX('CLM &amp; IM Mapping'!$B$2:$B$270,MATCH(TRIM(B99),'CLM &amp; IM Mapping'!$A$2:$A$270,0)),"Not Mapped"))</f>
        <v>Vijay M</v>
      </c>
      <c r="D99" s="14" t="str">
        <f aca="false" t="array" ref="D99:D99">IF(B99="","",IFERROR(INDEX('CLM &amp; IM Mapping'!$C$2:$C$270,MATCH(TRIM(B99),'CLM &amp; IM Mapping'!$A$2:$A$270,0)),"Not Mapped"))</f>
        <v>Kantha Kumar</v>
      </c>
      <c r="E99" s="14"/>
      <c r="F99" s="14"/>
      <c r="G99" s="14" t="n">
        <v>7</v>
      </c>
      <c r="H99" s="14"/>
      <c r="I99" s="14" t="n">
        <v>7</v>
      </c>
      <c r="J99" s="14" t="n">
        <v>0</v>
      </c>
      <c r="K99" s="14" t="n">
        <v>7</v>
      </c>
      <c r="L99" s="21"/>
      <c r="M99" s="11"/>
      <c r="N99" s="23"/>
      <c r="O99" s="23"/>
      <c r="P99" s="23"/>
      <c r="Q99" s="23"/>
      <c r="R99" s="23"/>
      <c r="S99" s="23"/>
      <c r="T99" s="23"/>
      <c r="U99" s="23"/>
      <c r="V99" s="23"/>
      <c r="W99" s="23"/>
      <c r="X99" s="23"/>
      <c r="Y99" s="23"/>
      <c r="Z99" s="23"/>
    </row>
    <row r="100" customFormat="false" ht="15.75" hidden="false" customHeight="true" outlineLevel="0" collapsed="false">
      <c r="A100" s="52" t="n">
        <v>46303</v>
      </c>
      <c r="B100" s="14" t="s">
        <v>254</v>
      </c>
      <c r="C100" s="14" t="str">
        <f aca="false" t="array" ref="C100:C100">IF(B100="","",IFERROR(INDEX('CLM &amp; IM Mapping'!$B$2:$B$270,MATCH(TRIM(B100),'CLM &amp; IM Mapping'!$A$2:$A$270,0)),"Not Mapped"))</f>
        <v>Basil Scariya</v>
      </c>
      <c r="D100" s="14" t="str">
        <f aca="false" t="array" ref="D100:D100">IF(B100="","",IFERROR(INDEX('CLM &amp; IM Mapping'!$C$2:$C$270,MATCH(TRIM(B100),'CLM &amp; IM Mapping'!$A$2:$A$270,0)),"Not Mapped"))</f>
        <v>Prakash BS</v>
      </c>
      <c r="E100" s="14"/>
      <c r="F100" s="14"/>
      <c r="G100" s="14" t="n">
        <v>4</v>
      </c>
      <c r="H100" s="14" t="n">
        <v>2</v>
      </c>
      <c r="I100" s="14" t="n">
        <v>6</v>
      </c>
      <c r="J100" s="14" t="n">
        <v>0</v>
      </c>
      <c r="K100" s="14" t="n">
        <v>6</v>
      </c>
      <c r="L100" s="12" t="s">
        <v>729</v>
      </c>
      <c r="M100" s="11"/>
      <c r="N100" s="23"/>
      <c r="O100" s="23"/>
      <c r="P100" s="23"/>
      <c r="Q100" s="23"/>
      <c r="R100" s="23"/>
      <c r="S100" s="23"/>
      <c r="T100" s="23"/>
      <c r="U100" s="23"/>
      <c r="V100" s="23"/>
      <c r="W100" s="23"/>
      <c r="X100" s="23"/>
      <c r="Y100" s="23"/>
      <c r="Z100" s="23"/>
    </row>
    <row r="101" customFormat="false" ht="15.75" hidden="false" customHeight="true" outlineLevel="0" collapsed="false">
      <c r="A101" s="52" t="n">
        <v>46303</v>
      </c>
      <c r="B101" s="14" t="s">
        <v>390</v>
      </c>
      <c r="C101" s="14" t="str">
        <f aca="false" t="array" ref="C101:C101">IF(B101="","",IFERROR(INDEX('CLM &amp; IM Mapping'!$B$2:$B$270,MATCH(TRIM(B101),'CLM &amp; IM Mapping'!$A$2:$A$270,0)),"Not Mapped"))</f>
        <v>Sundaresh S</v>
      </c>
      <c r="D101" s="14" t="str">
        <f aca="false" t="array" ref="D101:D101">IF(B101="","",IFERROR(INDEX('CLM &amp; IM Mapping'!$C$2:$C$270,MATCH(TRIM(B101),'CLM &amp; IM Mapping'!$A$2:$A$270,0)),"Not Mapped"))</f>
        <v>Un Mapped</v>
      </c>
      <c r="E101" s="14"/>
      <c r="F101" s="14"/>
      <c r="G101" s="14" t="n">
        <v>6</v>
      </c>
      <c r="H101" s="14"/>
      <c r="I101" s="14" t="n">
        <v>0</v>
      </c>
      <c r="J101" s="14" t="n">
        <v>6</v>
      </c>
      <c r="K101" s="14" t="n">
        <v>6</v>
      </c>
      <c r="L101" s="21"/>
      <c r="M101" s="11"/>
      <c r="N101" s="23"/>
      <c r="O101" s="23"/>
      <c r="P101" s="23"/>
      <c r="Q101" s="23"/>
      <c r="R101" s="23"/>
      <c r="S101" s="23"/>
      <c r="T101" s="23"/>
      <c r="U101" s="23"/>
      <c r="V101" s="23"/>
      <c r="W101" s="23"/>
      <c r="X101" s="23"/>
      <c r="Y101" s="23"/>
      <c r="Z101" s="23"/>
    </row>
    <row r="102" customFormat="false" ht="15.75" hidden="false" customHeight="true" outlineLevel="0" collapsed="false">
      <c r="A102" s="52" t="n">
        <v>46303</v>
      </c>
      <c r="B102" s="14" t="s">
        <v>216</v>
      </c>
      <c r="C102" s="14" t="str">
        <f aca="false" t="array" ref="C102:C102">IF(B102="","",IFERROR(INDEX('CLM &amp; IM Mapping'!$B$2:$B$270,MATCH(TRIM(B102),'CLM &amp; IM Mapping'!$A$2:$A$270,0)),"Not Mapped"))</f>
        <v>Silambarasan E</v>
      </c>
      <c r="D102" s="14" t="str">
        <f aca="false" t="array" ref="D102:D102">IF(B102="","",IFERROR(INDEX('CLM &amp; IM Mapping'!$C$2:$C$270,MATCH(TRIM(B102),'CLM &amp; IM Mapping'!$A$2:$A$270,0)),"Not Mapped"))</f>
        <v>Arivind S</v>
      </c>
      <c r="E102" s="14"/>
      <c r="F102" s="14"/>
      <c r="G102" s="14" t="n">
        <v>6</v>
      </c>
      <c r="H102" s="14"/>
      <c r="I102" s="14" t="n">
        <v>0</v>
      </c>
      <c r="J102" s="14" t="n">
        <v>6</v>
      </c>
      <c r="K102" s="14" t="n">
        <v>6</v>
      </c>
      <c r="L102" s="21"/>
      <c r="M102" s="11"/>
      <c r="N102" s="23"/>
      <c r="O102" s="23"/>
      <c r="P102" s="23"/>
      <c r="Q102" s="23"/>
      <c r="R102" s="23"/>
      <c r="S102" s="23"/>
      <c r="T102" s="23"/>
      <c r="U102" s="23"/>
      <c r="V102" s="23"/>
      <c r="W102" s="23"/>
      <c r="X102" s="23"/>
      <c r="Y102" s="23"/>
      <c r="Z102" s="23"/>
    </row>
    <row r="103" customFormat="false" ht="15.75" hidden="false" customHeight="true" outlineLevel="0" collapsed="false">
      <c r="A103" s="52" t="n">
        <v>46303</v>
      </c>
      <c r="B103" s="14" t="s">
        <v>70</v>
      </c>
      <c r="C103" s="14" t="str">
        <f aca="false" t="array" ref="C103:C103">IF(B103="","",IFERROR(INDEX('CLM &amp; IM Mapping'!$B$2:$B$270,MATCH(TRIM(B103),'CLM &amp; IM Mapping'!$A$2:$A$270,0)),"Not Mapped"))</f>
        <v>Rizwan Ahmed</v>
      </c>
      <c r="D103" s="14" t="str">
        <f aca="false" t="array" ref="D103:D103">IF(B103="","",IFERROR(INDEX('CLM &amp; IM Mapping'!$C$2:$C$270,MATCH(TRIM(B103),'CLM &amp; IM Mapping'!$A$2:$A$270,0)),"Not Mapped"))</f>
        <v>Un Mapped</v>
      </c>
      <c r="E103" s="14"/>
      <c r="F103" s="14"/>
      <c r="G103" s="14" t="n">
        <v>4</v>
      </c>
      <c r="H103" s="14" t="n">
        <v>2</v>
      </c>
      <c r="I103" s="14" t="n">
        <v>6</v>
      </c>
      <c r="J103" s="14" t="n">
        <v>0</v>
      </c>
      <c r="K103" s="14" t="n">
        <v>6</v>
      </c>
      <c r="L103" s="21"/>
      <c r="M103" s="11"/>
      <c r="N103" s="23"/>
      <c r="O103" s="23"/>
      <c r="P103" s="23"/>
      <c r="Q103" s="23"/>
      <c r="R103" s="23"/>
      <c r="S103" s="23"/>
      <c r="T103" s="23"/>
      <c r="U103" s="23"/>
      <c r="V103" s="23"/>
      <c r="W103" s="23"/>
      <c r="X103" s="23"/>
      <c r="Y103" s="23"/>
      <c r="Z103" s="23"/>
    </row>
    <row r="104" customFormat="false" ht="15.75" hidden="false" customHeight="true" outlineLevel="0" collapsed="false">
      <c r="A104" s="52" t="n">
        <v>46303</v>
      </c>
      <c r="B104" s="14" t="s">
        <v>311</v>
      </c>
      <c r="C104" s="14" t="str">
        <f aca="false" t="array" ref="C104:C104">IF(B104="","",IFERROR(INDEX('CLM &amp; IM Mapping'!$B$2:$B$270,MATCH(TRIM(B104),'CLM &amp; IM Mapping'!$A$2:$A$270,0)),"Not Mapped"))</f>
        <v>Manjunatha V</v>
      </c>
      <c r="D104" s="14" t="str">
        <f aca="false" t="array" ref="D104:D104">IF(B104="","",IFERROR(INDEX('CLM &amp; IM Mapping'!$C$2:$C$270,MATCH(TRIM(B104),'CLM &amp; IM Mapping'!$A$2:$A$270,0)),"Not Mapped"))</f>
        <v>Un Mapped</v>
      </c>
      <c r="E104" s="14"/>
      <c r="F104" s="14"/>
      <c r="G104" s="14" t="n">
        <v>4</v>
      </c>
      <c r="H104" s="14" t="n">
        <v>2</v>
      </c>
      <c r="I104" s="14" t="n">
        <v>6</v>
      </c>
      <c r="J104" s="14" t="n">
        <v>0</v>
      </c>
      <c r="K104" s="14" t="n">
        <v>6</v>
      </c>
      <c r="L104" s="21"/>
      <c r="M104" s="11"/>
      <c r="N104" s="23"/>
      <c r="O104" s="23"/>
      <c r="P104" s="23"/>
      <c r="Q104" s="23"/>
      <c r="R104" s="23"/>
      <c r="S104" s="23"/>
      <c r="T104" s="23"/>
      <c r="U104" s="23"/>
      <c r="V104" s="23"/>
      <c r="W104" s="23"/>
      <c r="X104" s="23"/>
      <c r="Y104" s="23"/>
      <c r="Z104" s="23"/>
    </row>
    <row r="105" customFormat="false" ht="15.75" hidden="false" customHeight="true" outlineLevel="0" collapsed="false">
      <c r="A105" s="52" t="n">
        <v>46303</v>
      </c>
      <c r="B105" s="14" t="s">
        <v>317</v>
      </c>
      <c r="C105" s="14" t="str">
        <f aca="false" t="array" ref="C105:C105">IF(B105="","",IFERROR(INDEX('CLM &amp; IM Mapping'!$B$2:$B$270,MATCH(TRIM(B105),'CLM &amp; IM Mapping'!$A$2:$A$270,0)),"Not Mapped"))</f>
        <v>Akshay P</v>
      </c>
      <c r="D105" s="14" t="str">
        <f aca="false" t="array" ref="D105:D105">IF(B105="","",IFERROR(INDEX('CLM &amp; IM Mapping'!$C$2:$C$270,MATCH(TRIM(B105),'CLM &amp; IM Mapping'!$A$2:$A$270,0)),"Not Mapped"))</f>
        <v>Srittam Dhal</v>
      </c>
      <c r="E105" s="14"/>
      <c r="F105" s="14"/>
      <c r="G105" s="14" t="n">
        <v>5</v>
      </c>
      <c r="H105" s="14"/>
      <c r="I105" s="14" t="n">
        <v>5</v>
      </c>
      <c r="J105" s="14" t="n">
        <v>0</v>
      </c>
      <c r="K105" s="14" t="n">
        <v>5</v>
      </c>
      <c r="L105" s="21"/>
      <c r="M105" s="11"/>
      <c r="N105" s="23"/>
      <c r="O105" s="23"/>
      <c r="P105" s="23"/>
      <c r="Q105" s="23"/>
      <c r="R105" s="23"/>
      <c r="S105" s="23"/>
      <c r="T105" s="23"/>
      <c r="U105" s="23"/>
      <c r="V105" s="23"/>
      <c r="W105" s="23"/>
      <c r="X105" s="23"/>
      <c r="Y105" s="23"/>
      <c r="Z105" s="23"/>
    </row>
    <row r="106" customFormat="false" ht="15.75" hidden="false" customHeight="true" outlineLevel="0" collapsed="false">
      <c r="A106" s="52" t="n">
        <v>46303</v>
      </c>
      <c r="B106" s="14" t="s">
        <v>488</v>
      </c>
      <c r="C106" s="14" t="str">
        <f aca="false" t="array" ref="C106:C106">IF(B106="","",IFERROR(INDEX('CLM &amp; IM Mapping'!$B$2:$B$270,MATCH(TRIM(B106),'CLM &amp; IM Mapping'!$A$2:$A$270,0)),"Not Mapped"))</f>
        <v>Sundaresh S</v>
      </c>
      <c r="D106" s="14" t="str">
        <f aca="false" t="array" ref="D106:D106">IF(B106="","",IFERROR(INDEX('CLM &amp; IM Mapping'!$C$2:$C$270,MATCH(TRIM(B106),'CLM &amp; IM Mapping'!$A$2:$A$270,0)),"Not Mapped"))</f>
        <v>Un Mapped</v>
      </c>
      <c r="E106" s="14"/>
      <c r="F106" s="14"/>
      <c r="G106" s="14" t="n">
        <v>1</v>
      </c>
      <c r="H106" s="14" t="n">
        <v>4</v>
      </c>
      <c r="I106" s="14" t="n">
        <v>5</v>
      </c>
      <c r="J106" s="14" t="n">
        <v>0</v>
      </c>
      <c r="K106" s="14" t="n">
        <v>5</v>
      </c>
      <c r="L106" s="21"/>
      <c r="M106" s="11"/>
      <c r="N106" s="23"/>
      <c r="O106" s="23"/>
      <c r="P106" s="23"/>
      <c r="Q106" s="23"/>
      <c r="R106" s="23"/>
      <c r="S106" s="23"/>
      <c r="T106" s="23"/>
      <c r="U106" s="23"/>
      <c r="V106" s="23"/>
      <c r="W106" s="23"/>
      <c r="X106" s="23"/>
      <c r="Y106" s="23"/>
      <c r="Z106" s="23"/>
    </row>
    <row r="107" customFormat="false" ht="15.75" hidden="false" customHeight="true" outlineLevel="0" collapsed="false">
      <c r="A107" s="52" t="n">
        <v>46303</v>
      </c>
      <c r="B107" s="14" t="s">
        <v>200</v>
      </c>
      <c r="C107" s="14" t="str">
        <f aca="false" t="array" ref="C107:C107">IF(B107="","",IFERROR(INDEX('CLM &amp; IM Mapping'!$B$2:$B$270,MATCH(TRIM(B107),'CLM &amp; IM Mapping'!$A$2:$A$270,0)),"Not Mapped"))</f>
        <v>Adhavan Subramani</v>
      </c>
      <c r="D107" s="14" t="str">
        <f aca="false" t="array" ref="D107:D107">IF(B107="","",IFERROR(INDEX('CLM &amp; IM Mapping'!$C$2:$C$270,MATCH(TRIM(B107),'CLM &amp; IM Mapping'!$A$2:$A$270,0)),"Not Mapped"))</f>
        <v>Mohammed Akbar</v>
      </c>
      <c r="E107" s="14"/>
      <c r="F107" s="14"/>
      <c r="G107" s="14" t="n">
        <v>5</v>
      </c>
      <c r="H107" s="14"/>
      <c r="I107" s="14" t="n">
        <v>5</v>
      </c>
      <c r="J107" s="14" t="n">
        <v>0</v>
      </c>
      <c r="K107" s="14" t="n">
        <v>5</v>
      </c>
      <c r="L107" s="12" t="s">
        <v>736</v>
      </c>
      <c r="M107" s="54" t="n">
        <v>0.666666666666667</v>
      </c>
      <c r="N107" s="23"/>
      <c r="O107" s="23"/>
      <c r="P107" s="23"/>
      <c r="Q107" s="23"/>
      <c r="R107" s="23"/>
      <c r="S107" s="23"/>
      <c r="T107" s="23"/>
      <c r="U107" s="23"/>
      <c r="V107" s="23"/>
      <c r="W107" s="23"/>
      <c r="X107" s="23"/>
      <c r="Y107" s="23"/>
      <c r="Z107" s="23"/>
    </row>
    <row r="108" customFormat="false" ht="15.75" hidden="false" customHeight="true" outlineLevel="0" collapsed="false">
      <c r="A108" s="52" t="n">
        <v>46303</v>
      </c>
      <c r="B108" s="14" t="s">
        <v>293</v>
      </c>
      <c r="C108" s="14" t="str">
        <f aca="false" t="array" ref="C108:C108">IF(B108="","",IFERROR(INDEX('CLM &amp; IM Mapping'!$B$2:$B$270,MATCH(TRIM(B108),'CLM &amp; IM Mapping'!$A$2:$A$270,0)),"Not Mapped"))</f>
        <v>Suhas N</v>
      </c>
      <c r="D108" s="14" t="str">
        <f aca="false" t="array" ref="D108:D108">IF(B108="","",IFERROR(INDEX('CLM &amp; IM Mapping'!$C$2:$C$270,MATCH(TRIM(B108),'CLM &amp; IM Mapping'!$A$2:$A$270,0)),"Not Mapped"))</f>
        <v>Aravind S</v>
      </c>
      <c r="E108" s="14"/>
      <c r="F108" s="14"/>
      <c r="G108" s="14" t="n">
        <v>1</v>
      </c>
      <c r="H108" s="14" t="n">
        <v>3</v>
      </c>
      <c r="I108" s="14" t="n">
        <v>4</v>
      </c>
      <c r="J108" s="14" t="n">
        <v>0</v>
      </c>
      <c r="K108" s="14" t="n">
        <v>4</v>
      </c>
      <c r="L108" s="21"/>
      <c r="M108" s="11"/>
      <c r="N108" s="23"/>
      <c r="O108" s="23"/>
      <c r="P108" s="23"/>
      <c r="Q108" s="23"/>
      <c r="R108" s="23"/>
      <c r="S108" s="23"/>
      <c r="T108" s="23"/>
      <c r="U108" s="23"/>
      <c r="V108" s="23"/>
      <c r="W108" s="23"/>
      <c r="X108" s="23"/>
      <c r="Y108" s="23"/>
      <c r="Z108" s="23"/>
    </row>
    <row r="109" customFormat="false" ht="15.75" hidden="false" customHeight="true" outlineLevel="0" collapsed="false">
      <c r="A109" s="52" t="n">
        <v>46303</v>
      </c>
      <c r="B109" s="14" t="s">
        <v>369</v>
      </c>
      <c r="C109" s="14" t="str">
        <f aca="false" t="array" ref="C109:C109">IF(B109="","",IFERROR(INDEX('CLM &amp; IM Mapping'!$B$2:$B$270,MATCH(TRIM(B109),'CLM &amp; IM Mapping'!$A$2:$A$270,0)),"Not Mapped"))</f>
        <v>Not Mapped</v>
      </c>
      <c r="D109" s="14" t="str">
        <f aca="false" t="array" ref="D109:D109">IF(B109="","",IFERROR(INDEX('CLM &amp; IM Mapping'!$C$2:$C$270,MATCH(TRIM(B109),'CLM &amp; IM Mapping'!$A$2:$A$270,0)),"Not Mapped"))</f>
        <v>Not Mapped</v>
      </c>
      <c r="E109" s="14"/>
      <c r="F109" s="14"/>
      <c r="G109" s="14" t="n">
        <v>3</v>
      </c>
      <c r="H109" s="14" t="n">
        <v>1</v>
      </c>
      <c r="I109" s="14" t="n">
        <v>4</v>
      </c>
      <c r="J109" s="14" t="n">
        <v>0</v>
      </c>
      <c r="K109" s="14" t="n">
        <v>4</v>
      </c>
      <c r="L109" s="21"/>
      <c r="M109" s="11"/>
      <c r="N109" s="23"/>
      <c r="O109" s="23"/>
      <c r="P109" s="23"/>
      <c r="Q109" s="23"/>
      <c r="R109" s="23"/>
      <c r="S109" s="23"/>
      <c r="T109" s="23"/>
      <c r="U109" s="23"/>
      <c r="V109" s="23"/>
      <c r="W109" s="23"/>
      <c r="X109" s="23"/>
      <c r="Y109" s="23"/>
      <c r="Z109" s="23"/>
    </row>
    <row r="110" customFormat="false" ht="15.75" hidden="false" customHeight="true" outlineLevel="0" collapsed="false">
      <c r="A110" s="52" t="n">
        <v>46303</v>
      </c>
      <c r="B110" s="14" t="s">
        <v>365</v>
      </c>
      <c r="C110" s="14" t="str">
        <f aca="false" t="array" ref="C110:C110">IF(B110="","",IFERROR(INDEX('CLM &amp; IM Mapping'!$B$2:$B$270,MATCH(TRIM(B110),'CLM &amp; IM Mapping'!$A$2:$A$270,0)),"Not Mapped"))</f>
        <v>Raghavendra Vernekar</v>
      </c>
      <c r="D110" s="14" t="str">
        <f aca="false" t="array" ref="D110:D110">IF(B110="","",IFERROR(INDEX('CLM &amp; IM Mapping'!$C$2:$C$270,MATCH(TRIM(B110),'CLM &amp; IM Mapping'!$A$2:$A$270,0)),"Not Mapped"))</f>
        <v>Prakash BS</v>
      </c>
      <c r="E110" s="14"/>
      <c r="F110" s="14"/>
      <c r="G110" s="14" t="n">
        <v>4</v>
      </c>
      <c r="H110" s="14"/>
      <c r="I110" s="14" t="n">
        <v>4</v>
      </c>
      <c r="J110" s="14" t="n">
        <v>0</v>
      </c>
      <c r="K110" s="14" t="n">
        <v>4</v>
      </c>
      <c r="L110" s="12" t="s">
        <v>729</v>
      </c>
      <c r="M110" s="11"/>
      <c r="N110" s="23"/>
      <c r="O110" s="23"/>
      <c r="P110" s="23"/>
      <c r="Q110" s="23"/>
      <c r="R110" s="23"/>
      <c r="S110" s="23"/>
      <c r="T110" s="23"/>
      <c r="U110" s="23"/>
      <c r="V110" s="23"/>
      <c r="W110" s="23"/>
      <c r="X110" s="23"/>
      <c r="Y110" s="23"/>
      <c r="Z110" s="23"/>
    </row>
    <row r="111" customFormat="false" ht="15.75" hidden="false" customHeight="true" outlineLevel="0" collapsed="false">
      <c r="A111" s="52" t="n">
        <v>46303</v>
      </c>
      <c r="B111" s="14" t="s">
        <v>361</v>
      </c>
      <c r="C111" s="14" t="str">
        <f aca="false" t="array" ref="C111:C111">IF(B111="","",IFERROR(INDEX('CLM &amp; IM Mapping'!$B$2:$B$270,MATCH(TRIM(B111),'CLM &amp; IM Mapping'!$A$2:$A$270,0)),"Not Mapped"))</f>
        <v>Santhosha M</v>
      </c>
      <c r="D111" s="14" t="str">
        <f aca="false" t="array" ref="D111:D111">IF(B111="","",IFERROR(INDEX('CLM &amp; IM Mapping'!$C$2:$C$270,MATCH(TRIM(B111),'CLM &amp; IM Mapping'!$A$2:$A$270,0)),"Not Mapped"))</f>
        <v>Aravind S</v>
      </c>
      <c r="E111" s="14"/>
      <c r="F111" s="14"/>
      <c r="G111" s="14" t="n">
        <v>3</v>
      </c>
      <c r="H111" s="14" t="n">
        <v>1</v>
      </c>
      <c r="I111" s="14" t="n">
        <v>0</v>
      </c>
      <c r="J111" s="14" t="n">
        <v>4</v>
      </c>
      <c r="K111" s="14" t="n">
        <v>4</v>
      </c>
      <c r="L111" s="21"/>
      <c r="M111" s="11"/>
      <c r="N111" s="23"/>
      <c r="O111" s="23"/>
      <c r="P111" s="23"/>
      <c r="Q111" s="23"/>
      <c r="R111" s="23"/>
      <c r="S111" s="23"/>
      <c r="T111" s="23"/>
      <c r="U111" s="23"/>
      <c r="V111" s="23"/>
      <c r="W111" s="23"/>
      <c r="X111" s="23"/>
      <c r="Y111" s="23"/>
      <c r="Z111" s="23"/>
    </row>
    <row r="112" customFormat="false" ht="15.75" hidden="false" customHeight="true" outlineLevel="0" collapsed="false">
      <c r="A112" s="52" t="n">
        <v>46303</v>
      </c>
      <c r="B112" s="14" t="s">
        <v>238</v>
      </c>
      <c r="C112" s="14" t="str">
        <f aca="false" t="array" ref="C112:C112">IF(B112="","",IFERROR(INDEX('CLM &amp; IM Mapping'!$B$2:$B$270,MATCH(TRIM(B112),'CLM &amp; IM Mapping'!$A$2:$A$270,0)),"Not Mapped"))</f>
        <v>Suhas N</v>
      </c>
      <c r="D112" s="14" t="str">
        <f aca="false" t="array" ref="D112:D112">IF(B112="","",IFERROR(INDEX('CLM &amp; IM Mapping'!$C$2:$C$270,MATCH(TRIM(B112),'CLM &amp; IM Mapping'!$A$2:$A$270,0)),"Not Mapped"))</f>
        <v>Aravind S</v>
      </c>
      <c r="E112" s="14"/>
      <c r="F112" s="14"/>
      <c r="G112" s="14"/>
      <c r="H112" s="14" t="n">
        <v>3</v>
      </c>
      <c r="I112" s="14" t="n">
        <v>0</v>
      </c>
      <c r="J112" s="14" t="n">
        <v>3</v>
      </c>
      <c r="K112" s="14" t="n">
        <v>3</v>
      </c>
      <c r="L112" s="21"/>
      <c r="M112" s="11"/>
      <c r="N112" s="23"/>
      <c r="O112" s="23"/>
      <c r="P112" s="23"/>
      <c r="Q112" s="23"/>
      <c r="R112" s="23"/>
      <c r="S112" s="23"/>
      <c r="T112" s="23"/>
      <c r="U112" s="23"/>
      <c r="V112" s="23"/>
      <c r="W112" s="23"/>
      <c r="X112" s="23"/>
      <c r="Y112" s="23"/>
      <c r="Z112" s="23"/>
    </row>
    <row r="113" customFormat="false" ht="15.75" hidden="false" customHeight="true" outlineLevel="0" collapsed="false">
      <c r="A113" s="52" t="n">
        <v>46303</v>
      </c>
      <c r="B113" s="14" t="s">
        <v>62</v>
      </c>
      <c r="C113" s="14" t="str">
        <f aca="false" t="array" ref="C113:C113">IF(B113="","",IFERROR(INDEX('CLM &amp; IM Mapping'!$B$2:$B$270,MATCH(TRIM(B113),'CLM &amp; IM Mapping'!$A$2:$A$270,0)),"Not Mapped"))</f>
        <v>Basil Scariya</v>
      </c>
      <c r="D113" s="14" t="str">
        <f aca="false" t="array" ref="D113:D113">IF(B113="","",IFERROR(INDEX('CLM &amp; IM Mapping'!$C$2:$C$270,MATCH(TRIM(B113),'CLM &amp; IM Mapping'!$A$2:$A$270,0)),"Not Mapped"))</f>
        <v>Prakash BS</v>
      </c>
      <c r="E113" s="14"/>
      <c r="F113" s="14"/>
      <c r="G113" s="14"/>
      <c r="H113" s="14" t="n">
        <v>3</v>
      </c>
      <c r="I113" s="14" t="n">
        <v>0</v>
      </c>
      <c r="J113" s="14" t="n">
        <v>3</v>
      </c>
      <c r="K113" s="14" t="n">
        <v>3</v>
      </c>
      <c r="L113" s="12" t="s">
        <v>729</v>
      </c>
      <c r="M113" s="11"/>
      <c r="N113" s="23"/>
      <c r="O113" s="23"/>
      <c r="P113" s="23"/>
      <c r="Q113" s="23"/>
      <c r="R113" s="23"/>
      <c r="S113" s="23"/>
      <c r="T113" s="23"/>
      <c r="U113" s="23"/>
      <c r="V113" s="23"/>
      <c r="W113" s="23"/>
      <c r="X113" s="23"/>
      <c r="Y113" s="23"/>
      <c r="Z113" s="23"/>
    </row>
    <row r="114" customFormat="false" ht="15.75" hidden="false" customHeight="true" outlineLevel="0" collapsed="false">
      <c r="A114" s="52" t="n">
        <v>46303</v>
      </c>
      <c r="B114" s="14" t="s">
        <v>139</v>
      </c>
      <c r="C114" s="14" t="str">
        <f aca="false" t="array" ref="C114:C114">IF(B114="","",IFERROR(INDEX('CLM &amp; IM Mapping'!$B$2:$B$270,MATCH(TRIM(B114),'CLM &amp; IM Mapping'!$A$2:$A$270,0)),"Not Mapped"))</f>
        <v>Mohaideen DH</v>
      </c>
      <c r="D114" s="14" t="str">
        <f aca="false" t="array" ref="D114:D114">IF(B114="","",IFERROR(INDEX('CLM &amp; IM Mapping'!$C$2:$C$270,MATCH(TRIM(B114),'CLM &amp; IM Mapping'!$A$2:$A$270,0)),"Not Mapped"))</f>
        <v>Mohammed Akbar</v>
      </c>
      <c r="E114" s="14"/>
      <c r="F114" s="14"/>
      <c r="G114" s="14" t="n">
        <v>3</v>
      </c>
      <c r="H114" s="14"/>
      <c r="I114" s="14" t="n">
        <v>3</v>
      </c>
      <c r="J114" s="14" t="n">
        <v>0</v>
      </c>
      <c r="K114" s="14" t="n">
        <v>3</v>
      </c>
      <c r="L114" s="12" t="s">
        <v>736</v>
      </c>
      <c r="M114" s="54" t="n">
        <v>0.875</v>
      </c>
      <c r="N114" s="23"/>
      <c r="O114" s="23"/>
      <c r="P114" s="23"/>
      <c r="Q114" s="23"/>
      <c r="R114" s="23"/>
      <c r="S114" s="23"/>
      <c r="T114" s="23"/>
      <c r="U114" s="23"/>
      <c r="V114" s="23"/>
      <c r="W114" s="23"/>
      <c r="X114" s="23"/>
      <c r="Y114" s="23"/>
      <c r="Z114" s="23"/>
    </row>
    <row r="115" customFormat="false" ht="15.75" hidden="false" customHeight="true" outlineLevel="0" collapsed="false">
      <c r="A115" s="52" t="n">
        <v>46303</v>
      </c>
      <c r="B115" s="14" t="s">
        <v>203</v>
      </c>
      <c r="C115" s="14" t="str">
        <f aca="false" t="array" ref="C115:C115">IF(B115="","",IFERROR(INDEX('CLM &amp; IM Mapping'!$B$2:$B$270,MATCH(TRIM(B115),'CLM &amp; IM Mapping'!$A$2:$A$270,0)),"Not Mapped"))</f>
        <v>Suhas N</v>
      </c>
      <c r="D115" s="14" t="str">
        <f aca="false" t="array" ref="D115:D115">IF(B115="","",IFERROR(INDEX('CLM &amp; IM Mapping'!$C$2:$C$270,MATCH(TRIM(B115),'CLM &amp; IM Mapping'!$A$2:$A$270,0)),"Not Mapped"))</f>
        <v>Aravind S</v>
      </c>
      <c r="E115" s="14"/>
      <c r="F115" s="14"/>
      <c r="G115" s="14" t="n">
        <v>3</v>
      </c>
      <c r="H115" s="14"/>
      <c r="I115" s="14" t="n">
        <v>3</v>
      </c>
      <c r="J115" s="14" t="n">
        <v>0</v>
      </c>
      <c r="K115" s="14" t="n">
        <v>3</v>
      </c>
      <c r="L115" s="21"/>
      <c r="M115" s="11"/>
      <c r="N115" s="23"/>
      <c r="O115" s="23"/>
      <c r="P115" s="23"/>
      <c r="Q115" s="23"/>
      <c r="R115" s="23"/>
      <c r="S115" s="23"/>
      <c r="T115" s="23"/>
      <c r="U115" s="23"/>
      <c r="V115" s="23"/>
      <c r="W115" s="23"/>
      <c r="X115" s="23"/>
      <c r="Y115" s="23"/>
      <c r="Z115" s="23"/>
    </row>
    <row r="116" customFormat="false" ht="15.75" hidden="false" customHeight="true" outlineLevel="0" collapsed="false">
      <c r="A116" s="52" t="n">
        <v>46303</v>
      </c>
      <c r="B116" s="14" t="s">
        <v>397</v>
      </c>
      <c r="C116" s="14" t="str">
        <f aca="false" t="array" ref="C116:C116">IF(B116="","",IFERROR(INDEX('CLM &amp; IM Mapping'!$B$2:$B$270,MATCH(TRIM(B116),'CLM &amp; IM Mapping'!$A$2:$A$270,0)),"Not Mapped"))</f>
        <v>Akshay P</v>
      </c>
      <c r="D116" s="14" t="str">
        <f aca="false" t="array" ref="D116:D116">IF(B116="","",IFERROR(INDEX('CLM &amp; IM Mapping'!$C$2:$C$270,MATCH(TRIM(B116),'CLM &amp; IM Mapping'!$A$2:$A$270,0)),"Not Mapped"))</f>
        <v>Srittam Dhal</v>
      </c>
      <c r="E116" s="14"/>
      <c r="F116" s="14"/>
      <c r="G116" s="14"/>
      <c r="H116" s="14" t="n">
        <v>2</v>
      </c>
      <c r="I116" s="14" t="n">
        <v>2</v>
      </c>
      <c r="J116" s="14" t="n">
        <v>0</v>
      </c>
      <c r="K116" s="14" t="n">
        <v>2</v>
      </c>
      <c r="L116" s="21"/>
      <c r="M116" s="11"/>
      <c r="N116" s="23"/>
      <c r="O116" s="23"/>
      <c r="P116" s="23"/>
      <c r="Q116" s="23"/>
      <c r="R116" s="23"/>
      <c r="S116" s="23"/>
      <c r="T116" s="23"/>
      <c r="U116" s="23"/>
      <c r="V116" s="23"/>
      <c r="W116" s="23"/>
      <c r="X116" s="23"/>
      <c r="Y116" s="23"/>
      <c r="Z116" s="23"/>
    </row>
    <row r="117" customFormat="false" ht="15.75" hidden="false" customHeight="true" outlineLevel="0" collapsed="false">
      <c r="A117" s="52" t="n">
        <v>46303</v>
      </c>
      <c r="B117" s="14" t="s">
        <v>129</v>
      </c>
      <c r="C117" s="14" t="str">
        <f aca="false" t="array" ref="C117:C117">IF(B117="","",IFERROR(INDEX('CLM &amp; IM Mapping'!$B$2:$B$270,MATCH(TRIM(B117),'CLM &amp; IM Mapping'!$A$2:$A$270,0)),"Not Mapped"))</f>
        <v>Ashwath S</v>
      </c>
      <c r="D117" s="14" t="str">
        <f aca="false" t="array" ref="D117:D117">IF(B117="","",IFERROR(INDEX('CLM &amp; IM Mapping'!$C$2:$C$270,MATCH(TRIM(B117),'CLM &amp; IM Mapping'!$A$2:$A$270,0)),"Not Mapped"))</f>
        <v>Kantha Kumar</v>
      </c>
      <c r="E117" s="14"/>
      <c r="F117" s="14"/>
      <c r="G117" s="14" t="n">
        <v>2</v>
      </c>
      <c r="H117" s="14"/>
      <c r="I117" s="14" t="n">
        <v>2</v>
      </c>
      <c r="J117" s="14" t="n">
        <v>0</v>
      </c>
      <c r="K117" s="14" t="n">
        <v>2</v>
      </c>
      <c r="L117" s="21"/>
      <c r="M117" s="11"/>
      <c r="N117" s="23"/>
      <c r="O117" s="23"/>
      <c r="P117" s="23"/>
      <c r="Q117" s="23"/>
      <c r="R117" s="23"/>
      <c r="S117" s="23"/>
      <c r="T117" s="23"/>
      <c r="U117" s="23"/>
      <c r="V117" s="23"/>
      <c r="W117" s="23"/>
      <c r="X117" s="23"/>
      <c r="Y117" s="23"/>
      <c r="Z117" s="23"/>
    </row>
    <row r="118" customFormat="false" ht="15.75" hidden="false" customHeight="true" outlineLevel="0" collapsed="false">
      <c r="A118" s="52" t="n">
        <v>46303</v>
      </c>
      <c r="B118" s="14" t="s">
        <v>287</v>
      </c>
      <c r="C118" s="14" t="str">
        <f aca="false" t="array" ref="C118:C118">IF(B118="","",IFERROR(INDEX('CLM &amp; IM Mapping'!$B$2:$B$270,MATCH(TRIM(B118),'CLM &amp; IM Mapping'!$A$2:$A$270,0)),"Not Mapped"))</f>
        <v>Sundaresh S</v>
      </c>
      <c r="D118" s="14" t="str">
        <f aca="false" t="array" ref="D118:D118">IF(B118="","",IFERROR(INDEX('CLM &amp; IM Mapping'!$C$2:$C$270,MATCH(TRIM(B118),'CLM &amp; IM Mapping'!$A$2:$A$270,0)),"Not Mapped"))</f>
        <v>Un Mapped</v>
      </c>
      <c r="E118" s="14"/>
      <c r="F118" s="14"/>
      <c r="G118" s="14" t="n">
        <v>2</v>
      </c>
      <c r="H118" s="14"/>
      <c r="I118" s="14" t="n">
        <v>2</v>
      </c>
      <c r="J118" s="14" t="n">
        <v>0</v>
      </c>
      <c r="K118" s="14" t="n">
        <v>2</v>
      </c>
      <c r="L118" s="21"/>
      <c r="M118" s="11"/>
      <c r="N118" s="23"/>
      <c r="O118" s="23"/>
      <c r="P118" s="23"/>
      <c r="Q118" s="23"/>
      <c r="R118" s="23"/>
      <c r="S118" s="23"/>
      <c r="T118" s="23"/>
      <c r="U118" s="23"/>
      <c r="V118" s="23"/>
      <c r="W118" s="23"/>
      <c r="X118" s="23"/>
      <c r="Y118" s="23"/>
      <c r="Z118" s="23"/>
    </row>
    <row r="119" customFormat="false" ht="15.75" hidden="false" customHeight="true" outlineLevel="0" collapsed="false">
      <c r="A119" s="52" t="n">
        <v>46303</v>
      </c>
      <c r="B119" s="14" t="s">
        <v>403</v>
      </c>
      <c r="C119" s="14" t="str">
        <f aca="false" t="array" ref="C119:C119">IF(B119="","",IFERROR(INDEX('CLM &amp; IM Mapping'!$B$2:$B$270,MATCH(TRIM(B119),'CLM &amp; IM Mapping'!$A$2:$A$270,0)),"Not Mapped"))</f>
        <v>Narasimhamurthy R</v>
      </c>
      <c r="D119" s="14" t="str">
        <f aca="false" t="array" ref="D119:D119">IF(B119="","",IFERROR(INDEX('CLM &amp; IM Mapping'!$C$2:$C$270,MATCH(TRIM(B119),'CLM &amp; IM Mapping'!$A$2:$A$270,0)),"Not Mapped"))</f>
        <v>Kishor K</v>
      </c>
      <c r="E119" s="14"/>
      <c r="F119" s="14"/>
      <c r="G119" s="14"/>
      <c r="H119" s="14" t="n">
        <v>2</v>
      </c>
      <c r="I119" s="14" t="n">
        <v>1</v>
      </c>
      <c r="J119" s="14" t="n">
        <v>1</v>
      </c>
      <c r="K119" s="14" t="n">
        <v>2</v>
      </c>
      <c r="L119" s="12" t="s">
        <v>791</v>
      </c>
      <c r="M119" s="12" t="s">
        <v>746</v>
      </c>
      <c r="N119" s="23"/>
      <c r="O119" s="23"/>
      <c r="P119" s="23"/>
      <c r="Q119" s="23"/>
      <c r="R119" s="23"/>
      <c r="S119" s="23"/>
      <c r="T119" s="23"/>
      <c r="U119" s="23"/>
      <c r="V119" s="23"/>
      <c r="W119" s="23"/>
      <c r="X119" s="23"/>
      <c r="Y119" s="23"/>
      <c r="Z119" s="23"/>
    </row>
    <row r="120" customFormat="false" ht="15.75" hidden="false" customHeight="true" outlineLevel="0" collapsed="false">
      <c r="A120" s="52" t="n">
        <v>46303</v>
      </c>
      <c r="B120" s="14" t="s">
        <v>292</v>
      </c>
      <c r="C120" s="14" t="str">
        <f aca="false" t="array" ref="C120:C120">IF(B120="","",IFERROR(INDEX('CLM &amp; IM Mapping'!$B$2:$B$270,MATCH(TRIM(B120),'CLM &amp; IM Mapping'!$A$2:$A$270,0)),"Not Mapped"))</f>
        <v>Mohaideen DH</v>
      </c>
      <c r="D120" s="14" t="str">
        <f aca="false" t="array" ref="D120:D120">IF(B120="","",IFERROR(INDEX('CLM &amp; IM Mapping'!$C$2:$C$270,MATCH(TRIM(B120),'CLM &amp; IM Mapping'!$A$2:$A$270,0)),"Not Mapped"))</f>
        <v>Mohammed Akbar</v>
      </c>
      <c r="E120" s="14"/>
      <c r="F120" s="14"/>
      <c r="G120" s="14"/>
      <c r="H120" s="14" t="n">
        <v>2</v>
      </c>
      <c r="I120" s="14" t="n">
        <v>0</v>
      </c>
      <c r="J120" s="14" t="n">
        <v>2</v>
      </c>
      <c r="K120" s="14" t="n">
        <v>2</v>
      </c>
      <c r="L120" s="12" t="s">
        <v>736</v>
      </c>
      <c r="M120" s="54" t="n">
        <v>0.875</v>
      </c>
      <c r="N120" s="23"/>
      <c r="O120" s="23"/>
      <c r="P120" s="23"/>
      <c r="Q120" s="23"/>
      <c r="R120" s="23"/>
      <c r="S120" s="23"/>
      <c r="T120" s="23"/>
      <c r="U120" s="23"/>
      <c r="V120" s="23"/>
      <c r="W120" s="23"/>
      <c r="X120" s="23"/>
      <c r="Y120" s="23"/>
      <c r="Z120" s="23"/>
    </row>
    <row r="121" customFormat="false" ht="15.75" hidden="false" customHeight="true" outlineLevel="0" collapsed="false">
      <c r="A121" s="52" t="n">
        <v>46303</v>
      </c>
      <c r="B121" s="14" t="s">
        <v>103</v>
      </c>
      <c r="C121" s="14" t="str">
        <f aca="false" t="array" ref="C121:C121">IF(B121="","",IFERROR(INDEX('CLM &amp; IM Mapping'!$B$2:$B$270,MATCH(TRIM(B121),'CLM &amp; IM Mapping'!$A$2:$A$270,0)),"Not Mapped"))</f>
        <v>Girish N</v>
      </c>
      <c r="D121" s="14" t="str">
        <f aca="false" t="array" ref="D121:D121">IF(B121="","",IFERROR(INDEX('CLM &amp; IM Mapping'!$C$2:$C$270,MATCH(TRIM(B121),'CLM &amp; IM Mapping'!$A$2:$A$270,0)),"Not Mapped"))</f>
        <v>Un Mapped</v>
      </c>
      <c r="E121" s="14"/>
      <c r="F121" s="14"/>
      <c r="G121" s="14" t="n">
        <v>1</v>
      </c>
      <c r="H121" s="14" t="n">
        <v>1</v>
      </c>
      <c r="I121" s="14" t="n">
        <v>2</v>
      </c>
      <c r="J121" s="14" t="n">
        <v>0</v>
      </c>
      <c r="K121" s="14" t="n">
        <v>2</v>
      </c>
      <c r="L121" s="21"/>
      <c r="M121" s="11"/>
      <c r="N121" s="23"/>
      <c r="O121" s="23"/>
      <c r="P121" s="23"/>
      <c r="Q121" s="23"/>
      <c r="R121" s="23"/>
      <c r="S121" s="23"/>
      <c r="T121" s="23"/>
      <c r="U121" s="23"/>
      <c r="V121" s="23"/>
      <c r="W121" s="23"/>
      <c r="X121" s="23"/>
      <c r="Y121" s="23"/>
      <c r="Z121" s="23"/>
    </row>
    <row r="122" customFormat="false" ht="15.75" hidden="false" customHeight="true" outlineLevel="0" collapsed="false">
      <c r="A122" s="52" t="n">
        <v>46303</v>
      </c>
      <c r="B122" s="14" t="s">
        <v>395</v>
      </c>
      <c r="C122" s="14" t="str">
        <f aca="false" t="array" ref="C122:C122">IF(B122="","",IFERROR(INDEX('CLM &amp; IM Mapping'!$B$2:$B$270,MATCH(TRIM(B122),'CLM &amp; IM Mapping'!$A$2:$A$270,0)),"Not Mapped"))</f>
        <v>Bangareppa CS</v>
      </c>
      <c r="D122" s="14" t="str">
        <f aca="false" t="array" ref="D122:D122">IF(B122="","",IFERROR(INDEX('CLM &amp; IM Mapping'!$C$2:$C$270,MATCH(TRIM(B122),'CLM &amp; IM Mapping'!$A$2:$A$270,0)),"Not Mapped"))</f>
        <v>Kishor K</v>
      </c>
      <c r="E122" s="14"/>
      <c r="F122" s="14"/>
      <c r="G122" s="14"/>
      <c r="H122" s="14" t="n">
        <v>2</v>
      </c>
      <c r="I122" s="14" t="n">
        <v>2</v>
      </c>
      <c r="J122" s="14" t="n">
        <v>0</v>
      </c>
      <c r="K122" s="14" t="n">
        <v>2</v>
      </c>
      <c r="L122" s="12" t="s">
        <v>747</v>
      </c>
      <c r="M122" s="12" t="s">
        <v>741</v>
      </c>
      <c r="N122" s="23"/>
      <c r="O122" s="23"/>
      <c r="P122" s="23"/>
      <c r="Q122" s="23"/>
      <c r="R122" s="23"/>
      <c r="S122" s="23"/>
      <c r="T122" s="23"/>
      <c r="U122" s="23"/>
      <c r="V122" s="23"/>
      <c r="W122" s="23"/>
      <c r="X122" s="23"/>
      <c r="Y122" s="23"/>
      <c r="Z122" s="23"/>
    </row>
    <row r="123" customFormat="false" ht="15.75" hidden="false" customHeight="true" outlineLevel="0" collapsed="false">
      <c r="A123" s="52" t="n">
        <v>46303</v>
      </c>
      <c r="B123" s="14" t="s">
        <v>150</v>
      </c>
      <c r="C123" s="14" t="str">
        <f aca="false" t="array" ref="C123:C123">IF(B123="","",IFERROR(INDEX('CLM &amp; IM Mapping'!$B$2:$B$270,MATCH(TRIM(B123),'CLM &amp; IM Mapping'!$A$2:$A$270,0)),"Not Mapped"))</f>
        <v>Akshay P</v>
      </c>
      <c r="D123" s="14" t="str">
        <f aca="false" t="array" ref="D123:D123">IF(B123="","",IFERROR(INDEX('CLM &amp; IM Mapping'!$C$2:$C$270,MATCH(TRIM(B123),'CLM &amp; IM Mapping'!$A$2:$A$270,0)),"Not Mapped"))</f>
        <v>Srittam Dhal</v>
      </c>
      <c r="E123" s="14"/>
      <c r="F123" s="14"/>
      <c r="G123" s="14"/>
      <c r="H123" s="14" t="n">
        <v>2</v>
      </c>
      <c r="I123" s="14" t="n">
        <v>2</v>
      </c>
      <c r="J123" s="14" t="n">
        <v>0</v>
      </c>
      <c r="K123" s="14" t="n">
        <v>2</v>
      </c>
      <c r="L123" s="21"/>
      <c r="M123" s="11"/>
      <c r="N123" s="23"/>
      <c r="O123" s="23"/>
      <c r="P123" s="23"/>
      <c r="Q123" s="23"/>
      <c r="R123" s="23"/>
      <c r="S123" s="23"/>
      <c r="T123" s="23"/>
      <c r="U123" s="23"/>
      <c r="V123" s="23"/>
      <c r="W123" s="23"/>
      <c r="X123" s="23"/>
      <c r="Y123" s="23"/>
      <c r="Z123" s="23"/>
    </row>
    <row r="124" customFormat="false" ht="15.75" hidden="false" customHeight="true" outlineLevel="0" collapsed="false">
      <c r="A124" s="52" t="n">
        <v>46303</v>
      </c>
      <c r="B124" s="14" t="s">
        <v>359</v>
      </c>
      <c r="C124" s="14" t="str">
        <f aca="false" t="array" ref="C124:C124">IF(B124="","",IFERROR(INDEX('CLM &amp; IM Mapping'!$B$2:$B$270,MATCH(TRIM(B124),'CLM &amp; IM Mapping'!$A$2:$A$270,0)),"Not Mapped"))</f>
        <v>Santhosha M</v>
      </c>
      <c r="D124" s="14" t="str">
        <f aca="false" t="array" ref="D124:D124">IF(B124="","",IFERROR(INDEX('CLM &amp; IM Mapping'!$C$2:$C$270,MATCH(TRIM(B124),'CLM &amp; IM Mapping'!$A$2:$A$270,0)),"Not Mapped"))</f>
        <v>Aravind S</v>
      </c>
      <c r="E124" s="14"/>
      <c r="F124" s="14"/>
      <c r="G124" s="14"/>
      <c r="H124" s="14" t="n">
        <v>2</v>
      </c>
      <c r="I124" s="14" t="n">
        <v>2</v>
      </c>
      <c r="J124" s="14" t="n">
        <v>0</v>
      </c>
      <c r="K124" s="14" t="n">
        <v>2</v>
      </c>
      <c r="L124" s="21"/>
      <c r="M124" s="11"/>
      <c r="N124" s="23"/>
      <c r="O124" s="23"/>
      <c r="P124" s="23"/>
      <c r="Q124" s="23"/>
      <c r="R124" s="23"/>
      <c r="S124" s="23"/>
      <c r="T124" s="23"/>
      <c r="U124" s="23"/>
      <c r="V124" s="23"/>
      <c r="W124" s="23"/>
      <c r="X124" s="23"/>
      <c r="Y124" s="23"/>
      <c r="Z124" s="23"/>
    </row>
    <row r="125" customFormat="false" ht="15.75" hidden="false" customHeight="true" outlineLevel="0" collapsed="false">
      <c r="A125" s="52" t="n">
        <v>46303</v>
      </c>
      <c r="B125" s="14" t="s">
        <v>126</v>
      </c>
      <c r="C125" s="14" t="str">
        <f aca="false" t="array" ref="C125:C125">IF(B125="","",IFERROR(INDEX('CLM &amp; IM Mapping'!$B$2:$B$270,MATCH(TRIM(B125),'CLM &amp; IM Mapping'!$A$2:$A$270,0)),"Not Mapped"))</f>
        <v>Girish N</v>
      </c>
      <c r="D125" s="14" t="str">
        <f aca="false" t="array" ref="D125:D125">IF(B125="","",IFERROR(INDEX('CLM &amp; IM Mapping'!$C$2:$C$270,MATCH(TRIM(B125),'CLM &amp; IM Mapping'!$A$2:$A$270,0)),"Not Mapped"))</f>
        <v>Un Mapped</v>
      </c>
      <c r="E125" s="14"/>
      <c r="F125" s="14"/>
      <c r="G125" s="14" t="n">
        <v>2</v>
      </c>
      <c r="H125" s="14"/>
      <c r="I125" s="14" t="n">
        <v>2</v>
      </c>
      <c r="J125" s="14" t="n">
        <v>0</v>
      </c>
      <c r="K125" s="14" t="n">
        <v>2</v>
      </c>
      <c r="L125" s="21"/>
      <c r="M125" s="11"/>
      <c r="N125" s="23"/>
      <c r="O125" s="23"/>
      <c r="P125" s="23"/>
      <c r="Q125" s="23"/>
      <c r="R125" s="23"/>
      <c r="S125" s="23"/>
      <c r="T125" s="23"/>
      <c r="U125" s="23"/>
      <c r="V125" s="23"/>
      <c r="W125" s="23"/>
      <c r="X125" s="23"/>
      <c r="Y125" s="23"/>
      <c r="Z125" s="23"/>
    </row>
    <row r="126" customFormat="false" ht="15.75" hidden="false" customHeight="true" outlineLevel="0" collapsed="false">
      <c r="A126" s="52" t="n">
        <v>46303</v>
      </c>
      <c r="B126" s="14" t="s">
        <v>41</v>
      </c>
      <c r="C126" s="14" t="str">
        <f aca="false" t="array" ref="C126:C126">IF(B126="","",IFERROR(INDEX('CLM &amp; IM Mapping'!$B$2:$B$270,MATCH(TRIM(B126),'CLM &amp; IM Mapping'!$A$2:$A$270,0)),"Not Mapped"))</f>
        <v>Rizwan Ahmed</v>
      </c>
      <c r="D126" s="14" t="str">
        <f aca="false" t="array" ref="D126:D126">IF(B126="","",IFERROR(INDEX('CLM &amp; IM Mapping'!$C$2:$C$270,MATCH(TRIM(B126),'CLM &amp; IM Mapping'!$A$2:$A$270,0)),"Not Mapped"))</f>
        <v>Un Mapped</v>
      </c>
      <c r="E126" s="14"/>
      <c r="F126" s="14"/>
      <c r="G126" s="14" t="n">
        <v>1</v>
      </c>
      <c r="H126" s="14" t="n">
        <v>1</v>
      </c>
      <c r="I126" s="14" t="n">
        <v>2</v>
      </c>
      <c r="J126" s="14" t="n">
        <v>0</v>
      </c>
      <c r="K126" s="14" t="n">
        <v>2</v>
      </c>
      <c r="L126" s="21"/>
      <c r="M126" s="11"/>
      <c r="N126" s="23"/>
      <c r="O126" s="23"/>
      <c r="P126" s="23"/>
      <c r="Q126" s="23"/>
      <c r="R126" s="23"/>
      <c r="S126" s="23"/>
      <c r="T126" s="23"/>
      <c r="U126" s="23"/>
      <c r="V126" s="23"/>
      <c r="W126" s="23"/>
      <c r="X126" s="23"/>
      <c r="Y126" s="23"/>
      <c r="Z126" s="23"/>
    </row>
    <row r="127" customFormat="false" ht="15.75" hidden="false" customHeight="true" outlineLevel="0" collapsed="false">
      <c r="A127" s="52" t="n">
        <v>46303</v>
      </c>
      <c r="B127" s="14" t="s">
        <v>375</v>
      </c>
      <c r="C127" s="14" t="str">
        <f aca="false" t="array" ref="C127:C127">IF(B127="","",IFERROR(INDEX('CLM &amp; IM Mapping'!$B$2:$B$270,MATCH(TRIM(B127),'CLM &amp; IM Mapping'!$A$2:$A$270,0)),"Not Mapped"))</f>
        <v>Saddam Hussain</v>
      </c>
      <c r="D127" s="14" t="str">
        <f aca="false" t="array" ref="D127:D127">IF(B127="","",IFERROR(INDEX('CLM &amp; IM Mapping'!$C$2:$C$270,MATCH(TRIM(B127),'CLM &amp; IM Mapping'!$A$2:$A$270,0)),"Not Mapped"))</f>
        <v>Un Mapped</v>
      </c>
      <c r="E127" s="14"/>
      <c r="F127" s="14"/>
      <c r="G127" s="14"/>
      <c r="H127" s="14" t="n">
        <v>2</v>
      </c>
      <c r="I127" s="14" t="n">
        <v>2</v>
      </c>
      <c r="J127" s="14" t="n">
        <v>0</v>
      </c>
      <c r="K127" s="14" t="n">
        <v>2</v>
      </c>
      <c r="L127" s="21"/>
      <c r="M127" s="11"/>
      <c r="N127" s="23"/>
      <c r="O127" s="23"/>
      <c r="P127" s="23"/>
      <c r="Q127" s="23"/>
      <c r="R127" s="23"/>
      <c r="S127" s="23"/>
      <c r="T127" s="23"/>
      <c r="U127" s="23"/>
      <c r="V127" s="23"/>
      <c r="W127" s="23"/>
      <c r="X127" s="23"/>
      <c r="Y127" s="23"/>
      <c r="Z127" s="23"/>
    </row>
    <row r="128" customFormat="false" ht="15.75" hidden="false" customHeight="true" outlineLevel="0" collapsed="false">
      <c r="A128" s="52" t="n">
        <v>46303</v>
      </c>
      <c r="B128" s="14" t="s">
        <v>370</v>
      </c>
      <c r="C128" s="14" t="str">
        <f aca="false" t="array" ref="C128:C128">IF(B128="","",IFERROR(INDEX('CLM &amp; IM Mapping'!$B$2:$B$270,MATCH(TRIM(B128),'CLM &amp; IM Mapping'!$A$2:$A$270,0)),"Not Mapped"))</f>
        <v>Not Mapped</v>
      </c>
      <c r="D128" s="14" t="str">
        <f aca="false" t="array" ref="D128:D128">IF(B128="","",IFERROR(INDEX('CLM &amp; IM Mapping'!$C$2:$C$270,MATCH(TRIM(B128),'CLM &amp; IM Mapping'!$A$2:$A$270,0)),"Not Mapped"))</f>
        <v>Not Mapped</v>
      </c>
      <c r="E128" s="14"/>
      <c r="F128" s="14"/>
      <c r="G128" s="14" t="n">
        <v>1</v>
      </c>
      <c r="H128" s="14" t="n">
        <v>1</v>
      </c>
      <c r="I128" s="14" t="n">
        <v>2</v>
      </c>
      <c r="J128" s="14" t="n">
        <v>0</v>
      </c>
      <c r="K128" s="14" t="n">
        <v>2</v>
      </c>
      <c r="L128" s="21"/>
      <c r="M128" s="11"/>
      <c r="N128" s="23"/>
      <c r="O128" s="23"/>
      <c r="P128" s="23"/>
      <c r="Q128" s="23"/>
      <c r="R128" s="23"/>
      <c r="S128" s="23"/>
      <c r="T128" s="23"/>
      <c r="U128" s="23"/>
      <c r="V128" s="23"/>
      <c r="W128" s="23"/>
      <c r="X128" s="23"/>
      <c r="Y128" s="23"/>
      <c r="Z128" s="23"/>
    </row>
    <row r="129" customFormat="false" ht="15.75" hidden="false" customHeight="true" outlineLevel="0" collapsed="false">
      <c r="A129" s="52" t="n">
        <v>46303</v>
      </c>
      <c r="B129" s="14" t="s">
        <v>86</v>
      </c>
      <c r="C129" s="14" t="str">
        <f aca="false" t="array" ref="C129:C129">IF(B129="","",IFERROR(INDEX('CLM &amp; IM Mapping'!$B$2:$B$270,MATCH(TRIM(B129),'CLM &amp; IM Mapping'!$A$2:$A$270,0)),"Not Mapped"))</f>
        <v>Raghavendra Vernekar</v>
      </c>
      <c r="D129" s="14" t="str">
        <f aca="false" t="array" ref="D129:D129">IF(B129="","",IFERROR(INDEX('CLM &amp; IM Mapping'!$C$2:$C$270,MATCH(TRIM(B129),'CLM &amp; IM Mapping'!$A$2:$A$270,0)),"Not Mapped"))</f>
        <v>Prakash BS</v>
      </c>
      <c r="E129" s="14"/>
      <c r="F129" s="14"/>
      <c r="G129" s="14" t="n">
        <v>1</v>
      </c>
      <c r="H129" s="14" t="n">
        <v>1</v>
      </c>
      <c r="I129" s="14" t="n">
        <v>0</v>
      </c>
      <c r="J129" s="14" t="n">
        <v>2</v>
      </c>
      <c r="K129" s="14" t="n">
        <v>2</v>
      </c>
      <c r="L129" s="12" t="s">
        <v>729</v>
      </c>
      <c r="M129" s="11"/>
      <c r="N129" s="23"/>
      <c r="O129" s="23"/>
      <c r="P129" s="23"/>
      <c r="Q129" s="23"/>
      <c r="R129" s="23"/>
      <c r="S129" s="23"/>
      <c r="T129" s="23"/>
      <c r="U129" s="23"/>
      <c r="V129" s="23"/>
      <c r="W129" s="23"/>
      <c r="X129" s="23"/>
      <c r="Y129" s="23"/>
      <c r="Z129" s="23"/>
    </row>
    <row r="130" customFormat="false" ht="15.75" hidden="false" customHeight="true" outlineLevel="0" collapsed="false">
      <c r="A130" s="52" t="n">
        <v>46303</v>
      </c>
      <c r="B130" s="14" t="s">
        <v>183</v>
      </c>
      <c r="C130" s="14" t="str">
        <f aca="false" t="array" ref="C130:C130">IF(B130="","",IFERROR(INDEX('CLM &amp; IM Mapping'!$B$2:$B$270,MATCH(TRIM(B130),'CLM &amp; IM Mapping'!$A$2:$A$270,0)),"Not Mapped"))</f>
        <v>Saddam Hussain</v>
      </c>
      <c r="D130" s="14" t="str">
        <f aca="false" t="array" ref="D130:D130">IF(B130="","",IFERROR(INDEX('CLM &amp; IM Mapping'!$C$2:$C$270,MATCH(TRIM(B130),'CLM &amp; IM Mapping'!$A$2:$A$270,0)),"Not Mapped"))</f>
        <v>Un Mapped</v>
      </c>
      <c r="E130" s="14"/>
      <c r="F130" s="14"/>
      <c r="G130" s="14"/>
      <c r="H130" s="14" t="n">
        <v>1</v>
      </c>
      <c r="I130" s="14" t="n">
        <v>1</v>
      </c>
      <c r="J130" s="14" t="n">
        <v>0</v>
      </c>
      <c r="K130" s="14" t="n">
        <v>1</v>
      </c>
      <c r="L130" s="21"/>
      <c r="M130" s="11"/>
      <c r="N130" s="23"/>
      <c r="O130" s="23"/>
      <c r="P130" s="23"/>
      <c r="Q130" s="23"/>
      <c r="R130" s="23"/>
      <c r="S130" s="23"/>
      <c r="T130" s="23"/>
      <c r="U130" s="23"/>
      <c r="V130" s="23"/>
      <c r="W130" s="23"/>
      <c r="X130" s="23"/>
      <c r="Y130" s="23"/>
      <c r="Z130" s="23"/>
    </row>
    <row r="131" customFormat="false" ht="15.75" hidden="false" customHeight="true" outlineLevel="0" collapsed="false">
      <c r="A131" s="52" t="n">
        <v>46303</v>
      </c>
      <c r="B131" s="14" t="s">
        <v>300</v>
      </c>
      <c r="C131" s="14" t="str">
        <f aca="false" t="array" ref="C131:C131">IF(B131="","",IFERROR(INDEX('CLM &amp; IM Mapping'!$B$2:$B$270,MATCH(TRIM(B131),'CLM &amp; IM Mapping'!$A$2:$A$270,0)),"Not Mapped"))</f>
        <v>Bangareppa CS</v>
      </c>
      <c r="D131" s="14" t="str">
        <f aca="false" t="array" ref="D131:D131">IF(B131="","",IFERROR(INDEX('CLM &amp; IM Mapping'!$C$2:$C$270,MATCH(TRIM(B131),'CLM &amp; IM Mapping'!$A$2:$A$270,0)),"Not Mapped"))</f>
        <v>Kishor K</v>
      </c>
      <c r="E131" s="14"/>
      <c r="F131" s="14"/>
      <c r="G131" s="14" t="n">
        <v>1</v>
      </c>
      <c r="H131" s="14"/>
      <c r="I131" s="14" t="n">
        <v>1</v>
      </c>
      <c r="J131" s="14" t="n">
        <v>0</v>
      </c>
      <c r="K131" s="14" t="n">
        <v>1</v>
      </c>
      <c r="L131" s="12" t="s">
        <v>791</v>
      </c>
      <c r="M131" s="12" t="s">
        <v>746</v>
      </c>
      <c r="N131" s="23"/>
      <c r="O131" s="23"/>
      <c r="P131" s="23"/>
      <c r="Q131" s="23"/>
      <c r="R131" s="23"/>
      <c r="S131" s="23"/>
      <c r="T131" s="23"/>
      <c r="U131" s="23"/>
      <c r="V131" s="23"/>
      <c r="W131" s="23"/>
      <c r="X131" s="23"/>
      <c r="Y131" s="23"/>
      <c r="Z131" s="23"/>
    </row>
    <row r="132" customFormat="false" ht="15.75" hidden="false" customHeight="true" outlineLevel="0" collapsed="false">
      <c r="A132" s="52" t="n">
        <v>46303</v>
      </c>
      <c r="B132" s="14" t="s">
        <v>396</v>
      </c>
      <c r="C132" s="14" t="str">
        <f aca="false" t="array" ref="C132:C132">IF(B132="","",IFERROR(INDEX('CLM &amp; IM Mapping'!$B$2:$B$270,MATCH(TRIM(B132),'CLM &amp; IM Mapping'!$A$2:$A$270,0)),"Not Mapped"))</f>
        <v>Ravishankar gowda</v>
      </c>
      <c r="D132" s="14" t="str">
        <f aca="false" t="array" ref="D132:D132">IF(B132="","",IFERROR(INDEX('CLM &amp; IM Mapping'!$C$2:$C$270,MATCH(TRIM(B132),'CLM &amp; IM Mapping'!$A$2:$A$270,0)),"Not Mapped"))</f>
        <v>Kishor K</v>
      </c>
      <c r="E132" s="14"/>
      <c r="F132" s="14"/>
      <c r="G132" s="14"/>
      <c r="H132" s="14" t="n">
        <v>1</v>
      </c>
      <c r="I132" s="14" t="n">
        <v>1</v>
      </c>
      <c r="J132" s="14" t="n">
        <v>0</v>
      </c>
      <c r="K132" s="14" t="n">
        <v>1</v>
      </c>
      <c r="L132" s="12" t="s">
        <v>792</v>
      </c>
      <c r="M132" s="12" t="s">
        <v>746</v>
      </c>
      <c r="N132" s="23"/>
      <c r="O132" s="23"/>
      <c r="P132" s="23"/>
      <c r="Q132" s="23"/>
      <c r="R132" s="23"/>
      <c r="S132" s="23"/>
      <c r="T132" s="23"/>
      <c r="U132" s="23"/>
      <c r="V132" s="23"/>
      <c r="W132" s="23"/>
      <c r="X132" s="23"/>
      <c r="Y132" s="23"/>
      <c r="Z132" s="23"/>
    </row>
    <row r="133" customFormat="false" ht="15.75" hidden="false" customHeight="true" outlineLevel="0" collapsed="false">
      <c r="A133" s="52" t="n">
        <v>46303</v>
      </c>
      <c r="B133" s="14" t="s">
        <v>208</v>
      </c>
      <c r="C133" s="14" t="str">
        <f aca="false" t="array" ref="C133:C133">IF(B133="","",IFERROR(INDEX('CLM &amp; IM Mapping'!$B$2:$B$270,MATCH(TRIM(B133),'CLM &amp; IM Mapping'!$A$2:$A$270,0)),"Not Mapped"))</f>
        <v>Silambarasan E</v>
      </c>
      <c r="D133" s="14" t="str">
        <f aca="false" t="array" ref="D133:D133">IF(B133="","",IFERROR(INDEX('CLM &amp; IM Mapping'!$C$2:$C$270,MATCH(TRIM(B133),'CLM &amp; IM Mapping'!$A$2:$A$270,0)),"Not Mapped"))</f>
        <v>Arivind S</v>
      </c>
      <c r="E133" s="14"/>
      <c r="F133" s="14"/>
      <c r="G133" s="14"/>
      <c r="H133" s="14" t="n">
        <v>1</v>
      </c>
      <c r="I133" s="14" t="n">
        <v>1</v>
      </c>
      <c r="J133" s="14" t="n">
        <v>0</v>
      </c>
      <c r="K133" s="14" t="n">
        <v>1</v>
      </c>
      <c r="L133" s="21"/>
      <c r="M133" s="11"/>
      <c r="N133" s="23"/>
      <c r="O133" s="23"/>
      <c r="P133" s="23"/>
      <c r="Q133" s="23"/>
      <c r="R133" s="23"/>
      <c r="S133" s="23"/>
      <c r="T133" s="23"/>
      <c r="U133" s="23"/>
      <c r="V133" s="23"/>
      <c r="W133" s="23"/>
      <c r="X133" s="23"/>
      <c r="Y133" s="23"/>
      <c r="Z133" s="23"/>
    </row>
    <row r="134" customFormat="false" ht="15.75" hidden="false" customHeight="true" outlineLevel="0" collapsed="false">
      <c r="A134" s="52" t="n">
        <v>46303</v>
      </c>
      <c r="B134" s="14" t="s">
        <v>507</v>
      </c>
      <c r="C134" s="14" t="str">
        <f aca="false" t="array" ref="C134:C134">IF(B134="","",IFERROR(INDEX('CLM &amp; IM Mapping'!$B$2:$B$270,MATCH(TRIM(B134),'CLM &amp; IM Mapping'!$A$2:$A$270,0)),"Not Mapped"))</f>
        <v>Raghavendra Vernekar</v>
      </c>
      <c r="D134" s="14" t="str">
        <f aca="false" t="array" ref="D134:D134">IF(B134="","",IFERROR(INDEX('CLM &amp; IM Mapping'!$C$2:$C$270,MATCH(TRIM(B134),'CLM &amp; IM Mapping'!$A$2:$A$270,0)),"Not Mapped"))</f>
        <v>Prakash BS</v>
      </c>
      <c r="E134" s="14"/>
      <c r="F134" s="14"/>
      <c r="G134" s="14" t="n">
        <v>1</v>
      </c>
      <c r="H134" s="14"/>
      <c r="I134" s="14" t="n">
        <v>0</v>
      </c>
      <c r="J134" s="14" t="n">
        <v>1</v>
      </c>
      <c r="K134" s="14" t="n">
        <v>1</v>
      </c>
      <c r="L134" s="12" t="s">
        <v>729</v>
      </c>
      <c r="M134" s="11"/>
      <c r="N134" s="23"/>
      <c r="O134" s="23"/>
      <c r="P134" s="23"/>
      <c r="Q134" s="23"/>
      <c r="R134" s="23"/>
      <c r="S134" s="23"/>
      <c r="T134" s="23"/>
      <c r="U134" s="23"/>
      <c r="V134" s="23"/>
      <c r="W134" s="23"/>
      <c r="X134" s="23"/>
      <c r="Y134" s="23"/>
      <c r="Z134" s="23"/>
    </row>
    <row r="135" customFormat="false" ht="15.75" hidden="false" customHeight="true" outlineLevel="0" collapsed="false">
      <c r="A135" s="52" t="n">
        <v>46303</v>
      </c>
      <c r="B135" s="14" t="s">
        <v>235</v>
      </c>
      <c r="C135" s="14" t="str">
        <f aca="false" t="array" ref="C135:C135">IF(B135="","",IFERROR(INDEX('CLM &amp; IM Mapping'!$B$2:$B$270,MATCH(TRIM(B135),'CLM &amp; IM Mapping'!$A$2:$A$270,0)),"Not Mapped"))</f>
        <v>Akshay P</v>
      </c>
      <c r="D135" s="14" t="str">
        <f aca="false" t="array" ref="D135:D135">IF(B135="","",IFERROR(INDEX('CLM &amp; IM Mapping'!$C$2:$C$270,MATCH(TRIM(B135),'CLM &amp; IM Mapping'!$A$2:$A$270,0)),"Not Mapped"))</f>
        <v>Srittam Dhal</v>
      </c>
      <c r="E135" s="14"/>
      <c r="F135" s="14"/>
      <c r="G135" s="14"/>
      <c r="H135" s="14" t="n">
        <v>1</v>
      </c>
      <c r="I135" s="14" t="n">
        <v>1</v>
      </c>
      <c r="J135" s="14" t="n">
        <v>0</v>
      </c>
      <c r="K135" s="14" t="n">
        <v>1</v>
      </c>
      <c r="L135" s="21"/>
      <c r="M135" s="11"/>
      <c r="N135" s="23"/>
      <c r="O135" s="23"/>
      <c r="P135" s="23"/>
      <c r="Q135" s="23"/>
      <c r="R135" s="23"/>
      <c r="S135" s="23"/>
      <c r="T135" s="23"/>
      <c r="U135" s="23"/>
      <c r="V135" s="23"/>
      <c r="W135" s="23"/>
      <c r="X135" s="23"/>
      <c r="Y135" s="23"/>
      <c r="Z135" s="23"/>
    </row>
    <row r="136" customFormat="false" ht="15.75" hidden="false" customHeight="true" outlineLevel="0" collapsed="false">
      <c r="A136" s="52" t="n">
        <v>46303</v>
      </c>
      <c r="B136" s="14" t="s">
        <v>325</v>
      </c>
      <c r="C136" s="14" t="str">
        <f aca="false" t="array" ref="C136:C136">IF(B136="","",IFERROR(INDEX('CLM &amp; IM Mapping'!$B$2:$B$270,MATCH(TRIM(B136),'CLM &amp; IM Mapping'!$A$2:$A$270,0)),"Not Mapped"))</f>
        <v>Santhosha M</v>
      </c>
      <c r="D136" s="14" t="str">
        <f aca="false" t="array" ref="D136:D136">IF(B136="","",IFERROR(INDEX('CLM &amp; IM Mapping'!$C$2:$C$270,MATCH(TRIM(B136),'CLM &amp; IM Mapping'!$A$2:$A$270,0)),"Not Mapped"))</f>
        <v>Aravind S</v>
      </c>
      <c r="E136" s="14"/>
      <c r="F136" s="14"/>
      <c r="G136" s="14"/>
      <c r="H136" s="14" t="n">
        <v>1</v>
      </c>
      <c r="I136" s="14" t="n">
        <v>0</v>
      </c>
      <c r="J136" s="14" t="n">
        <v>1</v>
      </c>
      <c r="K136" s="14" t="n">
        <v>1</v>
      </c>
      <c r="L136" s="21"/>
      <c r="M136" s="11"/>
      <c r="N136" s="23"/>
      <c r="O136" s="23"/>
      <c r="P136" s="23"/>
      <c r="Q136" s="23"/>
      <c r="R136" s="23"/>
      <c r="S136" s="23"/>
      <c r="T136" s="23"/>
      <c r="U136" s="23"/>
      <c r="V136" s="23"/>
      <c r="W136" s="23"/>
      <c r="X136" s="23"/>
      <c r="Y136" s="23"/>
      <c r="Z136" s="23"/>
    </row>
    <row r="137" customFormat="false" ht="15.75" hidden="false" customHeight="true" outlineLevel="0" collapsed="false">
      <c r="A137" s="52" t="n">
        <v>46303</v>
      </c>
      <c r="B137" s="14" t="s">
        <v>371</v>
      </c>
      <c r="C137" s="14" t="str">
        <f aca="false" t="array" ref="C137:C137">IF(B137="","",IFERROR(INDEX('CLM &amp; IM Mapping'!$B$2:$B$270,MATCH(TRIM(B137),'CLM &amp; IM Mapping'!$A$2:$A$270,0)),"Not Mapped"))</f>
        <v>Akshay P</v>
      </c>
      <c r="D137" s="14" t="str">
        <f aca="false" t="array" ref="D137:D137">IF(B137="","",IFERROR(INDEX('CLM &amp; IM Mapping'!$C$2:$C$270,MATCH(TRIM(B137),'CLM &amp; IM Mapping'!$A$2:$A$270,0)),"Not Mapped"))</f>
        <v>Srittam Dhal</v>
      </c>
      <c r="E137" s="14"/>
      <c r="F137" s="14"/>
      <c r="G137" s="14" t="n">
        <v>1</v>
      </c>
      <c r="H137" s="14"/>
      <c r="I137" s="14" t="n">
        <v>1</v>
      </c>
      <c r="J137" s="14" t="n">
        <v>0</v>
      </c>
      <c r="K137" s="14" t="n">
        <v>1</v>
      </c>
      <c r="L137" s="21"/>
      <c r="M137" s="11"/>
      <c r="N137" s="23"/>
      <c r="O137" s="23"/>
      <c r="P137" s="23"/>
      <c r="Q137" s="23"/>
      <c r="R137" s="23"/>
      <c r="S137" s="23"/>
      <c r="T137" s="23"/>
      <c r="U137" s="23"/>
      <c r="V137" s="23"/>
      <c r="W137" s="23"/>
      <c r="X137" s="23"/>
      <c r="Y137" s="23"/>
      <c r="Z137" s="23"/>
    </row>
    <row r="138" customFormat="false" ht="15.75" hidden="false" customHeight="true" outlineLevel="0" collapsed="false">
      <c r="A138" s="52" t="n">
        <v>46303</v>
      </c>
      <c r="B138" s="14" t="s">
        <v>445</v>
      </c>
      <c r="C138" s="14" t="str">
        <f aca="false" t="array" ref="C138:C138">IF(B138="","",IFERROR(INDEX('CLM &amp; IM Mapping'!$B$2:$B$270,MATCH(TRIM(B138),'CLM &amp; IM Mapping'!$A$2:$A$270,0)),"Not Mapped"))</f>
        <v>Sundaresh S</v>
      </c>
      <c r="D138" s="14" t="str">
        <f aca="false" t="array" ref="D138:D138">IF(B138="","",IFERROR(INDEX('CLM &amp; IM Mapping'!$C$2:$C$270,MATCH(TRIM(B138),'CLM &amp; IM Mapping'!$A$2:$A$270,0)),"Not Mapped"))</f>
        <v>Un Mapped</v>
      </c>
      <c r="E138" s="14"/>
      <c r="F138" s="14"/>
      <c r="G138" s="14"/>
      <c r="H138" s="14" t="n">
        <v>1</v>
      </c>
      <c r="I138" s="14" t="n">
        <v>0</v>
      </c>
      <c r="J138" s="14" t="n">
        <v>1</v>
      </c>
      <c r="K138" s="14" t="n">
        <v>1</v>
      </c>
      <c r="L138" s="21"/>
      <c r="M138" s="11"/>
      <c r="N138" s="23"/>
      <c r="O138" s="23"/>
      <c r="P138" s="23"/>
      <c r="Q138" s="23"/>
      <c r="R138" s="23"/>
      <c r="S138" s="23"/>
      <c r="T138" s="23"/>
      <c r="U138" s="23"/>
      <c r="V138" s="23"/>
      <c r="W138" s="23"/>
      <c r="X138" s="23"/>
      <c r="Y138" s="23"/>
      <c r="Z138" s="23"/>
    </row>
    <row r="139" customFormat="false" ht="15.75" hidden="false" customHeight="true" outlineLevel="0" collapsed="false">
      <c r="A139" s="52" t="n">
        <v>46303</v>
      </c>
      <c r="B139" s="14" t="s">
        <v>513</v>
      </c>
      <c r="C139" s="14" t="str">
        <f aca="false" t="array" ref="C139:C139">IF(B139="","",IFERROR(INDEX('CLM &amp; IM Mapping'!$B$2:$B$270,MATCH(TRIM(B139),'CLM &amp; IM Mapping'!$A$2:$A$270,0)),"Not Mapped"))</f>
        <v>Manoj Kj</v>
      </c>
      <c r="D139" s="14" t="str">
        <f aca="false" t="array" ref="D139:D139">IF(B139="","",IFERROR(INDEX('CLM &amp; IM Mapping'!$C$2:$C$270,MATCH(TRIM(B139),'CLM &amp; IM Mapping'!$A$2:$A$270,0)),"Not Mapped"))</f>
        <v>Srittam Dhal</v>
      </c>
      <c r="E139" s="14"/>
      <c r="F139" s="14"/>
      <c r="G139" s="14"/>
      <c r="H139" s="14" t="n">
        <v>1</v>
      </c>
      <c r="I139" s="14" t="n">
        <v>1</v>
      </c>
      <c r="J139" s="14" t="n">
        <v>0</v>
      </c>
      <c r="K139" s="14" t="n">
        <v>1</v>
      </c>
      <c r="L139" s="21"/>
      <c r="M139" s="11"/>
      <c r="N139" s="23"/>
      <c r="O139" s="23"/>
      <c r="P139" s="23"/>
      <c r="Q139" s="23"/>
      <c r="R139" s="23"/>
      <c r="S139" s="23"/>
      <c r="T139" s="23"/>
      <c r="U139" s="23"/>
      <c r="V139" s="23"/>
      <c r="W139" s="23"/>
      <c r="X139" s="23"/>
      <c r="Y139" s="23"/>
      <c r="Z139" s="23"/>
    </row>
    <row r="140" customFormat="false" ht="15.75" hidden="false" customHeight="true" outlineLevel="0" collapsed="false">
      <c r="A140" s="52" t="n">
        <v>46303</v>
      </c>
      <c r="B140" s="14" t="s">
        <v>350</v>
      </c>
      <c r="C140" s="14" t="str">
        <f aca="false" t="array" ref="C140:C140">IF(B140="","",IFERROR(INDEX('CLM &amp; IM Mapping'!$B$2:$B$270,MATCH(TRIM(B140),'CLM &amp; IM Mapping'!$A$2:$A$270,0)),"Not Mapped"))</f>
        <v>Vishnu V</v>
      </c>
      <c r="D140" s="14" t="str">
        <f aca="false" t="array" ref="D140:D140">IF(B140="","",IFERROR(INDEX('CLM &amp; IM Mapping'!$C$2:$C$270,MATCH(TRIM(B140),'CLM &amp; IM Mapping'!$A$2:$A$270,0)),"Not Mapped"))</f>
        <v>Arivind S</v>
      </c>
      <c r="E140" s="14"/>
      <c r="F140" s="14"/>
      <c r="G140" s="14"/>
      <c r="H140" s="14" t="n">
        <v>1</v>
      </c>
      <c r="I140" s="14" t="n">
        <v>0</v>
      </c>
      <c r="J140" s="14" t="n">
        <v>1</v>
      </c>
      <c r="K140" s="14" t="n">
        <v>1</v>
      </c>
      <c r="L140" s="21"/>
      <c r="M140" s="11"/>
      <c r="N140" s="23"/>
      <c r="O140" s="23"/>
      <c r="P140" s="23"/>
      <c r="Q140" s="23"/>
      <c r="R140" s="23"/>
      <c r="S140" s="23"/>
      <c r="T140" s="23"/>
      <c r="U140" s="23"/>
      <c r="V140" s="23"/>
      <c r="W140" s="23"/>
      <c r="X140" s="23"/>
      <c r="Y140" s="23"/>
      <c r="Z140" s="23"/>
    </row>
    <row r="141" customFormat="false" ht="15.75" hidden="false" customHeight="true" outlineLevel="0" collapsed="false">
      <c r="A141" s="52" t="n">
        <v>46303</v>
      </c>
      <c r="B141" s="14" t="s">
        <v>257</v>
      </c>
      <c r="C141" s="14" t="str">
        <f aca="false" t="array" ref="C141:C141">IF(B141="","",IFERROR(INDEX('CLM &amp; IM Mapping'!$B$2:$B$270,MATCH(TRIM(B141),'CLM &amp; IM Mapping'!$A$2:$A$270,0)),"Not Mapped"))</f>
        <v>Raghavendra Vernekar</v>
      </c>
      <c r="D141" s="14" t="str">
        <f aca="false" t="array" ref="D141:D141">IF(B141="","",IFERROR(INDEX('CLM &amp; IM Mapping'!$C$2:$C$270,MATCH(TRIM(B141),'CLM &amp; IM Mapping'!$A$2:$A$270,0)),"Not Mapped"))</f>
        <v>Prakash BS</v>
      </c>
      <c r="E141" s="14"/>
      <c r="F141" s="14"/>
      <c r="G141" s="14"/>
      <c r="H141" s="14" t="n">
        <v>1</v>
      </c>
      <c r="I141" s="14" t="n">
        <v>0</v>
      </c>
      <c r="J141" s="14" t="n">
        <v>1</v>
      </c>
      <c r="K141" s="14" t="n">
        <v>1</v>
      </c>
      <c r="L141" s="12" t="s">
        <v>729</v>
      </c>
      <c r="M141" s="11"/>
      <c r="N141" s="23"/>
      <c r="O141" s="23"/>
      <c r="P141" s="23"/>
      <c r="Q141" s="23"/>
      <c r="R141" s="23"/>
      <c r="S141" s="23"/>
      <c r="T141" s="23"/>
      <c r="U141" s="23"/>
      <c r="V141" s="23"/>
      <c r="W141" s="23"/>
      <c r="X141" s="23"/>
      <c r="Y141" s="23"/>
      <c r="Z141" s="23"/>
    </row>
    <row r="142" customFormat="false" ht="15.75" hidden="false" customHeight="true" outlineLevel="0" collapsed="false">
      <c r="A142" s="52" t="n">
        <v>46303</v>
      </c>
      <c r="B142" s="14" t="s">
        <v>38</v>
      </c>
      <c r="C142" s="14" t="str">
        <f aca="false" t="array" ref="C142:C142">IF(B142="","",IFERROR(INDEX('CLM &amp; IM Mapping'!$B$2:$B$270,MATCH(TRIM(B142),'CLM &amp; IM Mapping'!$A$2:$A$270,0)),"Not Mapped"))</f>
        <v>Vijay M</v>
      </c>
      <c r="D142" s="14" t="str">
        <f aca="false" t="array" ref="D142:D142">IF(B142="","",IFERROR(INDEX('CLM &amp; IM Mapping'!$C$2:$C$270,MATCH(TRIM(B142),'CLM &amp; IM Mapping'!$A$2:$A$270,0)),"Not Mapped"))</f>
        <v>Kantha Kumar</v>
      </c>
      <c r="E142" s="14"/>
      <c r="F142" s="14"/>
      <c r="G142" s="14"/>
      <c r="H142" s="14" t="n">
        <v>1</v>
      </c>
      <c r="I142" s="14" t="n">
        <v>1</v>
      </c>
      <c r="J142" s="14" t="n">
        <v>0</v>
      </c>
      <c r="K142" s="14" t="n">
        <v>1</v>
      </c>
      <c r="L142" s="21"/>
      <c r="M142" s="11"/>
      <c r="N142" s="23"/>
      <c r="O142" s="23"/>
      <c r="P142" s="23"/>
      <c r="Q142" s="23"/>
      <c r="R142" s="23"/>
      <c r="S142" s="23"/>
      <c r="T142" s="23"/>
      <c r="U142" s="23"/>
      <c r="V142" s="23"/>
      <c r="W142" s="23"/>
      <c r="X142" s="23"/>
      <c r="Y142" s="23"/>
      <c r="Z142" s="23"/>
    </row>
    <row r="143" customFormat="false" ht="15.75" hidden="false" customHeight="true" outlineLevel="0" collapsed="false">
      <c r="A143" s="52" t="n">
        <v>46303</v>
      </c>
      <c r="B143" s="14" t="s">
        <v>443</v>
      </c>
      <c r="C143" s="14" t="str">
        <f aca="false" t="array" ref="C143:C143">IF(B143="","",IFERROR(INDEX('CLM &amp; IM Mapping'!$B$2:$B$270,MATCH(TRIM(B143),'CLM &amp; IM Mapping'!$A$2:$A$270,0)),"Not Mapped"))</f>
        <v>Manoj Kj</v>
      </c>
      <c r="D143" s="14" t="str">
        <f aca="false" t="array" ref="D143:D143">IF(B143="","",IFERROR(INDEX('CLM &amp; IM Mapping'!$C$2:$C$270,MATCH(TRIM(B143),'CLM &amp; IM Mapping'!$A$2:$A$270,0)),"Not Mapped"))</f>
        <v>Srittam Dhal</v>
      </c>
      <c r="E143" s="14"/>
      <c r="F143" s="14"/>
      <c r="G143" s="14"/>
      <c r="H143" s="14" t="n">
        <v>1</v>
      </c>
      <c r="I143" s="14" t="n">
        <v>1</v>
      </c>
      <c r="J143" s="14" t="n">
        <v>0</v>
      </c>
      <c r="K143" s="14" t="n">
        <v>1</v>
      </c>
      <c r="L143" s="21"/>
      <c r="M143" s="11"/>
      <c r="N143" s="23"/>
      <c r="O143" s="23"/>
      <c r="P143" s="23"/>
      <c r="Q143" s="23"/>
      <c r="R143" s="23"/>
      <c r="S143" s="23"/>
      <c r="T143" s="23"/>
      <c r="U143" s="23"/>
      <c r="V143" s="23"/>
      <c r="W143" s="23"/>
      <c r="X143" s="23"/>
      <c r="Y143" s="23"/>
      <c r="Z143" s="23"/>
    </row>
    <row r="144" customFormat="false" ht="15.75" hidden="false" customHeight="true" outlineLevel="0" collapsed="false">
      <c r="A144" s="52" t="n">
        <v>46303</v>
      </c>
      <c r="B144" s="14" t="s">
        <v>312</v>
      </c>
      <c r="C144" s="14" t="str">
        <f aca="false" t="array" ref="C144:C144">IF(B144="","",IFERROR(INDEX('CLM &amp; IM Mapping'!$B$2:$B$270,MATCH(TRIM(B144),'CLM &amp; IM Mapping'!$A$2:$A$270,0)),"Not Mapped"))</f>
        <v>Manoj Kj</v>
      </c>
      <c r="D144" s="14" t="str">
        <f aca="false" t="array" ref="D144:D144">IF(B144="","",IFERROR(INDEX('CLM &amp; IM Mapping'!$C$2:$C$270,MATCH(TRIM(B144),'CLM &amp; IM Mapping'!$A$2:$A$270,0)),"Not Mapped"))</f>
        <v>Srittam Dhal</v>
      </c>
      <c r="E144" s="14"/>
      <c r="F144" s="14"/>
      <c r="G144" s="14"/>
      <c r="H144" s="14" t="n">
        <v>1</v>
      </c>
      <c r="I144" s="14" t="n">
        <v>1</v>
      </c>
      <c r="J144" s="14" t="n">
        <v>0</v>
      </c>
      <c r="K144" s="14" t="n">
        <v>1</v>
      </c>
      <c r="L144" s="21"/>
      <c r="M144" s="11"/>
      <c r="N144" s="23"/>
      <c r="O144" s="23"/>
      <c r="P144" s="23"/>
      <c r="Q144" s="23"/>
      <c r="R144" s="23"/>
      <c r="S144" s="23"/>
      <c r="T144" s="23"/>
      <c r="U144" s="23"/>
      <c r="V144" s="23"/>
      <c r="W144" s="23"/>
      <c r="X144" s="23"/>
      <c r="Y144" s="23"/>
      <c r="Z144" s="23"/>
    </row>
    <row r="145" customFormat="false" ht="15.75" hidden="false" customHeight="true" outlineLevel="0" collapsed="false">
      <c r="A145" s="52" t="n">
        <v>46303</v>
      </c>
      <c r="B145" s="14" t="s">
        <v>345</v>
      </c>
      <c r="C145" s="14" t="str">
        <f aca="false" t="array" ref="C145:C145">IF(B145="","",IFERROR(INDEX('CLM &amp; IM Mapping'!$B$2:$B$270,MATCH(TRIM(B145),'CLM &amp; IM Mapping'!$A$2:$A$270,0)),"Not Mapped"))</f>
        <v>John Britto</v>
      </c>
      <c r="D145" s="14" t="str">
        <f aca="false" t="array" ref="D145:D145">IF(B145="","",IFERROR(INDEX('CLM &amp; IM Mapping'!$C$2:$C$270,MATCH(TRIM(B145),'CLM &amp; IM Mapping'!$A$2:$A$270,0)),"Not Mapped"))</f>
        <v>Aravind S</v>
      </c>
      <c r="E145" s="14"/>
      <c r="F145" s="14"/>
      <c r="G145" s="14" t="n">
        <v>1</v>
      </c>
      <c r="H145" s="14"/>
      <c r="I145" s="14" t="n">
        <v>1</v>
      </c>
      <c r="J145" s="14" t="n">
        <v>0</v>
      </c>
      <c r="K145" s="14" t="n">
        <v>1</v>
      </c>
      <c r="L145" s="21"/>
      <c r="M145" s="11"/>
      <c r="N145" s="23"/>
      <c r="O145" s="23"/>
      <c r="P145" s="23"/>
      <c r="Q145" s="23"/>
      <c r="R145" s="23"/>
      <c r="S145" s="23"/>
      <c r="T145" s="23"/>
      <c r="U145" s="23"/>
      <c r="V145" s="23"/>
      <c r="W145" s="23"/>
      <c r="X145" s="23"/>
      <c r="Y145" s="23"/>
      <c r="Z145" s="23"/>
    </row>
    <row r="146" customFormat="false" ht="15.75" hidden="false" customHeight="true" outlineLevel="0" collapsed="false">
      <c r="A146" s="52" t="n">
        <v>46303</v>
      </c>
      <c r="B146" s="14" t="s">
        <v>379</v>
      </c>
      <c r="C146" s="14" t="str">
        <f aca="false" t="array" ref="C146:C146">IF(B146="","",IFERROR(INDEX('CLM &amp; IM Mapping'!$B$2:$B$270,MATCH(TRIM(B146),'CLM &amp; IM Mapping'!$A$2:$A$270,0)),"Not Mapped"))</f>
        <v>Richard Harris</v>
      </c>
      <c r="D146" s="14" t="str">
        <f aca="false" t="array" ref="D146:D146">IF(B146="","",IFERROR(INDEX('CLM &amp; IM Mapping'!$C$2:$C$270,MATCH(TRIM(B146),'CLM &amp; IM Mapping'!$A$2:$A$270,0)),"Not Mapped"))</f>
        <v>Kantha Kumar</v>
      </c>
      <c r="E146" s="14"/>
      <c r="F146" s="14"/>
      <c r="G146" s="14" t="n">
        <v>1</v>
      </c>
      <c r="H146" s="14"/>
      <c r="I146" s="14" t="n">
        <v>1</v>
      </c>
      <c r="J146" s="14" t="n">
        <v>0</v>
      </c>
      <c r="K146" s="14" t="n">
        <v>1</v>
      </c>
      <c r="L146" s="21"/>
      <c r="M146" s="11"/>
      <c r="N146" s="23"/>
      <c r="O146" s="23"/>
      <c r="P146" s="23"/>
      <c r="Q146" s="23"/>
      <c r="R146" s="23"/>
      <c r="S146" s="23"/>
      <c r="T146" s="23"/>
      <c r="U146" s="23"/>
      <c r="V146" s="23"/>
      <c r="W146" s="23"/>
      <c r="X146" s="23"/>
      <c r="Y146" s="23"/>
      <c r="Z146" s="23"/>
    </row>
    <row r="147" customFormat="false" ht="15.75" hidden="false" customHeight="true" outlineLevel="0" collapsed="false">
      <c r="A147" s="52" t="n">
        <v>46303</v>
      </c>
      <c r="B147" s="14" t="s">
        <v>484</v>
      </c>
      <c r="C147" s="14" t="str">
        <f aca="false" t="array" ref="C147:C147">IF(B147="","",IFERROR(INDEX('CLM &amp; IM Mapping'!$B$2:$B$270,MATCH(TRIM(B147),'CLM &amp; IM Mapping'!$A$2:$A$270,0)),"Not Mapped"))</f>
        <v>Raghavendra Vernekar</v>
      </c>
      <c r="D147" s="14" t="str">
        <f aca="false" t="array" ref="D147:D147">IF(B147="","",IFERROR(INDEX('CLM &amp; IM Mapping'!$C$2:$C$270,MATCH(TRIM(B147),'CLM &amp; IM Mapping'!$A$2:$A$270,0)),"Not Mapped"))</f>
        <v>Prakash BS</v>
      </c>
      <c r="E147" s="14"/>
      <c r="F147" s="14"/>
      <c r="G147" s="14" t="n">
        <v>1</v>
      </c>
      <c r="H147" s="14"/>
      <c r="I147" s="14" t="n">
        <v>1</v>
      </c>
      <c r="J147" s="14" t="n">
        <v>0</v>
      </c>
      <c r="K147" s="14" t="n">
        <v>1</v>
      </c>
      <c r="L147" s="12" t="s">
        <v>729</v>
      </c>
      <c r="M147" s="11"/>
      <c r="N147" s="23"/>
      <c r="O147" s="23"/>
      <c r="P147" s="23"/>
      <c r="Q147" s="23"/>
      <c r="R147" s="23"/>
      <c r="S147" s="23"/>
      <c r="T147" s="23"/>
      <c r="U147" s="23"/>
      <c r="V147" s="23"/>
      <c r="W147" s="23"/>
      <c r="X147" s="23"/>
      <c r="Y147" s="23"/>
      <c r="Z147" s="23"/>
    </row>
    <row r="148" customFormat="false" ht="15.75" hidden="false" customHeight="true" outlineLevel="0" collapsed="false">
      <c r="A148" s="52" t="n">
        <v>46303</v>
      </c>
      <c r="B148" s="14" t="s">
        <v>337</v>
      </c>
      <c r="C148" s="14" t="str">
        <f aca="false" t="array" ref="C148:C148">IF(B148="","",IFERROR(INDEX('CLM &amp; IM Mapping'!$B$2:$B$270,MATCH(TRIM(B148),'CLM &amp; IM Mapping'!$A$2:$A$270,0)),"Not Mapped"))</f>
        <v>Akshay P</v>
      </c>
      <c r="D148" s="14" t="str">
        <f aca="false" t="array" ref="D148:D148">IF(B148="","",IFERROR(INDEX('CLM &amp; IM Mapping'!$C$2:$C$270,MATCH(TRIM(B148),'CLM &amp; IM Mapping'!$A$2:$A$270,0)),"Not Mapped"))</f>
        <v>Srittam Dhal</v>
      </c>
      <c r="E148" s="14"/>
      <c r="F148" s="14"/>
      <c r="G148" s="14"/>
      <c r="H148" s="14" t="n">
        <v>1</v>
      </c>
      <c r="I148" s="14" t="n">
        <v>1</v>
      </c>
      <c r="J148" s="14" t="n">
        <v>0</v>
      </c>
      <c r="K148" s="14" t="n">
        <v>1</v>
      </c>
      <c r="L148" s="21"/>
      <c r="M148" s="11"/>
      <c r="N148" s="23"/>
      <c r="O148" s="23"/>
      <c r="P148" s="23"/>
      <c r="Q148" s="23"/>
      <c r="R148" s="23"/>
      <c r="S148" s="23"/>
      <c r="T148" s="23"/>
      <c r="U148" s="23"/>
      <c r="V148" s="23"/>
      <c r="W148" s="23"/>
      <c r="X148" s="23"/>
      <c r="Y148" s="23"/>
      <c r="Z148" s="23"/>
    </row>
    <row r="149" customFormat="false" ht="15.75" hidden="false" customHeight="true" outlineLevel="0" collapsed="false">
      <c r="A149" s="52" t="n">
        <v>46303</v>
      </c>
      <c r="B149" s="14" t="s">
        <v>226</v>
      </c>
      <c r="C149" s="14" t="str">
        <f aca="false" t="array" ref="C149:C149">IF(B149="","",IFERROR(INDEX('CLM &amp; IM Mapping'!$B$2:$B$270,MATCH(TRIM(B149),'CLM &amp; IM Mapping'!$A$2:$A$270,0)),"Not Mapped"))</f>
        <v>Manoj Kj</v>
      </c>
      <c r="D149" s="14" t="str">
        <f aca="false" t="array" ref="D149:D149">IF(B149="","",IFERROR(INDEX('CLM &amp; IM Mapping'!$C$2:$C$270,MATCH(TRIM(B149),'CLM &amp; IM Mapping'!$A$2:$A$270,0)),"Not Mapped"))</f>
        <v>Srittam Dhal</v>
      </c>
      <c r="E149" s="14"/>
      <c r="F149" s="14"/>
      <c r="G149" s="14" t="n">
        <v>1</v>
      </c>
      <c r="H149" s="14"/>
      <c r="I149" s="14" t="n">
        <v>1</v>
      </c>
      <c r="J149" s="14" t="n">
        <v>0</v>
      </c>
      <c r="K149" s="14" t="n">
        <v>1</v>
      </c>
      <c r="L149" s="21"/>
      <c r="M149" s="11"/>
      <c r="N149" s="23"/>
      <c r="O149" s="23"/>
      <c r="P149" s="23"/>
      <c r="Q149" s="23"/>
      <c r="R149" s="23"/>
      <c r="S149" s="23"/>
      <c r="T149" s="23"/>
      <c r="U149" s="23"/>
      <c r="V149" s="23"/>
      <c r="W149" s="23"/>
      <c r="X149" s="23"/>
      <c r="Y149" s="23"/>
      <c r="Z149" s="23"/>
    </row>
    <row r="150" customFormat="false" ht="15.75" hidden="false" customHeight="true" outlineLevel="0" collapsed="false">
      <c r="A150" s="52" t="n">
        <v>46303</v>
      </c>
      <c r="B150" s="14" t="s">
        <v>472</v>
      </c>
      <c r="C150" s="14" t="str">
        <f aca="false" t="array" ref="C150:C150">IF(B150="","",IFERROR(INDEX('CLM &amp; IM Mapping'!$B$2:$B$270,MATCH(TRIM(B150),'CLM &amp; IM Mapping'!$A$2:$A$270,0)),"Not Mapped"))</f>
        <v>Bangareppa CS</v>
      </c>
      <c r="D150" s="14" t="str">
        <f aca="false" t="array" ref="D150:D150">IF(B150="","",IFERROR(INDEX('CLM &amp; IM Mapping'!$C$2:$C$270,MATCH(TRIM(B150),'CLM &amp; IM Mapping'!$A$2:$A$270,0)),"Not Mapped"))</f>
        <v>Kishor K</v>
      </c>
      <c r="E150" s="14"/>
      <c r="F150" s="14"/>
      <c r="G150" s="14"/>
      <c r="H150" s="14" t="n">
        <v>1</v>
      </c>
      <c r="I150" s="14" t="n">
        <v>0</v>
      </c>
      <c r="J150" s="14" t="n">
        <v>1</v>
      </c>
      <c r="K150" s="14" t="n">
        <v>1</v>
      </c>
      <c r="L150" s="12" t="s">
        <v>791</v>
      </c>
      <c r="M150" s="12" t="s">
        <v>746</v>
      </c>
      <c r="N150" s="23"/>
      <c r="O150" s="23"/>
      <c r="P150" s="23"/>
      <c r="Q150" s="23"/>
      <c r="R150" s="23"/>
      <c r="S150" s="23"/>
      <c r="T150" s="23"/>
      <c r="U150" s="23"/>
      <c r="V150" s="23"/>
      <c r="W150" s="23"/>
      <c r="X150" s="23"/>
      <c r="Y150" s="23"/>
      <c r="Z150" s="23"/>
    </row>
    <row r="151" customFormat="false" ht="15.75" hidden="false" customHeight="true" outlineLevel="0" collapsed="false">
      <c r="A151" s="52" t="n">
        <v>46304</v>
      </c>
      <c r="B151" s="14" t="s">
        <v>191</v>
      </c>
      <c r="C151" s="14" t="str">
        <f aca="false" t="array" ref="C151:C151">IF(B151="","",IFERROR(INDEX('CLM &amp; IM Mapping'!$B$2:$B$270,MATCH(TRIM(B151),'CLM &amp; IM Mapping'!$A$2:$A$270,0)),"Not Mapped"))</f>
        <v>Adhavan Subramani</v>
      </c>
      <c r="D151" s="14" t="str">
        <f aca="false" t="array" ref="D151:D151">IF(B151="","",IFERROR(INDEX('CLM &amp; IM Mapping'!$C$2:$C$270,MATCH(TRIM(B151),'CLM &amp; IM Mapping'!$A$2:$A$270,0)),"Not Mapped"))</f>
        <v>Mohammed Akbar</v>
      </c>
      <c r="E151" s="14" t="n">
        <v>596</v>
      </c>
      <c r="F151" s="14"/>
      <c r="G151" s="14"/>
      <c r="H151" s="14" t="n">
        <v>9471</v>
      </c>
      <c r="I151" s="14" t="n">
        <v>9852</v>
      </c>
      <c r="J151" s="14" t="n">
        <v>215</v>
      </c>
      <c r="K151" s="14" t="n">
        <v>10067</v>
      </c>
      <c r="L151" s="12"/>
      <c r="M151" s="12"/>
      <c r="N151" s="23"/>
      <c r="O151" s="23"/>
      <c r="P151" s="23"/>
      <c r="Q151" s="23"/>
      <c r="R151" s="23"/>
      <c r="S151" s="23"/>
      <c r="T151" s="23"/>
      <c r="U151" s="23"/>
      <c r="V151" s="23"/>
      <c r="W151" s="23"/>
      <c r="X151" s="23"/>
      <c r="Y151" s="23"/>
      <c r="Z151" s="23"/>
    </row>
    <row r="152" customFormat="false" ht="15.75" hidden="false" customHeight="true" outlineLevel="0" collapsed="false">
      <c r="A152" s="52" t="n">
        <v>46304</v>
      </c>
      <c r="B152" s="14" t="s">
        <v>479</v>
      </c>
      <c r="C152" s="14" t="str">
        <f aca="false" t="array" ref="C152:C152">IF(B152="","",IFERROR(INDEX('CLM &amp; IM Mapping'!$B$2:$B$270,MATCH(TRIM(B152),'CLM &amp; IM Mapping'!$A$2:$A$270,0)),"Not Mapped"))</f>
        <v>Arun Raj</v>
      </c>
      <c r="D152" s="14" t="str">
        <f aca="false" t="array" ref="D152:D152">IF(B152="","",IFERROR(INDEX('CLM &amp; IM Mapping'!$C$2:$C$270,MATCH(TRIM(B152),'CLM &amp; IM Mapping'!$A$2:$A$270,0)),"Not Mapped"))</f>
        <v>Simon Manoharan</v>
      </c>
      <c r="E152" s="14"/>
      <c r="F152" s="14"/>
      <c r="G152" s="14"/>
      <c r="H152" s="14" t="n">
        <v>2356</v>
      </c>
      <c r="I152" s="14" t="n">
        <v>2356</v>
      </c>
      <c r="J152" s="14" t="n">
        <v>0</v>
      </c>
      <c r="K152" s="14" t="n">
        <v>2356</v>
      </c>
      <c r="L152" s="12"/>
      <c r="M152" s="12"/>
      <c r="N152" s="23"/>
      <c r="O152" s="23"/>
      <c r="P152" s="23"/>
      <c r="Q152" s="23"/>
      <c r="R152" s="23"/>
      <c r="S152" s="23"/>
      <c r="T152" s="23"/>
      <c r="U152" s="23"/>
      <c r="V152" s="23"/>
      <c r="W152" s="23"/>
      <c r="X152" s="23"/>
      <c r="Y152" s="23"/>
      <c r="Z152" s="23"/>
    </row>
    <row r="153" customFormat="false" ht="15.75" hidden="false" customHeight="true" outlineLevel="0" collapsed="false">
      <c r="A153" s="52" t="n">
        <v>46304</v>
      </c>
      <c r="B153" s="14" t="s">
        <v>147</v>
      </c>
      <c r="C153" s="14" t="str">
        <f aca="false" t="array" ref="C153:C153">IF(B153="","",IFERROR(INDEX('CLM &amp; IM Mapping'!$B$2:$B$270,MATCH(TRIM(B153),'CLM &amp; IM Mapping'!$A$2:$A$270,0)),"Not Mapped"))</f>
        <v>Manjunatha V</v>
      </c>
      <c r="D153" s="14" t="str">
        <f aca="false" t="array" ref="D153:D153">IF(B153="","",IFERROR(INDEX('CLM &amp; IM Mapping'!$C$2:$C$270,MATCH(TRIM(B153),'CLM &amp; IM Mapping'!$A$2:$A$270,0)),"Not Mapped"))</f>
        <v>Un Mapped</v>
      </c>
      <c r="E153" s="14"/>
      <c r="F153" s="14" t="n">
        <v>1822</v>
      </c>
      <c r="G153" s="14"/>
      <c r="H153" s="14"/>
      <c r="I153" s="14" t="n">
        <v>1740</v>
      </c>
      <c r="J153" s="14" t="n">
        <v>82</v>
      </c>
      <c r="K153" s="14" t="n">
        <v>1822</v>
      </c>
      <c r="L153" s="12"/>
      <c r="M153" s="12"/>
      <c r="N153" s="23"/>
      <c r="O153" s="23"/>
      <c r="P153" s="23"/>
      <c r="Q153" s="23"/>
      <c r="R153" s="23"/>
      <c r="S153" s="23"/>
      <c r="T153" s="23"/>
      <c r="U153" s="23"/>
      <c r="V153" s="23"/>
      <c r="W153" s="23"/>
      <c r="X153" s="23"/>
      <c r="Y153" s="23"/>
      <c r="Z153" s="23"/>
    </row>
    <row r="154" customFormat="false" ht="15.75" hidden="false" customHeight="true" outlineLevel="0" collapsed="false">
      <c r="A154" s="52" t="n">
        <v>46304</v>
      </c>
      <c r="B154" s="14" t="s">
        <v>33</v>
      </c>
      <c r="C154" s="14" t="str">
        <f aca="false" t="array" ref="C154:C154">IF(B154="","",IFERROR(INDEX('CLM &amp; IM Mapping'!$B$2:$B$270,MATCH(TRIM(B154),'CLM &amp; IM Mapping'!$A$2:$A$270,0)),"Not Mapped"))</f>
        <v>Manoj Kj</v>
      </c>
      <c r="D154" s="14" t="str">
        <f aca="false" t="array" ref="D154:D154">IF(B154="","",IFERROR(INDEX('CLM &amp; IM Mapping'!$C$2:$C$270,MATCH(TRIM(B154),'CLM &amp; IM Mapping'!$A$2:$A$270,0)),"Not Mapped"))</f>
        <v>Srittam Dhal</v>
      </c>
      <c r="E154" s="14" t="n">
        <v>1661</v>
      </c>
      <c r="F154" s="14"/>
      <c r="G154" s="14"/>
      <c r="H154" s="14" t="n">
        <v>44</v>
      </c>
      <c r="I154" s="14" t="n">
        <v>1681</v>
      </c>
      <c r="J154" s="14" t="n">
        <v>24</v>
      </c>
      <c r="K154" s="14" t="n">
        <v>1705</v>
      </c>
      <c r="L154" s="12"/>
      <c r="M154" s="12"/>
      <c r="N154" s="23"/>
      <c r="O154" s="23"/>
      <c r="P154" s="23"/>
      <c r="Q154" s="23"/>
      <c r="R154" s="23"/>
      <c r="S154" s="23"/>
      <c r="T154" s="23"/>
      <c r="U154" s="23"/>
      <c r="V154" s="23"/>
      <c r="W154" s="23"/>
      <c r="X154" s="23"/>
      <c r="Y154" s="23"/>
      <c r="Z154" s="23"/>
    </row>
    <row r="155" customFormat="false" ht="15.75" hidden="false" customHeight="true" outlineLevel="0" collapsed="false">
      <c r="A155" s="52" t="n">
        <v>46304</v>
      </c>
      <c r="B155" s="14" t="s">
        <v>59</v>
      </c>
      <c r="C155" s="14" t="str">
        <f aca="false" t="array" ref="C155:C155">IF(B155="","",IFERROR(INDEX('CLM &amp; IM Mapping'!$B$2:$B$270,MATCH(TRIM(B155),'CLM &amp; IM Mapping'!$A$2:$A$270,0)),"Not Mapped"))</f>
        <v>Saddam Hussain</v>
      </c>
      <c r="D155" s="14" t="str">
        <f aca="false" t="array" ref="D155:D155">IF(B155="","",IFERROR(INDEX('CLM &amp; IM Mapping'!$C$2:$C$270,MATCH(TRIM(B155),'CLM &amp; IM Mapping'!$A$2:$A$270,0)),"Not Mapped"))</f>
        <v>Un Mapped</v>
      </c>
      <c r="E155" s="14"/>
      <c r="F155" s="14" t="n">
        <v>1489</v>
      </c>
      <c r="G155" s="14"/>
      <c r="H155" s="14" t="n">
        <v>7</v>
      </c>
      <c r="I155" s="14" t="n">
        <v>1486</v>
      </c>
      <c r="J155" s="14" t="n">
        <v>10</v>
      </c>
      <c r="K155" s="14" t="n">
        <v>1496</v>
      </c>
      <c r="L155" s="12"/>
      <c r="M155" s="12"/>
      <c r="N155" s="23"/>
      <c r="O155" s="23"/>
      <c r="P155" s="23"/>
      <c r="Q155" s="23"/>
      <c r="R155" s="23"/>
      <c r="S155" s="23"/>
      <c r="T155" s="23"/>
      <c r="U155" s="23"/>
      <c r="V155" s="23"/>
      <c r="W155" s="23"/>
      <c r="X155" s="23"/>
      <c r="Y155" s="23"/>
      <c r="Z155" s="23"/>
    </row>
    <row r="156" customFormat="false" ht="15.75" hidden="false" customHeight="true" outlineLevel="0" collapsed="false">
      <c r="A156" s="52" t="n">
        <v>46304</v>
      </c>
      <c r="B156" s="14" t="s">
        <v>73</v>
      </c>
      <c r="C156" s="14" t="str">
        <f aca="false" t="array" ref="C156:C156">IF(B156="","",IFERROR(INDEX('CLM &amp; IM Mapping'!$B$2:$B$270,MATCH(TRIM(B156),'CLM &amp; IM Mapping'!$A$2:$A$270,0)),"Not Mapped"))</f>
        <v>Narasimhamurthy R</v>
      </c>
      <c r="D156" s="14" t="str">
        <f aca="false" t="array" ref="D156:D156">IF(B156="","",IFERROR(INDEX('CLM &amp; IM Mapping'!$C$2:$C$270,MATCH(TRIM(B156),'CLM &amp; IM Mapping'!$A$2:$A$270,0)),"Not Mapped"))</f>
        <v>Kishor K</v>
      </c>
      <c r="E156" s="14"/>
      <c r="F156" s="14" t="n">
        <v>860</v>
      </c>
      <c r="G156" s="14"/>
      <c r="H156" s="14" t="n">
        <v>560</v>
      </c>
      <c r="I156" s="14" t="n">
        <v>1420</v>
      </c>
      <c r="J156" s="14" t="n">
        <v>0</v>
      </c>
      <c r="K156" s="14" t="n">
        <v>1420</v>
      </c>
      <c r="L156" s="12" t="s">
        <v>793</v>
      </c>
      <c r="M156" s="12" t="s">
        <v>623</v>
      </c>
      <c r="N156" s="23"/>
      <c r="O156" s="23"/>
      <c r="P156" s="23"/>
      <c r="Q156" s="23"/>
      <c r="R156" s="23"/>
      <c r="S156" s="23"/>
      <c r="T156" s="23"/>
      <c r="U156" s="23"/>
      <c r="V156" s="23"/>
      <c r="W156" s="23"/>
      <c r="X156" s="23"/>
      <c r="Y156" s="23"/>
      <c r="Z156" s="23"/>
    </row>
    <row r="157" customFormat="false" ht="15.75" hidden="false" customHeight="true" outlineLevel="0" collapsed="false">
      <c r="A157" s="52" t="n">
        <v>46304</v>
      </c>
      <c r="B157" s="14" t="s">
        <v>259</v>
      </c>
      <c r="C157" s="14" t="str">
        <f aca="false" t="array" ref="C157:C157">IF(B157="","",IFERROR(INDEX('CLM &amp; IM Mapping'!$B$2:$B$270,MATCH(TRIM(B157),'CLM &amp; IM Mapping'!$A$2:$A$270,0)),"Not Mapped"))</f>
        <v>Raghavendra Vernekar</v>
      </c>
      <c r="D157" s="14" t="str">
        <f aca="false" t="array" ref="D157:D157">IF(B157="","",IFERROR(INDEX('CLM &amp; IM Mapping'!$C$2:$C$270,MATCH(TRIM(B157),'CLM &amp; IM Mapping'!$A$2:$A$270,0)),"Not Mapped"))</f>
        <v>Prakash BS</v>
      </c>
      <c r="E157" s="14"/>
      <c r="F157" s="14" t="n">
        <v>1196</v>
      </c>
      <c r="G157" s="14"/>
      <c r="H157" s="14"/>
      <c r="I157" s="14" t="n">
        <v>1196</v>
      </c>
      <c r="J157" s="14" t="n">
        <v>0</v>
      </c>
      <c r="K157" s="14" t="n">
        <v>1196</v>
      </c>
      <c r="L157" s="12" t="s">
        <v>794</v>
      </c>
      <c r="M157" s="12" t="s">
        <v>795</v>
      </c>
      <c r="N157" s="23"/>
      <c r="O157" s="23"/>
      <c r="P157" s="23"/>
      <c r="Q157" s="23"/>
      <c r="R157" s="23"/>
      <c r="S157" s="23"/>
      <c r="T157" s="23"/>
      <c r="U157" s="23"/>
      <c r="V157" s="23"/>
      <c r="W157" s="23"/>
      <c r="X157" s="23"/>
      <c r="Y157" s="23"/>
      <c r="Z157" s="23"/>
    </row>
    <row r="158" customFormat="false" ht="15.75" hidden="false" customHeight="true" outlineLevel="0" collapsed="false">
      <c r="A158" s="52" t="n">
        <v>46304</v>
      </c>
      <c r="B158" s="14" t="s">
        <v>65</v>
      </c>
      <c r="C158" s="14" t="str">
        <f aca="false" t="array" ref="C158:C158">IF(B158="","",IFERROR(INDEX('CLM &amp; IM Mapping'!$B$2:$B$270,MATCH(TRIM(B158),'CLM &amp; IM Mapping'!$A$2:$A$270,0)),"Not Mapped"))</f>
        <v>Adhavan Subramani</v>
      </c>
      <c r="D158" s="14" t="str">
        <f aca="false" t="array" ref="D158:D158">IF(B158="","",IFERROR(INDEX('CLM &amp; IM Mapping'!$C$2:$C$270,MATCH(TRIM(B158),'CLM &amp; IM Mapping'!$A$2:$A$270,0)),"Not Mapped"))</f>
        <v>Mohammed Akbar</v>
      </c>
      <c r="E158" s="14"/>
      <c r="F158" s="14" t="n">
        <v>993</v>
      </c>
      <c r="G158" s="14"/>
      <c r="H158" s="14"/>
      <c r="I158" s="14" t="n">
        <v>993</v>
      </c>
      <c r="J158" s="14" t="n">
        <v>0</v>
      </c>
      <c r="K158" s="14" t="n">
        <v>993</v>
      </c>
      <c r="L158" s="12"/>
      <c r="M158" s="12"/>
      <c r="N158" s="23"/>
      <c r="O158" s="23"/>
      <c r="P158" s="23"/>
      <c r="Q158" s="23"/>
      <c r="R158" s="23"/>
      <c r="S158" s="23"/>
      <c r="T158" s="23"/>
      <c r="U158" s="23"/>
      <c r="V158" s="23"/>
      <c r="W158" s="23"/>
      <c r="X158" s="23"/>
      <c r="Y158" s="23"/>
      <c r="Z158" s="23"/>
    </row>
    <row r="159" customFormat="false" ht="15.75" hidden="false" customHeight="true" outlineLevel="0" collapsed="false">
      <c r="A159" s="52" t="n">
        <v>46304</v>
      </c>
      <c r="B159" s="14" t="s">
        <v>444</v>
      </c>
      <c r="C159" s="14" t="str">
        <f aca="false" t="array" ref="C159:C159">IF(B159="","",IFERROR(INDEX('CLM &amp; IM Mapping'!$B$2:$B$270,MATCH(TRIM(B159),'CLM &amp; IM Mapping'!$A$2:$A$270,0)),"Not Mapped"))</f>
        <v>Narasimhamurthy R</v>
      </c>
      <c r="D159" s="14" t="str">
        <f aca="false" t="array" ref="D159:D159">IF(B159="","",IFERROR(INDEX('CLM &amp; IM Mapping'!$C$2:$C$270,MATCH(TRIM(B159),'CLM &amp; IM Mapping'!$A$2:$A$270,0)),"Not Mapped"))</f>
        <v>Kishor K</v>
      </c>
      <c r="E159" s="14"/>
      <c r="F159" s="14" t="n">
        <v>804</v>
      </c>
      <c r="G159" s="14"/>
      <c r="H159" s="14"/>
      <c r="I159" s="14" t="n">
        <v>739</v>
      </c>
      <c r="J159" s="14" t="n">
        <v>65</v>
      </c>
      <c r="K159" s="14" t="n">
        <v>804</v>
      </c>
      <c r="L159" s="12" t="s">
        <v>796</v>
      </c>
      <c r="M159" s="12"/>
      <c r="N159" s="23"/>
      <c r="O159" s="23"/>
      <c r="P159" s="23"/>
      <c r="Q159" s="23"/>
      <c r="R159" s="23"/>
      <c r="S159" s="23"/>
      <c r="T159" s="23"/>
      <c r="U159" s="23"/>
      <c r="V159" s="23"/>
      <c r="W159" s="23"/>
      <c r="X159" s="23"/>
      <c r="Y159" s="23"/>
      <c r="Z159" s="23"/>
    </row>
    <row r="160" customFormat="false" ht="15.75" hidden="false" customHeight="true" outlineLevel="0" collapsed="false">
      <c r="A160" s="52" t="n">
        <v>46304</v>
      </c>
      <c r="B160" s="14" t="s">
        <v>344</v>
      </c>
      <c r="C160" s="14" t="str">
        <f aca="false" t="array" ref="C160:C160">IF(B160="","",IFERROR(INDEX('CLM &amp; IM Mapping'!$B$2:$B$270,MATCH(TRIM(B160),'CLM &amp; IM Mapping'!$A$2:$A$270,0)),"Not Mapped"))</f>
        <v>Arun Raj</v>
      </c>
      <c r="D160" s="14" t="str">
        <f aca="false" t="array" ref="D160:D160">IF(B160="","",IFERROR(INDEX('CLM &amp; IM Mapping'!$C$2:$C$270,MATCH(TRIM(B160),'CLM &amp; IM Mapping'!$A$2:$A$270,0)),"Not Mapped"))</f>
        <v>Simon Manoharan</v>
      </c>
      <c r="E160" s="14" t="n">
        <v>198</v>
      </c>
      <c r="F160" s="14" t="n">
        <v>399</v>
      </c>
      <c r="G160" s="14"/>
      <c r="H160" s="14" t="n">
        <v>154</v>
      </c>
      <c r="I160" s="14" t="n">
        <v>751</v>
      </c>
      <c r="J160" s="14" t="n">
        <v>0</v>
      </c>
      <c r="K160" s="14" t="n">
        <v>751</v>
      </c>
      <c r="L160" s="12"/>
      <c r="M160" s="12"/>
      <c r="N160" s="23"/>
      <c r="O160" s="23"/>
      <c r="P160" s="23"/>
      <c r="Q160" s="23"/>
      <c r="R160" s="23"/>
      <c r="S160" s="23"/>
      <c r="T160" s="23"/>
      <c r="U160" s="23"/>
      <c r="V160" s="23"/>
      <c r="W160" s="23"/>
      <c r="X160" s="23"/>
      <c r="Y160" s="23"/>
      <c r="Z160" s="23"/>
    </row>
    <row r="161" customFormat="false" ht="15.75" hidden="false" customHeight="true" outlineLevel="0" collapsed="false">
      <c r="A161" s="52" t="n">
        <v>46304</v>
      </c>
      <c r="B161" s="14" t="s">
        <v>50</v>
      </c>
      <c r="C161" s="14" t="str">
        <f aca="false" t="array" ref="C161:C161">IF(B161="","",IFERROR(INDEX('CLM &amp; IM Mapping'!$B$2:$B$270,MATCH(TRIM(B161),'CLM &amp; IM Mapping'!$A$2:$A$270,0)),"Not Mapped"))</f>
        <v>Arun Raj</v>
      </c>
      <c r="D161" s="14" t="str">
        <f aca="false" t="array" ref="D161:D161">IF(B161="","",IFERROR(INDEX('CLM &amp; IM Mapping'!$C$2:$C$270,MATCH(TRIM(B161),'CLM &amp; IM Mapping'!$A$2:$A$270,0)),"Not Mapped"))</f>
        <v>Simon Manoharan</v>
      </c>
      <c r="E161" s="14" t="n">
        <v>150</v>
      </c>
      <c r="F161" s="14" t="n">
        <v>298</v>
      </c>
      <c r="G161" s="14"/>
      <c r="H161" s="14" t="n">
        <v>136</v>
      </c>
      <c r="I161" s="14" t="n">
        <v>448</v>
      </c>
      <c r="J161" s="14" t="n">
        <v>136</v>
      </c>
      <c r="K161" s="14" t="n">
        <v>584</v>
      </c>
      <c r="L161" s="12"/>
      <c r="M161" s="12"/>
      <c r="N161" s="23"/>
      <c r="O161" s="23"/>
      <c r="P161" s="23"/>
      <c r="Q161" s="23"/>
      <c r="R161" s="23"/>
      <c r="S161" s="23"/>
      <c r="T161" s="23"/>
      <c r="U161" s="23"/>
      <c r="V161" s="23"/>
      <c r="W161" s="23"/>
      <c r="X161" s="23"/>
      <c r="Y161" s="23"/>
      <c r="Z161" s="23"/>
    </row>
    <row r="162" customFormat="false" ht="15.75" hidden="false" customHeight="true" outlineLevel="0" collapsed="false">
      <c r="A162" s="52" t="n">
        <v>46304</v>
      </c>
      <c r="B162" s="14" t="s">
        <v>463</v>
      </c>
      <c r="C162" s="14" t="str">
        <f aca="false" t="array" ref="C162:C162">IF(B162="","",IFERROR(INDEX('CLM &amp; IM Mapping'!$B$2:$B$270,MATCH(TRIM(B162),'CLM &amp; IM Mapping'!$A$2:$A$270,0)),"Not Mapped"))</f>
        <v>Ashwath S</v>
      </c>
      <c r="D162" s="14" t="str">
        <f aca="false" t="array" ref="D162:D162">IF(B162="","",IFERROR(INDEX('CLM &amp; IM Mapping'!$C$2:$C$270,MATCH(TRIM(B162),'CLM &amp; IM Mapping'!$A$2:$A$270,0)),"Not Mapped"))</f>
        <v>Kantha Kumar</v>
      </c>
      <c r="E162" s="14"/>
      <c r="F162" s="14" t="n">
        <v>510</v>
      </c>
      <c r="G162" s="14"/>
      <c r="H162" s="14" t="n">
        <v>1</v>
      </c>
      <c r="I162" s="14" t="n">
        <v>511</v>
      </c>
      <c r="J162" s="14" t="n">
        <v>0</v>
      </c>
      <c r="K162" s="14" t="n">
        <v>511</v>
      </c>
      <c r="L162" s="12"/>
      <c r="M162" s="12"/>
      <c r="N162" s="23"/>
      <c r="O162" s="23"/>
      <c r="P162" s="23"/>
      <c r="Q162" s="23"/>
      <c r="R162" s="23"/>
      <c r="S162" s="23"/>
      <c r="T162" s="23"/>
      <c r="U162" s="23"/>
      <c r="V162" s="23"/>
      <c r="W162" s="23"/>
      <c r="X162" s="23"/>
      <c r="Y162" s="23"/>
      <c r="Z162" s="23"/>
    </row>
    <row r="163" customFormat="false" ht="15.75" hidden="false" customHeight="true" outlineLevel="0" collapsed="false">
      <c r="A163" s="52" t="n">
        <v>46304</v>
      </c>
      <c r="B163" s="14" t="s">
        <v>505</v>
      </c>
      <c r="C163" s="14" t="str">
        <f aca="false" t="array" ref="C163:C163">IF(B163="","",IFERROR(INDEX('CLM &amp; IM Mapping'!$B$2:$B$270,MATCH(TRIM(B163),'CLM &amp; IM Mapping'!$A$2:$A$270,0)),"Not Mapped"))</f>
        <v>Basil Scariya</v>
      </c>
      <c r="D163" s="14" t="str">
        <f aca="false" t="array" ref="D163:D163">IF(B163="","",IFERROR(INDEX('CLM &amp; IM Mapping'!$C$2:$C$270,MATCH(TRIM(B163),'CLM &amp; IM Mapping'!$A$2:$A$270,0)),"Not Mapped"))</f>
        <v>Prakash BS</v>
      </c>
      <c r="E163" s="14"/>
      <c r="F163" s="14" t="n">
        <v>503</v>
      </c>
      <c r="G163" s="14"/>
      <c r="H163" s="14" t="n">
        <v>1</v>
      </c>
      <c r="I163" s="14" t="n">
        <v>426</v>
      </c>
      <c r="J163" s="14" t="n">
        <v>78</v>
      </c>
      <c r="K163" s="14" t="n">
        <v>504</v>
      </c>
      <c r="L163" s="12" t="s">
        <v>794</v>
      </c>
      <c r="M163" s="12" t="s">
        <v>795</v>
      </c>
      <c r="N163" s="23"/>
      <c r="O163" s="23"/>
      <c r="P163" s="23"/>
      <c r="Q163" s="23"/>
      <c r="R163" s="23"/>
      <c r="S163" s="23"/>
      <c r="T163" s="23"/>
      <c r="U163" s="23"/>
      <c r="V163" s="23"/>
      <c r="W163" s="23"/>
      <c r="X163" s="23"/>
      <c r="Y163" s="23"/>
      <c r="Z163" s="23"/>
    </row>
    <row r="164" customFormat="false" ht="15.75" hidden="false" customHeight="true" outlineLevel="0" collapsed="false">
      <c r="A164" s="52" t="n">
        <v>46304</v>
      </c>
      <c r="B164" s="14" t="s">
        <v>189</v>
      </c>
      <c r="C164" s="14" t="str">
        <f aca="false" t="array" ref="C164:C164">IF(B164="","",IFERROR(INDEX('CLM &amp; IM Mapping'!$B$2:$B$270,MATCH(TRIM(B164),'CLM &amp; IM Mapping'!$A$2:$A$270,0)),"Not Mapped"))</f>
        <v>Girish N</v>
      </c>
      <c r="D164" s="14" t="str">
        <f aca="false" t="array" ref="D164:D164">IF(B164="","",IFERROR(INDEX('CLM &amp; IM Mapping'!$C$2:$C$270,MATCH(TRIM(B164),'CLM &amp; IM Mapping'!$A$2:$A$270,0)),"Not Mapped"))</f>
        <v>Un Mapped</v>
      </c>
      <c r="E164" s="14"/>
      <c r="F164" s="14"/>
      <c r="G164" s="14"/>
      <c r="H164" s="14" t="n">
        <v>499</v>
      </c>
      <c r="I164" s="14" t="n">
        <v>481</v>
      </c>
      <c r="J164" s="14" t="n">
        <v>18</v>
      </c>
      <c r="K164" s="14" t="n">
        <v>499</v>
      </c>
      <c r="L164" s="12"/>
      <c r="M164" s="12"/>
      <c r="N164" s="23"/>
      <c r="O164" s="23"/>
      <c r="P164" s="23"/>
      <c r="Q164" s="23"/>
      <c r="R164" s="23"/>
      <c r="S164" s="23"/>
      <c r="T164" s="23"/>
      <c r="U164" s="23"/>
      <c r="V164" s="23"/>
      <c r="W164" s="23"/>
      <c r="X164" s="23"/>
      <c r="Y164" s="23"/>
      <c r="Z164" s="23"/>
    </row>
    <row r="165" customFormat="false" ht="15.75" hidden="false" customHeight="true" outlineLevel="0" collapsed="false">
      <c r="A165" s="52" t="n">
        <v>46304</v>
      </c>
      <c r="B165" s="14" t="s">
        <v>136</v>
      </c>
      <c r="C165" s="14" t="str">
        <f aca="false" t="array" ref="C165:C165">IF(B165="","",IFERROR(INDEX('CLM &amp; IM Mapping'!$B$2:$B$270,MATCH(TRIM(B165),'CLM &amp; IM Mapping'!$A$2:$A$270,0)),"Not Mapped"))</f>
        <v>Arun Raj</v>
      </c>
      <c r="D165" s="14" t="str">
        <f aca="false" t="array" ref="D165:D165">IF(B165="","",IFERROR(INDEX('CLM &amp; IM Mapping'!$C$2:$C$270,MATCH(TRIM(B165),'CLM &amp; IM Mapping'!$A$2:$A$270,0)),"Not Mapped"))</f>
        <v>Simon Manoharan</v>
      </c>
      <c r="E165" s="14" t="n">
        <v>150</v>
      </c>
      <c r="F165" s="14" t="n">
        <v>300</v>
      </c>
      <c r="G165" s="14"/>
      <c r="H165" s="14" t="n">
        <v>5</v>
      </c>
      <c r="I165" s="14" t="n">
        <v>253</v>
      </c>
      <c r="J165" s="14" t="n">
        <v>202</v>
      </c>
      <c r="K165" s="14" t="n">
        <v>455</v>
      </c>
      <c r="L165" s="12"/>
      <c r="M165" s="12"/>
      <c r="N165" s="23"/>
      <c r="O165" s="23"/>
      <c r="P165" s="23"/>
      <c r="Q165" s="23"/>
      <c r="R165" s="23"/>
      <c r="S165" s="23"/>
      <c r="T165" s="23"/>
      <c r="U165" s="23"/>
      <c r="V165" s="23"/>
      <c r="W165" s="23"/>
      <c r="X165" s="23"/>
      <c r="Y165" s="23"/>
      <c r="Z165" s="23"/>
    </row>
    <row r="166" customFormat="false" ht="15.75" hidden="false" customHeight="true" outlineLevel="0" collapsed="false">
      <c r="A166" s="52" t="n">
        <v>46304</v>
      </c>
      <c r="B166" s="14" t="s">
        <v>461</v>
      </c>
      <c r="C166" s="14" t="str">
        <f aca="false" t="array" ref="C166:C166">IF(B166="","",IFERROR(INDEX('CLM &amp; IM Mapping'!$B$2:$B$270,MATCH(TRIM(B166),'CLM &amp; IM Mapping'!$A$2:$A$270,0)),"Not Mapped"))</f>
        <v>Arun Raj</v>
      </c>
      <c r="D166" s="14" t="str">
        <f aca="false" t="array" ref="D166:D166">IF(B166="","",IFERROR(INDEX('CLM &amp; IM Mapping'!$C$2:$C$270,MATCH(TRIM(B166),'CLM &amp; IM Mapping'!$A$2:$A$270,0)),"Not Mapped"))</f>
        <v>Simon Manoharan</v>
      </c>
      <c r="E166" s="14" t="n">
        <v>150</v>
      </c>
      <c r="F166" s="14" t="n">
        <v>300</v>
      </c>
      <c r="G166" s="14"/>
      <c r="H166" s="14" t="n">
        <v>1</v>
      </c>
      <c r="I166" s="14" t="n">
        <v>151</v>
      </c>
      <c r="J166" s="14" t="n">
        <v>300</v>
      </c>
      <c r="K166" s="14" t="n">
        <v>451</v>
      </c>
      <c r="L166" s="12"/>
      <c r="M166" s="12"/>
      <c r="N166" s="23"/>
      <c r="O166" s="23"/>
      <c r="P166" s="23"/>
      <c r="Q166" s="23"/>
      <c r="R166" s="23"/>
      <c r="S166" s="23"/>
      <c r="T166" s="23"/>
      <c r="U166" s="23"/>
      <c r="V166" s="23"/>
      <c r="W166" s="23"/>
      <c r="X166" s="23"/>
      <c r="Y166" s="23"/>
      <c r="Z166" s="23"/>
    </row>
    <row r="167" customFormat="false" ht="15.75" hidden="false" customHeight="true" outlineLevel="0" collapsed="false">
      <c r="A167" s="52" t="n">
        <v>46304</v>
      </c>
      <c r="B167" s="14" t="s">
        <v>382</v>
      </c>
      <c r="C167" s="14" t="str">
        <f aca="false" t="array" ref="C167:C167">IF(B167="","",IFERROR(INDEX('CLM &amp; IM Mapping'!$B$2:$B$270,MATCH(TRIM(B167),'CLM &amp; IM Mapping'!$A$2:$A$270,0)),"Not Mapped"))</f>
        <v>Arun Raj</v>
      </c>
      <c r="D167" s="14" t="str">
        <f aca="false" t="array" ref="D167:D167">IF(B167="","",IFERROR(INDEX('CLM &amp; IM Mapping'!$C$2:$C$270,MATCH(TRIM(B167),'CLM &amp; IM Mapping'!$A$2:$A$270,0)),"Not Mapped"))</f>
        <v>Simon Manoharan</v>
      </c>
      <c r="E167" s="14" t="n">
        <v>150</v>
      </c>
      <c r="F167" s="14" t="n">
        <v>300</v>
      </c>
      <c r="G167" s="14"/>
      <c r="H167" s="14"/>
      <c r="I167" s="14" t="n">
        <v>450</v>
      </c>
      <c r="J167" s="14" t="n">
        <v>0</v>
      </c>
      <c r="K167" s="14" t="n">
        <v>450</v>
      </c>
      <c r="L167" s="12"/>
      <c r="M167" s="12"/>
      <c r="N167" s="23"/>
      <c r="O167" s="23"/>
      <c r="P167" s="23"/>
      <c r="Q167" s="23"/>
      <c r="R167" s="23"/>
      <c r="S167" s="23"/>
      <c r="T167" s="23"/>
      <c r="U167" s="23"/>
      <c r="V167" s="23"/>
      <c r="W167" s="23"/>
      <c r="X167" s="23"/>
      <c r="Y167" s="23"/>
      <c r="Z167" s="23"/>
    </row>
    <row r="168" customFormat="false" ht="15.75" hidden="false" customHeight="true" outlineLevel="0" collapsed="false">
      <c r="A168" s="52" t="n">
        <v>46304</v>
      </c>
      <c r="B168" s="14" t="s">
        <v>29</v>
      </c>
      <c r="C168" s="14" t="str">
        <f aca="false" t="array" ref="C168:C168">IF(B168="","",IFERROR(INDEX('CLM &amp; IM Mapping'!$B$2:$B$270,MATCH(TRIM(B168),'CLM &amp; IM Mapping'!$A$2:$A$270,0)),"Not Mapped"))</f>
        <v>Arun Raj</v>
      </c>
      <c r="D168" s="14" t="str">
        <f aca="false" t="array" ref="D168:D168">IF(B168="","",IFERROR(INDEX('CLM &amp; IM Mapping'!$C$2:$C$270,MATCH(TRIM(B168),'CLM &amp; IM Mapping'!$A$2:$A$270,0)),"Not Mapped"))</f>
        <v>Simon Manoharan</v>
      </c>
      <c r="E168" s="14" t="n">
        <v>150</v>
      </c>
      <c r="F168" s="14" t="n">
        <v>300</v>
      </c>
      <c r="G168" s="14"/>
      <c r="H168" s="14"/>
      <c r="I168" s="14" t="n">
        <v>450</v>
      </c>
      <c r="J168" s="14" t="n">
        <v>0</v>
      </c>
      <c r="K168" s="14" t="n">
        <v>450</v>
      </c>
      <c r="L168" s="12"/>
      <c r="M168" s="12"/>
      <c r="N168" s="23"/>
      <c r="O168" s="23"/>
      <c r="P168" s="23"/>
      <c r="Q168" s="23"/>
      <c r="R168" s="23"/>
      <c r="S168" s="23"/>
      <c r="T168" s="23"/>
      <c r="U168" s="23"/>
      <c r="V168" s="23"/>
      <c r="W168" s="23"/>
      <c r="X168" s="23"/>
      <c r="Y168" s="23"/>
      <c r="Z168" s="23"/>
    </row>
    <row r="169" customFormat="false" ht="15.75" hidden="false" customHeight="true" outlineLevel="0" collapsed="false">
      <c r="A169" s="52" t="n">
        <v>46304</v>
      </c>
      <c r="B169" s="14" t="s">
        <v>175</v>
      </c>
      <c r="C169" s="14" t="str">
        <f aca="false" t="array" ref="C169:C169">IF(B169="","",IFERROR(INDEX('CLM &amp; IM Mapping'!$B$2:$B$270,MATCH(TRIM(B169),'CLM &amp; IM Mapping'!$A$2:$A$270,0)),"Not Mapped"))</f>
        <v>Arun Raj</v>
      </c>
      <c r="D169" s="14" t="str">
        <f aca="false" t="array" ref="D169:D169">IF(B169="","",IFERROR(INDEX('CLM &amp; IM Mapping'!$C$2:$C$270,MATCH(TRIM(B169),'CLM &amp; IM Mapping'!$A$2:$A$270,0)),"Not Mapped"))</f>
        <v>Simon Manoharan</v>
      </c>
      <c r="E169" s="14" t="n">
        <v>150</v>
      </c>
      <c r="F169" s="14" t="n">
        <v>299</v>
      </c>
      <c r="G169" s="14"/>
      <c r="H169" s="14"/>
      <c r="I169" s="14" t="n">
        <v>449</v>
      </c>
      <c r="J169" s="14" t="n">
        <v>0</v>
      </c>
      <c r="K169" s="14" t="n">
        <v>449</v>
      </c>
      <c r="L169" s="12"/>
      <c r="M169" s="12"/>
      <c r="N169" s="23"/>
      <c r="O169" s="23"/>
      <c r="P169" s="23"/>
      <c r="Q169" s="23"/>
      <c r="R169" s="23"/>
      <c r="S169" s="23"/>
      <c r="T169" s="23"/>
      <c r="U169" s="23"/>
      <c r="V169" s="23"/>
      <c r="W169" s="23"/>
      <c r="X169" s="23"/>
      <c r="Y169" s="23"/>
      <c r="Z169" s="23"/>
    </row>
    <row r="170" customFormat="false" ht="15.75" hidden="false" customHeight="true" outlineLevel="0" collapsed="false">
      <c r="A170" s="52" t="n">
        <v>46304</v>
      </c>
      <c r="B170" s="14" t="s">
        <v>229</v>
      </c>
      <c r="C170" s="14" t="str">
        <f aca="false" t="array" ref="C170:C170">IF(B170="","",IFERROR(INDEX('CLM &amp; IM Mapping'!$B$2:$B$270,MATCH(TRIM(B170),'CLM &amp; IM Mapping'!$A$2:$A$270,0)),"Not Mapped"))</f>
        <v>Arun Raj</v>
      </c>
      <c r="D170" s="14" t="str">
        <f aca="false" t="array" ref="D170:D170">IF(B170="","",IFERROR(INDEX('CLM &amp; IM Mapping'!$C$2:$C$270,MATCH(TRIM(B170),'CLM &amp; IM Mapping'!$A$2:$A$270,0)),"Not Mapped"))</f>
        <v>Simon Manoharan</v>
      </c>
      <c r="E170" s="14" t="n">
        <v>150</v>
      </c>
      <c r="F170" s="14" t="n">
        <v>299</v>
      </c>
      <c r="G170" s="14"/>
      <c r="H170" s="14"/>
      <c r="I170" s="14" t="n">
        <v>449</v>
      </c>
      <c r="J170" s="14" t="n">
        <v>0</v>
      </c>
      <c r="K170" s="14" t="n">
        <v>449</v>
      </c>
      <c r="L170" s="12"/>
      <c r="M170" s="12"/>
      <c r="N170" s="23"/>
      <c r="O170" s="23"/>
      <c r="P170" s="23"/>
      <c r="Q170" s="23"/>
      <c r="R170" s="23"/>
      <c r="S170" s="23"/>
      <c r="T170" s="23"/>
      <c r="U170" s="23"/>
      <c r="V170" s="23"/>
      <c r="W170" s="23"/>
      <c r="X170" s="23"/>
      <c r="Y170" s="23"/>
      <c r="Z170" s="23"/>
    </row>
    <row r="171" customFormat="false" ht="15.75" hidden="false" customHeight="true" outlineLevel="0" collapsed="false">
      <c r="A171" s="52" t="n">
        <v>46304</v>
      </c>
      <c r="B171" s="14" t="s">
        <v>224</v>
      </c>
      <c r="C171" s="14" t="str">
        <f aca="false" t="array" ref="C171:C171">IF(B171="","",IFERROR(INDEX('CLM &amp; IM Mapping'!$B$2:$B$270,MATCH(TRIM(B171),'CLM &amp; IM Mapping'!$A$2:$A$270,0)),"Not Mapped"))</f>
        <v>Vishnu V</v>
      </c>
      <c r="D171" s="14" t="str">
        <f aca="false" t="array" ref="D171:D171">IF(B171="","",IFERROR(INDEX('CLM &amp; IM Mapping'!$C$2:$C$270,MATCH(TRIM(B171),'CLM &amp; IM Mapping'!$A$2:$A$270,0)),"Not Mapped"))</f>
        <v>Arivind S</v>
      </c>
      <c r="E171" s="14" t="n">
        <v>147</v>
      </c>
      <c r="F171" s="14" t="n">
        <v>300</v>
      </c>
      <c r="G171" s="14"/>
      <c r="H171" s="14"/>
      <c r="I171" s="14" t="n">
        <v>447</v>
      </c>
      <c r="J171" s="14" t="n">
        <v>0</v>
      </c>
      <c r="K171" s="14" t="n">
        <v>447</v>
      </c>
      <c r="L171" s="12" t="s">
        <v>797</v>
      </c>
      <c r="M171" s="12"/>
      <c r="N171" s="23"/>
      <c r="O171" s="23"/>
      <c r="P171" s="23"/>
      <c r="Q171" s="23"/>
      <c r="R171" s="23"/>
      <c r="S171" s="23"/>
      <c r="T171" s="23"/>
      <c r="U171" s="23"/>
      <c r="V171" s="23"/>
      <c r="W171" s="23"/>
      <c r="X171" s="23"/>
      <c r="Y171" s="23"/>
      <c r="Z171" s="23"/>
    </row>
    <row r="172" customFormat="false" ht="15.75" hidden="false" customHeight="true" outlineLevel="0" collapsed="false">
      <c r="A172" s="52" t="n">
        <v>46304</v>
      </c>
      <c r="B172" s="14" t="s">
        <v>219</v>
      </c>
      <c r="C172" s="14" t="str">
        <f aca="false" t="array" ref="C172:C172">IF(B172="","",IFERROR(INDEX('CLM &amp; IM Mapping'!$B$2:$B$270,MATCH(TRIM(B172),'CLM &amp; IM Mapping'!$A$2:$A$270,0)),"Not Mapped"))</f>
        <v>Arun Raj</v>
      </c>
      <c r="D172" s="14" t="str">
        <f aca="false" t="array" ref="D172:D172">IF(B172="","",IFERROR(INDEX('CLM &amp; IM Mapping'!$C$2:$C$270,MATCH(TRIM(B172),'CLM &amp; IM Mapping'!$A$2:$A$270,0)),"Not Mapped"))</f>
        <v>Simon Manoharan</v>
      </c>
      <c r="E172" s="14" t="n">
        <v>138</v>
      </c>
      <c r="F172" s="14" t="n">
        <v>299</v>
      </c>
      <c r="G172" s="14"/>
      <c r="H172" s="14"/>
      <c r="I172" s="14" t="n">
        <v>437</v>
      </c>
      <c r="J172" s="14" t="n">
        <v>0</v>
      </c>
      <c r="K172" s="14" t="n">
        <v>437</v>
      </c>
      <c r="L172" s="12"/>
      <c r="M172" s="12"/>
      <c r="N172" s="23"/>
      <c r="O172" s="23"/>
      <c r="P172" s="23"/>
      <c r="Q172" s="23"/>
      <c r="R172" s="23"/>
      <c r="S172" s="23"/>
      <c r="T172" s="23"/>
      <c r="U172" s="23"/>
      <c r="V172" s="23"/>
      <c r="W172" s="23"/>
      <c r="X172" s="23"/>
      <c r="Y172" s="23"/>
      <c r="Z172" s="23"/>
    </row>
    <row r="173" customFormat="false" ht="15.75" hidden="false" customHeight="true" outlineLevel="0" collapsed="false">
      <c r="A173" s="52" t="n">
        <v>46304</v>
      </c>
      <c r="B173" s="14" t="s">
        <v>500</v>
      </c>
      <c r="C173" s="14" t="str">
        <f aca="false" t="array" ref="C173:C173">IF(B173="","",IFERROR(INDEX('CLM &amp; IM Mapping'!$B$2:$B$270,MATCH(TRIM(B173),'CLM &amp; IM Mapping'!$A$2:$A$270,0)),"Not Mapped"))</f>
        <v>Ravishankar gowda</v>
      </c>
      <c r="D173" s="14" t="str">
        <f aca="false" t="array" ref="D173:D173">IF(B173="","",IFERROR(INDEX('CLM &amp; IM Mapping'!$C$2:$C$270,MATCH(TRIM(B173),'CLM &amp; IM Mapping'!$A$2:$A$270,0)),"Not Mapped"))</f>
        <v>Kishor K</v>
      </c>
      <c r="E173" s="14"/>
      <c r="F173" s="14" t="n">
        <v>433</v>
      </c>
      <c r="G173" s="14"/>
      <c r="H173" s="14"/>
      <c r="I173" s="14" t="n">
        <v>433</v>
      </c>
      <c r="J173" s="14" t="n">
        <v>0</v>
      </c>
      <c r="K173" s="14" t="n">
        <v>433</v>
      </c>
      <c r="L173" s="12" t="s">
        <v>796</v>
      </c>
      <c r="M173" s="12"/>
      <c r="N173" s="23"/>
      <c r="O173" s="23"/>
      <c r="P173" s="23"/>
      <c r="Q173" s="23"/>
      <c r="R173" s="23"/>
      <c r="S173" s="23"/>
      <c r="T173" s="23"/>
      <c r="U173" s="23"/>
      <c r="V173" s="23"/>
      <c r="W173" s="23"/>
      <c r="X173" s="23"/>
      <c r="Y173" s="23"/>
      <c r="Z173" s="23"/>
    </row>
    <row r="174" customFormat="false" ht="15.75" hidden="false" customHeight="true" outlineLevel="0" collapsed="false">
      <c r="A174" s="52" t="n">
        <v>46304</v>
      </c>
      <c r="B174" s="14" t="s">
        <v>404</v>
      </c>
      <c r="C174" s="14" t="str">
        <f aca="false" t="array" ref="C174:C174">IF(B174="","",IFERROR(INDEX('CLM &amp; IM Mapping'!$B$2:$B$270,MATCH(TRIM(B174),'CLM &amp; IM Mapping'!$A$2:$A$270,0)),"Not Mapped"))</f>
        <v>Arun Raj</v>
      </c>
      <c r="D174" s="14" t="str">
        <f aca="false" t="array" ref="D174:D174">IF(B174="","",IFERROR(INDEX('CLM &amp; IM Mapping'!$C$2:$C$270,MATCH(TRIM(B174),'CLM &amp; IM Mapping'!$A$2:$A$270,0)),"Not Mapped"))</f>
        <v>Simon Manoharan</v>
      </c>
      <c r="E174" s="14" t="n">
        <v>146</v>
      </c>
      <c r="F174" s="14" t="n">
        <v>249</v>
      </c>
      <c r="G174" s="14"/>
      <c r="H174" s="14" t="n">
        <v>8</v>
      </c>
      <c r="I174" s="14" t="n">
        <v>282</v>
      </c>
      <c r="J174" s="14" t="n">
        <v>121</v>
      </c>
      <c r="K174" s="14" t="n">
        <v>403</v>
      </c>
      <c r="L174" s="12"/>
      <c r="M174" s="12"/>
      <c r="N174" s="23"/>
      <c r="O174" s="23"/>
      <c r="P174" s="23"/>
      <c r="Q174" s="23"/>
      <c r="R174" s="23"/>
      <c r="S174" s="23"/>
      <c r="T174" s="23"/>
      <c r="U174" s="23"/>
      <c r="V174" s="23"/>
      <c r="W174" s="23"/>
      <c r="X174" s="23"/>
      <c r="Y174" s="23"/>
      <c r="Z174" s="23"/>
    </row>
    <row r="175" customFormat="false" ht="15.75" hidden="false" customHeight="true" outlineLevel="0" collapsed="false">
      <c r="A175" s="52" t="n">
        <v>46304</v>
      </c>
      <c r="B175" s="14" t="s">
        <v>288</v>
      </c>
      <c r="C175" s="14" t="str">
        <f aca="false" t="array" ref="C175:C175">IF(B175="","",IFERROR(INDEX('CLM &amp; IM Mapping'!$B$2:$B$270,MATCH(TRIM(B175),'CLM &amp; IM Mapping'!$A$2:$A$270,0)),"Not Mapped"))</f>
        <v>Arun Raj</v>
      </c>
      <c r="D175" s="14" t="str">
        <f aca="false" t="array" ref="D175:D175">IF(B175="","",IFERROR(INDEX('CLM &amp; IM Mapping'!$C$2:$C$270,MATCH(TRIM(B175),'CLM &amp; IM Mapping'!$A$2:$A$270,0)),"Not Mapped"))</f>
        <v>Simon Manoharan</v>
      </c>
      <c r="E175" s="14" t="n">
        <v>150</v>
      </c>
      <c r="F175" s="14" t="n">
        <v>215</v>
      </c>
      <c r="G175" s="14"/>
      <c r="H175" s="14" t="n">
        <v>4</v>
      </c>
      <c r="I175" s="14" t="n">
        <v>300</v>
      </c>
      <c r="J175" s="14" t="n">
        <v>69</v>
      </c>
      <c r="K175" s="14" t="n">
        <v>369</v>
      </c>
      <c r="L175" s="12"/>
      <c r="M175" s="12"/>
      <c r="N175" s="23"/>
      <c r="O175" s="23"/>
      <c r="P175" s="23"/>
      <c r="Q175" s="23"/>
      <c r="R175" s="23"/>
      <c r="S175" s="23"/>
      <c r="T175" s="23"/>
      <c r="U175" s="23"/>
      <c r="V175" s="23"/>
      <c r="W175" s="23"/>
      <c r="X175" s="23"/>
      <c r="Y175" s="23"/>
      <c r="Z175" s="23"/>
    </row>
    <row r="176" customFormat="false" ht="15.75" hidden="false" customHeight="true" outlineLevel="0" collapsed="false">
      <c r="A176" s="52" t="n">
        <v>46304</v>
      </c>
      <c r="B176" s="14" t="s">
        <v>248</v>
      </c>
      <c r="C176" s="14" t="str">
        <f aca="false" t="array" ref="C176:C176">IF(B176="","",IFERROR(INDEX('CLM &amp; IM Mapping'!$B$2:$B$270,MATCH(TRIM(B176),'CLM &amp; IM Mapping'!$A$2:$A$270,0)),"Not Mapped"))</f>
        <v>Arun Raj</v>
      </c>
      <c r="D176" s="14" t="str">
        <f aca="false" t="array" ref="D176:D176">IF(B176="","",IFERROR(INDEX('CLM &amp; IM Mapping'!$C$2:$C$270,MATCH(TRIM(B176),'CLM &amp; IM Mapping'!$A$2:$A$270,0)),"Not Mapped"))</f>
        <v>Simon Manoharan</v>
      </c>
      <c r="E176" s="14" t="n">
        <v>146</v>
      </c>
      <c r="F176" s="14" t="n">
        <v>191</v>
      </c>
      <c r="G176" s="14"/>
      <c r="H176" s="14"/>
      <c r="I176" s="14" t="n">
        <v>337</v>
      </c>
      <c r="J176" s="14" t="n">
        <v>0</v>
      </c>
      <c r="K176" s="14" t="n">
        <v>337</v>
      </c>
      <c r="L176" s="12"/>
      <c r="M176" s="12"/>
      <c r="N176" s="23"/>
      <c r="O176" s="23"/>
      <c r="P176" s="23"/>
      <c r="Q176" s="23"/>
      <c r="R176" s="23"/>
      <c r="S176" s="23"/>
      <c r="T176" s="23"/>
      <c r="U176" s="23"/>
      <c r="V176" s="23"/>
      <c r="W176" s="23"/>
      <c r="X176" s="23"/>
      <c r="Y176" s="23"/>
      <c r="Z176" s="23"/>
    </row>
    <row r="177" customFormat="false" ht="15.75" hidden="false" customHeight="true" outlineLevel="0" collapsed="false">
      <c r="A177" s="52" t="n">
        <v>46304</v>
      </c>
      <c r="B177" s="14" t="s">
        <v>413</v>
      </c>
      <c r="C177" s="14" t="str">
        <f aca="false" t="array" ref="C177:C177">IF(B177="","",IFERROR(INDEX('CLM &amp; IM Mapping'!$B$2:$B$270,MATCH(TRIM(B177),'CLM &amp; IM Mapping'!$A$2:$A$270,0)),"Not Mapped"))</f>
        <v>Arun Raj</v>
      </c>
      <c r="D177" s="14" t="str">
        <f aca="false" t="array" ref="D177:D177">IF(B177="","",IFERROR(INDEX('CLM &amp; IM Mapping'!$C$2:$C$270,MATCH(TRIM(B177),'CLM &amp; IM Mapping'!$A$2:$A$270,0)),"Not Mapped"))</f>
        <v>Simon Manoharan</v>
      </c>
      <c r="E177" s="14" t="n">
        <v>17</v>
      </c>
      <c r="F177" s="14" t="n">
        <v>299</v>
      </c>
      <c r="G177" s="14"/>
      <c r="H177" s="14"/>
      <c r="I177" s="14" t="n">
        <v>0</v>
      </c>
      <c r="J177" s="14" t="n">
        <v>316</v>
      </c>
      <c r="K177" s="14" t="n">
        <v>316</v>
      </c>
      <c r="L177" s="12"/>
      <c r="M177" s="12"/>
      <c r="N177" s="23"/>
      <c r="O177" s="23"/>
      <c r="P177" s="23"/>
      <c r="Q177" s="23"/>
      <c r="R177" s="23"/>
      <c r="S177" s="23"/>
      <c r="T177" s="23"/>
      <c r="U177" s="23"/>
      <c r="V177" s="23"/>
      <c r="W177" s="23"/>
      <c r="X177" s="23"/>
      <c r="Y177" s="23"/>
      <c r="Z177" s="23"/>
    </row>
    <row r="178" customFormat="false" ht="15.75" hidden="false" customHeight="true" outlineLevel="0" collapsed="false">
      <c r="A178" s="52" t="n">
        <v>46304</v>
      </c>
      <c r="B178" s="14" t="s">
        <v>271</v>
      </c>
      <c r="C178" s="14" t="str">
        <f aca="false" t="array" ref="C178:C178">IF(B178="","",IFERROR(INDEX('CLM &amp; IM Mapping'!$B$2:$B$270,MATCH(TRIM(B178),'CLM &amp; IM Mapping'!$A$2:$A$270,0)),"Not Mapped"))</f>
        <v>Rizwan Ahmed</v>
      </c>
      <c r="D178" s="14" t="str">
        <f aca="false" t="array" ref="D178:D178">IF(B178="","",IFERROR(INDEX('CLM &amp; IM Mapping'!$C$2:$C$270,MATCH(TRIM(B178),'CLM &amp; IM Mapping'!$A$2:$A$270,0)),"Not Mapped"))</f>
        <v>Prakash BS</v>
      </c>
      <c r="E178" s="14"/>
      <c r="F178" s="14"/>
      <c r="G178" s="14"/>
      <c r="H178" s="14" t="n">
        <v>303</v>
      </c>
      <c r="I178" s="14" t="n">
        <v>303</v>
      </c>
      <c r="J178" s="14" t="n">
        <v>0</v>
      </c>
      <c r="K178" s="14" t="n">
        <v>303</v>
      </c>
      <c r="L178" s="12" t="s">
        <v>798</v>
      </c>
      <c r="M178" s="12" t="s">
        <v>795</v>
      </c>
      <c r="N178" s="23"/>
      <c r="O178" s="23"/>
      <c r="P178" s="23"/>
      <c r="Q178" s="23"/>
      <c r="R178" s="23"/>
      <c r="S178" s="23"/>
      <c r="T178" s="23"/>
      <c r="U178" s="23"/>
      <c r="V178" s="23"/>
      <c r="W178" s="23"/>
      <c r="X178" s="23"/>
      <c r="Y178" s="23"/>
      <c r="Z178" s="23"/>
    </row>
    <row r="179" customFormat="false" ht="15.75" hidden="false" customHeight="true" outlineLevel="0" collapsed="false">
      <c r="A179" s="52" t="n">
        <v>46304</v>
      </c>
      <c r="B179" s="14" t="s">
        <v>153</v>
      </c>
      <c r="C179" s="14" t="str">
        <f aca="false" t="array" ref="C179:C179">IF(B179="","",IFERROR(INDEX('CLM &amp; IM Mapping'!$B$2:$B$270,MATCH(TRIM(B179),'CLM &amp; IM Mapping'!$A$2:$A$270,0)),"Not Mapped"))</f>
        <v>Ashwath S</v>
      </c>
      <c r="D179" s="14" t="str">
        <f aca="false" t="array" ref="D179:D179">IF(B179="","",IFERROR(INDEX('CLM &amp; IM Mapping'!$C$2:$C$270,MATCH(TRIM(B179),'CLM &amp; IM Mapping'!$A$2:$A$270,0)),"Not Mapped"))</f>
        <v>Kantha Kumar</v>
      </c>
      <c r="E179" s="14"/>
      <c r="F179" s="14"/>
      <c r="G179" s="14"/>
      <c r="H179" s="14" t="n">
        <v>277</v>
      </c>
      <c r="I179" s="14" t="n">
        <v>277</v>
      </c>
      <c r="J179" s="14" t="n">
        <v>0</v>
      </c>
      <c r="K179" s="14" t="n">
        <v>277</v>
      </c>
      <c r="L179" s="12"/>
      <c r="M179" s="12"/>
      <c r="N179" s="23"/>
      <c r="O179" s="23"/>
      <c r="P179" s="23"/>
      <c r="Q179" s="23"/>
      <c r="R179" s="23"/>
      <c r="S179" s="23"/>
      <c r="T179" s="23"/>
      <c r="U179" s="23"/>
      <c r="V179" s="23"/>
      <c r="W179" s="23"/>
      <c r="X179" s="23"/>
      <c r="Y179" s="23"/>
      <c r="Z179" s="23"/>
    </row>
    <row r="180" customFormat="false" ht="15.75" hidden="false" customHeight="true" outlineLevel="0" collapsed="false">
      <c r="A180" s="52" t="n">
        <v>46304</v>
      </c>
      <c r="B180" s="14" t="s">
        <v>272</v>
      </c>
      <c r="C180" s="14" t="str">
        <f aca="false" t="array" ref="C180:C180">IF(B180="","",IFERROR(INDEX('CLM &amp; IM Mapping'!$B$2:$B$270,MATCH(TRIM(B180),'CLM &amp; IM Mapping'!$A$2:$A$270,0)),"Not Mapped"))</f>
        <v>Arun Raj</v>
      </c>
      <c r="D180" s="14" t="str">
        <f aca="false" t="array" ref="D180:D180">IF(B180="","",IFERROR(INDEX('CLM &amp; IM Mapping'!$C$2:$C$270,MATCH(TRIM(B180),'CLM &amp; IM Mapping'!$A$2:$A$270,0)),"Not Mapped"))</f>
        <v>Simon Manoharan</v>
      </c>
      <c r="E180" s="14" t="n">
        <v>148</v>
      </c>
      <c r="F180" s="14" t="n">
        <v>104</v>
      </c>
      <c r="G180" s="14"/>
      <c r="H180" s="14"/>
      <c r="I180" s="14" t="n">
        <v>148</v>
      </c>
      <c r="J180" s="14" t="n">
        <v>104</v>
      </c>
      <c r="K180" s="14" t="n">
        <v>252</v>
      </c>
      <c r="L180" s="12"/>
      <c r="M180" s="12"/>
      <c r="N180" s="23"/>
      <c r="O180" s="23"/>
      <c r="P180" s="23"/>
      <c r="Q180" s="23"/>
      <c r="R180" s="23"/>
      <c r="S180" s="23"/>
      <c r="T180" s="23"/>
      <c r="U180" s="23"/>
      <c r="V180" s="23"/>
      <c r="W180" s="23"/>
      <c r="X180" s="23"/>
      <c r="Y180" s="23"/>
      <c r="Z180" s="23"/>
    </row>
    <row r="181" customFormat="false" ht="15.75" hidden="false" customHeight="true" outlineLevel="0" collapsed="false">
      <c r="A181" s="52" t="n">
        <v>46304</v>
      </c>
      <c r="B181" s="14" t="s">
        <v>144</v>
      </c>
      <c r="C181" s="14" t="str">
        <f aca="false" t="array" ref="C181:C181">IF(B181="","",IFERROR(INDEX('CLM &amp; IM Mapping'!$B$2:$B$270,MATCH(TRIM(B181),'CLM &amp; IM Mapping'!$A$2:$A$270,0)),"Not Mapped"))</f>
        <v>Mohaideen DH</v>
      </c>
      <c r="D181" s="14" t="str">
        <f aca="false" t="array" ref="D181:D181">IF(B181="","",IFERROR(INDEX('CLM &amp; IM Mapping'!$C$2:$C$270,MATCH(TRIM(B181),'CLM &amp; IM Mapping'!$A$2:$A$270,0)),"Not Mapped"))</f>
        <v>Mohammed Akbar</v>
      </c>
      <c r="E181" s="14"/>
      <c r="F181" s="14"/>
      <c r="G181" s="14"/>
      <c r="H181" s="14" t="n">
        <v>223</v>
      </c>
      <c r="I181" s="14" t="n">
        <v>222</v>
      </c>
      <c r="J181" s="14" t="n">
        <v>1</v>
      </c>
      <c r="K181" s="14" t="n">
        <v>223</v>
      </c>
      <c r="L181" s="12"/>
      <c r="M181" s="12"/>
      <c r="N181" s="23"/>
      <c r="O181" s="23"/>
      <c r="P181" s="23"/>
      <c r="Q181" s="23"/>
      <c r="R181" s="23"/>
      <c r="S181" s="23"/>
      <c r="T181" s="23"/>
      <c r="U181" s="23"/>
      <c r="V181" s="23"/>
      <c r="W181" s="23"/>
      <c r="X181" s="23"/>
      <c r="Y181" s="23"/>
      <c r="Z181" s="23"/>
    </row>
    <row r="182" customFormat="false" ht="15.75" hidden="false" customHeight="true" outlineLevel="0" collapsed="false">
      <c r="A182" s="52" t="n">
        <v>46304</v>
      </c>
      <c r="B182" s="14" t="s">
        <v>205</v>
      </c>
      <c r="C182" s="14" t="str">
        <f aca="false" t="array" ref="C182:C182">IF(B182="","",IFERROR(INDEX('CLM &amp; IM Mapping'!$B$2:$B$270,MATCH(TRIM(B182),'CLM &amp; IM Mapping'!$A$2:$A$270,0)),"Not Mapped"))</f>
        <v>Akshay P</v>
      </c>
      <c r="D182" s="14" t="str">
        <f aca="false" t="array" ref="D182:D182">IF(B182="","",IFERROR(INDEX('CLM &amp; IM Mapping'!$C$2:$C$270,MATCH(TRIM(B182),'CLM &amp; IM Mapping'!$A$2:$A$270,0)),"Not Mapped"))</f>
        <v>Srittam Dhal</v>
      </c>
      <c r="E182" s="14"/>
      <c r="F182" s="14"/>
      <c r="G182" s="14"/>
      <c r="H182" s="14" t="n">
        <v>207</v>
      </c>
      <c r="I182" s="14" t="n">
        <v>192</v>
      </c>
      <c r="J182" s="14" t="n">
        <v>15</v>
      </c>
      <c r="K182" s="14" t="n">
        <v>207</v>
      </c>
      <c r="L182" s="12"/>
      <c r="M182" s="12"/>
      <c r="N182" s="23"/>
      <c r="O182" s="23"/>
      <c r="P182" s="23"/>
      <c r="Q182" s="23"/>
      <c r="R182" s="23"/>
      <c r="S182" s="23"/>
      <c r="T182" s="23"/>
      <c r="U182" s="23"/>
      <c r="V182" s="23"/>
      <c r="W182" s="23"/>
      <c r="X182" s="23"/>
      <c r="Y182" s="23"/>
      <c r="Z182" s="23"/>
    </row>
    <row r="183" customFormat="false" ht="15.75" hidden="false" customHeight="true" outlineLevel="0" collapsed="false">
      <c r="A183" s="52" t="n">
        <v>46304</v>
      </c>
      <c r="B183" s="14" t="s">
        <v>24</v>
      </c>
      <c r="C183" s="14" t="str">
        <f aca="false" t="array" ref="C183:C183">IF(B183="","",IFERROR(INDEX('CLM &amp; IM Mapping'!$B$2:$B$270,MATCH(TRIM(B183),'CLM &amp; IM Mapping'!$A$2:$A$270,0)),"Not Mapped"))</f>
        <v>Arun Raj</v>
      </c>
      <c r="D183" s="14" t="str">
        <f aca="false" t="array" ref="D183:D183">IF(B183="","",IFERROR(INDEX('CLM &amp; IM Mapping'!$C$2:$C$270,MATCH(TRIM(B183),'CLM &amp; IM Mapping'!$A$2:$A$270,0)),"Not Mapped"))</f>
        <v>Simon Manoharan</v>
      </c>
      <c r="E183" s="14" t="n">
        <v>150</v>
      </c>
      <c r="F183" s="14"/>
      <c r="G183" s="14"/>
      <c r="H183" s="14" t="n">
        <v>4</v>
      </c>
      <c r="I183" s="14" t="n">
        <v>154</v>
      </c>
      <c r="J183" s="14" t="n">
        <v>0</v>
      </c>
      <c r="K183" s="14" t="n">
        <v>154</v>
      </c>
      <c r="L183" s="12"/>
      <c r="M183" s="12"/>
      <c r="N183" s="23"/>
      <c r="O183" s="23"/>
      <c r="P183" s="23"/>
      <c r="Q183" s="23"/>
      <c r="R183" s="23"/>
      <c r="S183" s="23"/>
      <c r="T183" s="23"/>
      <c r="U183" s="23"/>
      <c r="V183" s="23"/>
      <c r="W183" s="23"/>
      <c r="X183" s="23"/>
      <c r="Y183" s="23"/>
      <c r="Z183" s="23"/>
    </row>
    <row r="184" customFormat="false" ht="15.75" hidden="false" customHeight="true" outlineLevel="0" collapsed="false">
      <c r="A184" s="52" t="n">
        <v>46304</v>
      </c>
      <c r="B184" s="14" t="s">
        <v>490</v>
      </c>
      <c r="C184" s="14" t="str">
        <f aca="false" t="array" ref="C184:C184">IF(B184="","",IFERROR(INDEX('CLM &amp; IM Mapping'!$B$2:$B$270,MATCH(TRIM(B184),'CLM &amp; IM Mapping'!$A$2:$A$270,0)),"Not Mapped"))</f>
        <v>Arun Raj</v>
      </c>
      <c r="D184" s="14" t="str">
        <f aca="false" t="array" ref="D184:D184">IF(B184="","",IFERROR(INDEX('CLM &amp; IM Mapping'!$C$2:$C$270,MATCH(TRIM(B184),'CLM &amp; IM Mapping'!$A$2:$A$270,0)),"Not Mapped"))</f>
        <v>Simon Manoharan</v>
      </c>
      <c r="E184" s="14" t="n">
        <v>150</v>
      </c>
      <c r="F184" s="14"/>
      <c r="G184" s="14"/>
      <c r="H184" s="14"/>
      <c r="I184" s="14" t="n">
        <v>150</v>
      </c>
      <c r="J184" s="14" t="n">
        <v>0</v>
      </c>
      <c r="K184" s="14" t="n">
        <v>150</v>
      </c>
      <c r="L184" s="12"/>
      <c r="M184" s="12"/>
      <c r="N184" s="23"/>
      <c r="O184" s="23"/>
      <c r="P184" s="23"/>
      <c r="Q184" s="23"/>
      <c r="R184" s="23"/>
      <c r="S184" s="23"/>
      <c r="T184" s="23"/>
      <c r="U184" s="23"/>
      <c r="V184" s="23"/>
      <c r="W184" s="23"/>
      <c r="X184" s="23"/>
      <c r="Y184" s="23"/>
      <c r="Z184" s="23"/>
    </row>
    <row r="185" customFormat="false" ht="15.75" hidden="false" customHeight="true" outlineLevel="0" collapsed="false">
      <c r="A185" s="52" t="n">
        <v>46304</v>
      </c>
      <c r="B185" s="14" t="s">
        <v>494</v>
      </c>
      <c r="C185" s="14" t="str">
        <f aca="false" t="array" ref="C185:C185">IF(B185="","",IFERROR(INDEX('CLM &amp; IM Mapping'!$B$2:$B$270,MATCH(TRIM(B185),'CLM &amp; IM Mapping'!$A$2:$A$270,0)),"Not Mapped"))</f>
        <v>Arun Raj</v>
      </c>
      <c r="D185" s="14" t="str">
        <f aca="false" t="array" ref="D185:D185">IF(B185="","",IFERROR(INDEX('CLM &amp; IM Mapping'!$C$2:$C$270,MATCH(TRIM(B185),'CLM &amp; IM Mapping'!$A$2:$A$270,0)),"Not Mapped"))</f>
        <v>Simon Manoharan</v>
      </c>
      <c r="E185" s="14" t="n">
        <v>150</v>
      </c>
      <c r="F185" s="14"/>
      <c r="G185" s="14"/>
      <c r="H185" s="14"/>
      <c r="I185" s="14" t="n">
        <v>150</v>
      </c>
      <c r="J185" s="14" t="n">
        <v>0</v>
      </c>
      <c r="K185" s="14" t="n">
        <v>150</v>
      </c>
      <c r="L185" s="12"/>
      <c r="M185" s="12"/>
      <c r="N185" s="23"/>
      <c r="O185" s="23"/>
      <c r="P185" s="23"/>
      <c r="Q185" s="23"/>
      <c r="R185" s="23"/>
      <c r="S185" s="23"/>
      <c r="T185" s="23"/>
      <c r="U185" s="23"/>
      <c r="V185" s="23"/>
      <c r="W185" s="23"/>
      <c r="X185" s="23"/>
      <c r="Y185" s="23"/>
      <c r="Z185" s="23"/>
    </row>
    <row r="186" customFormat="false" ht="15.75" hidden="false" customHeight="true" outlineLevel="0" collapsed="false">
      <c r="A186" s="52" t="n">
        <v>46304</v>
      </c>
      <c r="B186" s="14" t="s">
        <v>386</v>
      </c>
      <c r="C186" s="14" t="str">
        <f aca="false" t="array" ref="C186:C186">IF(B186="","",IFERROR(INDEX('CLM &amp; IM Mapping'!$B$2:$B$270,MATCH(TRIM(B186),'CLM &amp; IM Mapping'!$A$2:$A$270,0)),"Not Mapped"))</f>
        <v>Arun Raj</v>
      </c>
      <c r="D186" s="14" t="str">
        <f aca="false" t="array" ref="D186:D186">IF(B186="","",IFERROR(INDEX('CLM &amp; IM Mapping'!$C$2:$C$270,MATCH(TRIM(B186),'CLM &amp; IM Mapping'!$A$2:$A$270,0)),"Not Mapped"))</f>
        <v>Simon Manoharan</v>
      </c>
      <c r="E186" s="14" t="n">
        <v>150</v>
      </c>
      <c r="F186" s="14"/>
      <c r="G186" s="14"/>
      <c r="H186" s="14"/>
      <c r="I186" s="14" t="n">
        <v>150</v>
      </c>
      <c r="J186" s="14" t="n">
        <v>0</v>
      </c>
      <c r="K186" s="14" t="n">
        <v>150</v>
      </c>
      <c r="L186" s="12"/>
      <c r="M186" s="12"/>
      <c r="N186" s="23"/>
      <c r="O186" s="23"/>
      <c r="P186" s="23"/>
      <c r="Q186" s="23"/>
      <c r="R186" s="23"/>
      <c r="S186" s="23"/>
      <c r="T186" s="23"/>
      <c r="U186" s="23"/>
      <c r="V186" s="23"/>
      <c r="W186" s="23"/>
      <c r="X186" s="23"/>
      <c r="Y186" s="23"/>
      <c r="Z186" s="23"/>
    </row>
    <row r="187" customFormat="false" ht="15.75" hidden="false" customHeight="true" outlineLevel="0" collapsed="false">
      <c r="A187" s="52" t="n">
        <v>46304</v>
      </c>
      <c r="B187" s="14" t="s">
        <v>348</v>
      </c>
      <c r="C187" s="14" t="str">
        <f aca="false" t="array" ref="C187:C187">IF(B187="","",IFERROR(INDEX('CLM &amp; IM Mapping'!$B$2:$B$270,MATCH(TRIM(B187),'CLM &amp; IM Mapping'!$A$2:$A$270,0)),"Not Mapped"))</f>
        <v>Arun Raj</v>
      </c>
      <c r="D187" s="14" t="str">
        <f aca="false" t="array" ref="D187:D187">IF(B187="","",IFERROR(INDEX('CLM &amp; IM Mapping'!$C$2:$C$270,MATCH(TRIM(B187),'CLM &amp; IM Mapping'!$A$2:$A$270,0)),"Not Mapped"))</f>
        <v>Simon Manoharan</v>
      </c>
      <c r="E187" s="14" t="n">
        <v>150</v>
      </c>
      <c r="F187" s="14"/>
      <c r="G187" s="14"/>
      <c r="H187" s="14"/>
      <c r="I187" s="14" t="n">
        <v>150</v>
      </c>
      <c r="J187" s="14" t="n">
        <v>0</v>
      </c>
      <c r="K187" s="14" t="n">
        <v>150</v>
      </c>
      <c r="L187" s="12"/>
      <c r="M187" s="12"/>
      <c r="N187" s="23"/>
      <c r="O187" s="23"/>
      <c r="P187" s="23"/>
      <c r="Q187" s="23"/>
      <c r="R187" s="23"/>
      <c r="S187" s="23"/>
      <c r="T187" s="23"/>
      <c r="U187" s="23"/>
      <c r="V187" s="23"/>
      <c r="W187" s="23"/>
      <c r="X187" s="23"/>
      <c r="Y187" s="23"/>
      <c r="Z187" s="23"/>
    </row>
    <row r="188" customFormat="false" ht="15.75" hidden="false" customHeight="true" outlineLevel="0" collapsed="false">
      <c r="A188" s="52" t="n">
        <v>46304</v>
      </c>
      <c r="B188" s="14" t="s">
        <v>357</v>
      </c>
      <c r="C188" s="14" t="str">
        <f aca="false" t="array" ref="C188:C188">IF(B188="","",IFERROR(INDEX('CLM &amp; IM Mapping'!$B$2:$B$270,MATCH(TRIM(B188),'CLM &amp; IM Mapping'!$A$2:$A$270,0)),"Not Mapped"))</f>
        <v>Arun Raj</v>
      </c>
      <c r="D188" s="14" t="str">
        <f aca="false" t="array" ref="D188:D188">IF(B188="","",IFERROR(INDEX('CLM &amp; IM Mapping'!$C$2:$C$270,MATCH(TRIM(B188),'CLM &amp; IM Mapping'!$A$2:$A$270,0)),"Not Mapped"))</f>
        <v>Simon Manoharan</v>
      </c>
      <c r="E188" s="14" t="n">
        <v>150</v>
      </c>
      <c r="F188" s="14"/>
      <c r="G188" s="14"/>
      <c r="H188" s="14"/>
      <c r="I188" s="14" t="n">
        <v>150</v>
      </c>
      <c r="J188" s="14" t="n">
        <v>0</v>
      </c>
      <c r="K188" s="14" t="n">
        <v>150</v>
      </c>
      <c r="L188" s="12"/>
      <c r="M188" s="12"/>
      <c r="N188" s="23"/>
      <c r="O188" s="23"/>
      <c r="P188" s="23"/>
      <c r="Q188" s="23"/>
      <c r="R188" s="23"/>
      <c r="S188" s="23"/>
      <c r="T188" s="23"/>
      <c r="U188" s="23"/>
      <c r="V188" s="23"/>
      <c r="W188" s="23"/>
      <c r="X188" s="23"/>
      <c r="Y188" s="23"/>
      <c r="Z188" s="23"/>
    </row>
    <row r="189" customFormat="false" ht="15.75" hidden="false" customHeight="true" outlineLevel="0" collapsed="false">
      <c r="A189" s="52" t="n">
        <v>46304</v>
      </c>
      <c r="B189" s="14" t="s">
        <v>355</v>
      </c>
      <c r="C189" s="14" t="str">
        <f aca="false" t="array" ref="C189:C189">IF(B189="","",IFERROR(INDEX('CLM &amp; IM Mapping'!$B$2:$B$270,MATCH(TRIM(B189),'CLM &amp; IM Mapping'!$A$2:$A$270,0)),"Not Mapped"))</f>
        <v>Arun Raj</v>
      </c>
      <c r="D189" s="14" t="str">
        <f aca="false" t="array" ref="D189:D189">IF(B189="","",IFERROR(INDEX('CLM &amp; IM Mapping'!$C$2:$C$270,MATCH(TRIM(B189),'CLM &amp; IM Mapping'!$A$2:$A$270,0)),"Not Mapped"))</f>
        <v>Simon Manoharan</v>
      </c>
      <c r="E189" s="14" t="n">
        <v>150</v>
      </c>
      <c r="F189" s="14"/>
      <c r="G189" s="14"/>
      <c r="H189" s="14"/>
      <c r="I189" s="14" t="n">
        <v>150</v>
      </c>
      <c r="J189" s="14" t="n">
        <v>0</v>
      </c>
      <c r="K189" s="14" t="n">
        <v>150</v>
      </c>
      <c r="L189" s="12"/>
      <c r="M189" s="12"/>
      <c r="N189" s="23"/>
      <c r="O189" s="23"/>
      <c r="P189" s="23"/>
      <c r="Q189" s="23"/>
      <c r="R189" s="23"/>
      <c r="S189" s="23"/>
      <c r="T189" s="23"/>
      <c r="U189" s="23"/>
      <c r="V189" s="23"/>
      <c r="W189" s="23"/>
      <c r="X189" s="23"/>
      <c r="Y189" s="23"/>
      <c r="Z189" s="23"/>
    </row>
    <row r="190" customFormat="false" ht="15.75" hidden="false" customHeight="true" outlineLevel="0" collapsed="false">
      <c r="A190" s="52" t="n">
        <v>46304</v>
      </c>
      <c r="B190" s="14" t="s">
        <v>388</v>
      </c>
      <c r="C190" s="14" t="str">
        <f aca="false" t="array" ref="C190:C190">IF(B190="","",IFERROR(INDEX('CLM &amp; IM Mapping'!$B$2:$B$270,MATCH(TRIM(B190),'CLM &amp; IM Mapping'!$A$2:$A$270,0)),"Not Mapped"))</f>
        <v>Arun Raj</v>
      </c>
      <c r="D190" s="14" t="str">
        <f aca="false" t="array" ref="D190:D190">IF(B190="","",IFERROR(INDEX('CLM &amp; IM Mapping'!$C$2:$C$270,MATCH(TRIM(B190),'CLM &amp; IM Mapping'!$A$2:$A$270,0)),"Not Mapped"))</f>
        <v>Simon Manoharan</v>
      </c>
      <c r="E190" s="14" t="n">
        <v>148</v>
      </c>
      <c r="F190" s="14"/>
      <c r="G190" s="14"/>
      <c r="H190" s="14"/>
      <c r="I190" s="14" t="n">
        <v>148</v>
      </c>
      <c r="J190" s="14" t="n">
        <v>0</v>
      </c>
      <c r="K190" s="14" t="n">
        <v>148</v>
      </c>
      <c r="L190" s="12"/>
      <c r="M190" s="12"/>
      <c r="N190" s="23"/>
      <c r="O190" s="23"/>
      <c r="P190" s="23"/>
      <c r="Q190" s="23"/>
      <c r="R190" s="23"/>
      <c r="S190" s="23"/>
      <c r="T190" s="23"/>
      <c r="U190" s="23"/>
      <c r="V190" s="23"/>
      <c r="W190" s="23"/>
      <c r="X190" s="23"/>
      <c r="Y190" s="23"/>
      <c r="Z190" s="23"/>
    </row>
    <row r="191" customFormat="false" ht="15.75" hidden="false" customHeight="true" outlineLevel="0" collapsed="false">
      <c r="A191" s="52" t="n">
        <v>46304</v>
      </c>
      <c r="B191" s="14" t="s">
        <v>231</v>
      </c>
      <c r="C191" s="14" t="str">
        <f aca="false" t="array" ref="C191:C191">IF(B191="","",IFERROR(INDEX('CLM &amp; IM Mapping'!$B$2:$B$270,MATCH(TRIM(B191),'CLM &amp; IM Mapping'!$A$2:$A$270,0)),"Not Mapped"))</f>
        <v>Arun Raj</v>
      </c>
      <c r="D191" s="14" t="str">
        <f aca="false" t="array" ref="D191:D191">IF(B191="","",IFERROR(INDEX('CLM &amp; IM Mapping'!$C$2:$C$270,MATCH(TRIM(B191),'CLM &amp; IM Mapping'!$A$2:$A$270,0)),"Not Mapped"))</f>
        <v>Simon Manoharan</v>
      </c>
      <c r="E191" s="14" t="n">
        <v>141</v>
      </c>
      <c r="F191" s="14" t="n">
        <v>1</v>
      </c>
      <c r="G191" s="14"/>
      <c r="H191" s="14"/>
      <c r="I191" s="14" t="n">
        <v>142</v>
      </c>
      <c r="J191" s="14" t="n">
        <v>0</v>
      </c>
      <c r="K191" s="14" t="n">
        <v>142</v>
      </c>
      <c r="L191" s="12"/>
      <c r="M191" s="12"/>
      <c r="N191" s="23"/>
      <c r="O191" s="23"/>
      <c r="P191" s="23"/>
      <c r="Q191" s="23"/>
      <c r="R191" s="23"/>
      <c r="S191" s="23"/>
      <c r="T191" s="23"/>
      <c r="U191" s="23"/>
      <c r="V191" s="23"/>
      <c r="W191" s="23"/>
      <c r="X191" s="23"/>
      <c r="Y191" s="23"/>
      <c r="Z191" s="23"/>
    </row>
    <row r="192" customFormat="false" ht="15.75" hidden="false" customHeight="true" outlineLevel="0" collapsed="false">
      <c r="A192" s="52" t="n">
        <v>46304</v>
      </c>
      <c r="B192" s="14" t="s">
        <v>367</v>
      </c>
      <c r="C192" s="14" t="str">
        <f aca="false" t="array" ref="C192:C192">IF(B192="","",IFERROR(INDEX('CLM &amp; IM Mapping'!$B$2:$B$270,MATCH(TRIM(B192),'CLM &amp; IM Mapping'!$A$2:$A$270,0)),"Not Mapped"))</f>
        <v>Akshay P</v>
      </c>
      <c r="D192" s="14" t="str">
        <f aca="false" t="array" ref="D192:D192">IF(B192="","",IFERROR(INDEX('CLM &amp; IM Mapping'!$C$2:$C$270,MATCH(TRIM(B192),'CLM &amp; IM Mapping'!$A$2:$A$270,0)),"Not Mapped"))</f>
        <v>Srittam Dhal</v>
      </c>
      <c r="E192" s="14"/>
      <c r="F192" s="14"/>
      <c r="G192" s="14"/>
      <c r="H192" s="14" t="n">
        <v>135</v>
      </c>
      <c r="I192" s="14" t="n">
        <v>135</v>
      </c>
      <c r="J192" s="14" t="n">
        <v>0</v>
      </c>
      <c r="K192" s="14" t="n">
        <v>135</v>
      </c>
      <c r="L192" s="12"/>
      <c r="M192" s="12"/>
      <c r="N192" s="23"/>
      <c r="O192" s="23"/>
      <c r="P192" s="23"/>
      <c r="Q192" s="23"/>
      <c r="R192" s="23"/>
      <c r="S192" s="23"/>
      <c r="T192" s="23"/>
      <c r="U192" s="23"/>
      <c r="V192" s="23"/>
      <c r="W192" s="23"/>
      <c r="X192" s="23"/>
      <c r="Y192" s="23"/>
      <c r="Z192" s="23"/>
    </row>
    <row r="193" customFormat="false" ht="15.75" hidden="false" customHeight="true" outlineLevel="0" collapsed="false">
      <c r="A193" s="52" t="n">
        <v>46304</v>
      </c>
      <c r="B193" s="14" t="s">
        <v>532</v>
      </c>
      <c r="C193" s="14" t="str">
        <f aca="false" t="array" ref="C193:C193">IF(B193="","",IFERROR(INDEX('CLM &amp; IM Mapping'!$B$2:$B$270,MATCH(TRIM(B193),'CLM &amp; IM Mapping'!$A$2:$A$270,0)),"Not Mapped"))</f>
        <v>Arun Raj</v>
      </c>
      <c r="D193" s="14" t="str">
        <f aca="false" t="array" ref="D193:D193">IF(B193="","",IFERROR(INDEX('CLM &amp; IM Mapping'!$C$2:$C$270,MATCH(TRIM(B193),'CLM &amp; IM Mapping'!$A$2:$A$270,0)),"Not Mapped"))</f>
        <v>Simon Manoharan</v>
      </c>
      <c r="E193" s="14" t="n">
        <v>1</v>
      </c>
      <c r="F193" s="14"/>
      <c r="G193" s="14"/>
      <c r="H193" s="14" t="n">
        <v>83</v>
      </c>
      <c r="I193" s="14" t="n">
        <v>21</v>
      </c>
      <c r="J193" s="14" t="n">
        <v>63</v>
      </c>
      <c r="K193" s="14" t="n">
        <v>84</v>
      </c>
      <c r="L193" s="12"/>
      <c r="M193" s="12"/>
      <c r="N193" s="23"/>
      <c r="O193" s="23"/>
      <c r="P193" s="23"/>
      <c r="Q193" s="23"/>
      <c r="R193" s="23"/>
      <c r="S193" s="23"/>
      <c r="T193" s="23"/>
      <c r="U193" s="23"/>
      <c r="V193" s="23"/>
      <c r="W193" s="23"/>
      <c r="X193" s="23"/>
      <c r="Y193" s="23"/>
      <c r="Z193" s="23"/>
    </row>
    <row r="194" customFormat="false" ht="15.75" hidden="false" customHeight="true" outlineLevel="0" collapsed="false">
      <c r="A194" s="52" t="n">
        <v>46304</v>
      </c>
      <c r="B194" s="14" t="s">
        <v>165</v>
      </c>
      <c r="C194" s="14" t="str">
        <f aca="false" t="array" ref="C194:C194">IF(B194="","",IFERROR(INDEX('CLM &amp; IM Mapping'!$B$2:$B$270,MATCH(TRIM(B194),'CLM &amp; IM Mapping'!$A$2:$A$270,0)),"Not Mapped"))</f>
        <v>Akshay P</v>
      </c>
      <c r="D194" s="14" t="str">
        <f aca="false" t="array" ref="D194:D194">IF(B194="","",IFERROR(INDEX('CLM &amp; IM Mapping'!$C$2:$C$270,MATCH(TRIM(B194),'CLM &amp; IM Mapping'!$A$2:$A$270,0)),"Not Mapped"))</f>
        <v>Srittam Dhal</v>
      </c>
      <c r="E194" s="14"/>
      <c r="F194" s="14"/>
      <c r="G194" s="14"/>
      <c r="H194" s="14" t="n">
        <v>79</v>
      </c>
      <c r="I194" s="14" t="n">
        <v>67</v>
      </c>
      <c r="J194" s="14" t="n">
        <v>12</v>
      </c>
      <c r="K194" s="14" t="n">
        <v>79</v>
      </c>
      <c r="L194" s="12"/>
      <c r="M194" s="12"/>
      <c r="N194" s="23"/>
      <c r="O194" s="23"/>
      <c r="P194" s="23"/>
      <c r="Q194" s="23"/>
      <c r="R194" s="23"/>
      <c r="S194" s="23"/>
      <c r="T194" s="23"/>
      <c r="U194" s="23"/>
      <c r="V194" s="23"/>
      <c r="W194" s="23"/>
      <c r="X194" s="23"/>
      <c r="Y194" s="23"/>
      <c r="Z194" s="23"/>
    </row>
    <row r="195" customFormat="false" ht="15.75" hidden="false" customHeight="true" outlineLevel="0" collapsed="false">
      <c r="A195" s="52" t="n">
        <v>46304</v>
      </c>
      <c r="B195" s="14" t="s">
        <v>512</v>
      </c>
      <c r="C195" s="14" t="str">
        <f aca="false" t="array" ref="C195:C195">IF(B195="","",IFERROR(INDEX('CLM &amp; IM Mapping'!$B$2:$B$270,MATCH(TRIM(B195),'CLM &amp; IM Mapping'!$A$2:$A$270,0)),"Not Mapped"))</f>
        <v>Saddam Hussain</v>
      </c>
      <c r="D195" s="14" t="str">
        <f aca="false" t="array" ref="D195:D195">IF(B195="","",IFERROR(INDEX('CLM &amp; IM Mapping'!$C$2:$C$270,MATCH(TRIM(B195),'CLM &amp; IM Mapping'!$A$2:$A$270,0)),"Not Mapped"))</f>
        <v>Un Mapped</v>
      </c>
      <c r="E195" s="14"/>
      <c r="F195" s="14"/>
      <c r="G195" s="14"/>
      <c r="H195" s="14" t="n">
        <v>42</v>
      </c>
      <c r="I195" s="14" t="n">
        <v>42</v>
      </c>
      <c r="J195" s="14" t="n">
        <v>0</v>
      </c>
      <c r="K195" s="14" t="n">
        <v>42</v>
      </c>
      <c r="L195" s="12"/>
      <c r="M195" s="12"/>
      <c r="N195" s="23"/>
      <c r="O195" s="23"/>
      <c r="P195" s="23"/>
      <c r="Q195" s="23"/>
      <c r="R195" s="23"/>
      <c r="S195" s="23"/>
      <c r="T195" s="23"/>
      <c r="U195" s="23"/>
      <c r="V195" s="23"/>
      <c r="W195" s="23"/>
      <c r="X195" s="23"/>
      <c r="Y195" s="23"/>
      <c r="Z195" s="23"/>
    </row>
    <row r="196" customFormat="false" ht="15.75" hidden="false" customHeight="true" outlineLevel="0" collapsed="false">
      <c r="A196" s="52" t="n">
        <v>46304</v>
      </c>
      <c r="B196" s="14" t="s">
        <v>198</v>
      </c>
      <c r="C196" s="14" t="str">
        <f aca="false" t="array" ref="C196:C196">IF(B196="","",IFERROR(INDEX('CLM &amp; IM Mapping'!$B$2:$B$270,MATCH(TRIM(B196),'CLM &amp; IM Mapping'!$A$2:$A$270,0)),"Not Mapped"))</f>
        <v>Manjunatha V</v>
      </c>
      <c r="D196" s="14" t="str">
        <f aca="false" t="array" ref="D196:D196">IF(B196="","",IFERROR(INDEX('CLM &amp; IM Mapping'!$C$2:$C$270,MATCH(TRIM(B196),'CLM &amp; IM Mapping'!$A$2:$A$270,0)),"Not Mapped"))</f>
        <v>Un Mapped</v>
      </c>
      <c r="E196" s="14"/>
      <c r="F196" s="14"/>
      <c r="G196" s="14"/>
      <c r="H196" s="14" t="n">
        <v>38</v>
      </c>
      <c r="I196" s="14" t="n">
        <v>38</v>
      </c>
      <c r="J196" s="14" t="n">
        <v>0</v>
      </c>
      <c r="K196" s="14" t="n">
        <v>38</v>
      </c>
      <c r="L196" s="12"/>
      <c r="M196" s="12"/>
      <c r="N196" s="23"/>
      <c r="O196" s="23"/>
      <c r="P196" s="23"/>
      <c r="Q196" s="23"/>
      <c r="R196" s="23"/>
      <c r="S196" s="23"/>
      <c r="T196" s="23"/>
      <c r="U196" s="23"/>
      <c r="V196" s="23"/>
      <c r="W196" s="23"/>
      <c r="X196" s="23"/>
      <c r="Y196" s="23"/>
      <c r="Z196" s="23"/>
    </row>
    <row r="197" customFormat="false" ht="15.75" hidden="false" customHeight="true" outlineLevel="0" collapsed="false">
      <c r="A197" s="52" t="n">
        <v>46304</v>
      </c>
      <c r="B197" s="14" t="s">
        <v>227</v>
      </c>
      <c r="C197" s="14" t="str">
        <f aca="false" t="array" ref="C197:C197">IF(B197="","",IFERROR(INDEX('CLM &amp; IM Mapping'!$B$2:$B$270,MATCH(TRIM(B197),'CLM &amp; IM Mapping'!$A$2:$A$270,0)),"Not Mapped"))</f>
        <v>Vijay M</v>
      </c>
      <c r="D197" s="14" t="str">
        <f aca="false" t="array" ref="D197:D197">IF(B197="","",IFERROR(INDEX('CLM &amp; IM Mapping'!$C$2:$C$270,MATCH(TRIM(B197),'CLM &amp; IM Mapping'!$A$2:$A$270,0)),"Not Mapped"))</f>
        <v>Kantha Kumar</v>
      </c>
      <c r="E197" s="14"/>
      <c r="F197" s="14"/>
      <c r="G197" s="14"/>
      <c r="H197" s="14" t="n">
        <v>32</v>
      </c>
      <c r="I197" s="14" t="n">
        <v>32</v>
      </c>
      <c r="J197" s="14" t="n">
        <v>0</v>
      </c>
      <c r="K197" s="14" t="n">
        <v>32</v>
      </c>
      <c r="L197" s="12"/>
      <c r="M197" s="12"/>
      <c r="N197" s="23"/>
      <c r="O197" s="23"/>
      <c r="P197" s="23"/>
      <c r="Q197" s="23"/>
      <c r="R197" s="23"/>
      <c r="S197" s="23"/>
      <c r="T197" s="23"/>
      <c r="U197" s="23"/>
      <c r="V197" s="23"/>
      <c r="W197" s="23"/>
      <c r="X197" s="23"/>
      <c r="Y197" s="23"/>
      <c r="Z197" s="23"/>
    </row>
    <row r="198" customFormat="false" ht="15.75" hidden="false" customHeight="true" outlineLevel="0" collapsed="false">
      <c r="A198" s="52" t="n">
        <v>46304</v>
      </c>
      <c r="B198" s="14" t="s">
        <v>316</v>
      </c>
      <c r="C198" s="14" t="str">
        <f aca="false" t="array" ref="C198:C198">IF(B198="","",IFERROR(INDEX('CLM &amp; IM Mapping'!$B$2:$B$270,MATCH(TRIM(B198),'CLM &amp; IM Mapping'!$A$2:$A$270,0)),"Not Mapped"))</f>
        <v>Vishnu V</v>
      </c>
      <c r="D198" s="14" t="str">
        <f aca="false" t="array" ref="D198:D198">IF(B198="","",IFERROR(INDEX('CLM &amp; IM Mapping'!$C$2:$C$270,MATCH(TRIM(B198),'CLM &amp; IM Mapping'!$A$2:$A$270,0)),"Not Mapped"))</f>
        <v>Arivind S</v>
      </c>
      <c r="E198" s="14"/>
      <c r="F198" s="14"/>
      <c r="G198" s="14"/>
      <c r="H198" s="14" t="n">
        <v>30</v>
      </c>
      <c r="I198" s="14" t="n">
        <v>30</v>
      </c>
      <c r="J198" s="14" t="n">
        <v>0</v>
      </c>
      <c r="K198" s="14" t="n">
        <v>30</v>
      </c>
      <c r="L198" s="12" t="s">
        <v>799</v>
      </c>
      <c r="M198" s="12"/>
      <c r="N198" s="23"/>
      <c r="O198" s="23"/>
      <c r="P198" s="23"/>
      <c r="Q198" s="23"/>
      <c r="R198" s="23"/>
      <c r="S198" s="23"/>
      <c r="T198" s="23"/>
      <c r="U198" s="23"/>
      <c r="V198" s="23"/>
      <c r="W198" s="23"/>
      <c r="X198" s="23"/>
      <c r="Y198" s="23"/>
      <c r="Z198" s="23"/>
    </row>
    <row r="199" customFormat="false" ht="15.75" hidden="false" customHeight="true" outlineLevel="0" collapsed="false">
      <c r="A199" s="52" t="n">
        <v>46304</v>
      </c>
      <c r="B199" s="14" t="s">
        <v>296</v>
      </c>
      <c r="C199" s="14" t="str">
        <f aca="false" t="array" ref="C199:C199">IF(B199="","",IFERROR(INDEX('CLM &amp; IM Mapping'!$B$2:$B$270,MATCH(TRIM(B199),'CLM &amp; IM Mapping'!$A$2:$A$270,0)),"Not Mapped"))</f>
        <v>Balaji G</v>
      </c>
      <c r="D199" s="14" t="str">
        <f aca="false" t="array" ref="D199:D199">IF(B199="","",IFERROR(INDEX('CLM &amp; IM Mapping'!$C$2:$C$270,MATCH(TRIM(B199),'CLM &amp; IM Mapping'!$A$2:$A$270,0)),"Not Mapped"))</f>
        <v>Mohammed Akbar</v>
      </c>
      <c r="E199" s="14"/>
      <c r="F199" s="14"/>
      <c r="G199" s="14"/>
      <c r="H199" s="14" t="n">
        <v>25</v>
      </c>
      <c r="I199" s="14" t="n">
        <v>25</v>
      </c>
      <c r="J199" s="14" t="n">
        <v>0</v>
      </c>
      <c r="K199" s="14" t="n">
        <v>25</v>
      </c>
      <c r="L199" s="12"/>
      <c r="M199" s="12"/>
      <c r="N199" s="23"/>
      <c r="O199" s="23"/>
      <c r="P199" s="23"/>
      <c r="Q199" s="23"/>
      <c r="R199" s="23"/>
      <c r="S199" s="23"/>
      <c r="T199" s="23"/>
      <c r="U199" s="23"/>
      <c r="V199" s="23"/>
      <c r="W199" s="23"/>
      <c r="X199" s="23"/>
      <c r="Y199" s="23"/>
      <c r="Z199" s="23"/>
    </row>
    <row r="200" customFormat="false" ht="15.75" hidden="false" customHeight="true" outlineLevel="0" collapsed="false">
      <c r="A200" s="52" t="n">
        <v>46304</v>
      </c>
      <c r="B200" s="14" t="s">
        <v>76</v>
      </c>
      <c r="C200" s="14" t="str">
        <f aca="false" t="array" ref="C200:C200">IF(B200="","",IFERROR(INDEX('CLM &amp; IM Mapping'!$B$2:$B$270,MATCH(TRIM(B200),'CLM &amp; IM Mapping'!$A$2:$A$270,0)),"Not Mapped"))</f>
        <v>Silambarasan E</v>
      </c>
      <c r="D200" s="14" t="str">
        <f aca="false" t="array" ref="D200:D200">IF(B200="","",IFERROR(INDEX('CLM &amp; IM Mapping'!$C$2:$C$270,MATCH(TRIM(B200),'CLM &amp; IM Mapping'!$A$2:$A$270,0)),"Not Mapped"))</f>
        <v>Arivind S</v>
      </c>
      <c r="E200" s="14"/>
      <c r="F200" s="14"/>
      <c r="G200" s="14"/>
      <c r="H200" s="14" t="n">
        <v>23</v>
      </c>
      <c r="I200" s="14" t="n">
        <v>6</v>
      </c>
      <c r="J200" s="14" t="n">
        <v>17</v>
      </c>
      <c r="K200" s="14" t="n">
        <v>23</v>
      </c>
      <c r="L200" s="12"/>
      <c r="M200" s="12"/>
      <c r="N200" s="23"/>
      <c r="O200" s="23"/>
      <c r="P200" s="23"/>
      <c r="Q200" s="23"/>
      <c r="R200" s="23"/>
      <c r="S200" s="23"/>
      <c r="T200" s="23"/>
      <c r="U200" s="23"/>
      <c r="V200" s="23"/>
      <c r="W200" s="23"/>
      <c r="X200" s="23"/>
      <c r="Y200" s="23"/>
      <c r="Z200" s="23"/>
    </row>
    <row r="201" customFormat="false" ht="15.75" hidden="false" customHeight="true" outlineLevel="0" collapsed="false">
      <c r="A201" s="52" t="n">
        <v>46304</v>
      </c>
      <c r="B201" s="14" t="s">
        <v>502</v>
      </c>
      <c r="C201" s="14" t="str">
        <f aca="false" t="array" ref="C201:C201">IF(B201="","",IFERROR(INDEX('CLM &amp; IM Mapping'!$B$2:$B$270,MATCH(TRIM(B201),'CLM &amp; IM Mapping'!$A$2:$A$270,0)),"Not Mapped"))</f>
        <v>Manjunatha V</v>
      </c>
      <c r="D201" s="14" t="str">
        <f aca="false" t="array" ref="D201:D201">IF(B201="","",IFERROR(INDEX('CLM &amp; IM Mapping'!$C$2:$C$270,MATCH(TRIM(B201),'CLM &amp; IM Mapping'!$A$2:$A$270,0)),"Not Mapped"))</f>
        <v>Un Mapped</v>
      </c>
      <c r="E201" s="14"/>
      <c r="F201" s="14"/>
      <c r="G201" s="14"/>
      <c r="H201" s="14" t="n">
        <v>22</v>
      </c>
      <c r="I201" s="14" t="n">
        <v>22</v>
      </c>
      <c r="J201" s="14" t="n">
        <v>0</v>
      </c>
      <c r="K201" s="14" t="n">
        <v>22</v>
      </c>
      <c r="L201" s="12"/>
      <c r="M201" s="12"/>
      <c r="N201" s="23"/>
      <c r="O201" s="23"/>
      <c r="P201" s="23"/>
      <c r="Q201" s="23"/>
      <c r="R201" s="23"/>
      <c r="S201" s="23"/>
      <c r="T201" s="23"/>
      <c r="U201" s="23"/>
      <c r="V201" s="23"/>
      <c r="W201" s="23"/>
      <c r="X201" s="23"/>
      <c r="Y201" s="23"/>
      <c r="Z201" s="23"/>
    </row>
    <row r="202" customFormat="false" ht="15.75" hidden="false" customHeight="true" outlineLevel="0" collapsed="false">
      <c r="A202" s="52" t="n">
        <v>46304</v>
      </c>
      <c r="B202" s="14" t="s">
        <v>233</v>
      </c>
      <c r="C202" s="14" t="str">
        <f aca="false" t="array" ref="C202:C202">IF(B202="","",IFERROR(INDEX('CLM &amp; IM Mapping'!$B$2:$B$270,MATCH(TRIM(B202),'CLM &amp; IM Mapping'!$A$2:$A$270,0)),"Not Mapped"))</f>
        <v>Suhas N</v>
      </c>
      <c r="D202" s="14" t="str">
        <f aca="false" t="array" ref="D202:D202">IF(B202="","",IFERROR(INDEX('CLM &amp; IM Mapping'!$C$2:$C$270,MATCH(TRIM(B202),'CLM &amp; IM Mapping'!$A$2:$A$270,0)),"Not Mapped"))</f>
        <v>Aravind S</v>
      </c>
      <c r="E202" s="14"/>
      <c r="F202" s="14"/>
      <c r="G202" s="14"/>
      <c r="H202" s="14" t="n">
        <v>20</v>
      </c>
      <c r="I202" s="14" t="n">
        <v>19</v>
      </c>
      <c r="J202" s="14" t="n">
        <v>1</v>
      </c>
      <c r="K202" s="14" t="n">
        <v>20</v>
      </c>
      <c r="L202" s="12"/>
      <c r="M202" s="12"/>
      <c r="N202" s="23"/>
      <c r="O202" s="23"/>
      <c r="P202" s="23"/>
      <c r="Q202" s="23"/>
      <c r="R202" s="23"/>
      <c r="S202" s="23"/>
      <c r="T202" s="23"/>
      <c r="U202" s="23"/>
      <c r="V202" s="23"/>
      <c r="W202" s="23"/>
      <c r="X202" s="23"/>
      <c r="Y202" s="23"/>
      <c r="Z202" s="23"/>
    </row>
    <row r="203" customFormat="false" ht="15.75" hidden="false" customHeight="true" outlineLevel="0" collapsed="false">
      <c r="A203" s="52" t="n">
        <v>46304</v>
      </c>
      <c r="B203" s="14" t="s">
        <v>250</v>
      </c>
      <c r="C203" s="14" t="str">
        <f aca="false" t="array" ref="C203:C203">IF(B203="","",IFERROR(INDEX('CLM &amp; IM Mapping'!$B$2:$B$270,MATCH(TRIM(B203),'CLM &amp; IM Mapping'!$A$2:$A$270,0)),"Not Mapped"))</f>
        <v>Akshay P</v>
      </c>
      <c r="D203" s="14" t="str">
        <f aca="false" t="array" ref="D203:D203">IF(B203="","",IFERROR(INDEX('CLM &amp; IM Mapping'!$C$2:$C$270,MATCH(TRIM(B203),'CLM &amp; IM Mapping'!$A$2:$A$270,0)),"Not Mapped"))</f>
        <v>Srittam Dhal</v>
      </c>
      <c r="E203" s="14"/>
      <c r="F203" s="14"/>
      <c r="G203" s="14"/>
      <c r="H203" s="14" t="n">
        <v>19</v>
      </c>
      <c r="I203" s="14" t="n">
        <v>19</v>
      </c>
      <c r="J203" s="14" t="n">
        <v>0</v>
      </c>
      <c r="K203" s="14" t="n">
        <v>19</v>
      </c>
      <c r="L203" s="12"/>
      <c r="M203" s="12"/>
      <c r="N203" s="23"/>
      <c r="O203" s="23"/>
      <c r="P203" s="23"/>
      <c r="Q203" s="23"/>
      <c r="R203" s="23"/>
      <c r="S203" s="23"/>
      <c r="T203" s="23"/>
      <c r="U203" s="23"/>
      <c r="V203" s="23"/>
      <c r="W203" s="23"/>
      <c r="X203" s="23"/>
      <c r="Y203" s="23"/>
      <c r="Z203" s="23"/>
    </row>
    <row r="204" customFormat="false" ht="15.75" hidden="false" customHeight="true" outlineLevel="0" collapsed="false">
      <c r="A204" s="52" t="n">
        <v>46304</v>
      </c>
      <c r="B204" s="14" t="s">
        <v>171</v>
      </c>
      <c r="C204" s="14" t="str">
        <f aca="false" t="array" ref="C204:C204">IF(B204="","",IFERROR(INDEX('CLM &amp; IM Mapping'!$B$2:$B$270,MATCH(TRIM(B204),'CLM &amp; IM Mapping'!$A$2:$A$270,0)),"Not Mapped"))</f>
        <v>Ashwath S</v>
      </c>
      <c r="D204" s="14" t="str">
        <f aca="false" t="array" ref="D204:D204">IF(B204="","",IFERROR(INDEX('CLM &amp; IM Mapping'!$C$2:$C$270,MATCH(TRIM(B204),'CLM &amp; IM Mapping'!$A$2:$A$270,0)),"Not Mapped"))</f>
        <v>Kantha Kumar</v>
      </c>
      <c r="E204" s="14"/>
      <c r="F204" s="14"/>
      <c r="G204" s="14"/>
      <c r="H204" s="14" t="n">
        <v>19</v>
      </c>
      <c r="I204" s="14" t="n">
        <v>19</v>
      </c>
      <c r="J204" s="14" t="n">
        <v>0</v>
      </c>
      <c r="K204" s="14" t="n">
        <v>19</v>
      </c>
      <c r="L204" s="12"/>
      <c r="M204" s="12"/>
      <c r="N204" s="23"/>
      <c r="O204" s="23"/>
      <c r="P204" s="23"/>
      <c r="Q204" s="23"/>
      <c r="R204" s="23"/>
      <c r="S204" s="23"/>
      <c r="T204" s="23"/>
      <c r="U204" s="23"/>
      <c r="V204" s="23"/>
      <c r="W204" s="23"/>
      <c r="X204" s="23"/>
      <c r="Y204" s="23"/>
      <c r="Z204" s="23"/>
    </row>
    <row r="205" customFormat="false" ht="15.75" hidden="false" customHeight="true" outlineLevel="0" collapsed="false">
      <c r="A205" s="52" t="n">
        <v>46304</v>
      </c>
      <c r="B205" s="14" t="s">
        <v>465</v>
      </c>
      <c r="C205" s="14" t="str">
        <f aca="false" t="array" ref="C205:C205">IF(B205="","",IFERROR(INDEX('CLM &amp; IM Mapping'!$B$2:$B$270,MATCH(TRIM(B205),'CLM &amp; IM Mapping'!$A$2:$A$270,0)),"Not Mapped"))</f>
        <v>Suhas N</v>
      </c>
      <c r="D205" s="14" t="str">
        <f aca="false" t="array" ref="D205:D205">IF(B205="","",IFERROR(INDEX('CLM &amp; IM Mapping'!$C$2:$C$270,MATCH(TRIM(B205),'CLM &amp; IM Mapping'!$A$2:$A$270,0)),"Not Mapped"))</f>
        <v>Aravind S</v>
      </c>
      <c r="E205" s="14"/>
      <c r="F205" s="14"/>
      <c r="G205" s="14"/>
      <c r="H205" s="14" t="n">
        <v>17</v>
      </c>
      <c r="I205" s="14" t="n">
        <v>17</v>
      </c>
      <c r="J205" s="14" t="n">
        <v>0</v>
      </c>
      <c r="K205" s="14" t="n">
        <v>17</v>
      </c>
      <c r="L205" s="12"/>
      <c r="M205" s="12"/>
      <c r="N205" s="23"/>
      <c r="O205" s="23"/>
      <c r="P205" s="23"/>
      <c r="Q205" s="23"/>
      <c r="R205" s="23"/>
      <c r="S205" s="23"/>
      <c r="T205" s="23"/>
      <c r="U205" s="23"/>
      <c r="V205" s="23"/>
      <c r="W205" s="23"/>
      <c r="X205" s="23"/>
      <c r="Y205" s="23"/>
      <c r="Z205" s="23"/>
    </row>
    <row r="206" customFormat="false" ht="15.75" hidden="false" customHeight="true" outlineLevel="0" collapsed="false">
      <c r="A206" s="52" t="n">
        <v>46304</v>
      </c>
      <c r="B206" s="14" t="s">
        <v>327</v>
      </c>
      <c r="C206" s="14" t="str">
        <f aca="false" t="array" ref="C206:C206">IF(B206="","",IFERROR(INDEX('CLM &amp; IM Mapping'!$B$2:$B$270,MATCH(TRIM(B206),'CLM &amp; IM Mapping'!$A$2:$A$270,0)),"Not Mapped"))</f>
        <v>Suhas N</v>
      </c>
      <c r="D206" s="14" t="str">
        <f aca="false" t="array" ref="D206:D206">IF(B206="","",IFERROR(INDEX('CLM &amp; IM Mapping'!$C$2:$C$270,MATCH(TRIM(B206),'CLM &amp; IM Mapping'!$A$2:$A$270,0)),"Not Mapped"))</f>
        <v>Aravind S</v>
      </c>
      <c r="E206" s="14"/>
      <c r="F206" s="14"/>
      <c r="G206" s="14"/>
      <c r="H206" s="14" t="n">
        <v>17</v>
      </c>
      <c r="I206" s="14" t="n">
        <v>1</v>
      </c>
      <c r="J206" s="14" t="n">
        <v>16</v>
      </c>
      <c r="K206" s="14" t="n">
        <v>17</v>
      </c>
      <c r="L206" s="12"/>
      <c r="M206" s="12"/>
      <c r="N206" s="23"/>
      <c r="O206" s="23"/>
      <c r="P206" s="23"/>
      <c r="Q206" s="23"/>
      <c r="R206" s="23"/>
      <c r="S206" s="23"/>
      <c r="T206" s="23"/>
      <c r="U206" s="23"/>
      <c r="V206" s="23"/>
      <c r="W206" s="23"/>
      <c r="X206" s="23"/>
      <c r="Y206" s="23"/>
      <c r="Z206" s="23"/>
    </row>
    <row r="207" customFormat="false" ht="15.75" hidden="false" customHeight="true" outlineLevel="0" collapsed="false">
      <c r="A207" s="52" t="n">
        <v>46304</v>
      </c>
      <c r="B207" s="14" t="s">
        <v>491</v>
      </c>
      <c r="C207" s="14" t="str">
        <f aca="false" t="array" ref="C207:C207">IF(B207="","",IFERROR(INDEX('CLM &amp; IM Mapping'!$B$2:$B$270,MATCH(TRIM(B207),'CLM &amp; IM Mapping'!$A$2:$A$270,0)),"Not Mapped"))</f>
        <v>Manjunatha V</v>
      </c>
      <c r="D207" s="14" t="str">
        <f aca="false" t="array" ref="D207:D207">IF(B207="","",IFERROR(INDEX('CLM &amp; IM Mapping'!$C$2:$C$270,MATCH(TRIM(B207),'CLM &amp; IM Mapping'!$A$2:$A$270,0)),"Not Mapped"))</f>
        <v>Un Mapped</v>
      </c>
      <c r="E207" s="14"/>
      <c r="F207" s="14"/>
      <c r="G207" s="14"/>
      <c r="H207" s="14" t="n">
        <v>16</v>
      </c>
      <c r="I207" s="14" t="n">
        <v>0</v>
      </c>
      <c r="J207" s="14" t="n">
        <v>16</v>
      </c>
      <c r="K207" s="14" t="n">
        <v>16</v>
      </c>
      <c r="L207" s="12"/>
      <c r="M207" s="12"/>
      <c r="N207" s="23"/>
      <c r="O207" s="23"/>
      <c r="P207" s="23"/>
      <c r="Q207" s="23"/>
      <c r="R207" s="23"/>
      <c r="S207" s="23"/>
      <c r="T207" s="23"/>
      <c r="U207" s="23"/>
      <c r="V207" s="23"/>
      <c r="W207" s="23"/>
      <c r="X207" s="23"/>
      <c r="Y207" s="23"/>
      <c r="Z207" s="23"/>
    </row>
    <row r="208" customFormat="false" ht="15.75" hidden="false" customHeight="true" outlineLevel="0" collapsed="false">
      <c r="A208" s="52" t="n">
        <v>46304</v>
      </c>
      <c r="B208" s="14" t="s">
        <v>517</v>
      </c>
      <c r="C208" s="14" t="str">
        <f aca="false" t="array" ref="C208:C208">IF(B208="","",IFERROR(INDEX('CLM &amp; IM Mapping'!$B$2:$B$270,MATCH(TRIM(B208),'CLM &amp; IM Mapping'!$A$2:$A$270,0)),"Not Mapped"))</f>
        <v>Manoj Kj</v>
      </c>
      <c r="D208" s="14" t="str">
        <f aca="false" t="array" ref="D208:D208">IF(B208="","",IFERROR(INDEX('CLM &amp; IM Mapping'!$C$2:$C$270,MATCH(TRIM(B208),'CLM &amp; IM Mapping'!$A$2:$A$270,0)),"Not Mapped"))</f>
        <v>Srittam Dhal</v>
      </c>
      <c r="E208" s="14"/>
      <c r="F208" s="14"/>
      <c r="G208" s="14" t="n">
        <v>16</v>
      </c>
      <c r="H208" s="14"/>
      <c r="I208" s="14" t="n">
        <v>16</v>
      </c>
      <c r="J208" s="14" t="n">
        <v>0</v>
      </c>
      <c r="K208" s="14" t="n">
        <v>16</v>
      </c>
      <c r="L208" s="12"/>
      <c r="M208" s="12"/>
      <c r="N208" s="23"/>
      <c r="O208" s="23"/>
      <c r="P208" s="23"/>
      <c r="Q208" s="23"/>
      <c r="R208" s="23"/>
      <c r="S208" s="23"/>
      <c r="T208" s="23"/>
      <c r="U208" s="23"/>
      <c r="V208" s="23"/>
      <c r="W208" s="23"/>
      <c r="X208" s="23"/>
      <c r="Y208" s="23"/>
      <c r="Z208" s="23"/>
    </row>
    <row r="209" customFormat="false" ht="15.75" hidden="false" customHeight="true" outlineLevel="0" collapsed="false">
      <c r="A209" s="52" t="n">
        <v>46304</v>
      </c>
      <c r="B209" s="14" t="s">
        <v>314</v>
      </c>
      <c r="C209" s="14" t="str">
        <f aca="false" t="array" ref="C209:C209">IF(B209="","",IFERROR(INDEX('CLM &amp; IM Mapping'!$B$2:$B$270,MATCH(TRIM(B209),'CLM &amp; IM Mapping'!$A$2:$A$270,0)),"Not Mapped"))</f>
        <v>Basil Scariya</v>
      </c>
      <c r="D209" s="14" t="str">
        <f aca="false" t="array" ref="D209:D209">IF(B209="","",IFERROR(INDEX('CLM &amp; IM Mapping'!$C$2:$C$270,MATCH(TRIM(B209),'CLM &amp; IM Mapping'!$A$2:$A$270,0)),"Not Mapped"))</f>
        <v>Prakash BS</v>
      </c>
      <c r="E209" s="14"/>
      <c r="F209" s="14"/>
      <c r="G209" s="14"/>
      <c r="H209" s="14" t="n">
        <v>15</v>
      </c>
      <c r="I209" s="14" t="n">
        <v>15</v>
      </c>
      <c r="J209" s="14" t="n">
        <v>0</v>
      </c>
      <c r="K209" s="14" t="n">
        <v>15</v>
      </c>
      <c r="L209" s="12" t="s">
        <v>800</v>
      </c>
      <c r="M209" s="12" t="s">
        <v>801</v>
      </c>
      <c r="N209" s="23"/>
      <c r="O209" s="23"/>
      <c r="P209" s="23"/>
      <c r="Q209" s="23"/>
      <c r="R209" s="23"/>
      <c r="S209" s="23"/>
      <c r="T209" s="23"/>
      <c r="U209" s="23"/>
      <c r="V209" s="23"/>
      <c r="W209" s="23"/>
      <c r="X209" s="23"/>
      <c r="Y209" s="23"/>
      <c r="Z209" s="23"/>
    </row>
    <row r="210" customFormat="false" ht="15.75" hidden="false" customHeight="true" outlineLevel="0" collapsed="false">
      <c r="A210" s="52" t="n">
        <v>46304</v>
      </c>
      <c r="B210" s="14" t="s">
        <v>123</v>
      </c>
      <c r="C210" s="14" t="str">
        <f aca="false" t="array" ref="C210:C210">IF(B210="","",IFERROR(INDEX('CLM &amp; IM Mapping'!$B$2:$B$270,MATCH(TRIM(B210),'CLM &amp; IM Mapping'!$A$2:$A$270,0)),"Not Mapped"))</f>
        <v>Silambarasan E</v>
      </c>
      <c r="D210" s="14" t="str">
        <f aca="false" t="array" ref="D210:D210">IF(B210="","",IFERROR(INDEX('CLM &amp; IM Mapping'!$C$2:$C$270,MATCH(TRIM(B210),'CLM &amp; IM Mapping'!$A$2:$A$270,0)),"Not Mapped"))</f>
        <v>Arivind S</v>
      </c>
      <c r="E210" s="14"/>
      <c r="F210" s="14"/>
      <c r="G210" s="14"/>
      <c r="H210" s="14" t="n">
        <v>12</v>
      </c>
      <c r="I210" s="14" t="n">
        <v>0</v>
      </c>
      <c r="J210" s="14" t="n">
        <v>12</v>
      </c>
      <c r="K210" s="14" t="n">
        <v>12</v>
      </c>
      <c r="L210" s="12"/>
      <c r="M210" s="12"/>
      <c r="N210" s="23"/>
      <c r="O210" s="23"/>
      <c r="P210" s="23"/>
      <c r="Q210" s="23"/>
      <c r="R210" s="23"/>
      <c r="S210" s="23"/>
      <c r="T210" s="23"/>
      <c r="U210" s="23"/>
      <c r="V210" s="23"/>
      <c r="W210" s="23"/>
      <c r="X210" s="23"/>
      <c r="Y210" s="23"/>
      <c r="Z210" s="23"/>
    </row>
    <row r="211" customFormat="false" ht="15.75" hidden="false" customHeight="true" outlineLevel="0" collapsed="false">
      <c r="A211" s="52" t="n">
        <v>46304</v>
      </c>
      <c r="B211" s="14" t="s">
        <v>114</v>
      </c>
      <c r="C211" s="14" t="str">
        <f aca="false" t="array" ref="C211:C211">IF(B211="","",IFERROR(INDEX('CLM &amp; IM Mapping'!$B$2:$B$270,MATCH(TRIM(B211),'CLM &amp; IM Mapping'!$A$2:$A$270,0)),"Not Mapped"))</f>
        <v>Adhavan Subramani</v>
      </c>
      <c r="D211" s="14" t="str">
        <f aca="false" t="array" ref="D211:D211">IF(B211="","",IFERROR(INDEX('CLM &amp; IM Mapping'!$C$2:$C$270,MATCH(TRIM(B211),'CLM &amp; IM Mapping'!$A$2:$A$270,0)),"Not Mapped"))</f>
        <v>Mohammed Akbar</v>
      </c>
      <c r="E211" s="14"/>
      <c r="F211" s="14"/>
      <c r="G211" s="14"/>
      <c r="H211" s="14" t="n">
        <v>11</v>
      </c>
      <c r="I211" s="14" t="n">
        <v>5</v>
      </c>
      <c r="J211" s="14" t="n">
        <v>6</v>
      </c>
      <c r="K211" s="14" t="n">
        <v>11</v>
      </c>
      <c r="L211" s="12"/>
      <c r="M211" s="12"/>
      <c r="N211" s="23"/>
      <c r="O211" s="23"/>
      <c r="P211" s="23"/>
      <c r="Q211" s="23"/>
      <c r="R211" s="23"/>
      <c r="S211" s="23"/>
      <c r="T211" s="23"/>
      <c r="U211" s="23"/>
      <c r="V211" s="23"/>
      <c r="W211" s="23"/>
      <c r="X211" s="23"/>
      <c r="Y211" s="23"/>
      <c r="Z211" s="23"/>
    </row>
    <row r="212" customFormat="false" ht="15.75" hidden="false" customHeight="true" outlineLevel="0" collapsed="false">
      <c r="A212" s="52" t="n">
        <v>46304</v>
      </c>
      <c r="B212" s="14" t="s">
        <v>322</v>
      </c>
      <c r="C212" s="14" t="str">
        <f aca="false" t="array" ref="C212:C212">IF(B212="","",IFERROR(INDEX('CLM &amp; IM Mapping'!$B$2:$B$270,MATCH(TRIM(B212),'CLM &amp; IM Mapping'!$A$2:$A$270,0)),"Not Mapped"))</f>
        <v>Ashwath S</v>
      </c>
      <c r="D212" s="14" t="str">
        <f aca="false" t="array" ref="D212:D212">IF(B212="","",IFERROR(INDEX('CLM &amp; IM Mapping'!$C$2:$C$270,MATCH(TRIM(B212),'CLM &amp; IM Mapping'!$A$2:$A$270,0)),"Not Mapped"))</f>
        <v>Kantha Kumar</v>
      </c>
      <c r="E212" s="14"/>
      <c r="F212" s="14"/>
      <c r="G212" s="14"/>
      <c r="H212" s="14" t="n">
        <v>11</v>
      </c>
      <c r="I212" s="14" t="n">
        <v>11</v>
      </c>
      <c r="J212" s="14" t="n">
        <v>0</v>
      </c>
      <c r="K212" s="14" t="n">
        <v>11</v>
      </c>
      <c r="L212" s="12"/>
      <c r="M212" s="12"/>
      <c r="N212" s="23"/>
      <c r="O212" s="23"/>
      <c r="P212" s="23"/>
      <c r="Q212" s="23"/>
      <c r="R212" s="23"/>
      <c r="S212" s="23"/>
      <c r="T212" s="23"/>
      <c r="U212" s="23"/>
      <c r="V212" s="23"/>
      <c r="W212" s="23"/>
      <c r="X212" s="23"/>
      <c r="Y212" s="23"/>
      <c r="Z212" s="23"/>
    </row>
    <row r="213" customFormat="false" ht="15.75" hidden="false" customHeight="true" outlineLevel="0" collapsed="false">
      <c r="A213" s="52" t="n">
        <v>46304</v>
      </c>
      <c r="B213" s="14" t="s">
        <v>173</v>
      </c>
      <c r="C213" s="14" t="str">
        <f aca="false" t="array" ref="C213:C213">IF(B213="","",IFERROR(INDEX('CLM &amp; IM Mapping'!$B$2:$B$270,MATCH(TRIM(B213),'CLM &amp; IM Mapping'!$A$2:$A$270,0)),"Not Mapped"))</f>
        <v>Akshay P</v>
      </c>
      <c r="D213" s="14" t="str">
        <f aca="false" t="array" ref="D213:D213">IF(B213="","",IFERROR(INDEX('CLM &amp; IM Mapping'!$C$2:$C$270,MATCH(TRIM(B213),'CLM &amp; IM Mapping'!$A$2:$A$270,0)),"Not Mapped"))</f>
        <v>Srittam Dhal</v>
      </c>
      <c r="E213" s="14"/>
      <c r="F213" s="14"/>
      <c r="G213" s="14"/>
      <c r="H213" s="14" t="n">
        <v>10</v>
      </c>
      <c r="I213" s="14" t="n">
        <v>10</v>
      </c>
      <c r="J213" s="14" t="n">
        <v>0</v>
      </c>
      <c r="K213" s="14" t="n">
        <v>10</v>
      </c>
      <c r="L213" s="12"/>
      <c r="M213" s="12"/>
      <c r="N213" s="23"/>
      <c r="O213" s="23"/>
      <c r="P213" s="23"/>
      <c r="Q213" s="23"/>
      <c r="R213" s="23"/>
      <c r="S213" s="23"/>
      <c r="T213" s="23"/>
      <c r="U213" s="23"/>
      <c r="V213" s="23"/>
      <c r="W213" s="23"/>
      <c r="X213" s="23"/>
      <c r="Y213" s="23"/>
      <c r="Z213" s="23"/>
    </row>
    <row r="214" customFormat="false" ht="15.75" hidden="false" customHeight="true" outlineLevel="0" collapsed="false">
      <c r="A214" s="52" t="n">
        <v>46304</v>
      </c>
      <c r="B214" s="14" t="s">
        <v>460</v>
      </c>
      <c r="C214" s="14" t="str">
        <f aca="false" t="array" ref="C214:C214">IF(B214="","",IFERROR(INDEX('CLM &amp; IM Mapping'!$B$2:$B$270,MATCH(TRIM(B214),'CLM &amp; IM Mapping'!$A$2:$A$270,0)),"Not Mapped"))</f>
        <v>Vijay M</v>
      </c>
      <c r="D214" s="14" t="str">
        <f aca="false" t="array" ref="D214:D214">IF(B214="","",IFERROR(INDEX('CLM &amp; IM Mapping'!$C$2:$C$270,MATCH(TRIM(B214),'CLM &amp; IM Mapping'!$A$2:$A$270,0)),"Not Mapped"))</f>
        <v>Kantha Kumar</v>
      </c>
      <c r="E214" s="14"/>
      <c r="F214" s="14"/>
      <c r="G214" s="14" t="n">
        <v>9</v>
      </c>
      <c r="H214" s="14" t="n">
        <v>1</v>
      </c>
      <c r="I214" s="14" t="n">
        <v>10</v>
      </c>
      <c r="J214" s="14" t="n">
        <v>0</v>
      </c>
      <c r="K214" s="14" t="n">
        <v>10</v>
      </c>
      <c r="L214" s="12"/>
      <c r="M214" s="12"/>
      <c r="N214" s="23"/>
      <c r="O214" s="23"/>
      <c r="P214" s="23"/>
      <c r="Q214" s="23"/>
      <c r="R214" s="23"/>
      <c r="S214" s="23"/>
      <c r="T214" s="23"/>
      <c r="U214" s="23"/>
      <c r="V214" s="23"/>
      <c r="W214" s="23"/>
      <c r="X214" s="23"/>
      <c r="Y214" s="23"/>
      <c r="Z214" s="23"/>
    </row>
    <row r="215" customFormat="false" ht="15.75" hidden="false" customHeight="true" outlineLevel="0" collapsed="false">
      <c r="A215" s="52" t="n">
        <v>46304</v>
      </c>
      <c r="B215" s="14" t="s">
        <v>159</v>
      </c>
      <c r="C215" s="14" t="str">
        <f aca="false" t="array" ref="C215:C215">IF(B215="","",IFERROR(INDEX('CLM &amp; IM Mapping'!$B$2:$B$270,MATCH(TRIM(B215),'CLM &amp; IM Mapping'!$A$2:$A$270,0)),"Not Mapped"))</f>
        <v>Rizwan Ahmed</v>
      </c>
      <c r="D215" s="14" t="str">
        <f aca="false" t="array" ref="D215:D215">IF(B215="","",IFERROR(INDEX('CLM &amp; IM Mapping'!$C$2:$C$270,MATCH(TRIM(B215),'CLM &amp; IM Mapping'!$A$2:$A$270,0)),"Not Mapped"))</f>
        <v>Un Mapped</v>
      </c>
      <c r="E215" s="14"/>
      <c r="F215" s="14"/>
      <c r="G215" s="14"/>
      <c r="H215" s="14" t="n">
        <v>9</v>
      </c>
      <c r="I215" s="14" t="n">
        <v>0</v>
      </c>
      <c r="J215" s="14" t="n">
        <v>9</v>
      </c>
      <c r="K215" s="14" t="n">
        <v>9</v>
      </c>
      <c r="L215" s="12"/>
      <c r="M215" s="12"/>
      <c r="N215" s="23"/>
      <c r="O215" s="23"/>
      <c r="P215" s="23"/>
      <c r="Q215" s="23"/>
      <c r="R215" s="23"/>
      <c r="S215" s="23"/>
      <c r="T215" s="23"/>
      <c r="U215" s="23"/>
      <c r="V215" s="23"/>
      <c r="W215" s="23"/>
      <c r="X215" s="23"/>
      <c r="Y215" s="23"/>
      <c r="Z215" s="23"/>
    </row>
    <row r="216" customFormat="false" ht="15.75" hidden="false" customHeight="true" outlineLevel="0" collapsed="false">
      <c r="A216" s="52" t="n">
        <v>46304</v>
      </c>
      <c r="B216" s="14" t="s">
        <v>186</v>
      </c>
      <c r="C216" s="14" t="str">
        <f aca="false" t="array" ref="C216:C216">IF(B216="","",IFERROR(INDEX('CLM &amp; IM Mapping'!$B$2:$B$270,MATCH(TRIM(B216),'CLM &amp; IM Mapping'!$A$2:$A$270,0)),"Not Mapped"))</f>
        <v>Silambarasan E</v>
      </c>
      <c r="D216" s="14" t="str">
        <f aca="false" t="array" ref="D216:D216">IF(B216="","",IFERROR(INDEX('CLM &amp; IM Mapping'!$C$2:$C$270,MATCH(TRIM(B216),'CLM &amp; IM Mapping'!$A$2:$A$270,0)),"Not Mapped"))</f>
        <v>Arivind S</v>
      </c>
      <c r="E216" s="14"/>
      <c r="F216" s="14"/>
      <c r="G216" s="14"/>
      <c r="H216" s="14" t="n">
        <v>9</v>
      </c>
      <c r="I216" s="14" t="n">
        <v>9</v>
      </c>
      <c r="J216" s="14" t="n">
        <v>0</v>
      </c>
      <c r="K216" s="14" t="n">
        <v>9</v>
      </c>
      <c r="L216" s="12"/>
      <c r="M216" s="12"/>
      <c r="N216" s="23"/>
      <c r="O216" s="23"/>
      <c r="P216" s="23"/>
      <c r="Q216" s="23"/>
      <c r="R216" s="23"/>
      <c r="S216" s="23"/>
      <c r="T216" s="23"/>
      <c r="U216" s="23"/>
      <c r="V216" s="23"/>
      <c r="W216" s="23"/>
      <c r="X216" s="23"/>
      <c r="Y216" s="23"/>
      <c r="Z216" s="23"/>
    </row>
    <row r="217" customFormat="false" ht="15.75" hidden="false" customHeight="true" outlineLevel="0" collapsed="false">
      <c r="A217" s="52" t="n">
        <v>46304</v>
      </c>
      <c r="B217" s="14" t="s">
        <v>427</v>
      </c>
      <c r="C217" s="14" t="str">
        <f aca="false" t="array" ref="C217:C217">IF(B217="","",IFERROR(INDEX('CLM &amp; IM Mapping'!$B$2:$B$270,MATCH(TRIM(B217),'CLM &amp; IM Mapping'!$A$2:$A$270,0)),"Not Mapped"))</f>
        <v>John Britto</v>
      </c>
      <c r="D217" s="14" t="str">
        <f aca="false" t="array" ref="D217:D217">IF(B217="","",IFERROR(INDEX('CLM &amp; IM Mapping'!$C$2:$C$270,MATCH(TRIM(B217),'CLM &amp; IM Mapping'!$A$2:$A$270,0)),"Not Mapped"))</f>
        <v>Aravind S</v>
      </c>
      <c r="E217" s="14"/>
      <c r="F217" s="14"/>
      <c r="G217" s="14"/>
      <c r="H217" s="14" t="n">
        <v>8</v>
      </c>
      <c r="I217" s="14" t="n">
        <v>8</v>
      </c>
      <c r="J217" s="14" t="n">
        <v>0</v>
      </c>
      <c r="K217" s="14" t="n">
        <v>8</v>
      </c>
      <c r="L217" s="12"/>
      <c r="M217" s="12"/>
      <c r="N217" s="23"/>
      <c r="O217" s="23"/>
      <c r="P217" s="23"/>
      <c r="Q217" s="23"/>
      <c r="R217" s="23"/>
      <c r="S217" s="23"/>
      <c r="T217" s="23"/>
      <c r="U217" s="23"/>
      <c r="V217" s="23"/>
      <c r="W217" s="23"/>
      <c r="X217" s="23"/>
      <c r="Y217" s="23"/>
      <c r="Z217" s="23"/>
    </row>
    <row r="218" customFormat="false" ht="15.75" hidden="false" customHeight="true" outlineLevel="0" collapsed="false">
      <c r="A218" s="52" t="n">
        <v>46304</v>
      </c>
      <c r="B218" s="14" t="s">
        <v>277</v>
      </c>
      <c r="C218" s="14" t="str">
        <f aca="false" t="array" ref="C218:C218">IF(B218="","",IFERROR(INDEX('CLM &amp; IM Mapping'!$B$2:$B$270,MATCH(TRIM(B218),'CLM &amp; IM Mapping'!$A$2:$A$270,0)),"Not Mapped"))</f>
        <v>Santhosha M</v>
      </c>
      <c r="D218" s="14" t="str">
        <f aca="false" t="array" ref="D218:D218">IF(B218="","",IFERROR(INDEX('CLM &amp; IM Mapping'!$C$2:$C$270,MATCH(TRIM(B218),'CLM &amp; IM Mapping'!$A$2:$A$270,0)),"Not Mapped"))</f>
        <v>Aravind S</v>
      </c>
      <c r="E218" s="14"/>
      <c r="F218" s="14"/>
      <c r="G218" s="14"/>
      <c r="H218" s="14" t="n">
        <v>7</v>
      </c>
      <c r="I218" s="14" t="n">
        <v>7</v>
      </c>
      <c r="J218" s="14" t="n">
        <v>0</v>
      </c>
      <c r="K218" s="14" t="n">
        <v>7</v>
      </c>
      <c r="L218" s="12"/>
      <c r="M218" s="12"/>
      <c r="N218" s="23"/>
      <c r="O218" s="23"/>
      <c r="P218" s="23"/>
      <c r="Q218" s="23"/>
      <c r="R218" s="23"/>
      <c r="S218" s="23"/>
      <c r="T218" s="23"/>
      <c r="U218" s="23"/>
      <c r="V218" s="23"/>
      <c r="W218" s="23"/>
      <c r="X218" s="23"/>
      <c r="Y218" s="23"/>
      <c r="Z218" s="23"/>
    </row>
    <row r="219" customFormat="false" ht="15.75" hidden="false" customHeight="true" outlineLevel="0" collapsed="false">
      <c r="A219" s="52" t="n">
        <v>46304</v>
      </c>
      <c r="B219" s="14" t="s">
        <v>483</v>
      </c>
      <c r="C219" s="14" t="str">
        <f aca="false" t="array" ref="C219:C219">IF(B219="","",IFERROR(INDEX('CLM &amp; IM Mapping'!$B$2:$B$270,MATCH(TRIM(B219),'CLM &amp; IM Mapping'!$A$2:$A$270,0)),"Not Mapped"))</f>
        <v>Sundaresh S</v>
      </c>
      <c r="D219" s="14" t="str">
        <f aca="false" t="array" ref="D219:D219">IF(B219="","",IFERROR(INDEX('CLM &amp; IM Mapping'!$C$2:$C$270,MATCH(TRIM(B219),'CLM &amp; IM Mapping'!$A$2:$A$270,0)),"Not Mapped"))</f>
        <v>Un Mapped</v>
      </c>
      <c r="E219" s="14"/>
      <c r="F219" s="14"/>
      <c r="G219" s="14"/>
      <c r="H219" s="14" t="n">
        <v>7</v>
      </c>
      <c r="I219" s="14" t="n">
        <v>7</v>
      </c>
      <c r="J219" s="14" t="n">
        <v>0</v>
      </c>
      <c r="K219" s="14" t="n">
        <v>7</v>
      </c>
      <c r="L219" s="12"/>
      <c r="M219" s="12"/>
      <c r="N219" s="23"/>
      <c r="O219" s="23"/>
      <c r="P219" s="23"/>
      <c r="Q219" s="23"/>
      <c r="R219" s="23"/>
      <c r="S219" s="23"/>
      <c r="T219" s="23"/>
      <c r="U219" s="23"/>
      <c r="V219" s="23"/>
      <c r="W219" s="23"/>
      <c r="X219" s="23"/>
      <c r="Y219" s="23"/>
      <c r="Z219" s="23"/>
    </row>
    <row r="220" customFormat="false" ht="15.75" hidden="false" customHeight="true" outlineLevel="0" collapsed="false">
      <c r="A220" s="52" t="n">
        <v>46304</v>
      </c>
      <c r="B220" s="14" t="s">
        <v>94</v>
      </c>
      <c r="C220" s="14" t="str">
        <f aca="false" t="array" ref="C220:C220">IF(B220="","",IFERROR(INDEX('CLM &amp; IM Mapping'!$B$2:$B$270,MATCH(TRIM(B220),'CLM &amp; IM Mapping'!$A$2:$A$270,0)),"Not Mapped"))</f>
        <v>Ashwath S</v>
      </c>
      <c r="D220" s="14" t="str">
        <f aca="false" t="array" ref="D220:D220">IF(B220="","",IFERROR(INDEX('CLM &amp; IM Mapping'!$C$2:$C$270,MATCH(TRIM(B220),'CLM &amp; IM Mapping'!$A$2:$A$270,0)),"Not Mapped"))</f>
        <v>Kantha Kumar</v>
      </c>
      <c r="E220" s="14"/>
      <c r="F220" s="14"/>
      <c r="G220" s="14"/>
      <c r="H220" s="14" t="n">
        <v>6</v>
      </c>
      <c r="I220" s="14" t="n">
        <v>0</v>
      </c>
      <c r="J220" s="14" t="n">
        <v>6</v>
      </c>
      <c r="K220" s="14" t="n">
        <v>6</v>
      </c>
      <c r="L220" s="12"/>
      <c r="M220" s="12"/>
      <c r="N220" s="23"/>
      <c r="O220" s="23"/>
      <c r="P220" s="23"/>
      <c r="Q220" s="23"/>
      <c r="R220" s="23"/>
      <c r="S220" s="23"/>
      <c r="T220" s="23"/>
      <c r="U220" s="23"/>
      <c r="V220" s="23"/>
      <c r="W220" s="23"/>
      <c r="X220" s="23"/>
      <c r="Y220" s="23"/>
      <c r="Z220" s="23"/>
    </row>
    <row r="221" customFormat="false" ht="15.75" hidden="false" customHeight="true" outlineLevel="0" collapsed="false">
      <c r="A221" s="52" t="n">
        <v>46304</v>
      </c>
      <c r="B221" s="14" t="s">
        <v>70</v>
      </c>
      <c r="C221" s="14" t="str">
        <f aca="false" t="array" ref="C221:C221">IF(B221="","",IFERROR(INDEX('CLM &amp; IM Mapping'!$B$2:$B$270,MATCH(TRIM(B221),'CLM &amp; IM Mapping'!$A$2:$A$270,0)),"Not Mapped"))</f>
        <v>Rizwan Ahmed</v>
      </c>
      <c r="D221" s="14" t="str">
        <f aca="false" t="array" ref="D221:D221">IF(B221="","",IFERROR(INDEX('CLM &amp; IM Mapping'!$C$2:$C$270,MATCH(TRIM(B221),'CLM &amp; IM Mapping'!$A$2:$A$270,0)),"Not Mapped"))</f>
        <v>Un Mapped</v>
      </c>
      <c r="E221" s="14"/>
      <c r="F221" s="14"/>
      <c r="G221" s="14"/>
      <c r="H221" s="14" t="n">
        <v>6</v>
      </c>
      <c r="I221" s="14" t="n">
        <v>6</v>
      </c>
      <c r="J221" s="14" t="n">
        <v>0</v>
      </c>
      <c r="K221" s="14" t="n">
        <v>6</v>
      </c>
      <c r="L221" s="12"/>
      <c r="M221" s="12"/>
      <c r="N221" s="23"/>
      <c r="O221" s="23"/>
      <c r="P221" s="23"/>
      <c r="Q221" s="23"/>
      <c r="R221" s="23"/>
      <c r="S221" s="23"/>
      <c r="T221" s="23"/>
      <c r="U221" s="23"/>
      <c r="V221" s="23"/>
      <c r="W221" s="23"/>
      <c r="X221" s="23"/>
      <c r="Y221" s="23"/>
      <c r="Z221" s="23"/>
    </row>
    <row r="222" customFormat="false" ht="15.75" hidden="false" customHeight="true" outlineLevel="0" collapsed="false">
      <c r="A222" s="52" t="n">
        <v>46304</v>
      </c>
      <c r="B222" s="14" t="s">
        <v>390</v>
      </c>
      <c r="C222" s="14" t="str">
        <f aca="false" t="array" ref="C222:C222">IF(B222="","",IFERROR(INDEX('CLM &amp; IM Mapping'!$B$2:$B$270,MATCH(TRIM(B222),'CLM &amp; IM Mapping'!$A$2:$A$270,0)),"Not Mapped"))</f>
        <v>Sundaresh S</v>
      </c>
      <c r="D222" s="14" t="str">
        <f aca="false" t="array" ref="D222:D222">IF(B222="","",IFERROR(INDEX('CLM &amp; IM Mapping'!$C$2:$C$270,MATCH(TRIM(B222),'CLM &amp; IM Mapping'!$A$2:$A$270,0)),"Not Mapped"))</f>
        <v>Un Mapped</v>
      </c>
      <c r="E222" s="14"/>
      <c r="F222" s="14"/>
      <c r="G222" s="14"/>
      <c r="H222" s="14" t="n">
        <v>6</v>
      </c>
      <c r="I222" s="14" t="n">
        <v>0</v>
      </c>
      <c r="J222" s="14" t="n">
        <v>6</v>
      </c>
      <c r="K222" s="14" t="n">
        <v>6</v>
      </c>
      <c r="L222" s="12"/>
      <c r="M222" s="12"/>
      <c r="N222" s="23"/>
      <c r="O222" s="23"/>
      <c r="P222" s="23"/>
      <c r="Q222" s="23"/>
      <c r="R222" s="23"/>
      <c r="S222" s="23"/>
      <c r="T222" s="23"/>
      <c r="U222" s="23"/>
      <c r="V222" s="23"/>
      <c r="W222" s="23"/>
      <c r="X222" s="23"/>
      <c r="Y222" s="23"/>
      <c r="Z222" s="23"/>
    </row>
    <row r="223" customFormat="false" ht="15.75" hidden="false" customHeight="true" outlineLevel="0" collapsed="false">
      <c r="A223" s="52" t="n">
        <v>46304</v>
      </c>
      <c r="B223" s="14" t="s">
        <v>53</v>
      </c>
      <c r="C223" s="14" t="str">
        <f aca="false" t="array" ref="C223:C223">IF(B223="","",IFERROR(INDEX('CLM &amp; IM Mapping'!$B$2:$B$270,MATCH(TRIM(B223),'CLM &amp; IM Mapping'!$A$2:$A$270,0)),"Not Mapped"))</f>
        <v>Richard Harris</v>
      </c>
      <c r="D223" s="14" t="str">
        <f aca="false" t="array" ref="D223:D223">IF(B223="","",IFERROR(INDEX('CLM &amp; IM Mapping'!$C$2:$C$270,MATCH(TRIM(B223),'CLM &amp; IM Mapping'!$A$2:$A$270,0)),"Not Mapped"))</f>
        <v>Kantha Kumar</v>
      </c>
      <c r="E223" s="14"/>
      <c r="F223" s="14"/>
      <c r="G223" s="14"/>
      <c r="H223" s="14" t="n">
        <v>6</v>
      </c>
      <c r="I223" s="14" t="n">
        <v>0</v>
      </c>
      <c r="J223" s="14" t="n">
        <v>6</v>
      </c>
      <c r="K223" s="14" t="n">
        <v>6</v>
      </c>
      <c r="L223" s="12"/>
      <c r="M223" s="12"/>
      <c r="N223" s="23"/>
      <c r="O223" s="23"/>
      <c r="P223" s="23"/>
      <c r="Q223" s="23"/>
      <c r="R223" s="23"/>
      <c r="S223" s="23"/>
      <c r="T223" s="23"/>
      <c r="U223" s="23"/>
      <c r="V223" s="23"/>
      <c r="W223" s="23"/>
      <c r="X223" s="23"/>
      <c r="Y223" s="23"/>
      <c r="Z223" s="23"/>
    </row>
    <row r="224" customFormat="false" ht="15.75" hidden="false" customHeight="true" outlineLevel="0" collapsed="false">
      <c r="A224" s="52" t="n">
        <v>46304</v>
      </c>
      <c r="B224" s="14" t="s">
        <v>364</v>
      </c>
      <c r="C224" s="14" t="str">
        <f aca="false" t="array" ref="C224:C224">IF(B224="","",IFERROR(INDEX('CLM &amp; IM Mapping'!$B$2:$B$270,MATCH(TRIM(B224),'CLM &amp; IM Mapping'!$A$2:$A$270,0)),"Not Mapped"))</f>
        <v>Raghavendra Vernekar</v>
      </c>
      <c r="D224" s="14" t="str">
        <f aca="false" t="array" ref="D224:D224">IF(B224="","",IFERROR(INDEX('CLM &amp; IM Mapping'!$C$2:$C$270,MATCH(TRIM(B224),'CLM &amp; IM Mapping'!$A$2:$A$270,0)),"Not Mapped"))</f>
        <v>Prakash BS</v>
      </c>
      <c r="E224" s="14"/>
      <c r="F224" s="14" t="n">
        <v>5</v>
      </c>
      <c r="G224" s="14"/>
      <c r="H224" s="14" t="n">
        <v>1</v>
      </c>
      <c r="I224" s="14" t="n">
        <v>0</v>
      </c>
      <c r="J224" s="14" t="n">
        <v>6</v>
      </c>
      <c r="K224" s="14" t="n">
        <v>6</v>
      </c>
      <c r="L224" s="12" t="s">
        <v>802</v>
      </c>
      <c r="M224" s="12" t="s">
        <v>801</v>
      </c>
      <c r="N224" s="23"/>
      <c r="O224" s="23"/>
      <c r="P224" s="23"/>
      <c r="Q224" s="23"/>
      <c r="R224" s="23"/>
      <c r="S224" s="23"/>
      <c r="T224" s="23"/>
      <c r="U224" s="23"/>
      <c r="V224" s="23"/>
      <c r="W224" s="23"/>
      <c r="X224" s="23"/>
      <c r="Y224" s="23"/>
      <c r="Z224" s="23"/>
    </row>
    <row r="225" customFormat="false" ht="15.75" hidden="false" customHeight="true" outlineLevel="0" collapsed="false">
      <c r="A225" s="52" t="n">
        <v>46304</v>
      </c>
      <c r="B225" s="14" t="s">
        <v>254</v>
      </c>
      <c r="C225" s="14" t="str">
        <f aca="false" t="array" ref="C225:C225">IF(B225="","",IFERROR(INDEX('CLM &amp; IM Mapping'!$B$2:$B$270,MATCH(TRIM(B225),'CLM &amp; IM Mapping'!$A$2:$A$270,0)),"Not Mapped"))</f>
        <v>Basil Scariya</v>
      </c>
      <c r="D225" s="14" t="str">
        <f aca="false" t="array" ref="D225:D225">IF(B225="","",IFERROR(INDEX('CLM &amp; IM Mapping'!$C$2:$C$270,MATCH(TRIM(B225),'CLM &amp; IM Mapping'!$A$2:$A$270,0)),"Not Mapped"))</f>
        <v>Prakash BS</v>
      </c>
      <c r="E225" s="14"/>
      <c r="F225" s="14"/>
      <c r="G225" s="14"/>
      <c r="H225" s="14" t="n">
        <v>6</v>
      </c>
      <c r="I225" s="14" t="n">
        <v>6</v>
      </c>
      <c r="J225" s="14" t="n">
        <v>0</v>
      </c>
      <c r="K225" s="14" t="n">
        <v>6</v>
      </c>
      <c r="L225" s="12" t="s">
        <v>802</v>
      </c>
      <c r="M225" s="12" t="s">
        <v>801</v>
      </c>
      <c r="N225" s="23"/>
      <c r="O225" s="23"/>
      <c r="P225" s="23"/>
      <c r="Q225" s="23"/>
      <c r="R225" s="23"/>
      <c r="S225" s="23"/>
      <c r="T225" s="23"/>
      <c r="U225" s="23"/>
      <c r="V225" s="23"/>
      <c r="W225" s="23"/>
      <c r="X225" s="23"/>
      <c r="Y225" s="23"/>
      <c r="Z225" s="23"/>
    </row>
    <row r="226" customFormat="false" ht="15.75" hidden="false" customHeight="true" outlineLevel="0" collapsed="false">
      <c r="A226" s="52" t="n">
        <v>46304</v>
      </c>
      <c r="B226" s="14" t="s">
        <v>317</v>
      </c>
      <c r="C226" s="14" t="str">
        <f aca="false" t="array" ref="C226:C226">IF(B226="","",IFERROR(INDEX('CLM &amp; IM Mapping'!$B$2:$B$270,MATCH(TRIM(B226),'CLM &amp; IM Mapping'!$A$2:$A$270,0)),"Not Mapped"))</f>
        <v>Akshay P</v>
      </c>
      <c r="D226" s="14" t="str">
        <f aca="false" t="array" ref="D226:D226">IF(B226="","",IFERROR(INDEX('CLM &amp; IM Mapping'!$C$2:$C$270,MATCH(TRIM(B226),'CLM &amp; IM Mapping'!$A$2:$A$270,0)),"Not Mapped"))</f>
        <v>Srittam Dhal</v>
      </c>
      <c r="E226" s="14"/>
      <c r="F226" s="14"/>
      <c r="G226" s="14"/>
      <c r="H226" s="14" t="n">
        <v>5</v>
      </c>
      <c r="I226" s="14" t="n">
        <v>5</v>
      </c>
      <c r="J226" s="14" t="n">
        <v>0</v>
      </c>
      <c r="K226" s="14" t="n">
        <v>5</v>
      </c>
      <c r="L226" s="12"/>
      <c r="M226" s="12"/>
      <c r="N226" s="23"/>
      <c r="O226" s="23"/>
      <c r="P226" s="23"/>
      <c r="Q226" s="23"/>
      <c r="R226" s="23"/>
      <c r="S226" s="23"/>
      <c r="T226" s="23"/>
      <c r="U226" s="23"/>
      <c r="V226" s="23"/>
      <c r="W226" s="23"/>
      <c r="X226" s="23"/>
      <c r="Y226" s="23"/>
      <c r="Z226" s="23"/>
    </row>
    <row r="227" customFormat="false" ht="15.75" hidden="false" customHeight="true" outlineLevel="0" collapsed="false">
      <c r="A227" s="52" t="n">
        <v>46304</v>
      </c>
      <c r="B227" s="14" t="s">
        <v>83</v>
      </c>
      <c r="C227" s="14" t="str">
        <f aca="false" t="array" ref="C227:C227">IF(B227="","",IFERROR(INDEX('CLM &amp; IM Mapping'!$B$2:$B$270,MATCH(TRIM(B227),'CLM &amp; IM Mapping'!$A$2:$A$270,0)),"Not Mapped"))</f>
        <v>Keshav G</v>
      </c>
      <c r="D227" s="14" t="str">
        <f aca="false" t="array" ref="D227:D227">IF(B227="","",IFERROR(INDEX('CLM &amp; IM Mapping'!$C$2:$C$270,MATCH(TRIM(B227),'CLM &amp; IM Mapping'!$A$2:$A$270,0)),"Not Mapped"))</f>
        <v>Mohammed Akbar</v>
      </c>
      <c r="E227" s="14"/>
      <c r="F227" s="14"/>
      <c r="G227" s="14"/>
      <c r="H227" s="14" t="n">
        <v>5</v>
      </c>
      <c r="I227" s="14" t="n">
        <v>0</v>
      </c>
      <c r="J227" s="14" t="n">
        <v>5</v>
      </c>
      <c r="K227" s="14" t="n">
        <v>5</v>
      </c>
      <c r="L227" s="12"/>
      <c r="M227" s="12"/>
      <c r="N227" s="23"/>
      <c r="O227" s="23"/>
      <c r="P227" s="23"/>
      <c r="Q227" s="23"/>
      <c r="R227" s="23"/>
      <c r="S227" s="23"/>
      <c r="T227" s="23"/>
      <c r="U227" s="23"/>
      <c r="V227" s="23"/>
      <c r="W227" s="23"/>
      <c r="X227" s="23"/>
      <c r="Y227" s="23"/>
      <c r="Z227" s="23"/>
    </row>
    <row r="228" customFormat="false" ht="15.75" hidden="false" customHeight="true" outlineLevel="0" collapsed="false">
      <c r="A228" s="52" t="n">
        <v>46304</v>
      </c>
      <c r="B228" s="14" t="s">
        <v>488</v>
      </c>
      <c r="C228" s="14" t="str">
        <f aca="false" t="array" ref="C228:C228">IF(B228="","",IFERROR(INDEX('CLM &amp; IM Mapping'!$B$2:$B$270,MATCH(TRIM(B228),'CLM &amp; IM Mapping'!$A$2:$A$270,0)),"Not Mapped"))</f>
        <v>Sundaresh S</v>
      </c>
      <c r="D228" s="14" t="str">
        <f aca="false" t="array" ref="D228:D228">IF(B228="","",IFERROR(INDEX('CLM &amp; IM Mapping'!$C$2:$C$270,MATCH(TRIM(B228),'CLM &amp; IM Mapping'!$A$2:$A$270,0)),"Not Mapped"))</f>
        <v>Un Mapped</v>
      </c>
      <c r="E228" s="14"/>
      <c r="F228" s="14"/>
      <c r="G228" s="14"/>
      <c r="H228" s="14" t="n">
        <v>5</v>
      </c>
      <c r="I228" s="14" t="n">
        <v>5</v>
      </c>
      <c r="J228" s="14" t="n">
        <v>0</v>
      </c>
      <c r="K228" s="14" t="n">
        <v>5</v>
      </c>
      <c r="L228" s="12"/>
      <c r="M228" s="12"/>
      <c r="N228" s="23"/>
      <c r="O228" s="23"/>
      <c r="P228" s="23"/>
      <c r="Q228" s="23"/>
      <c r="R228" s="23"/>
      <c r="S228" s="23"/>
      <c r="T228" s="23"/>
      <c r="U228" s="23"/>
      <c r="V228" s="23"/>
      <c r="W228" s="23"/>
      <c r="X228" s="23"/>
      <c r="Y228" s="23"/>
      <c r="Z228" s="23"/>
    </row>
    <row r="229" customFormat="false" ht="15.75" hidden="false" customHeight="true" outlineLevel="0" collapsed="false">
      <c r="A229" s="52" t="n">
        <v>46304</v>
      </c>
      <c r="B229" s="14" t="s">
        <v>293</v>
      </c>
      <c r="C229" s="14" t="str">
        <f aca="false" t="array" ref="C229:C229">IF(B229="","",IFERROR(INDEX('CLM &amp; IM Mapping'!$B$2:$B$270,MATCH(TRIM(B229),'CLM &amp; IM Mapping'!$A$2:$A$270,0)),"Not Mapped"))</f>
        <v>Suhas N</v>
      </c>
      <c r="D229" s="14" t="str">
        <f aca="false" t="array" ref="D229:D229">IF(B229="","",IFERROR(INDEX('CLM &amp; IM Mapping'!$C$2:$C$270,MATCH(TRIM(B229),'CLM &amp; IM Mapping'!$A$2:$A$270,0)),"Not Mapped"))</f>
        <v>Aravind S</v>
      </c>
      <c r="E229" s="14"/>
      <c r="F229" s="14"/>
      <c r="G229" s="14"/>
      <c r="H229" s="14" t="n">
        <v>4</v>
      </c>
      <c r="I229" s="14" t="n">
        <v>4</v>
      </c>
      <c r="J229" s="14" t="n">
        <v>0</v>
      </c>
      <c r="K229" s="14" t="n">
        <v>4</v>
      </c>
      <c r="L229" s="12"/>
      <c r="M229" s="12"/>
      <c r="N229" s="23"/>
      <c r="O229" s="23"/>
      <c r="P229" s="23"/>
      <c r="Q229" s="23"/>
      <c r="R229" s="23"/>
      <c r="S229" s="23"/>
      <c r="T229" s="23"/>
      <c r="U229" s="23"/>
      <c r="V229" s="23"/>
      <c r="W229" s="23"/>
      <c r="X229" s="23"/>
      <c r="Y229" s="23"/>
      <c r="Z229" s="23"/>
    </row>
    <row r="230" customFormat="false" ht="15.75" hidden="false" customHeight="true" outlineLevel="0" collapsed="false">
      <c r="A230" s="52" t="n">
        <v>46304</v>
      </c>
      <c r="B230" s="14" t="s">
        <v>369</v>
      </c>
      <c r="C230" s="14" t="str">
        <f aca="false" t="array" ref="C230:C230">IF(B230="","",IFERROR(INDEX('CLM &amp; IM Mapping'!$B$2:$B$270,MATCH(TRIM(B230),'CLM &amp; IM Mapping'!$A$2:$A$270,0)),"Not Mapped"))</f>
        <v>Not Mapped</v>
      </c>
      <c r="D230" s="14" t="str">
        <f aca="false" t="array" ref="D230:D230">IF(B230="","",IFERROR(INDEX('CLM &amp; IM Mapping'!$C$2:$C$270,MATCH(TRIM(B230),'CLM &amp; IM Mapping'!$A$2:$A$270,0)),"Not Mapped"))</f>
        <v>Not Mapped</v>
      </c>
      <c r="E230" s="14"/>
      <c r="F230" s="14"/>
      <c r="G230" s="14"/>
      <c r="H230" s="14" t="n">
        <v>4</v>
      </c>
      <c r="I230" s="14" t="n">
        <v>4</v>
      </c>
      <c r="J230" s="14" t="n">
        <v>0</v>
      </c>
      <c r="K230" s="14" t="n">
        <v>4</v>
      </c>
      <c r="L230" s="12"/>
      <c r="M230" s="12"/>
      <c r="N230" s="23"/>
      <c r="O230" s="23"/>
      <c r="P230" s="23"/>
      <c r="Q230" s="23"/>
      <c r="R230" s="23"/>
      <c r="S230" s="23"/>
      <c r="T230" s="23"/>
      <c r="U230" s="23"/>
      <c r="V230" s="23"/>
      <c r="W230" s="23"/>
      <c r="X230" s="23"/>
      <c r="Y230" s="23"/>
      <c r="Z230" s="23"/>
    </row>
    <row r="231" customFormat="false" ht="15.75" hidden="false" customHeight="true" outlineLevel="0" collapsed="false">
      <c r="A231" s="52" t="n">
        <v>46304</v>
      </c>
      <c r="B231" s="14" t="s">
        <v>365</v>
      </c>
      <c r="C231" s="14" t="str">
        <f aca="false" t="array" ref="C231:C231">IF(B231="","",IFERROR(INDEX('CLM &amp; IM Mapping'!$B$2:$B$270,MATCH(TRIM(B231),'CLM &amp; IM Mapping'!$A$2:$A$270,0)),"Not Mapped"))</f>
        <v>Raghavendra Vernekar</v>
      </c>
      <c r="D231" s="14" t="str">
        <f aca="false" t="array" ref="D231:D231">IF(B231="","",IFERROR(INDEX('CLM &amp; IM Mapping'!$C$2:$C$270,MATCH(TRIM(B231),'CLM &amp; IM Mapping'!$A$2:$A$270,0)),"Not Mapped"))</f>
        <v>Prakash BS</v>
      </c>
      <c r="E231" s="14"/>
      <c r="F231" s="14"/>
      <c r="G231" s="14"/>
      <c r="H231" s="14" t="n">
        <v>4</v>
      </c>
      <c r="I231" s="14" t="n">
        <v>4</v>
      </c>
      <c r="J231" s="14" t="n">
        <v>0</v>
      </c>
      <c r="K231" s="14" t="n">
        <v>4</v>
      </c>
      <c r="L231" s="12" t="s">
        <v>803</v>
      </c>
      <c r="M231" s="12" t="s">
        <v>804</v>
      </c>
      <c r="N231" s="23"/>
      <c r="O231" s="23"/>
      <c r="P231" s="23"/>
      <c r="Q231" s="23"/>
      <c r="R231" s="23"/>
      <c r="S231" s="23"/>
      <c r="T231" s="23"/>
      <c r="U231" s="23"/>
      <c r="V231" s="23"/>
      <c r="W231" s="23"/>
      <c r="X231" s="23"/>
      <c r="Y231" s="23"/>
      <c r="Z231" s="23"/>
    </row>
    <row r="232" customFormat="false" ht="15.75" hidden="false" customHeight="true" outlineLevel="0" collapsed="false">
      <c r="A232" s="52" t="n">
        <v>46304</v>
      </c>
      <c r="B232" s="14" t="s">
        <v>118</v>
      </c>
      <c r="C232" s="14" t="str">
        <f aca="false" t="array" ref="C232:C232">IF(B232="","",IFERROR(INDEX('CLM &amp; IM Mapping'!$B$2:$B$270,MATCH(TRIM(B232),'CLM &amp; IM Mapping'!$A$2:$A$270,0)),"Not Mapped"))</f>
        <v>Adhavan Subramani</v>
      </c>
      <c r="D232" s="14" t="str">
        <f aca="false" t="array" ref="D232:D232">IF(B232="","",IFERROR(INDEX('CLM &amp; IM Mapping'!$C$2:$C$270,MATCH(TRIM(B232),'CLM &amp; IM Mapping'!$A$2:$A$270,0)),"Not Mapped"))</f>
        <v>Mohammed Akbar</v>
      </c>
      <c r="E232" s="14"/>
      <c r="F232" s="14"/>
      <c r="G232" s="14"/>
      <c r="H232" s="14" t="n">
        <v>4</v>
      </c>
      <c r="I232" s="14" t="n">
        <v>0</v>
      </c>
      <c r="J232" s="14" t="n">
        <v>4</v>
      </c>
      <c r="K232" s="14" t="n">
        <v>4</v>
      </c>
      <c r="L232" s="12"/>
      <c r="M232" s="12"/>
      <c r="N232" s="23"/>
      <c r="O232" s="23"/>
      <c r="P232" s="23"/>
      <c r="Q232" s="23"/>
      <c r="R232" s="23"/>
      <c r="S232" s="23"/>
      <c r="T232" s="23"/>
      <c r="U232" s="23"/>
      <c r="V232" s="23"/>
      <c r="W232" s="23"/>
      <c r="X232" s="23"/>
      <c r="Y232" s="23"/>
      <c r="Z232" s="23"/>
    </row>
    <row r="233" customFormat="false" ht="15.75" hidden="false" customHeight="true" outlineLevel="0" collapsed="false">
      <c r="A233" s="52" t="n">
        <v>46304</v>
      </c>
      <c r="B233" s="14" t="s">
        <v>139</v>
      </c>
      <c r="C233" s="14" t="str">
        <f aca="false" t="array" ref="C233:C233">IF(B233="","",IFERROR(INDEX('CLM &amp; IM Mapping'!$B$2:$B$270,MATCH(TRIM(B233),'CLM &amp; IM Mapping'!$A$2:$A$270,0)),"Not Mapped"))</f>
        <v>Mohaideen DH</v>
      </c>
      <c r="D233" s="14" t="str">
        <f aca="false" t="array" ref="D233:D233">IF(B233="","",IFERROR(INDEX('CLM &amp; IM Mapping'!$C$2:$C$270,MATCH(TRIM(B233),'CLM &amp; IM Mapping'!$A$2:$A$270,0)),"Not Mapped"))</f>
        <v>Mohammed Akbar</v>
      </c>
      <c r="E233" s="14"/>
      <c r="F233" s="14"/>
      <c r="G233" s="14"/>
      <c r="H233" s="14" t="n">
        <v>3</v>
      </c>
      <c r="I233" s="14" t="n">
        <v>3</v>
      </c>
      <c r="J233" s="14" t="n">
        <v>0</v>
      </c>
      <c r="K233" s="14" t="n">
        <v>3</v>
      </c>
      <c r="L233" s="12"/>
      <c r="M233" s="12"/>
      <c r="N233" s="23"/>
      <c r="O233" s="23"/>
      <c r="P233" s="23"/>
      <c r="Q233" s="23"/>
      <c r="R233" s="23"/>
      <c r="S233" s="23"/>
      <c r="T233" s="23"/>
      <c r="U233" s="23"/>
      <c r="V233" s="23"/>
      <c r="W233" s="23"/>
      <c r="X233" s="23"/>
      <c r="Y233" s="23"/>
      <c r="Z233" s="23"/>
    </row>
    <row r="234" customFormat="false" ht="15.75" hidden="false" customHeight="true" outlineLevel="0" collapsed="false">
      <c r="A234" s="52" t="n">
        <v>46304</v>
      </c>
      <c r="B234" s="14" t="s">
        <v>62</v>
      </c>
      <c r="C234" s="14" t="str">
        <f aca="false" t="array" ref="C234:C234">IF(B234="","",IFERROR(INDEX('CLM &amp; IM Mapping'!$B$2:$B$270,MATCH(TRIM(B234),'CLM &amp; IM Mapping'!$A$2:$A$270,0)),"Not Mapped"))</f>
        <v>Basil Scariya</v>
      </c>
      <c r="D234" s="14" t="str">
        <f aca="false" t="array" ref="D234:D234">IF(B234="","",IFERROR(INDEX('CLM &amp; IM Mapping'!$C$2:$C$270,MATCH(TRIM(B234),'CLM &amp; IM Mapping'!$A$2:$A$270,0)),"Not Mapped"))</f>
        <v>Prakash BS</v>
      </c>
      <c r="E234" s="14"/>
      <c r="F234" s="14"/>
      <c r="G234" s="14"/>
      <c r="H234" s="14" t="n">
        <v>3</v>
      </c>
      <c r="I234" s="14" t="n">
        <v>0</v>
      </c>
      <c r="J234" s="14" t="n">
        <v>3</v>
      </c>
      <c r="K234" s="14" t="n">
        <v>3</v>
      </c>
      <c r="L234" s="12" t="s">
        <v>805</v>
      </c>
      <c r="M234" s="12"/>
      <c r="N234" s="23"/>
      <c r="O234" s="23"/>
      <c r="P234" s="23"/>
      <c r="Q234" s="23"/>
      <c r="R234" s="23"/>
      <c r="S234" s="23"/>
      <c r="T234" s="23"/>
      <c r="U234" s="23"/>
      <c r="V234" s="23"/>
      <c r="W234" s="23"/>
      <c r="X234" s="23"/>
      <c r="Y234" s="23"/>
      <c r="Z234" s="23"/>
    </row>
    <row r="235" customFormat="false" ht="15.75" hidden="false" customHeight="true" outlineLevel="0" collapsed="false">
      <c r="A235" s="52" t="n">
        <v>46304</v>
      </c>
      <c r="B235" s="14" t="s">
        <v>238</v>
      </c>
      <c r="C235" s="14" t="str">
        <f aca="false" t="array" ref="C235:C235">IF(B235="","",IFERROR(INDEX('CLM &amp; IM Mapping'!$B$2:$B$270,MATCH(TRIM(B235),'CLM &amp; IM Mapping'!$A$2:$A$270,0)),"Not Mapped"))</f>
        <v>Suhas N</v>
      </c>
      <c r="D235" s="14" t="str">
        <f aca="false" t="array" ref="D235:D235">IF(B235="","",IFERROR(INDEX('CLM &amp; IM Mapping'!$C$2:$C$270,MATCH(TRIM(B235),'CLM &amp; IM Mapping'!$A$2:$A$270,0)),"Not Mapped"))</f>
        <v>Aravind S</v>
      </c>
      <c r="E235" s="14"/>
      <c r="F235" s="14"/>
      <c r="G235" s="14"/>
      <c r="H235" s="14" t="n">
        <v>3</v>
      </c>
      <c r="I235" s="14" t="n">
        <v>0</v>
      </c>
      <c r="J235" s="14" t="n">
        <v>3</v>
      </c>
      <c r="K235" s="14" t="n">
        <v>3</v>
      </c>
      <c r="L235" s="12"/>
      <c r="M235" s="12"/>
      <c r="N235" s="23"/>
      <c r="O235" s="23"/>
      <c r="P235" s="23"/>
      <c r="Q235" s="23"/>
      <c r="R235" s="23"/>
      <c r="S235" s="23"/>
      <c r="T235" s="23"/>
      <c r="U235" s="23"/>
      <c r="V235" s="23"/>
      <c r="W235" s="23"/>
      <c r="X235" s="23"/>
      <c r="Y235" s="23"/>
      <c r="Z235" s="23"/>
    </row>
    <row r="236" customFormat="false" ht="15.75" hidden="false" customHeight="true" outlineLevel="0" collapsed="false">
      <c r="A236" s="52" t="n">
        <v>46304</v>
      </c>
      <c r="B236" s="14" t="s">
        <v>203</v>
      </c>
      <c r="C236" s="14" t="str">
        <f aca="false" t="array" ref="C236:C236">IF(B236="","",IFERROR(INDEX('CLM &amp; IM Mapping'!$B$2:$B$270,MATCH(TRIM(B236),'CLM &amp; IM Mapping'!$A$2:$A$270,0)),"Not Mapped"))</f>
        <v>Suhas N</v>
      </c>
      <c r="D236" s="14" t="str">
        <f aca="false" t="array" ref="D236:D236">IF(B236="","",IFERROR(INDEX('CLM &amp; IM Mapping'!$C$2:$C$270,MATCH(TRIM(B236),'CLM &amp; IM Mapping'!$A$2:$A$270,0)),"Not Mapped"))</f>
        <v>Aravind S</v>
      </c>
      <c r="E236" s="14"/>
      <c r="F236" s="14"/>
      <c r="G236" s="14"/>
      <c r="H236" s="14" t="n">
        <v>3</v>
      </c>
      <c r="I236" s="14" t="n">
        <v>3</v>
      </c>
      <c r="J236" s="14" t="n">
        <v>0</v>
      </c>
      <c r="K236" s="14" t="n">
        <v>3</v>
      </c>
      <c r="L236" s="12"/>
      <c r="M236" s="12"/>
      <c r="N236" s="23"/>
      <c r="O236" s="23"/>
      <c r="P236" s="23"/>
      <c r="Q236" s="23"/>
      <c r="R236" s="23"/>
      <c r="S236" s="23"/>
      <c r="T236" s="23"/>
      <c r="U236" s="23"/>
      <c r="V236" s="23"/>
      <c r="W236" s="23"/>
      <c r="X236" s="23"/>
      <c r="Y236" s="23"/>
      <c r="Z236" s="23"/>
    </row>
    <row r="237" customFormat="false" ht="15.75" hidden="false" customHeight="true" outlineLevel="0" collapsed="false">
      <c r="A237" s="52" t="n">
        <v>46304</v>
      </c>
      <c r="B237" s="14" t="s">
        <v>359</v>
      </c>
      <c r="C237" s="14" t="str">
        <f aca="false" t="array" ref="C237:C237">IF(B237="","",IFERROR(INDEX('CLM &amp; IM Mapping'!$B$2:$B$270,MATCH(TRIM(B237),'CLM &amp; IM Mapping'!$A$2:$A$270,0)),"Not Mapped"))</f>
        <v>Santhosha M</v>
      </c>
      <c r="D237" s="14" t="str">
        <f aca="false" t="array" ref="D237:D237">IF(B237="","",IFERROR(INDEX('CLM &amp; IM Mapping'!$C$2:$C$270,MATCH(TRIM(B237),'CLM &amp; IM Mapping'!$A$2:$A$270,0)),"Not Mapped"))</f>
        <v>Aravind S</v>
      </c>
      <c r="E237" s="14"/>
      <c r="F237" s="14"/>
      <c r="G237" s="14"/>
      <c r="H237" s="14" t="n">
        <v>2</v>
      </c>
      <c r="I237" s="14" t="n">
        <v>2</v>
      </c>
      <c r="J237" s="14" t="n">
        <v>0</v>
      </c>
      <c r="K237" s="14" t="n">
        <v>2</v>
      </c>
      <c r="L237" s="12"/>
      <c r="M237" s="12"/>
      <c r="N237" s="23"/>
      <c r="O237" s="23"/>
      <c r="P237" s="23"/>
      <c r="Q237" s="23"/>
      <c r="R237" s="23"/>
      <c r="S237" s="23"/>
      <c r="T237" s="23"/>
      <c r="U237" s="23"/>
      <c r="V237" s="23"/>
      <c r="W237" s="23"/>
      <c r="X237" s="23"/>
      <c r="Y237" s="23"/>
      <c r="Z237" s="23"/>
    </row>
    <row r="238" customFormat="false" ht="15.75" hidden="false" customHeight="true" outlineLevel="0" collapsed="false">
      <c r="A238" s="52" t="n">
        <v>46304</v>
      </c>
      <c r="B238" s="14" t="s">
        <v>287</v>
      </c>
      <c r="C238" s="14" t="str">
        <f aca="false" t="array" ref="C238:C238">IF(B238="","",IFERROR(INDEX('CLM &amp; IM Mapping'!$B$2:$B$270,MATCH(TRIM(B238),'CLM &amp; IM Mapping'!$A$2:$A$270,0)),"Not Mapped"))</f>
        <v>Sundaresh S</v>
      </c>
      <c r="D238" s="14" t="str">
        <f aca="false" t="array" ref="D238:D238">IF(B238="","",IFERROR(INDEX('CLM &amp; IM Mapping'!$C$2:$C$270,MATCH(TRIM(B238),'CLM &amp; IM Mapping'!$A$2:$A$270,0)),"Not Mapped"))</f>
        <v>Un Mapped</v>
      </c>
      <c r="E238" s="14"/>
      <c r="F238" s="14"/>
      <c r="G238" s="14"/>
      <c r="H238" s="14" t="n">
        <v>2</v>
      </c>
      <c r="I238" s="14" t="n">
        <v>2</v>
      </c>
      <c r="J238" s="14" t="n">
        <v>0</v>
      </c>
      <c r="K238" s="14" t="n">
        <v>2</v>
      </c>
      <c r="L238" s="12"/>
      <c r="M238" s="12"/>
      <c r="N238" s="23"/>
      <c r="O238" s="23"/>
      <c r="P238" s="23"/>
      <c r="Q238" s="23"/>
      <c r="R238" s="23"/>
      <c r="S238" s="23"/>
      <c r="T238" s="23"/>
      <c r="U238" s="23"/>
      <c r="V238" s="23"/>
      <c r="W238" s="23"/>
      <c r="X238" s="23"/>
      <c r="Y238" s="23"/>
      <c r="Z238" s="23"/>
    </row>
    <row r="239" customFormat="false" ht="15.75" hidden="false" customHeight="true" outlineLevel="0" collapsed="false">
      <c r="A239" s="52" t="n">
        <v>46304</v>
      </c>
      <c r="B239" s="14" t="s">
        <v>103</v>
      </c>
      <c r="C239" s="14" t="str">
        <f aca="false" t="array" ref="C239:C239">IF(B239="","",IFERROR(INDEX('CLM &amp; IM Mapping'!$B$2:$B$270,MATCH(TRIM(B239),'CLM &amp; IM Mapping'!$A$2:$A$270,0)),"Not Mapped"))</f>
        <v>Girish N</v>
      </c>
      <c r="D239" s="14" t="str">
        <f aca="false" t="array" ref="D239:D239">IF(B239="","",IFERROR(INDEX('CLM &amp; IM Mapping'!$C$2:$C$270,MATCH(TRIM(B239),'CLM &amp; IM Mapping'!$A$2:$A$270,0)),"Not Mapped"))</f>
        <v>Un Mapped</v>
      </c>
      <c r="E239" s="14"/>
      <c r="F239" s="14"/>
      <c r="G239" s="14"/>
      <c r="H239" s="14" t="n">
        <v>2</v>
      </c>
      <c r="I239" s="14" t="n">
        <v>2</v>
      </c>
      <c r="J239" s="14" t="n">
        <v>0</v>
      </c>
      <c r="K239" s="14" t="n">
        <v>2</v>
      </c>
      <c r="L239" s="12"/>
      <c r="M239" s="12"/>
      <c r="N239" s="23"/>
      <c r="O239" s="23"/>
      <c r="P239" s="23"/>
      <c r="Q239" s="23"/>
      <c r="R239" s="23"/>
      <c r="S239" s="23"/>
      <c r="T239" s="23"/>
      <c r="U239" s="23"/>
      <c r="V239" s="23"/>
      <c r="W239" s="23"/>
      <c r="X239" s="23"/>
      <c r="Y239" s="23"/>
      <c r="Z239" s="23"/>
    </row>
    <row r="240" customFormat="false" ht="15.75" hidden="false" customHeight="true" outlineLevel="0" collapsed="false">
      <c r="A240" s="52" t="n">
        <v>46304</v>
      </c>
      <c r="B240" s="14" t="s">
        <v>403</v>
      </c>
      <c r="C240" s="14" t="str">
        <f aca="false" t="array" ref="C240:C240">IF(B240="","",IFERROR(INDEX('CLM &amp; IM Mapping'!$B$2:$B$270,MATCH(TRIM(B240),'CLM &amp; IM Mapping'!$A$2:$A$270,0)),"Not Mapped"))</f>
        <v>Narasimhamurthy R</v>
      </c>
      <c r="D240" s="14" t="str">
        <f aca="false" t="array" ref="D240:D240">IF(B240="","",IFERROR(INDEX('CLM &amp; IM Mapping'!$C$2:$C$270,MATCH(TRIM(B240),'CLM &amp; IM Mapping'!$A$2:$A$270,0)),"Not Mapped"))</f>
        <v>Kishor K</v>
      </c>
      <c r="E240" s="14"/>
      <c r="F240" s="14"/>
      <c r="G240" s="14"/>
      <c r="H240" s="14" t="n">
        <v>2</v>
      </c>
      <c r="I240" s="14" t="n">
        <v>1</v>
      </c>
      <c r="J240" s="14" t="n">
        <v>1</v>
      </c>
      <c r="K240" s="14" t="n">
        <v>2</v>
      </c>
      <c r="L240" s="12" t="s">
        <v>796</v>
      </c>
      <c r="M240" s="12"/>
      <c r="N240" s="23"/>
      <c r="O240" s="23"/>
      <c r="P240" s="23"/>
      <c r="Q240" s="23"/>
      <c r="R240" s="23"/>
      <c r="S240" s="23"/>
      <c r="T240" s="23"/>
      <c r="U240" s="23"/>
      <c r="V240" s="23"/>
      <c r="W240" s="23"/>
      <c r="X240" s="23"/>
      <c r="Y240" s="23"/>
      <c r="Z240" s="23"/>
    </row>
    <row r="241" customFormat="false" ht="15.75" hidden="false" customHeight="true" outlineLevel="0" collapsed="false">
      <c r="A241" s="52" t="n">
        <v>46304</v>
      </c>
      <c r="B241" s="14" t="s">
        <v>375</v>
      </c>
      <c r="C241" s="14" t="str">
        <f aca="false" t="array" ref="C241:C241">IF(B241="","",IFERROR(INDEX('CLM &amp; IM Mapping'!$B$2:$B$270,MATCH(TRIM(B241),'CLM &amp; IM Mapping'!$A$2:$A$270,0)),"Not Mapped"))</f>
        <v>Saddam Hussain</v>
      </c>
      <c r="D241" s="14" t="str">
        <f aca="false" t="array" ref="D241:D241">IF(B241="","",IFERROR(INDEX('CLM &amp; IM Mapping'!$C$2:$C$270,MATCH(TRIM(B241),'CLM &amp; IM Mapping'!$A$2:$A$270,0)),"Not Mapped"))</f>
        <v>Un Mapped</v>
      </c>
      <c r="E241" s="14"/>
      <c r="F241" s="14"/>
      <c r="G241" s="14"/>
      <c r="H241" s="14" t="n">
        <v>2</v>
      </c>
      <c r="I241" s="14" t="n">
        <v>2</v>
      </c>
      <c r="J241" s="14" t="n">
        <v>0</v>
      </c>
      <c r="K241" s="14" t="n">
        <v>2</v>
      </c>
      <c r="L241" s="12"/>
      <c r="M241" s="12"/>
      <c r="N241" s="23"/>
      <c r="O241" s="23"/>
      <c r="P241" s="23"/>
      <c r="Q241" s="23"/>
      <c r="R241" s="23"/>
      <c r="S241" s="23"/>
      <c r="T241" s="23"/>
      <c r="U241" s="23"/>
      <c r="V241" s="23"/>
      <c r="W241" s="23"/>
      <c r="X241" s="23"/>
      <c r="Y241" s="23"/>
      <c r="Z241" s="23"/>
    </row>
    <row r="242" customFormat="false" ht="15.75" hidden="false" customHeight="true" outlineLevel="0" collapsed="false">
      <c r="A242" s="52" t="n">
        <v>46304</v>
      </c>
      <c r="B242" s="14" t="s">
        <v>41</v>
      </c>
      <c r="C242" s="14" t="str">
        <f aca="false" t="array" ref="C242:C242">IF(B242="","",IFERROR(INDEX('CLM &amp; IM Mapping'!$B$2:$B$270,MATCH(TRIM(B242),'CLM &amp; IM Mapping'!$A$2:$A$270,0)),"Not Mapped"))</f>
        <v>Rizwan Ahmed</v>
      </c>
      <c r="D242" s="14" t="str">
        <f aca="false" t="array" ref="D242:D242">IF(B242="","",IFERROR(INDEX('CLM &amp; IM Mapping'!$C$2:$C$270,MATCH(TRIM(B242),'CLM &amp; IM Mapping'!$A$2:$A$270,0)),"Not Mapped"))</f>
        <v>Un Mapped</v>
      </c>
      <c r="E242" s="14"/>
      <c r="F242" s="14"/>
      <c r="G242" s="14"/>
      <c r="H242" s="14" t="n">
        <v>2</v>
      </c>
      <c r="I242" s="14" t="n">
        <v>2</v>
      </c>
      <c r="J242" s="14" t="n">
        <v>0</v>
      </c>
      <c r="K242" s="14" t="n">
        <v>2</v>
      </c>
      <c r="L242" s="12"/>
      <c r="M242" s="12"/>
      <c r="N242" s="23"/>
      <c r="O242" s="23"/>
      <c r="P242" s="23"/>
      <c r="Q242" s="23"/>
      <c r="R242" s="23"/>
      <c r="S242" s="23"/>
      <c r="T242" s="23"/>
      <c r="U242" s="23"/>
      <c r="V242" s="23"/>
      <c r="W242" s="23"/>
      <c r="X242" s="23"/>
      <c r="Y242" s="23"/>
      <c r="Z242" s="23"/>
    </row>
    <row r="243" customFormat="false" ht="15.75" hidden="false" customHeight="true" outlineLevel="0" collapsed="false">
      <c r="A243" s="52" t="n">
        <v>46304</v>
      </c>
      <c r="B243" s="14" t="s">
        <v>129</v>
      </c>
      <c r="C243" s="14" t="str">
        <f aca="false" t="array" ref="C243:C243">IF(B243="","",IFERROR(INDEX('CLM &amp; IM Mapping'!$B$2:$B$270,MATCH(TRIM(B243),'CLM &amp; IM Mapping'!$A$2:$A$270,0)),"Not Mapped"))</f>
        <v>Ashwath S</v>
      </c>
      <c r="D243" s="14" t="str">
        <f aca="false" t="array" ref="D243:D243">IF(B243="","",IFERROR(INDEX('CLM &amp; IM Mapping'!$C$2:$C$270,MATCH(TRIM(B243),'CLM &amp; IM Mapping'!$A$2:$A$270,0)),"Not Mapped"))</f>
        <v>Kantha Kumar</v>
      </c>
      <c r="E243" s="14"/>
      <c r="F243" s="14"/>
      <c r="G243" s="14"/>
      <c r="H243" s="14" t="n">
        <v>2</v>
      </c>
      <c r="I243" s="14" t="n">
        <v>1</v>
      </c>
      <c r="J243" s="14" t="n">
        <v>1</v>
      </c>
      <c r="K243" s="14" t="n">
        <v>2</v>
      </c>
      <c r="L243" s="12"/>
      <c r="M243" s="12"/>
      <c r="N243" s="23"/>
      <c r="O243" s="23"/>
      <c r="P243" s="23"/>
      <c r="Q243" s="23"/>
      <c r="R243" s="23"/>
      <c r="S243" s="23"/>
      <c r="T243" s="23"/>
      <c r="U243" s="23"/>
      <c r="V243" s="23"/>
      <c r="W243" s="23"/>
      <c r="X243" s="23"/>
      <c r="Y243" s="23"/>
      <c r="Z243" s="23"/>
    </row>
    <row r="244" customFormat="false" ht="15.75" hidden="false" customHeight="true" outlineLevel="0" collapsed="false">
      <c r="A244" s="52" t="n">
        <v>46304</v>
      </c>
      <c r="B244" s="14" t="s">
        <v>455</v>
      </c>
      <c r="C244" s="14" t="str">
        <f aca="false" t="array" ref="C244:C244">IF(B244="","",IFERROR(INDEX('CLM &amp; IM Mapping'!$B$2:$B$270,MATCH(TRIM(B244),'CLM &amp; IM Mapping'!$A$2:$A$270,0)),"Not Mapped"))</f>
        <v>Rizwan Ahmed</v>
      </c>
      <c r="D244" s="14" t="str">
        <f aca="false" t="array" ref="D244:D244">IF(B244="","",IFERROR(INDEX('CLM &amp; IM Mapping'!$C$2:$C$270,MATCH(TRIM(B244),'CLM &amp; IM Mapping'!$A$2:$A$270,0)),"Not Mapped"))</f>
        <v>Un Mapped</v>
      </c>
      <c r="E244" s="14"/>
      <c r="F244" s="14"/>
      <c r="G244" s="14"/>
      <c r="H244" s="14" t="n">
        <v>2</v>
      </c>
      <c r="I244" s="14" t="n">
        <v>0</v>
      </c>
      <c r="J244" s="14" t="n">
        <v>2</v>
      </c>
      <c r="K244" s="14" t="n">
        <v>2</v>
      </c>
      <c r="L244" s="12"/>
      <c r="M244" s="12"/>
      <c r="N244" s="23"/>
      <c r="O244" s="23"/>
      <c r="P244" s="23"/>
      <c r="Q244" s="23"/>
      <c r="R244" s="23"/>
      <c r="S244" s="23"/>
      <c r="T244" s="23"/>
      <c r="U244" s="23"/>
      <c r="V244" s="23"/>
      <c r="W244" s="23"/>
      <c r="X244" s="23"/>
      <c r="Y244" s="23"/>
      <c r="Z244" s="23"/>
    </row>
    <row r="245" customFormat="false" ht="15.75" hidden="false" customHeight="true" outlineLevel="0" collapsed="false">
      <c r="A245" s="52" t="n">
        <v>46304</v>
      </c>
      <c r="B245" s="14" t="s">
        <v>397</v>
      </c>
      <c r="C245" s="14" t="str">
        <f aca="false" t="array" ref="C245:C245">IF(B245="","",IFERROR(INDEX('CLM &amp; IM Mapping'!$B$2:$B$270,MATCH(TRIM(B245),'CLM &amp; IM Mapping'!$A$2:$A$270,0)),"Not Mapped"))</f>
        <v>Akshay P</v>
      </c>
      <c r="D245" s="14" t="str">
        <f aca="false" t="array" ref="D245:D245">IF(B245="","",IFERROR(INDEX('CLM &amp; IM Mapping'!$C$2:$C$270,MATCH(TRIM(B245),'CLM &amp; IM Mapping'!$A$2:$A$270,0)),"Not Mapped"))</f>
        <v>Srittam Dhal</v>
      </c>
      <c r="E245" s="14"/>
      <c r="F245" s="14"/>
      <c r="G245" s="14"/>
      <c r="H245" s="14" t="n">
        <v>2</v>
      </c>
      <c r="I245" s="14" t="n">
        <v>2</v>
      </c>
      <c r="J245" s="14" t="n">
        <v>0</v>
      </c>
      <c r="K245" s="14" t="n">
        <v>2</v>
      </c>
      <c r="L245" s="12"/>
      <c r="M245" s="12"/>
      <c r="N245" s="23"/>
      <c r="O245" s="23"/>
      <c r="P245" s="23"/>
      <c r="Q245" s="23"/>
      <c r="R245" s="23"/>
      <c r="S245" s="23"/>
      <c r="T245" s="23"/>
      <c r="U245" s="23"/>
      <c r="V245" s="23"/>
      <c r="W245" s="23"/>
      <c r="X245" s="23"/>
      <c r="Y245" s="23"/>
      <c r="Z245" s="23"/>
    </row>
    <row r="246" customFormat="false" ht="15.75" hidden="false" customHeight="true" outlineLevel="0" collapsed="false">
      <c r="A246" s="52" t="n">
        <v>46304</v>
      </c>
      <c r="B246" s="14" t="s">
        <v>395</v>
      </c>
      <c r="C246" s="14" t="str">
        <f aca="false" t="array" ref="C246:C246">IF(B246="","",IFERROR(INDEX('CLM &amp; IM Mapping'!$B$2:$B$270,MATCH(TRIM(B246),'CLM &amp; IM Mapping'!$A$2:$A$270,0)),"Not Mapped"))</f>
        <v>Bangareppa CS</v>
      </c>
      <c r="D246" s="14" t="str">
        <f aca="false" t="array" ref="D246:D246">IF(B246="","",IFERROR(INDEX('CLM &amp; IM Mapping'!$C$2:$C$270,MATCH(TRIM(B246),'CLM &amp; IM Mapping'!$A$2:$A$270,0)),"Not Mapped"))</f>
        <v>Kishor K</v>
      </c>
      <c r="E246" s="14"/>
      <c r="F246" s="14"/>
      <c r="G246" s="14"/>
      <c r="H246" s="14" t="n">
        <v>2</v>
      </c>
      <c r="I246" s="14" t="n">
        <v>2</v>
      </c>
      <c r="J246" s="14" t="n">
        <v>0</v>
      </c>
      <c r="K246" s="14" t="n">
        <v>2</v>
      </c>
      <c r="L246" s="12" t="s">
        <v>796</v>
      </c>
      <c r="M246" s="12"/>
      <c r="N246" s="23"/>
      <c r="O246" s="23"/>
      <c r="P246" s="23"/>
      <c r="Q246" s="23"/>
      <c r="R246" s="23"/>
      <c r="S246" s="23"/>
      <c r="T246" s="23"/>
      <c r="U246" s="23"/>
      <c r="V246" s="23"/>
      <c r="W246" s="23"/>
      <c r="X246" s="23"/>
      <c r="Y246" s="23"/>
      <c r="Z246" s="23"/>
    </row>
    <row r="247" customFormat="false" ht="15.75" hidden="false" customHeight="true" outlineLevel="0" collapsed="false">
      <c r="A247" s="52" t="n">
        <v>46304</v>
      </c>
      <c r="B247" s="14" t="s">
        <v>150</v>
      </c>
      <c r="C247" s="14" t="str">
        <f aca="false" t="array" ref="C247:C247">IF(B247="","",IFERROR(INDEX('CLM &amp; IM Mapping'!$B$2:$B$270,MATCH(TRIM(B247),'CLM &amp; IM Mapping'!$A$2:$A$270,0)),"Not Mapped"))</f>
        <v>Akshay P</v>
      </c>
      <c r="D247" s="14" t="str">
        <f aca="false" t="array" ref="D247:D247">IF(B247="","",IFERROR(INDEX('CLM &amp; IM Mapping'!$C$2:$C$270,MATCH(TRIM(B247),'CLM &amp; IM Mapping'!$A$2:$A$270,0)),"Not Mapped"))</f>
        <v>Srittam Dhal</v>
      </c>
      <c r="E247" s="14"/>
      <c r="F247" s="14"/>
      <c r="G247" s="14"/>
      <c r="H247" s="14" t="n">
        <v>2</v>
      </c>
      <c r="I247" s="14" t="n">
        <v>2</v>
      </c>
      <c r="J247" s="14" t="n">
        <v>0</v>
      </c>
      <c r="K247" s="14" t="n">
        <v>2</v>
      </c>
      <c r="L247" s="12"/>
      <c r="M247" s="12"/>
      <c r="N247" s="23"/>
      <c r="O247" s="23"/>
      <c r="P247" s="23"/>
      <c r="Q247" s="23"/>
      <c r="R247" s="23"/>
      <c r="S247" s="23"/>
      <c r="T247" s="23"/>
      <c r="U247" s="23"/>
      <c r="V247" s="23"/>
      <c r="W247" s="23"/>
      <c r="X247" s="23"/>
      <c r="Y247" s="23"/>
      <c r="Z247" s="23"/>
    </row>
    <row r="248" customFormat="false" ht="15.75" hidden="false" customHeight="true" outlineLevel="0" collapsed="false">
      <c r="A248" s="52" t="n">
        <v>46304</v>
      </c>
      <c r="B248" s="14" t="s">
        <v>292</v>
      </c>
      <c r="C248" s="14" t="str">
        <f aca="false" t="array" ref="C248:C248">IF(B248="","",IFERROR(INDEX('CLM &amp; IM Mapping'!$B$2:$B$270,MATCH(TRIM(B248),'CLM &amp; IM Mapping'!$A$2:$A$270,0)),"Not Mapped"))</f>
        <v>Mohaideen DH</v>
      </c>
      <c r="D248" s="14" t="str">
        <f aca="false" t="array" ref="D248:D248">IF(B248="","",IFERROR(INDEX('CLM &amp; IM Mapping'!$C$2:$C$270,MATCH(TRIM(B248),'CLM &amp; IM Mapping'!$A$2:$A$270,0)),"Not Mapped"))</f>
        <v>Mohammed Akbar</v>
      </c>
      <c r="E248" s="14"/>
      <c r="F248" s="14"/>
      <c r="G248" s="14"/>
      <c r="H248" s="14" t="n">
        <v>2</v>
      </c>
      <c r="I248" s="14" t="n">
        <v>0</v>
      </c>
      <c r="J248" s="14" t="n">
        <v>2</v>
      </c>
      <c r="K248" s="14" t="n">
        <v>2</v>
      </c>
      <c r="L248" s="12"/>
      <c r="M248" s="12"/>
      <c r="N248" s="23"/>
      <c r="O248" s="23"/>
      <c r="P248" s="23"/>
      <c r="Q248" s="23"/>
      <c r="R248" s="23"/>
      <c r="S248" s="23"/>
      <c r="T248" s="23"/>
      <c r="U248" s="23"/>
      <c r="V248" s="23"/>
      <c r="W248" s="23"/>
      <c r="X248" s="23"/>
      <c r="Y248" s="23"/>
      <c r="Z248" s="23"/>
    </row>
    <row r="249" customFormat="false" ht="15.75" hidden="false" customHeight="true" outlineLevel="0" collapsed="false">
      <c r="A249" s="52" t="n">
        <v>46304</v>
      </c>
      <c r="B249" s="14" t="s">
        <v>168</v>
      </c>
      <c r="C249" s="14" t="str">
        <f aca="false" t="array" ref="C249:C249">IF(B249="","",IFERROR(INDEX('CLM &amp; IM Mapping'!$B$2:$B$270,MATCH(TRIM(B249),'CLM &amp; IM Mapping'!$A$2:$A$270,0)),"Not Mapped"))</f>
        <v>Vijay M</v>
      </c>
      <c r="D249" s="14" t="str">
        <f aca="false" t="array" ref="D249:D249">IF(B249="","",IFERROR(INDEX('CLM &amp; IM Mapping'!$C$2:$C$270,MATCH(TRIM(B249),'CLM &amp; IM Mapping'!$A$2:$A$270,0)),"Not Mapped"))</f>
        <v>Kantha Kumar</v>
      </c>
      <c r="E249" s="14"/>
      <c r="F249" s="14" t="n">
        <v>2</v>
      </c>
      <c r="G249" s="14"/>
      <c r="H249" s="14"/>
      <c r="I249" s="14" t="n">
        <v>2</v>
      </c>
      <c r="J249" s="14" t="n">
        <v>0</v>
      </c>
      <c r="K249" s="14" t="n">
        <v>2</v>
      </c>
      <c r="L249" s="12"/>
      <c r="M249" s="12"/>
      <c r="N249" s="23"/>
      <c r="O249" s="23"/>
      <c r="P249" s="23"/>
      <c r="Q249" s="23"/>
      <c r="R249" s="23"/>
      <c r="S249" s="23"/>
      <c r="T249" s="23"/>
      <c r="U249" s="23"/>
      <c r="V249" s="23"/>
      <c r="W249" s="23"/>
      <c r="X249" s="23"/>
      <c r="Y249" s="23"/>
      <c r="Z249" s="23"/>
    </row>
    <row r="250" customFormat="false" ht="15.75" hidden="false" customHeight="true" outlineLevel="0" collapsed="false">
      <c r="A250" s="52" t="n">
        <v>46304</v>
      </c>
      <c r="B250" s="14" t="s">
        <v>370</v>
      </c>
      <c r="C250" s="14" t="str">
        <f aca="false" t="array" ref="C250:C250">IF(B250="","",IFERROR(INDEX('CLM &amp; IM Mapping'!$B$2:$B$270,MATCH(TRIM(B250),'CLM &amp; IM Mapping'!$A$2:$A$270,0)),"Not Mapped"))</f>
        <v>Not Mapped</v>
      </c>
      <c r="D250" s="14" t="str">
        <f aca="false" t="array" ref="D250:D250">IF(B250="","",IFERROR(INDEX('CLM &amp; IM Mapping'!$C$2:$C$270,MATCH(TRIM(B250),'CLM &amp; IM Mapping'!$A$2:$A$270,0)),"Not Mapped"))</f>
        <v>Not Mapped</v>
      </c>
      <c r="E250" s="14"/>
      <c r="F250" s="14"/>
      <c r="G250" s="14"/>
      <c r="H250" s="14" t="n">
        <v>2</v>
      </c>
      <c r="I250" s="14" t="n">
        <v>2</v>
      </c>
      <c r="J250" s="14" t="n">
        <v>0</v>
      </c>
      <c r="K250" s="14" t="n">
        <v>2</v>
      </c>
      <c r="L250" s="12"/>
      <c r="M250" s="12"/>
      <c r="N250" s="23"/>
      <c r="O250" s="23"/>
      <c r="P250" s="23"/>
      <c r="Q250" s="23"/>
      <c r="R250" s="23"/>
      <c r="S250" s="23"/>
      <c r="T250" s="23"/>
      <c r="U250" s="23"/>
      <c r="V250" s="23"/>
      <c r="W250" s="23"/>
      <c r="X250" s="23"/>
      <c r="Y250" s="23"/>
      <c r="Z250" s="23"/>
    </row>
    <row r="251" customFormat="false" ht="15.75" hidden="false" customHeight="true" outlineLevel="0" collapsed="false">
      <c r="A251" s="52" t="n">
        <v>46304</v>
      </c>
      <c r="B251" s="14" t="s">
        <v>497</v>
      </c>
      <c r="C251" s="14" t="str">
        <f aca="false" t="array" ref="C251:C251">IF(B251="","",IFERROR(INDEX('CLM &amp; IM Mapping'!$B$2:$B$270,MATCH(TRIM(B251),'CLM &amp; IM Mapping'!$A$2:$A$270,0)),"Not Mapped"))</f>
        <v>Narasimhamurthy R</v>
      </c>
      <c r="D251" s="14" t="str">
        <f aca="false" t="array" ref="D251:D251">IF(B251="","",IFERROR(INDEX('CLM &amp; IM Mapping'!$C$2:$C$270,MATCH(TRIM(B251),'CLM &amp; IM Mapping'!$A$2:$A$270,0)),"Not Mapped"))</f>
        <v>Kishor K</v>
      </c>
      <c r="E251" s="14"/>
      <c r="F251" s="14" t="n">
        <v>1</v>
      </c>
      <c r="G251" s="14"/>
      <c r="H251" s="14"/>
      <c r="I251" s="14" t="n">
        <v>1</v>
      </c>
      <c r="J251" s="14" t="n">
        <v>0</v>
      </c>
      <c r="K251" s="14" t="n">
        <v>1</v>
      </c>
      <c r="L251" s="12" t="s">
        <v>796</v>
      </c>
      <c r="M251" s="12"/>
      <c r="N251" s="23"/>
      <c r="O251" s="23"/>
      <c r="P251" s="23"/>
      <c r="Q251" s="23"/>
      <c r="R251" s="23"/>
      <c r="S251" s="23"/>
      <c r="T251" s="23"/>
      <c r="U251" s="23"/>
      <c r="V251" s="23"/>
      <c r="W251" s="23"/>
      <c r="X251" s="23"/>
      <c r="Y251" s="23"/>
      <c r="Z251" s="23"/>
    </row>
    <row r="252" customFormat="false" ht="15.75" hidden="false" customHeight="true" outlineLevel="0" collapsed="false">
      <c r="A252" s="52" t="n">
        <v>46304</v>
      </c>
      <c r="B252" s="14" t="s">
        <v>208</v>
      </c>
      <c r="C252" s="14" t="str">
        <f aca="false" t="array" ref="C252:C252">IF(B252="","",IFERROR(INDEX('CLM &amp; IM Mapping'!$B$2:$B$270,MATCH(TRIM(B252),'CLM &amp; IM Mapping'!$A$2:$A$270,0)),"Not Mapped"))</f>
        <v>Silambarasan E</v>
      </c>
      <c r="D252" s="14" t="str">
        <f aca="false" t="array" ref="D252:D252">IF(B252="","",IFERROR(INDEX('CLM &amp; IM Mapping'!$C$2:$C$270,MATCH(TRIM(B252),'CLM &amp; IM Mapping'!$A$2:$A$270,0)),"Not Mapped"))</f>
        <v>Arivind S</v>
      </c>
      <c r="E252" s="14"/>
      <c r="F252" s="14"/>
      <c r="G252" s="14"/>
      <c r="H252" s="14" t="n">
        <v>1</v>
      </c>
      <c r="I252" s="14" t="n">
        <v>1</v>
      </c>
      <c r="J252" s="14" t="n">
        <v>0</v>
      </c>
      <c r="K252" s="14" t="n">
        <v>1</v>
      </c>
      <c r="L252" s="12"/>
      <c r="M252" s="12"/>
      <c r="N252" s="23"/>
      <c r="O252" s="23"/>
      <c r="P252" s="23"/>
      <c r="Q252" s="23"/>
      <c r="R252" s="23"/>
      <c r="S252" s="23"/>
      <c r="T252" s="23"/>
      <c r="U252" s="23"/>
      <c r="V252" s="23"/>
      <c r="W252" s="23"/>
      <c r="X252" s="23"/>
      <c r="Y252" s="23"/>
      <c r="Z252" s="23"/>
    </row>
    <row r="253" customFormat="false" ht="15.75" hidden="false" customHeight="true" outlineLevel="0" collapsed="false">
      <c r="A253" s="52" t="n">
        <v>46304</v>
      </c>
      <c r="B253" s="14" t="s">
        <v>379</v>
      </c>
      <c r="C253" s="14" t="str">
        <f aca="false" t="array" ref="C253:C253">IF(B253="","",IFERROR(INDEX('CLM &amp; IM Mapping'!$B$2:$B$270,MATCH(TRIM(B253),'CLM &amp; IM Mapping'!$A$2:$A$270,0)),"Not Mapped"))</f>
        <v>Richard Harris</v>
      </c>
      <c r="D253" s="14" t="str">
        <f aca="false" t="array" ref="D253:D253">IF(B253="","",IFERROR(INDEX('CLM &amp; IM Mapping'!$C$2:$C$270,MATCH(TRIM(B253),'CLM &amp; IM Mapping'!$A$2:$A$270,0)),"Not Mapped"))</f>
        <v>Kantha Kumar</v>
      </c>
      <c r="E253" s="14"/>
      <c r="F253" s="14"/>
      <c r="G253" s="14"/>
      <c r="H253" s="14" t="n">
        <v>1</v>
      </c>
      <c r="I253" s="14" t="n">
        <v>1</v>
      </c>
      <c r="J253" s="14" t="n">
        <v>0</v>
      </c>
      <c r="K253" s="14" t="n">
        <v>1</v>
      </c>
      <c r="L253" s="12"/>
      <c r="M253" s="12"/>
      <c r="N253" s="23"/>
      <c r="O253" s="23"/>
      <c r="P253" s="23"/>
      <c r="Q253" s="23"/>
      <c r="R253" s="23"/>
      <c r="S253" s="23"/>
      <c r="T253" s="23"/>
      <c r="U253" s="23"/>
      <c r="V253" s="23"/>
      <c r="W253" s="23"/>
      <c r="X253" s="23"/>
      <c r="Y253" s="23"/>
      <c r="Z253" s="23"/>
    </row>
    <row r="254" customFormat="false" ht="15.75" hidden="false" customHeight="true" outlineLevel="0" collapsed="false">
      <c r="A254" s="52" t="n">
        <v>46304</v>
      </c>
      <c r="B254" s="14" t="s">
        <v>311</v>
      </c>
      <c r="C254" s="14" t="str">
        <f aca="false" t="array" ref="C254:C254">IF(B254="","",IFERROR(INDEX('CLM &amp; IM Mapping'!$B$2:$B$270,MATCH(TRIM(B254),'CLM &amp; IM Mapping'!$A$2:$A$270,0)),"Not Mapped"))</f>
        <v>Manjunatha V</v>
      </c>
      <c r="D254" s="14" t="str">
        <f aca="false" t="array" ref="D254:D254">IF(B254="","",IFERROR(INDEX('CLM &amp; IM Mapping'!$C$2:$C$270,MATCH(TRIM(B254),'CLM &amp; IM Mapping'!$A$2:$A$270,0)),"Not Mapped"))</f>
        <v>Un Mapped</v>
      </c>
      <c r="E254" s="14"/>
      <c r="F254" s="14"/>
      <c r="G254" s="14"/>
      <c r="H254" s="14" t="n">
        <v>1</v>
      </c>
      <c r="I254" s="14" t="n">
        <v>1</v>
      </c>
      <c r="J254" s="14" t="n">
        <v>0</v>
      </c>
      <c r="K254" s="14" t="n">
        <v>1</v>
      </c>
      <c r="L254" s="12"/>
      <c r="M254" s="12"/>
      <c r="N254" s="23"/>
      <c r="O254" s="23"/>
      <c r="P254" s="23"/>
      <c r="Q254" s="23"/>
      <c r="R254" s="23"/>
      <c r="S254" s="23"/>
      <c r="T254" s="23"/>
      <c r="U254" s="23"/>
      <c r="V254" s="23"/>
      <c r="W254" s="23"/>
      <c r="X254" s="23"/>
      <c r="Y254" s="23"/>
      <c r="Z254" s="23"/>
    </row>
    <row r="255" customFormat="false" ht="15.75" hidden="false" customHeight="true" outlineLevel="0" collapsed="false">
      <c r="A255" s="52" t="n">
        <v>46304</v>
      </c>
      <c r="B255" s="14" t="s">
        <v>86</v>
      </c>
      <c r="C255" s="14" t="str">
        <f aca="false" t="array" ref="C255:C255">IF(B255="","",IFERROR(INDEX('CLM &amp; IM Mapping'!$B$2:$B$270,MATCH(TRIM(B255),'CLM &amp; IM Mapping'!$A$2:$A$270,0)),"Not Mapped"))</f>
        <v>Raghavendra Vernekar</v>
      </c>
      <c r="D255" s="14" t="str">
        <f aca="false" t="array" ref="D255:D255">IF(B255="","",IFERROR(INDEX('CLM &amp; IM Mapping'!$C$2:$C$270,MATCH(TRIM(B255),'CLM &amp; IM Mapping'!$A$2:$A$270,0)),"Not Mapped"))</f>
        <v>Prakash BS</v>
      </c>
      <c r="E255" s="14"/>
      <c r="F255" s="14"/>
      <c r="G255" s="14"/>
      <c r="H255" s="14" t="n">
        <v>1</v>
      </c>
      <c r="I255" s="14" t="n">
        <v>0</v>
      </c>
      <c r="J255" s="14" t="n">
        <v>1</v>
      </c>
      <c r="K255" s="14" t="n">
        <v>1</v>
      </c>
      <c r="L255" s="12" t="s">
        <v>805</v>
      </c>
      <c r="M255" s="12"/>
      <c r="N255" s="23"/>
      <c r="O255" s="23"/>
      <c r="P255" s="23"/>
      <c r="Q255" s="23"/>
      <c r="R255" s="23"/>
      <c r="S255" s="23"/>
      <c r="T255" s="23"/>
      <c r="U255" s="23"/>
      <c r="V255" s="23"/>
      <c r="W255" s="23"/>
      <c r="X255" s="23"/>
      <c r="Y255" s="23"/>
      <c r="Z255" s="23"/>
    </row>
    <row r="256" customFormat="false" ht="15.75" hidden="false" customHeight="true" outlineLevel="0" collapsed="false">
      <c r="A256" s="52" t="n">
        <v>46304</v>
      </c>
      <c r="B256" s="14" t="s">
        <v>226</v>
      </c>
      <c r="C256" s="14" t="str">
        <f aca="false" t="array" ref="C256:C256">IF(B256="","",IFERROR(INDEX('CLM &amp; IM Mapping'!$B$2:$B$270,MATCH(TRIM(B256),'CLM &amp; IM Mapping'!$A$2:$A$270,0)),"Not Mapped"))</f>
        <v>Manoj Kj</v>
      </c>
      <c r="D256" s="14" t="str">
        <f aca="false" t="array" ref="D256:D256">IF(B256="","",IFERROR(INDEX('CLM &amp; IM Mapping'!$C$2:$C$270,MATCH(TRIM(B256),'CLM &amp; IM Mapping'!$A$2:$A$270,0)),"Not Mapped"))</f>
        <v>Srittam Dhal</v>
      </c>
      <c r="E256" s="14"/>
      <c r="F256" s="14"/>
      <c r="G256" s="14"/>
      <c r="H256" s="14" t="n">
        <v>1</v>
      </c>
      <c r="I256" s="14" t="n">
        <v>1</v>
      </c>
      <c r="J256" s="14" t="n">
        <v>0</v>
      </c>
      <c r="K256" s="14" t="n">
        <v>1</v>
      </c>
      <c r="L256" s="12"/>
      <c r="M256" s="12"/>
      <c r="N256" s="23"/>
      <c r="O256" s="23"/>
      <c r="P256" s="23"/>
      <c r="Q256" s="23"/>
      <c r="R256" s="23"/>
      <c r="S256" s="23"/>
      <c r="T256" s="23"/>
      <c r="U256" s="23"/>
      <c r="V256" s="23"/>
      <c r="W256" s="23"/>
      <c r="X256" s="23"/>
      <c r="Y256" s="23"/>
      <c r="Z256" s="23"/>
    </row>
    <row r="257" customFormat="false" ht="15.75" hidden="false" customHeight="true" outlineLevel="0" collapsed="false">
      <c r="A257" s="52" t="n">
        <v>46304</v>
      </c>
      <c r="B257" s="14" t="s">
        <v>513</v>
      </c>
      <c r="C257" s="14" t="str">
        <f aca="false" t="array" ref="C257:C257">IF(B257="","",IFERROR(INDEX('CLM &amp; IM Mapping'!$B$2:$B$270,MATCH(TRIM(B257),'CLM &amp; IM Mapping'!$A$2:$A$270,0)),"Not Mapped"))</f>
        <v>Manoj Kj</v>
      </c>
      <c r="D257" s="14" t="str">
        <f aca="false" t="array" ref="D257:D257">IF(B257="","",IFERROR(INDEX('CLM &amp; IM Mapping'!$C$2:$C$270,MATCH(TRIM(B257),'CLM &amp; IM Mapping'!$A$2:$A$270,0)),"Not Mapped"))</f>
        <v>Srittam Dhal</v>
      </c>
      <c r="E257" s="14"/>
      <c r="F257" s="14"/>
      <c r="G257" s="14"/>
      <c r="H257" s="14" t="n">
        <v>1</v>
      </c>
      <c r="I257" s="14" t="n">
        <v>1</v>
      </c>
      <c r="J257" s="14" t="n">
        <v>0</v>
      </c>
      <c r="K257" s="14" t="n">
        <v>1</v>
      </c>
      <c r="L257" s="12"/>
      <c r="M257" s="12"/>
      <c r="N257" s="23"/>
      <c r="O257" s="23"/>
      <c r="P257" s="23"/>
      <c r="Q257" s="23"/>
      <c r="R257" s="23"/>
      <c r="S257" s="23"/>
      <c r="T257" s="23"/>
      <c r="U257" s="23"/>
      <c r="V257" s="23"/>
      <c r="W257" s="23"/>
      <c r="X257" s="23"/>
      <c r="Y257" s="23"/>
      <c r="Z257" s="23"/>
    </row>
    <row r="258" customFormat="false" ht="15.75" hidden="false" customHeight="true" outlineLevel="0" collapsed="false">
      <c r="A258" s="52" t="n">
        <v>46304</v>
      </c>
      <c r="B258" s="14" t="s">
        <v>257</v>
      </c>
      <c r="C258" s="14" t="str">
        <f aca="false" t="array" ref="C258:C258">IF(B258="","",IFERROR(INDEX('CLM &amp; IM Mapping'!$B$2:$B$270,MATCH(TRIM(B258),'CLM &amp; IM Mapping'!$A$2:$A$270,0)),"Not Mapped"))</f>
        <v>Raghavendra Vernekar</v>
      </c>
      <c r="D258" s="14" t="str">
        <f aca="false" t="array" ref="D258:D258">IF(B258="","",IFERROR(INDEX('CLM &amp; IM Mapping'!$C$2:$C$270,MATCH(TRIM(B258),'CLM &amp; IM Mapping'!$A$2:$A$270,0)),"Not Mapped"))</f>
        <v>Prakash BS</v>
      </c>
      <c r="E258" s="14"/>
      <c r="F258" s="14"/>
      <c r="G258" s="14"/>
      <c r="H258" s="14" t="n">
        <v>1</v>
      </c>
      <c r="I258" s="14" t="n">
        <v>0</v>
      </c>
      <c r="J258" s="14" t="n">
        <v>1</v>
      </c>
      <c r="K258" s="14" t="n">
        <v>1</v>
      </c>
      <c r="L258" s="12" t="s">
        <v>805</v>
      </c>
      <c r="M258" s="12"/>
      <c r="N258" s="23"/>
      <c r="O258" s="23"/>
      <c r="P258" s="23"/>
      <c r="Q258" s="23"/>
      <c r="R258" s="23"/>
      <c r="S258" s="23"/>
      <c r="T258" s="23"/>
      <c r="U258" s="23"/>
      <c r="V258" s="23"/>
      <c r="W258" s="23"/>
      <c r="X258" s="23"/>
      <c r="Y258" s="23"/>
      <c r="Z258" s="23"/>
    </row>
    <row r="259" customFormat="false" ht="15.75" hidden="false" customHeight="true" outlineLevel="0" collapsed="false">
      <c r="A259" s="52" t="n">
        <v>46304</v>
      </c>
      <c r="B259" s="14" t="s">
        <v>381</v>
      </c>
      <c r="C259" s="14" t="str">
        <f aca="false" t="array" ref="C259:C259">IF(B259="","",IFERROR(INDEX('CLM &amp; IM Mapping'!$B$2:$B$270,MATCH(TRIM(B259),'CLM &amp; IM Mapping'!$A$2:$A$270,0)),"Not Mapped"))</f>
        <v>Balaji G</v>
      </c>
      <c r="D259" s="14" t="str">
        <f aca="false" t="array" ref="D259:D259">IF(B259="","",IFERROR(INDEX('CLM &amp; IM Mapping'!$C$2:$C$270,MATCH(TRIM(B259),'CLM &amp; IM Mapping'!$A$2:$A$270,0)),"Not Mapped"))</f>
        <v>Mohammed Akbar</v>
      </c>
      <c r="E259" s="14"/>
      <c r="F259" s="14" t="n">
        <v>1</v>
      </c>
      <c r="G259" s="14"/>
      <c r="H259" s="14"/>
      <c r="I259" s="14" t="n">
        <v>1</v>
      </c>
      <c r="J259" s="14" t="n">
        <v>0</v>
      </c>
      <c r="K259" s="14" t="n">
        <v>1</v>
      </c>
      <c r="L259" s="12"/>
      <c r="M259" s="12"/>
      <c r="N259" s="23"/>
      <c r="O259" s="23"/>
      <c r="P259" s="23"/>
      <c r="Q259" s="23"/>
      <c r="R259" s="23"/>
      <c r="S259" s="23"/>
      <c r="T259" s="23"/>
      <c r="U259" s="23"/>
      <c r="V259" s="23"/>
      <c r="W259" s="23"/>
      <c r="X259" s="23"/>
      <c r="Y259" s="23"/>
      <c r="Z259" s="23"/>
    </row>
    <row r="260" customFormat="false" ht="15.75" hidden="false" customHeight="true" outlineLevel="0" collapsed="false">
      <c r="A260" s="52" t="n">
        <v>46304</v>
      </c>
      <c r="B260" s="14" t="s">
        <v>484</v>
      </c>
      <c r="C260" s="14" t="str">
        <f aca="false" t="array" ref="C260:C260">IF(B260="","",IFERROR(INDEX('CLM &amp; IM Mapping'!$B$2:$B$270,MATCH(TRIM(B260),'CLM &amp; IM Mapping'!$A$2:$A$270,0)),"Not Mapped"))</f>
        <v>Raghavendra Vernekar</v>
      </c>
      <c r="D260" s="14" t="str">
        <f aca="false" t="array" ref="D260:D260">IF(B260="","",IFERROR(INDEX('CLM &amp; IM Mapping'!$C$2:$C$270,MATCH(TRIM(B260),'CLM &amp; IM Mapping'!$A$2:$A$270,0)),"Not Mapped"))</f>
        <v>Prakash BS</v>
      </c>
      <c r="E260" s="14"/>
      <c r="F260" s="14"/>
      <c r="G260" s="14"/>
      <c r="H260" s="14" t="n">
        <v>1</v>
      </c>
      <c r="I260" s="14" t="n">
        <v>1</v>
      </c>
      <c r="J260" s="14" t="n">
        <v>0</v>
      </c>
      <c r="K260" s="14" t="n">
        <v>1</v>
      </c>
      <c r="L260" s="12" t="s">
        <v>805</v>
      </c>
      <c r="M260" s="12"/>
      <c r="N260" s="23"/>
      <c r="O260" s="23"/>
      <c r="P260" s="23"/>
      <c r="Q260" s="23"/>
      <c r="R260" s="23"/>
      <c r="S260" s="23"/>
      <c r="T260" s="23"/>
      <c r="U260" s="23"/>
      <c r="V260" s="23"/>
      <c r="W260" s="23"/>
      <c r="X260" s="23"/>
      <c r="Y260" s="23"/>
      <c r="Z260" s="23"/>
    </row>
    <row r="261" customFormat="false" ht="15.75" hidden="false" customHeight="true" outlineLevel="0" collapsed="false">
      <c r="A261" s="52" t="n">
        <v>46304</v>
      </c>
      <c r="B261" s="14" t="s">
        <v>371</v>
      </c>
      <c r="C261" s="14" t="str">
        <f aca="false" t="array" ref="C261:C261">IF(B261="","",IFERROR(INDEX('CLM &amp; IM Mapping'!$B$2:$B$270,MATCH(TRIM(B261),'CLM &amp; IM Mapping'!$A$2:$A$270,0)),"Not Mapped"))</f>
        <v>Akshay P</v>
      </c>
      <c r="D261" s="14" t="str">
        <f aca="false" t="array" ref="D261:D261">IF(B261="","",IFERROR(INDEX('CLM &amp; IM Mapping'!$C$2:$C$270,MATCH(TRIM(B261),'CLM &amp; IM Mapping'!$A$2:$A$270,0)),"Not Mapped"))</f>
        <v>Srittam Dhal</v>
      </c>
      <c r="E261" s="14"/>
      <c r="F261" s="14"/>
      <c r="G261" s="14"/>
      <c r="H261" s="14" t="n">
        <v>1</v>
      </c>
      <c r="I261" s="14" t="n">
        <v>0</v>
      </c>
      <c r="J261" s="14" t="n">
        <v>1</v>
      </c>
      <c r="K261" s="14" t="n">
        <v>1</v>
      </c>
      <c r="L261" s="12"/>
      <c r="M261" s="12"/>
      <c r="N261" s="23"/>
      <c r="O261" s="23"/>
      <c r="P261" s="23"/>
      <c r="Q261" s="23"/>
      <c r="R261" s="23"/>
      <c r="S261" s="23"/>
      <c r="T261" s="23"/>
      <c r="U261" s="23"/>
      <c r="V261" s="23"/>
      <c r="W261" s="23"/>
      <c r="X261" s="23"/>
      <c r="Y261" s="23"/>
      <c r="Z261" s="23"/>
    </row>
    <row r="262" customFormat="false" ht="15.75" hidden="false" customHeight="true" outlineLevel="0" collapsed="false">
      <c r="A262" s="52" t="n">
        <v>46304</v>
      </c>
      <c r="B262" s="14" t="s">
        <v>38</v>
      </c>
      <c r="C262" s="14" t="str">
        <f aca="false" t="array" ref="C262:C262">IF(B262="","",IFERROR(INDEX('CLM &amp; IM Mapping'!$B$2:$B$270,MATCH(TRIM(B262),'CLM &amp; IM Mapping'!$A$2:$A$270,0)),"Not Mapped"))</f>
        <v>Vijay M</v>
      </c>
      <c r="D262" s="14" t="str">
        <f aca="false" t="array" ref="D262:D262">IF(B262="","",IFERROR(INDEX('CLM &amp; IM Mapping'!$C$2:$C$270,MATCH(TRIM(B262),'CLM &amp; IM Mapping'!$A$2:$A$270,0)),"Not Mapped"))</f>
        <v>Kantha Kumar</v>
      </c>
      <c r="E262" s="14"/>
      <c r="F262" s="14"/>
      <c r="G262" s="14"/>
      <c r="H262" s="14" t="n">
        <v>1</v>
      </c>
      <c r="I262" s="14" t="n">
        <v>1</v>
      </c>
      <c r="J262" s="14" t="n">
        <v>0</v>
      </c>
      <c r="K262" s="14" t="n">
        <v>1</v>
      </c>
      <c r="L262" s="12"/>
      <c r="M262" s="12"/>
      <c r="N262" s="23"/>
      <c r="O262" s="23"/>
      <c r="P262" s="23"/>
      <c r="Q262" s="23"/>
      <c r="R262" s="23"/>
      <c r="S262" s="23"/>
      <c r="T262" s="23"/>
      <c r="U262" s="23"/>
      <c r="V262" s="23"/>
      <c r="W262" s="23"/>
      <c r="X262" s="23"/>
      <c r="Y262" s="23"/>
      <c r="Z262" s="23"/>
    </row>
    <row r="263" customFormat="false" ht="15.75" hidden="false" customHeight="true" outlineLevel="0" collapsed="false">
      <c r="A263" s="52" t="n">
        <v>46304</v>
      </c>
      <c r="B263" s="14" t="s">
        <v>396</v>
      </c>
      <c r="C263" s="14" t="str">
        <f aca="false" t="array" ref="C263:C263">IF(B263="","",IFERROR(INDEX('CLM &amp; IM Mapping'!$B$2:$B$270,MATCH(TRIM(B263),'CLM &amp; IM Mapping'!$A$2:$A$270,0)),"Not Mapped"))</f>
        <v>Ravishankar gowda</v>
      </c>
      <c r="D263" s="14" t="str">
        <f aca="false" t="array" ref="D263:D263">IF(B263="","",IFERROR(INDEX('CLM &amp; IM Mapping'!$C$2:$C$270,MATCH(TRIM(B263),'CLM &amp; IM Mapping'!$A$2:$A$270,0)),"Not Mapped"))</f>
        <v>Kishor K</v>
      </c>
      <c r="E263" s="14"/>
      <c r="F263" s="14"/>
      <c r="G263" s="14"/>
      <c r="H263" s="14" t="n">
        <v>1</v>
      </c>
      <c r="I263" s="14" t="n">
        <v>1</v>
      </c>
      <c r="J263" s="14" t="n">
        <v>0</v>
      </c>
      <c r="K263" s="14" t="n">
        <v>1</v>
      </c>
      <c r="L263" s="12" t="s">
        <v>806</v>
      </c>
      <c r="M263" s="12" t="s">
        <v>655</v>
      </c>
      <c r="N263" s="23"/>
      <c r="O263" s="23"/>
      <c r="P263" s="23"/>
      <c r="Q263" s="23"/>
      <c r="R263" s="23"/>
      <c r="S263" s="23"/>
      <c r="T263" s="23"/>
      <c r="U263" s="23"/>
      <c r="V263" s="23"/>
      <c r="W263" s="23"/>
      <c r="X263" s="23"/>
      <c r="Y263" s="23"/>
      <c r="Z263" s="23"/>
    </row>
    <row r="264" customFormat="false" ht="15.75" hidden="false" customHeight="true" outlineLevel="0" collapsed="false">
      <c r="A264" s="52" t="n">
        <v>46304</v>
      </c>
      <c r="B264" s="14" t="s">
        <v>312</v>
      </c>
      <c r="C264" s="14" t="str">
        <f aca="false" t="array" ref="C264:C264">IF(B264="","",IFERROR(INDEX('CLM &amp; IM Mapping'!$B$2:$B$270,MATCH(TRIM(B264),'CLM &amp; IM Mapping'!$A$2:$A$270,0)),"Not Mapped"))</f>
        <v>Manoj Kj</v>
      </c>
      <c r="D264" s="14" t="str">
        <f aca="false" t="array" ref="D264:D264">IF(B264="","",IFERROR(INDEX('CLM &amp; IM Mapping'!$C$2:$C$270,MATCH(TRIM(B264),'CLM &amp; IM Mapping'!$A$2:$A$270,0)),"Not Mapped"))</f>
        <v>Srittam Dhal</v>
      </c>
      <c r="E264" s="14"/>
      <c r="F264" s="14"/>
      <c r="G264" s="14"/>
      <c r="H264" s="14" t="n">
        <v>1</v>
      </c>
      <c r="I264" s="14" t="n">
        <v>1</v>
      </c>
      <c r="J264" s="14" t="n">
        <v>0</v>
      </c>
      <c r="K264" s="14" t="n">
        <v>1</v>
      </c>
      <c r="L264" s="12"/>
      <c r="M264" s="12"/>
      <c r="N264" s="23"/>
      <c r="O264" s="23"/>
      <c r="P264" s="23"/>
      <c r="Q264" s="23"/>
      <c r="R264" s="23"/>
      <c r="S264" s="23"/>
      <c r="T264" s="23"/>
      <c r="U264" s="23"/>
      <c r="V264" s="23"/>
      <c r="W264" s="23"/>
      <c r="X264" s="23"/>
      <c r="Y264" s="23"/>
      <c r="Z264" s="23"/>
    </row>
    <row r="265" customFormat="false" ht="15.75" hidden="false" customHeight="true" outlineLevel="0" collapsed="false">
      <c r="A265" s="52" t="n">
        <v>46304</v>
      </c>
      <c r="B265" s="14" t="s">
        <v>331</v>
      </c>
      <c r="C265" s="14" t="str">
        <f aca="false" t="array" ref="C265:C265">IF(B265="","",IFERROR(INDEX('CLM &amp; IM Mapping'!$B$2:$B$270,MATCH(TRIM(B265),'CLM &amp; IM Mapping'!$A$2:$A$270,0)),"Not Mapped"))</f>
        <v>Vijay M</v>
      </c>
      <c r="D265" s="14" t="str">
        <f aca="false" t="array" ref="D265:D265">IF(B265="","",IFERROR(INDEX('CLM &amp; IM Mapping'!$C$2:$C$270,MATCH(TRIM(B265),'CLM &amp; IM Mapping'!$A$2:$A$270,0)),"Not Mapped"))</f>
        <v>Kantha Kumar</v>
      </c>
      <c r="E265" s="14"/>
      <c r="F265" s="14"/>
      <c r="G265" s="14"/>
      <c r="H265" s="14" t="n">
        <v>1</v>
      </c>
      <c r="I265" s="14" t="n">
        <v>1</v>
      </c>
      <c r="J265" s="14" t="n">
        <v>0</v>
      </c>
      <c r="K265" s="14" t="n">
        <v>1</v>
      </c>
      <c r="L265" s="12"/>
      <c r="M265" s="12"/>
      <c r="N265" s="23"/>
      <c r="O265" s="23"/>
      <c r="P265" s="23"/>
      <c r="Q265" s="23"/>
      <c r="R265" s="23"/>
      <c r="S265" s="23"/>
      <c r="T265" s="23"/>
      <c r="U265" s="23"/>
      <c r="V265" s="23"/>
      <c r="W265" s="23"/>
      <c r="X265" s="23"/>
      <c r="Y265" s="23"/>
      <c r="Z265" s="23"/>
    </row>
    <row r="266" customFormat="false" ht="15.75" hidden="false" customHeight="true" outlineLevel="0" collapsed="false">
      <c r="A266" s="52" t="n">
        <v>46304</v>
      </c>
      <c r="B266" s="14" t="s">
        <v>235</v>
      </c>
      <c r="C266" s="14" t="str">
        <f aca="false" t="array" ref="C266:C266">IF(B266="","",IFERROR(INDEX('CLM &amp; IM Mapping'!$B$2:$B$270,MATCH(TRIM(B266),'CLM &amp; IM Mapping'!$A$2:$A$270,0)),"Not Mapped"))</f>
        <v>Akshay P</v>
      </c>
      <c r="D266" s="14" t="str">
        <f aca="false" t="array" ref="D266:D266">IF(B266="","",IFERROR(INDEX('CLM &amp; IM Mapping'!$C$2:$C$270,MATCH(TRIM(B266),'CLM &amp; IM Mapping'!$A$2:$A$270,0)),"Not Mapped"))</f>
        <v>Srittam Dhal</v>
      </c>
      <c r="E266" s="14"/>
      <c r="F266" s="14"/>
      <c r="G266" s="14"/>
      <c r="H266" s="14" t="n">
        <v>1</v>
      </c>
      <c r="I266" s="14" t="n">
        <v>1</v>
      </c>
      <c r="J266" s="14" t="n">
        <v>0</v>
      </c>
      <c r="K266" s="14" t="n">
        <v>1</v>
      </c>
      <c r="L266" s="12"/>
      <c r="M266" s="12"/>
      <c r="N266" s="23"/>
      <c r="O266" s="23"/>
      <c r="P266" s="23"/>
      <c r="Q266" s="23"/>
      <c r="R266" s="23"/>
      <c r="S266" s="23"/>
      <c r="T266" s="23"/>
      <c r="U266" s="23"/>
      <c r="V266" s="23"/>
      <c r="W266" s="23"/>
      <c r="X266" s="23"/>
      <c r="Y266" s="23"/>
      <c r="Z266" s="23"/>
    </row>
    <row r="267" customFormat="false" ht="15.75" hidden="false" customHeight="true" outlineLevel="0" collapsed="false">
      <c r="A267" s="52" t="n">
        <v>46304</v>
      </c>
      <c r="B267" s="14" t="s">
        <v>183</v>
      </c>
      <c r="C267" s="14" t="str">
        <f aca="false" t="array" ref="C267:C267">IF(B267="","",IFERROR(INDEX('CLM &amp; IM Mapping'!$B$2:$B$270,MATCH(TRIM(B267),'CLM &amp; IM Mapping'!$A$2:$A$270,0)),"Not Mapped"))</f>
        <v>Saddam Hussain</v>
      </c>
      <c r="D267" s="14" t="str">
        <f aca="false" t="array" ref="D267:D267">IF(B267="","",IFERROR(INDEX('CLM &amp; IM Mapping'!$C$2:$C$270,MATCH(TRIM(B267),'CLM &amp; IM Mapping'!$A$2:$A$270,0)),"Not Mapped"))</f>
        <v>Un Mapped</v>
      </c>
      <c r="E267" s="14"/>
      <c r="F267" s="14"/>
      <c r="G267" s="14"/>
      <c r="H267" s="14" t="n">
        <v>1</v>
      </c>
      <c r="I267" s="14" t="n">
        <v>1</v>
      </c>
      <c r="J267" s="14" t="n">
        <v>0</v>
      </c>
      <c r="K267" s="14" t="n">
        <v>1</v>
      </c>
      <c r="L267" s="12"/>
      <c r="M267" s="12"/>
      <c r="N267" s="23"/>
      <c r="O267" s="23"/>
      <c r="P267" s="23"/>
      <c r="Q267" s="23"/>
      <c r="R267" s="23"/>
      <c r="S267" s="23"/>
      <c r="T267" s="23"/>
      <c r="U267" s="23"/>
      <c r="V267" s="23"/>
      <c r="W267" s="23"/>
      <c r="X267" s="23"/>
      <c r="Y267" s="23"/>
      <c r="Z267" s="23"/>
    </row>
    <row r="268" customFormat="false" ht="15.75" hidden="false" customHeight="true" outlineLevel="0" collapsed="false">
      <c r="A268" s="52" t="n">
        <v>46304</v>
      </c>
      <c r="B268" s="14" t="s">
        <v>290</v>
      </c>
      <c r="C268" s="14" t="str">
        <f aca="false" t="array" ref="C268:C268">IF(B268="","",IFERROR(INDEX('CLM &amp; IM Mapping'!$B$2:$B$270,MATCH(TRIM(B268),'CLM &amp; IM Mapping'!$A$2:$A$270,0)),"Not Mapped"))</f>
        <v>Akshay P</v>
      </c>
      <c r="D268" s="14" t="str">
        <f aca="false" t="array" ref="D268:D268">IF(B268="","",IFERROR(INDEX('CLM &amp; IM Mapping'!$C$2:$C$270,MATCH(TRIM(B268),'CLM &amp; IM Mapping'!$A$2:$A$270,0)),"Not Mapped"))</f>
        <v>Srittam Dhal</v>
      </c>
      <c r="E268" s="14"/>
      <c r="F268" s="14"/>
      <c r="G268" s="14"/>
      <c r="H268" s="14" t="n">
        <v>1</v>
      </c>
      <c r="I268" s="14" t="n">
        <v>1</v>
      </c>
      <c r="J268" s="14" t="n">
        <v>0</v>
      </c>
      <c r="K268" s="14" t="n">
        <v>1</v>
      </c>
      <c r="L268" s="12"/>
      <c r="M268" s="12"/>
      <c r="N268" s="23"/>
      <c r="O268" s="23"/>
      <c r="P268" s="23"/>
      <c r="Q268" s="23"/>
      <c r="R268" s="23"/>
      <c r="S268" s="23"/>
      <c r="T268" s="23"/>
      <c r="U268" s="23"/>
      <c r="V268" s="23"/>
      <c r="W268" s="23"/>
      <c r="X268" s="23"/>
      <c r="Y268" s="23"/>
      <c r="Z268" s="23"/>
    </row>
    <row r="269" customFormat="false" ht="15.75" hidden="false" customHeight="true" outlineLevel="0" collapsed="false">
      <c r="A269" s="52" t="n">
        <v>46304</v>
      </c>
      <c r="B269" s="14" t="s">
        <v>443</v>
      </c>
      <c r="C269" s="14" t="str">
        <f aca="false" t="array" ref="C269:C269">IF(B269="","",IFERROR(INDEX('CLM &amp; IM Mapping'!$B$2:$B$270,MATCH(TRIM(B269),'CLM &amp; IM Mapping'!$A$2:$A$270,0)),"Not Mapped"))</f>
        <v>Manoj Kj</v>
      </c>
      <c r="D269" s="14" t="str">
        <f aca="false" t="array" ref="D269:D269">IF(B269="","",IFERROR(INDEX('CLM &amp; IM Mapping'!$C$2:$C$270,MATCH(TRIM(B269),'CLM &amp; IM Mapping'!$A$2:$A$270,0)),"Not Mapped"))</f>
        <v>Srittam Dhal</v>
      </c>
      <c r="E269" s="14"/>
      <c r="F269" s="14"/>
      <c r="G269" s="14"/>
      <c r="H269" s="14" t="n">
        <v>1</v>
      </c>
      <c r="I269" s="14" t="n">
        <v>1</v>
      </c>
      <c r="J269" s="14" t="n">
        <v>0</v>
      </c>
      <c r="K269" s="14" t="n">
        <v>1</v>
      </c>
      <c r="L269" s="12"/>
      <c r="M269" s="12"/>
      <c r="N269" s="23"/>
      <c r="O269" s="23"/>
      <c r="P269" s="23"/>
      <c r="Q269" s="23"/>
      <c r="R269" s="23"/>
      <c r="S269" s="23"/>
      <c r="T269" s="23"/>
      <c r="U269" s="23"/>
      <c r="V269" s="23"/>
      <c r="W269" s="23"/>
      <c r="X269" s="23"/>
      <c r="Y269" s="23"/>
      <c r="Z269" s="23"/>
    </row>
    <row r="270" customFormat="false" ht="15.75" hidden="false" customHeight="true" outlineLevel="0" collapsed="false">
      <c r="A270" s="52" t="n">
        <v>46304</v>
      </c>
      <c r="B270" s="14" t="s">
        <v>350</v>
      </c>
      <c r="C270" s="14" t="str">
        <f aca="false" t="array" ref="C270:C270">IF(B270="","",IFERROR(INDEX('CLM &amp; IM Mapping'!$B$2:$B$270,MATCH(TRIM(B270),'CLM &amp; IM Mapping'!$A$2:$A$270,0)),"Not Mapped"))</f>
        <v>Vishnu V</v>
      </c>
      <c r="D270" s="14" t="str">
        <f aca="false" t="array" ref="D270:D270">IF(B270="","",IFERROR(INDEX('CLM &amp; IM Mapping'!$C$2:$C$270,MATCH(TRIM(B270),'CLM &amp; IM Mapping'!$A$2:$A$270,0)),"Not Mapped"))</f>
        <v>Arivind S</v>
      </c>
      <c r="E270" s="14"/>
      <c r="F270" s="14"/>
      <c r="G270" s="14"/>
      <c r="H270" s="14" t="n">
        <v>1</v>
      </c>
      <c r="I270" s="14" t="n">
        <v>0</v>
      </c>
      <c r="J270" s="14" t="n">
        <v>1</v>
      </c>
      <c r="K270" s="14" t="n">
        <v>1</v>
      </c>
      <c r="L270" s="12"/>
      <c r="M270" s="12"/>
      <c r="N270" s="23"/>
      <c r="O270" s="23"/>
      <c r="P270" s="23"/>
      <c r="Q270" s="23"/>
      <c r="R270" s="23"/>
      <c r="S270" s="23"/>
      <c r="T270" s="23"/>
      <c r="U270" s="23"/>
      <c r="V270" s="23"/>
      <c r="W270" s="23"/>
      <c r="X270" s="23"/>
      <c r="Y270" s="23"/>
      <c r="Z270" s="23"/>
    </row>
    <row r="271" customFormat="false" ht="15.75" hidden="false" customHeight="true" outlineLevel="0" collapsed="false">
      <c r="A271" s="52" t="n">
        <v>46304</v>
      </c>
      <c r="B271" s="14" t="s">
        <v>300</v>
      </c>
      <c r="C271" s="14" t="str">
        <f aca="false" t="array" ref="C271:C271">IF(B271="","",IFERROR(INDEX('CLM &amp; IM Mapping'!$B$2:$B$270,MATCH(TRIM(B271),'CLM &amp; IM Mapping'!$A$2:$A$270,0)),"Not Mapped"))</f>
        <v>Bangareppa CS</v>
      </c>
      <c r="D271" s="14" t="str">
        <f aca="false" t="array" ref="D271:D271">IF(B271="","",IFERROR(INDEX('CLM &amp; IM Mapping'!$C$2:$C$270,MATCH(TRIM(B271),'CLM &amp; IM Mapping'!$A$2:$A$270,0)),"Not Mapped"))</f>
        <v>Kishor K</v>
      </c>
      <c r="E271" s="14"/>
      <c r="F271" s="14"/>
      <c r="G271" s="14"/>
      <c r="H271" s="14" t="n">
        <v>1</v>
      </c>
      <c r="I271" s="14" t="n">
        <v>1</v>
      </c>
      <c r="J271" s="14" t="n">
        <v>0</v>
      </c>
      <c r="K271" s="14" t="n">
        <v>1</v>
      </c>
      <c r="L271" s="12" t="s">
        <v>807</v>
      </c>
      <c r="M271" s="12" t="s">
        <v>623</v>
      </c>
      <c r="N271" s="23"/>
      <c r="O271" s="23"/>
      <c r="P271" s="23"/>
      <c r="Q271" s="23"/>
      <c r="R271" s="23"/>
      <c r="S271" s="23"/>
      <c r="T271" s="23"/>
      <c r="U271" s="23"/>
      <c r="V271" s="23"/>
      <c r="W271" s="23"/>
      <c r="X271" s="23"/>
      <c r="Y271" s="23"/>
      <c r="Z271" s="23"/>
    </row>
    <row r="272" customFormat="false" ht="15.75" hidden="false" customHeight="true" outlineLevel="0" collapsed="false">
      <c r="A272" s="52" t="n">
        <v>46304</v>
      </c>
      <c r="B272" s="14" t="s">
        <v>472</v>
      </c>
      <c r="C272" s="14" t="str">
        <f aca="false" t="array" ref="C272:C272">IF(B272="","",IFERROR(INDEX('CLM &amp; IM Mapping'!$B$2:$B$270,MATCH(TRIM(B272),'CLM &amp; IM Mapping'!$A$2:$A$270,0)),"Not Mapped"))</f>
        <v>Bangareppa CS</v>
      </c>
      <c r="D272" s="14" t="str">
        <f aca="false" t="array" ref="D272:D272">IF(B272="","",IFERROR(INDEX('CLM &amp; IM Mapping'!$C$2:$C$270,MATCH(TRIM(B272),'CLM &amp; IM Mapping'!$A$2:$A$270,0)),"Not Mapped"))</f>
        <v>Kishor K</v>
      </c>
      <c r="E272" s="14"/>
      <c r="F272" s="14"/>
      <c r="G272" s="14"/>
      <c r="H272" s="14" t="n">
        <v>1</v>
      </c>
      <c r="I272" s="14" t="n">
        <v>0</v>
      </c>
      <c r="J272" s="14" t="n">
        <v>1</v>
      </c>
      <c r="K272" s="14" t="n">
        <v>1</v>
      </c>
      <c r="L272" s="12" t="s">
        <v>807</v>
      </c>
      <c r="M272" s="12" t="s">
        <v>623</v>
      </c>
      <c r="N272" s="23"/>
      <c r="O272" s="23"/>
      <c r="P272" s="23"/>
      <c r="Q272" s="23"/>
      <c r="R272" s="23"/>
      <c r="S272" s="23"/>
      <c r="T272" s="23"/>
      <c r="U272" s="23"/>
      <c r="V272" s="23"/>
      <c r="W272" s="23"/>
      <c r="X272" s="23"/>
      <c r="Y272" s="23"/>
      <c r="Z272" s="23"/>
    </row>
    <row r="273" customFormat="false" ht="15.75" hidden="false" customHeight="true" outlineLevel="0" collapsed="false">
      <c r="A273" s="52" t="n">
        <v>46304</v>
      </c>
      <c r="B273" s="14" t="s">
        <v>345</v>
      </c>
      <c r="C273" s="14" t="str">
        <f aca="false" t="array" ref="C273:C273">IF(B273="","",IFERROR(INDEX('CLM &amp; IM Mapping'!$B$2:$B$270,MATCH(TRIM(B273),'CLM &amp; IM Mapping'!$A$2:$A$270,0)),"Not Mapped"))</f>
        <v>John Britto</v>
      </c>
      <c r="D273" s="14" t="str">
        <f aca="false" t="array" ref="D273:D273">IF(B273="","",IFERROR(INDEX('CLM &amp; IM Mapping'!$C$2:$C$270,MATCH(TRIM(B273),'CLM &amp; IM Mapping'!$A$2:$A$270,0)),"Not Mapped"))</f>
        <v>Aravind S</v>
      </c>
      <c r="E273" s="14"/>
      <c r="F273" s="14"/>
      <c r="G273" s="14"/>
      <c r="H273" s="14" t="n">
        <v>1</v>
      </c>
      <c r="I273" s="14" t="n">
        <v>1</v>
      </c>
      <c r="J273" s="14" t="n">
        <v>0</v>
      </c>
      <c r="K273" s="14" t="n">
        <v>1</v>
      </c>
      <c r="L273" s="12"/>
      <c r="M273" s="12"/>
      <c r="N273" s="23"/>
      <c r="O273" s="23"/>
      <c r="P273" s="23"/>
      <c r="Q273" s="23"/>
      <c r="R273" s="23"/>
      <c r="S273" s="23"/>
      <c r="T273" s="23"/>
      <c r="U273" s="23"/>
      <c r="V273" s="23"/>
      <c r="W273" s="23"/>
      <c r="X273" s="23"/>
      <c r="Y273" s="23"/>
      <c r="Z273" s="23"/>
    </row>
    <row r="274" customFormat="false" ht="15.75" hidden="false" customHeight="true" outlineLevel="0" collapsed="false">
      <c r="A274" s="52" t="n">
        <v>46304</v>
      </c>
      <c r="B274" s="14" t="s">
        <v>325</v>
      </c>
      <c r="C274" s="14" t="str">
        <f aca="false" t="array" ref="C274:C274">IF(B274="","",IFERROR(INDEX('CLM &amp; IM Mapping'!$B$2:$B$270,MATCH(TRIM(B274),'CLM &amp; IM Mapping'!$A$2:$A$270,0)),"Not Mapped"))</f>
        <v>Santhosha M</v>
      </c>
      <c r="D274" s="14" t="str">
        <f aca="false" t="array" ref="D274:D274">IF(B274="","",IFERROR(INDEX('CLM &amp; IM Mapping'!$C$2:$C$270,MATCH(TRIM(B274),'CLM &amp; IM Mapping'!$A$2:$A$270,0)),"Not Mapped"))</f>
        <v>Aravind S</v>
      </c>
      <c r="E274" s="14"/>
      <c r="F274" s="14"/>
      <c r="G274" s="14"/>
      <c r="H274" s="14" t="n">
        <v>1</v>
      </c>
      <c r="I274" s="14" t="n">
        <v>0</v>
      </c>
      <c r="J274" s="14" t="n">
        <v>1</v>
      </c>
      <c r="K274" s="14" t="n">
        <v>1</v>
      </c>
      <c r="L274" s="12"/>
      <c r="M274" s="12"/>
      <c r="N274" s="23"/>
      <c r="O274" s="23"/>
      <c r="P274" s="23"/>
      <c r="Q274" s="23"/>
      <c r="R274" s="23"/>
      <c r="S274" s="23"/>
      <c r="T274" s="23"/>
      <c r="U274" s="23"/>
      <c r="V274" s="23"/>
      <c r="W274" s="23"/>
      <c r="X274" s="23"/>
      <c r="Y274" s="23"/>
      <c r="Z274" s="23"/>
    </row>
    <row r="275" customFormat="false" ht="15.75" hidden="false" customHeight="true" outlineLevel="0" collapsed="false">
      <c r="A275" s="52" t="n">
        <v>46304</v>
      </c>
      <c r="B275" s="14" t="s">
        <v>361</v>
      </c>
      <c r="C275" s="14" t="str">
        <f aca="false" t="array" ref="C275:C275">IF(B275="","",IFERROR(INDEX('CLM &amp; IM Mapping'!$B$2:$B$270,MATCH(TRIM(B275),'CLM &amp; IM Mapping'!$A$2:$A$270,0)),"Not Mapped"))</f>
        <v>Santhosha M</v>
      </c>
      <c r="D275" s="14" t="str">
        <f aca="false" t="array" ref="D275:D275">IF(B275="","",IFERROR(INDEX('CLM &amp; IM Mapping'!$C$2:$C$270,MATCH(TRIM(B275),'CLM &amp; IM Mapping'!$A$2:$A$270,0)),"Not Mapped"))</f>
        <v>Aravind S</v>
      </c>
      <c r="E275" s="14"/>
      <c r="F275" s="14"/>
      <c r="G275" s="14"/>
      <c r="H275" s="14" t="n">
        <v>1</v>
      </c>
      <c r="I275" s="14" t="n">
        <v>0</v>
      </c>
      <c r="J275" s="14" t="n">
        <v>1</v>
      </c>
      <c r="K275" s="14" t="n">
        <v>1</v>
      </c>
      <c r="L275" s="12"/>
      <c r="M275" s="12"/>
      <c r="N275" s="23"/>
      <c r="O275" s="23"/>
      <c r="P275" s="23"/>
      <c r="Q275" s="23"/>
      <c r="R275" s="23"/>
      <c r="S275" s="23"/>
      <c r="T275" s="23"/>
      <c r="U275" s="23"/>
      <c r="V275" s="23"/>
      <c r="W275" s="23"/>
      <c r="X275" s="23"/>
      <c r="Y275" s="23"/>
      <c r="Z275" s="23"/>
    </row>
    <row r="276" customFormat="false" ht="15.75" hidden="false" customHeight="true" outlineLevel="0" collapsed="false">
      <c r="A276" s="52" t="n">
        <v>46304</v>
      </c>
      <c r="B276" s="14" t="s">
        <v>450</v>
      </c>
      <c r="C276" s="14" t="str">
        <f aca="false" t="array" ref="C276:C276">IF(B276="","",IFERROR(INDEX('CLM &amp; IM Mapping'!$B$2:$B$270,MATCH(TRIM(B276),'CLM &amp; IM Mapping'!$A$2:$A$270,0)),"Not Mapped"))</f>
        <v>Santhosha M</v>
      </c>
      <c r="D276" s="14" t="str">
        <f aca="false" t="array" ref="D276:D276">IF(B276="","",IFERROR(INDEX('CLM &amp; IM Mapping'!$C$2:$C$270,MATCH(TRIM(B276),'CLM &amp; IM Mapping'!$A$2:$A$270,0)),"Not Mapped"))</f>
        <v>Aravind S</v>
      </c>
      <c r="E276" s="14"/>
      <c r="F276" s="14" t="n">
        <v>1</v>
      </c>
      <c r="G276" s="14"/>
      <c r="H276" s="14"/>
      <c r="I276" s="14" t="n">
        <v>1</v>
      </c>
      <c r="J276" s="14" t="n">
        <v>0</v>
      </c>
      <c r="K276" s="14" t="n">
        <v>1</v>
      </c>
      <c r="L276" s="12"/>
      <c r="M276" s="12"/>
      <c r="N276" s="23"/>
      <c r="O276" s="23"/>
      <c r="P276" s="23"/>
      <c r="Q276" s="23"/>
      <c r="R276" s="23"/>
      <c r="S276" s="23"/>
      <c r="T276" s="23"/>
      <c r="U276" s="23"/>
      <c r="V276" s="23"/>
      <c r="W276" s="23"/>
      <c r="X276" s="23"/>
      <c r="Y276" s="23"/>
      <c r="Z276" s="23"/>
    </row>
    <row r="277" customFormat="false" ht="15.75" hidden="false" customHeight="true" outlineLevel="0" collapsed="false">
      <c r="A277" s="52" t="n">
        <v>46304</v>
      </c>
      <c r="B277" s="14" t="s">
        <v>337</v>
      </c>
      <c r="C277" s="14" t="str">
        <f aca="false" t="array" ref="C277:C277">IF(B277="","",IFERROR(INDEX('CLM &amp; IM Mapping'!$B$2:$B$270,MATCH(TRIM(B277),'CLM &amp; IM Mapping'!$A$2:$A$270,0)),"Not Mapped"))</f>
        <v>Akshay P</v>
      </c>
      <c r="D277" s="14" t="str">
        <f aca="false" t="array" ref="D277:D277">IF(B277="","",IFERROR(INDEX('CLM &amp; IM Mapping'!$C$2:$C$270,MATCH(TRIM(B277),'CLM &amp; IM Mapping'!$A$2:$A$270,0)),"Not Mapped"))</f>
        <v>Srittam Dhal</v>
      </c>
      <c r="E277" s="14"/>
      <c r="F277" s="14"/>
      <c r="G277" s="14"/>
      <c r="H277" s="14" t="n">
        <v>1</v>
      </c>
      <c r="I277" s="14" t="n">
        <v>1</v>
      </c>
      <c r="J277" s="14" t="n">
        <v>0</v>
      </c>
      <c r="K277" s="14" t="n">
        <v>1</v>
      </c>
      <c r="L277" s="12"/>
      <c r="M277" s="12"/>
      <c r="N277" s="23"/>
      <c r="O277" s="23"/>
      <c r="P277" s="23"/>
      <c r="Q277" s="23"/>
      <c r="R277" s="23"/>
      <c r="S277" s="23"/>
      <c r="T277" s="23"/>
      <c r="U277" s="23"/>
      <c r="V277" s="23"/>
      <c r="W277" s="23"/>
      <c r="X277" s="23"/>
      <c r="Y277" s="23"/>
      <c r="Z277" s="23"/>
    </row>
    <row r="278" customFormat="false" ht="15.75" hidden="false" customHeight="true" outlineLevel="0" collapsed="false">
      <c r="A278" s="52" t="n">
        <v>46305</v>
      </c>
      <c r="B278" s="14" t="s">
        <v>191</v>
      </c>
      <c r="C278" s="14" t="str">
        <f aca="false" t="array" ref="C278:C278">IF(B278="","",IFERROR(INDEX('CLM &amp; IM Mapping'!$B$2:$B$270,MATCH(TRIM(B278),'CLM &amp; IM Mapping'!$A$2:$A$270,0)),"Not Mapped"))</f>
        <v>Adhavan Subramani</v>
      </c>
      <c r="D278" s="14" t="str">
        <f aca="false" t="array" ref="D278:D278">IF(B278="","",IFERROR(INDEX('CLM &amp; IM Mapping'!$C$2:$C$270,MATCH(TRIM(B278),'CLM &amp; IM Mapping'!$A$2:$A$270,0)),"Not Mapped"))</f>
        <v>Mohammed Akbar</v>
      </c>
      <c r="E278" s="14" t="n">
        <v>2758</v>
      </c>
      <c r="F278" s="14" t="n">
        <v>596</v>
      </c>
      <c r="G278" s="14"/>
      <c r="H278" s="14" t="n">
        <v>4645</v>
      </c>
      <c r="I278" s="14" t="n">
        <v>7999</v>
      </c>
      <c r="J278" s="14" t="n">
        <v>0</v>
      </c>
      <c r="K278" s="14" t="n">
        <v>7999</v>
      </c>
      <c r="L278" s="12"/>
      <c r="M278" s="12"/>
      <c r="N278" s="23"/>
      <c r="O278" s="23"/>
      <c r="P278" s="23"/>
      <c r="Q278" s="23"/>
      <c r="R278" s="23"/>
      <c r="S278" s="23"/>
      <c r="T278" s="23"/>
      <c r="U278" s="23"/>
      <c r="V278" s="23"/>
      <c r="W278" s="23"/>
      <c r="X278" s="23"/>
      <c r="Y278" s="23"/>
      <c r="Z278" s="23"/>
    </row>
    <row r="279" customFormat="false" ht="15.75" hidden="false" customHeight="true" outlineLevel="0" collapsed="false">
      <c r="A279" s="52" t="n">
        <v>46305</v>
      </c>
      <c r="B279" s="14" t="s">
        <v>147</v>
      </c>
      <c r="C279" s="14" t="str">
        <f aca="false" t="array" ref="C279:C279">IF(B279="","",IFERROR(INDEX('CLM &amp; IM Mapping'!$B$2:$B$270,MATCH(TRIM(B279),'CLM &amp; IM Mapping'!$A$2:$A$270,0)),"Not Mapped"))</f>
        <v>Manjunatha V</v>
      </c>
      <c r="D279" s="14" t="str">
        <f aca="false" t="array" ref="D279:D279">IF(B279="","",IFERROR(INDEX('CLM &amp; IM Mapping'!$C$2:$C$270,MATCH(TRIM(B279),'CLM &amp; IM Mapping'!$A$2:$A$270,0)),"Not Mapped"))</f>
        <v>Un Mapped</v>
      </c>
      <c r="E279" s="14" t="n">
        <v>932</v>
      </c>
      <c r="F279" s="14"/>
      <c r="G279" s="14" t="n">
        <v>1822</v>
      </c>
      <c r="H279" s="14"/>
      <c r="I279" s="14" t="n">
        <v>2662</v>
      </c>
      <c r="J279" s="14" t="n">
        <v>92</v>
      </c>
      <c r="K279" s="14" t="n">
        <v>2754</v>
      </c>
      <c r="L279" s="12"/>
      <c r="M279" s="12"/>
      <c r="N279" s="23"/>
      <c r="O279" s="23"/>
      <c r="P279" s="23"/>
      <c r="Q279" s="23"/>
      <c r="R279" s="23"/>
      <c r="S279" s="23"/>
      <c r="T279" s="23"/>
      <c r="U279" s="23"/>
      <c r="V279" s="23"/>
      <c r="W279" s="23"/>
      <c r="X279" s="23"/>
      <c r="Y279" s="23"/>
      <c r="Z279" s="23"/>
    </row>
    <row r="280" customFormat="false" ht="15.75" hidden="false" customHeight="true" outlineLevel="0" collapsed="false">
      <c r="A280" s="52" t="n">
        <v>46305</v>
      </c>
      <c r="B280" s="14" t="s">
        <v>189</v>
      </c>
      <c r="C280" s="14" t="str">
        <f aca="false" t="array" ref="C280:C280">IF(B280="","",IFERROR(INDEX('CLM &amp; IM Mapping'!$B$2:$B$270,MATCH(TRIM(B280),'CLM &amp; IM Mapping'!$A$2:$A$270,0)),"Not Mapped"))</f>
        <v>Girish N</v>
      </c>
      <c r="D280" s="14" t="str">
        <f aca="false" t="array" ref="D280:D280">IF(B280="","",IFERROR(INDEX('CLM &amp; IM Mapping'!$C$2:$C$270,MATCH(TRIM(B280),'CLM &amp; IM Mapping'!$A$2:$A$270,0)),"Not Mapped"))</f>
        <v>Un Mapped</v>
      </c>
      <c r="E280" s="14" t="n">
        <v>921</v>
      </c>
      <c r="F280" s="14"/>
      <c r="G280" s="14"/>
      <c r="H280" s="14" t="n">
        <v>499</v>
      </c>
      <c r="I280" s="14" t="n">
        <v>1177</v>
      </c>
      <c r="J280" s="14" t="n">
        <v>243</v>
      </c>
      <c r="K280" s="14" t="n">
        <v>1420</v>
      </c>
      <c r="L280" s="12"/>
      <c r="M280" s="12"/>
      <c r="N280" s="23"/>
      <c r="O280" s="23"/>
      <c r="P280" s="23"/>
      <c r="Q280" s="23"/>
      <c r="R280" s="23"/>
      <c r="S280" s="23"/>
      <c r="T280" s="23"/>
      <c r="U280" s="23"/>
      <c r="V280" s="23"/>
      <c r="W280" s="23"/>
      <c r="X280" s="23"/>
      <c r="Y280" s="23"/>
      <c r="Z280" s="23"/>
    </row>
    <row r="281" customFormat="false" ht="15.75" hidden="false" customHeight="true" outlineLevel="0" collapsed="false">
      <c r="A281" s="52" t="n">
        <v>46305</v>
      </c>
      <c r="B281" s="14" t="s">
        <v>73</v>
      </c>
      <c r="C281" s="14" t="str">
        <f aca="false" t="array" ref="C281:C281">IF(B281="","",IFERROR(INDEX('CLM &amp; IM Mapping'!$B$2:$B$270,MATCH(TRIM(B281),'CLM &amp; IM Mapping'!$A$2:$A$270,0)),"Not Mapped"))</f>
        <v>Narasimhamurthy R</v>
      </c>
      <c r="D281" s="14" t="str">
        <f aca="false" t="array" ref="D281:D281">IF(B281="","",IFERROR(INDEX('CLM &amp; IM Mapping'!$C$2:$C$270,MATCH(TRIM(B281),'CLM &amp; IM Mapping'!$A$2:$A$270,0)),"Not Mapped"))</f>
        <v>Kishor K</v>
      </c>
      <c r="E281" s="14" t="n">
        <v>411</v>
      </c>
      <c r="F281" s="14"/>
      <c r="G281" s="14" t="n">
        <v>860</v>
      </c>
      <c r="H281" s="14" t="n">
        <v>1</v>
      </c>
      <c r="I281" s="14" t="n">
        <v>1271</v>
      </c>
      <c r="J281" s="14" t="n">
        <v>1</v>
      </c>
      <c r="K281" s="14" t="n">
        <v>1272</v>
      </c>
      <c r="L281" s="12"/>
      <c r="M281" s="12"/>
      <c r="N281" s="23"/>
      <c r="O281" s="23"/>
      <c r="P281" s="23"/>
      <c r="Q281" s="23"/>
      <c r="R281" s="23"/>
      <c r="S281" s="23"/>
      <c r="T281" s="23"/>
      <c r="U281" s="23"/>
      <c r="V281" s="23"/>
      <c r="W281" s="23"/>
      <c r="X281" s="23"/>
      <c r="Y281" s="23"/>
      <c r="Z281" s="23"/>
    </row>
    <row r="282" customFormat="false" ht="15.75" hidden="false" customHeight="true" outlineLevel="0" collapsed="false">
      <c r="A282" s="52" t="n">
        <v>46305</v>
      </c>
      <c r="B282" s="14" t="s">
        <v>59</v>
      </c>
      <c r="C282" s="14" t="str">
        <f aca="false" t="array" ref="C282:C282">IF(B282="","",IFERROR(INDEX('CLM &amp; IM Mapping'!$B$2:$B$270,MATCH(TRIM(B282),'CLM &amp; IM Mapping'!$A$2:$A$270,0)),"Not Mapped"))</f>
        <v>Saddam Hussain</v>
      </c>
      <c r="D282" s="14" t="str">
        <f aca="false" t="array" ref="D282:D282">IF(B282="","",IFERROR(INDEX('CLM &amp; IM Mapping'!$C$2:$C$270,MATCH(TRIM(B282),'CLM &amp; IM Mapping'!$A$2:$A$270,0)),"Not Mapped"))</f>
        <v>Un Mapped</v>
      </c>
      <c r="E282" s="14" t="n">
        <v>625</v>
      </c>
      <c r="F282" s="14"/>
      <c r="G282" s="14" t="n">
        <v>558</v>
      </c>
      <c r="H282" s="14" t="n">
        <v>7</v>
      </c>
      <c r="I282" s="14" t="n">
        <v>1128</v>
      </c>
      <c r="J282" s="14" t="n">
        <v>62</v>
      </c>
      <c r="K282" s="14" t="n">
        <v>1190</v>
      </c>
      <c r="L282" s="12"/>
      <c r="M282" s="12"/>
      <c r="N282" s="23"/>
      <c r="O282" s="23"/>
      <c r="P282" s="23"/>
      <c r="Q282" s="23"/>
      <c r="R282" s="23"/>
      <c r="S282" s="23"/>
      <c r="T282" s="23"/>
      <c r="U282" s="23"/>
      <c r="V282" s="23"/>
      <c r="W282" s="23"/>
      <c r="X282" s="23"/>
      <c r="Y282" s="23"/>
      <c r="Z282" s="23"/>
    </row>
    <row r="283" customFormat="false" ht="15.75" hidden="false" customHeight="true" outlineLevel="0" collapsed="false">
      <c r="A283" s="52" t="n">
        <v>46305</v>
      </c>
      <c r="B283" s="14" t="s">
        <v>311</v>
      </c>
      <c r="C283" s="14" t="str">
        <f aca="false" t="array" ref="C283:C283">IF(B283="","",IFERROR(INDEX('CLM &amp; IM Mapping'!$B$2:$B$270,MATCH(TRIM(B283),'CLM &amp; IM Mapping'!$A$2:$A$270,0)),"Not Mapped"))</f>
        <v>Manjunatha V</v>
      </c>
      <c r="D283" s="14" t="str">
        <f aca="false" t="array" ref="D283:D283">IF(B283="","",IFERROR(INDEX('CLM &amp; IM Mapping'!$C$2:$C$270,MATCH(TRIM(B283),'CLM &amp; IM Mapping'!$A$2:$A$270,0)),"Not Mapped"))</f>
        <v>Un Mapped</v>
      </c>
      <c r="E283" s="14" t="n">
        <v>944</v>
      </c>
      <c r="F283" s="14"/>
      <c r="G283" s="14"/>
      <c r="H283" s="14"/>
      <c r="I283" s="14" t="n">
        <v>944</v>
      </c>
      <c r="J283" s="14" t="n">
        <v>0</v>
      </c>
      <c r="K283" s="14" t="n">
        <v>944</v>
      </c>
      <c r="L283" s="12"/>
      <c r="M283" s="12"/>
      <c r="N283" s="23"/>
      <c r="O283" s="23"/>
      <c r="P283" s="23"/>
      <c r="Q283" s="23"/>
      <c r="R283" s="23"/>
      <c r="S283" s="23"/>
      <c r="T283" s="23"/>
      <c r="U283" s="23"/>
      <c r="V283" s="23"/>
      <c r="W283" s="23"/>
      <c r="X283" s="23"/>
      <c r="Y283" s="23"/>
      <c r="Z283" s="23"/>
    </row>
    <row r="284" customFormat="false" ht="15.75" hidden="false" customHeight="true" outlineLevel="0" collapsed="false">
      <c r="A284" s="52" t="n">
        <v>46305</v>
      </c>
      <c r="B284" s="14" t="s">
        <v>38</v>
      </c>
      <c r="C284" s="14" t="str">
        <f aca="false" t="array" ref="C284:C284">IF(B284="","",IFERROR(INDEX('CLM &amp; IM Mapping'!$B$2:$B$270,MATCH(TRIM(B284),'CLM &amp; IM Mapping'!$A$2:$A$270,0)),"Not Mapped"))</f>
        <v>Vijay M</v>
      </c>
      <c r="D284" s="14" t="str">
        <f aca="false" t="array" ref="D284:D284">IF(B284="","",IFERROR(INDEX('CLM &amp; IM Mapping'!$C$2:$C$270,MATCH(TRIM(B284),'CLM &amp; IM Mapping'!$A$2:$A$270,0)),"Not Mapped"))</f>
        <v>Kantha Kumar</v>
      </c>
      <c r="E284" s="14" t="n">
        <v>932</v>
      </c>
      <c r="F284" s="14"/>
      <c r="G284" s="14"/>
      <c r="H284" s="14"/>
      <c r="I284" s="14" t="n">
        <v>932</v>
      </c>
      <c r="J284" s="14" t="n">
        <v>0</v>
      </c>
      <c r="K284" s="14" t="n">
        <v>932</v>
      </c>
      <c r="L284" s="12"/>
      <c r="M284" s="12"/>
      <c r="N284" s="23"/>
      <c r="O284" s="23"/>
      <c r="P284" s="23"/>
      <c r="Q284" s="23"/>
      <c r="R284" s="23"/>
      <c r="S284" s="23"/>
      <c r="T284" s="23"/>
      <c r="U284" s="23"/>
      <c r="V284" s="23"/>
      <c r="W284" s="23"/>
      <c r="X284" s="23"/>
      <c r="Y284" s="23"/>
      <c r="Z284" s="23"/>
    </row>
    <row r="285" customFormat="false" ht="15.75" hidden="false" customHeight="true" outlineLevel="0" collapsed="false">
      <c r="A285" s="52" t="n">
        <v>46305</v>
      </c>
      <c r="B285" s="14" t="s">
        <v>132</v>
      </c>
      <c r="C285" s="14" t="str">
        <f aca="false" t="array" ref="C285:C285">IF(B285="","",IFERROR(INDEX('CLM &amp; IM Mapping'!$B$2:$B$270,MATCH(TRIM(B285),'CLM &amp; IM Mapping'!$A$2:$A$270,0)),"Not Mapped"))</f>
        <v>Saddam Hussain</v>
      </c>
      <c r="D285" s="14" t="str">
        <f aca="false" t="array" ref="D285:D285">IF(B285="","",IFERROR(INDEX('CLM &amp; IM Mapping'!$C$2:$C$270,MATCH(TRIM(B285),'CLM &amp; IM Mapping'!$A$2:$A$270,0)),"Not Mapped"))</f>
        <v>Un Mapped</v>
      </c>
      <c r="E285" s="14" t="n">
        <v>930</v>
      </c>
      <c r="F285" s="14"/>
      <c r="G285" s="14"/>
      <c r="H285" s="14"/>
      <c r="I285" s="14" t="n">
        <v>842</v>
      </c>
      <c r="J285" s="14" t="n">
        <v>88</v>
      </c>
      <c r="K285" s="14" t="n">
        <v>930</v>
      </c>
      <c r="L285" s="12"/>
      <c r="M285" s="12"/>
      <c r="N285" s="23"/>
      <c r="O285" s="23"/>
      <c r="P285" s="23"/>
      <c r="Q285" s="23"/>
      <c r="R285" s="23"/>
      <c r="S285" s="23"/>
      <c r="T285" s="23"/>
      <c r="U285" s="23"/>
      <c r="V285" s="23"/>
      <c r="W285" s="23"/>
      <c r="X285" s="23"/>
      <c r="Y285" s="23"/>
      <c r="Z285" s="23"/>
    </row>
    <row r="286" customFormat="false" ht="15.75" hidden="false" customHeight="true" outlineLevel="0" collapsed="false">
      <c r="A286" s="52" t="n">
        <v>46305</v>
      </c>
      <c r="B286" s="14" t="s">
        <v>129</v>
      </c>
      <c r="C286" s="14" t="str">
        <f aca="false" t="array" ref="C286:C286">IF(B286="","",IFERROR(INDEX('CLM &amp; IM Mapping'!$B$2:$B$270,MATCH(TRIM(B286),'CLM &amp; IM Mapping'!$A$2:$A$270,0)),"Not Mapped"))</f>
        <v>Ashwath S</v>
      </c>
      <c r="D286" s="14" t="str">
        <f aca="false" t="array" ref="D286:D286">IF(B286="","",IFERROR(INDEX('CLM &amp; IM Mapping'!$C$2:$C$270,MATCH(TRIM(B286),'CLM &amp; IM Mapping'!$A$2:$A$270,0)),"Not Mapped"))</f>
        <v>Kantha Kumar</v>
      </c>
      <c r="E286" s="14" t="n">
        <v>924</v>
      </c>
      <c r="F286" s="14"/>
      <c r="G286" s="14"/>
      <c r="H286" s="14" t="n">
        <v>1</v>
      </c>
      <c r="I286" s="14" t="n">
        <v>924</v>
      </c>
      <c r="J286" s="14" t="n">
        <v>1</v>
      </c>
      <c r="K286" s="14" t="n">
        <v>925</v>
      </c>
      <c r="L286" s="12"/>
      <c r="M286" s="12"/>
      <c r="N286" s="23"/>
      <c r="O286" s="23"/>
      <c r="P286" s="23"/>
      <c r="Q286" s="23"/>
      <c r="R286" s="23"/>
      <c r="S286" s="23"/>
      <c r="T286" s="23"/>
      <c r="U286" s="23"/>
      <c r="V286" s="23"/>
      <c r="W286" s="23"/>
      <c r="X286" s="23"/>
      <c r="Y286" s="23"/>
      <c r="Z286" s="23"/>
    </row>
    <row r="287" customFormat="false" ht="15.75" hidden="false" customHeight="true" outlineLevel="0" collapsed="false">
      <c r="A287" s="52" t="n">
        <v>46305</v>
      </c>
      <c r="B287" s="14" t="s">
        <v>384</v>
      </c>
      <c r="C287" s="14" t="str">
        <f aca="false" t="array" ref="C287:C287">IF(B287="","",IFERROR(INDEX('CLM &amp; IM Mapping'!$B$2:$B$270,MATCH(TRIM(B287),'CLM &amp; IM Mapping'!$A$2:$A$270,0)),"Not Mapped"))</f>
        <v>Saddam Hussain</v>
      </c>
      <c r="D287" s="14" t="str">
        <f aca="false" t="array" ref="D287:D287">IF(B287="","",IFERROR(INDEX('CLM &amp; IM Mapping'!$C$2:$C$270,MATCH(TRIM(B287),'CLM &amp; IM Mapping'!$A$2:$A$270,0)),"Not Mapped"))</f>
        <v>Un Mapped</v>
      </c>
      <c r="E287" s="14" t="n">
        <v>903</v>
      </c>
      <c r="F287" s="14"/>
      <c r="G287" s="14"/>
      <c r="H287" s="14"/>
      <c r="I287" s="14" t="n">
        <v>903</v>
      </c>
      <c r="J287" s="14" t="n">
        <v>0</v>
      </c>
      <c r="K287" s="14" t="n">
        <v>903</v>
      </c>
      <c r="L287" s="12"/>
      <c r="M287" s="12"/>
      <c r="N287" s="23"/>
      <c r="O287" s="23"/>
      <c r="P287" s="23"/>
      <c r="Q287" s="23"/>
      <c r="R287" s="23"/>
      <c r="S287" s="23"/>
      <c r="T287" s="23"/>
      <c r="U287" s="23"/>
      <c r="V287" s="23"/>
      <c r="W287" s="23"/>
      <c r="X287" s="23"/>
      <c r="Y287" s="23"/>
      <c r="Z287" s="23"/>
    </row>
    <row r="288" customFormat="false" ht="15.75" hidden="false" customHeight="true" outlineLevel="0" collapsed="false">
      <c r="A288" s="52" t="n">
        <v>46305</v>
      </c>
      <c r="B288" s="14" t="s">
        <v>277</v>
      </c>
      <c r="C288" s="14" t="str">
        <f aca="false" t="array" ref="C288:C288">IF(B288="","",IFERROR(INDEX('CLM &amp; IM Mapping'!$B$2:$B$270,MATCH(TRIM(B288),'CLM &amp; IM Mapping'!$A$2:$A$270,0)),"Not Mapped"))</f>
        <v>Santhosha M</v>
      </c>
      <c r="D288" s="14" t="str">
        <f aca="false" t="array" ref="D288:D288">IF(B288="","",IFERROR(INDEX('CLM &amp; IM Mapping'!$C$2:$C$270,MATCH(TRIM(B288),'CLM &amp; IM Mapping'!$A$2:$A$270,0)),"Not Mapped"))</f>
        <v>Aravind S</v>
      </c>
      <c r="E288" s="14" t="n">
        <v>897</v>
      </c>
      <c r="F288" s="14"/>
      <c r="G288" s="14"/>
      <c r="H288" s="14" t="n">
        <v>5</v>
      </c>
      <c r="I288" s="14" t="n">
        <v>902</v>
      </c>
      <c r="J288" s="14" t="n">
        <v>0</v>
      </c>
      <c r="K288" s="14" t="n">
        <v>902</v>
      </c>
      <c r="L288" s="12"/>
      <c r="M288" s="12"/>
      <c r="N288" s="23"/>
      <c r="O288" s="23"/>
      <c r="P288" s="23"/>
      <c r="Q288" s="23"/>
      <c r="R288" s="23"/>
      <c r="S288" s="23"/>
      <c r="T288" s="23"/>
      <c r="U288" s="23"/>
      <c r="V288" s="23"/>
      <c r="W288" s="23"/>
      <c r="X288" s="23"/>
      <c r="Y288" s="23"/>
      <c r="Z288" s="23"/>
    </row>
    <row r="289" customFormat="false" ht="15.75" hidden="false" customHeight="true" outlineLevel="0" collapsed="false">
      <c r="A289" s="52" t="n">
        <v>46305</v>
      </c>
      <c r="B289" s="14" t="s">
        <v>142</v>
      </c>
      <c r="C289" s="14" t="str">
        <f aca="false" t="array" ref="C289:C289">IF(B289="","",IFERROR(INDEX('CLM &amp; IM Mapping'!$B$2:$B$270,MATCH(TRIM(B289),'CLM &amp; IM Mapping'!$A$2:$A$270,0)),"Not Mapped"))</f>
        <v>Sundaresh S</v>
      </c>
      <c r="D289" s="14" t="str">
        <f aca="false" t="array" ref="D289:D289">IF(B289="","",IFERROR(INDEX('CLM &amp; IM Mapping'!$C$2:$C$270,MATCH(TRIM(B289),'CLM &amp; IM Mapping'!$A$2:$A$270,0)),"Not Mapped"))</f>
        <v>Un Mapped</v>
      </c>
      <c r="E289" s="14" t="n">
        <v>898</v>
      </c>
      <c r="F289" s="14"/>
      <c r="G289" s="14"/>
      <c r="H289" s="14"/>
      <c r="I289" s="14" t="n">
        <v>521</v>
      </c>
      <c r="J289" s="14" t="n">
        <v>377</v>
      </c>
      <c r="K289" s="14" t="n">
        <v>898</v>
      </c>
      <c r="L289" s="12"/>
      <c r="M289" s="12"/>
      <c r="N289" s="23"/>
      <c r="O289" s="23"/>
      <c r="P289" s="23"/>
      <c r="Q289" s="23"/>
      <c r="R289" s="23"/>
      <c r="S289" s="23"/>
      <c r="T289" s="23"/>
      <c r="U289" s="23"/>
      <c r="V289" s="23"/>
      <c r="W289" s="23"/>
      <c r="X289" s="23"/>
      <c r="Y289" s="23"/>
      <c r="Z289" s="23"/>
    </row>
    <row r="290" customFormat="false" ht="15.75" hidden="false" customHeight="true" outlineLevel="0" collapsed="false">
      <c r="A290" s="52" t="n">
        <v>46305</v>
      </c>
      <c r="B290" s="14" t="s">
        <v>159</v>
      </c>
      <c r="C290" s="14" t="str">
        <f aca="false" t="array" ref="C290:C290">IF(B290="","",IFERROR(INDEX('CLM &amp; IM Mapping'!$B$2:$B$270,MATCH(TRIM(B290),'CLM &amp; IM Mapping'!$A$2:$A$270,0)),"Not Mapped"))</f>
        <v>Rizwan Ahmed</v>
      </c>
      <c r="D290" s="14" t="str">
        <f aca="false" t="array" ref="D290:D290">IF(B290="","",IFERROR(INDEX('CLM &amp; IM Mapping'!$C$2:$C$270,MATCH(TRIM(B290),'CLM &amp; IM Mapping'!$A$2:$A$270,0)),"Not Mapped"))</f>
        <v>Un Mapped</v>
      </c>
      <c r="E290" s="14" t="n">
        <v>841</v>
      </c>
      <c r="F290" s="14"/>
      <c r="G290" s="14"/>
      <c r="H290" s="14" t="n">
        <v>4</v>
      </c>
      <c r="I290" s="14" t="n">
        <v>262</v>
      </c>
      <c r="J290" s="14" t="n">
        <v>583</v>
      </c>
      <c r="K290" s="14" t="n">
        <v>845</v>
      </c>
      <c r="L290" s="12"/>
      <c r="M290" s="12"/>
      <c r="N290" s="23"/>
      <c r="O290" s="23"/>
      <c r="P290" s="23"/>
      <c r="Q290" s="23"/>
      <c r="R290" s="23"/>
      <c r="S290" s="23"/>
      <c r="T290" s="23"/>
      <c r="U290" s="23"/>
      <c r="V290" s="23"/>
      <c r="W290" s="23"/>
      <c r="X290" s="23"/>
      <c r="Y290" s="23"/>
      <c r="Z290" s="23"/>
    </row>
    <row r="291" customFormat="false" ht="15.75" hidden="false" customHeight="true" outlineLevel="0" collapsed="false">
      <c r="A291" s="52" t="n">
        <v>46305</v>
      </c>
      <c r="B291" s="14" t="s">
        <v>300</v>
      </c>
      <c r="C291" s="14" t="str">
        <f aca="false" t="array" ref="C291:C291">IF(B291="","",IFERROR(INDEX('CLM &amp; IM Mapping'!$B$2:$B$270,MATCH(TRIM(B291),'CLM &amp; IM Mapping'!$A$2:$A$270,0)),"Not Mapped"))</f>
        <v>Bangareppa CS</v>
      </c>
      <c r="D291" s="14" t="str">
        <f aca="false" t="array" ref="D291:D291">IF(B291="","",IFERROR(INDEX('CLM &amp; IM Mapping'!$C$2:$C$270,MATCH(TRIM(B291),'CLM &amp; IM Mapping'!$A$2:$A$270,0)),"Not Mapped"))</f>
        <v>Kishor K</v>
      </c>
      <c r="E291" s="14" t="n">
        <v>788</v>
      </c>
      <c r="F291" s="14"/>
      <c r="G291" s="14"/>
      <c r="H291" s="14" t="n">
        <v>1</v>
      </c>
      <c r="I291" s="14" t="n">
        <v>644</v>
      </c>
      <c r="J291" s="14" t="n">
        <v>145</v>
      </c>
      <c r="K291" s="14" t="n">
        <v>789</v>
      </c>
      <c r="L291" s="12"/>
      <c r="M291" s="12"/>
      <c r="N291" s="23"/>
      <c r="O291" s="23"/>
      <c r="P291" s="23"/>
      <c r="Q291" s="23"/>
      <c r="R291" s="23"/>
      <c r="S291" s="23"/>
      <c r="T291" s="23"/>
      <c r="U291" s="23"/>
      <c r="V291" s="23"/>
      <c r="W291" s="23"/>
      <c r="X291" s="23"/>
      <c r="Y291" s="23"/>
      <c r="Z291" s="23"/>
    </row>
    <row r="292" customFormat="false" ht="15.75" hidden="false" customHeight="true" outlineLevel="0" collapsed="false">
      <c r="A292" s="52" t="n">
        <v>46305</v>
      </c>
      <c r="B292" s="14" t="s">
        <v>312</v>
      </c>
      <c r="C292" s="14" t="str">
        <f aca="false" t="array" ref="C292:C292">IF(B292="","",IFERROR(INDEX('CLM &amp; IM Mapping'!$B$2:$B$270,MATCH(TRIM(B292),'CLM &amp; IM Mapping'!$A$2:$A$270,0)),"Not Mapped"))</f>
        <v>Manoj Kj</v>
      </c>
      <c r="D292" s="14" t="str">
        <f aca="false" t="array" ref="D292:D292">IF(B292="","",IFERROR(INDEX('CLM &amp; IM Mapping'!$C$2:$C$270,MATCH(TRIM(B292),'CLM &amp; IM Mapping'!$A$2:$A$270,0)),"Not Mapped"))</f>
        <v>Srittam Dhal</v>
      </c>
      <c r="E292" s="14" t="n">
        <v>785</v>
      </c>
      <c r="F292" s="14"/>
      <c r="G292" s="14"/>
      <c r="H292" s="14"/>
      <c r="I292" s="14" t="n">
        <v>582</v>
      </c>
      <c r="J292" s="14" t="n">
        <v>203</v>
      </c>
      <c r="K292" s="14" t="n">
        <v>785</v>
      </c>
      <c r="L292" s="12"/>
      <c r="M292" s="12"/>
      <c r="N292" s="23"/>
      <c r="O292" s="23"/>
      <c r="P292" s="23"/>
      <c r="Q292" s="23"/>
      <c r="R292" s="23"/>
      <c r="S292" s="23"/>
      <c r="T292" s="23"/>
      <c r="U292" s="23"/>
      <c r="V292" s="23"/>
      <c r="W292" s="23"/>
      <c r="X292" s="23"/>
      <c r="Y292" s="23"/>
      <c r="Z292" s="23"/>
    </row>
    <row r="293" customFormat="false" ht="15.75" hidden="false" customHeight="true" outlineLevel="0" collapsed="false">
      <c r="A293" s="52" t="n">
        <v>46305</v>
      </c>
      <c r="B293" s="14" t="s">
        <v>65</v>
      </c>
      <c r="C293" s="14" t="str">
        <f aca="false" t="array" ref="C293:C293">IF(B293="","",IFERROR(INDEX('CLM &amp; IM Mapping'!$B$2:$B$270,MATCH(TRIM(B293),'CLM &amp; IM Mapping'!$A$2:$A$270,0)),"Not Mapped"))</f>
        <v>Adhavan Subramani</v>
      </c>
      <c r="D293" s="14" t="str">
        <f aca="false" t="array" ref="D293:D293">IF(B293="","",IFERROR(INDEX('CLM &amp; IM Mapping'!$C$2:$C$270,MATCH(TRIM(B293),'CLM &amp; IM Mapping'!$A$2:$A$270,0)),"Not Mapped"))</f>
        <v>Mohammed Akbar</v>
      </c>
      <c r="E293" s="14" t="n">
        <v>707</v>
      </c>
      <c r="F293" s="14"/>
      <c r="G293" s="14" t="n">
        <v>76</v>
      </c>
      <c r="H293" s="14"/>
      <c r="I293" s="14" t="n">
        <v>783</v>
      </c>
      <c r="J293" s="14" t="n">
        <v>0</v>
      </c>
      <c r="K293" s="14" t="n">
        <v>783</v>
      </c>
      <c r="L293" s="12"/>
      <c r="M293" s="12"/>
      <c r="N293" s="23"/>
      <c r="O293" s="23"/>
      <c r="P293" s="23"/>
      <c r="Q293" s="23"/>
      <c r="R293" s="23"/>
      <c r="S293" s="23"/>
      <c r="T293" s="23"/>
      <c r="U293" s="23"/>
      <c r="V293" s="23"/>
      <c r="W293" s="23"/>
      <c r="X293" s="23"/>
      <c r="Y293" s="23"/>
      <c r="Z293" s="23"/>
    </row>
    <row r="294" customFormat="false" ht="15.75" hidden="false" customHeight="true" outlineLevel="0" collapsed="false">
      <c r="A294" s="52" t="n">
        <v>46305</v>
      </c>
      <c r="B294" s="14" t="s">
        <v>259</v>
      </c>
      <c r="C294" s="14" t="str">
        <f aca="false" t="array" ref="C294:C294">IF(B294="","",IFERROR(INDEX('CLM &amp; IM Mapping'!$B$2:$B$270,MATCH(TRIM(B294),'CLM &amp; IM Mapping'!$A$2:$A$270,0)),"Not Mapped"))</f>
        <v>Raghavendra Vernekar</v>
      </c>
      <c r="D294" s="14" t="str">
        <f aca="false" t="array" ref="D294:D294">IF(B294="","",IFERROR(INDEX('CLM &amp; IM Mapping'!$C$2:$C$270,MATCH(TRIM(B294),'CLM &amp; IM Mapping'!$A$2:$A$270,0)),"Not Mapped"))</f>
        <v>Prakash BS</v>
      </c>
      <c r="E294" s="14" t="n">
        <v>767</v>
      </c>
      <c r="F294" s="14"/>
      <c r="G294" s="14" t="n">
        <v>1</v>
      </c>
      <c r="H294" s="14"/>
      <c r="I294" s="14" t="n">
        <v>768</v>
      </c>
      <c r="J294" s="14" t="n">
        <v>0</v>
      </c>
      <c r="K294" s="14" t="n">
        <v>768</v>
      </c>
      <c r="L294" s="12"/>
      <c r="M294" s="12"/>
      <c r="N294" s="23"/>
      <c r="O294" s="23"/>
      <c r="P294" s="23"/>
      <c r="Q294" s="23"/>
      <c r="R294" s="23"/>
      <c r="S294" s="23"/>
      <c r="T294" s="23"/>
      <c r="U294" s="23"/>
      <c r="V294" s="23"/>
      <c r="W294" s="23"/>
      <c r="X294" s="23"/>
      <c r="Y294" s="23"/>
      <c r="Z294" s="23"/>
    </row>
    <row r="295" customFormat="false" ht="15.75" hidden="false" customHeight="true" outlineLevel="0" collapsed="false">
      <c r="A295" s="52" t="n">
        <v>46305</v>
      </c>
      <c r="B295" s="14" t="s">
        <v>80</v>
      </c>
      <c r="C295" s="14" t="str">
        <f aca="false" t="array" ref="C295:C295">IF(B295="","",IFERROR(INDEX('CLM &amp; IM Mapping'!$B$2:$B$270,MATCH(TRIM(B295),'CLM &amp; IM Mapping'!$A$2:$A$270,0)),"Not Mapped"))</f>
        <v>Sundaresh S</v>
      </c>
      <c r="D295" s="14" t="str">
        <f aca="false" t="array" ref="D295:D295">IF(B295="","",IFERROR(INDEX('CLM &amp; IM Mapping'!$C$2:$C$270,MATCH(TRIM(B295),'CLM &amp; IM Mapping'!$A$2:$A$270,0)),"Not Mapped"))</f>
        <v>Un Mapped</v>
      </c>
      <c r="E295" s="14" t="n">
        <v>766</v>
      </c>
      <c r="F295" s="14"/>
      <c r="G295" s="14"/>
      <c r="H295" s="14"/>
      <c r="I295" s="14" t="n">
        <v>766</v>
      </c>
      <c r="J295" s="14" t="n">
        <v>0</v>
      </c>
      <c r="K295" s="14" t="n">
        <v>766</v>
      </c>
      <c r="L295" s="12"/>
      <c r="M295" s="12"/>
      <c r="N295" s="23"/>
      <c r="O295" s="23"/>
      <c r="P295" s="23"/>
      <c r="Q295" s="23"/>
      <c r="R295" s="23"/>
      <c r="S295" s="23"/>
      <c r="T295" s="23"/>
      <c r="U295" s="23"/>
      <c r="V295" s="23"/>
      <c r="W295" s="23"/>
      <c r="X295" s="23"/>
      <c r="Y295" s="23"/>
      <c r="Z295" s="23"/>
    </row>
    <row r="296" customFormat="false" ht="15.75" hidden="false" customHeight="true" outlineLevel="0" collapsed="false">
      <c r="A296" s="52" t="n">
        <v>46305</v>
      </c>
      <c r="B296" s="14" t="s">
        <v>460</v>
      </c>
      <c r="C296" s="14" t="str">
        <f aca="false" t="array" ref="C296:C296">IF(B296="","",IFERROR(INDEX('CLM &amp; IM Mapping'!$B$2:$B$270,MATCH(TRIM(B296),'CLM &amp; IM Mapping'!$A$2:$A$270,0)),"Not Mapped"))</f>
        <v>Vijay M</v>
      </c>
      <c r="D296" s="14" t="str">
        <f aca="false" t="array" ref="D296:D296">IF(B296="","",IFERROR(INDEX('CLM &amp; IM Mapping'!$C$2:$C$270,MATCH(TRIM(B296),'CLM &amp; IM Mapping'!$A$2:$A$270,0)),"Not Mapped"))</f>
        <v>Kantha Kumar</v>
      </c>
      <c r="E296" s="14" t="n">
        <v>729</v>
      </c>
      <c r="F296" s="14"/>
      <c r="G296" s="14"/>
      <c r="H296" s="14" t="n">
        <v>10</v>
      </c>
      <c r="I296" s="14" t="n">
        <v>739</v>
      </c>
      <c r="J296" s="14" t="n">
        <v>0</v>
      </c>
      <c r="K296" s="14" t="n">
        <v>739</v>
      </c>
      <c r="L296" s="12"/>
      <c r="M296" s="12"/>
      <c r="N296" s="23"/>
      <c r="O296" s="23"/>
      <c r="P296" s="23"/>
      <c r="Q296" s="23"/>
      <c r="R296" s="23"/>
      <c r="S296" s="23"/>
      <c r="T296" s="23"/>
      <c r="U296" s="23"/>
      <c r="V296" s="23"/>
      <c r="W296" s="23"/>
      <c r="X296" s="23"/>
      <c r="Y296" s="23"/>
      <c r="Z296" s="23"/>
    </row>
    <row r="297" customFormat="false" ht="15.75" hidden="false" customHeight="true" outlineLevel="0" collapsed="false">
      <c r="A297" s="52" t="n">
        <v>46305</v>
      </c>
      <c r="B297" s="14" t="s">
        <v>322</v>
      </c>
      <c r="C297" s="14" t="str">
        <f aca="false" t="array" ref="C297:C297">IF(B297="","",IFERROR(INDEX('CLM &amp; IM Mapping'!$B$2:$B$270,MATCH(TRIM(B297),'CLM &amp; IM Mapping'!$A$2:$A$270,0)),"Not Mapped"))</f>
        <v>Ashwath S</v>
      </c>
      <c r="D297" s="14" t="str">
        <f aca="false" t="array" ref="D297:D297">IF(B297="","",IFERROR(INDEX('CLM &amp; IM Mapping'!$C$2:$C$270,MATCH(TRIM(B297),'CLM &amp; IM Mapping'!$A$2:$A$270,0)),"Not Mapped"))</f>
        <v>Kantha Kumar</v>
      </c>
      <c r="E297" s="14" t="n">
        <v>726</v>
      </c>
      <c r="F297" s="14"/>
      <c r="G297" s="14"/>
      <c r="H297" s="14" t="n">
        <v>8</v>
      </c>
      <c r="I297" s="14" t="n">
        <v>726</v>
      </c>
      <c r="J297" s="14" t="n">
        <v>8</v>
      </c>
      <c r="K297" s="14" t="n">
        <v>734</v>
      </c>
      <c r="L297" s="12"/>
      <c r="M297" s="12"/>
      <c r="N297" s="23"/>
      <c r="O297" s="23"/>
      <c r="P297" s="23"/>
      <c r="Q297" s="23"/>
      <c r="R297" s="23"/>
      <c r="S297" s="23"/>
      <c r="T297" s="23"/>
      <c r="U297" s="23"/>
      <c r="V297" s="23"/>
      <c r="W297" s="23"/>
      <c r="X297" s="23"/>
      <c r="Y297" s="23"/>
      <c r="Z297" s="23"/>
    </row>
    <row r="298" customFormat="false" ht="15.75" hidden="false" customHeight="true" outlineLevel="0" collapsed="false">
      <c r="A298" s="52" t="n">
        <v>46305</v>
      </c>
      <c r="B298" s="14" t="s">
        <v>344</v>
      </c>
      <c r="C298" s="14" t="str">
        <f aca="false" t="array" ref="C298:C298">IF(B298="","",IFERROR(INDEX('CLM &amp; IM Mapping'!$B$2:$B$270,MATCH(TRIM(B298),'CLM &amp; IM Mapping'!$A$2:$A$270,0)),"Not Mapped"))</f>
        <v>Arun Raj</v>
      </c>
      <c r="D298" s="14" t="str">
        <f aca="false" t="array" ref="D298:D298">IF(B298="","",IFERROR(INDEX('CLM &amp; IM Mapping'!$C$2:$C$270,MATCH(TRIM(B298),'CLM &amp; IM Mapping'!$A$2:$A$270,0)),"Not Mapped"))</f>
        <v>Simon Manoharan</v>
      </c>
      <c r="E298" s="14"/>
      <c r="F298" s="14" t="n">
        <v>198</v>
      </c>
      <c r="G298" s="14" t="n">
        <v>399</v>
      </c>
      <c r="H298" s="14" t="n">
        <v>116</v>
      </c>
      <c r="I298" s="14" t="n">
        <v>713</v>
      </c>
      <c r="J298" s="14" t="n">
        <v>0</v>
      </c>
      <c r="K298" s="14" t="n">
        <v>713</v>
      </c>
      <c r="L298" s="12"/>
      <c r="M298" s="12"/>
      <c r="N298" s="23"/>
      <c r="O298" s="23"/>
      <c r="P298" s="23"/>
      <c r="Q298" s="23"/>
      <c r="R298" s="23"/>
      <c r="S298" s="23"/>
      <c r="T298" s="23"/>
      <c r="U298" s="23"/>
      <c r="V298" s="23"/>
      <c r="W298" s="23"/>
      <c r="X298" s="23"/>
      <c r="Y298" s="23"/>
      <c r="Z298" s="23"/>
    </row>
    <row r="299" customFormat="false" ht="15.75" hidden="false" customHeight="true" outlineLevel="0" collapsed="false">
      <c r="A299" s="52" t="n">
        <v>46305</v>
      </c>
      <c r="B299" s="14" t="s">
        <v>168</v>
      </c>
      <c r="C299" s="14" t="str">
        <f aca="false" t="array" ref="C299:C299">IF(B299="","",IFERROR(INDEX('CLM &amp; IM Mapping'!$B$2:$B$270,MATCH(TRIM(B299),'CLM &amp; IM Mapping'!$A$2:$A$270,0)),"Not Mapped"))</f>
        <v>Vijay M</v>
      </c>
      <c r="D299" s="14" t="str">
        <f aca="false" t="array" ref="D299:D299">IF(B299="","",IFERROR(INDEX('CLM &amp; IM Mapping'!$C$2:$C$270,MATCH(TRIM(B299),'CLM &amp; IM Mapping'!$A$2:$A$270,0)),"Not Mapped"))</f>
        <v>Kantha Kumar</v>
      </c>
      <c r="E299" s="14" t="n">
        <v>709</v>
      </c>
      <c r="F299" s="14"/>
      <c r="G299" s="14" t="n">
        <v>2</v>
      </c>
      <c r="H299" s="14"/>
      <c r="I299" s="14" t="n">
        <v>711</v>
      </c>
      <c r="J299" s="14" t="n">
        <v>0</v>
      </c>
      <c r="K299" s="14" t="n">
        <v>711</v>
      </c>
      <c r="L299" s="12"/>
      <c r="M299" s="12"/>
      <c r="N299" s="23"/>
      <c r="O299" s="23"/>
      <c r="P299" s="23"/>
      <c r="Q299" s="23"/>
      <c r="R299" s="23"/>
      <c r="S299" s="23"/>
      <c r="T299" s="23"/>
      <c r="U299" s="23"/>
      <c r="V299" s="23"/>
      <c r="W299" s="23"/>
      <c r="X299" s="23"/>
      <c r="Y299" s="23"/>
      <c r="Z299" s="23"/>
    </row>
    <row r="300" customFormat="false" ht="15.75" hidden="false" customHeight="true" outlineLevel="0" collapsed="false">
      <c r="A300" s="52" t="n">
        <v>46305</v>
      </c>
      <c r="B300" s="14" t="s">
        <v>331</v>
      </c>
      <c r="C300" s="14" t="str">
        <f aca="false" t="array" ref="C300:C300">IF(B300="","",IFERROR(INDEX('CLM &amp; IM Mapping'!$B$2:$B$270,MATCH(TRIM(B300),'CLM &amp; IM Mapping'!$A$2:$A$270,0)),"Not Mapped"))</f>
        <v>Vijay M</v>
      </c>
      <c r="D300" s="14" t="str">
        <f aca="false" t="array" ref="D300:D300">IF(B300="","",IFERROR(INDEX('CLM &amp; IM Mapping'!$C$2:$C$270,MATCH(TRIM(B300),'CLM &amp; IM Mapping'!$A$2:$A$270,0)),"Not Mapped"))</f>
        <v>Kantha Kumar</v>
      </c>
      <c r="E300" s="14" t="n">
        <v>697</v>
      </c>
      <c r="F300" s="14"/>
      <c r="G300" s="14"/>
      <c r="H300" s="14" t="n">
        <v>1</v>
      </c>
      <c r="I300" s="14" t="n">
        <v>698</v>
      </c>
      <c r="J300" s="14" t="n">
        <v>0</v>
      </c>
      <c r="K300" s="14" t="n">
        <v>698</v>
      </c>
      <c r="L300" s="12"/>
      <c r="M300" s="12"/>
      <c r="N300" s="23"/>
      <c r="O300" s="23"/>
      <c r="P300" s="23"/>
      <c r="Q300" s="23"/>
      <c r="R300" s="23"/>
      <c r="S300" s="23"/>
      <c r="T300" s="23"/>
      <c r="U300" s="23"/>
      <c r="V300" s="23"/>
      <c r="W300" s="23"/>
      <c r="X300" s="23"/>
      <c r="Y300" s="23"/>
      <c r="Z300" s="23"/>
    </row>
    <row r="301" customFormat="false" ht="15.75" hidden="false" customHeight="true" outlineLevel="0" collapsed="false">
      <c r="A301" s="52" t="n">
        <v>46305</v>
      </c>
      <c r="B301" s="14" t="s">
        <v>412</v>
      </c>
      <c r="C301" s="14" t="str">
        <f aca="false" t="array" ref="C301:C301">IF(B301="","",IFERROR(INDEX('CLM &amp; IM Mapping'!$B$2:$B$270,MATCH(TRIM(B301),'CLM &amp; IM Mapping'!$A$2:$A$270,0)),"Not Mapped"))</f>
        <v>Richard Harris</v>
      </c>
      <c r="D301" s="14" t="str">
        <f aca="false" t="array" ref="D301:D301">IF(B301="","",IFERROR(INDEX('CLM &amp; IM Mapping'!$C$2:$C$270,MATCH(TRIM(B301),'CLM &amp; IM Mapping'!$A$2:$A$270,0)),"Not Mapped"))</f>
        <v>Kantha Kumar</v>
      </c>
      <c r="E301" s="14" t="n">
        <v>668</v>
      </c>
      <c r="F301" s="14"/>
      <c r="G301" s="14"/>
      <c r="H301" s="14"/>
      <c r="I301" s="14" t="n">
        <v>664</v>
      </c>
      <c r="J301" s="14" t="n">
        <v>4</v>
      </c>
      <c r="K301" s="14" t="n">
        <v>668</v>
      </c>
      <c r="L301" s="12"/>
      <c r="M301" s="12"/>
      <c r="N301" s="23"/>
      <c r="O301" s="23"/>
      <c r="P301" s="23"/>
      <c r="Q301" s="23"/>
      <c r="R301" s="23"/>
      <c r="S301" s="23"/>
      <c r="T301" s="23"/>
      <c r="U301" s="23"/>
      <c r="V301" s="23"/>
      <c r="W301" s="23"/>
      <c r="X301" s="23"/>
      <c r="Y301" s="23"/>
      <c r="Z301" s="23"/>
    </row>
    <row r="302" customFormat="false" ht="15.75" hidden="false" customHeight="true" outlineLevel="0" collapsed="false">
      <c r="A302" s="52" t="n">
        <v>46305</v>
      </c>
      <c r="B302" s="14" t="s">
        <v>463</v>
      </c>
      <c r="C302" s="14" t="str">
        <f aca="false" t="array" ref="C302:C302">IF(B302="","",IFERROR(INDEX('CLM &amp; IM Mapping'!$B$2:$B$270,MATCH(TRIM(B302),'CLM &amp; IM Mapping'!$A$2:$A$270,0)),"Not Mapped"))</f>
        <v>Ashwath S</v>
      </c>
      <c r="D302" s="14" t="str">
        <f aca="false" t="array" ref="D302:D302">IF(B302="","",IFERROR(INDEX('CLM &amp; IM Mapping'!$C$2:$C$270,MATCH(TRIM(B302),'CLM &amp; IM Mapping'!$A$2:$A$270,0)),"Not Mapped"))</f>
        <v>Kantha Kumar</v>
      </c>
      <c r="E302" s="14" t="n">
        <v>639</v>
      </c>
      <c r="F302" s="14"/>
      <c r="G302" s="14" t="n">
        <v>11</v>
      </c>
      <c r="H302" s="14" t="n">
        <v>1</v>
      </c>
      <c r="I302" s="14" t="n">
        <v>651</v>
      </c>
      <c r="J302" s="14" t="n">
        <v>0</v>
      </c>
      <c r="K302" s="14" t="n">
        <v>651</v>
      </c>
      <c r="L302" s="12"/>
      <c r="M302" s="12"/>
      <c r="N302" s="23"/>
      <c r="O302" s="23"/>
      <c r="P302" s="23"/>
      <c r="Q302" s="23"/>
      <c r="R302" s="23"/>
      <c r="S302" s="23"/>
      <c r="T302" s="23"/>
      <c r="U302" s="23"/>
      <c r="V302" s="23"/>
      <c r="W302" s="23"/>
      <c r="X302" s="23"/>
      <c r="Y302" s="23"/>
      <c r="Z302" s="23"/>
    </row>
    <row r="303" customFormat="false" ht="15.75" hidden="false" customHeight="true" outlineLevel="0" collapsed="false">
      <c r="A303" s="52" t="n">
        <v>46305</v>
      </c>
      <c r="B303" s="14" t="s">
        <v>193</v>
      </c>
      <c r="C303" s="14" t="str">
        <f aca="false" t="array" ref="C303:C303">IF(B303="","",IFERROR(INDEX('CLM &amp; IM Mapping'!$B$2:$B$270,MATCH(TRIM(B303),'CLM &amp; IM Mapping'!$A$2:$A$270,0)),"Not Mapped"))</f>
        <v>Girish N</v>
      </c>
      <c r="D303" s="14" t="str">
        <f aca="false" t="array" ref="D303:D303">IF(B303="","",IFERROR(INDEX('CLM &amp; IM Mapping'!$C$2:$C$270,MATCH(TRIM(B303),'CLM &amp; IM Mapping'!$A$2:$A$270,0)),"Not Mapped"))</f>
        <v>Un Mapped</v>
      </c>
      <c r="E303" s="14" t="n">
        <v>636</v>
      </c>
      <c r="F303" s="14"/>
      <c r="G303" s="14"/>
      <c r="H303" s="14"/>
      <c r="I303" s="14" t="n">
        <v>534</v>
      </c>
      <c r="J303" s="14" t="n">
        <v>102</v>
      </c>
      <c r="K303" s="14" t="n">
        <v>636</v>
      </c>
      <c r="L303" s="12"/>
      <c r="M303" s="12"/>
      <c r="N303" s="23"/>
      <c r="O303" s="23"/>
      <c r="P303" s="23"/>
      <c r="Q303" s="23"/>
      <c r="R303" s="23"/>
      <c r="S303" s="23"/>
      <c r="T303" s="23"/>
      <c r="U303" s="23"/>
      <c r="V303" s="23"/>
      <c r="W303" s="23"/>
      <c r="X303" s="23"/>
      <c r="Y303" s="23"/>
      <c r="Z303" s="23"/>
    </row>
    <row r="304" customFormat="false" ht="15.75" hidden="false" customHeight="true" outlineLevel="0" collapsed="false">
      <c r="A304" s="52" t="n">
        <v>46305</v>
      </c>
      <c r="B304" s="14" t="s">
        <v>257</v>
      </c>
      <c r="C304" s="14" t="str">
        <f aca="false" t="array" ref="C304:C304">IF(B304="","",IFERROR(INDEX('CLM &amp; IM Mapping'!$B$2:$B$270,MATCH(TRIM(B304),'CLM &amp; IM Mapping'!$A$2:$A$270,0)),"Not Mapped"))</f>
        <v>Raghavendra Vernekar</v>
      </c>
      <c r="D304" s="14" t="str">
        <f aca="false" t="array" ref="D304:D304">IF(B304="","",IFERROR(INDEX('CLM &amp; IM Mapping'!$C$2:$C$270,MATCH(TRIM(B304),'CLM &amp; IM Mapping'!$A$2:$A$270,0)),"Not Mapped"))</f>
        <v>Prakash BS</v>
      </c>
      <c r="E304" s="14" t="n">
        <v>634</v>
      </c>
      <c r="F304" s="14"/>
      <c r="G304" s="14"/>
      <c r="H304" s="14"/>
      <c r="I304" s="14" t="n">
        <v>465</v>
      </c>
      <c r="J304" s="14" t="n">
        <v>169</v>
      </c>
      <c r="K304" s="14" t="n">
        <v>634</v>
      </c>
      <c r="L304" s="12"/>
      <c r="M304" s="12"/>
      <c r="N304" s="23"/>
      <c r="O304" s="23"/>
      <c r="P304" s="23"/>
      <c r="Q304" s="23"/>
      <c r="R304" s="23"/>
      <c r="S304" s="23"/>
      <c r="T304" s="23"/>
      <c r="U304" s="23"/>
      <c r="V304" s="23"/>
      <c r="W304" s="23"/>
      <c r="X304" s="23"/>
      <c r="Y304" s="23"/>
      <c r="Z304" s="23"/>
    </row>
    <row r="305" customFormat="false" ht="15.75" hidden="false" customHeight="true" outlineLevel="0" collapsed="false">
      <c r="A305" s="52" t="n">
        <v>46305</v>
      </c>
      <c r="B305" s="14" t="s">
        <v>100</v>
      </c>
      <c r="C305" s="14" t="str">
        <f aca="false" t="array" ref="C305:C305">IF(B305="","",IFERROR(INDEX('CLM &amp; IM Mapping'!$B$2:$B$270,MATCH(TRIM(B305),'CLM &amp; IM Mapping'!$A$2:$A$270,0)),"Not Mapped"))</f>
        <v>Sundaresh S</v>
      </c>
      <c r="D305" s="14" t="str">
        <f aca="false" t="array" ref="D305:D305">IF(B305="","",IFERROR(INDEX('CLM &amp; IM Mapping'!$C$2:$C$270,MATCH(TRIM(B305),'CLM &amp; IM Mapping'!$A$2:$A$270,0)),"Not Mapped"))</f>
        <v>Un Mapped</v>
      </c>
      <c r="E305" s="14" t="n">
        <v>611</v>
      </c>
      <c r="F305" s="14"/>
      <c r="G305" s="14"/>
      <c r="H305" s="14"/>
      <c r="I305" s="14" t="n">
        <v>611</v>
      </c>
      <c r="J305" s="14" t="n">
        <v>0</v>
      </c>
      <c r="K305" s="14" t="n">
        <v>611</v>
      </c>
      <c r="L305" s="12"/>
      <c r="M305" s="12"/>
      <c r="N305" s="23"/>
      <c r="O305" s="23"/>
      <c r="P305" s="23"/>
      <c r="Q305" s="23"/>
      <c r="R305" s="23"/>
      <c r="S305" s="23"/>
      <c r="T305" s="23"/>
      <c r="U305" s="23"/>
      <c r="V305" s="23"/>
      <c r="W305" s="23"/>
      <c r="X305" s="23"/>
      <c r="Y305" s="23"/>
      <c r="Z305" s="23"/>
    </row>
    <row r="306" customFormat="false" ht="15.75" hidden="false" customHeight="true" outlineLevel="0" collapsed="false">
      <c r="A306" s="52" t="n">
        <v>46305</v>
      </c>
      <c r="B306" s="14" t="s">
        <v>426</v>
      </c>
      <c r="C306" s="14" t="str">
        <f aca="false" t="array" ref="C306:C306">IF(B306="","",IFERROR(INDEX('CLM &amp; IM Mapping'!$B$2:$B$270,MATCH(TRIM(B306),'CLM &amp; IM Mapping'!$A$2:$A$270,0)),"Not Mapped"))</f>
        <v>Silambarasan E</v>
      </c>
      <c r="D306" s="14" t="str">
        <f aca="false" t="array" ref="D306:D306">IF(B306="","",IFERROR(INDEX('CLM &amp; IM Mapping'!$C$2:$C$270,MATCH(TRIM(B306),'CLM &amp; IM Mapping'!$A$2:$A$270,0)),"Not Mapped"))</f>
        <v>Arivind S</v>
      </c>
      <c r="E306" s="14" t="n">
        <v>565</v>
      </c>
      <c r="F306" s="14"/>
      <c r="G306" s="14"/>
      <c r="H306" s="14"/>
      <c r="I306" s="14" t="n">
        <v>477</v>
      </c>
      <c r="J306" s="14" t="n">
        <v>88</v>
      </c>
      <c r="K306" s="14" t="n">
        <v>565</v>
      </c>
      <c r="L306" s="12"/>
      <c r="M306" s="12"/>
      <c r="N306" s="23"/>
      <c r="O306" s="23"/>
      <c r="P306" s="23"/>
      <c r="Q306" s="23"/>
      <c r="R306" s="23"/>
      <c r="S306" s="23"/>
      <c r="T306" s="23"/>
      <c r="U306" s="23"/>
      <c r="V306" s="23"/>
      <c r="W306" s="23"/>
      <c r="X306" s="23"/>
      <c r="Y306" s="23"/>
      <c r="Z306" s="23"/>
    </row>
    <row r="307" customFormat="false" ht="15.75" hidden="false" customHeight="true" outlineLevel="0" collapsed="false">
      <c r="A307" s="52" t="n">
        <v>46305</v>
      </c>
      <c r="B307" s="14" t="s">
        <v>528</v>
      </c>
      <c r="C307" s="14" t="str">
        <f aca="false" t="array" ref="C307:C307">IF(B307="","",IFERROR(INDEX('CLM &amp; IM Mapping'!$B$2:$B$270,MATCH(TRIM(B307),'CLM &amp; IM Mapping'!$A$2:$A$270,0)),"Not Mapped"))</f>
        <v>Saddam Hussain</v>
      </c>
      <c r="D307" s="14" t="str">
        <f aca="false" t="array" ref="D307:D307">IF(B307="","",IFERROR(INDEX('CLM &amp; IM Mapping'!$C$2:$C$270,MATCH(TRIM(B307),'CLM &amp; IM Mapping'!$A$2:$A$270,0)),"Not Mapped"))</f>
        <v>Un Mapped</v>
      </c>
      <c r="E307" s="14" t="n">
        <v>465</v>
      </c>
      <c r="F307" s="14"/>
      <c r="G307" s="14"/>
      <c r="H307" s="14"/>
      <c r="I307" s="14" t="n">
        <v>465</v>
      </c>
      <c r="J307" s="14" t="n">
        <v>0</v>
      </c>
      <c r="K307" s="14" t="n">
        <v>465</v>
      </c>
      <c r="L307" s="12"/>
      <c r="M307" s="12"/>
      <c r="N307" s="23"/>
      <c r="O307" s="23"/>
      <c r="P307" s="23"/>
      <c r="Q307" s="23"/>
      <c r="R307" s="23"/>
      <c r="S307" s="23"/>
      <c r="T307" s="23"/>
      <c r="U307" s="23"/>
      <c r="V307" s="23"/>
      <c r="W307" s="23"/>
      <c r="X307" s="23"/>
      <c r="Y307" s="23"/>
      <c r="Z307" s="23"/>
    </row>
    <row r="308" customFormat="false" ht="15.75" hidden="false" customHeight="true" outlineLevel="0" collapsed="false">
      <c r="A308" s="52" t="n">
        <v>46305</v>
      </c>
      <c r="B308" s="14" t="s">
        <v>527</v>
      </c>
      <c r="C308" s="14" t="str">
        <f aca="false" t="array" ref="C308:C308">IF(B308="","",IFERROR(INDEX('CLM &amp; IM Mapping'!$B$2:$B$270,MATCH(TRIM(B308),'CLM &amp; IM Mapping'!$A$2:$A$270,0)),"Not Mapped"))</f>
        <v>Suhas N</v>
      </c>
      <c r="D308" s="14" t="str">
        <f aca="false" t="array" ref="D308:D308">IF(B308="","",IFERROR(INDEX('CLM &amp; IM Mapping'!$C$2:$C$270,MATCH(TRIM(B308),'CLM &amp; IM Mapping'!$A$2:$A$270,0)),"Not Mapped"))</f>
        <v>Aravind S</v>
      </c>
      <c r="E308" s="14" t="n">
        <v>460</v>
      </c>
      <c r="F308" s="14"/>
      <c r="G308" s="14"/>
      <c r="H308" s="14"/>
      <c r="I308" s="14" t="n">
        <v>106</v>
      </c>
      <c r="J308" s="14" t="n">
        <v>354</v>
      </c>
      <c r="K308" s="14" t="n">
        <v>460</v>
      </c>
      <c r="L308" s="12"/>
      <c r="M308" s="12"/>
      <c r="N308" s="23"/>
      <c r="O308" s="23"/>
      <c r="P308" s="23"/>
      <c r="Q308" s="23"/>
      <c r="R308" s="23"/>
      <c r="S308" s="23"/>
      <c r="T308" s="23"/>
      <c r="U308" s="23"/>
      <c r="V308" s="23"/>
      <c r="W308" s="23"/>
      <c r="X308" s="23"/>
      <c r="Y308" s="23"/>
      <c r="Z308" s="23"/>
    </row>
    <row r="309" customFormat="false" ht="15.75" hidden="false" customHeight="true" outlineLevel="0" collapsed="false">
      <c r="A309" s="52" t="n">
        <v>46305</v>
      </c>
      <c r="B309" s="14" t="s">
        <v>505</v>
      </c>
      <c r="C309" s="14" t="str">
        <f aca="false" t="array" ref="C309:C309">IF(B309="","",IFERROR(INDEX('CLM &amp; IM Mapping'!$B$2:$B$270,MATCH(TRIM(B309),'CLM &amp; IM Mapping'!$A$2:$A$270,0)),"Not Mapped"))</f>
        <v>Basil Scariya</v>
      </c>
      <c r="D309" s="14" t="str">
        <f aca="false" t="array" ref="D309:D309">IF(B309="","",IFERROR(INDEX('CLM &amp; IM Mapping'!$C$2:$C$270,MATCH(TRIM(B309),'CLM &amp; IM Mapping'!$A$2:$A$270,0)),"Not Mapped"))</f>
        <v>Prakash BS</v>
      </c>
      <c r="E309" s="14" t="n">
        <v>445</v>
      </c>
      <c r="F309" s="14"/>
      <c r="G309" s="14" t="n">
        <v>6</v>
      </c>
      <c r="H309" s="14" t="n">
        <v>1</v>
      </c>
      <c r="I309" s="14" t="n">
        <v>448</v>
      </c>
      <c r="J309" s="14" t="n">
        <v>4</v>
      </c>
      <c r="K309" s="14" t="n">
        <v>452</v>
      </c>
      <c r="L309" s="12"/>
      <c r="M309" s="12"/>
      <c r="N309" s="23"/>
      <c r="O309" s="23"/>
      <c r="P309" s="23"/>
      <c r="Q309" s="23"/>
      <c r="R309" s="23"/>
      <c r="S309" s="23"/>
      <c r="T309" s="23"/>
      <c r="U309" s="23"/>
      <c r="V309" s="23"/>
      <c r="W309" s="23"/>
      <c r="X309" s="23"/>
      <c r="Y309" s="23"/>
      <c r="Z309" s="23"/>
    </row>
    <row r="310" customFormat="false" ht="15.75" hidden="false" customHeight="true" outlineLevel="0" collapsed="false">
      <c r="A310" s="52" t="n">
        <v>46305</v>
      </c>
      <c r="B310" s="14" t="s">
        <v>382</v>
      </c>
      <c r="C310" s="14" t="str">
        <f aca="false" t="array" ref="C310:C310">IF(B310="","",IFERROR(INDEX('CLM &amp; IM Mapping'!$B$2:$B$270,MATCH(TRIM(B310),'CLM &amp; IM Mapping'!$A$2:$A$270,0)),"Not Mapped"))</f>
        <v>Arun Raj</v>
      </c>
      <c r="D310" s="14" t="str">
        <f aca="false" t="array" ref="D310:D310">IF(B310="","",IFERROR(INDEX('CLM &amp; IM Mapping'!$C$2:$C$270,MATCH(TRIM(B310),'CLM &amp; IM Mapping'!$A$2:$A$270,0)),"Not Mapped"))</f>
        <v>Simon Manoharan</v>
      </c>
      <c r="E310" s="14"/>
      <c r="F310" s="14" t="n">
        <v>150</v>
      </c>
      <c r="G310" s="14" t="n">
        <v>300</v>
      </c>
      <c r="H310" s="14"/>
      <c r="I310" s="14" t="n">
        <v>298</v>
      </c>
      <c r="J310" s="14" t="n">
        <v>152</v>
      </c>
      <c r="K310" s="14" t="n">
        <v>450</v>
      </c>
      <c r="L310" s="12"/>
      <c r="M310" s="12"/>
      <c r="N310" s="23"/>
      <c r="O310" s="23"/>
      <c r="P310" s="23"/>
      <c r="Q310" s="23"/>
      <c r="R310" s="23"/>
      <c r="S310" s="23"/>
      <c r="T310" s="23"/>
      <c r="U310" s="23"/>
      <c r="V310" s="23"/>
      <c r="W310" s="23"/>
      <c r="X310" s="23"/>
      <c r="Y310" s="23"/>
      <c r="Z310" s="23"/>
    </row>
    <row r="311" customFormat="false" ht="15.75" hidden="false" customHeight="true" outlineLevel="0" collapsed="false">
      <c r="A311" s="52" t="n">
        <v>46305</v>
      </c>
      <c r="B311" s="14" t="s">
        <v>175</v>
      </c>
      <c r="C311" s="14" t="str">
        <f aca="false" t="array" ref="C311:C311">IF(B311="","",IFERROR(INDEX('CLM &amp; IM Mapping'!$B$2:$B$270,MATCH(TRIM(B311),'CLM &amp; IM Mapping'!$A$2:$A$270,0)),"Not Mapped"))</f>
        <v>Arun Raj</v>
      </c>
      <c r="D311" s="14" t="str">
        <f aca="false" t="array" ref="D311:D311">IF(B311="","",IFERROR(INDEX('CLM &amp; IM Mapping'!$C$2:$C$270,MATCH(TRIM(B311),'CLM &amp; IM Mapping'!$A$2:$A$270,0)),"Not Mapped"))</f>
        <v>Simon Manoharan</v>
      </c>
      <c r="E311" s="14"/>
      <c r="F311" s="14" t="n">
        <v>150</v>
      </c>
      <c r="G311" s="14" t="n">
        <v>299</v>
      </c>
      <c r="H311" s="14"/>
      <c r="I311" s="14" t="n">
        <v>449</v>
      </c>
      <c r="J311" s="14" t="n">
        <v>0</v>
      </c>
      <c r="K311" s="14" t="n">
        <v>449</v>
      </c>
      <c r="L311" s="12"/>
      <c r="M311" s="12"/>
      <c r="N311" s="23"/>
      <c r="O311" s="23"/>
      <c r="P311" s="23"/>
      <c r="Q311" s="23"/>
      <c r="R311" s="23"/>
      <c r="S311" s="23"/>
      <c r="T311" s="23"/>
      <c r="U311" s="23"/>
      <c r="V311" s="23"/>
      <c r="W311" s="23"/>
      <c r="X311" s="23"/>
      <c r="Y311" s="23"/>
      <c r="Z311" s="23"/>
    </row>
    <row r="312" customFormat="false" ht="15.75" hidden="false" customHeight="true" outlineLevel="0" collapsed="false">
      <c r="A312" s="52" t="n">
        <v>46305</v>
      </c>
      <c r="B312" s="14" t="s">
        <v>229</v>
      </c>
      <c r="C312" s="14" t="str">
        <f aca="false" t="array" ref="C312:C312">IF(B312="","",IFERROR(INDEX('CLM &amp; IM Mapping'!$B$2:$B$270,MATCH(TRIM(B312),'CLM &amp; IM Mapping'!$A$2:$A$270,0)),"Not Mapped"))</f>
        <v>Arun Raj</v>
      </c>
      <c r="D312" s="14" t="str">
        <f aca="false" t="array" ref="D312:D312">IF(B312="","",IFERROR(INDEX('CLM &amp; IM Mapping'!$C$2:$C$270,MATCH(TRIM(B312),'CLM &amp; IM Mapping'!$A$2:$A$270,0)),"Not Mapped"))</f>
        <v>Simon Manoharan</v>
      </c>
      <c r="E312" s="14"/>
      <c r="F312" s="14" t="n">
        <v>150</v>
      </c>
      <c r="G312" s="14" t="n">
        <v>299</v>
      </c>
      <c r="H312" s="14"/>
      <c r="I312" s="14" t="n">
        <v>449</v>
      </c>
      <c r="J312" s="14" t="n">
        <v>0</v>
      </c>
      <c r="K312" s="14" t="n">
        <v>449</v>
      </c>
      <c r="L312" s="12"/>
      <c r="M312" s="12"/>
      <c r="N312" s="23"/>
      <c r="O312" s="23"/>
      <c r="P312" s="23"/>
      <c r="Q312" s="23"/>
      <c r="R312" s="23"/>
      <c r="S312" s="23"/>
      <c r="T312" s="23"/>
      <c r="U312" s="23"/>
      <c r="V312" s="23"/>
      <c r="W312" s="23"/>
      <c r="X312" s="23"/>
      <c r="Y312" s="23"/>
      <c r="Z312" s="23"/>
    </row>
    <row r="313" customFormat="false" ht="15.75" hidden="false" customHeight="true" outlineLevel="0" collapsed="false">
      <c r="A313" s="52" t="n">
        <v>46305</v>
      </c>
      <c r="B313" s="14" t="s">
        <v>50</v>
      </c>
      <c r="C313" s="14" t="str">
        <f aca="false" t="array" ref="C313:C313">IF(B313="","",IFERROR(INDEX('CLM &amp; IM Mapping'!$B$2:$B$270,MATCH(TRIM(B313),'CLM &amp; IM Mapping'!$A$2:$A$270,0)),"Not Mapped"))</f>
        <v>Arun Raj</v>
      </c>
      <c r="D313" s="14" t="str">
        <f aca="false" t="array" ref="D313:D313">IF(B313="","",IFERROR(INDEX('CLM &amp; IM Mapping'!$C$2:$C$270,MATCH(TRIM(B313),'CLM &amp; IM Mapping'!$A$2:$A$270,0)),"Not Mapped"))</f>
        <v>Simon Manoharan</v>
      </c>
      <c r="E313" s="14"/>
      <c r="F313" s="14" t="n">
        <v>150</v>
      </c>
      <c r="G313" s="14" t="n">
        <v>298</v>
      </c>
      <c r="H313" s="14"/>
      <c r="I313" s="14" t="n">
        <v>448</v>
      </c>
      <c r="J313" s="14" t="n">
        <v>0</v>
      </c>
      <c r="K313" s="14" t="n">
        <v>448</v>
      </c>
      <c r="L313" s="12"/>
      <c r="M313" s="12"/>
      <c r="N313" s="23"/>
      <c r="O313" s="23"/>
      <c r="P313" s="23"/>
      <c r="Q313" s="23"/>
      <c r="R313" s="23"/>
      <c r="S313" s="23"/>
      <c r="T313" s="23"/>
      <c r="U313" s="23"/>
      <c r="V313" s="23"/>
      <c r="W313" s="23"/>
      <c r="X313" s="23"/>
      <c r="Y313" s="23"/>
      <c r="Z313" s="23"/>
    </row>
    <row r="314" customFormat="false" ht="15.75" hidden="false" customHeight="true" outlineLevel="0" collapsed="false">
      <c r="A314" s="52" t="n">
        <v>46305</v>
      </c>
      <c r="B314" s="14" t="s">
        <v>29</v>
      </c>
      <c r="C314" s="14" t="str">
        <f aca="false" t="array" ref="C314:C314">IF(B314="","",IFERROR(INDEX('CLM &amp; IM Mapping'!$B$2:$B$270,MATCH(TRIM(B314),'CLM &amp; IM Mapping'!$A$2:$A$270,0)),"Not Mapped"))</f>
        <v>Arun Raj</v>
      </c>
      <c r="D314" s="14" t="str">
        <f aca="false" t="array" ref="D314:D314">IF(B314="","",IFERROR(INDEX('CLM &amp; IM Mapping'!$C$2:$C$270,MATCH(TRIM(B314),'CLM &amp; IM Mapping'!$A$2:$A$270,0)),"Not Mapped"))</f>
        <v>Simon Manoharan</v>
      </c>
      <c r="E314" s="14"/>
      <c r="F314" s="14" t="n">
        <v>150</v>
      </c>
      <c r="G314" s="14" t="n">
        <v>290</v>
      </c>
      <c r="H314" s="14"/>
      <c r="I314" s="14" t="n">
        <v>440</v>
      </c>
      <c r="J314" s="14" t="n">
        <v>0</v>
      </c>
      <c r="K314" s="14" t="n">
        <v>440</v>
      </c>
      <c r="L314" s="12"/>
      <c r="M314" s="12"/>
      <c r="N314" s="23"/>
      <c r="O314" s="23"/>
      <c r="P314" s="23"/>
      <c r="Q314" s="23"/>
      <c r="R314" s="23"/>
      <c r="S314" s="23"/>
      <c r="T314" s="23"/>
      <c r="U314" s="23"/>
      <c r="V314" s="23"/>
      <c r="W314" s="23"/>
      <c r="X314" s="23"/>
      <c r="Y314" s="23"/>
      <c r="Z314" s="23"/>
    </row>
    <row r="315" customFormat="false" ht="15.75" hidden="false" customHeight="true" outlineLevel="0" collapsed="false">
      <c r="A315" s="52" t="n">
        <v>46305</v>
      </c>
      <c r="B315" s="14" t="s">
        <v>288</v>
      </c>
      <c r="C315" s="14" t="str">
        <f aca="false" t="array" ref="C315:C315">IF(B315="","",IFERROR(INDEX('CLM &amp; IM Mapping'!$B$2:$B$270,MATCH(TRIM(B315),'CLM &amp; IM Mapping'!$A$2:$A$270,0)),"Not Mapped"))</f>
        <v>Arun Raj</v>
      </c>
      <c r="D315" s="14" t="str">
        <f aca="false" t="array" ref="D315:D315">IF(B315="","",IFERROR(INDEX('CLM &amp; IM Mapping'!$C$2:$C$270,MATCH(TRIM(B315),'CLM &amp; IM Mapping'!$A$2:$A$270,0)),"Not Mapped"))</f>
        <v>Simon Manoharan</v>
      </c>
      <c r="E315" s="14"/>
      <c r="F315" s="14" t="n">
        <v>150</v>
      </c>
      <c r="G315" s="14" t="n">
        <v>215</v>
      </c>
      <c r="H315" s="14" t="n">
        <v>4</v>
      </c>
      <c r="I315" s="14" t="n">
        <v>300</v>
      </c>
      <c r="J315" s="14" t="n">
        <v>69</v>
      </c>
      <c r="K315" s="14" t="n">
        <v>369</v>
      </c>
      <c r="L315" s="12"/>
      <c r="M315" s="12"/>
      <c r="N315" s="23"/>
      <c r="O315" s="23"/>
      <c r="P315" s="23"/>
      <c r="Q315" s="23"/>
      <c r="R315" s="23"/>
      <c r="S315" s="23"/>
      <c r="T315" s="23"/>
      <c r="U315" s="23"/>
      <c r="V315" s="23"/>
      <c r="W315" s="23"/>
      <c r="X315" s="23"/>
      <c r="Y315" s="23"/>
      <c r="Z315" s="23"/>
    </row>
    <row r="316" customFormat="false" ht="15.75" hidden="false" customHeight="true" outlineLevel="0" collapsed="false">
      <c r="A316" s="52" t="n">
        <v>46305</v>
      </c>
      <c r="B316" s="14" t="s">
        <v>235</v>
      </c>
      <c r="C316" s="14" t="str">
        <f aca="false" t="array" ref="C316:C316">IF(B316="","",IFERROR(INDEX('CLM &amp; IM Mapping'!$B$2:$B$270,MATCH(TRIM(B316),'CLM &amp; IM Mapping'!$A$2:$A$270,0)),"Not Mapped"))</f>
        <v>Akshay P</v>
      </c>
      <c r="D316" s="14" t="str">
        <f aca="false" t="array" ref="D316:D316">IF(B316="","",IFERROR(INDEX('CLM &amp; IM Mapping'!$C$2:$C$270,MATCH(TRIM(B316),'CLM &amp; IM Mapping'!$A$2:$A$270,0)),"Not Mapped"))</f>
        <v>Srittam Dhal</v>
      </c>
      <c r="E316" s="14" t="n">
        <v>340</v>
      </c>
      <c r="F316" s="14"/>
      <c r="G316" s="14"/>
      <c r="H316" s="14"/>
      <c r="I316" s="14" t="n">
        <v>340</v>
      </c>
      <c r="J316" s="14" t="n">
        <v>0</v>
      </c>
      <c r="K316" s="14" t="n">
        <v>340</v>
      </c>
      <c r="L316" s="12"/>
      <c r="M316" s="12"/>
      <c r="N316" s="23"/>
      <c r="O316" s="23"/>
      <c r="P316" s="23"/>
      <c r="Q316" s="23"/>
      <c r="R316" s="23"/>
      <c r="S316" s="23"/>
      <c r="T316" s="23"/>
      <c r="U316" s="23"/>
      <c r="V316" s="23"/>
      <c r="W316" s="23"/>
      <c r="X316" s="23"/>
      <c r="Y316" s="23"/>
      <c r="Z316" s="23"/>
    </row>
    <row r="317" customFormat="false" ht="15.75" hidden="false" customHeight="true" outlineLevel="0" collapsed="false">
      <c r="A317" s="52" t="n">
        <v>46305</v>
      </c>
      <c r="B317" s="14" t="s">
        <v>271</v>
      </c>
      <c r="C317" s="14" t="str">
        <f aca="false" t="array" ref="C317:C317">IF(B317="","",IFERROR(INDEX('CLM &amp; IM Mapping'!$B$2:$B$270,MATCH(TRIM(B317),'CLM &amp; IM Mapping'!$A$2:$A$270,0)),"Not Mapped"))</f>
        <v>Rizwan Ahmed</v>
      </c>
      <c r="D317" s="14" t="str">
        <f aca="false" t="array" ref="D317:D317">IF(B317="","",IFERROR(INDEX('CLM &amp; IM Mapping'!$C$2:$C$270,MATCH(TRIM(B317),'CLM &amp; IM Mapping'!$A$2:$A$270,0)),"Not Mapped"))</f>
        <v>Prakash BS</v>
      </c>
      <c r="E317" s="14"/>
      <c r="F317" s="14"/>
      <c r="G317" s="14"/>
      <c r="H317" s="14" t="n">
        <v>303</v>
      </c>
      <c r="I317" s="14" t="n">
        <v>303</v>
      </c>
      <c r="J317" s="14" t="n">
        <v>0</v>
      </c>
      <c r="K317" s="14" t="n">
        <v>303</v>
      </c>
      <c r="L317" s="12"/>
      <c r="M317" s="12"/>
      <c r="N317" s="23"/>
      <c r="O317" s="23"/>
      <c r="P317" s="23"/>
      <c r="Q317" s="23"/>
      <c r="R317" s="23"/>
      <c r="S317" s="23"/>
      <c r="T317" s="23"/>
      <c r="U317" s="23"/>
      <c r="V317" s="23"/>
      <c r="W317" s="23"/>
      <c r="X317" s="23"/>
      <c r="Y317" s="23"/>
      <c r="Z317" s="23"/>
    </row>
    <row r="318" customFormat="false" ht="15.75" hidden="false" customHeight="true" outlineLevel="0" collapsed="false">
      <c r="A318" s="52" t="n">
        <v>46305</v>
      </c>
      <c r="B318" s="14" t="s">
        <v>532</v>
      </c>
      <c r="C318" s="14" t="str">
        <f aca="false" t="array" ref="C318:C318">IF(B318="","",IFERROR(INDEX('CLM &amp; IM Mapping'!$B$2:$B$270,MATCH(TRIM(B318),'CLM &amp; IM Mapping'!$A$2:$A$270,0)),"Not Mapped"))</f>
        <v>Arun Raj</v>
      </c>
      <c r="D318" s="14" t="str">
        <f aca="false" t="array" ref="D318:D318">IF(B318="","",IFERROR(INDEX('CLM &amp; IM Mapping'!$C$2:$C$270,MATCH(TRIM(B318),'CLM &amp; IM Mapping'!$A$2:$A$270,0)),"Not Mapped"))</f>
        <v>Simon Manoharan</v>
      </c>
      <c r="E318" s="14" t="n">
        <v>198</v>
      </c>
      <c r="F318" s="14" t="n">
        <v>1</v>
      </c>
      <c r="G318" s="14"/>
      <c r="H318" s="14" t="n">
        <v>19</v>
      </c>
      <c r="I318" s="14" t="n">
        <v>20</v>
      </c>
      <c r="J318" s="14" t="n">
        <v>198</v>
      </c>
      <c r="K318" s="14" t="n">
        <v>218</v>
      </c>
      <c r="L318" s="12"/>
      <c r="M318" s="12"/>
      <c r="N318" s="23"/>
      <c r="O318" s="23"/>
      <c r="P318" s="23"/>
      <c r="Q318" s="23"/>
      <c r="R318" s="23"/>
      <c r="S318" s="23"/>
      <c r="T318" s="23"/>
      <c r="U318" s="23"/>
      <c r="V318" s="23"/>
      <c r="W318" s="23"/>
      <c r="X318" s="23"/>
      <c r="Y318" s="23"/>
      <c r="Z318" s="23"/>
    </row>
    <row r="319" customFormat="false" ht="15.75" hidden="false" customHeight="true" outlineLevel="0" collapsed="false">
      <c r="A319" s="52" t="n">
        <v>46305</v>
      </c>
      <c r="B319" s="14" t="s">
        <v>205</v>
      </c>
      <c r="C319" s="14" t="str">
        <f aca="false" t="array" ref="C319:C319">IF(B319="","",IFERROR(INDEX('CLM &amp; IM Mapping'!$B$2:$B$270,MATCH(TRIM(B319),'CLM &amp; IM Mapping'!$A$2:$A$270,0)),"Not Mapped"))</f>
        <v>Akshay P</v>
      </c>
      <c r="D319" s="14" t="str">
        <f aca="false" t="array" ref="D319:D319">IF(B319="","",IFERROR(INDEX('CLM &amp; IM Mapping'!$C$2:$C$270,MATCH(TRIM(B319),'CLM &amp; IM Mapping'!$A$2:$A$270,0)),"Not Mapped"))</f>
        <v>Srittam Dhal</v>
      </c>
      <c r="E319" s="14"/>
      <c r="F319" s="14"/>
      <c r="G319" s="14"/>
      <c r="H319" s="14" t="n">
        <v>205</v>
      </c>
      <c r="I319" s="14" t="n">
        <v>190</v>
      </c>
      <c r="J319" s="14" t="n">
        <v>15</v>
      </c>
      <c r="K319" s="14" t="n">
        <v>205</v>
      </c>
      <c r="L319" s="12"/>
      <c r="M319" s="12"/>
      <c r="N319" s="23"/>
      <c r="O319" s="23"/>
      <c r="P319" s="23"/>
      <c r="Q319" s="23"/>
      <c r="R319" s="23"/>
      <c r="S319" s="23"/>
      <c r="T319" s="23"/>
      <c r="U319" s="23"/>
      <c r="V319" s="23"/>
      <c r="W319" s="23"/>
      <c r="X319" s="23"/>
      <c r="Y319" s="23"/>
      <c r="Z319" s="23"/>
    </row>
    <row r="320" customFormat="false" ht="15.75" hidden="false" customHeight="true" outlineLevel="0" collapsed="false">
      <c r="A320" s="52" t="n">
        <v>46305</v>
      </c>
      <c r="B320" s="14" t="s">
        <v>320</v>
      </c>
      <c r="C320" s="14" t="str">
        <f aca="false" t="array" ref="C320:C320">IF(B320="","",IFERROR(INDEX('CLM &amp; IM Mapping'!$B$2:$B$270,MATCH(TRIM(B320),'CLM &amp; IM Mapping'!$A$2:$A$270,0)),"Not Mapped"))</f>
        <v>Ashwath S</v>
      </c>
      <c r="D320" s="14" t="str">
        <f aca="false" t="array" ref="D320:D320">IF(B320="","",IFERROR(INDEX('CLM &amp; IM Mapping'!$C$2:$C$270,MATCH(TRIM(B320),'CLM &amp; IM Mapping'!$A$2:$A$270,0)),"Not Mapped"))</f>
        <v>Kantha Kumar</v>
      </c>
      <c r="E320" s="14" t="n">
        <v>202</v>
      </c>
      <c r="F320" s="14"/>
      <c r="G320" s="14"/>
      <c r="H320" s="14"/>
      <c r="I320" s="14" t="n">
        <v>126</v>
      </c>
      <c r="J320" s="14" t="n">
        <v>76</v>
      </c>
      <c r="K320" s="14" t="n">
        <v>202</v>
      </c>
      <c r="L320" s="12"/>
      <c r="M320" s="12"/>
      <c r="N320" s="23"/>
      <c r="O320" s="23"/>
      <c r="P320" s="23"/>
      <c r="Q320" s="23"/>
      <c r="R320" s="23"/>
      <c r="S320" s="23"/>
      <c r="T320" s="23"/>
      <c r="U320" s="23"/>
      <c r="V320" s="23"/>
      <c r="W320" s="23"/>
      <c r="X320" s="23"/>
      <c r="Y320" s="23"/>
      <c r="Z320" s="23"/>
    </row>
    <row r="321" customFormat="false" ht="15.75" hidden="false" customHeight="true" outlineLevel="0" collapsed="false">
      <c r="A321" s="52" t="n">
        <v>46305</v>
      </c>
      <c r="B321" s="14" t="s">
        <v>47</v>
      </c>
      <c r="C321" s="14" t="str">
        <f aca="false" t="array" ref="C321:C321">IF(B321="","",IFERROR(INDEX('CLM &amp; IM Mapping'!$B$2:$B$270,MATCH(TRIM(B321),'CLM &amp; IM Mapping'!$A$2:$A$270,0)),"Not Mapped"))</f>
        <v>Saddam Hussain</v>
      </c>
      <c r="D321" s="14" t="str">
        <f aca="false" t="array" ref="D321:D321">IF(B321="","",IFERROR(INDEX('CLM &amp; IM Mapping'!$C$2:$C$270,MATCH(TRIM(B321),'CLM &amp; IM Mapping'!$A$2:$A$270,0)),"Not Mapped"))</f>
        <v>Un Mapped</v>
      </c>
      <c r="E321" s="14" t="n">
        <v>179</v>
      </c>
      <c r="F321" s="14"/>
      <c r="G321" s="14"/>
      <c r="H321" s="14"/>
      <c r="I321" s="14" t="n">
        <v>179</v>
      </c>
      <c r="J321" s="14" t="n">
        <v>0</v>
      </c>
      <c r="K321" s="14" t="n">
        <v>179</v>
      </c>
      <c r="L321" s="12"/>
      <c r="M321" s="12"/>
      <c r="N321" s="23"/>
      <c r="O321" s="23"/>
      <c r="P321" s="23"/>
      <c r="Q321" s="23"/>
      <c r="R321" s="23"/>
      <c r="S321" s="23"/>
      <c r="T321" s="23"/>
      <c r="U321" s="23"/>
      <c r="V321" s="23"/>
      <c r="W321" s="23"/>
      <c r="X321" s="23"/>
      <c r="Y321" s="23"/>
      <c r="Z321" s="23"/>
    </row>
    <row r="322" customFormat="false" ht="15.75" hidden="false" customHeight="true" outlineLevel="0" collapsed="false">
      <c r="A322" s="52" t="n">
        <v>46305</v>
      </c>
      <c r="B322" s="14" t="s">
        <v>355</v>
      </c>
      <c r="C322" s="14" t="str">
        <f aca="false" t="array" ref="C322:C322">IF(B322="","",IFERROR(INDEX('CLM &amp; IM Mapping'!$B$2:$B$270,MATCH(TRIM(B322),'CLM &amp; IM Mapping'!$A$2:$A$270,0)),"Not Mapped"))</f>
        <v>Arun Raj</v>
      </c>
      <c r="D322" s="14" t="str">
        <f aca="false" t="array" ref="D322:D322">IF(B322="","",IFERROR(INDEX('CLM &amp; IM Mapping'!$C$2:$C$270,MATCH(TRIM(B322),'CLM &amp; IM Mapping'!$A$2:$A$270,0)),"Not Mapped"))</f>
        <v>Simon Manoharan</v>
      </c>
      <c r="E322" s="14"/>
      <c r="F322" s="14" t="n">
        <v>150</v>
      </c>
      <c r="G322" s="14"/>
      <c r="H322" s="14"/>
      <c r="I322" s="14" t="n">
        <v>0</v>
      </c>
      <c r="J322" s="14" t="n">
        <v>150</v>
      </c>
      <c r="K322" s="14" t="n">
        <v>150</v>
      </c>
      <c r="L322" s="12"/>
      <c r="M322" s="12"/>
      <c r="N322" s="23"/>
      <c r="O322" s="23"/>
      <c r="P322" s="23"/>
      <c r="Q322" s="23"/>
      <c r="R322" s="23"/>
      <c r="S322" s="23"/>
      <c r="T322" s="23"/>
      <c r="U322" s="23"/>
      <c r="V322" s="23"/>
      <c r="W322" s="23"/>
      <c r="X322" s="23"/>
      <c r="Y322" s="23"/>
      <c r="Z322" s="23"/>
    </row>
    <row r="323" customFormat="false" ht="15.75" hidden="false" customHeight="true" outlineLevel="0" collapsed="false">
      <c r="A323" s="52" t="n">
        <v>46305</v>
      </c>
      <c r="B323" s="14" t="s">
        <v>231</v>
      </c>
      <c r="C323" s="14" t="str">
        <f aca="false" t="array" ref="C323:C323">IF(B323="","",IFERROR(INDEX('CLM &amp; IM Mapping'!$B$2:$B$270,MATCH(TRIM(B323),'CLM &amp; IM Mapping'!$A$2:$A$270,0)),"Not Mapped"))</f>
        <v>Arun Raj</v>
      </c>
      <c r="D323" s="14" t="str">
        <f aca="false" t="array" ref="D323:D323">IF(B323="","",IFERROR(INDEX('CLM &amp; IM Mapping'!$C$2:$C$270,MATCH(TRIM(B323),'CLM &amp; IM Mapping'!$A$2:$A$270,0)),"Not Mapped"))</f>
        <v>Simon Manoharan</v>
      </c>
      <c r="E323" s="14"/>
      <c r="F323" s="14" t="n">
        <v>141</v>
      </c>
      <c r="G323" s="14" t="n">
        <v>1</v>
      </c>
      <c r="H323" s="14"/>
      <c r="I323" s="14" t="n">
        <v>1</v>
      </c>
      <c r="J323" s="14" t="n">
        <v>141</v>
      </c>
      <c r="K323" s="14" t="n">
        <v>142</v>
      </c>
      <c r="L323" s="12"/>
      <c r="M323" s="12"/>
      <c r="N323" s="23"/>
      <c r="O323" s="23"/>
      <c r="P323" s="23"/>
      <c r="Q323" s="23"/>
      <c r="R323" s="23"/>
      <c r="S323" s="23"/>
      <c r="T323" s="23"/>
      <c r="U323" s="23"/>
      <c r="V323" s="23"/>
      <c r="W323" s="23"/>
      <c r="X323" s="23"/>
      <c r="Y323" s="23"/>
      <c r="Z323" s="23"/>
    </row>
    <row r="324" customFormat="false" ht="15.75" hidden="false" customHeight="true" outlineLevel="0" collapsed="false">
      <c r="A324" s="52" t="n">
        <v>46305</v>
      </c>
      <c r="B324" s="14" t="s">
        <v>219</v>
      </c>
      <c r="C324" s="14" t="str">
        <f aca="false" t="array" ref="C324:C324">IF(B324="","",IFERROR(INDEX('CLM &amp; IM Mapping'!$B$2:$B$270,MATCH(TRIM(B324),'CLM &amp; IM Mapping'!$A$2:$A$270,0)),"Not Mapped"))</f>
        <v>Arun Raj</v>
      </c>
      <c r="D324" s="14" t="str">
        <f aca="false" t="array" ref="D324:D324">IF(B324="","",IFERROR(INDEX('CLM &amp; IM Mapping'!$C$2:$C$270,MATCH(TRIM(B324),'CLM &amp; IM Mapping'!$A$2:$A$270,0)),"Not Mapped"))</f>
        <v>Simon Manoharan</v>
      </c>
      <c r="E324" s="14"/>
      <c r="F324" s="14" t="n">
        <v>137</v>
      </c>
      <c r="G324" s="14"/>
      <c r="H324" s="14"/>
      <c r="I324" s="14" t="n">
        <v>137</v>
      </c>
      <c r="J324" s="14" t="n">
        <v>0</v>
      </c>
      <c r="K324" s="14" t="n">
        <v>137</v>
      </c>
      <c r="L324" s="12"/>
      <c r="M324" s="12"/>
      <c r="N324" s="23"/>
      <c r="O324" s="23"/>
      <c r="P324" s="23"/>
      <c r="Q324" s="23"/>
      <c r="R324" s="23"/>
      <c r="S324" s="23"/>
      <c r="T324" s="23"/>
      <c r="U324" s="23"/>
      <c r="V324" s="23"/>
      <c r="W324" s="23"/>
      <c r="X324" s="23"/>
      <c r="Y324" s="23"/>
      <c r="Z324" s="23"/>
    </row>
    <row r="325" customFormat="false" ht="15.75" hidden="false" customHeight="true" outlineLevel="0" collapsed="false">
      <c r="A325" s="52" t="n">
        <v>46305</v>
      </c>
      <c r="B325" s="14" t="s">
        <v>348</v>
      </c>
      <c r="C325" s="14" t="str">
        <f aca="false" t="array" ref="C325:C325">IF(B325="","",IFERROR(INDEX('CLM &amp; IM Mapping'!$B$2:$B$270,MATCH(TRIM(B325),'CLM &amp; IM Mapping'!$A$2:$A$270,0)),"Not Mapped"))</f>
        <v>Arun Raj</v>
      </c>
      <c r="D325" s="14" t="str">
        <f aca="false" t="array" ref="D325:D325">IF(B325="","",IFERROR(INDEX('CLM &amp; IM Mapping'!$C$2:$C$270,MATCH(TRIM(B325),'CLM &amp; IM Mapping'!$A$2:$A$270,0)),"Not Mapped"))</f>
        <v>Simon Manoharan</v>
      </c>
      <c r="E325" s="14"/>
      <c r="F325" s="14" t="n">
        <v>123</v>
      </c>
      <c r="G325" s="14"/>
      <c r="H325" s="14"/>
      <c r="I325" s="14" t="n">
        <v>123</v>
      </c>
      <c r="J325" s="14" t="n">
        <v>0</v>
      </c>
      <c r="K325" s="14" t="n">
        <v>123</v>
      </c>
      <c r="L325" s="12"/>
      <c r="M325" s="12"/>
      <c r="N325" s="23"/>
      <c r="O325" s="23"/>
      <c r="P325" s="23"/>
      <c r="Q325" s="23"/>
      <c r="R325" s="23"/>
      <c r="S325" s="23"/>
      <c r="T325" s="23"/>
      <c r="U325" s="23"/>
      <c r="V325" s="23"/>
      <c r="W325" s="23"/>
      <c r="X325" s="23"/>
      <c r="Y325" s="23"/>
      <c r="Z325" s="23"/>
    </row>
    <row r="326" customFormat="false" ht="15.75" hidden="false" customHeight="true" outlineLevel="0" collapsed="false">
      <c r="A326" s="52" t="n">
        <v>46305</v>
      </c>
      <c r="B326" s="14" t="s">
        <v>144</v>
      </c>
      <c r="C326" s="14" t="str">
        <f aca="false" t="array" ref="C326:C326">IF(B326="","",IFERROR(INDEX('CLM &amp; IM Mapping'!$B$2:$B$270,MATCH(TRIM(B326),'CLM &amp; IM Mapping'!$A$2:$A$270,0)),"Not Mapped"))</f>
        <v>Mohaideen DH</v>
      </c>
      <c r="D326" s="14" t="str">
        <f aca="false" t="array" ref="D326:D326">IF(B326="","",IFERROR(INDEX('CLM &amp; IM Mapping'!$C$2:$C$270,MATCH(TRIM(B326),'CLM &amp; IM Mapping'!$A$2:$A$270,0)),"Not Mapped"))</f>
        <v>Mohammed Akbar</v>
      </c>
      <c r="E326" s="14"/>
      <c r="F326" s="14"/>
      <c r="G326" s="14"/>
      <c r="H326" s="14" t="n">
        <v>106</v>
      </c>
      <c r="I326" s="14" t="n">
        <v>105</v>
      </c>
      <c r="J326" s="14" t="n">
        <v>1</v>
      </c>
      <c r="K326" s="14" t="n">
        <v>106</v>
      </c>
      <c r="L326" s="12"/>
      <c r="M326" s="12"/>
      <c r="N326" s="23"/>
      <c r="O326" s="23"/>
      <c r="P326" s="23"/>
      <c r="Q326" s="23"/>
      <c r="R326" s="23"/>
      <c r="S326" s="23"/>
      <c r="T326" s="23"/>
      <c r="U326" s="23"/>
      <c r="V326" s="23"/>
      <c r="W326" s="23"/>
      <c r="X326" s="23"/>
      <c r="Y326" s="23"/>
      <c r="Z326" s="23"/>
    </row>
    <row r="327" customFormat="false" ht="15.75" hidden="false" customHeight="true" outlineLevel="0" collapsed="false">
      <c r="A327" s="52" t="n">
        <v>46305</v>
      </c>
      <c r="B327" s="14" t="s">
        <v>248</v>
      </c>
      <c r="C327" s="14" t="str">
        <f aca="false" t="array" ref="C327:C327">IF(B327="","",IFERROR(INDEX('CLM &amp; IM Mapping'!$B$2:$B$270,MATCH(TRIM(B327),'CLM &amp; IM Mapping'!$A$2:$A$270,0)),"Not Mapped"))</f>
        <v>Arun Raj</v>
      </c>
      <c r="D327" s="14" t="str">
        <f aca="false" t="array" ref="D327:D327">IF(B327="","",IFERROR(INDEX('CLM &amp; IM Mapping'!$C$2:$C$270,MATCH(TRIM(B327),'CLM &amp; IM Mapping'!$A$2:$A$270,0)),"Not Mapped"))</f>
        <v>Simon Manoharan</v>
      </c>
      <c r="E327" s="14"/>
      <c r="F327" s="14" t="n">
        <v>106</v>
      </c>
      <c r="G327" s="14"/>
      <c r="H327" s="14"/>
      <c r="I327" s="14" t="n">
        <v>106</v>
      </c>
      <c r="J327" s="14" t="n">
        <v>0</v>
      </c>
      <c r="K327" s="14" t="n">
        <v>106</v>
      </c>
      <c r="L327" s="12"/>
      <c r="M327" s="12"/>
      <c r="N327" s="23"/>
      <c r="O327" s="23"/>
      <c r="P327" s="23"/>
      <c r="Q327" s="23"/>
      <c r="R327" s="23"/>
      <c r="S327" s="23"/>
      <c r="T327" s="23"/>
      <c r="U327" s="23"/>
      <c r="V327" s="23"/>
      <c r="W327" s="23"/>
      <c r="X327" s="23"/>
      <c r="Y327" s="23"/>
      <c r="Z327" s="23"/>
    </row>
    <row r="328" customFormat="false" ht="15.75" hidden="false" customHeight="true" outlineLevel="0" collapsed="false">
      <c r="A328" s="52" t="n">
        <v>46305</v>
      </c>
      <c r="B328" s="14" t="s">
        <v>165</v>
      </c>
      <c r="C328" s="14" t="str">
        <f aca="false" t="array" ref="C328:C328">IF(B328="","",IFERROR(INDEX('CLM &amp; IM Mapping'!$B$2:$B$270,MATCH(TRIM(B328),'CLM &amp; IM Mapping'!$A$2:$A$270,0)),"Not Mapped"))</f>
        <v>Akshay P</v>
      </c>
      <c r="D328" s="14" t="str">
        <f aca="false" t="array" ref="D328:D328">IF(B328="","",IFERROR(INDEX('CLM &amp; IM Mapping'!$C$2:$C$270,MATCH(TRIM(B328),'CLM &amp; IM Mapping'!$A$2:$A$270,0)),"Not Mapped"))</f>
        <v>Srittam Dhal</v>
      </c>
      <c r="E328" s="14"/>
      <c r="F328" s="14"/>
      <c r="G328" s="14"/>
      <c r="H328" s="14" t="n">
        <v>67</v>
      </c>
      <c r="I328" s="14" t="n">
        <v>67</v>
      </c>
      <c r="J328" s="14" t="n">
        <v>0</v>
      </c>
      <c r="K328" s="14" t="n">
        <v>67</v>
      </c>
      <c r="L328" s="12"/>
      <c r="M328" s="12"/>
      <c r="N328" s="23"/>
      <c r="O328" s="23"/>
      <c r="P328" s="23"/>
      <c r="Q328" s="23"/>
      <c r="R328" s="23"/>
      <c r="S328" s="23"/>
      <c r="T328" s="23"/>
      <c r="U328" s="23"/>
      <c r="V328" s="23"/>
      <c r="W328" s="23"/>
      <c r="X328" s="23"/>
      <c r="Y328" s="23"/>
      <c r="Z328" s="23"/>
    </row>
    <row r="329" customFormat="false" ht="15.75" hidden="false" customHeight="true" outlineLevel="0" collapsed="false">
      <c r="A329" s="52" t="n">
        <v>46305</v>
      </c>
      <c r="B329" s="14" t="s">
        <v>33</v>
      </c>
      <c r="C329" s="14" t="str">
        <f aca="false" t="array" ref="C329:C329">IF(B329="","",IFERROR(INDEX('CLM &amp; IM Mapping'!$B$2:$B$270,MATCH(TRIM(B329),'CLM &amp; IM Mapping'!$A$2:$A$270,0)),"Not Mapped"))</f>
        <v>Manoj Kj</v>
      </c>
      <c r="D329" s="14" t="str">
        <f aca="false" t="array" ref="D329:D329">IF(B329="","",IFERROR(INDEX('CLM &amp; IM Mapping'!$C$2:$C$270,MATCH(TRIM(B329),'CLM &amp; IM Mapping'!$A$2:$A$270,0)),"Not Mapped"))</f>
        <v>Srittam Dhal</v>
      </c>
      <c r="E329" s="14"/>
      <c r="F329" s="14"/>
      <c r="G329" s="14"/>
      <c r="H329" s="14" t="n">
        <v>34</v>
      </c>
      <c r="I329" s="14" t="n">
        <v>10</v>
      </c>
      <c r="J329" s="14" t="n">
        <v>24</v>
      </c>
      <c r="K329" s="14" t="n">
        <v>34</v>
      </c>
      <c r="L329" s="12"/>
      <c r="M329" s="12"/>
      <c r="N329" s="23"/>
      <c r="O329" s="23"/>
      <c r="P329" s="23"/>
      <c r="Q329" s="23"/>
      <c r="R329" s="23"/>
      <c r="S329" s="23"/>
      <c r="T329" s="23"/>
      <c r="U329" s="23"/>
      <c r="V329" s="23"/>
      <c r="W329" s="23"/>
      <c r="X329" s="23"/>
      <c r="Y329" s="23"/>
      <c r="Z329" s="23"/>
    </row>
    <row r="330" customFormat="false" ht="15.75" hidden="false" customHeight="true" outlineLevel="0" collapsed="false">
      <c r="A330" s="52" t="n">
        <v>46305</v>
      </c>
      <c r="B330" s="14" t="s">
        <v>512</v>
      </c>
      <c r="C330" s="14" t="str">
        <f aca="false" t="array" ref="C330:C330">IF(B330="","",IFERROR(INDEX('CLM &amp; IM Mapping'!$B$2:$B$270,MATCH(TRIM(B330),'CLM &amp; IM Mapping'!$A$2:$A$270,0)),"Not Mapped"))</f>
        <v>Saddam Hussain</v>
      </c>
      <c r="D330" s="14" t="str">
        <f aca="false" t="array" ref="D330:D330">IF(B330="","",IFERROR(INDEX('CLM &amp; IM Mapping'!$C$2:$C$270,MATCH(TRIM(B330),'CLM &amp; IM Mapping'!$A$2:$A$270,0)),"Not Mapped"))</f>
        <v>Un Mapped</v>
      </c>
      <c r="E330" s="14"/>
      <c r="F330" s="14"/>
      <c r="G330" s="14"/>
      <c r="H330" s="14" t="n">
        <v>24</v>
      </c>
      <c r="I330" s="14" t="n">
        <v>24</v>
      </c>
      <c r="J330" s="14" t="n">
        <v>0</v>
      </c>
      <c r="K330" s="14" t="n">
        <v>24</v>
      </c>
      <c r="L330" s="12"/>
      <c r="M330" s="12"/>
      <c r="N330" s="23"/>
      <c r="O330" s="23"/>
      <c r="P330" s="23"/>
      <c r="Q330" s="23"/>
      <c r="R330" s="23"/>
      <c r="S330" s="23"/>
      <c r="T330" s="23"/>
      <c r="U330" s="23"/>
      <c r="V330" s="23"/>
      <c r="W330" s="23"/>
      <c r="X330" s="23"/>
      <c r="Y330" s="23"/>
      <c r="Z330" s="23"/>
    </row>
    <row r="331" customFormat="false" ht="15.75" hidden="false" customHeight="true" outlineLevel="0" collapsed="false">
      <c r="A331" s="52" t="n">
        <v>46305</v>
      </c>
      <c r="B331" s="14" t="s">
        <v>76</v>
      </c>
      <c r="C331" s="14" t="str">
        <f aca="false" t="array" ref="C331:C331">IF(B331="","",IFERROR(INDEX('CLM &amp; IM Mapping'!$B$2:$B$270,MATCH(TRIM(B331),'CLM &amp; IM Mapping'!$A$2:$A$270,0)),"Not Mapped"))</f>
        <v>Silambarasan E</v>
      </c>
      <c r="D331" s="14" t="str">
        <f aca="false" t="array" ref="D331:D331">IF(B331="","",IFERROR(INDEX('CLM &amp; IM Mapping'!$C$2:$C$270,MATCH(TRIM(B331),'CLM &amp; IM Mapping'!$A$2:$A$270,0)),"Not Mapped"))</f>
        <v>Arivind S</v>
      </c>
      <c r="E331" s="14"/>
      <c r="F331" s="14"/>
      <c r="G331" s="14"/>
      <c r="H331" s="14" t="n">
        <v>23</v>
      </c>
      <c r="I331" s="14" t="n">
        <v>6</v>
      </c>
      <c r="J331" s="14" t="n">
        <v>17</v>
      </c>
      <c r="K331" s="14" t="n">
        <v>23</v>
      </c>
      <c r="L331" s="12"/>
      <c r="M331" s="12"/>
      <c r="N331" s="23"/>
      <c r="O331" s="23"/>
      <c r="P331" s="23"/>
      <c r="Q331" s="23"/>
      <c r="R331" s="23"/>
      <c r="S331" s="23"/>
      <c r="T331" s="23"/>
      <c r="U331" s="23"/>
      <c r="V331" s="23"/>
      <c r="W331" s="23"/>
      <c r="X331" s="23"/>
      <c r="Y331" s="23"/>
      <c r="Z331" s="23"/>
    </row>
    <row r="332" customFormat="false" ht="15.75" hidden="false" customHeight="true" outlineLevel="0" collapsed="false">
      <c r="A332" s="52" t="n">
        <v>46305</v>
      </c>
      <c r="B332" s="14" t="s">
        <v>502</v>
      </c>
      <c r="C332" s="14" t="str">
        <f aca="false" t="array" ref="C332:C332">IF(B332="","",IFERROR(INDEX('CLM &amp; IM Mapping'!$B$2:$B$270,MATCH(TRIM(B332),'CLM &amp; IM Mapping'!$A$2:$A$270,0)),"Not Mapped"))</f>
        <v>Manjunatha V</v>
      </c>
      <c r="D332" s="14" t="str">
        <f aca="false" t="array" ref="D332:D332">IF(B332="","",IFERROR(INDEX('CLM &amp; IM Mapping'!$C$2:$C$270,MATCH(TRIM(B332),'CLM &amp; IM Mapping'!$A$2:$A$270,0)),"Not Mapped"))</f>
        <v>Un Mapped</v>
      </c>
      <c r="E332" s="14"/>
      <c r="F332" s="14"/>
      <c r="G332" s="14"/>
      <c r="H332" s="14" t="n">
        <v>22</v>
      </c>
      <c r="I332" s="14" t="n">
        <v>22</v>
      </c>
      <c r="J332" s="14" t="n">
        <v>0</v>
      </c>
      <c r="K332" s="14" t="n">
        <v>22</v>
      </c>
      <c r="L332" s="12"/>
      <c r="M332" s="12"/>
      <c r="N332" s="23"/>
      <c r="O332" s="23"/>
      <c r="P332" s="23"/>
      <c r="Q332" s="23"/>
      <c r="R332" s="23"/>
      <c r="S332" s="23"/>
      <c r="T332" s="23"/>
      <c r="U332" s="23"/>
      <c r="V332" s="23"/>
      <c r="W332" s="23"/>
      <c r="X332" s="23"/>
      <c r="Y332" s="23"/>
      <c r="Z332" s="23"/>
    </row>
    <row r="333" customFormat="false" ht="15.75" hidden="false" customHeight="true" outlineLevel="0" collapsed="false">
      <c r="A333" s="52" t="n">
        <v>46305</v>
      </c>
      <c r="B333" s="14" t="s">
        <v>233</v>
      </c>
      <c r="C333" s="14" t="str">
        <f aca="false" t="array" ref="C333:C333">IF(B333="","",IFERROR(INDEX('CLM &amp; IM Mapping'!$B$2:$B$270,MATCH(TRIM(B333),'CLM &amp; IM Mapping'!$A$2:$A$270,0)),"Not Mapped"))</f>
        <v>Suhas N</v>
      </c>
      <c r="D333" s="14" t="str">
        <f aca="false" t="array" ref="D333:D333">IF(B333="","",IFERROR(INDEX('CLM &amp; IM Mapping'!$C$2:$C$270,MATCH(TRIM(B333),'CLM &amp; IM Mapping'!$A$2:$A$270,0)),"Not Mapped"))</f>
        <v>Aravind S</v>
      </c>
      <c r="E333" s="14"/>
      <c r="F333" s="14"/>
      <c r="G333" s="14"/>
      <c r="H333" s="14" t="n">
        <v>20</v>
      </c>
      <c r="I333" s="14" t="n">
        <v>19</v>
      </c>
      <c r="J333" s="14" t="n">
        <v>1</v>
      </c>
      <c r="K333" s="14" t="n">
        <v>20</v>
      </c>
      <c r="L333" s="12"/>
      <c r="M333" s="12"/>
      <c r="N333" s="23"/>
      <c r="O333" s="23"/>
      <c r="P333" s="23"/>
      <c r="Q333" s="23"/>
      <c r="R333" s="23"/>
      <c r="S333" s="23"/>
      <c r="T333" s="23"/>
      <c r="U333" s="23"/>
      <c r="V333" s="23"/>
      <c r="W333" s="23"/>
      <c r="X333" s="23"/>
      <c r="Y333" s="23"/>
      <c r="Z333" s="23"/>
    </row>
    <row r="334" customFormat="false" ht="15.75" hidden="false" customHeight="true" outlineLevel="0" collapsed="false">
      <c r="A334" s="52" t="n">
        <v>46305</v>
      </c>
      <c r="B334" s="14" t="s">
        <v>250</v>
      </c>
      <c r="C334" s="14" t="str">
        <f aca="false" t="array" ref="C334:C334">IF(B334="","",IFERROR(INDEX('CLM &amp; IM Mapping'!$B$2:$B$270,MATCH(TRIM(B334),'CLM &amp; IM Mapping'!$A$2:$A$270,0)),"Not Mapped"))</f>
        <v>Akshay P</v>
      </c>
      <c r="D334" s="14" t="str">
        <f aca="false" t="array" ref="D334:D334">IF(B334="","",IFERROR(INDEX('CLM &amp; IM Mapping'!$C$2:$C$270,MATCH(TRIM(B334),'CLM &amp; IM Mapping'!$A$2:$A$270,0)),"Not Mapped"))</f>
        <v>Srittam Dhal</v>
      </c>
      <c r="E334" s="14"/>
      <c r="F334" s="14"/>
      <c r="G334" s="14"/>
      <c r="H334" s="14" t="n">
        <v>19</v>
      </c>
      <c r="I334" s="14" t="n">
        <v>0</v>
      </c>
      <c r="J334" s="14" t="n">
        <v>19</v>
      </c>
      <c r="K334" s="14" t="n">
        <v>19</v>
      </c>
      <c r="L334" s="12"/>
      <c r="M334" s="12"/>
      <c r="N334" s="23"/>
      <c r="O334" s="23"/>
      <c r="P334" s="23"/>
      <c r="Q334" s="23"/>
      <c r="R334" s="23"/>
      <c r="S334" s="23"/>
      <c r="T334" s="23"/>
      <c r="U334" s="23"/>
      <c r="V334" s="23"/>
      <c r="W334" s="23"/>
      <c r="X334" s="23"/>
      <c r="Y334" s="23"/>
      <c r="Z334" s="23"/>
    </row>
    <row r="335" customFormat="false" ht="15.75" hidden="false" customHeight="true" outlineLevel="0" collapsed="false">
      <c r="A335" s="52" t="n">
        <v>46305</v>
      </c>
      <c r="B335" s="14" t="s">
        <v>465</v>
      </c>
      <c r="C335" s="14" t="str">
        <f aca="false" t="array" ref="C335:C335">IF(B335="","",IFERROR(INDEX('CLM &amp; IM Mapping'!$B$2:$B$270,MATCH(TRIM(B335),'CLM &amp; IM Mapping'!$A$2:$A$270,0)),"Not Mapped"))</f>
        <v>Suhas N</v>
      </c>
      <c r="D335" s="14" t="str">
        <f aca="false" t="array" ref="D335:D335">IF(B335="","",IFERROR(INDEX('CLM &amp; IM Mapping'!$C$2:$C$270,MATCH(TRIM(B335),'CLM &amp; IM Mapping'!$A$2:$A$270,0)),"Not Mapped"))</f>
        <v>Aravind S</v>
      </c>
      <c r="E335" s="14"/>
      <c r="F335" s="14"/>
      <c r="G335" s="14"/>
      <c r="H335" s="14" t="n">
        <v>17</v>
      </c>
      <c r="I335" s="14" t="n">
        <v>0</v>
      </c>
      <c r="J335" s="14" t="n">
        <v>17</v>
      </c>
      <c r="K335" s="14" t="n">
        <v>17</v>
      </c>
      <c r="L335" s="12"/>
      <c r="M335" s="12"/>
      <c r="N335" s="23"/>
      <c r="O335" s="23"/>
      <c r="P335" s="23"/>
      <c r="Q335" s="23"/>
      <c r="R335" s="23"/>
      <c r="S335" s="23"/>
      <c r="T335" s="23"/>
      <c r="U335" s="23"/>
      <c r="V335" s="23"/>
      <c r="W335" s="23"/>
      <c r="X335" s="23"/>
      <c r="Y335" s="23"/>
      <c r="Z335" s="23"/>
    </row>
    <row r="336" customFormat="false" ht="15.75" hidden="false" customHeight="true" outlineLevel="0" collapsed="false">
      <c r="A336" s="52" t="n">
        <v>46305</v>
      </c>
      <c r="B336" s="14" t="s">
        <v>367</v>
      </c>
      <c r="C336" s="14" t="str">
        <f aca="false" t="array" ref="C336:C336">IF(B336="","",IFERROR(INDEX('CLM &amp; IM Mapping'!$B$2:$B$270,MATCH(TRIM(B336),'CLM &amp; IM Mapping'!$A$2:$A$270,0)),"Not Mapped"))</f>
        <v>Akshay P</v>
      </c>
      <c r="D336" s="14" t="str">
        <f aca="false" t="array" ref="D336:D336">IF(B336="","",IFERROR(INDEX('CLM &amp; IM Mapping'!$C$2:$C$270,MATCH(TRIM(B336),'CLM &amp; IM Mapping'!$A$2:$A$270,0)),"Not Mapped"))</f>
        <v>Srittam Dhal</v>
      </c>
      <c r="E336" s="14"/>
      <c r="F336" s="14"/>
      <c r="G336" s="14"/>
      <c r="H336" s="14" t="n">
        <v>17</v>
      </c>
      <c r="I336" s="14" t="n">
        <v>17</v>
      </c>
      <c r="J336" s="14" t="n">
        <v>0</v>
      </c>
      <c r="K336" s="14" t="n">
        <v>17</v>
      </c>
      <c r="L336" s="12"/>
      <c r="M336" s="12"/>
      <c r="N336" s="23"/>
      <c r="O336" s="23"/>
      <c r="P336" s="23"/>
      <c r="Q336" s="23"/>
      <c r="R336" s="23"/>
      <c r="S336" s="23"/>
      <c r="T336" s="23"/>
      <c r="U336" s="23"/>
      <c r="V336" s="23"/>
      <c r="W336" s="23"/>
      <c r="X336" s="23"/>
      <c r="Y336" s="23"/>
      <c r="Z336" s="23"/>
    </row>
    <row r="337" customFormat="false" ht="15.75" hidden="false" customHeight="true" outlineLevel="0" collapsed="false">
      <c r="A337" s="52" t="n">
        <v>46305</v>
      </c>
      <c r="B337" s="14" t="s">
        <v>491</v>
      </c>
      <c r="C337" s="14" t="str">
        <f aca="false" t="array" ref="C337:C337">IF(B337="","",IFERROR(INDEX('CLM &amp; IM Mapping'!$B$2:$B$270,MATCH(TRIM(B337),'CLM &amp; IM Mapping'!$A$2:$A$270,0)),"Not Mapped"))</f>
        <v>Manjunatha V</v>
      </c>
      <c r="D337" s="14" t="str">
        <f aca="false" t="array" ref="D337:D337">IF(B337="","",IFERROR(INDEX('CLM &amp; IM Mapping'!$C$2:$C$270,MATCH(TRIM(B337),'CLM &amp; IM Mapping'!$A$2:$A$270,0)),"Not Mapped"))</f>
        <v>Un Mapped</v>
      </c>
      <c r="E337" s="14" t="n">
        <v>2</v>
      </c>
      <c r="F337" s="14"/>
      <c r="G337" s="14"/>
      <c r="H337" s="14" t="n">
        <v>14</v>
      </c>
      <c r="I337" s="14" t="n">
        <v>0</v>
      </c>
      <c r="J337" s="14" t="n">
        <v>16</v>
      </c>
      <c r="K337" s="14" t="n">
        <v>16</v>
      </c>
      <c r="L337" s="12"/>
      <c r="M337" s="12"/>
      <c r="N337" s="23"/>
      <c r="O337" s="23"/>
      <c r="P337" s="23"/>
      <c r="Q337" s="23"/>
      <c r="R337" s="23"/>
      <c r="S337" s="23"/>
      <c r="T337" s="23"/>
      <c r="U337" s="23"/>
      <c r="V337" s="23"/>
      <c r="W337" s="23"/>
      <c r="X337" s="23"/>
      <c r="Y337" s="23"/>
      <c r="Z337" s="23"/>
    </row>
    <row r="338" customFormat="false" ht="15.75" hidden="false" customHeight="true" outlineLevel="0" collapsed="false">
      <c r="A338" s="52" t="n">
        <v>46305</v>
      </c>
      <c r="B338" s="14" t="s">
        <v>123</v>
      </c>
      <c r="C338" s="14" t="str">
        <f aca="false" t="array" ref="C338:C338">IF(B338="","",IFERROR(INDEX('CLM &amp; IM Mapping'!$B$2:$B$270,MATCH(TRIM(B338),'CLM &amp; IM Mapping'!$A$2:$A$270,0)),"Not Mapped"))</f>
        <v>Silambarasan E</v>
      </c>
      <c r="D338" s="14" t="str">
        <f aca="false" t="array" ref="D338:D338">IF(B338="","",IFERROR(INDEX('CLM &amp; IM Mapping'!$C$2:$C$270,MATCH(TRIM(B338),'CLM &amp; IM Mapping'!$A$2:$A$270,0)),"Not Mapped"))</f>
        <v>Arivind S</v>
      </c>
      <c r="E338" s="14"/>
      <c r="F338" s="14"/>
      <c r="G338" s="14"/>
      <c r="H338" s="14" t="n">
        <v>12</v>
      </c>
      <c r="I338" s="14" t="n">
        <v>0</v>
      </c>
      <c r="J338" s="14" t="n">
        <v>12</v>
      </c>
      <c r="K338" s="14" t="n">
        <v>12</v>
      </c>
      <c r="L338" s="12"/>
      <c r="M338" s="12"/>
      <c r="N338" s="23"/>
      <c r="O338" s="23"/>
      <c r="P338" s="23"/>
      <c r="Q338" s="23"/>
      <c r="R338" s="23"/>
      <c r="S338" s="23"/>
      <c r="T338" s="23"/>
      <c r="U338" s="23"/>
      <c r="V338" s="23"/>
      <c r="W338" s="23"/>
      <c r="X338" s="23"/>
      <c r="Y338" s="23"/>
      <c r="Z338" s="23"/>
    </row>
    <row r="339" customFormat="false" ht="15.75" hidden="false" customHeight="true" outlineLevel="0" collapsed="false">
      <c r="A339" s="52" t="n">
        <v>46305</v>
      </c>
      <c r="B339" s="14" t="s">
        <v>186</v>
      </c>
      <c r="C339" s="14" t="str">
        <f aca="false" t="array" ref="C339:C339">IF(B339="","",IFERROR(INDEX('CLM &amp; IM Mapping'!$B$2:$B$270,MATCH(TRIM(B339),'CLM &amp; IM Mapping'!$A$2:$A$270,0)),"Not Mapped"))</f>
        <v>Silambarasan E</v>
      </c>
      <c r="D339" s="14" t="str">
        <f aca="false" t="array" ref="D339:D339">IF(B339="","",IFERROR(INDEX('CLM &amp; IM Mapping'!$C$2:$C$270,MATCH(TRIM(B339),'CLM &amp; IM Mapping'!$A$2:$A$270,0)),"Not Mapped"))</f>
        <v>Arivind S</v>
      </c>
      <c r="E339" s="14"/>
      <c r="F339" s="14"/>
      <c r="G339" s="14"/>
      <c r="H339" s="14" t="n">
        <v>8</v>
      </c>
      <c r="I339" s="14" t="n">
        <v>8</v>
      </c>
      <c r="J339" s="14" t="n">
        <v>0</v>
      </c>
      <c r="K339" s="14" t="n">
        <v>8</v>
      </c>
      <c r="L339" s="12"/>
      <c r="M339" s="12"/>
      <c r="N339" s="23"/>
      <c r="O339" s="23"/>
      <c r="P339" s="23"/>
      <c r="Q339" s="23"/>
      <c r="R339" s="23"/>
      <c r="S339" s="23"/>
      <c r="T339" s="23"/>
      <c r="U339" s="23"/>
      <c r="V339" s="23"/>
      <c r="W339" s="23"/>
      <c r="X339" s="23"/>
      <c r="Y339" s="23"/>
      <c r="Z339" s="23"/>
    </row>
    <row r="340" customFormat="false" ht="15.75" hidden="false" customHeight="true" outlineLevel="0" collapsed="false">
      <c r="A340" s="52" t="n">
        <v>46305</v>
      </c>
      <c r="B340" s="14" t="s">
        <v>153</v>
      </c>
      <c r="C340" s="14" t="str">
        <f aca="false" t="array" ref="C340:C340">IF(B340="","",IFERROR(INDEX('CLM &amp; IM Mapping'!$B$2:$B$270,MATCH(TRIM(B340),'CLM &amp; IM Mapping'!$A$2:$A$270,0)),"Not Mapped"))</f>
        <v>Ashwath S</v>
      </c>
      <c r="D340" s="14" t="str">
        <f aca="false" t="array" ref="D340:D340">IF(B340="","",IFERROR(INDEX('CLM &amp; IM Mapping'!$C$2:$C$270,MATCH(TRIM(B340),'CLM &amp; IM Mapping'!$A$2:$A$270,0)),"Not Mapped"))</f>
        <v>Kantha Kumar</v>
      </c>
      <c r="E340" s="14"/>
      <c r="F340" s="14"/>
      <c r="G340" s="14"/>
      <c r="H340" s="14" t="n">
        <v>8</v>
      </c>
      <c r="I340" s="14" t="n">
        <v>8</v>
      </c>
      <c r="J340" s="14" t="n">
        <v>0</v>
      </c>
      <c r="K340" s="14" t="n">
        <v>8</v>
      </c>
      <c r="L340" s="12"/>
      <c r="M340" s="12"/>
      <c r="N340" s="23"/>
      <c r="O340" s="23"/>
      <c r="P340" s="23"/>
      <c r="Q340" s="23"/>
      <c r="R340" s="23"/>
      <c r="S340" s="23"/>
      <c r="T340" s="23"/>
      <c r="U340" s="23"/>
      <c r="V340" s="23"/>
      <c r="W340" s="23"/>
      <c r="X340" s="23"/>
      <c r="Y340" s="23"/>
      <c r="Z340" s="23"/>
    </row>
    <row r="341" customFormat="false" ht="15.75" hidden="false" customHeight="true" outlineLevel="0" collapsed="false">
      <c r="A341" s="52" t="n">
        <v>46305</v>
      </c>
      <c r="B341" s="14" t="s">
        <v>173</v>
      </c>
      <c r="C341" s="14" t="str">
        <f aca="false" t="array" ref="C341:C341">IF(B341="","",IFERROR(INDEX('CLM &amp; IM Mapping'!$B$2:$B$270,MATCH(TRIM(B341),'CLM &amp; IM Mapping'!$A$2:$A$270,0)),"Not Mapped"))</f>
        <v>Akshay P</v>
      </c>
      <c r="D341" s="14" t="str">
        <f aca="false" t="array" ref="D341:D341">IF(B341="","",IFERROR(INDEX('CLM &amp; IM Mapping'!$C$2:$C$270,MATCH(TRIM(B341),'CLM &amp; IM Mapping'!$A$2:$A$270,0)),"Not Mapped"))</f>
        <v>Srittam Dhal</v>
      </c>
      <c r="E341" s="14"/>
      <c r="F341" s="14"/>
      <c r="G341" s="14"/>
      <c r="H341" s="14" t="n">
        <v>8</v>
      </c>
      <c r="I341" s="14" t="n">
        <v>8</v>
      </c>
      <c r="J341" s="14" t="n">
        <v>0</v>
      </c>
      <c r="K341" s="14" t="n">
        <v>8</v>
      </c>
      <c r="L341" s="12"/>
      <c r="M341" s="12"/>
      <c r="N341" s="23"/>
      <c r="O341" s="23"/>
      <c r="P341" s="23"/>
      <c r="Q341" s="23"/>
      <c r="R341" s="23"/>
      <c r="S341" s="23"/>
      <c r="T341" s="23"/>
      <c r="U341" s="23"/>
      <c r="V341" s="23"/>
      <c r="W341" s="23"/>
      <c r="X341" s="23"/>
      <c r="Y341" s="23"/>
      <c r="Z341" s="23"/>
    </row>
    <row r="342" customFormat="false" ht="15.75" hidden="false" customHeight="true" outlineLevel="0" collapsed="false">
      <c r="A342" s="52" t="n">
        <v>46305</v>
      </c>
      <c r="B342" s="14" t="s">
        <v>390</v>
      </c>
      <c r="C342" s="14" t="str">
        <f aca="false" t="array" ref="C342:C342">IF(B342="","",IFERROR(INDEX('CLM &amp; IM Mapping'!$B$2:$B$270,MATCH(TRIM(B342),'CLM &amp; IM Mapping'!$A$2:$A$270,0)),"Not Mapped"))</f>
        <v>Sundaresh S</v>
      </c>
      <c r="D342" s="14" t="str">
        <f aca="false" t="array" ref="D342:D342">IF(B342="","",IFERROR(INDEX('CLM &amp; IM Mapping'!$C$2:$C$270,MATCH(TRIM(B342),'CLM &amp; IM Mapping'!$A$2:$A$270,0)),"Not Mapped"))</f>
        <v>Un Mapped</v>
      </c>
      <c r="E342" s="14"/>
      <c r="F342" s="14"/>
      <c r="G342" s="14"/>
      <c r="H342" s="14" t="n">
        <v>6</v>
      </c>
      <c r="I342" s="14" t="n">
        <v>0</v>
      </c>
      <c r="J342" s="14" t="n">
        <v>6</v>
      </c>
      <c r="K342" s="14" t="n">
        <v>6</v>
      </c>
      <c r="L342" s="12"/>
      <c r="M342" s="12"/>
      <c r="N342" s="23"/>
      <c r="O342" s="23"/>
      <c r="P342" s="23"/>
      <c r="Q342" s="23"/>
      <c r="R342" s="23"/>
      <c r="S342" s="23"/>
      <c r="T342" s="23"/>
      <c r="U342" s="23"/>
      <c r="V342" s="23"/>
      <c r="W342" s="23"/>
      <c r="X342" s="23"/>
      <c r="Y342" s="23"/>
      <c r="Z342" s="23"/>
    </row>
    <row r="343" customFormat="false" ht="15.75" hidden="false" customHeight="true" outlineLevel="0" collapsed="false">
      <c r="A343" s="52" t="n">
        <v>46305</v>
      </c>
      <c r="B343" s="14" t="s">
        <v>114</v>
      </c>
      <c r="C343" s="14" t="str">
        <f aca="false" t="array" ref="C343:C343">IF(B343="","",IFERROR(INDEX('CLM &amp; IM Mapping'!$B$2:$B$270,MATCH(TRIM(B343),'CLM &amp; IM Mapping'!$A$2:$A$270,0)),"Not Mapped"))</f>
        <v>Adhavan Subramani</v>
      </c>
      <c r="D343" s="14" t="str">
        <f aca="false" t="array" ref="D343:D343">IF(B343="","",IFERROR(INDEX('CLM &amp; IM Mapping'!$C$2:$C$270,MATCH(TRIM(B343),'CLM &amp; IM Mapping'!$A$2:$A$270,0)),"Not Mapped"))</f>
        <v>Mohammed Akbar</v>
      </c>
      <c r="E343" s="14"/>
      <c r="F343" s="14"/>
      <c r="G343" s="14"/>
      <c r="H343" s="14" t="n">
        <v>6</v>
      </c>
      <c r="I343" s="14" t="n">
        <v>0</v>
      </c>
      <c r="J343" s="14" t="n">
        <v>6</v>
      </c>
      <c r="K343" s="14" t="n">
        <v>6</v>
      </c>
      <c r="L343" s="12"/>
      <c r="M343" s="12"/>
      <c r="N343" s="23"/>
      <c r="O343" s="23"/>
      <c r="P343" s="23"/>
      <c r="Q343" s="23"/>
      <c r="R343" s="23"/>
      <c r="S343" s="23"/>
      <c r="T343" s="23"/>
      <c r="U343" s="23"/>
      <c r="V343" s="23"/>
      <c r="W343" s="23"/>
      <c r="X343" s="23"/>
      <c r="Y343" s="23"/>
      <c r="Z343" s="23"/>
    </row>
    <row r="344" customFormat="false" ht="15.75" hidden="false" customHeight="true" outlineLevel="0" collapsed="false">
      <c r="A344" s="52" t="n">
        <v>46305</v>
      </c>
      <c r="B344" s="14" t="s">
        <v>488</v>
      </c>
      <c r="C344" s="14" t="str">
        <f aca="false" t="array" ref="C344:C344">IF(B344="","",IFERROR(INDEX('CLM &amp; IM Mapping'!$B$2:$B$270,MATCH(TRIM(B344),'CLM &amp; IM Mapping'!$A$2:$A$270,0)),"Not Mapped"))</f>
        <v>Sundaresh S</v>
      </c>
      <c r="D344" s="14" t="str">
        <f aca="false" t="array" ref="D344:D344">IF(B344="","",IFERROR(INDEX('CLM &amp; IM Mapping'!$C$2:$C$270,MATCH(TRIM(B344),'CLM &amp; IM Mapping'!$A$2:$A$270,0)),"Not Mapped"))</f>
        <v>Un Mapped</v>
      </c>
      <c r="E344" s="14"/>
      <c r="F344" s="14"/>
      <c r="G344" s="14"/>
      <c r="H344" s="14" t="n">
        <v>5</v>
      </c>
      <c r="I344" s="14" t="n">
        <v>0</v>
      </c>
      <c r="J344" s="14" t="n">
        <v>5</v>
      </c>
      <c r="K344" s="14" t="n">
        <v>5</v>
      </c>
      <c r="L344" s="12"/>
      <c r="M344" s="12"/>
      <c r="N344" s="23"/>
      <c r="O344" s="23"/>
      <c r="P344" s="23"/>
      <c r="Q344" s="23"/>
      <c r="R344" s="23"/>
      <c r="S344" s="23"/>
      <c r="T344" s="23"/>
      <c r="U344" s="23"/>
      <c r="V344" s="23"/>
      <c r="W344" s="23"/>
      <c r="X344" s="23"/>
      <c r="Y344" s="23"/>
      <c r="Z344" s="23"/>
    </row>
    <row r="345" customFormat="false" ht="15.75" hidden="false" customHeight="true" outlineLevel="0" collapsed="false">
      <c r="A345" s="52" t="n">
        <v>46305</v>
      </c>
      <c r="B345" s="14" t="s">
        <v>227</v>
      </c>
      <c r="C345" s="14" t="str">
        <f aca="false" t="array" ref="C345:C345">IF(B345="","",IFERROR(INDEX('CLM &amp; IM Mapping'!$B$2:$B$270,MATCH(TRIM(B345),'CLM &amp; IM Mapping'!$A$2:$A$270,0)),"Not Mapped"))</f>
        <v>Vijay M</v>
      </c>
      <c r="D345" s="14" t="str">
        <f aca="false" t="array" ref="D345:D345">IF(B345="","",IFERROR(INDEX('CLM &amp; IM Mapping'!$C$2:$C$270,MATCH(TRIM(B345),'CLM &amp; IM Mapping'!$A$2:$A$270,0)),"Not Mapped"))</f>
        <v>Kantha Kumar</v>
      </c>
      <c r="E345" s="14"/>
      <c r="F345" s="14"/>
      <c r="G345" s="14"/>
      <c r="H345" s="14" t="n">
        <v>5</v>
      </c>
      <c r="I345" s="14" t="n">
        <v>0</v>
      </c>
      <c r="J345" s="14" t="n">
        <v>5</v>
      </c>
      <c r="K345" s="14" t="n">
        <v>5</v>
      </c>
      <c r="L345" s="12"/>
      <c r="M345" s="12"/>
      <c r="N345" s="23"/>
      <c r="O345" s="23"/>
      <c r="P345" s="23"/>
      <c r="Q345" s="23"/>
      <c r="R345" s="23"/>
      <c r="S345" s="23"/>
      <c r="T345" s="23"/>
      <c r="U345" s="23"/>
      <c r="V345" s="23"/>
      <c r="W345" s="23"/>
      <c r="X345" s="23"/>
      <c r="Y345" s="23"/>
      <c r="Z345" s="23"/>
    </row>
    <row r="346" customFormat="false" ht="15.75" hidden="false" customHeight="true" outlineLevel="0" collapsed="false">
      <c r="A346" s="52" t="n">
        <v>46305</v>
      </c>
      <c r="B346" s="14" t="s">
        <v>483</v>
      </c>
      <c r="C346" s="14" t="str">
        <f aca="false" t="array" ref="C346:C346">IF(B346="","",IFERROR(INDEX('CLM &amp; IM Mapping'!$B$2:$B$270,MATCH(TRIM(B346),'CLM &amp; IM Mapping'!$A$2:$A$270,0)),"Not Mapped"))</f>
        <v>Sundaresh S</v>
      </c>
      <c r="D346" s="14" t="str">
        <f aca="false" t="array" ref="D346:D346">IF(B346="","",IFERROR(INDEX('CLM &amp; IM Mapping'!$C$2:$C$270,MATCH(TRIM(B346),'CLM &amp; IM Mapping'!$A$2:$A$270,0)),"Not Mapped"))</f>
        <v>Un Mapped</v>
      </c>
      <c r="E346" s="14"/>
      <c r="F346" s="14"/>
      <c r="G346" s="14"/>
      <c r="H346" s="14" t="n">
        <v>5</v>
      </c>
      <c r="I346" s="14" t="n">
        <v>0</v>
      </c>
      <c r="J346" s="14" t="n">
        <v>5</v>
      </c>
      <c r="K346" s="14" t="n">
        <v>5</v>
      </c>
      <c r="L346" s="12"/>
      <c r="M346" s="12"/>
      <c r="N346" s="23"/>
      <c r="O346" s="23"/>
      <c r="P346" s="23"/>
      <c r="Q346" s="23"/>
      <c r="R346" s="23"/>
      <c r="S346" s="23"/>
      <c r="T346" s="23"/>
      <c r="U346" s="23"/>
      <c r="V346" s="23"/>
      <c r="W346" s="23"/>
      <c r="X346" s="23"/>
      <c r="Y346" s="23"/>
      <c r="Z346" s="23"/>
    </row>
    <row r="347" customFormat="false" ht="15.75" hidden="false" customHeight="true" outlineLevel="0" collapsed="false">
      <c r="A347" s="52" t="n">
        <v>46305</v>
      </c>
      <c r="B347" s="14" t="s">
        <v>365</v>
      </c>
      <c r="C347" s="14" t="str">
        <f aca="false" t="array" ref="C347:C347">IF(B347="","",IFERROR(INDEX('CLM &amp; IM Mapping'!$B$2:$B$270,MATCH(TRIM(B347),'CLM &amp; IM Mapping'!$A$2:$A$270,0)),"Not Mapped"))</f>
        <v>Raghavendra Vernekar</v>
      </c>
      <c r="D347" s="14" t="str">
        <f aca="false" t="array" ref="D347:D347">IF(B347="","",IFERROR(INDEX('CLM &amp; IM Mapping'!$C$2:$C$270,MATCH(TRIM(B347),'CLM &amp; IM Mapping'!$A$2:$A$270,0)),"Not Mapped"))</f>
        <v>Prakash BS</v>
      </c>
      <c r="E347" s="14"/>
      <c r="F347" s="14"/>
      <c r="G347" s="14"/>
      <c r="H347" s="14" t="n">
        <v>4</v>
      </c>
      <c r="I347" s="14" t="n">
        <v>4</v>
      </c>
      <c r="J347" s="14" t="n">
        <v>0</v>
      </c>
      <c r="K347" s="14" t="n">
        <v>4</v>
      </c>
      <c r="L347" s="12"/>
      <c r="M347" s="12"/>
      <c r="N347" s="23"/>
      <c r="O347" s="23"/>
      <c r="P347" s="23"/>
      <c r="Q347" s="23"/>
      <c r="R347" s="23"/>
      <c r="S347" s="23"/>
      <c r="T347" s="23"/>
      <c r="U347" s="23"/>
      <c r="V347" s="23"/>
      <c r="W347" s="23"/>
      <c r="X347" s="23"/>
      <c r="Y347" s="23"/>
      <c r="Z347" s="23"/>
    </row>
    <row r="348" customFormat="false" ht="15.75" hidden="false" customHeight="true" outlineLevel="0" collapsed="false">
      <c r="A348" s="52" t="n">
        <v>46305</v>
      </c>
      <c r="B348" s="14" t="s">
        <v>70</v>
      </c>
      <c r="C348" s="14" t="str">
        <f aca="false" t="array" ref="C348:C348">IF(B348="","",IFERROR(INDEX('CLM &amp; IM Mapping'!$B$2:$B$270,MATCH(TRIM(B348),'CLM &amp; IM Mapping'!$A$2:$A$270,0)),"Not Mapped"))</f>
        <v>Rizwan Ahmed</v>
      </c>
      <c r="D348" s="14" t="str">
        <f aca="false" t="array" ref="D348:D348">IF(B348="","",IFERROR(INDEX('CLM &amp; IM Mapping'!$C$2:$C$270,MATCH(TRIM(B348),'CLM &amp; IM Mapping'!$A$2:$A$270,0)),"Not Mapped"))</f>
        <v>Un Mapped</v>
      </c>
      <c r="E348" s="14"/>
      <c r="F348" s="14"/>
      <c r="G348" s="14"/>
      <c r="H348" s="14" t="n">
        <v>4</v>
      </c>
      <c r="I348" s="14" t="n">
        <v>4</v>
      </c>
      <c r="J348" s="14" t="n">
        <v>0</v>
      </c>
      <c r="K348" s="14" t="n">
        <v>4</v>
      </c>
      <c r="L348" s="12"/>
      <c r="M348" s="12"/>
      <c r="N348" s="23"/>
      <c r="O348" s="23"/>
      <c r="P348" s="23"/>
      <c r="Q348" s="23"/>
      <c r="R348" s="23"/>
      <c r="S348" s="23"/>
      <c r="T348" s="23"/>
      <c r="U348" s="23"/>
      <c r="V348" s="23"/>
      <c r="W348" s="23"/>
      <c r="X348" s="23"/>
      <c r="Y348" s="23"/>
      <c r="Z348" s="23"/>
    </row>
    <row r="349" customFormat="false" ht="15.75" hidden="false" customHeight="true" outlineLevel="0" collapsed="false">
      <c r="A349" s="52" t="n">
        <v>46305</v>
      </c>
      <c r="B349" s="14" t="s">
        <v>118</v>
      </c>
      <c r="C349" s="14" t="str">
        <f aca="false" t="array" ref="C349:C349">IF(B349="","",IFERROR(INDEX('CLM &amp; IM Mapping'!$B$2:$B$270,MATCH(TRIM(B349),'CLM &amp; IM Mapping'!$A$2:$A$270,0)),"Not Mapped"))</f>
        <v>Adhavan Subramani</v>
      </c>
      <c r="D349" s="14" t="str">
        <f aca="false" t="array" ref="D349:D349">IF(B349="","",IFERROR(INDEX('CLM &amp; IM Mapping'!$C$2:$C$270,MATCH(TRIM(B349),'CLM &amp; IM Mapping'!$A$2:$A$270,0)),"Not Mapped"))</f>
        <v>Mohammed Akbar</v>
      </c>
      <c r="E349" s="14"/>
      <c r="F349" s="14"/>
      <c r="G349" s="14"/>
      <c r="H349" s="14" t="n">
        <v>4</v>
      </c>
      <c r="I349" s="14" t="n">
        <v>0</v>
      </c>
      <c r="J349" s="14" t="n">
        <v>4</v>
      </c>
      <c r="K349" s="14" t="n">
        <v>4</v>
      </c>
      <c r="L349" s="12"/>
      <c r="M349" s="12"/>
      <c r="N349" s="23"/>
      <c r="O349" s="23"/>
      <c r="P349" s="23"/>
      <c r="Q349" s="23"/>
      <c r="R349" s="23"/>
      <c r="S349" s="23"/>
      <c r="T349" s="23"/>
      <c r="U349" s="23"/>
      <c r="V349" s="23"/>
      <c r="W349" s="23"/>
      <c r="X349" s="23"/>
      <c r="Y349" s="23"/>
      <c r="Z349" s="23"/>
    </row>
    <row r="350" customFormat="false" ht="15.75" hidden="false" customHeight="true" outlineLevel="0" collapsed="false">
      <c r="A350" s="52" t="n">
        <v>46305</v>
      </c>
      <c r="B350" s="14" t="s">
        <v>203</v>
      </c>
      <c r="C350" s="14" t="str">
        <f aca="false" t="array" ref="C350:C350">IF(B350="","",IFERROR(INDEX('CLM &amp; IM Mapping'!$B$2:$B$270,MATCH(TRIM(B350),'CLM &amp; IM Mapping'!$A$2:$A$270,0)),"Not Mapped"))</f>
        <v>Suhas N</v>
      </c>
      <c r="D350" s="14" t="str">
        <f aca="false" t="array" ref="D350:D350">IF(B350="","",IFERROR(INDEX('CLM &amp; IM Mapping'!$C$2:$C$270,MATCH(TRIM(B350),'CLM &amp; IM Mapping'!$A$2:$A$270,0)),"Not Mapped"))</f>
        <v>Aravind S</v>
      </c>
      <c r="E350" s="14"/>
      <c r="F350" s="14"/>
      <c r="G350" s="14"/>
      <c r="H350" s="14" t="n">
        <v>3</v>
      </c>
      <c r="I350" s="14" t="n">
        <v>3</v>
      </c>
      <c r="J350" s="14" t="n">
        <v>0</v>
      </c>
      <c r="K350" s="14" t="n">
        <v>3</v>
      </c>
      <c r="L350" s="12"/>
      <c r="M350" s="12"/>
      <c r="N350" s="23"/>
      <c r="O350" s="23"/>
      <c r="P350" s="23"/>
      <c r="Q350" s="23"/>
      <c r="R350" s="23"/>
      <c r="S350" s="23"/>
      <c r="T350" s="23"/>
      <c r="U350" s="23"/>
      <c r="V350" s="23"/>
      <c r="W350" s="23"/>
      <c r="X350" s="23"/>
      <c r="Y350" s="23"/>
      <c r="Z350" s="23"/>
    </row>
    <row r="351" customFormat="false" ht="15.75" hidden="false" customHeight="true" outlineLevel="0" collapsed="false">
      <c r="A351" s="52" t="n">
        <v>46305</v>
      </c>
      <c r="B351" s="14" t="s">
        <v>238</v>
      </c>
      <c r="C351" s="14" t="str">
        <f aca="false" t="array" ref="C351:C351">IF(B351="","",IFERROR(INDEX('CLM &amp; IM Mapping'!$B$2:$B$270,MATCH(TRIM(B351),'CLM &amp; IM Mapping'!$A$2:$A$270,0)),"Not Mapped"))</f>
        <v>Suhas N</v>
      </c>
      <c r="D351" s="14" t="str">
        <f aca="false" t="array" ref="D351:D351">IF(B351="","",IFERROR(INDEX('CLM &amp; IM Mapping'!$C$2:$C$270,MATCH(TRIM(B351),'CLM &amp; IM Mapping'!$A$2:$A$270,0)),"Not Mapped"))</f>
        <v>Aravind S</v>
      </c>
      <c r="E351" s="14"/>
      <c r="F351" s="14"/>
      <c r="G351" s="14"/>
      <c r="H351" s="14" t="n">
        <v>3</v>
      </c>
      <c r="I351" s="14" t="n">
        <v>0</v>
      </c>
      <c r="J351" s="14" t="n">
        <v>3</v>
      </c>
      <c r="K351" s="14" t="n">
        <v>3</v>
      </c>
      <c r="L351" s="12"/>
      <c r="M351" s="12"/>
      <c r="N351" s="23"/>
      <c r="O351" s="23"/>
      <c r="P351" s="23"/>
      <c r="Q351" s="23"/>
      <c r="R351" s="23"/>
      <c r="S351" s="23"/>
      <c r="T351" s="23"/>
      <c r="U351" s="23"/>
      <c r="V351" s="23"/>
      <c r="W351" s="23"/>
      <c r="X351" s="23"/>
      <c r="Y351" s="23"/>
      <c r="Z351" s="23"/>
    </row>
    <row r="352" customFormat="false" ht="15.75" hidden="false" customHeight="true" outlineLevel="0" collapsed="false">
      <c r="A352" s="52" t="n">
        <v>46305</v>
      </c>
      <c r="B352" s="14" t="s">
        <v>369</v>
      </c>
      <c r="C352" s="14" t="str">
        <f aca="false" t="array" ref="C352:C352">IF(B352="","",IFERROR(INDEX('CLM &amp; IM Mapping'!$B$2:$B$270,MATCH(TRIM(B352),'CLM &amp; IM Mapping'!$A$2:$A$270,0)),"Not Mapped"))</f>
        <v>Not Mapped</v>
      </c>
      <c r="D352" s="14" t="str">
        <f aca="false" t="array" ref="D352:D352">IF(B352="","",IFERROR(INDEX('CLM &amp; IM Mapping'!$C$2:$C$270,MATCH(TRIM(B352),'CLM &amp; IM Mapping'!$A$2:$A$270,0)),"Not Mapped"))</f>
        <v>Not Mapped</v>
      </c>
      <c r="E352" s="14"/>
      <c r="F352" s="14"/>
      <c r="G352" s="14"/>
      <c r="H352" s="14" t="n">
        <v>3</v>
      </c>
      <c r="I352" s="14" t="n">
        <v>3</v>
      </c>
      <c r="J352" s="14" t="n">
        <v>0</v>
      </c>
      <c r="K352" s="14" t="n">
        <v>3</v>
      </c>
      <c r="L352" s="12"/>
      <c r="M352" s="12"/>
      <c r="N352" s="23"/>
      <c r="O352" s="23"/>
      <c r="P352" s="23"/>
      <c r="Q352" s="23"/>
      <c r="R352" s="23"/>
      <c r="S352" s="23"/>
      <c r="T352" s="23"/>
      <c r="U352" s="23"/>
      <c r="V352" s="23"/>
      <c r="W352" s="23"/>
      <c r="X352" s="23"/>
      <c r="Y352" s="23"/>
      <c r="Z352" s="23"/>
    </row>
    <row r="353" customFormat="false" ht="15.75" hidden="false" customHeight="true" outlineLevel="0" collapsed="false">
      <c r="A353" s="52" t="n">
        <v>46305</v>
      </c>
      <c r="B353" s="14" t="s">
        <v>139</v>
      </c>
      <c r="C353" s="14" t="str">
        <f aca="false" t="array" ref="C353:C353">IF(B353="","",IFERROR(INDEX('CLM &amp; IM Mapping'!$B$2:$B$270,MATCH(TRIM(B353),'CLM &amp; IM Mapping'!$A$2:$A$270,0)),"Not Mapped"))</f>
        <v>Mohaideen DH</v>
      </c>
      <c r="D353" s="14" t="str">
        <f aca="false" t="array" ref="D353:D353">IF(B353="","",IFERROR(INDEX('CLM &amp; IM Mapping'!$C$2:$C$270,MATCH(TRIM(B353),'CLM &amp; IM Mapping'!$A$2:$A$270,0)),"Not Mapped"))</f>
        <v>Mohammed Akbar</v>
      </c>
      <c r="E353" s="14"/>
      <c r="F353" s="14"/>
      <c r="G353" s="14"/>
      <c r="H353" s="14" t="n">
        <v>3</v>
      </c>
      <c r="I353" s="14" t="n">
        <v>3</v>
      </c>
      <c r="J353" s="14" t="n">
        <v>0</v>
      </c>
      <c r="K353" s="14" t="n">
        <v>3</v>
      </c>
      <c r="L353" s="12"/>
      <c r="M353" s="12"/>
      <c r="N353" s="23"/>
      <c r="O353" s="23"/>
      <c r="P353" s="23"/>
      <c r="Q353" s="23"/>
      <c r="R353" s="23"/>
      <c r="S353" s="23"/>
      <c r="T353" s="23"/>
      <c r="U353" s="23"/>
      <c r="V353" s="23"/>
      <c r="W353" s="23"/>
      <c r="X353" s="23"/>
      <c r="Y353" s="23"/>
      <c r="Z353" s="23"/>
    </row>
    <row r="354" customFormat="false" ht="15.75" hidden="false" customHeight="true" outlineLevel="0" collapsed="false">
      <c r="A354" s="52" t="n">
        <v>46305</v>
      </c>
      <c r="B354" s="14" t="s">
        <v>287</v>
      </c>
      <c r="C354" s="14" t="str">
        <f aca="false" t="array" ref="C354:C354">IF(B354="","",IFERROR(INDEX('CLM &amp; IM Mapping'!$B$2:$B$270,MATCH(TRIM(B354),'CLM &amp; IM Mapping'!$A$2:$A$270,0)),"Not Mapped"))</f>
        <v>Sundaresh S</v>
      </c>
      <c r="D354" s="14" t="str">
        <f aca="false" t="array" ref="D354:D354">IF(B354="","",IFERROR(INDEX('CLM &amp; IM Mapping'!$C$2:$C$270,MATCH(TRIM(B354),'CLM &amp; IM Mapping'!$A$2:$A$270,0)),"Not Mapped"))</f>
        <v>Un Mapped</v>
      </c>
      <c r="E354" s="14"/>
      <c r="F354" s="14"/>
      <c r="G354" s="14"/>
      <c r="H354" s="14" t="n">
        <v>2</v>
      </c>
      <c r="I354" s="14" t="n">
        <v>2</v>
      </c>
      <c r="J354" s="14" t="n">
        <v>0</v>
      </c>
      <c r="K354" s="14" t="n">
        <v>2</v>
      </c>
      <c r="L354" s="12"/>
      <c r="M354" s="12"/>
      <c r="N354" s="23"/>
      <c r="O354" s="23"/>
      <c r="P354" s="23"/>
      <c r="Q354" s="23"/>
      <c r="R354" s="23"/>
      <c r="S354" s="23"/>
      <c r="T354" s="23"/>
      <c r="U354" s="23"/>
      <c r="V354" s="23"/>
      <c r="W354" s="23"/>
      <c r="X354" s="23"/>
      <c r="Y354" s="23"/>
      <c r="Z354" s="23"/>
    </row>
    <row r="355" customFormat="false" ht="15.75" hidden="false" customHeight="true" outlineLevel="0" collapsed="false">
      <c r="A355" s="52" t="n">
        <v>46305</v>
      </c>
      <c r="B355" s="14" t="s">
        <v>455</v>
      </c>
      <c r="C355" s="14" t="str">
        <f aca="false" t="array" ref="C355:C355">IF(B355="","",IFERROR(INDEX('CLM &amp; IM Mapping'!$B$2:$B$270,MATCH(TRIM(B355),'CLM &amp; IM Mapping'!$A$2:$A$270,0)),"Not Mapped"))</f>
        <v>Rizwan Ahmed</v>
      </c>
      <c r="D355" s="14" t="str">
        <f aca="false" t="array" ref="D355:D355">IF(B355="","",IFERROR(INDEX('CLM &amp; IM Mapping'!$C$2:$C$270,MATCH(TRIM(B355),'CLM &amp; IM Mapping'!$A$2:$A$270,0)),"Not Mapped"))</f>
        <v>Un Mapped</v>
      </c>
      <c r="E355" s="14"/>
      <c r="F355" s="14"/>
      <c r="G355" s="14"/>
      <c r="H355" s="14" t="n">
        <v>2</v>
      </c>
      <c r="I355" s="14" t="n">
        <v>0</v>
      </c>
      <c r="J355" s="14" t="n">
        <v>2</v>
      </c>
      <c r="K355" s="14" t="n">
        <v>2</v>
      </c>
      <c r="L355" s="12"/>
      <c r="M355" s="12"/>
      <c r="N355" s="23"/>
      <c r="O355" s="23"/>
      <c r="P355" s="23"/>
      <c r="Q355" s="23"/>
      <c r="R355" s="23"/>
      <c r="S355" s="23"/>
      <c r="T355" s="23"/>
      <c r="U355" s="23"/>
      <c r="V355" s="23"/>
      <c r="W355" s="23"/>
      <c r="X355" s="23"/>
      <c r="Y355" s="23"/>
      <c r="Z355" s="23"/>
    </row>
    <row r="356" customFormat="false" ht="15.75" hidden="false" customHeight="true" outlineLevel="0" collapsed="false">
      <c r="A356" s="52" t="n">
        <v>46305</v>
      </c>
      <c r="B356" s="14" t="s">
        <v>62</v>
      </c>
      <c r="C356" s="14" t="str">
        <f aca="false" t="array" ref="C356:C356">IF(B356="","",IFERROR(INDEX('CLM &amp; IM Mapping'!$B$2:$B$270,MATCH(TRIM(B356),'CLM &amp; IM Mapping'!$A$2:$A$270,0)),"Not Mapped"))</f>
        <v>Basil Scariya</v>
      </c>
      <c r="D356" s="14" t="str">
        <f aca="false" t="array" ref="D356:D356">IF(B356="","",IFERROR(INDEX('CLM &amp; IM Mapping'!$C$2:$C$270,MATCH(TRIM(B356),'CLM &amp; IM Mapping'!$A$2:$A$270,0)),"Not Mapped"))</f>
        <v>Prakash BS</v>
      </c>
      <c r="E356" s="14"/>
      <c r="F356" s="14"/>
      <c r="G356" s="14"/>
      <c r="H356" s="14" t="n">
        <v>2</v>
      </c>
      <c r="I356" s="14" t="n">
        <v>0</v>
      </c>
      <c r="J356" s="14" t="n">
        <v>2</v>
      </c>
      <c r="K356" s="14" t="n">
        <v>2</v>
      </c>
      <c r="L356" s="12"/>
      <c r="M356" s="12"/>
      <c r="N356" s="23"/>
      <c r="O356" s="23"/>
      <c r="P356" s="23"/>
      <c r="Q356" s="23"/>
      <c r="R356" s="23"/>
      <c r="S356" s="23"/>
      <c r="T356" s="23"/>
      <c r="U356" s="23"/>
      <c r="V356" s="23"/>
      <c r="W356" s="23"/>
      <c r="X356" s="23"/>
      <c r="Y356" s="23"/>
      <c r="Z356" s="23"/>
    </row>
    <row r="357" customFormat="false" ht="15.75" hidden="false" customHeight="true" outlineLevel="0" collapsed="false">
      <c r="A357" s="52" t="n">
        <v>46305</v>
      </c>
      <c r="B357" s="14" t="s">
        <v>379</v>
      </c>
      <c r="C357" s="14" t="str">
        <f aca="false" t="array" ref="C357:C357">IF(B357="","",IFERROR(INDEX('CLM &amp; IM Mapping'!$B$2:$B$270,MATCH(TRIM(B357),'CLM &amp; IM Mapping'!$A$2:$A$270,0)),"Not Mapped"))</f>
        <v>Richard Harris</v>
      </c>
      <c r="D357" s="14" t="str">
        <f aca="false" t="array" ref="D357:D357">IF(B357="","",IFERROR(INDEX('CLM &amp; IM Mapping'!$C$2:$C$270,MATCH(TRIM(B357),'CLM &amp; IM Mapping'!$A$2:$A$270,0)),"Not Mapped"))</f>
        <v>Kantha Kumar</v>
      </c>
      <c r="E357" s="14"/>
      <c r="F357" s="14"/>
      <c r="G357" s="14"/>
      <c r="H357" s="14" t="n">
        <v>1</v>
      </c>
      <c r="I357" s="14" t="n">
        <v>1</v>
      </c>
      <c r="J357" s="14" t="n">
        <v>0</v>
      </c>
      <c r="K357" s="14" t="n">
        <v>1</v>
      </c>
      <c r="L357" s="12"/>
      <c r="M357" s="12"/>
      <c r="N357" s="23"/>
      <c r="O357" s="23"/>
      <c r="P357" s="23"/>
      <c r="Q357" s="23"/>
      <c r="R357" s="23"/>
      <c r="S357" s="23"/>
      <c r="T357" s="23"/>
      <c r="U357" s="23"/>
      <c r="V357" s="23"/>
      <c r="W357" s="23"/>
      <c r="X357" s="23"/>
      <c r="Y357" s="23"/>
      <c r="Z357" s="23"/>
    </row>
    <row r="358" customFormat="false" ht="15.75" hidden="false" customHeight="true" outlineLevel="0" collapsed="false">
      <c r="A358" s="52" t="n">
        <v>46305</v>
      </c>
      <c r="B358" s="14" t="s">
        <v>41</v>
      </c>
      <c r="C358" s="14" t="str">
        <f aca="false" t="array" ref="C358:C358">IF(B358="","",IFERROR(INDEX('CLM &amp; IM Mapping'!$B$2:$B$270,MATCH(TRIM(B358),'CLM &amp; IM Mapping'!$A$2:$A$270,0)),"Not Mapped"))</f>
        <v>Rizwan Ahmed</v>
      </c>
      <c r="D358" s="14" t="str">
        <f aca="false" t="array" ref="D358:D358">IF(B358="","",IFERROR(INDEX('CLM &amp; IM Mapping'!$C$2:$C$270,MATCH(TRIM(B358),'CLM &amp; IM Mapping'!$A$2:$A$270,0)),"Not Mapped"))</f>
        <v>Un Mapped</v>
      </c>
      <c r="E358" s="14"/>
      <c r="F358" s="14"/>
      <c r="G358" s="14"/>
      <c r="H358" s="14" t="n">
        <v>1</v>
      </c>
      <c r="I358" s="14" t="n">
        <v>1</v>
      </c>
      <c r="J358" s="14" t="n">
        <v>0</v>
      </c>
      <c r="K358" s="14" t="n">
        <v>1</v>
      </c>
      <c r="L358" s="12"/>
      <c r="M358" s="12"/>
      <c r="N358" s="23"/>
      <c r="O358" s="23"/>
      <c r="P358" s="23"/>
      <c r="Q358" s="23"/>
      <c r="R358" s="23"/>
      <c r="S358" s="23"/>
      <c r="T358" s="23"/>
      <c r="U358" s="23"/>
      <c r="V358" s="23"/>
      <c r="W358" s="23"/>
      <c r="X358" s="23"/>
      <c r="Y358" s="23"/>
      <c r="Z358" s="23"/>
    </row>
    <row r="359" customFormat="false" ht="15.75" hidden="false" customHeight="true" outlineLevel="0" collapsed="false">
      <c r="A359" s="52" t="n">
        <v>46305</v>
      </c>
      <c r="B359" s="14" t="s">
        <v>381</v>
      </c>
      <c r="C359" s="14" t="str">
        <f aca="false" t="array" ref="C359:C359">IF(B359="","",IFERROR(INDEX('CLM &amp; IM Mapping'!$B$2:$B$270,MATCH(TRIM(B359),'CLM &amp; IM Mapping'!$A$2:$A$270,0)),"Not Mapped"))</f>
        <v>Balaji G</v>
      </c>
      <c r="D359" s="14" t="str">
        <f aca="false" t="array" ref="D359:D359">IF(B359="","",IFERROR(INDEX('CLM &amp; IM Mapping'!$C$2:$C$270,MATCH(TRIM(B359),'CLM &amp; IM Mapping'!$A$2:$A$270,0)),"Not Mapped"))</f>
        <v>Mohammed Akbar</v>
      </c>
      <c r="E359" s="14"/>
      <c r="F359" s="14"/>
      <c r="G359" s="14" t="n">
        <v>1</v>
      </c>
      <c r="H359" s="14"/>
      <c r="I359" s="14" t="n">
        <v>1</v>
      </c>
      <c r="J359" s="14" t="n">
        <v>0</v>
      </c>
      <c r="K359" s="14" t="n">
        <v>1</v>
      </c>
      <c r="L359" s="12"/>
      <c r="M359" s="12"/>
      <c r="N359" s="23"/>
      <c r="O359" s="23"/>
      <c r="P359" s="23"/>
      <c r="Q359" s="23"/>
      <c r="R359" s="23"/>
      <c r="S359" s="23"/>
      <c r="T359" s="23"/>
      <c r="U359" s="23"/>
      <c r="V359" s="23"/>
      <c r="W359" s="23"/>
      <c r="X359" s="23"/>
      <c r="Y359" s="23"/>
      <c r="Z359" s="23"/>
    </row>
    <row r="360" customFormat="false" ht="15.75" hidden="false" customHeight="true" outlineLevel="0" collapsed="false">
      <c r="A360" s="52" t="n">
        <v>46305</v>
      </c>
      <c r="B360" s="14" t="s">
        <v>403</v>
      </c>
      <c r="C360" s="14" t="str">
        <f aca="false" t="array" ref="C360:C360">IF(B360="","",IFERROR(INDEX('CLM &amp; IM Mapping'!$B$2:$B$270,MATCH(TRIM(B360),'CLM &amp; IM Mapping'!$A$2:$A$270,0)),"Not Mapped"))</f>
        <v>Narasimhamurthy R</v>
      </c>
      <c r="D360" s="14" t="str">
        <f aca="false" t="array" ref="D360:D360">IF(B360="","",IFERROR(INDEX('CLM &amp; IM Mapping'!$C$2:$C$270,MATCH(TRIM(B360),'CLM &amp; IM Mapping'!$A$2:$A$270,0)),"Not Mapped"))</f>
        <v>Kishor K</v>
      </c>
      <c r="E360" s="14"/>
      <c r="F360" s="14"/>
      <c r="G360" s="14"/>
      <c r="H360" s="14" t="n">
        <v>1</v>
      </c>
      <c r="I360" s="14" t="n">
        <v>0</v>
      </c>
      <c r="J360" s="14" t="n">
        <v>1</v>
      </c>
      <c r="K360" s="14" t="n">
        <v>1</v>
      </c>
      <c r="L360" s="12"/>
      <c r="M360" s="12"/>
      <c r="N360" s="23"/>
      <c r="O360" s="23"/>
      <c r="P360" s="23"/>
      <c r="Q360" s="23"/>
      <c r="R360" s="23"/>
      <c r="S360" s="23"/>
      <c r="T360" s="23"/>
      <c r="U360" s="23"/>
      <c r="V360" s="23"/>
      <c r="W360" s="23"/>
      <c r="X360" s="23"/>
      <c r="Y360" s="23"/>
      <c r="Z360" s="23"/>
    </row>
    <row r="361" customFormat="false" ht="15.75" hidden="false" customHeight="true" outlineLevel="0" collapsed="false">
      <c r="A361" s="52" t="n">
        <v>46305</v>
      </c>
      <c r="B361" s="14" t="s">
        <v>226</v>
      </c>
      <c r="C361" s="14" t="str">
        <f aca="false" t="array" ref="C361:C361">IF(B361="","",IFERROR(INDEX('CLM &amp; IM Mapping'!$B$2:$B$270,MATCH(TRIM(B361),'CLM &amp; IM Mapping'!$A$2:$A$270,0)),"Not Mapped"))</f>
        <v>Manoj Kj</v>
      </c>
      <c r="D361" s="14" t="str">
        <f aca="false" t="array" ref="D361:D361">IF(B361="","",IFERROR(INDEX('CLM &amp; IM Mapping'!$C$2:$C$270,MATCH(TRIM(B361),'CLM &amp; IM Mapping'!$A$2:$A$270,0)),"Not Mapped"))</f>
        <v>Srittam Dhal</v>
      </c>
      <c r="E361" s="14"/>
      <c r="F361" s="14"/>
      <c r="G361" s="14"/>
      <c r="H361" s="14" t="n">
        <v>1</v>
      </c>
      <c r="I361" s="14" t="n">
        <v>1</v>
      </c>
      <c r="J361" s="14" t="n">
        <v>0</v>
      </c>
      <c r="K361" s="14" t="n">
        <v>1</v>
      </c>
      <c r="L361" s="12"/>
      <c r="M361" s="12"/>
      <c r="N361" s="23"/>
      <c r="O361" s="23"/>
      <c r="P361" s="23"/>
      <c r="Q361" s="23"/>
      <c r="R361" s="23"/>
      <c r="S361" s="23"/>
      <c r="T361" s="23"/>
      <c r="U361" s="23"/>
      <c r="V361" s="23"/>
      <c r="W361" s="23"/>
      <c r="X361" s="23"/>
      <c r="Y361" s="23"/>
      <c r="Z361" s="23"/>
    </row>
    <row r="362" customFormat="false" ht="15.75" hidden="false" customHeight="true" outlineLevel="0" collapsed="false">
      <c r="A362" s="52" t="n">
        <v>46305</v>
      </c>
      <c r="B362" s="14" t="s">
        <v>497</v>
      </c>
      <c r="C362" s="14" t="str">
        <f aca="false" t="array" ref="C362:C362">IF(B362="","",IFERROR(INDEX('CLM &amp; IM Mapping'!$B$2:$B$270,MATCH(TRIM(B362),'CLM &amp; IM Mapping'!$A$2:$A$270,0)),"Not Mapped"))</f>
        <v>Narasimhamurthy R</v>
      </c>
      <c r="D362" s="14" t="str">
        <f aca="false" t="array" ref="D362:D362">IF(B362="","",IFERROR(INDEX('CLM &amp; IM Mapping'!$C$2:$C$270,MATCH(TRIM(B362),'CLM &amp; IM Mapping'!$A$2:$A$270,0)),"Not Mapped"))</f>
        <v>Kishor K</v>
      </c>
      <c r="E362" s="14"/>
      <c r="F362" s="14"/>
      <c r="G362" s="14" t="n">
        <v>1</v>
      </c>
      <c r="H362" s="14"/>
      <c r="I362" s="14" t="n">
        <v>0</v>
      </c>
      <c r="J362" s="14" t="n">
        <v>1</v>
      </c>
      <c r="K362" s="14" t="n">
        <v>1</v>
      </c>
      <c r="L362" s="12"/>
      <c r="M362" s="12"/>
      <c r="N362" s="23"/>
      <c r="O362" s="23"/>
      <c r="P362" s="23"/>
      <c r="Q362" s="23"/>
      <c r="R362" s="23"/>
      <c r="S362" s="23"/>
      <c r="T362" s="23"/>
      <c r="U362" s="23"/>
      <c r="V362" s="23"/>
      <c r="W362" s="23"/>
      <c r="X362" s="23"/>
      <c r="Y362" s="23"/>
      <c r="Z362" s="23"/>
    </row>
    <row r="363" customFormat="false" ht="15.75" hidden="false" customHeight="true" outlineLevel="0" collapsed="false">
      <c r="A363" s="52" t="n">
        <v>46305</v>
      </c>
      <c r="B363" s="14" t="s">
        <v>103</v>
      </c>
      <c r="C363" s="14" t="str">
        <f aca="false" t="array" ref="C363:C363">IF(B363="","",IFERROR(INDEX('CLM &amp; IM Mapping'!$B$2:$B$270,MATCH(TRIM(B363),'CLM &amp; IM Mapping'!$A$2:$A$270,0)),"Not Mapped"))</f>
        <v>Girish N</v>
      </c>
      <c r="D363" s="14" t="str">
        <f aca="false" t="array" ref="D363:D363">IF(B363="","",IFERROR(INDEX('CLM &amp; IM Mapping'!$C$2:$C$270,MATCH(TRIM(B363),'CLM &amp; IM Mapping'!$A$2:$A$270,0)),"Not Mapped"))</f>
        <v>Un Mapped</v>
      </c>
      <c r="E363" s="14"/>
      <c r="F363" s="14"/>
      <c r="G363" s="14"/>
      <c r="H363" s="14" t="n">
        <v>1</v>
      </c>
      <c r="I363" s="14" t="n">
        <v>1</v>
      </c>
      <c r="J363" s="14" t="n">
        <v>0</v>
      </c>
      <c r="K363" s="14" t="n">
        <v>1</v>
      </c>
      <c r="L363" s="12"/>
      <c r="M363" s="12"/>
      <c r="N363" s="23"/>
      <c r="O363" s="23"/>
      <c r="P363" s="23"/>
      <c r="Q363" s="23"/>
      <c r="R363" s="23"/>
      <c r="S363" s="23"/>
      <c r="T363" s="23"/>
      <c r="U363" s="23"/>
      <c r="V363" s="23"/>
      <c r="W363" s="23"/>
      <c r="X363" s="23"/>
      <c r="Y363" s="23"/>
      <c r="Z363" s="23"/>
    </row>
    <row r="364" customFormat="false" ht="15.75" hidden="false" customHeight="true" outlineLevel="0" collapsed="false">
      <c r="A364" s="52" t="n">
        <v>46305</v>
      </c>
      <c r="B364" s="14" t="s">
        <v>461</v>
      </c>
      <c r="C364" s="14" t="str">
        <f aca="false" t="array" ref="C364:C364">IF(B364="","",IFERROR(INDEX('CLM &amp; IM Mapping'!$B$2:$B$270,MATCH(TRIM(B364),'CLM &amp; IM Mapping'!$A$2:$A$270,0)),"Not Mapped"))</f>
        <v>Arun Raj</v>
      </c>
      <c r="D364" s="14" t="str">
        <f aca="false" t="array" ref="D364:D364">IF(B364="","",IFERROR(INDEX('CLM &amp; IM Mapping'!$C$2:$C$270,MATCH(TRIM(B364),'CLM &amp; IM Mapping'!$A$2:$A$270,0)),"Not Mapped"))</f>
        <v>Simon Manoharan</v>
      </c>
      <c r="E364" s="14"/>
      <c r="F364" s="14"/>
      <c r="G364" s="14"/>
      <c r="H364" s="14" t="n">
        <v>1</v>
      </c>
      <c r="I364" s="14" t="n">
        <v>1</v>
      </c>
      <c r="J364" s="14" t="n">
        <v>0</v>
      </c>
      <c r="K364" s="14" t="n">
        <v>1</v>
      </c>
      <c r="L364" s="12"/>
      <c r="M364" s="12"/>
      <c r="N364" s="23"/>
      <c r="O364" s="23"/>
      <c r="P364" s="23"/>
      <c r="Q364" s="23"/>
      <c r="R364" s="23"/>
      <c r="S364" s="23"/>
      <c r="T364" s="23"/>
      <c r="U364" s="23"/>
      <c r="V364" s="23"/>
      <c r="W364" s="23"/>
      <c r="X364" s="23"/>
      <c r="Y364" s="23"/>
      <c r="Z364" s="23"/>
    </row>
    <row r="365" customFormat="false" ht="15.75" hidden="false" customHeight="true" outlineLevel="0" collapsed="false">
      <c r="A365" s="52" t="n">
        <v>46305</v>
      </c>
      <c r="B365" s="14" t="s">
        <v>371</v>
      </c>
      <c r="C365" s="14" t="str">
        <f aca="false" t="array" ref="C365:C365">IF(B365="","",IFERROR(INDEX('CLM &amp; IM Mapping'!$B$2:$B$270,MATCH(TRIM(B365),'CLM &amp; IM Mapping'!$A$2:$A$270,0)),"Not Mapped"))</f>
        <v>Akshay P</v>
      </c>
      <c r="D365" s="14" t="str">
        <f aca="false" t="array" ref="D365:D365">IF(B365="","",IFERROR(INDEX('CLM &amp; IM Mapping'!$C$2:$C$270,MATCH(TRIM(B365),'CLM &amp; IM Mapping'!$A$2:$A$270,0)),"Not Mapped"))</f>
        <v>Srittam Dhal</v>
      </c>
      <c r="E365" s="14"/>
      <c r="F365" s="14"/>
      <c r="G365" s="14"/>
      <c r="H365" s="14" t="n">
        <v>1</v>
      </c>
      <c r="I365" s="14" t="n">
        <v>0</v>
      </c>
      <c r="J365" s="14" t="n">
        <v>1</v>
      </c>
      <c r="K365" s="14" t="n">
        <v>1</v>
      </c>
      <c r="L365" s="12"/>
      <c r="M365" s="12"/>
      <c r="N365" s="23"/>
      <c r="O365" s="23"/>
      <c r="P365" s="23"/>
      <c r="Q365" s="23"/>
      <c r="R365" s="23"/>
      <c r="S365" s="23"/>
      <c r="T365" s="23"/>
      <c r="U365" s="23"/>
      <c r="V365" s="23"/>
      <c r="W365" s="23"/>
      <c r="X365" s="23"/>
      <c r="Y365" s="23"/>
      <c r="Z365" s="23"/>
    </row>
    <row r="366" customFormat="false" ht="15.75" hidden="false" customHeight="true" outlineLevel="0" collapsed="false">
      <c r="A366" s="52" t="n">
        <v>46305</v>
      </c>
      <c r="B366" s="14" t="s">
        <v>24</v>
      </c>
      <c r="C366" s="14" t="str">
        <f aca="false" t="array" ref="C366:C366">IF(B366="","",IFERROR(INDEX('CLM &amp; IM Mapping'!$B$2:$B$270,MATCH(TRIM(B366),'CLM &amp; IM Mapping'!$A$2:$A$270,0)),"Not Mapped"))</f>
        <v>Arun Raj</v>
      </c>
      <c r="D366" s="14" t="str">
        <f aca="false" t="array" ref="D366:D366">IF(B366="","",IFERROR(INDEX('CLM &amp; IM Mapping'!$C$2:$C$270,MATCH(TRIM(B366),'CLM &amp; IM Mapping'!$A$2:$A$270,0)),"Not Mapped"))</f>
        <v>Simon Manoharan</v>
      </c>
      <c r="E366" s="14"/>
      <c r="F366" s="14"/>
      <c r="G366" s="14"/>
      <c r="H366" s="14" t="n">
        <v>1</v>
      </c>
      <c r="I366" s="14" t="n">
        <v>1</v>
      </c>
      <c r="J366" s="14" t="n">
        <v>0</v>
      </c>
      <c r="K366" s="14" t="n">
        <v>1</v>
      </c>
      <c r="L366" s="12"/>
      <c r="M366" s="12"/>
      <c r="N366" s="23"/>
      <c r="O366" s="23"/>
      <c r="P366" s="23"/>
      <c r="Q366" s="23"/>
      <c r="R366" s="23"/>
      <c r="S366" s="23"/>
      <c r="T366" s="23"/>
      <c r="U366" s="23"/>
      <c r="V366" s="23"/>
      <c r="W366" s="23"/>
      <c r="X366" s="23"/>
      <c r="Y366" s="23"/>
      <c r="Z366" s="23"/>
    </row>
    <row r="367" customFormat="false" ht="15.75" hidden="false" customHeight="true" outlineLevel="0" collapsed="false">
      <c r="A367" s="52" t="n">
        <v>46305</v>
      </c>
      <c r="B367" s="14" t="s">
        <v>293</v>
      </c>
      <c r="C367" s="14" t="str">
        <f aca="false" t="array" ref="C367:C367">IF(B367="","",IFERROR(INDEX('CLM &amp; IM Mapping'!$B$2:$B$270,MATCH(TRIM(B367),'CLM &amp; IM Mapping'!$A$2:$A$270,0)),"Not Mapped"))</f>
        <v>Suhas N</v>
      </c>
      <c r="D367" s="14" t="str">
        <f aca="false" t="array" ref="D367:D367">IF(B367="","",IFERROR(INDEX('CLM &amp; IM Mapping'!$C$2:$C$270,MATCH(TRIM(B367),'CLM &amp; IM Mapping'!$A$2:$A$270,0)),"Not Mapped"))</f>
        <v>Aravind S</v>
      </c>
      <c r="E367" s="14"/>
      <c r="F367" s="14"/>
      <c r="G367" s="14"/>
      <c r="H367" s="14" t="n">
        <v>1</v>
      </c>
      <c r="I367" s="14" t="n">
        <v>1</v>
      </c>
      <c r="J367" s="14" t="n">
        <v>0</v>
      </c>
      <c r="K367" s="14" t="n">
        <v>1</v>
      </c>
      <c r="L367" s="12"/>
      <c r="M367" s="12"/>
      <c r="N367" s="23"/>
      <c r="O367" s="23"/>
      <c r="P367" s="23"/>
      <c r="Q367" s="23"/>
      <c r="R367" s="23"/>
      <c r="S367" s="23"/>
      <c r="T367" s="23"/>
      <c r="U367" s="23"/>
      <c r="V367" s="23"/>
      <c r="W367" s="23"/>
      <c r="X367" s="23"/>
      <c r="Y367" s="23"/>
      <c r="Z367" s="23"/>
    </row>
    <row r="368" customFormat="false" ht="15.75" hidden="false" customHeight="true" outlineLevel="0" collapsed="false">
      <c r="A368" s="52" t="n">
        <v>46305</v>
      </c>
      <c r="B368" s="14" t="s">
        <v>370</v>
      </c>
      <c r="C368" s="14" t="str">
        <f aca="false" t="array" ref="C368:C368">IF(B368="","",IFERROR(INDEX('CLM &amp; IM Mapping'!$B$2:$B$270,MATCH(TRIM(B368),'CLM &amp; IM Mapping'!$A$2:$A$270,0)),"Not Mapped"))</f>
        <v>Not Mapped</v>
      </c>
      <c r="D368" s="14" t="str">
        <f aca="false" t="array" ref="D368:D368">IF(B368="","",IFERROR(INDEX('CLM &amp; IM Mapping'!$C$2:$C$270,MATCH(TRIM(B368),'CLM &amp; IM Mapping'!$A$2:$A$270,0)),"Not Mapped"))</f>
        <v>Not Mapped</v>
      </c>
      <c r="E368" s="14"/>
      <c r="F368" s="14"/>
      <c r="G368" s="14"/>
      <c r="H368" s="14" t="n">
        <v>1</v>
      </c>
      <c r="I368" s="14" t="n">
        <v>1</v>
      </c>
      <c r="J368" s="14" t="n">
        <v>0</v>
      </c>
      <c r="K368" s="14" t="n">
        <v>1</v>
      </c>
      <c r="L368" s="12"/>
      <c r="M368" s="12"/>
      <c r="N368" s="23"/>
      <c r="O368" s="23"/>
      <c r="P368" s="23"/>
      <c r="Q368" s="23"/>
      <c r="R368" s="23"/>
      <c r="S368" s="23"/>
      <c r="T368" s="23"/>
      <c r="U368" s="23"/>
      <c r="V368" s="23"/>
      <c r="W368" s="23"/>
      <c r="X368" s="23"/>
      <c r="Y368" s="23"/>
      <c r="Z368" s="23"/>
    </row>
    <row r="369" customFormat="false" ht="15.75" hidden="false" customHeight="true" outlineLevel="0" collapsed="false">
      <c r="A369" s="52" t="n">
        <v>46305</v>
      </c>
      <c r="B369" s="14" t="s">
        <v>290</v>
      </c>
      <c r="C369" s="14" t="str">
        <f aca="false" t="array" ref="C369:C369">IF(B369="","",IFERROR(INDEX('CLM &amp; IM Mapping'!$B$2:$B$270,MATCH(TRIM(B369),'CLM &amp; IM Mapping'!$A$2:$A$270,0)),"Not Mapped"))</f>
        <v>Akshay P</v>
      </c>
      <c r="D369" s="14" t="str">
        <f aca="false" t="array" ref="D369:D369">IF(B369="","",IFERROR(INDEX('CLM &amp; IM Mapping'!$C$2:$C$270,MATCH(TRIM(B369),'CLM &amp; IM Mapping'!$A$2:$A$270,0)),"Not Mapped"))</f>
        <v>Srittam Dhal</v>
      </c>
      <c r="E369" s="14"/>
      <c r="F369" s="14"/>
      <c r="G369" s="14"/>
      <c r="H369" s="14" t="n">
        <v>1</v>
      </c>
      <c r="I369" s="14" t="n">
        <v>1</v>
      </c>
      <c r="J369" s="14" t="n">
        <v>0</v>
      </c>
      <c r="K369" s="14" t="n">
        <v>1</v>
      </c>
      <c r="L369" s="12"/>
      <c r="M369" s="12"/>
      <c r="N369" s="23"/>
      <c r="O369" s="23"/>
      <c r="P369" s="23"/>
      <c r="Q369" s="23"/>
      <c r="R369" s="23"/>
      <c r="S369" s="23"/>
      <c r="T369" s="23"/>
      <c r="U369" s="23"/>
      <c r="V369" s="23"/>
      <c r="W369" s="23"/>
      <c r="X369" s="23"/>
      <c r="Y369" s="23"/>
      <c r="Z369" s="23"/>
    </row>
    <row r="370" customFormat="false" ht="15.75" hidden="false" customHeight="true" outlineLevel="0" collapsed="false">
      <c r="A370" s="52" t="n">
        <v>46305</v>
      </c>
      <c r="B370" s="14" t="s">
        <v>345</v>
      </c>
      <c r="C370" s="14" t="str">
        <f aca="false" t="array" ref="C370:C370">IF(B370="","",IFERROR(INDEX('CLM &amp; IM Mapping'!$B$2:$B$270,MATCH(TRIM(B370),'CLM &amp; IM Mapping'!$A$2:$A$270,0)),"Not Mapped"))</f>
        <v>John Britto</v>
      </c>
      <c r="D370" s="14" t="str">
        <f aca="false" t="array" ref="D370:D370">IF(B370="","",IFERROR(INDEX('CLM &amp; IM Mapping'!$C$2:$C$270,MATCH(TRIM(B370),'CLM &amp; IM Mapping'!$A$2:$A$270,0)),"Not Mapped"))</f>
        <v>Aravind S</v>
      </c>
      <c r="E370" s="14"/>
      <c r="F370" s="14"/>
      <c r="G370" s="14"/>
      <c r="H370" s="14" t="n">
        <v>1</v>
      </c>
      <c r="I370" s="14" t="n">
        <v>1</v>
      </c>
      <c r="J370" s="14" t="n">
        <v>0</v>
      </c>
      <c r="K370" s="14" t="n">
        <v>1</v>
      </c>
      <c r="L370" s="12"/>
      <c r="M370" s="12"/>
      <c r="N370" s="23"/>
      <c r="O370" s="23"/>
      <c r="P370" s="23"/>
      <c r="Q370" s="23"/>
      <c r="R370" s="23"/>
      <c r="S370" s="23"/>
      <c r="T370" s="23"/>
      <c r="U370" s="23"/>
      <c r="V370" s="23"/>
      <c r="W370" s="23"/>
      <c r="X370" s="23"/>
      <c r="Y370" s="23"/>
      <c r="Z370" s="23"/>
    </row>
    <row r="371" customFormat="false" ht="15.75" hidden="false" customHeight="true" outlineLevel="0" collapsed="false">
      <c r="A371" s="52" t="n">
        <v>46305</v>
      </c>
      <c r="B371" s="14" t="s">
        <v>472</v>
      </c>
      <c r="C371" s="14" t="str">
        <f aca="false" t="array" ref="C371:C371">IF(B371="","",IFERROR(INDEX('CLM &amp; IM Mapping'!$B$2:$B$270,MATCH(TRIM(B371),'CLM &amp; IM Mapping'!$A$2:$A$270,0)),"Not Mapped"))</f>
        <v>Bangareppa CS</v>
      </c>
      <c r="D371" s="14" t="str">
        <f aca="false" t="array" ref="D371:D371">IF(B371="","",IFERROR(INDEX('CLM &amp; IM Mapping'!$C$2:$C$270,MATCH(TRIM(B371),'CLM &amp; IM Mapping'!$A$2:$A$270,0)),"Not Mapped"))</f>
        <v>Kishor K</v>
      </c>
      <c r="E371" s="14"/>
      <c r="F371" s="14"/>
      <c r="G371" s="14"/>
      <c r="H371" s="14" t="n">
        <v>1</v>
      </c>
      <c r="I371" s="14" t="n">
        <v>0</v>
      </c>
      <c r="J371" s="14" t="n">
        <v>1</v>
      </c>
      <c r="K371" s="14" t="n">
        <v>1</v>
      </c>
      <c r="L371" s="12"/>
      <c r="M371" s="12"/>
      <c r="N371" s="23"/>
      <c r="O371" s="23"/>
      <c r="P371" s="23"/>
      <c r="Q371" s="23"/>
      <c r="R371" s="23"/>
      <c r="S371" s="23"/>
      <c r="T371" s="23"/>
      <c r="U371" s="23"/>
      <c r="V371" s="23"/>
      <c r="W371" s="23"/>
      <c r="X371" s="23"/>
      <c r="Y371" s="23"/>
      <c r="Z371" s="23"/>
    </row>
    <row r="372" customFormat="false" ht="15.75" hidden="false" customHeight="true" outlineLevel="0" collapsed="false">
      <c r="A372" s="52" t="n">
        <v>46305</v>
      </c>
      <c r="B372" s="14" t="s">
        <v>350</v>
      </c>
      <c r="C372" s="14" t="str">
        <f aca="false" t="array" ref="C372:C372">IF(B372="","",IFERROR(INDEX('CLM &amp; IM Mapping'!$B$2:$B$270,MATCH(TRIM(B372),'CLM &amp; IM Mapping'!$A$2:$A$270,0)),"Not Mapped"))</f>
        <v>Vishnu V</v>
      </c>
      <c r="D372" s="14" t="str">
        <f aca="false" t="array" ref="D372:D372">IF(B372="","",IFERROR(INDEX('CLM &amp; IM Mapping'!$C$2:$C$270,MATCH(TRIM(B372),'CLM &amp; IM Mapping'!$A$2:$A$270,0)),"Not Mapped"))</f>
        <v>Arivind S</v>
      </c>
      <c r="E372" s="14"/>
      <c r="F372" s="14"/>
      <c r="G372" s="14"/>
      <c r="H372" s="14" t="n">
        <v>1</v>
      </c>
      <c r="I372" s="14" t="n">
        <v>0</v>
      </c>
      <c r="J372" s="14" t="n">
        <v>1</v>
      </c>
      <c r="K372" s="14" t="n">
        <v>1</v>
      </c>
      <c r="L372" s="12"/>
      <c r="M372" s="12"/>
      <c r="N372" s="23"/>
      <c r="O372" s="23"/>
      <c r="P372" s="23"/>
      <c r="Q372" s="23"/>
      <c r="R372" s="23"/>
      <c r="S372" s="23"/>
      <c r="T372" s="23"/>
      <c r="U372" s="23"/>
      <c r="V372" s="23"/>
      <c r="W372" s="23"/>
      <c r="X372" s="23"/>
      <c r="Y372" s="23"/>
      <c r="Z372" s="23"/>
    </row>
    <row r="373" customFormat="false" ht="15.75" hidden="false" customHeight="true" outlineLevel="0" collapsed="false">
      <c r="A373" s="23"/>
      <c r="B373" s="23"/>
      <c r="C373" s="23"/>
      <c r="D373" s="23"/>
      <c r="E373" s="23"/>
      <c r="F373" s="23"/>
      <c r="G373" s="23"/>
      <c r="H373" s="23"/>
      <c r="I373" s="23"/>
      <c r="J373" s="23"/>
      <c r="K373" s="23"/>
      <c r="L373" s="59"/>
      <c r="M373" s="23"/>
      <c r="N373" s="23"/>
      <c r="O373" s="23"/>
      <c r="P373" s="23"/>
      <c r="Q373" s="23"/>
      <c r="R373" s="23"/>
      <c r="S373" s="23"/>
      <c r="T373" s="23"/>
      <c r="U373" s="23"/>
      <c r="V373" s="23"/>
      <c r="W373" s="23"/>
      <c r="X373" s="23"/>
      <c r="Y373" s="23"/>
      <c r="Z373" s="23"/>
    </row>
    <row r="374" customFormat="false" ht="15.75" hidden="false" customHeight="true" outlineLevel="0" collapsed="false">
      <c r="A374" s="23"/>
      <c r="B374" s="23"/>
      <c r="C374" s="23"/>
      <c r="D374" s="23"/>
      <c r="E374" s="23"/>
      <c r="F374" s="23"/>
      <c r="G374" s="23"/>
      <c r="H374" s="23"/>
      <c r="I374" s="23"/>
      <c r="J374" s="23"/>
      <c r="K374" s="23"/>
      <c r="L374" s="59"/>
      <c r="M374" s="23"/>
      <c r="N374" s="23"/>
      <c r="O374" s="23"/>
      <c r="P374" s="23"/>
      <c r="Q374" s="23"/>
      <c r="R374" s="23"/>
      <c r="S374" s="23"/>
      <c r="T374" s="23"/>
      <c r="U374" s="23"/>
      <c r="V374" s="23"/>
      <c r="W374" s="23"/>
      <c r="X374" s="23"/>
      <c r="Y374" s="23"/>
      <c r="Z374" s="23"/>
    </row>
    <row r="375" customFormat="false" ht="15.75" hidden="false" customHeight="true" outlineLevel="0" collapsed="false">
      <c r="A375" s="23"/>
      <c r="B375" s="23"/>
      <c r="C375" s="23"/>
      <c r="D375" s="23"/>
      <c r="E375" s="23"/>
      <c r="F375" s="23"/>
      <c r="G375" s="23"/>
      <c r="H375" s="23"/>
      <c r="I375" s="23"/>
      <c r="J375" s="23"/>
      <c r="K375" s="23"/>
      <c r="L375" s="59"/>
      <c r="M375" s="23"/>
      <c r="N375" s="23"/>
      <c r="O375" s="23"/>
      <c r="P375" s="23"/>
      <c r="Q375" s="23"/>
      <c r="R375" s="23"/>
      <c r="S375" s="23"/>
      <c r="T375" s="23"/>
      <c r="U375" s="23"/>
      <c r="V375" s="23"/>
      <c r="W375" s="23"/>
      <c r="X375" s="23"/>
      <c r="Y375" s="23"/>
      <c r="Z375" s="23"/>
    </row>
    <row r="376" customFormat="false" ht="15.75" hidden="false" customHeight="true" outlineLevel="0" collapsed="false">
      <c r="A376" s="23"/>
      <c r="B376" s="23"/>
      <c r="C376" s="23"/>
      <c r="D376" s="23"/>
      <c r="E376" s="23"/>
      <c r="F376" s="23"/>
      <c r="G376" s="23"/>
      <c r="H376" s="23"/>
      <c r="I376" s="23"/>
      <c r="J376" s="23"/>
      <c r="K376" s="23"/>
      <c r="L376" s="59"/>
      <c r="M376" s="23"/>
      <c r="N376" s="23"/>
      <c r="O376" s="23"/>
      <c r="P376" s="23"/>
      <c r="Q376" s="23"/>
      <c r="R376" s="23"/>
      <c r="S376" s="23"/>
      <c r="T376" s="23"/>
      <c r="U376" s="23"/>
      <c r="V376" s="23"/>
      <c r="W376" s="23"/>
      <c r="X376" s="23"/>
      <c r="Y376" s="23"/>
      <c r="Z376" s="23"/>
    </row>
    <row r="377" customFormat="false" ht="15.75" hidden="false" customHeight="true" outlineLevel="0" collapsed="false">
      <c r="A377" s="23"/>
      <c r="B377" s="23"/>
      <c r="C377" s="23"/>
      <c r="D377" s="23"/>
      <c r="E377" s="23"/>
      <c r="F377" s="23"/>
      <c r="G377" s="23"/>
      <c r="H377" s="23"/>
      <c r="I377" s="23"/>
      <c r="J377" s="23"/>
      <c r="K377" s="23"/>
      <c r="L377" s="59"/>
      <c r="M377" s="23"/>
      <c r="N377" s="23"/>
      <c r="O377" s="23"/>
      <c r="P377" s="23"/>
      <c r="Q377" s="23"/>
      <c r="R377" s="23"/>
      <c r="S377" s="23"/>
      <c r="T377" s="23"/>
      <c r="U377" s="23"/>
      <c r="V377" s="23"/>
      <c r="W377" s="23"/>
      <c r="X377" s="23"/>
      <c r="Y377" s="23"/>
      <c r="Z377" s="23"/>
    </row>
    <row r="378" customFormat="false" ht="15.75" hidden="false" customHeight="true" outlineLevel="0" collapsed="false">
      <c r="A378" s="23"/>
      <c r="B378" s="23"/>
      <c r="C378" s="23"/>
      <c r="D378" s="23"/>
      <c r="E378" s="23"/>
      <c r="F378" s="23"/>
      <c r="G378" s="23"/>
      <c r="H378" s="23"/>
      <c r="I378" s="23"/>
      <c r="J378" s="23"/>
      <c r="K378" s="23"/>
      <c r="L378" s="59"/>
      <c r="M378" s="23"/>
      <c r="N378" s="23"/>
      <c r="O378" s="23"/>
      <c r="P378" s="23"/>
      <c r="Q378" s="23"/>
      <c r="R378" s="23"/>
      <c r="S378" s="23"/>
      <c r="T378" s="23"/>
      <c r="U378" s="23"/>
      <c r="V378" s="23"/>
      <c r="W378" s="23"/>
      <c r="X378" s="23"/>
      <c r="Y378" s="23"/>
      <c r="Z378" s="23"/>
    </row>
    <row r="379" customFormat="false" ht="15.75" hidden="false" customHeight="true" outlineLevel="0" collapsed="false">
      <c r="A379" s="23"/>
      <c r="B379" s="23"/>
      <c r="C379" s="23"/>
      <c r="D379" s="23"/>
      <c r="E379" s="23"/>
      <c r="F379" s="23"/>
      <c r="G379" s="23"/>
      <c r="H379" s="23"/>
      <c r="I379" s="23"/>
      <c r="J379" s="23"/>
      <c r="K379" s="23"/>
      <c r="L379" s="59"/>
      <c r="M379" s="23"/>
      <c r="N379" s="23"/>
      <c r="O379" s="23"/>
      <c r="P379" s="23"/>
      <c r="Q379" s="23"/>
      <c r="R379" s="23"/>
      <c r="S379" s="23"/>
      <c r="T379" s="23"/>
      <c r="U379" s="23"/>
      <c r="V379" s="23"/>
      <c r="W379" s="23"/>
      <c r="X379" s="23"/>
      <c r="Y379" s="23"/>
      <c r="Z379" s="23"/>
    </row>
    <row r="380" customFormat="false" ht="15.75" hidden="false" customHeight="true" outlineLevel="0" collapsed="false">
      <c r="A380" s="23"/>
      <c r="B380" s="23"/>
      <c r="C380" s="23"/>
      <c r="D380" s="23"/>
      <c r="E380" s="23"/>
      <c r="F380" s="23"/>
      <c r="G380" s="23"/>
      <c r="H380" s="23"/>
      <c r="I380" s="23"/>
      <c r="J380" s="23"/>
      <c r="K380" s="23"/>
      <c r="L380" s="59"/>
      <c r="M380" s="23"/>
      <c r="N380" s="23"/>
      <c r="O380" s="23"/>
      <c r="P380" s="23"/>
      <c r="Q380" s="23"/>
      <c r="R380" s="23"/>
      <c r="S380" s="23"/>
      <c r="T380" s="23"/>
      <c r="U380" s="23"/>
      <c r="V380" s="23"/>
      <c r="W380" s="23"/>
      <c r="X380" s="23"/>
      <c r="Y380" s="23"/>
      <c r="Z380" s="23"/>
    </row>
    <row r="381" customFormat="false" ht="15.75" hidden="false" customHeight="true" outlineLevel="0" collapsed="false">
      <c r="A381" s="23"/>
      <c r="B381" s="23"/>
      <c r="C381" s="23"/>
      <c r="D381" s="23"/>
      <c r="E381" s="23"/>
      <c r="F381" s="23"/>
      <c r="G381" s="23"/>
      <c r="H381" s="23"/>
      <c r="I381" s="23"/>
      <c r="J381" s="23"/>
      <c r="K381" s="23"/>
      <c r="L381" s="59"/>
      <c r="M381" s="23"/>
      <c r="N381" s="23"/>
      <c r="O381" s="23"/>
      <c r="P381" s="23"/>
      <c r="Q381" s="23"/>
      <c r="R381" s="23"/>
      <c r="S381" s="23"/>
      <c r="T381" s="23"/>
      <c r="U381" s="23"/>
      <c r="V381" s="23"/>
      <c r="W381" s="23"/>
      <c r="X381" s="23"/>
      <c r="Y381" s="23"/>
      <c r="Z381" s="23"/>
    </row>
    <row r="382" customFormat="false" ht="15.75" hidden="false" customHeight="true" outlineLevel="0" collapsed="false">
      <c r="A382" s="23"/>
      <c r="B382" s="23"/>
      <c r="C382" s="23"/>
      <c r="D382" s="23"/>
      <c r="E382" s="23"/>
      <c r="F382" s="23"/>
      <c r="G382" s="23"/>
      <c r="H382" s="23"/>
      <c r="I382" s="23"/>
      <c r="J382" s="23"/>
      <c r="K382" s="23"/>
      <c r="L382" s="59"/>
      <c r="M382" s="23"/>
      <c r="N382" s="23"/>
      <c r="O382" s="23"/>
      <c r="P382" s="23"/>
      <c r="Q382" s="23"/>
      <c r="R382" s="23"/>
      <c r="S382" s="23"/>
      <c r="T382" s="23"/>
      <c r="U382" s="23"/>
      <c r="V382" s="23"/>
      <c r="W382" s="23"/>
      <c r="X382" s="23"/>
      <c r="Y382" s="23"/>
      <c r="Z382" s="23"/>
    </row>
    <row r="383" customFormat="false" ht="15.75" hidden="false" customHeight="true" outlineLevel="0" collapsed="false">
      <c r="A383" s="23"/>
      <c r="B383" s="23"/>
      <c r="C383" s="23"/>
      <c r="D383" s="23"/>
      <c r="E383" s="23"/>
      <c r="F383" s="23"/>
      <c r="G383" s="23"/>
      <c r="H383" s="23"/>
      <c r="I383" s="23"/>
      <c r="J383" s="23"/>
      <c r="K383" s="23"/>
      <c r="L383" s="59"/>
      <c r="M383" s="23"/>
      <c r="N383" s="23"/>
      <c r="O383" s="23"/>
      <c r="P383" s="23"/>
      <c r="Q383" s="23"/>
      <c r="R383" s="23"/>
      <c r="S383" s="23"/>
      <c r="T383" s="23"/>
      <c r="U383" s="23"/>
      <c r="V383" s="23"/>
      <c r="W383" s="23"/>
      <c r="X383" s="23"/>
      <c r="Y383" s="23"/>
      <c r="Z383" s="23"/>
    </row>
    <row r="384" customFormat="false" ht="15.75" hidden="false" customHeight="true" outlineLevel="0" collapsed="false">
      <c r="A384" s="23"/>
      <c r="B384" s="23"/>
      <c r="C384" s="23"/>
      <c r="D384" s="23"/>
      <c r="E384" s="23"/>
      <c r="F384" s="23"/>
      <c r="G384" s="23"/>
      <c r="H384" s="23"/>
      <c r="I384" s="23"/>
      <c r="J384" s="23"/>
      <c r="K384" s="23"/>
      <c r="L384" s="59"/>
      <c r="M384" s="23"/>
      <c r="N384" s="23"/>
      <c r="O384" s="23"/>
      <c r="P384" s="23"/>
      <c r="Q384" s="23"/>
      <c r="R384" s="23"/>
      <c r="S384" s="23"/>
      <c r="T384" s="23"/>
      <c r="U384" s="23"/>
      <c r="V384" s="23"/>
      <c r="W384" s="23"/>
      <c r="X384" s="23"/>
      <c r="Y384" s="23"/>
      <c r="Z384" s="23"/>
    </row>
    <row r="385" customFormat="false" ht="15.75" hidden="false" customHeight="true" outlineLevel="0" collapsed="false">
      <c r="A385" s="23"/>
      <c r="B385" s="23"/>
      <c r="C385" s="23"/>
      <c r="D385" s="23"/>
      <c r="E385" s="23"/>
      <c r="F385" s="23"/>
      <c r="G385" s="23"/>
      <c r="H385" s="23"/>
      <c r="I385" s="23"/>
      <c r="J385" s="23"/>
      <c r="K385" s="23"/>
      <c r="L385" s="59"/>
      <c r="M385" s="23"/>
      <c r="N385" s="23"/>
      <c r="O385" s="23"/>
      <c r="P385" s="23"/>
      <c r="Q385" s="23"/>
      <c r="R385" s="23"/>
      <c r="S385" s="23"/>
      <c r="T385" s="23"/>
      <c r="U385" s="23"/>
      <c r="V385" s="23"/>
      <c r="W385" s="23"/>
      <c r="X385" s="23"/>
      <c r="Y385" s="23"/>
      <c r="Z385" s="23"/>
    </row>
    <row r="386" customFormat="false" ht="15.75" hidden="false" customHeight="true" outlineLevel="0" collapsed="false">
      <c r="A386" s="23"/>
      <c r="B386" s="23"/>
      <c r="C386" s="23"/>
      <c r="D386" s="23"/>
      <c r="E386" s="23"/>
      <c r="F386" s="23"/>
      <c r="G386" s="23"/>
      <c r="H386" s="23"/>
      <c r="I386" s="23"/>
      <c r="J386" s="23"/>
      <c r="K386" s="23"/>
      <c r="L386" s="59"/>
      <c r="M386" s="23"/>
      <c r="N386" s="23"/>
      <c r="O386" s="23"/>
      <c r="P386" s="23"/>
      <c r="Q386" s="23"/>
      <c r="R386" s="23"/>
      <c r="S386" s="23"/>
      <c r="T386" s="23"/>
      <c r="U386" s="23"/>
      <c r="V386" s="23"/>
      <c r="W386" s="23"/>
      <c r="X386" s="23"/>
      <c r="Y386" s="23"/>
      <c r="Z386" s="23"/>
    </row>
    <row r="387" customFormat="false" ht="15.75" hidden="false" customHeight="true" outlineLevel="0" collapsed="false">
      <c r="A387" s="23"/>
      <c r="B387" s="23"/>
      <c r="C387" s="23"/>
      <c r="D387" s="23"/>
      <c r="E387" s="23"/>
      <c r="F387" s="23"/>
      <c r="G387" s="23"/>
      <c r="H387" s="23"/>
      <c r="I387" s="23"/>
      <c r="J387" s="23"/>
      <c r="K387" s="23"/>
      <c r="L387" s="59"/>
      <c r="M387" s="23"/>
      <c r="N387" s="23"/>
      <c r="O387" s="23"/>
      <c r="P387" s="23"/>
      <c r="Q387" s="23"/>
      <c r="R387" s="23"/>
      <c r="S387" s="23"/>
      <c r="T387" s="23"/>
      <c r="U387" s="23"/>
      <c r="V387" s="23"/>
      <c r="W387" s="23"/>
      <c r="X387" s="23"/>
      <c r="Y387" s="23"/>
      <c r="Z387" s="23"/>
    </row>
    <row r="388" customFormat="false" ht="15.75" hidden="false" customHeight="true" outlineLevel="0" collapsed="false">
      <c r="A388" s="23"/>
      <c r="B388" s="23"/>
      <c r="C388" s="23"/>
      <c r="D388" s="23"/>
      <c r="E388" s="23"/>
      <c r="F388" s="23"/>
      <c r="G388" s="23"/>
      <c r="H388" s="23"/>
      <c r="I388" s="23"/>
      <c r="J388" s="23"/>
      <c r="K388" s="23"/>
      <c r="L388" s="59"/>
      <c r="M388" s="23"/>
      <c r="N388" s="23"/>
      <c r="O388" s="23"/>
      <c r="P388" s="23"/>
      <c r="Q388" s="23"/>
      <c r="R388" s="23"/>
      <c r="S388" s="23"/>
      <c r="T388" s="23"/>
      <c r="U388" s="23"/>
      <c r="V388" s="23"/>
      <c r="W388" s="23"/>
      <c r="X388" s="23"/>
      <c r="Y388" s="23"/>
      <c r="Z388" s="23"/>
    </row>
    <row r="389" customFormat="false" ht="15.75" hidden="false" customHeight="true" outlineLevel="0" collapsed="false">
      <c r="A389" s="23"/>
      <c r="B389" s="23"/>
      <c r="C389" s="23"/>
      <c r="D389" s="23"/>
      <c r="E389" s="23"/>
      <c r="F389" s="23"/>
      <c r="G389" s="23"/>
      <c r="H389" s="23"/>
      <c r="I389" s="23"/>
      <c r="J389" s="23"/>
      <c r="K389" s="23"/>
      <c r="L389" s="59"/>
      <c r="M389" s="23"/>
      <c r="N389" s="23"/>
      <c r="O389" s="23"/>
      <c r="P389" s="23"/>
      <c r="Q389" s="23"/>
      <c r="R389" s="23"/>
      <c r="S389" s="23"/>
      <c r="T389" s="23"/>
      <c r="U389" s="23"/>
      <c r="V389" s="23"/>
      <c r="W389" s="23"/>
      <c r="X389" s="23"/>
      <c r="Y389" s="23"/>
      <c r="Z389" s="23"/>
    </row>
    <row r="390" customFormat="false" ht="15.75" hidden="false" customHeight="true" outlineLevel="0" collapsed="false">
      <c r="A390" s="23"/>
      <c r="B390" s="23"/>
      <c r="C390" s="23"/>
      <c r="D390" s="23"/>
      <c r="E390" s="23"/>
      <c r="F390" s="23"/>
      <c r="G390" s="23"/>
      <c r="H390" s="23"/>
      <c r="I390" s="23"/>
      <c r="J390" s="23"/>
      <c r="K390" s="23"/>
      <c r="L390" s="59"/>
      <c r="M390" s="23"/>
      <c r="N390" s="23"/>
      <c r="O390" s="23"/>
      <c r="P390" s="23"/>
      <c r="Q390" s="23"/>
      <c r="R390" s="23"/>
      <c r="S390" s="23"/>
      <c r="T390" s="23"/>
      <c r="U390" s="23"/>
      <c r="V390" s="23"/>
      <c r="W390" s="23"/>
      <c r="X390" s="23"/>
      <c r="Y390" s="23"/>
      <c r="Z390" s="23"/>
    </row>
    <row r="391" customFormat="false" ht="15.75" hidden="false" customHeight="true" outlineLevel="0" collapsed="false">
      <c r="A391" s="23"/>
      <c r="B391" s="23"/>
      <c r="C391" s="23"/>
      <c r="D391" s="23"/>
      <c r="E391" s="23"/>
      <c r="F391" s="23"/>
      <c r="G391" s="23"/>
      <c r="H391" s="23"/>
      <c r="I391" s="23"/>
      <c r="J391" s="23"/>
      <c r="K391" s="23"/>
      <c r="L391" s="59"/>
      <c r="M391" s="23"/>
      <c r="N391" s="23"/>
      <c r="O391" s="23"/>
      <c r="P391" s="23"/>
      <c r="Q391" s="23"/>
      <c r="R391" s="23"/>
      <c r="S391" s="23"/>
      <c r="T391" s="23"/>
      <c r="U391" s="23"/>
      <c r="V391" s="23"/>
      <c r="W391" s="23"/>
      <c r="X391" s="23"/>
      <c r="Y391" s="23"/>
      <c r="Z391" s="23"/>
    </row>
    <row r="392" customFormat="false" ht="15.75" hidden="false" customHeight="true" outlineLevel="0" collapsed="false">
      <c r="A392" s="23"/>
      <c r="B392" s="23"/>
      <c r="C392" s="23"/>
      <c r="D392" s="23"/>
      <c r="E392" s="23"/>
      <c r="F392" s="23"/>
      <c r="G392" s="23"/>
      <c r="H392" s="23"/>
      <c r="I392" s="23"/>
      <c r="J392" s="23"/>
      <c r="K392" s="23"/>
      <c r="L392" s="59"/>
      <c r="M392" s="23"/>
      <c r="N392" s="23"/>
      <c r="O392" s="23"/>
      <c r="P392" s="23"/>
      <c r="Q392" s="23"/>
      <c r="R392" s="23"/>
      <c r="S392" s="23"/>
      <c r="T392" s="23"/>
      <c r="U392" s="23"/>
      <c r="V392" s="23"/>
      <c r="W392" s="23"/>
      <c r="X392" s="23"/>
      <c r="Y392" s="23"/>
      <c r="Z392" s="23"/>
    </row>
    <row r="393" customFormat="false" ht="15.75" hidden="false" customHeight="true" outlineLevel="0" collapsed="false">
      <c r="A393" s="23"/>
      <c r="B393" s="23"/>
      <c r="C393" s="23"/>
      <c r="D393" s="23"/>
      <c r="E393" s="23"/>
      <c r="F393" s="23"/>
      <c r="G393" s="23"/>
      <c r="H393" s="23"/>
      <c r="I393" s="23"/>
      <c r="J393" s="23"/>
      <c r="K393" s="23"/>
      <c r="L393" s="59"/>
      <c r="M393" s="23"/>
      <c r="N393" s="23"/>
      <c r="O393" s="23"/>
      <c r="P393" s="23"/>
      <c r="Q393" s="23"/>
      <c r="R393" s="23"/>
      <c r="S393" s="23"/>
      <c r="T393" s="23"/>
      <c r="U393" s="23"/>
      <c r="V393" s="23"/>
      <c r="W393" s="23"/>
      <c r="X393" s="23"/>
      <c r="Y393" s="23"/>
      <c r="Z393" s="23"/>
    </row>
    <row r="394" customFormat="false" ht="15.75" hidden="false" customHeight="true" outlineLevel="0" collapsed="false">
      <c r="A394" s="23"/>
      <c r="B394" s="23"/>
      <c r="C394" s="23"/>
      <c r="D394" s="23"/>
      <c r="E394" s="23"/>
      <c r="F394" s="23"/>
      <c r="G394" s="23"/>
      <c r="H394" s="23"/>
      <c r="I394" s="23"/>
      <c r="J394" s="23"/>
      <c r="K394" s="23"/>
      <c r="L394" s="59"/>
      <c r="M394" s="23"/>
      <c r="N394" s="23"/>
      <c r="O394" s="23"/>
      <c r="P394" s="23"/>
      <c r="Q394" s="23"/>
      <c r="R394" s="23"/>
      <c r="S394" s="23"/>
      <c r="T394" s="23"/>
      <c r="U394" s="23"/>
      <c r="V394" s="23"/>
      <c r="W394" s="23"/>
      <c r="X394" s="23"/>
      <c r="Y394" s="23"/>
      <c r="Z394" s="23"/>
    </row>
    <row r="395" customFormat="false" ht="15.75" hidden="false" customHeight="true" outlineLevel="0" collapsed="false">
      <c r="A395" s="23"/>
      <c r="B395" s="23"/>
      <c r="C395" s="23"/>
      <c r="D395" s="23"/>
      <c r="E395" s="23"/>
      <c r="F395" s="23"/>
      <c r="G395" s="23"/>
      <c r="H395" s="23"/>
      <c r="I395" s="23"/>
      <c r="J395" s="23"/>
      <c r="K395" s="23"/>
      <c r="L395" s="59"/>
      <c r="M395" s="23"/>
      <c r="N395" s="23"/>
      <c r="O395" s="23"/>
      <c r="P395" s="23"/>
      <c r="Q395" s="23"/>
      <c r="R395" s="23"/>
      <c r="S395" s="23"/>
      <c r="T395" s="23"/>
      <c r="U395" s="23"/>
      <c r="V395" s="23"/>
      <c r="W395" s="23"/>
      <c r="X395" s="23"/>
      <c r="Y395" s="23"/>
      <c r="Z395" s="23"/>
    </row>
    <row r="396" customFormat="false" ht="15.75" hidden="false" customHeight="true" outlineLevel="0" collapsed="false">
      <c r="A396" s="23"/>
      <c r="B396" s="23"/>
      <c r="C396" s="23"/>
      <c r="D396" s="23"/>
      <c r="E396" s="23"/>
      <c r="F396" s="23"/>
      <c r="G396" s="23"/>
      <c r="H396" s="23"/>
      <c r="I396" s="23"/>
      <c r="J396" s="23"/>
      <c r="K396" s="23"/>
      <c r="L396" s="59"/>
      <c r="M396" s="23"/>
      <c r="N396" s="23"/>
      <c r="O396" s="23"/>
      <c r="P396" s="23"/>
      <c r="Q396" s="23"/>
      <c r="R396" s="23"/>
      <c r="S396" s="23"/>
      <c r="T396" s="23"/>
      <c r="U396" s="23"/>
      <c r="V396" s="23"/>
      <c r="W396" s="23"/>
      <c r="X396" s="23"/>
      <c r="Y396" s="23"/>
      <c r="Z396" s="23"/>
    </row>
    <row r="397" customFormat="false" ht="15.75" hidden="false" customHeight="true" outlineLevel="0" collapsed="false">
      <c r="A397" s="23"/>
      <c r="B397" s="23"/>
      <c r="C397" s="23"/>
      <c r="D397" s="23"/>
      <c r="E397" s="23"/>
      <c r="F397" s="23"/>
      <c r="G397" s="23"/>
      <c r="H397" s="23"/>
      <c r="I397" s="23"/>
      <c r="J397" s="23"/>
      <c r="K397" s="23"/>
      <c r="L397" s="59"/>
      <c r="M397" s="23"/>
      <c r="N397" s="23"/>
      <c r="O397" s="23"/>
      <c r="P397" s="23"/>
      <c r="Q397" s="23"/>
      <c r="R397" s="23"/>
      <c r="S397" s="23"/>
      <c r="T397" s="23"/>
      <c r="U397" s="23"/>
      <c r="V397" s="23"/>
      <c r="W397" s="23"/>
      <c r="X397" s="23"/>
      <c r="Y397" s="23"/>
      <c r="Z397" s="23"/>
    </row>
    <row r="398" customFormat="false" ht="15.75" hidden="false" customHeight="true" outlineLevel="0" collapsed="false">
      <c r="A398" s="23"/>
      <c r="B398" s="23"/>
      <c r="C398" s="23"/>
      <c r="D398" s="23"/>
      <c r="E398" s="23"/>
      <c r="F398" s="23"/>
      <c r="G398" s="23"/>
      <c r="H398" s="23"/>
      <c r="I398" s="23"/>
      <c r="J398" s="23"/>
      <c r="K398" s="23"/>
      <c r="L398" s="59"/>
      <c r="M398" s="23"/>
      <c r="N398" s="23"/>
      <c r="O398" s="23"/>
      <c r="P398" s="23"/>
      <c r="Q398" s="23"/>
      <c r="R398" s="23"/>
      <c r="S398" s="23"/>
      <c r="T398" s="23"/>
      <c r="U398" s="23"/>
      <c r="V398" s="23"/>
      <c r="W398" s="23"/>
      <c r="X398" s="23"/>
      <c r="Y398" s="23"/>
      <c r="Z398" s="23"/>
    </row>
    <row r="399" customFormat="false" ht="15.75" hidden="false" customHeight="true" outlineLevel="0" collapsed="false">
      <c r="A399" s="23"/>
      <c r="B399" s="23"/>
      <c r="C399" s="23"/>
      <c r="D399" s="23"/>
      <c r="E399" s="23"/>
      <c r="F399" s="23"/>
      <c r="G399" s="23"/>
      <c r="H399" s="23"/>
      <c r="I399" s="23"/>
      <c r="J399" s="23"/>
      <c r="K399" s="23"/>
      <c r="L399" s="59"/>
      <c r="M399" s="23"/>
      <c r="N399" s="23"/>
      <c r="O399" s="23"/>
      <c r="P399" s="23"/>
      <c r="Q399" s="23"/>
      <c r="R399" s="23"/>
      <c r="S399" s="23"/>
      <c r="T399" s="23"/>
      <c r="U399" s="23"/>
      <c r="V399" s="23"/>
      <c r="W399" s="23"/>
      <c r="X399" s="23"/>
      <c r="Y399" s="23"/>
      <c r="Z399" s="23"/>
    </row>
    <row r="400" customFormat="false" ht="15.75" hidden="false" customHeight="true" outlineLevel="0" collapsed="false">
      <c r="A400" s="23"/>
      <c r="B400" s="23"/>
      <c r="C400" s="23"/>
      <c r="D400" s="23"/>
      <c r="E400" s="23"/>
      <c r="F400" s="23"/>
      <c r="G400" s="23"/>
      <c r="H400" s="23"/>
      <c r="I400" s="23"/>
      <c r="J400" s="23"/>
      <c r="K400" s="23"/>
      <c r="L400" s="59"/>
      <c r="M400" s="23"/>
      <c r="N400" s="23"/>
      <c r="O400" s="23"/>
      <c r="P400" s="23"/>
      <c r="Q400" s="23"/>
      <c r="R400" s="23"/>
      <c r="S400" s="23"/>
      <c r="T400" s="23"/>
      <c r="U400" s="23"/>
      <c r="V400" s="23"/>
      <c r="W400" s="23"/>
      <c r="X400" s="23"/>
      <c r="Y400" s="23"/>
      <c r="Z400" s="23"/>
    </row>
    <row r="401" customFormat="false" ht="15.75" hidden="false" customHeight="true" outlineLevel="0" collapsed="false">
      <c r="A401" s="23"/>
      <c r="B401" s="23"/>
      <c r="C401" s="23"/>
      <c r="D401" s="23"/>
      <c r="E401" s="23"/>
      <c r="F401" s="23"/>
      <c r="G401" s="23"/>
      <c r="H401" s="23"/>
      <c r="I401" s="23"/>
      <c r="J401" s="23"/>
      <c r="K401" s="23"/>
      <c r="L401" s="59"/>
      <c r="M401" s="23"/>
      <c r="N401" s="23"/>
      <c r="O401" s="23"/>
      <c r="P401" s="23"/>
      <c r="Q401" s="23"/>
      <c r="R401" s="23"/>
      <c r="S401" s="23"/>
      <c r="T401" s="23"/>
      <c r="U401" s="23"/>
      <c r="V401" s="23"/>
      <c r="W401" s="23"/>
      <c r="X401" s="23"/>
      <c r="Y401" s="23"/>
      <c r="Z401" s="23"/>
    </row>
    <row r="402" customFormat="false" ht="15.75" hidden="false" customHeight="true" outlineLevel="0" collapsed="false">
      <c r="A402" s="23"/>
      <c r="B402" s="23"/>
      <c r="C402" s="23"/>
      <c r="D402" s="23"/>
      <c r="E402" s="23"/>
      <c r="F402" s="23"/>
      <c r="G402" s="23"/>
      <c r="H402" s="23"/>
      <c r="I402" s="23"/>
      <c r="J402" s="23"/>
      <c r="K402" s="23"/>
      <c r="L402" s="59"/>
      <c r="M402" s="23"/>
      <c r="N402" s="23"/>
      <c r="O402" s="23"/>
      <c r="P402" s="23"/>
      <c r="Q402" s="23"/>
      <c r="R402" s="23"/>
      <c r="S402" s="23"/>
      <c r="T402" s="23"/>
      <c r="U402" s="23"/>
      <c r="V402" s="23"/>
      <c r="W402" s="23"/>
      <c r="X402" s="23"/>
      <c r="Y402" s="23"/>
      <c r="Z402" s="23"/>
    </row>
    <row r="403" customFormat="false" ht="15.75" hidden="false" customHeight="true" outlineLevel="0" collapsed="false">
      <c r="A403" s="23"/>
      <c r="B403" s="23"/>
      <c r="C403" s="23"/>
      <c r="D403" s="23"/>
      <c r="E403" s="23"/>
      <c r="F403" s="23"/>
      <c r="G403" s="23"/>
      <c r="H403" s="23"/>
      <c r="I403" s="23"/>
      <c r="J403" s="23"/>
      <c r="K403" s="23"/>
      <c r="L403" s="59"/>
      <c r="M403" s="23"/>
      <c r="N403" s="23"/>
      <c r="O403" s="23"/>
      <c r="P403" s="23"/>
      <c r="Q403" s="23"/>
      <c r="R403" s="23"/>
      <c r="S403" s="23"/>
      <c r="T403" s="23"/>
      <c r="U403" s="23"/>
      <c r="V403" s="23"/>
      <c r="W403" s="23"/>
      <c r="X403" s="23"/>
      <c r="Y403" s="23"/>
      <c r="Z403" s="23"/>
    </row>
    <row r="404" customFormat="false" ht="15.75" hidden="false" customHeight="true" outlineLevel="0" collapsed="false">
      <c r="A404" s="23"/>
      <c r="B404" s="23"/>
      <c r="C404" s="23"/>
      <c r="D404" s="23"/>
      <c r="E404" s="23"/>
      <c r="F404" s="23"/>
      <c r="G404" s="23"/>
      <c r="H404" s="23"/>
      <c r="I404" s="23"/>
      <c r="J404" s="23"/>
      <c r="K404" s="23"/>
      <c r="L404" s="59"/>
      <c r="M404" s="23"/>
      <c r="N404" s="23"/>
      <c r="O404" s="23"/>
      <c r="P404" s="23"/>
      <c r="Q404" s="23"/>
      <c r="R404" s="23"/>
      <c r="S404" s="23"/>
      <c r="T404" s="23"/>
      <c r="U404" s="23"/>
      <c r="V404" s="23"/>
      <c r="W404" s="23"/>
      <c r="X404" s="23"/>
      <c r="Y404" s="23"/>
      <c r="Z404" s="23"/>
    </row>
    <row r="405" customFormat="false" ht="15.75" hidden="false" customHeight="true" outlineLevel="0" collapsed="false">
      <c r="A405" s="23"/>
      <c r="B405" s="23"/>
      <c r="C405" s="23"/>
      <c r="D405" s="23"/>
      <c r="E405" s="23"/>
      <c r="F405" s="23"/>
      <c r="G405" s="23"/>
      <c r="H405" s="23"/>
      <c r="I405" s="23"/>
      <c r="J405" s="23"/>
      <c r="K405" s="23"/>
      <c r="L405" s="59"/>
      <c r="M405" s="23"/>
      <c r="N405" s="23"/>
      <c r="O405" s="23"/>
      <c r="P405" s="23"/>
      <c r="Q405" s="23"/>
      <c r="R405" s="23"/>
      <c r="S405" s="23"/>
      <c r="T405" s="23"/>
      <c r="U405" s="23"/>
      <c r="V405" s="23"/>
      <c r="W405" s="23"/>
      <c r="X405" s="23"/>
      <c r="Y405" s="23"/>
      <c r="Z405" s="23"/>
    </row>
    <row r="406" customFormat="false" ht="15.75" hidden="false" customHeight="true" outlineLevel="0" collapsed="false">
      <c r="A406" s="23"/>
      <c r="B406" s="23"/>
      <c r="C406" s="23"/>
      <c r="D406" s="23"/>
      <c r="E406" s="23"/>
      <c r="F406" s="23"/>
      <c r="G406" s="23"/>
      <c r="H406" s="23"/>
      <c r="I406" s="23"/>
      <c r="J406" s="23"/>
      <c r="K406" s="23"/>
      <c r="L406" s="59"/>
      <c r="M406" s="23"/>
      <c r="N406" s="23"/>
      <c r="O406" s="23"/>
      <c r="P406" s="23"/>
      <c r="Q406" s="23"/>
      <c r="R406" s="23"/>
      <c r="S406" s="23"/>
      <c r="T406" s="23"/>
      <c r="U406" s="23"/>
      <c r="V406" s="23"/>
      <c r="W406" s="23"/>
      <c r="X406" s="23"/>
      <c r="Y406" s="23"/>
      <c r="Z406" s="23"/>
    </row>
    <row r="407" customFormat="false" ht="15.75" hidden="false" customHeight="true" outlineLevel="0" collapsed="false">
      <c r="A407" s="23"/>
      <c r="B407" s="23"/>
      <c r="C407" s="23"/>
      <c r="D407" s="23"/>
      <c r="E407" s="23"/>
      <c r="F407" s="23"/>
      <c r="G407" s="23"/>
      <c r="H407" s="23"/>
      <c r="I407" s="23"/>
      <c r="J407" s="23"/>
      <c r="K407" s="23"/>
      <c r="L407" s="59"/>
      <c r="M407" s="23"/>
      <c r="N407" s="23"/>
      <c r="O407" s="23"/>
      <c r="P407" s="23"/>
      <c r="Q407" s="23"/>
      <c r="R407" s="23"/>
      <c r="S407" s="23"/>
      <c r="T407" s="23"/>
      <c r="U407" s="23"/>
      <c r="V407" s="23"/>
      <c r="W407" s="23"/>
      <c r="X407" s="23"/>
      <c r="Y407" s="23"/>
      <c r="Z407" s="23"/>
    </row>
    <row r="408" customFormat="false" ht="15.75" hidden="false" customHeight="true" outlineLevel="0" collapsed="false">
      <c r="A408" s="23"/>
      <c r="B408" s="23"/>
      <c r="C408" s="23"/>
      <c r="D408" s="23"/>
      <c r="E408" s="23"/>
      <c r="F408" s="23"/>
      <c r="G408" s="23"/>
      <c r="H408" s="23"/>
      <c r="I408" s="23"/>
      <c r="J408" s="23"/>
      <c r="K408" s="23"/>
      <c r="L408" s="59"/>
      <c r="M408" s="23"/>
      <c r="N408" s="23"/>
      <c r="O408" s="23"/>
      <c r="P408" s="23"/>
      <c r="Q408" s="23"/>
      <c r="R408" s="23"/>
      <c r="S408" s="23"/>
      <c r="T408" s="23"/>
      <c r="U408" s="23"/>
      <c r="V408" s="23"/>
      <c r="W408" s="23"/>
      <c r="X408" s="23"/>
      <c r="Y408" s="23"/>
      <c r="Z408" s="23"/>
    </row>
    <row r="409" customFormat="false" ht="15.75" hidden="false" customHeight="true" outlineLevel="0" collapsed="false">
      <c r="A409" s="23"/>
      <c r="B409" s="23"/>
      <c r="C409" s="23"/>
      <c r="D409" s="23"/>
      <c r="E409" s="23"/>
      <c r="F409" s="23"/>
      <c r="G409" s="23"/>
      <c r="H409" s="23"/>
      <c r="I409" s="23"/>
      <c r="J409" s="23"/>
      <c r="K409" s="23"/>
      <c r="L409" s="59"/>
      <c r="M409" s="23"/>
      <c r="N409" s="23"/>
      <c r="O409" s="23"/>
      <c r="P409" s="23"/>
      <c r="Q409" s="23"/>
      <c r="R409" s="23"/>
      <c r="S409" s="23"/>
      <c r="T409" s="23"/>
      <c r="U409" s="23"/>
      <c r="V409" s="23"/>
      <c r="W409" s="23"/>
      <c r="X409" s="23"/>
      <c r="Y409" s="23"/>
      <c r="Z409" s="23"/>
    </row>
    <row r="410" customFormat="false" ht="15.75" hidden="false" customHeight="true" outlineLevel="0" collapsed="false">
      <c r="A410" s="23"/>
      <c r="B410" s="23"/>
      <c r="C410" s="23"/>
      <c r="D410" s="23"/>
      <c r="E410" s="23"/>
      <c r="F410" s="23"/>
      <c r="G410" s="23"/>
      <c r="H410" s="23"/>
      <c r="I410" s="23"/>
      <c r="J410" s="23"/>
      <c r="K410" s="23"/>
      <c r="L410" s="59"/>
      <c r="M410" s="23"/>
      <c r="N410" s="23"/>
      <c r="O410" s="23"/>
      <c r="P410" s="23"/>
      <c r="Q410" s="23"/>
      <c r="R410" s="23"/>
      <c r="S410" s="23"/>
      <c r="T410" s="23"/>
      <c r="U410" s="23"/>
      <c r="V410" s="23"/>
      <c r="W410" s="23"/>
      <c r="X410" s="23"/>
      <c r="Y410" s="23"/>
      <c r="Z410" s="23"/>
    </row>
    <row r="411" customFormat="false" ht="15.75" hidden="false" customHeight="true" outlineLevel="0" collapsed="false">
      <c r="A411" s="23"/>
      <c r="B411" s="23"/>
      <c r="C411" s="23"/>
      <c r="D411" s="23"/>
      <c r="E411" s="23"/>
      <c r="F411" s="23"/>
      <c r="G411" s="23"/>
      <c r="H411" s="23"/>
      <c r="I411" s="23"/>
      <c r="J411" s="23"/>
      <c r="K411" s="23"/>
      <c r="L411" s="59"/>
      <c r="M411" s="23"/>
      <c r="N411" s="23"/>
      <c r="O411" s="23"/>
      <c r="P411" s="23"/>
      <c r="Q411" s="23"/>
      <c r="R411" s="23"/>
      <c r="S411" s="23"/>
      <c r="T411" s="23"/>
      <c r="U411" s="23"/>
      <c r="V411" s="23"/>
      <c r="W411" s="23"/>
      <c r="X411" s="23"/>
      <c r="Y411" s="23"/>
      <c r="Z411" s="23"/>
    </row>
    <row r="412" customFormat="false" ht="15.75" hidden="false" customHeight="true" outlineLevel="0" collapsed="false">
      <c r="A412" s="23"/>
      <c r="B412" s="23"/>
      <c r="C412" s="23"/>
      <c r="D412" s="23"/>
      <c r="E412" s="23"/>
      <c r="F412" s="23"/>
      <c r="G412" s="23"/>
      <c r="H412" s="23"/>
      <c r="I412" s="23"/>
      <c r="J412" s="23"/>
      <c r="K412" s="23"/>
      <c r="L412" s="59"/>
      <c r="M412" s="23"/>
      <c r="N412" s="23"/>
      <c r="O412" s="23"/>
      <c r="P412" s="23"/>
      <c r="Q412" s="23"/>
      <c r="R412" s="23"/>
      <c r="S412" s="23"/>
      <c r="T412" s="23"/>
      <c r="U412" s="23"/>
      <c r="V412" s="23"/>
      <c r="W412" s="23"/>
      <c r="X412" s="23"/>
      <c r="Y412" s="23"/>
      <c r="Z412" s="23"/>
    </row>
    <row r="413" customFormat="false" ht="15.75" hidden="false" customHeight="true" outlineLevel="0" collapsed="false">
      <c r="A413" s="23"/>
      <c r="B413" s="23"/>
      <c r="C413" s="23"/>
      <c r="D413" s="23"/>
      <c r="E413" s="23"/>
      <c r="F413" s="23"/>
      <c r="G413" s="23"/>
      <c r="H413" s="23"/>
      <c r="I413" s="23"/>
      <c r="J413" s="23"/>
      <c r="K413" s="23"/>
      <c r="L413" s="59"/>
      <c r="M413" s="23"/>
      <c r="N413" s="23"/>
      <c r="O413" s="23"/>
      <c r="P413" s="23"/>
      <c r="Q413" s="23"/>
      <c r="R413" s="23"/>
      <c r="S413" s="23"/>
      <c r="T413" s="23"/>
      <c r="U413" s="23"/>
      <c r="V413" s="23"/>
      <c r="W413" s="23"/>
      <c r="X413" s="23"/>
      <c r="Y413" s="23"/>
      <c r="Z413" s="23"/>
    </row>
    <row r="414" customFormat="false" ht="15.75" hidden="false" customHeight="true" outlineLevel="0" collapsed="false">
      <c r="A414" s="23"/>
      <c r="B414" s="23"/>
      <c r="C414" s="23"/>
      <c r="D414" s="23"/>
      <c r="E414" s="23"/>
      <c r="F414" s="23"/>
      <c r="G414" s="23"/>
      <c r="H414" s="23"/>
      <c r="I414" s="23"/>
      <c r="J414" s="23"/>
      <c r="K414" s="23"/>
      <c r="L414" s="59"/>
      <c r="M414" s="23"/>
      <c r="N414" s="23"/>
      <c r="O414" s="23"/>
      <c r="P414" s="23"/>
      <c r="Q414" s="23"/>
      <c r="R414" s="23"/>
      <c r="S414" s="23"/>
      <c r="T414" s="23"/>
      <c r="U414" s="23"/>
      <c r="V414" s="23"/>
      <c r="W414" s="23"/>
      <c r="X414" s="23"/>
      <c r="Y414" s="23"/>
      <c r="Z414" s="23"/>
    </row>
    <row r="415" customFormat="false" ht="15.75" hidden="false" customHeight="true" outlineLevel="0" collapsed="false">
      <c r="A415" s="23"/>
      <c r="B415" s="23"/>
      <c r="C415" s="23"/>
      <c r="D415" s="23"/>
      <c r="E415" s="23"/>
      <c r="F415" s="23"/>
      <c r="G415" s="23"/>
      <c r="H415" s="23"/>
      <c r="I415" s="23"/>
      <c r="J415" s="23"/>
      <c r="K415" s="23"/>
      <c r="L415" s="59"/>
      <c r="M415" s="23"/>
      <c r="N415" s="23"/>
      <c r="O415" s="23"/>
      <c r="P415" s="23"/>
      <c r="Q415" s="23"/>
      <c r="R415" s="23"/>
      <c r="S415" s="23"/>
      <c r="T415" s="23"/>
      <c r="U415" s="23"/>
      <c r="V415" s="23"/>
      <c r="W415" s="23"/>
      <c r="X415" s="23"/>
      <c r="Y415" s="23"/>
      <c r="Z415" s="23"/>
    </row>
    <row r="416" customFormat="false" ht="15.75" hidden="false" customHeight="true" outlineLevel="0" collapsed="false">
      <c r="A416" s="23"/>
      <c r="B416" s="23"/>
      <c r="C416" s="23"/>
      <c r="D416" s="23"/>
      <c r="E416" s="23"/>
      <c r="F416" s="23"/>
      <c r="G416" s="23"/>
      <c r="H416" s="23"/>
      <c r="I416" s="23"/>
      <c r="J416" s="23"/>
      <c r="K416" s="23"/>
      <c r="L416" s="59"/>
      <c r="M416" s="23"/>
      <c r="N416" s="23"/>
      <c r="O416" s="23"/>
      <c r="P416" s="23"/>
      <c r="Q416" s="23"/>
      <c r="R416" s="23"/>
      <c r="S416" s="23"/>
      <c r="T416" s="23"/>
      <c r="U416" s="23"/>
      <c r="V416" s="23"/>
      <c r="W416" s="23"/>
      <c r="X416" s="23"/>
      <c r="Y416" s="23"/>
      <c r="Z416" s="23"/>
    </row>
    <row r="417" customFormat="false" ht="15.75" hidden="false" customHeight="true" outlineLevel="0" collapsed="false">
      <c r="A417" s="23"/>
      <c r="B417" s="23"/>
      <c r="C417" s="23"/>
      <c r="D417" s="23"/>
      <c r="E417" s="23"/>
      <c r="F417" s="23"/>
      <c r="G417" s="23"/>
      <c r="H417" s="23"/>
      <c r="I417" s="23"/>
      <c r="J417" s="23"/>
      <c r="K417" s="23"/>
      <c r="L417" s="59"/>
      <c r="M417" s="23"/>
      <c r="N417" s="23"/>
      <c r="O417" s="23"/>
      <c r="P417" s="23"/>
      <c r="Q417" s="23"/>
      <c r="R417" s="23"/>
      <c r="S417" s="23"/>
      <c r="T417" s="23"/>
      <c r="U417" s="23"/>
      <c r="V417" s="23"/>
      <c r="W417" s="23"/>
      <c r="X417" s="23"/>
      <c r="Y417" s="23"/>
      <c r="Z417" s="23"/>
    </row>
    <row r="418" customFormat="false" ht="15.75" hidden="false" customHeight="true" outlineLevel="0" collapsed="false">
      <c r="A418" s="23"/>
      <c r="B418" s="23"/>
      <c r="C418" s="23"/>
      <c r="D418" s="23"/>
      <c r="E418" s="23"/>
      <c r="F418" s="23"/>
      <c r="G418" s="23"/>
      <c r="H418" s="23"/>
      <c r="I418" s="23"/>
      <c r="J418" s="23"/>
      <c r="K418" s="23"/>
      <c r="L418" s="59"/>
      <c r="M418" s="23"/>
      <c r="N418" s="23"/>
      <c r="O418" s="23"/>
      <c r="P418" s="23"/>
      <c r="Q418" s="23"/>
      <c r="R418" s="23"/>
      <c r="S418" s="23"/>
      <c r="T418" s="23"/>
      <c r="U418" s="23"/>
      <c r="V418" s="23"/>
      <c r="W418" s="23"/>
      <c r="X418" s="23"/>
      <c r="Y418" s="23"/>
      <c r="Z418" s="23"/>
    </row>
    <row r="419" customFormat="false" ht="15.75" hidden="false" customHeight="true" outlineLevel="0" collapsed="false">
      <c r="A419" s="23"/>
      <c r="B419" s="23"/>
      <c r="C419" s="23"/>
      <c r="D419" s="23"/>
      <c r="E419" s="23"/>
      <c r="F419" s="23"/>
      <c r="G419" s="23"/>
      <c r="H419" s="23"/>
      <c r="I419" s="23"/>
      <c r="J419" s="23"/>
      <c r="K419" s="23"/>
      <c r="L419" s="59"/>
      <c r="M419" s="23"/>
      <c r="N419" s="23"/>
      <c r="O419" s="23"/>
      <c r="P419" s="23"/>
      <c r="Q419" s="23"/>
      <c r="R419" s="23"/>
      <c r="S419" s="23"/>
      <c r="T419" s="23"/>
      <c r="U419" s="23"/>
      <c r="V419" s="23"/>
      <c r="W419" s="23"/>
      <c r="X419" s="23"/>
      <c r="Y419" s="23"/>
      <c r="Z419" s="23"/>
    </row>
    <row r="420" customFormat="false" ht="15.75" hidden="false" customHeight="true" outlineLevel="0" collapsed="false">
      <c r="A420" s="23"/>
      <c r="B420" s="23"/>
      <c r="C420" s="23"/>
      <c r="D420" s="23"/>
      <c r="E420" s="23"/>
      <c r="F420" s="23"/>
      <c r="G420" s="23"/>
      <c r="H420" s="23"/>
      <c r="I420" s="23"/>
      <c r="J420" s="23"/>
      <c r="K420" s="23"/>
      <c r="L420" s="59"/>
      <c r="M420" s="23"/>
      <c r="N420" s="23"/>
      <c r="O420" s="23"/>
      <c r="P420" s="23"/>
      <c r="Q420" s="23"/>
      <c r="R420" s="23"/>
      <c r="S420" s="23"/>
      <c r="T420" s="23"/>
      <c r="U420" s="23"/>
      <c r="V420" s="23"/>
      <c r="W420" s="23"/>
      <c r="X420" s="23"/>
      <c r="Y420" s="23"/>
      <c r="Z420" s="23"/>
    </row>
    <row r="421" customFormat="false" ht="15.75" hidden="false" customHeight="true" outlineLevel="0" collapsed="false">
      <c r="A421" s="23"/>
      <c r="B421" s="23"/>
      <c r="C421" s="23"/>
      <c r="D421" s="23"/>
      <c r="E421" s="23"/>
      <c r="F421" s="23"/>
      <c r="G421" s="23"/>
      <c r="H421" s="23"/>
      <c r="I421" s="23"/>
      <c r="J421" s="23"/>
      <c r="K421" s="23"/>
      <c r="L421" s="59"/>
      <c r="M421" s="23"/>
      <c r="N421" s="23"/>
      <c r="O421" s="23"/>
      <c r="P421" s="23"/>
      <c r="Q421" s="23"/>
      <c r="R421" s="23"/>
      <c r="S421" s="23"/>
      <c r="T421" s="23"/>
      <c r="U421" s="23"/>
      <c r="V421" s="23"/>
      <c r="W421" s="23"/>
      <c r="X421" s="23"/>
      <c r="Y421" s="23"/>
      <c r="Z421" s="23"/>
    </row>
    <row r="422" customFormat="false" ht="15.75" hidden="false" customHeight="true" outlineLevel="0" collapsed="false">
      <c r="A422" s="23"/>
      <c r="B422" s="23"/>
      <c r="C422" s="23"/>
      <c r="D422" s="23"/>
      <c r="E422" s="23"/>
      <c r="F422" s="23"/>
      <c r="G422" s="23"/>
      <c r="H422" s="23"/>
      <c r="I422" s="23"/>
      <c r="J422" s="23"/>
      <c r="K422" s="23"/>
      <c r="L422" s="59"/>
      <c r="M422" s="23"/>
      <c r="N422" s="23"/>
      <c r="O422" s="23"/>
      <c r="P422" s="23"/>
      <c r="Q422" s="23"/>
      <c r="R422" s="23"/>
      <c r="S422" s="23"/>
      <c r="T422" s="23"/>
      <c r="U422" s="23"/>
      <c r="V422" s="23"/>
      <c r="W422" s="23"/>
      <c r="X422" s="23"/>
      <c r="Y422" s="23"/>
      <c r="Z422" s="23"/>
    </row>
    <row r="423" customFormat="false" ht="15.75" hidden="false" customHeight="true" outlineLevel="0" collapsed="false">
      <c r="A423" s="23"/>
      <c r="B423" s="23"/>
      <c r="C423" s="23"/>
      <c r="D423" s="23"/>
      <c r="E423" s="23"/>
      <c r="F423" s="23"/>
      <c r="G423" s="23"/>
      <c r="H423" s="23"/>
      <c r="I423" s="23"/>
      <c r="J423" s="23"/>
      <c r="K423" s="23"/>
      <c r="L423" s="59"/>
      <c r="M423" s="23"/>
      <c r="N423" s="23"/>
      <c r="O423" s="23"/>
      <c r="P423" s="23"/>
      <c r="Q423" s="23"/>
      <c r="R423" s="23"/>
      <c r="S423" s="23"/>
      <c r="T423" s="23"/>
      <c r="U423" s="23"/>
      <c r="V423" s="23"/>
      <c r="W423" s="23"/>
      <c r="X423" s="23"/>
      <c r="Y423" s="23"/>
      <c r="Z423" s="23"/>
    </row>
    <row r="424" customFormat="false" ht="15.75" hidden="false" customHeight="true" outlineLevel="0" collapsed="false">
      <c r="A424" s="23"/>
      <c r="B424" s="23"/>
      <c r="C424" s="23"/>
      <c r="D424" s="23"/>
      <c r="E424" s="23"/>
      <c r="F424" s="23"/>
      <c r="G424" s="23"/>
      <c r="H424" s="23"/>
      <c r="I424" s="23"/>
      <c r="J424" s="23"/>
      <c r="K424" s="23"/>
      <c r="L424" s="59"/>
      <c r="M424" s="23"/>
      <c r="N424" s="23"/>
      <c r="O424" s="23"/>
      <c r="P424" s="23"/>
      <c r="Q424" s="23"/>
      <c r="R424" s="23"/>
      <c r="S424" s="23"/>
      <c r="T424" s="23"/>
      <c r="U424" s="23"/>
      <c r="V424" s="23"/>
      <c r="W424" s="23"/>
      <c r="X424" s="23"/>
      <c r="Y424" s="23"/>
      <c r="Z424" s="23"/>
    </row>
    <row r="425" customFormat="false" ht="15.75" hidden="false" customHeight="true" outlineLevel="0" collapsed="false">
      <c r="A425" s="23"/>
      <c r="B425" s="23"/>
      <c r="C425" s="23"/>
      <c r="D425" s="23"/>
      <c r="E425" s="23"/>
      <c r="F425" s="23"/>
      <c r="G425" s="23"/>
      <c r="H425" s="23"/>
      <c r="I425" s="23"/>
      <c r="J425" s="23"/>
      <c r="K425" s="23"/>
      <c r="L425" s="59"/>
      <c r="M425" s="23"/>
      <c r="N425" s="23"/>
      <c r="O425" s="23"/>
      <c r="P425" s="23"/>
      <c r="Q425" s="23"/>
      <c r="R425" s="23"/>
      <c r="S425" s="23"/>
      <c r="T425" s="23"/>
      <c r="U425" s="23"/>
      <c r="V425" s="23"/>
      <c r="W425" s="23"/>
      <c r="X425" s="23"/>
      <c r="Y425" s="23"/>
      <c r="Z425" s="23"/>
    </row>
    <row r="426" customFormat="false" ht="15.75" hidden="false" customHeight="true" outlineLevel="0" collapsed="false">
      <c r="A426" s="23"/>
      <c r="B426" s="23"/>
      <c r="C426" s="23"/>
      <c r="D426" s="23"/>
      <c r="E426" s="23"/>
      <c r="F426" s="23"/>
      <c r="G426" s="23"/>
      <c r="H426" s="23"/>
      <c r="I426" s="23"/>
      <c r="J426" s="23"/>
      <c r="K426" s="23"/>
      <c r="L426" s="59"/>
      <c r="M426" s="23"/>
      <c r="N426" s="23"/>
      <c r="O426" s="23"/>
      <c r="P426" s="23"/>
      <c r="Q426" s="23"/>
      <c r="R426" s="23"/>
      <c r="S426" s="23"/>
      <c r="T426" s="23"/>
      <c r="U426" s="23"/>
      <c r="V426" s="23"/>
      <c r="W426" s="23"/>
      <c r="X426" s="23"/>
      <c r="Y426" s="23"/>
      <c r="Z426" s="23"/>
    </row>
    <row r="427" customFormat="false" ht="15.75" hidden="false" customHeight="true" outlineLevel="0" collapsed="false">
      <c r="A427" s="23"/>
      <c r="B427" s="23"/>
      <c r="C427" s="23"/>
      <c r="D427" s="23"/>
      <c r="E427" s="23"/>
      <c r="F427" s="23"/>
      <c r="G427" s="23"/>
      <c r="H427" s="23"/>
      <c r="I427" s="23"/>
      <c r="J427" s="23"/>
      <c r="K427" s="23"/>
      <c r="L427" s="59"/>
      <c r="M427" s="23"/>
      <c r="N427" s="23"/>
      <c r="O427" s="23"/>
      <c r="P427" s="23"/>
      <c r="Q427" s="23"/>
      <c r="R427" s="23"/>
      <c r="S427" s="23"/>
      <c r="T427" s="23"/>
      <c r="U427" s="23"/>
      <c r="V427" s="23"/>
      <c r="W427" s="23"/>
      <c r="X427" s="23"/>
      <c r="Y427" s="23"/>
      <c r="Z427" s="23"/>
    </row>
    <row r="428" customFormat="false" ht="15.75" hidden="false" customHeight="true" outlineLevel="0" collapsed="false">
      <c r="A428" s="23"/>
      <c r="B428" s="23"/>
      <c r="C428" s="23"/>
      <c r="D428" s="23"/>
      <c r="E428" s="23"/>
      <c r="F428" s="23"/>
      <c r="G428" s="23"/>
      <c r="H428" s="23"/>
      <c r="I428" s="23"/>
      <c r="J428" s="23"/>
      <c r="K428" s="23"/>
      <c r="L428" s="59"/>
      <c r="M428" s="23"/>
      <c r="N428" s="23"/>
      <c r="O428" s="23"/>
      <c r="P428" s="23"/>
      <c r="Q428" s="23"/>
      <c r="R428" s="23"/>
      <c r="S428" s="23"/>
      <c r="T428" s="23"/>
      <c r="U428" s="23"/>
      <c r="V428" s="23"/>
      <c r="W428" s="23"/>
      <c r="X428" s="23"/>
      <c r="Y428" s="23"/>
      <c r="Z428" s="23"/>
    </row>
    <row r="429" customFormat="false" ht="15.75" hidden="false" customHeight="true" outlineLevel="0" collapsed="false">
      <c r="A429" s="23"/>
      <c r="B429" s="23"/>
      <c r="C429" s="23"/>
      <c r="D429" s="23"/>
      <c r="E429" s="23"/>
      <c r="F429" s="23"/>
      <c r="G429" s="23"/>
      <c r="H429" s="23"/>
      <c r="I429" s="23"/>
      <c r="J429" s="23"/>
      <c r="K429" s="23"/>
      <c r="L429" s="59"/>
      <c r="M429" s="23"/>
      <c r="N429" s="23"/>
      <c r="O429" s="23"/>
      <c r="P429" s="23"/>
      <c r="Q429" s="23"/>
      <c r="R429" s="23"/>
      <c r="S429" s="23"/>
      <c r="T429" s="23"/>
      <c r="U429" s="23"/>
      <c r="V429" s="23"/>
      <c r="W429" s="23"/>
      <c r="X429" s="23"/>
      <c r="Y429" s="23"/>
      <c r="Z429" s="23"/>
    </row>
    <row r="430" customFormat="false" ht="15.75" hidden="false" customHeight="true" outlineLevel="0" collapsed="false">
      <c r="A430" s="23"/>
      <c r="B430" s="23"/>
      <c r="C430" s="23"/>
      <c r="D430" s="23"/>
      <c r="E430" s="23"/>
      <c r="F430" s="23"/>
      <c r="G430" s="23"/>
      <c r="H430" s="23"/>
      <c r="I430" s="23"/>
      <c r="J430" s="23"/>
      <c r="K430" s="23"/>
      <c r="L430" s="59"/>
      <c r="M430" s="23"/>
      <c r="N430" s="23"/>
      <c r="O430" s="23"/>
      <c r="P430" s="23"/>
      <c r="Q430" s="23"/>
      <c r="R430" s="23"/>
      <c r="S430" s="23"/>
      <c r="T430" s="23"/>
      <c r="U430" s="23"/>
      <c r="V430" s="23"/>
      <c r="W430" s="23"/>
      <c r="X430" s="23"/>
      <c r="Y430" s="23"/>
      <c r="Z430" s="23"/>
    </row>
    <row r="431" customFormat="false" ht="15.75" hidden="false" customHeight="true" outlineLevel="0" collapsed="false">
      <c r="A431" s="23"/>
      <c r="B431" s="23"/>
      <c r="C431" s="23"/>
      <c r="D431" s="23"/>
      <c r="E431" s="23"/>
      <c r="F431" s="23"/>
      <c r="G431" s="23"/>
      <c r="H431" s="23"/>
      <c r="I431" s="23"/>
      <c r="J431" s="23"/>
      <c r="K431" s="23"/>
      <c r="L431" s="59"/>
      <c r="M431" s="23"/>
      <c r="N431" s="23"/>
      <c r="O431" s="23"/>
      <c r="P431" s="23"/>
      <c r="Q431" s="23"/>
      <c r="R431" s="23"/>
      <c r="S431" s="23"/>
      <c r="T431" s="23"/>
      <c r="U431" s="23"/>
      <c r="V431" s="23"/>
      <c r="W431" s="23"/>
      <c r="X431" s="23"/>
      <c r="Y431" s="23"/>
      <c r="Z431" s="23"/>
    </row>
    <row r="432" customFormat="false" ht="15.75" hidden="false" customHeight="true" outlineLevel="0" collapsed="false">
      <c r="A432" s="23"/>
      <c r="B432" s="23"/>
      <c r="C432" s="23"/>
      <c r="D432" s="23"/>
      <c r="E432" s="23"/>
      <c r="F432" s="23"/>
      <c r="G432" s="23"/>
      <c r="H432" s="23"/>
      <c r="I432" s="23"/>
      <c r="J432" s="23"/>
      <c r="K432" s="23"/>
      <c r="L432" s="59"/>
      <c r="M432" s="23"/>
      <c r="N432" s="23"/>
      <c r="O432" s="23"/>
      <c r="P432" s="23"/>
      <c r="Q432" s="23"/>
      <c r="R432" s="23"/>
      <c r="S432" s="23"/>
      <c r="T432" s="23"/>
      <c r="U432" s="23"/>
      <c r="V432" s="23"/>
      <c r="W432" s="23"/>
      <c r="X432" s="23"/>
      <c r="Y432" s="23"/>
      <c r="Z432" s="23"/>
    </row>
    <row r="433" customFormat="false" ht="15.75" hidden="false" customHeight="true" outlineLevel="0" collapsed="false">
      <c r="A433" s="23"/>
      <c r="B433" s="23"/>
      <c r="C433" s="23"/>
      <c r="D433" s="23"/>
      <c r="E433" s="23"/>
      <c r="F433" s="23"/>
      <c r="G433" s="23"/>
      <c r="H433" s="23"/>
      <c r="I433" s="23"/>
      <c r="J433" s="23"/>
      <c r="K433" s="23"/>
      <c r="L433" s="59"/>
      <c r="M433" s="23"/>
      <c r="N433" s="23"/>
      <c r="O433" s="23"/>
      <c r="P433" s="23"/>
      <c r="Q433" s="23"/>
      <c r="R433" s="23"/>
      <c r="S433" s="23"/>
      <c r="T433" s="23"/>
      <c r="U433" s="23"/>
      <c r="V433" s="23"/>
      <c r="W433" s="23"/>
      <c r="X433" s="23"/>
      <c r="Y433" s="23"/>
      <c r="Z433" s="23"/>
    </row>
    <row r="434" customFormat="false" ht="15.75" hidden="false" customHeight="true" outlineLevel="0" collapsed="false">
      <c r="A434" s="23"/>
      <c r="B434" s="23"/>
      <c r="C434" s="23"/>
      <c r="D434" s="23"/>
      <c r="E434" s="23"/>
      <c r="F434" s="23"/>
      <c r="G434" s="23"/>
      <c r="H434" s="23"/>
      <c r="I434" s="23"/>
      <c r="J434" s="23"/>
      <c r="K434" s="23"/>
      <c r="L434" s="59"/>
      <c r="M434" s="23"/>
      <c r="N434" s="23"/>
      <c r="O434" s="23"/>
      <c r="P434" s="23"/>
      <c r="Q434" s="23"/>
      <c r="R434" s="23"/>
      <c r="S434" s="23"/>
      <c r="T434" s="23"/>
      <c r="U434" s="23"/>
      <c r="V434" s="23"/>
      <c r="W434" s="23"/>
      <c r="X434" s="23"/>
      <c r="Y434" s="23"/>
      <c r="Z434" s="23"/>
    </row>
    <row r="435" customFormat="false" ht="15.75" hidden="false" customHeight="true" outlineLevel="0" collapsed="false">
      <c r="A435" s="23"/>
      <c r="B435" s="23"/>
      <c r="C435" s="23"/>
      <c r="D435" s="23"/>
      <c r="E435" s="23"/>
      <c r="F435" s="23"/>
      <c r="G435" s="23"/>
      <c r="H435" s="23"/>
      <c r="I435" s="23"/>
      <c r="J435" s="23"/>
      <c r="K435" s="23"/>
      <c r="L435" s="59"/>
      <c r="M435" s="23"/>
      <c r="N435" s="23"/>
      <c r="O435" s="23"/>
      <c r="P435" s="23"/>
      <c r="Q435" s="23"/>
      <c r="R435" s="23"/>
      <c r="S435" s="23"/>
      <c r="T435" s="23"/>
      <c r="U435" s="23"/>
      <c r="V435" s="23"/>
      <c r="W435" s="23"/>
      <c r="X435" s="23"/>
      <c r="Y435" s="23"/>
      <c r="Z435" s="23"/>
    </row>
    <row r="436" customFormat="false" ht="15.75" hidden="false" customHeight="true" outlineLevel="0" collapsed="false">
      <c r="A436" s="23"/>
      <c r="B436" s="23"/>
      <c r="C436" s="23"/>
      <c r="D436" s="23"/>
      <c r="E436" s="23"/>
      <c r="F436" s="23"/>
      <c r="G436" s="23"/>
      <c r="H436" s="23"/>
      <c r="I436" s="23"/>
      <c r="J436" s="23"/>
      <c r="K436" s="23"/>
      <c r="L436" s="59"/>
      <c r="M436" s="23"/>
      <c r="N436" s="23"/>
      <c r="O436" s="23"/>
      <c r="P436" s="23"/>
      <c r="Q436" s="23"/>
      <c r="R436" s="23"/>
      <c r="S436" s="23"/>
      <c r="T436" s="23"/>
      <c r="U436" s="23"/>
      <c r="V436" s="23"/>
      <c r="W436" s="23"/>
      <c r="X436" s="23"/>
      <c r="Y436" s="23"/>
      <c r="Z436" s="23"/>
    </row>
    <row r="437" customFormat="false" ht="15.75" hidden="false" customHeight="true" outlineLevel="0" collapsed="false">
      <c r="A437" s="23"/>
      <c r="B437" s="23"/>
      <c r="C437" s="23"/>
      <c r="D437" s="23"/>
      <c r="E437" s="23"/>
      <c r="F437" s="23"/>
      <c r="G437" s="23"/>
      <c r="H437" s="23"/>
      <c r="I437" s="23"/>
      <c r="J437" s="23"/>
      <c r="K437" s="23"/>
      <c r="L437" s="59"/>
      <c r="M437" s="23"/>
      <c r="N437" s="23"/>
      <c r="O437" s="23"/>
      <c r="P437" s="23"/>
      <c r="Q437" s="23"/>
      <c r="R437" s="23"/>
      <c r="S437" s="23"/>
      <c r="T437" s="23"/>
      <c r="U437" s="23"/>
      <c r="V437" s="23"/>
      <c r="W437" s="23"/>
      <c r="X437" s="23"/>
      <c r="Y437" s="23"/>
      <c r="Z437" s="23"/>
    </row>
    <row r="438" customFormat="false" ht="15.75" hidden="false" customHeight="true" outlineLevel="0" collapsed="false">
      <c r="A438" s="23"/>
      <c r="B438" s="23"/>
      <c r="C438" s="23"/>
      <c r="D438" s="23"/>
      <c r="E438" s="23"/>
      <c r="F438" s="23"/>
      <c r="G438" s="23"/>
      <c r="H438" s="23"/>
      <c r="I438" s="23"/>
      <c r="J438" s="23"/>
      <c r="K438" s="23"/>
      <c r="L438" s="59"/>
      <c r="M438" s="23"/>
      <c r="N438" s="23"/>
      <c r="O438" s="23"/>
      <c r="P438" s="23"/>
      <c r="Q438" s="23"/>
      <c r="R438" s="23"/>
      <c r="S438" s="23"/>
      <c r="T438" s="23"/>
      <c r="U438" s="23"/>
      <c r="V438" s="23"/>
      <c r="W438" s="23"/>
      <c r="X438" s="23"/>
      <c r="Y438" s="23"/>
      <c r="Z438" s="23"/>
    </row>
    <row r="439" customFormat="false" ht="15.75" hidden="false" customHeight="true" outlineLevel="0" collapsed="false">
      <c r="A439" s="23"/>
      <c r="B439" s="23"/>
      <c r="C439" s="23"/>
      <c r="D439" s="23"/>
      <c r="E439" s="23"/>
      <c r="F439" s="23"/>
      <c r="G439" s="23"/>
      <c r="H439" s="23"/>
      <c r="I439" s="23"/>
      <c r="J439" s="23"/>
      <c r="K439" s="23"/>
      <c r="L439" s="59"/>
      <c r="M439" s="23"/>
      <c r="N439" s="23"/>
      <c r="O439" s="23"/>
      <c r="P439" s="23"/>
      <c r="Q439" s="23"/>
      <c r="R439" s="23"/>
      <c r="S439" s="23"/>
      <c r="T439" s="23"/>
      <c r="U439" s="23"/>
      <c r="V439" s="23"/>
      <c r="W439" s="23"/>
      <c r="X439" s="23"/>
      <c r="Y439" s="23"/>
      <c r="Z439" s="23"/>
    </row>
    <row r="440" customFormat="false" ht="15.75" hidden="false" customHeight="true" outlineLevel="0" collapsed="false">
      <c r="A440" s="23"/>
      <c r="B440" s="23"/>
      <c r="C440" s="23"/>
      <c r="D440" s="23"/>
      <c r="E440" s="23"/>
      <c r="F440" s="23"/>
      <c r="G440" s="23"/>
      <c r="H440" s="23"/>
      <c r="I440" s="23"/>
      <c r="J440" s="23"/>
      <c r="K440" s="23"/>
      <c r="L440" s="59"/>
      <c r="M440" s="23"/>
      <c r="N440" s="23"/>
      <c r="O440" s="23"/>
      <c r="P440" s="23"/>
      <c r="Q440" s="23"/>
      <c r="R440" s="23"/>
      <c r="S440" s="23"/>
      <c r="T440" s="23"/>
      <c r="U440" s="23"/>
      <c r="V440" s="23"/>
      <c r="W440" s="23"/>
      <c r="X440" s="23"/>
      <c r="Y440" s="23"/>
      <c r="Z440" s="23"/>
    </row>
    <row r="441" customFormat="false" ht="15.75" hidden="false" customHeight="true" outlineLevel="0" collapsed="false">
      <c r="A441" s="23"/>
      <c r="B441" s="23"/>
      <c r="C441" s="23"/>
      <c r="D441" s="23"/>
      <c r="E441" s="23"/>
      <c r="F441" s="23"/>
      <c r="G441" s="23"/>
      <c r="H441" s="23"/>
      <c r="I441" s="23"/>
      <c r="J441" s="23"/>
      <c r="K441" s="23"/>
      <c r="L441" s="59"/>
      <c r="M441" s="23"/>
      <c r="N441" s="23"/>
      <c r="O441" s="23"/>
      <c r="P441" s="23"/>
      <c r="Q441" s="23"/>
      <c r="R441" s="23"/>
      <c r="S441" s="23"/>
      <c r="T441" s="23"/>
      <c r="U441" s="23"/>
      <c r="V441" s="23"/>
      <c r="W441" s="23"/>
      <c r="X441" s="23"/>
      <c r="Y441" s="23"/>
      <c r="Z441" s="23"/>
    </row>
    <row r="442" customFormat="false" ht="15.75" hidden="false" customHeight="true" outlineLevel="0" collapsed="false">
      <c r="A442" s="23"/>
      <c r="B442" s="23"/>
      <c r="C442" s="23"/>
      <c r="D442" s="23"/>
      <c r="E442" s="23"/>
      <c r="F442" s="23"/>
      <c r="G442" s="23"/>
      <c r="H442" s="23"/>
      <c r="I442" s="23"/>
      <c r="J442" s="23"/>
      <c r="K442" s="23"/>
      <c r="L442" s="59"/>
      <c r="M442" s="23"/>
      <c r="N442" s="23"/>
      <c r="O442" s="23"/>
      <c r="P442" s="23"/>
      <c r="Q442" s="23"/>
      <c r="R442" s="23"/>
      <c r="S442" s="23"/>
      <c r="T442" s="23"/>
      <c r="U442" s="23"/>
      <c r="V442" s="23"/>
      <c r="W442" s="23"/>
      <c r="X442" s="23"/>
      <c r="Y442" s="23"/>
      <c r="Z442" s="23"/>
    </row>
    <row r="443" customFormat="false" ht="15.75" hidden="false" customHeight="true" outlineLevel="0" collapsed="false">
      <c r="A443" s="23"/>
      <c r="B443" s="23"/>
      <c r="C443" s="23"/>
      <c r="D443" s="23"/>
      <c r="E443" s="23"/>
      <c r="F443" s="23"/>
      <c r="G443" s="23"/>
      <c r="H443" s="23"/>
      <c r="I443" s="23"/>
      <c r="J443" s="23"/>
      <c r="K443" s="23"/>
      <c r="L443" s="59"/>
      <c r="M443" s="23"/>
      <c r="N443" s="23"/>
      <c r="O443" s="23"/>
      <c r="P443" s="23"/>
      <c r="Q443" s="23"/>
      <c r="R443" s="23"/>
      <c r="S443" s="23"/>
      <c r="T443" s="23"/>
      <c r="U443" s="23"/>
      <c r="V443" s="23"/>
      <c r="W443" s="23"/>
      <c r="X443" s="23"/>
      <c r="Y443" s="23"/>
      <c r="Z443" s="23"/>
    </row>
    <row r="444" customFormat="false" ht="15.75" hidden="false" customHeight="true" outlineLevel="0" collapsed="false">
      <c r="A444" s="23"/>
      <c r="B444" s="23"/>
      <c r="C444" s="23"/>
      <c r="D444" s="23"/>
      <c r="E444" s="23"/>
      <c r="F444" s="23"/>
      <c r="G444" s="23"/>
      <c r="H444" s="23"/>
      <c r="I444" s="23"/>
      <c r="J444" s="23"/>
      <c r="K444" s="23"/>
      <c r="L444" s="59"/>
      <c r="M444" s="23"/>
      <c r="N444" s="23"/>
      <c r="O444" s="23"/>
      <c r="P444" s="23"/>
      <c r="Q444" s="23"/>
      <c r="R444" s="23"/>
      <c r="S444" s="23"/>
      <c r="T444" s="23"/>
      <c r="U444" s="23"/>
      <c r="V444" s="23"/>
      <c r="W444" s="23"/>
      <c r="X444" s="23"/>
      <c r="Y444" s="23"/>
      <c r="Z444" s="23"/>
    </row>
    <row r="445" customFormat="false" ht="15.75" hidden="false" customHeight="true" outlineLevel="0" collapsed="false">
      <c r="A445" s="23"/>
      <c r="B445" s="23"/>
      <c r="C445" s="23"/>
      <c r="D445" s="23"/>
      <c r="E445" s="23"/>
      <c r="F445" s="23"/>
      <c r="G445" s="23"/>
      <c r="H445" s="23"/>
      <c r="I445" s="23"/>
      <c r="J445" s="23"/>
      <c r="K445" s="23"/>
      <c r="L445" s="59"/>
      <c r="M445" s="23"/>
      <c r="N445" s="23"/>
      <c r="O445" s="23"/>
      <c r="P445" s="23"/>
      <c r="Q445" s="23"/>
      <c r="R445" s="23"/>
      <c r="S445" s="23"/>
      <c r="T445" s="23"/>
      <c r="U445" s="23"/>
      <c r="V445" s="23"/>
      <c r="W445" s="23"/>
      <c r="X445" s="23"/>
      <c r="Y445" s="23"/>
      <c r="Z445" s="23"/>
    </row>
    <row r="446" customFormat="false" ht="15.75" hidden="false" customHeight="true" outlineLevel="0" collapsed="false">
      <c r="A446" s="23"/>
      <c r="B446" s="23"/>
      <c r="C446" s="23"/>
      <c r="D446" s="23"/>
      <c r="E446" s="23"/>
      <c r="F446" s="23"/>
      <c r="G446" s="23"/>
      <c r="H446" s="23"/>
      <c r="I446" s="23"/>
      <c r="J446" s="23"/>
      <c r="K446" s="23"/>
      <c r="L446" s="59"/>
      <c r="M446" s="23"/>
      <c r="N446" s="23"/>
      <c r="O446" s="23"/>
      <c r="P446" s="23"/>
      <c r="Q446" s="23"/>
      <c r="R446" s="23"/>
      <c r="S446" s="23"/>
      <c r="T446" s="23"/>
      <c r="U446" s="23"/>
      <c r="V446" s="23"/>
      <c r="W446" s="23"/>
      <c r="X446" s="23"/>
      <c r="Y446" s="23"/>
      <c r="Z446" s="23"/>
    </row>
    <row r="447" customFormat="false" ht="15.75" hidden="false" customHeight="true" outlineLevel="0" collapsed="false">
      <c r="A447" s="23"/>
      <c r="B447" s="23"/>
      <c r="C447" s="23"/>
      <c r="D447" s="23"/>
      <c r="E447" s="23"/>
      <c r="F447" s="23"/>
      <c r="G447" s="23"/>
      <c r="H447" s="23"/>
      <c r="I447" s="23"/>
      <c r="J447" s="23"/>
      <c r="K447" s="23"/>
      <c r="L447" s="59"/>
      <c r="M447" s="23"/>
      <c r="N447" s="23"/>
      <c r="O447" s="23"/>
      <c r="P447" s="23"/>
      <c r="Q447" s="23"/>
      <c r="R447" s="23"/>
      <c r="S447" s="23"/>
      <c r="T447" s="23"/>
      <c r="U447" s="23"/>
      <c r="V447" s="23"/>
      <c r="W447" s="23"/>
      <c r="X447" s="23"/>
      <c r="Y447" s="23"/>
      <c r="Z447" s="23"/>
    </row>
    <row r="448" customFormat="false" ht="15.75" hidden="false" customHeight="true" outlineLevel="0" collapsed="false">
      <c r="A448" s="23"/>
      <c r="B448" s="23"/>
      <c r="C448" s="23"/>
      <c r="D448" s="23"/>
      <c r="E448" s="23"/>
      <c r="F448" s="23"/>
      <c r="G448" s="23"/>
      <c r="H448" s="23"/>
      <c r="I448" s="23"/>
      <c r="J448" s="23"/>
      <c r="K448" s="23"/>
      <c r="L448" s="59"/>
      <c r="M448" s="23"/>
      <c r="N448" s="23"/>
      <c r="O448" s="23"/>
      <c r="P448" s="23"/>
      <c r="Q448" s="23"/>
      <c r="R448" s="23"/>
      <c r="S448" s="23"/>
      <c r="T448" s="23"/>
      <c r="U448" s="23"/>
      <c r="V448" s="23"/>
      <c r="W448" s="23"/>
      <c r="X448" s="23"/>
      <c r="Y448" s="23"/>
      <c r="Z448" s="23"/>
    </row>
    <row r="449" customFormat="false" ht="15.75" hidden="false" customHeight="true" outlineLevel="0" collapsed="false">
      <c r="A449" s="23"/>
      <c r="B449" s="23"/>
      <c r="C449" s="23"/>
      <c r="D449" s="23"/>
      <c r="E449" s="23"/>
      <c r="F449" s="23"/>
      <c r="G449" s="23"/>
      <c r="H449" s="23"/>
      <c r="I449" s="23"/>
      <c r="J449" s="23"/>
      <c r="K449" s="23"/>
      <c r="L449" s="59"/>
      <c r="M449" s="23"/>
      <c r="N449" s="23"/>
      <c r="O449" s="23"/>
      <c r="P449" s="23"/>
      <c r="Q449" s="23"/>
      <c r="R449" s="23"/>
      <c r="S449" s="23"/>
      <c r="T449" s="23"/>
      <c r="U449" s="23"/>
      <c r="V449" s="23"/>
      <c r="W449" s="23"/>
      <c r="X449" s="23"/>
      <c r="Y449" s="23"/>
      <c r="Z449" s="23"/>
    </row>
    <row r="450" customFormat="false" ht="15.75" hidden="false" customHeight="true" outlineLevel="0" collapsed="false">
      <c r="A450" s="23"/>
      <c r="B450" s="23"/>
      <c r="C450" s="23"/>
      <c r="D450" s="23"/>
      <c r="E450" s="23"/>
      <c r="F450" s="23"/>
      <c r="G450" s="23"/>
      <c r="H450" s="23"/>
      <c r="I450" s="23"/>
      <c r="J450" s="23"/>
      <c r="K450" s="23"/>
      <c r="L450" s="59"/>
      <c r="M450" s="23"/>
      <c r="N450" s="23"/>
      <c r="O450" s="23"/>
      <c r="P450" s="23"/>
      <c r="Q450" s="23"/>
      <c r="R450" s="23"/>
      <c r="S450" s="23"/>
      <c r="T450" s="23"/>
      <c r="U450" s="23"/>
      <c r="V450" s="23"/>
      <c r="W450" s="23"/>
      <c r="X450" s="23"/>
      <c r="Y450" s="23"/>
      <c r="Z450" s="23"/>
    </row>
    <row r="451" customFormat="false" ht="15.75" hidden="false" customHeight="true" outlineLevel="0" collapsed="false">
      <c r="A451" s="23"/>
      <c r="B451" s="23"/>
      <c r="C451" s="23"/>
      <c r="D451" s="23"/>
      <c r="E451" s="23"/>
      <c r="F451" s="23"/>
      <c r="G451" s="23"/>
      <c r="H451" s="23"/>
      <c r="I451" s="23"/>
      <c r="J451" s="23"/>
      <c r="K451" s="23"/>
      <c r="L451" s="59"/>
      <c r="M451" s="23"/>
      <c r="N451" s="23"/>
      <c r="O451" s="23"/>
      <c r="P451" s="23"/>
      <c r="Q451" s="23"/>
      <c r="R451" s="23"/>
      <c r="S451" s="23"/>
      <c r="T451" s="23"/>
      <c r="U451" s="23"/>
      <c r="V451" s="23"/>
      <c r="W451" s="23"/>
      <c r="X451" s="23"/>
      <c r="Y451" s="23"/>
      <c r="Z451" s="23"/>
    </row>
    <row r="452" customFormat="false" ht="15.75" hidden="false" customHeight="true" outlineLevel="0" collapsed="false">
      <c r="A452" s="23"/>
      <c r="B452" s="23"/>
      <c r="C452" s="23"/>
      <c r="D452" s="23"/>
      <c r="E452" s="23"/>
      <c r="F452" s="23"/>
      <c r="G452" s="23"/>
      <c r="H452" s="23"/>
      <c r="I452" s="23"/>
      <c r="J452" s="23"/>
      <c r="K452" s="23"/>
      <c r="L452" s="59"/>
      <c r="M452" s="23"/>
      <c r="N452" s="23"/>
      <c r="O452" s="23"/>
      <c r="P452" s="23"/>
      <c r="Q452" s="23"/>
      <c r="R452" s="23"/>
      <c r="S452" s="23"/>
      <c r="T452" s="23"/>
      <c r="U452" s="23"/>
      <c r="V452" s="23"/>
      <c r="W452" s="23"/>
      <c r="X452" s="23"/>
      <c r="Y452" s="23"/>
      <c r="Z452" s="23"/>
    </row>
    <row r="453" customFormat="false" ht="15.75" hidden="false" customHeight="true" outlineLevel="0" collapsed="false">
      <c r="A453" s="23"/>
      <c r="B453" s="23"/>
      <c r="C453" s="23"/>
      <c r="D453" s="23"/>
      <c r="E453" s="23"/>
      <c r="F453" s="23"/>
      <c r="G453" s="23"/>
      <c r="H453" s="23"/>
      <c r="I453" s="23"/>
      <c r="J453" s="23"/>
      <c r="K453" s="23"/>
      <c r="L453" s="59"/>
      <c r="M453" s="23"/>
      <c r="N453" s="23"/>
      <c r="O453" s="23"/>
      <c r="P453" s="23"/>
      <c r="Q453" s="23"/>
      <c r="R453" s="23"/>
      <c r="S453" s="23"/>
      <c r="T453" s="23"/>
      <c r="U453" s="23"/>
      <c r="V453" s="23"/>
      <c r="W453" s="23"/>
      <c r="X453" s="23"/>
      <c r="Y453" s="23"/>
      <c r="Z453" s="23"/>
    </row>
    <row r="454" customFormat="false" ht="15.75" hidden="false" customHeight="true" outlineLevel="0" collapsed="false">
      <c r="A454" s="23"/>
      <c r="B454" s="23"/>
      <c r="C454" s="23"/>
      <c r="D454" s="23"/>
      <c r="E454" s="23"/>
      <c r="F454" s="23"/>
      <c r="G454" s="23"/>
      <c r="H454" s="23"/>
      <c r="I454" s="23"/>
      <c r="J454" s="23"/>
      <c r="K454" s="23"/>
      <c r="L454" s="59"/>
      <c r="M454" s="23"/>
      <c r="N454" s="23"/>
      <c r="O454" s="23"/>
      <c r="P454" s="23"/>
      <c r="Q454" s="23"/>
      <c r="R454" s="23"/>
      <c r="S454" s="23"/>
      <c r="T454" s="23"/>
      <c r="U454" s="23"/>
      <c r="V454" s="23"/>
      <c r="W454" s="23"/>
      <c r="X454" s="23"/>
      <c r="Y454" s="23"/>
      <c r="Z454" s="23"/>
    </row>
    <row r="455" customFormat="false" ht="15.75" hidden="false" customHeight="true" outlineLevel="0" collapsed="false">
      <c r="A455" s="23"/>
      <c r="B455" s="23"/>
      <c r="C455" s="23"/>
      <c r="D455" s="23"/>
      <c r="E455" s="23"/>
      <c r="F455" s="23"/>
      <c r="G455" s="23"/>
      <c r="H455" s="23"/>
      <c r="I455" s="23"/>
      <c r="J455" s="23"/>
      <c r="K455" s="23"/>
      <c r="L455" s="59"/>
      <c r="M455" s="23"/>
      <c r="N455" s="23"/>
      <c r="O455" s="23"/>
      <c r="P455" s="23"/>
      <c r="Q455" s="23"/>
      <c r="R455" s="23"/>
      <c r="S455" s="23"/>
      <c r="T455" s="23"/>
      <c r="U455" s="23"/>
      <c r="V455" s="23"/>
      <c r="W455" s="23"/>
      <c r="X455" s="23"/>
      <c r="Y455" s="23"/>
      <c r="Z455" s="23"/>
    </row>
    <row r="456" customFormat="false" ht="15.75" hidden="false" customHeight="true" outlineLevel="0" collapsed="false">
      <c r="A456" s="23"/>
      <c r="B456" s="23"/>
      <c r="C456" s="23"/>
      <c r="D456" s="23"/>
      <c r="E456" s="23"/>
      <c r="F456" s="23"/>
      <c r="G456" s="23"/>
      <c r="H456" s="23"/>
      <c r="I456" s="23"/>
      <c r="J456" s="23"/>
      <c r="K456" s="23"/>
      <c r="L456" s="59"/>
      <c r="M456" s="23"/>
      <c r="N456" s="23"/>
      <c r="O456" s="23"/>
      <c r="P456" s="23"/>
      <c r="Q456" s="23"/>
      <c r="R456" s="23"/>
      <c r="S456" s="23"/>
      <c r="T456" s="23"/>
      <c r="U456" s="23"/>
      <c r="V456" s="23"/>
      <c r="W456" s="23"/>
      <c r="X456" s="23"/>
      <c r="Y456" s="23"/>
      <c r="Z456" s="23"/>
    </row>
    <row r="457" customFormat="false" ht="15.75" hidden="false" customHeight="true" outlineLevel="0" collapsed="false">
      <c r="A457" s="23"/>
      <c r="B457" s="23"/>
      <c r="C457" s="23"/>
      <c r="D457" s="23"/>
      <c r="E457" s="23"/>
      <c r="F457" s="23"/>
      <c r="G457" s="23"/>
      <c r="H457" s="23"/>
      <c r="I457" s="23"/>
      <c r="J457" s="23"/>
      <c r="K457" s="23"/>
      <c r="L457" s="59"/>
      <c r="M457" s="23"/>
      <c r="N457" s="23"/>
      <c r="O457" s="23"/>
      <c r="P457" s="23"/>
      <c r="Q457" s="23"/>
      <c r="R457" s="23"/>
      <c r="S457" s="23"/>
      <c r="T457" s="23"/>
      <c r="U457" s="23"/>
      <c r="V457" s="23"/>
      <c r="W457" s="23"/>
      <c r="X457" s="23"/>
      <c r="Y457" s="23"/>
      <c r="Z457" s="23"/>
    </row>
    <row r="458" customFormat="false" ht="15.75" hidden="false" customHeight="true" outlineLevel="0" collapsed="false">
      <c r="A458" s="23"/>
      <c r="B458" s="23"/>
      <c r="C458" s="23"/>
      <c r="D458" s="23"/>
      <c r="E458" s="23"/>
      <c r="F458" s="23"/>
      <c r="G458" s="23"/>
      <c r="H458" s="23"/>
      <c r="I458" s="23"/>
      <c r="J458" s="23"/>
      <c r="K458" s="23"/>
      <c r="L458" s="59"/>
      <c r="M458" s="23"/>
      <c r="N458" s="23"/>
      <c r="O458" s="23"/>
      <c r="P458" s="23"/>
      <c r="Q458" s="23"/>
      <c r="R458" s="23"/>
      <c r="S458" s="23"/>
      <c r="T458" s="23"/>
      <c r="U458" s="23"/>
      <c r="V458" s="23"/>
      <c r="W458" s="23"/>
      <c r="X458" s="23"/>
      <c r="Y458" s="23"/>
      <c r="Z458" s="23"/>
    </row>
    <row r="459" customFormat="false" ht="15.75" hidden="false" customHeight="true" outlineLevel="0" collapsed="false">
      <c r="A459" s="23"/>
      <c r="B459" s="23"/>
      <c r="C459" s="23"/>
      <c r="D459" s="23"/>
      <c r="E459" s="23"/>
      <c r="F459" s="23"/>
      <c r="G459" s="23"/>
      <c r="H459" s="23"/>
      <c r="I459" s="23"/>
      <c r="J459" s="23"/>
      <c r="K459" s="23"/>
      <c r="L459" s="59"/>
      <c r="M459" s="23"/>
      <c r="N459" s="23"/>
      <c r="O459" s="23"/>
      <c r="P459" s="23"/>
      <c r="Q459" s="23"/>
      <c r="R459" s="23"/>
      <c r="S459" s="23"/>
      <c r="T459" s="23"/>
      <c r="U459" s="23"/>
      <c r="V459" s="23"/>
      <c r="W459" s="23"/>
      <c r="X459" s="23"/>
      <c r="Y459" s="23"/>
      <c r="Z459" s="23"/>
    </row>
    <row r="460" customFormat="false" ht="15.75" hidden="false" customHeight="true" outlineLevel="0" collapsed="false">
      <c r="A460" s="23"/>
      <c r="B460" s="23"/>
      <c r="C460" s="23"/>
      <c r="D460" s="23"/>
      <c r="E460" s="23"/>
      <c r="F460" s="23"/>
      <c r="G460" s="23"/>
      <c r="H460" s="23"/>
      <c r="I460" s="23"/>
      <c r="J460" s="23"/>
      <c r="K460" s="23"/>
      <c r="L460" s="59"/>
      <c r="M460" s="23"/>
      <c r="N460" s="23"/>
      <c r="O460" s="23"/>
      <c r="P460" s="23"/>
      <c r="Q460" s="23"/>
      <c r="R460" s="23"/>
      <c r="S460" s="23"/>
      <c r="T460" s="23"/>
      <c r="U460" s="23"/>
      <c r="V460" s="23"/>
      <c r="W460" s="23"/>
      <c r="X460" s="23"/>
      <c r="Y460" s="23"/>
      <c r="Z460" s="23"/>
    </row>
    <row r="461" customFormat="false" ht="15.75" hidden="false" customHeight="true" outlineLevel="0" collapsed="false">
      <c r="A461" s="23"/>
      <c r="B461" s="23"/>
      <c r="C461" s="23"/>
      <c r="D461" s="23"/>
      <c r="E461" s="23"/>
      <c r="F461" s="23"/>
      <c r="G461" s="23"/>
      <c r="H461" s="23"/>
      <c r="I461" s="23"/>
      <c r="J461" s="23"/>
      <c r="K461" s="23"/>
      <c r="L461" s="59"/>
      <c r="M461" s="23"/>
      <c r="N461" s="23"/>
      <c r="O461" s="23"/>
      <c r="P461" s="23"/>
      <c r="Q461" s="23"/>
      <c r="R461" s="23"/>
      <c r="S461" s="23"/>
      <c r="T461" s="23"/>
      <c r="U461" s="23"/>
      <c r="V461" s="23"/>
      <c r="W461" s="23"/>
      <c r="X461" s="23"/>
      <c r="Y461" s="23"/>
      <c r="Z461" s="23"/>
    </row>
    <row r="462" customFormat="false" ht="15.75" hidden="false" customHeight="true" outlineLevel="0" collapsed="false">
      <c r="A462" s="23"/>
      <c r="B462" s="23"/>
      <c r="C462" s="23"/>
      <c r="D462" s="23"/>
      <c r="E462" s="23"/>
      <c r="F462" s="23"/>
      <c r="G462" s="23"/>
      <c r="H462" s="23"/>
      <c r="I462" s="23"/>
      <c r="J462" s="23"/>
      <c r="K462" s="23"/>
      <c r="L462" s="59"/>
      <c r="M462" s="23"/>
      <c r="N462" s="23"/>
      <c r="O462" s="23"/>
      <c r="P462" s="23"/>
      <c r="Q462" s="23"/>
      <c r="R462" s="23"/>
      <c r="S462" s="23"/>
      <c r="T462" s="23"/>
      <c r="U462" s="23"/>
      <c r="V462" s="23"/>
      <c r="W462" s="23"/>
      <c r="X462" s="23"/>
      <c r="Y462" s="23"/>
      <c r="Z462" s="23"/>
    </row>
    <row r="463" customFormat="false" ht="15.75" hidden="false" customHeight="true" outlineLevel="0" collapsed="false">
      <c r="A463" s="23"/>
      <c r="B463" s="23"/>
      <c r="C463" s="23"/>
      <c r="D463" s="23"/>
      <c r="E463" s="23"/>
      <c r="F463" s="23"/>
      <c r="G463" s="23"/>
      <c r="H463" s="23"/>
      <c r="I463" s="23"/>
      <c r="J463" s="23"/>
      <c r="K463" s="23"/>
      <c r="L463" s="59"/>
      <c r="M463" s="23"/>
      <c r="N463" s="23"/>
      <c r="O463" s="23"/>
      <c r="P463" s="23"/>
      <c r="Q463" s="23"/>
      <c r="R463" s="23"/>
      <c r="S463" s="23"/>
      <c r="T463" s="23"/>
      <c r="U463" s="23"/>
      <c r="V463" s="23"/>
      <c r="W463" s="23"/>
      <c r="X463" s="23"/>
      <c r="Y463" s="23"/>
      <c r="Z463" s="23"/>
    </row>
    <row r="464" customFormat="false" ht="15.75" hidden="false" customHeight="true" outlineLevel="0" collapsed="false">
      <c r="A464" s="23"/>
      <c r="B464" s="23"/>
      <c r="C464" s="23"/>
      <c r="D464" s="23"/>
      <c r="E464" s="23"/>
      <c r="F464" s="23"/>
      <c r="G464" s="23"/>
      <c r="H464" s="23"/>
      <c r="I464" s="23"/>
      <c r="J464" s="23"/>
      <c r="K464" s="23"/>
      <c r="L464" s="59"/>
      <c r="M464" s="23"/>
      <c r="N464" s="23"/>
      <c r="O464" s="23"/>
      <c r="P464" s="23"/>
      <c r="Q464" s="23"/>
      <c r="R464" s="23"/>
      <c r="S464" s="23"/>
      <c r="T464" s="23"/>
      <c r="U464" s="23"/>
      <c r="V464" s="23"/>
      <c r="W464" s="23"/>
      <c r="X464" s="23"/>
      <c r="Y464" s="23"/>
      <c r="Z464" s="23"/>
    </row>
    <row r="465" customFormat="false" ht="15.75" hidden="false" customHeight="true" outlineLevel="0" collapsed="false">
      <c r="A465" s="23"/>
      <c r="B465" s="23"/>
      <c r="C465" s="23"/>
      <c r="D465" s="23"/>
      <c r="E465" s="23"/>
      <c r="F465" s="23"/>
      <c r="G465" s="23"/>
      <c r="H465" s="23"/>
      <c r="I465" s="23"/>
      <c r="J465" s="23"/>
      <c r="K465" s="23"/>
      <c r="L465" s="59"/>
      <c r="M465" s="23"/>
      <c r="N465" s="23"/>
      <c r="O465" s="23"/>
      <c r="P465" s="23"/>
      <c r="Q465" s="23"/>
      <c r="R465" s="23"/>
      <c r="S465" s="23"/>
      <c r="T465" s="23"/>
      <c r="U465" s="23"/>
      <c r="V465" s="23"/>
      <c r="W465" s="23"/>
      <c r="X465" s="23"/>
      <c r="Y465" s="23"/>
      <c r="Z465" s="23"/>
    </row>
    <row r="466" customFormat="false" ht="15.75" hidden="false" customHeight="true" outlineLevel="0" collapsed="false">
      <c r="A466" s="23"/>
      <c r="B466" s="23"/>
      <c r="C466" s="23"/>
      <c r="D466" s="23"/>
      <c r="E466" s="23"/>
      <c r="F466" s="23"/>
      <c r="G466" s="23"/>
      <c r="H466" s="23"/>
      <c r="I466" s="23"/>
      <c r="J466" s="23"/>
      <c r="K466" s="23"/>
      <c r="L466" s="59"/>
      <c r="M466" s="23"/>
      <c r="N466" s="23"/>
      <c r="O466" s="23"/>
      <c r="P466" s="23"/>
      <c r="Q466" s="23"/>
      <c r="R466" s="23"/>
      <c r="S466" s="23"/>
      <c r="T466" s="23"/>
      <c r="U466" s="23"/>
      <c r="V466" s="23"/>
      <c r="W466" s="23"/>
      <c r="X466" s="23"/>
      <c r="Y466" s="23"/>
      <c r="Z466" s="23"/>
    </row>
    <row r="467" customFormat="false" ht="15.75" hidden="false" customHeight="true" outlineLevel="0" collapsed="false">
      <c r="A467" s="23"/>
      <c r="B467" s="23"/>
      <c r="C467" s="23"/>
      <c r="D467" s="23"/>
      <c r="E467" s="23"/>
      <c r="F467" s="23"/>
      <c r="G467" s="23"/>
      <c r="H467" s="23"/>
      <c r="I467" s="23"/>
      <c r="J467" s="23"/>
      <c r="K467" s="23"/>
      <c r="L467" s="59"/>
      <c r="M467" s="23"/>
      <c r="N467" s="23"/>
      <c r="O467" s="23"/>
      <c r="P467" s="23"/>
      <c r="Q467" s="23"/>
      <c r="R467" s="23"/>
      <c r="S467" s="23"/>
      <c r="T467" s="23"/>
      <c r="U467" s="23"/>
      <c r="V467" s="23"/>
      <c r="W467" s="23"/>
      <c r="X467" s="23"/>
      <c r="Y467" s="23"/>
      <c r="Z467" s="23"/>
    </row>
    <row r="468" customFormat="false" ht="15.75" hidden="false" customHeight="true" outlineLevel="0" collapsed="false">
      <c r="A468" s="23"/>
      <c r="B468" s="23"/>
      <c r="C468" s="23"/>
      <c r="D468" s="23"/>
      <c r="E468" s="23"/>
      <c r="F468" s="23"/>
      <c r="G468" s="23"/>
      <c r="H468" s="23"/>
      <c r="I468" s="23"/>
      <c r="J468" s="23"/>
      <c r="K468" s="23"/>
      <c r="L468" s="59"/>
      <c r="M468" s="23"/>
      <c r="N468" s="23"/>
      <c r="O468" s="23"/>
      <c r="P468" s="23"/>
      <c r="Q468" s="23"/>
      <c r="R468" s="23"/>
      <c r="S468" s="23"/>
      <c r="T468" s="23"/>
      <c r="U468" s="23"/>
      <c r="V468" s="23"/>
      <c r="W468" s="23"/>
      <c r="X468" s="23"/>
      <c r="Y468" s="23"/>
      <c r="Z468" s="23"/>
    </row>
    <row r="469" customFormat="false" ht="15.75" hidden="false" customHeight="true" outlineLevel="0" collapsed="false">
      <c r="A469" s="23"/>
      <c r="B469" s="23"/>
      <c r="C469" s="23"/>
      <c r="D469" s="23"/>
      <c r="E469" s="23"/>
      <c r="F469" s="23"/>
      <c r="G469" s="23"/>
      <c r="H469" s="23"/>
      <c r="I469" s="23"/>
      <c r="J469" s="23"/>
      <c r="K469" s="23"/>
      <c r="L469" s="59"/>
      <c r="M469" s="23"/>
      <c r="N469" s="23"/>
      <c r="O469" s="23"/>
      <c r="P469" s="23"/>
      <c r="Q469" s="23"/>
      <c r="R469" s="23"/>
      <c r="S469" s="23"/>
      <c r="T469" s="23"/>
      <c r="U469" s="23"/>
      <c r="V469" s="23"/>
      <c r="W469" s="23"/>
      <c r="X469" s="23"/>
      <c r="Y469" s="23"/>
      <c r="Z469" s="23"/>
    </row>
    <row r="470" customFormat="false" ht="15.75" hidden="false" customHeight="true" outlineLevel="0" collapsed="false">
      <c r="A470" s="23"/>
      <c r="B470" s="23"/>
      <c r="C470" s="23"/>
      <c r="D470" s="23"/>
      <c r="E470" s="23"/>
      <c r="F470" s="23"/>
      <c r="G470" s="23"/>
      <c r="H470" s="23"/>
      <c r="I470" s="23"/>
      <c r="J470" s="23"/>
      <c r="K470" s="23"/>
      <c r="L470" s="59"/>
      <c r="M470" s="23"/>
      <c r="N470" s="23"/>
      <c r="O470" s="23"/>
      <c r="P470" s="23"/>
      <c r="Q470" s="23"/>
      <c r="R470" s="23"/>
      <c r="S470" s="23"/>
      <c r="T470" s="23"/>
      <c r="U470" s="23"/>
      <c r="V470" s="23"/>
      <c r="W470" s="23"/>
      <c r="X470" s="23"/>
      <c r="Y470" s="23"/>
      <c r="Z470" s="23"/>
    </row>
    <row r="471" customFormat="false" ht="15.75" hidden="false" customHeight="true" outlineLevel="0" collapsed="false">
      <c r="A471" s="23"/>
      <c r="B471" s="23"/>
      <c r="C471" s="23"/>
      <c r="D471" s="23"/>
      <c r="E471" s="23"/>
      <c r="F471" s="23"/>
      <c r="G471" s="23"/>
      <c r="H471" s="23"/>
      <c r="I471" s="23"/>
      <c r="J471" s="23"/>
      <c r="K471" s="23"/>
      <c r="L471" s="59"/>
      <c r="M471" s="23"/>
      <c r="N471" s="23"/>
      <c r="O471" s="23"/>
      <c r="P471" s="23"/>
      <c r="Q471" s="23"/>
      <c r="R471" s="23"/>
      <c r="S471" s="23"/>
      <c r="T471" s="23"/>
      <c r="U471" s="23"/>
      <c r="V471" s="23"/>
      <c r="W471" s="23"/>
      <c r="X471" s="23"/>
      <c r="Y471" s="23"/>
      <c r="Z471" s="23"/>
    </row>
    <row r="472" customFormat="false" ht="15.75" hidden="false" customHeight="true" outlineLevel="0" collapsed="false">
      <c r="A472" s="23"/>
      <c r="B472" s="23"/>
      <c r="C472" s="23"/>
      <c r="D472" s="23"/>
      <c r="E472" s="23"/>
      <c r="F472" s="23"/>
      <c r="G472" s="23"/>
      <c r="H472" s="23"/>
      <c r="I472" s="23"/>
      <c r="J472" s="23"/>
      <c r="K472" s="23"/>
      <c r="L472" s="59"/>
      <c r="M472" s="23"/>
      <c r="N472" s="23"/>
      <c r="O472" s="23"/>
      <c r="P472" s="23"/>
      <c r="Q472" s="23"/>
      <c r="R472" s="23"/>
      <c r="S472" s="23"/>
      <c r="T472" s="23"/>
      <c r="U472" s="23"/>
      <c r="V472" s="23"/>
      <c r="W472" s="23"/>
      <c r="X472" s="23"/>
      <c r="Y472" s="23"/>
      <c r="Z472" s="23"/>
    </row>
    <row r="473" customFormat="false" ht="15.75" hidden="false" customHeight="true" outlineLevel="0" collapsed="false">
      <c r="A473" s="23"/>
      <c r="B473" s="23"/>
      <c r="C473" s="23"/>
      <c r="D473" s="23"/>
      <c r="E473" s="23"/>
      <c r="F473" s="23"/>
      <c r="G473" s="23"/>
      <c r="H473" s="23"/>
      <c r="I473" s="23"/>
      <c r="J473" s="23"/>
      <c r="K473" s="23"/>
      <c r="L473" s="59"/>
      <c r="M473" s="23"/>
      <c r="N473" s="23"/>
      <c r="O473" s="23"/>
      <c r="P473" s="23"/>
      <c r="Q473" s="23"/>
      <c r="R473" s="23"/>
      <c r="S473" s="23"/>
      <c r="T473" s="23"/>
      <c r="U473" s="23"/>
      <c r="V473" s="23"/>
      <c r="W473" s="23"/>
      <c r="X473" s="23"/>
      <c r="Y473" s="23"/>
      <c r="Z473" s="23"/>
    </row>
    <row r="474" customFormat="false" ht="15.75" hidden="false" customHeight="true" outlineLevel="0" collapsed="false">
      <c r="A474" s="23"/>
      <c r="B474" s="23"/>
      <c r="C474" s="23"/>
      <c r="D474" s="23"/>
      <c r="E474" s="23"/>
      <c r="F474" s="23"/>
      <c r="G474" s="23"/>
      <c r="H474" s="23"/>
      <c r="I474" s="23"/>
      <c r="J474" s="23"/>
      <c r="K474" s="23"/>
      <c r="L474" s="59"/>
      <c r="M474" s="23"/>
      <c r="N474" s="23"/>
      <c r="O474" s="23"/>
      <c r="P474" s="23"/>
      <c r="Q474" s="23"/>
      <c r="R474" s="23"/>
      <c r="S474" s="23"/>
      <c r="T474" s="23"/>
      <c r="U474" s="23"/>
      <c r="V474" s="23"/>
      <c r="W474" s="23"/>
      <c r="X474" s="23"/>
      <c r="Y474" s="23"/>
      <c r="Z474" s="23"/>
    </row>
    <row r="475" customFormat="false" ht="15.75" hidden="false" customHeight="true" outlineLevel="0" collapsed="false">
      <c r="A475" s="23"/>
      <c r="B475" s="23"/>
      <c r="C475" s="23"/>
      <c r="D475" s="23"/>
      <c r="E475" s="23"/>
      <c r="F475" s="23"/>
      <c r="G475" s="23"/>
      <c r="H475" s="23"/>
      <c r="I475" s="23"/>
      <c r="J475" s="23"/>
      <c r="K475" s="23"/>
      <c r="L475" s="59"/>
      <c r="M475" s="23"/>
      <c r="N475" s="23"/>
      <c r="O475" s="23"/>
      <c r="P475" s="23"/>
      <c r="Q475" s="23"/>
      <c r="R475" s="23"/>
      <c r="S475" s="23"/>
      <c r="T475" s="23"/>
      <c r="U475" s="23"/>
      <c r="V475" s="23"/>
      <c r="W475" s="23"/>
      <c r="X475" s="23"/>
      <c r="Y475" s="23"/>
      <c r="Z475" s="23"/>
    </row>
    <row r="476" customFormat="false" ht="15.75" hidden="false" customHeight="true" outlineLevel="0" collapsed="false">
      <c r="A476" s="23"/>
      <c r="B476" s="23"/>
      <c r="C476" s="23"/>
      <c r="D476" s="23"/>
      <c r="E476" s="23"/>
      <c r="F476" s="23"/>
      <c r="G476" s="23"/>
      <c r="H476" s="23"/>
      <c r="I476" s="23"/>
      <c r="J476" s="23"/>
      <c r="K476" s="23"/>
      <c r="L476" s="59"/>
      <c r="M476" s="23"/>
      <c r="N476" s="23"/>
      <c r="O476" s="23"/>
      <c r="P476" s="23"/>
      <c r="Q476" s="23"/>
      <c r="R476" s="23"/>
      <c r="S476" s="23"/>
      <c r="T476" s="23"/>
      <c r="U476" s="23"/>
      <c r="V476" s="23"/>
      <c r="W476" s="23"/>
      <c r="X476" s="23"/>
      <c r="Y476" s="23"/>
      <c r="Z476" s="23"/>
    </row>
    <row r="477" customFormat="false" ht="15.75" hidden="false" customHeight="true" outlineLevel="0" collapsed="false">
      <c r="A477" s="23"/>
      <c r="B477" s="23"/>
      <c r="C477" s="23"/>
      <c r="D477" s="23"/>
      <c r="E477" s="23"/>
      <c r="F477" s="23"/>
      <c r="G477" s="23"/>
      <c r="H477" s="23"/>
      <c r="I477" s="23"/>
      <c r="J477" s="23"/>
      <c r="K477" s="23"/>
      <c r="L477" s="59"/>
      <c r="M477" s="23"/>
      <c r="N477" s="23"/>
      <c r="O477" s="23"/>
      <c r="P477" s="23"/>
      <c r="Q477" s="23"/>
      <c r="R477" s="23"/>
      <c r="S477" s="23"/>
      <c r="T477" s="23"/>
      <c r="U477" s="23"/>
      <c r="V477" s="23"/>
      <c r="W477" s="23"/>
      <c r="X477" s="23"/>
      <c r="Y477" s="23"/>
      <c r="Z477" s="23"/>
    </row>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E2:E372">
    <cfRule type="colorScale" priority="2">
      <colorScale>
        <cfvo type="min" val="0"/>
        <cfvo type="percentile" val="50"/>
        <cfvo type="max" val="0"/>
        <color rgb="FF63BE7B"/>
        <color rgb="FFFFEB84"/>
        <color rgb="FFF8696B"/>
      </colorScale>
    </cfRule>
  </conditionalFormatting>
  <conditionalFormatting sqref="F2:F372">
    <cfRule type="colorScale" priority="3">
      <colorScale>
        <cfvo type="min" val="0"/>
        <cfvo type="percentile" val="50"/>
        <cfvo type="max" val="0"/>
        <color rgb="FF63BE7B"/>
        <color rgb="FFFFEB84"/>
        <color rgb="FFF8696B"/>
      </colorScale>
    </cfRule>
  </conditionalFormatting>
  <conditionalFormatting sqref="G2:G372">
    <cfRule type="colorScale" priority="4">
      <colorScale>
        <cfvo type="min" val="0"/>
        <cfvo type="percentile" val="50"/>
        <cfvo type="max" val="0"/>
        <color rgb="FF63BE7B"/>
        <color rgb="FFFFEB84"/>
        <color rgb="FFF8696B"/>
      </colorScale>
    </cfRule>
  </conditionalFormatting>
  <conditionalFormatting sqref="H2:H372">
    <cfRule type="colorScale" priority="5">
      <colorScale>
        <cfvo type="min" val="0"/>
        <cfvo type="percentile" val="50"/>
        <cfvo type="max" val="0"/>
        <color rgb="FF63BE7B"/>
        <color rgb="FFFFEB84"/>
        <color rgb="FFF8696B"/>
      </colorScale>
    </cfRule>
  </conditionalFormatting>
  <conditionalFormatting sqref="I2:I372">
    <cfRule type="colorScale" priority="6">
      <colorScale>
        <cfvo type="min" val="0"/>
        <cfvo type="percentile" val="50"/>
        <cfvo type="max" val="0"/>
        <color rgb="FF63BE7B"/>
        <color rgb="FFFFEB84"/>
        <color rgb="FFF8696B"/>
      </colorScale>
    </cfRule>
  </conditionalFormatting>
  <conditionalFormatting sqref="J2:J372">
    <cfRule type="colorScale" priority="7">
      <colorScale>
        <cfvo type="min" val="0"/>
        <cfvo type="percentile" val="50"/>
        <cfvo type="max" val="0"/>
        <color rgb="FF63BE7B"/>
        <color rgb="FFFFEB84"/>
        <color rgb="FFF8696B"/>
      </colorScale>
    </cfRule>
  </conditionalFormatting>
  <conditionalFormatting sqref="K2:K372">
    <cfRule type="colorScale" priority="8">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 zeroHeight="false" outlineLevelRow="0" outlineLevelCol="0"/>
  <cols>
    <col collapsed="false" customWidth="true" hidden="false" outlineLevel="0" max="1" min="1" style="0" width="8"/>
    <col collapsed="false" customWidth="true" hidden="false" outlineLevel="0" max="2" min="2" style="0" width="28.38"/>
    <col collapsed="false" customWidth="true" hidden="false" outlineLevel="0" max="3" min="3" style="0" width="9.13"/>
    <col collapsed="false" customWidth="true" hidden="false" outlineLevel="0" max="4" min="4" style="0" width="12.38"/>
    <col collapsed="false" customWidth="true" hidden="false" outlineLevel="0" max="5" min="5" style="0" width="14.75"/>
    <col collapsed="false" customWidth="true" hidden="false" outlineLevel="0" max="6" min="6" style="0" width="13"/>
    <col collapsed="false" customWidth="true" hidden="false" outlineLevel="0" max="7" min="7" style="0" width="14.51"/>
    <col collapsed="false" customWidth="true" hidden="false" outlineLevel="0" max="8" min="8" style="0" width="28.5"/>
    <col collapsed="false" customWidth="true" hidden="false" outlineLevel="0" max="9" min="9" style="0" width="28.25"/>
    <col collapsed="false" customWidth="true" hidden="false" outlineLevel="0" max="10" min="10" style="0" width="12.88"/>
    <col collapsed="false" customWidth="true" hidden="false" outlineLevel="0" max="11" min="11" style="0" width="14.63"/>
    <col collapsed="false" customWidth="true" hidden="false" outlineLevel="0" max="12" min="12" style="0" width="26.75"/>
    <col collapsed="false" customWidth="true" hidden="false" outlineLevel="0" max="13" min="13" style="0" width="67.13"/>
    <col collapsed="false" customWidth="true" hidden="false" outlineLevel="0" max="14" min="14" style="0" width="6.88"/>
  </cols>
  <sheetData>
    <row r="1" customFormat="false" ht="15.75" hidden="false" customHeight="true" outlineLevel="0" collapsed="false">
      <c r="A1" s="50" t="s">
        <v>0</v>
      </c>
      <c r="B1" s="50" t="s">
        <v>712</v>
      </c>
      <c r="C1" s="50" t="s">
        <v>4</v>
      </c>
      <c r="D1" s="50" t="s">
        <v>5</v>
      </c>
      <c r="E1" s="50" t="s">
        <v>808</v>
      </c>
      <c r="F1" s="50" t="s">
        <v>809</v>
      </c>
      <c r="G1" s="50" t="s">
        <v>810</v>
      </c>
      <c r="H1" s="50" t="s">
        <v>811</v>
      </c>
      <c r="I1" s="50" t="s">
        <v>812</v>
      </c>
      <c r="J1" s="50" t="s">
        <v>813</v>
      </c>
      <c r="K1" s="50" t="s">
        <v>716</v>
      </c>
      <c r="L1" s="50" t="s">
        <v>814</v>
      </c>
      <c r="M1" s="60" t="s">
        <v>560</v>
      </c>
      <c r="N1" s="50" t="s">
        <v>561</v>
      </c>
      <c r="O1" s="23"/>
      <c r="P1" s="23"/>
      <c r="Q1" s="23"/>
      <c r="R1" s="23"/>
      <c r="S1" s="23"/>
      <c r="T1" s="23"/>
      <c r="U1" s="23"/>
      <c r="V1" s="23"/>
      <c r="W1" s="23"/>
      <c r="X1" s="23"/>
      <c r="Y1" s="23"/>
      <c r="Z1" s="23"/>
    </row>
    <row r="2" customFormat="false" ht="15.75" hidden="false" customHeight="true" outlineLevel="0" collapsed="false">
      <c r="A2" s="52" t="n">
        <v>46303</v>
      </c>
      <c r="B2" s="14" t="s">
        <v>222</v>
      </c>
      <c r="C2" s="14" t="str">
        <f aca="false" t="array" ref="C2:C2">IF(B2="","",IFERROR(INDEX('CLM &amp; IM Mapping'!$B$2:$B$270,MATCH(TRIM(B2),'CLM &amp; IM Mapping'!$A$2:$A$270,0)),"Not Mapped"))</f>
        <v>Vishnu V</v>
      </c>
      <c r="D2" s="14" t="str">
        <f aca="false" t="array" ref="D2:D2">IF(B2="","",IFERROR(INDEX('CLM &amp; IM Mapping'!$C$2:$C$270,MATCH(TRIM(B2),'CLM &amp; IM Mapping'!$A$2:$A$270,0)),"Not Mapped"))</f>
        <v>Arivind S</v>
      </c>
      <c r="E2" s="14" t="n">
        <v>100</v>
      </c>
      <c r="F2" s="14" t="n">
        <v>1694</v>
      </c>
      <c r="G2" s="14" t="n">
        <v>31</v>
      </c>
      <c r="H2" s="14" t="n">
        <v>8</v>
      </c>
      <c r="I2" s="14" t="n">
        <v>0</v>
      </c>
      <c r="J2" s="14" t="n">
        <v>24</v>
      </c>
      <c r="K2" s="14" t="n">
        <v>1857</v>
      </c>
      <c r="L2" s="14" t="n">
        <v>69</v>
      </c>
      <c r="M2" s="12" t="s">
        <v>815</v>
      </c>
      <c r="N2" s="11"/>
      <c r="O2" s="23"/>
      <c r="P2" s="23"/>
      <c r="Q2" s="23"/>
      <c r="R2" s="23"/>
      <c r="S2" s="23"/>
      <c r="T2" s="23"/>
      <c r="U2" s="23"/>
      <c r="V2" s="23"/>
      <c r="W2" s="23"/>
      <c r="X2" s="23"/>
      <c r="Y2" s="23"/>
      <c r="Z2" s="23"/>
    </row>
    <row r="3" customFormat="false" ht="15.75" hidden="false" customHeight="true" outlineLevel="0" collapsed="false">
      <c r="A3" s="52" t="n">
        <v>46303</v>
      </c>
      <c r="B3" s="14" t="s">
        <v>38</v>
      </c>
      <c r="C3" s="14" t="str">
        <f aca="false" t="array" ref="C3:C3">IF(B3="","",IFERROR(INDEX('CLM &amp; IM Mapping'!$B$2:$B$270,MATCH(TRIM(B3),'CLM &amp; IM Mapping'!$A$2:$A$270,0)),"Not Mapped"))</f>
        <v>Vijay M</v>
      </c>
      <c r="D3" s="14" t="str">
        <f aca="false" t="array" ref="D3:D3">IF(B3="","",IFERROR(INDEX('CLM &amp; IM Mapping'!$C$2:$C$270,MATCH(TRIM(B3),'CLM &amp; IM Mapping'!$A$2:$A$270,0)),"Not Mapped"))</f>
        <v>Kantha Kumar</v>
      </c>
      <c r="E3" s="14" t="n">
        <v>0</v>
      </c>
      <c r="F3" s="14" t="n">
        <v>11</v>
      </c>
      <c r="G3" s="14" t="n">
        <v>0</v>
      </c>
      <c r="H3" s="14" t="n">
        <v>167</v>
      </c>
      <c r="I3" s="14" t="n">
        <v>830</v>
      </c>
      <c r="J3" s="14" t="n">
        <v>44</v>
      </c>
      <c r="K3" s="14" t="n">
        <v>1052</v>
      </c>
      <c r="L3" s="14" t="n">
        <v>655</v>
      </c>
      <c r="M3" s="21"/>
      <c r="N3" s="11"/>
      <c r="O3" s="23"/>
      <c r="P3" s="23"/>
      <c r="Q3" s="23"/>
      <c r="R3" s="23"/>
      <c r="S3" s="23"/>
      <c r="T3" s="23"/>
      <c r="U3" s="23"/>
      <c r="V3" s="23"/>
      <c r="W3" s="23"/>
      <c r="X3" s="23"/>
      <c r="Y3" s="23"/>
      <c r="Z3" s="23"/>
    </row>
    <row r="4" customFormat="false" ht="15.75" hidden="false" customHeight="true" outlineLevel="0" collapsed="false">
      <c r="A4" s="52" t="n">
        <v>46303</v>
      </c>
      <c r="B4" s="14" t="s">
        <v>65</v>
      </c>
      <c r="C4" s="14" t="str">
        <f aca="false" t="array" ref="C4:C4">IF(B4="","",IFERROR(INDEX('CLM &amp; IM Mapping'!$B$2:$B$270,MATCH(TRIM(B4),'CLM &amp; IM Mapping'!$A$2:$A$270,0)),"Not Mapped"))</f>
        <v>Adhavan Subramani</v>
      </c>
      <c r="D4" s="14" t="str">
        <f aca="false" t="array" ref="D4:D4">IF(B4="","",IFERROR(INDEX('CLM &amp; IM Mapping'!$C$2:$C$270,MATCH(TRIM(B4),'CLM &amp; IM Mapping'!$A$2:$A$270,0)),"Not Mapped"))</f>
        <v>Mohammed Akbar</v>
      </c>
      <c r="E4" s="14" t="n">
        <v>48</v>
      </c>
      <c r="F4" s="14" t="n">
        <v>594</v>
      </c>
      <c r="G4" s="14" t="n">
        <v>2</v>
      </c>
      <c r="H4" s="14" t="n">
        <v>2</v>
      </c>
      <c r="I4" s="14" t="n">
        <v>12</v>
      </c>
      <c r="J4" s="14" t="n">
        <v>23</v>
      </c>
      <c r="K4" s="14" t="n">
        <v>681</v>
      </c>
      <c r="L4" s="14" t="n">
        <v>681</v>
      </c>
      <c r="M4" s="21"/>
      <c r="N4" s="11"/>
      <c r="O4" s="23"/>
      <c r="P4" s="23"/>
      <c r="Q4" s="23"/>
      <c r="R4" s="23"/>
      <c r="S4" s="23"/>
      <c r="T4" s="23"/>
      <c r="U4" s="23"/>
      <c r="V4" s="23"/>
      <c r="W4" s="23"/>
      <c r="X4" s="23"/>
      <c r="Y4" s="23"/>
      <c r="Z4" s="23"/>
    </row>
    <row r="5" customFormat="false" ht="15.75" hidden="false" customHeight="true" outlineLevel="0" collapsed="false">
      <c r="A5" s="52" t="n">
        <v>46303</v>
      </c>
      <c r="B5" s="14" t="s">
        <v>129</v>
      </c>
      <c r="C5" s="14" t="str">
        <f aca="false" t="array" ref="C5:C5">IF(B5="","",IFERROR(INDEX('CLM &amp; IM Mapping'!$B$2:$B$270,MATCH(TRIM(B5),'CLM &amp; IM Mapping'!$A$2:$A$270,0)),"Not Mapped"))</f>
        <v>Ashwath S</v>
      </c>
      <c r="D5" s="14" t="str">
        <f aca="false" t="array" ref="D5:D5">IF(B5="","",IFERROR(INDEX('CLM &amp; IM Mapping'!$C$2:$C$270,MATCH(TRIM(B5),'CLM &amp; IM Mapping'!$A$2:$A$270,0)),"Not Mapped"))</f>
        <v>Kantha Kumar</v>
      </c>
      <c r="E5" s="14" t="n">
        <v>74</v>
      </c>
      <c r="F5" s="14" t="n">
        <v>398</v>
      </c>
      <c r="G5" s="14" t="n">
        <v>7</v>
      </c>
      <c r="H5" s="14" t="n">
        <v>3</v>
      </c>
      <c r="I5" s="14" t="n">
        <v>0</v>
      </c>
      <c r="J5" s="14" t="n">
        <v>191</v>
      </c>
      <c r="K5" s="14" t="n">
        <v>673</v>
      </c>
      <c r="L5" s="14" t="n">
        <v>429</v>
      </c>
      <c r="M5" s="21"/>
      <c r="N5" s="11"/>
      <c r="O5" s="23"/>
      <c r="P5" s="23"/>
      <c r="Q5" s="23"/>
      <c r="R5" s="23"/>
      <c r="S5" s="23"/>
      <c r="T5" s="23"/>
      <c r="U5" s="23"/>
      <c r="V5" s="23"/>
      <c r="W5" s="23"/>
      <c r="X5" s="23"/>
      <c r="Y5" s="23"/>
      <c r="Z5" s="23"/>
    </row>
    <row r="6" customFormat="false" ht="15.75" hidden="false" customHeight="true" outlineLevel="0" collapsed="false">
      <c r="A6" s="52" t="n">
        <v>46303</v>
      </c>
      <c r="B6" s="14" t="s">
        <v>208</v>
      </c>
      <c r="C6" s="14" t="str">
        <f aca="false" t="array" ref="C6:C6">IF(B6="","",IFERROR(INDEX('CLM &amp; IM Mapping'!$B$2:$B$270,MATCH(TRIM(B6),'CLM &amp; IM Mapping'!$A$2:$A$270,0)),"Not Mapped"))</f>
        <v>Silambarasan E</v>
      </c>
      <c r="D6" s="14" t="str">
        <f aca="false" t="array" ref="D6:D6">IF(B6="","",IFERROR(INDEX('CLM &amp; IM Mapping'!$C$2:$C$270,MATCH(TRIM(B6),'CLM &amp; IM Mapping'!$A$2:$A$270,0)),"Not Mapped"))</f>
        <v>Arivind S</v>
      </c>
      <c r="E6" s="14" t="n">
        <v>172</v>
      </c>
      <c r="F6" s="14" t="n">
        <v>430</v>
      </c>
      <c r="G6" s="14" t="n">
        <v>11</v>
      </c>
      <c r="H6" s="14" t="n">
        <v>0</v>
      </c>
      <c r="I6" s="14" t="n">
        <v>15</v>
      </c>
      <c r="J6" s="14" t="n">
        <v>35</v>
      </c>
      <c r="K6" s="14" t="n">
        <v>663</v>
      </c>
      <c r="L6" s="14" t="n">
        <v>240</v>
      </c>
      <c r="M6" s="12" t="s">
        <v>816</v>
      </c>
      <c r="N6" s="54" t="n">
        <v>0.708333333333333</v>
      </c>
      <c r="O6" s="23"/>
      <c r="P6" s="23"/>
      <c r="Q6" s="23"/>
      <c r="R6" s="23"/>
      <c r="S6" s="23"/>
      <c r="T6" s="23"/>
      <c r="U6" s="23"/>
      <c r="V6" s="23"/>
      <c r="W6" s="23"/>
      <c r="X6" s="23"/>
      <c r="Y6" s="23"/>
      <c r="Z6" s="23"/>
    </row>
    <row r="7" customFormat="false" ht="15.75" hidden="false" customHeight="true" outlineLevel="0" collapsed="false">
      <c r="A7" s="52" t="n">
        <v>46303</v>
      </c>
      <c r="B7" s="14" t="s">
        <v>306</v>
      </c>
      <c r="C7" s="14" t="str">
        <f aca="false" t="array" ref="C7:C7">IF(B7="","",IFERROR(INDEX('CLM &amp; IM Mapping'!$B$2:$B$270,MATCH(TRIM(B7),'CLM &amp; IM Mapping'!$A$2:$A$270,0)),"Not Mapped"))</f>
        <v>Narasimhamurthy R</v>
      </c>
      <c r="D7" s="14" t="str">
        <f aca="false" t="array" ref="D7:D7">IF(B7="","",IFERROR(INDEX('CLM &amp; IM Mapping'!$C$2:$C$270,MATCH(TRIM(B7),'CLM &amp; IM Mapping'!$A$2:$A$270,0)),"Not Mapped"))</f>
        <v>Kishor K</v>
      </c>
      <c r="E7" s="14" t="n">
        <v>85</v>
      </c>
      <c r="F7" s="14" t="n">
        <v>401</v>
      </c>
      <c r="G7" s="14" t="n">
        <v>93</v>
      </c>
      <c r="H7" s="14" t="n">
        <v>3</v>
      </c>
      <c r="I7" s="14" t="n">
        <v>0</v>
      </c>
      <c r="J7" s="14" t="n">
        <v>76</v>
      </c>
      <c r="K7" s="14" t="n">
        <v>658</v>
      </c>
      <c r="L7" s="14" t="n">
        <v>399</v>
      </c>
      <c r="M7" s="12" t="s">
        <v>817</v>
      </c>
      <c r="N7" s="54" t="n">
        <v>0.666666666666667</v>
      </c>
      <c r="O7" s="23"/>
      <c r="P7" s="23"/>
      <c r="Q7" s="23"/>
      <c r="R7" s="23"/>
      <c r="S7" s="23"/>
      <c r="T7" s="23"/>
      <c r="U7" s="23"/>
      <c r="V7" s="23"/>
      <c r="W7" s="23"/>
      <c r="X7" s="23"/>
      <c r="Y7" s="23"/>
      <c r="Z7" s="23"/>
    </row>
    <row r="8" customFormat="false" ht="15.75" hidden="false" customHeight="true" outlineLevel="0" collapsed="false">
      <c r="A8" s="52" t="n">
        <v>46303</v>
      </c>
      <c r="B8" s="14" t="s">
        <v>184</v>
      </c>
      <c r="C8" s="14" t="str">
        <f aca="false" t="array" ref="C8:C8">IF(B8="","",IFERROR(INDEX('CLM &amp; IM Mapping'!$B$2:$B$270,MATCH(TRIM(B8),'CLM &amp; IM Mapping'!$A$2:$A$270,0)),"Not Mapped"))</f>
        <v>Richard Harris</v>
      </c>
      <c r="D8" s="14" t="str">
        <f aca="false" t="array" ref="D8:D8">IF(B8="","",IFERROR(INDEX('CLM &amp; IM Mapping'!$C$2:$C$270,MATCH(TRIM(B8),'CLM &amp; IM Mapping'!$A$2:$A$270,0)),"Not Mapped"))</f>
        <v>Kantha Kumar</v>
      </c>
      <c r="E8" s="14" t="n">
        <v>21</v>
      </c>
      <c r="F8" s="14" t="n">
        <v>85</v>
      </c>
      <c r="G8" s="14" t="n">
        <v>3</v>
      </c>
      <c r="H8" s="14" t="n">
        <v>377</v>
      </c>
      <c r="I8" s="14" t="n">
        <v>100</v>
      </c>
      <c r="J8" s="14" t="n">
        <v>42</v>
      </c>
      <c r="K8" s="14" t="n">
        <v>628</v>
      </c>
      <c r="L8" s="14" t="n">
        <v>203</v>
      </c>
      <c r="M8" s="21"/>
      <c r="N8" s="11"/>
      <c r="O8" s="23"/>
      <c r="P8" s="23"/>
      <c r="Q8" s="23"/>
      <c r="R8" s="23"/>
      <c r="S8" s="23"/>
      <c r="T8" s="23"/>
      <c r="U8" s="23"/>
      <c r="V8" s="23"/>
      <c r="W8" s="23"/>
      <c r="X8" s="23"/>
      <c r="Y8" s="23"/>
      <c r="Z8" s="23"/>
    </row>
    <row r="9" customFormat="false" ht="15.75" hidden="false" customHeight="true" outlineLevel="0" collapsed="false">
      <c r="A9" s="52" t="n">
        <v>46303</v>
      </c>
      <c r="B9" s="14" t="s">
        <v>59</v>
      </c>
      <c r="C9" s="14" t="str">
        <f aca="false" t="array" ref="C9:C9">IF(B9="","",IFERROR(INDEX('CLM &amp; IM Mapping'!$B$2:$B$270,MATCH(TRIM(B9),'CLM &amp; IM Mapping'!$A$2:$A$270,0)),"Not Mapped"))</f>
        <v>Saddam Hussain</v>
      </c>
      <c r="D9" s="14" t="str">
        <f aca="false" t="array" ref="D9:D9">IF(B9="","",IFERROR(INDEX('CLM &amp; IM Mapping'!$C$2:$C$270,MATCH(TRIM(B9),'CLM &amp; IM Mapping'!$A$2:$A$270,0)),"Not Mapped"))</f>
        <v>Un Mapped</v>
      </c>
      <c r="E9" s="14" t="n">
        <v>0</v>
      </c>
      <c r="F9" s="14" t="n">
        <v>86</v>
      </c>
      <c r="G9" s="14" t="n">
        <v>2</v>
      </c>
      <c r="H9" s="14" t="n">
        <v>60</v>
      </c>
      <c r="I9" s="14" t="n">
        <v>429</v>
      </c>
      <c r="J9" s="14" t="n">
        <v>0</v>
      </c>
      <c r="K9" s="14" t="n">
        <v>577</v>
      </c>
      <c r="L9" s="14" t="n">
        <v>356</v>
      </c>
      <c r="M9" s="21"/>
      <c r="N9" s="11"/>
      <c r="O9" s="23"/>
      <c r="P9" s="23"/>
      <c r="Q9" s="23"/>
      <c r="R9" s="23"/>
      <c r="S9" s="23"/>
      <c r="T9" s="23"/>
      <c r="U9" s="23"/>
      <c r="V9" s="23"/>
      <c r="W9" s="23"/>
      <c r="X9" s="23"/>
      <c r="Y9" s="23"/>
      <c r="Z9" s="23"/>
    </row>
    <row r="10" customFormat="false" ht="15.75" hidden="false" customHeight="true" outlineLevel="0" collapsed="false">
      <c r="A10" s="52" t="n">
        <v>46303</v>
      </c>
      <c r="B10" s="14" t="s">
        <v>83</v>
      </c>
      <c r="C10" s="14" t="str">
        <f aca="false" t="array" ref="C10:C10">IF(B10="","",IFERROR(INDEX('CLM &amp; IM Mapping'!$B$2:$B$270,MATCH(TRIM(B10),'CLM &amp; IM Mapping'!$A$2:$A$270,0)),"Not Mapped"))</f>
        <v>Keshav G</v>
      </c>
      <c r="D10" s="14" t="str">
        <f aca="false" t="array" ref="D10:D10">IF(B10="","",IFERROR(INDEX('CLM &amp; IM Mapping'!$C$2:$C$270,MATCH(TRIM(B10),'CLM &amp; IM Mapping'!$A$2:$A$270,0)),"Not Mapped"))</f>
        <v>Mohammed Akbar</v>
      </c>
      <c r="E10" s="14" t="n">
        <v>1</v>
      </c>
      <c r="F10" s="14" t="n">
        <v>196</v>
      </c>
      <c r="G10" s="14" t="n">
        <v>261</v>
      </c>
      <c r="H10" s="14" t="n">
        <v>78</v>
      </c>
      <c r="I10" s="14" t="n">
        <v>28</v>
      </c>
      <c r="J10" s="14" t="n">
        <v>2</v>
      </c>
      <c r="K10" s="14" t="n">
        <v>566</v>
      </c>
      <c r="L10" s="14" t="n">
        <v>475</v>
      </c>
      <c r="M10" s="21"/>
      <c r="N10" s="11"/>
      <c r="O10" s="23"/>
      <c r="P10" s="23"/>
      <c r="Q10" s="23"/>
      <c r="R10" s="23"/>
      <c r="S10" s="23"/>
      <c r="T10" s="23"/>
      <c r="U10" s="23"/>
      <c r="V10" s="23"/>
      <c r="W10" s="23"/>
      <c r="X10" s="23"/>
      <c r="Y10" s="23"/>
      <c r="Z10" s="23"/>
    </row>
    <row r="11" customFormat="false" ht="15.75" hidden="false" customHeight="true" outlineLevel="0" collapsed="false">
      <c r="A11" s="52" t="n">
        <v>46303</v>
      </c>
      <c r="B11" s="14" t="s">
        <v>147</v>
      </c>
      <c r="C11" s="14" t="str">
        <f aca="false" t="array" ref="C11:C11">IF(B11="","",IFERROR(INDEX('CLM &amp; IM Mapping'!$B$2:$B$270,MATCH(TRIM(B11),'CLM &amp; IM Mapping'!$A$2:$A$270,0)),"Not Mapped"))</f>
        <v>Manjunatha V</v>
      </c>
      <c r="D11" s="14" t="str">
        <f aca="false" t="array" ref="D11:D11">IF(B11="","",IFERROR(INDEX('CLM &amp; IM Mapping'!$C$2:$C$270,MATCH(TRIM(B11),'CLM &amp; IM Mapping'!$A$2:$A$270,0)),"Not Mapped"))</f>
        <v>Un Mapped</v>
      </c>
      <c r="E11" s="14" t="n">
        <v>25</v>
      </c>
      <c r="F11" s="14" t="n">
        <v>181</v>
      </c>
      <c r="G11" s="14" t="n">
        <v>304</v>
      </c>
      <c r="H11" s="14" t="n">
        <v>0</v>
      </c>
      <c r="I11" s="14" t="n">
        <v>0</v>
      </c>
      <c r="J11" s="14" t="n">
        <v>50</v>
      </c>
      <c r="K11" s="14" t="n">
        <v>560</v>
      </c>
      <c r="L11" s="14" t="n">
        <v>560</v>
      </c>
      <c r="M11" s="21"/>
      <c r="N11" s="11"/>
      <c r="O11" s="23"/>
      <c r="P11" s="23"/>
      <c r="Q11" s="23"/>
      <c r="R11" s="23"/>
      <c r="S11" s="23"/>
      <c r="T11" s="23"/>
      <c r="U11" s="23"/>
      <c r="V11" s="23"/>
      <c r="W11" s="23"/>
      <c r="X11" s="23"/>
      <c r="Y11" s="23"/>
      <c r="Z11" s="23"/>
    </row>
    <row r="12" customFormat="false" ht="15.75" hidden="false" customHeight="true" outlineLevel="0" collapsed="false">
      <c r="A12" s="52" t="n">
        <v>46303</v>
      </c>
      <c r="B12" s="14" t="s">
        <v>331</v>
      </c>
      <c r="C12" s="14" t="str">
        <f aca="false" t="array" ref="C12:C12">IF(B12="","",IFERROR(INDEX('CLM &amp; IM Mapping'!$B$2:$B$270,MATCH(TRIM(B12),'CLM &amp; IM Mapping'!$A$2:$A$270,0)),"Not Mapped"))</f>
        <v>Vijay M</v>
      </c>
      <c r="D12" s="14" t="str">
        <f aca="false" t="array" ref="D12:D12">IF(B12="","",IFERROR(INDEX('CLM &amp; IM Mapping'!$C$2:$C$270,MATCH(TRIM(B12),'CLM &amp; IM Mapping'!$A$2:$A$270,0)),"Not Mapped"))</f>
        <v>Kantha Kumar</v>
      </c>
      <c r="E12" s="14" t="n">
        <v>56</v>
      </c>
      <c r="F12" s="14" t="n">
        <v>76</v>
      </c>
      <c r="G12" s="14" t="n">
        <v>96</v>
      </c>
      <c r="H12" s="14" t="n">
        <v>123</v>
      </c>
      <c r="I12" s="14" t="n">
        <v>64</v>
      </c>
      <c r="J12" s="14" t="n">
        <v>112</v>
      </c>
      <c r="K12" s="14" t="n">
        <v>527</v>
      </c>
      <c r="L12" s="14" t="n">
        <v>437</v>
      </c>
      <c r="M12" s="21"/>
      <c r="N12" s="11"/>
      <c r="O12" s="23"/>
      <c r="P12" s="23"/>
      <c r="Q12" s="23"/>
      <c r="R12" s="23"/>
      <c r="S12" s="23"/>
      <c r="T12" s="23"/>
      <c r="U12" s="23"/>
      <c r="V12" s="23"/>
      <c r="W12" s="23"/>
      <c r="X12" s="23"/>
      <c r="Y12" s="23"/>
      <c r="Z12" s="23"/>
    </row>
    <row r="13" customFormat="false" ht="15.75" hidden="false" customHeight="true" outlineLevel="0" collapsed="false">
      <c r="A13" s="52" t="n">
        <v>46303</v>
      </c>
      <c r="B13" s="14" t="s">
        <v>305</v>
      </c>
      <c r="C13" s="14" t="str">
        <f aca="false" t="array" ref="C13:C13">IF(B13="","",IFERROR(INDEX('CLM &amp; IM Mapping'!$B$2:$B$270,MATCH(TRIM(B13),'CLM &amp; IM Mapping'!$A$2:$A$270,0)),"Not Mapped"))</f>
        <v>Manjunatha V</v>
      </c>
      <c r="D13" s="14" t="str">
        <f aca="false" t="array" ref="D13:D13">IF(B13="","",IFERROR(INDEX('CLM &amp; IM Mapping'!$C$2:$C$270,MATCH(TRIM(B13),'CLM &amp; IM Mapping'!$A$2:$A$270,0)),"Not Mapped"))</f>
        <v>Un Mapped</v>
      </c>
      <c r="E13" s="14" t="n">
        <v>15</v>
      </c>
      <c r="F13" s="14" t="n">
        <v>229</v>
      </c>
      <c r="G13" s="14" t="n">
        <v>104</v>
      </c>
      <c r="H13" s="14" t="n">
        <v>14</v>
      </c>
      <c r="I13" s="14" t="n">
        <v>44</v>
      </c>
      <c r="J13" s="14" t="n">
        <v>92</v>
      </c>
      <c r="K13" s="14" t="n">
        <v>498</v>
      </c>
      <c r="L13" s="14" t="n">
        <v>448</v>
      </c>
      <c r="M13" s="21"/>
      <c r="N13" s="11"/>
      <c r="O13" s="23"/>
      <c r="P13" s="23"/>
      <c r="Q13" s="23"/>
      <c r="R13" s="23"/>
      <c r="S13" s="23"/>
      <c r="T13" s="23"/>
      <c r="U13" s="23"/>
      <c r="V13" s="23"/>
      <c r="W13" s="23"/>
      <c r="X13" s="23"/>
      <c r="Y13" s="23"/>
      <c r="Z13" s="23"/>
    </row>
    <row r="14" customFormat="false" ht="15.75" hidden="false" customHeight="true" outlineLevel="0" collapsed="false">
      <c r="A14" s="52" t="n">
        <v>46303</v>
      </c>
      <c r="B14" s="14" t="s">
        <v>405</v>
      </c>
      <c r="C14" s="14" t="str">
        <f aca="false" t="array" ref="C14:C14">IF(B14="","",IFERROR(INDEX('CLM &amp; IM Mapping'!$B$2:$B$270,MATCH(TRIM(B14),'CLM &amp; IM Mapping'!$A$2:$A$270,0)),"Not Mapped"))</f>
        <v>Adhavan Subramani</v>
      </c>
      <c r="D14" s="14" t="str">
        <f aca="false" t="array" ref="D14:D14">IF(B14="","",IFERROR(INDEX('CLM &amp; IM Mapping'!$C$2:$C$270,MATCH(TRIM(B14),'CLM &amp; IM Mapping'!$A$2:$A$270,0)),"Not Mapped"))</f>
        <v>Mohammed Akbar</v>
      </c>
      <c r="E14" s="14"/>
      <c r="F14" s="14" t="n">
        <v>84</v>
      </c>
      <c r="G14" s="14"/>
      <c r="H14" s="14" t="n">
        <v>194</v>
      </c>
      <c r="I14" s="14" t="n">
        <v>166</v>
      </c>
      <c r="J14" s="14" t="n">
        <v>44</v>
      </c>
      <c r="K14" s="14" t="n">
        <v>488</v>
      </c>
      <c r="L14" s="14" t="n">
        <v>219</v>
      </c>
      <c r="M14" s="21"/>
      <c r="N14" s="11"/>
      <c r="O14" s="23"/>
      <c r="P14" s="23"/>
      <c r="Q14" s="23"/>
      <c r="R14" s="23"/>
      <c r="S14" s="23"/>
      <c r="T14" s="23"/>
      <c r="U14" s="23"/>
      <c r="V14" s="23"/>
      <c r="W14" s="23"/>
      <c r="X14" s="23"/>
      <c r="Y14" s="23"/>
      <c r="Z14" s="23"/>
    </row>
    <row r="15" customFormat="false" ht="15.75" hidden="false" customHeight="true" outlineLevel="0" collapsed="false">
      <c r="A15" s="52" t="n">
        <v>46303</v>
      </c>
      <c r="B15" s="14" t="s">
        <v>496</v>
      </c>
      <c r="C15" s="14" t="str">
        <f aca="false" t="array" ref="C15:C15">IF(B15="","",IFERROR(INDEX('CLM &amp; IM Mapping'!$B$2:$B$270,MATCH(TRIM(B15),'CLM &amp; IM Mapping'!$A$2:$A$270,0)),"Not Mapped"))</f>
        <v>Keshav G</v>
      </c>
      <c r="D15" s="14" t="str">
        <f aca="false" t="array" ref="D15:D15">IF(B15="","",IFERROR(INDEX('CLM &amp; IM Mapping'!$C$2:$C$270,MATCH(TRIM(B15),'CLM &amp; IM Mapping'!$A$2:$A$270,0)),"Not Mapped"))</f>
        <v>Un Mapped</v>
      </c>
      <c r="E15" s="14" t="n">
        <v>24</v>
      </c>
      <c r="F15" s="14" t="n">
        <v>168</v>
      </c>
      <c r="G15" s="14" t="n">
        <v>114</v>
      </c>
      <c r="H15" s="14" t="n">
        <v>146</v>
      </c>
      <c r="I15" s="14" t="n">
        <v>0</v>
      </c>
      <c r="J15" s="14" t="n">
        <v>2</v>
      </c>
      <c r="K15" s="14" t="n">
        <v>454</v>
      </c>
      <c r="L15" s="14" t="n">
        <v>262</v>
      </c>
      <c r="M15" s="21"/>
      <c r="N15" s="11"/>
      <c r="O15" s="23"/>
      <c r="P15" s="23"/>
      <c r="Q15" s="23"/>
      <c r="R15" s="23"/>
      <c r="S15" s="23"/>
      <c r="T15" s="23"/>
      <c r="U15" s="23"/>
      <c r="V15" s="23"/>
      <c r="W15" s="23"/>
      <c r="X15" s="23"/>
      <c r="Y15" s="23"/>
      <c r="Z15" s="23"/>
    </row>
    <row r="16" customFormat="false" ht="15.75" hidden="false" customHeight="true" outlineLevel="0" collapsed="false">
      <c r="A16" s="52" t="n">
        <v>46303</v>
      </c>
      <c r="B16" s="14" t="s">
        <v>259</v>
      </c>
      <c r="C16" s="14" t="str">
        <f aca="false" t="array" ref="C16:C16">IF(B16="","",IFERROR(INDEX('CLM &amp; IM Mapping'!$B$2:$B$270,MATCH(TRIM(B16),'CLM &amp; IM Mapping'!$A$2:$A$270,0)),"Not Mapped"))</f>
        <v>Raghavendra Vernekar</v>
      </c>
      <c r="D16" s="14" t="str">
        <f aca="false" t="array" ref="D16:D16">IF(B16="","",IFERROR(INDEX('CLM &amp; IM Mapping'!$C$2:$C$270,MATCH(TRIM(B16),'CLM &amp; IM Mapping'!$A$2:$A$270,0)),"Not Mapped"))</f>
        <v>Prakash BS</v>
      </c>
      <c r="E16" s="14" t="n">
        <v>30</v>
      </c>
      <c r="F16" s="14" t="n">
        <v>256</v>
      </c>
      <c r="G16" s="14" t="n">
        <v>42</v>
      </c>
      <c r="H16" s="14" t="n">
        <v>16</v>
      </c>
      <c r="I16" s="14" t="n">
        <v>97</v>
      </c>
      <c r="J16" s="14" t="n">
        <v>7</v>
      </c>
      <c r="K16" s="14" t="n">
        <v>448</v>
      </c>
      <c r="L16" s="14" t="n">
        <v>448</v>
      </c>
      <c r="M16" s="12" t="s">
        <v>744</v>
      </c>
      <c r="N16" s="12" t="s">
        <v>752</v>
      </c>
      <c r="O16" s="23"/>
      <c r="P16" s="23"/>
      <c r="Q16" s="23"/>
      <c r="R16" s="23"/>
      <c r="S16" s="23"/>
      <c r="T16" s="23"/>
      <c r="U16" s="23"/>
      <c r="V16" s="23"/>
      <c r="W16" s="23"/>
      <c r="X16" s="23"/>
      <c r="Y16" s="23"/>
      <c r="Z16" s="23"/>
    </row>
    <row r="17" customFormat="false" ht="15.75" hidden="false" customHeight="true" outlineLevel="0" collapsed="false">
      <c r="A17" s="52" t="n">
        <v>46303</v>
      </c>
      <c r="B17" s="14" t="s">
        <v>465</v>
      </c>
      <c r="C17" s="14" t="str">
        <f aca="false" t="array" ref="C17:C17">IF(B17="","",IFERROR(INDEX('CLM &amp; IM Mapping'!$B$2:$B$270,MATCH(TRIM(B17),'CLM &amp; IM Mapping'!$A$2:$A$270,0)),"Not Mapped"))</f>
        <v>Suhas N</v>
      </c>
      <c r="D17" s="14" t="str">
        <f aca="false" t="array" ref="D17:D17">IF(B17="","",IFERROR(INDEX('CLM &amp; IM Mapping'!$C$2:$C$270,MATCH(TRIM(B17),'CLM &amp; IM Mapping'!$A$2:$A$270,0)),"Not Mapped"))</f>
        <v>Aravind S</v>
      </c>
      <c r="E17" s="14" t="n">
        <v>6</v>
      </c>
      <c r="F17" s="14" t="n">
        <v>130</v>
      </c>
      <c r="G17" s="14" t="n">
        <v>21</v>
      </c>
      <c r="H17" s="14" t="n">
        <v>123</v>
      </c>
      <c r="I17" s="14" t="n">
        <v>80</v>
      </c>
      <c r="J17" s="14" t="n">
        <v>85</v>
      </c>
      <c r="K17" s="14" t="n">
        <v>445</v>
      </c>
      <c r="L17" s="14" t="n">
        <v>361</v>
      </c>
      <c r="M17" s="12" t="s">
        <v>818</v>
      </c>
      <c r="N17" s="12" t="s">
        <v>818</v>
      </c>
      <c r="O17" s="23"/>
      <c r="P17" s="23"/>
      <c r="Q17" s="23"/>
      <c r="R17" s="23"/>
      <c r="S17" s="23"/>
      <c r="T17" s="23"/>
      <c r="U17" s="23"/>
      <c r="V17" s="23"/>
      <c r="W17" s="23"/>
      <c r="X17" s="23"/>
      <c r="Y17" s="23"/>
      <c r="Z17" s="23"/>
    </row>
    <row r="18" customFormat="false" ht="15.75" hidden="false" customHeight="true" outlineLevel="0" collapsed="false">
      <c r="A18" s="52" t="n">
        <v>46303</v>
      </c>
      <c r="B18" s="14" t="s">
        <v>70</v>
      </c>
      <c r="C18" s="14" t="str">
        <f aca="false" t="array" ref="C18:C18">IF(B18="","",IFERROR(INDEX('CLM &amp; IM Mapping'!$B$2:$B$270,MATCH(TRIM(B18),'CLM &amp; IM Mapping'!$A$2:$A$270,0)),"Not Mapped"))</f>
        <v>Rizwan Ahmed</v>
      </c>
      <c r="D18" s="14" t="str">
        <f aca="false" t="array" ref="D18:D18">IF(B18="","",IFERROR(INDEX('CLM &amp; IM Mapping'!$C$2:$C$270,MATCH(TRIM(B18),'CLM &amp; IM Mapping'!$A$2:$A$270,0)),"Not Mapped"))</f>
        <v>Un Mapped</v>
      </c>
      <c r="E18" s="14" t="n">
        <v>0</v>
      </c>
      <c r="F18" s="14" t="n">
        <v>211</v>
      </c>
      <c r="G18" s="14"/>
      <c r="H18" s="14" t="n">
        <v>122</v>
      </c>
      <c r="I18" s="14" t="n">
        <v>61</v>
      </c>
      <c r="J18" s="14" t="n">
        <v>47</v>
      </c>
      <c r="K18" s="14" t="n">
        <v>441</v>
      </c>
      <c r="L18" s="14" t="n">
        <v>330</v>
      </c>
      <c r="M18" s="21"/>
      <c r="N18" s="11"/>
      <c r="O18" s="23"/>
      <c r="P18" s="23"/>
      <c r="Q18" s="23"/>
      <c r="R18" s="23"/>
      <c r="S18" s="23"/>
      <c r="T18" s="23"/>
      <c r="U18" s="23"/>
      <c r="V18" s="23"/>
      <c r="W18" s="23"/>
      <c r="X18" s="23"/>
      <c r="Y18" s="23"/>
      <c r="Z18" s="23"/>
    </row>
    <row r="19" customFormat="false" ht="15.75" hidden="false" customHeight="true" outlineLevel="0" collapsed="false">
      <c r="A19" s="52" t="n">
        <v>46303</v>
      </c>
      <c r="B19" s="14" t="s">
        <v>100</v>
      </c>
      <c r="C19" s="14" t="str">
        <f aca="false" t="array" ref="C19:C19">IF(B19="","",IFERROR(INDEX('CLM &amp; IM Mapping'!$B$2:$B$270,MATCH(TRIM(B19),'CLM &amp; IM Mapping'!$A$2:$A$270,0)),"Not Mapped"))</f>
        <v>Sundaresh S</v>
      </c>
      <c r="D19" s="14" t="str">
        <f aca="false" t="array" ref="D19:D19">IF(B19="","",IFERROR(INDEX('CLM &amp; IM Mapping'!$C$2:$C$270,MATCH(TRIM(B19),'CLM &amp; IM Mapping'!$A$2:$A$270,0)),"Not Mapped"))</f>
        <v>Un Mapped</v>
      </c>
      <c r="E19" s="14" t="n">
        <v>26</v>
      </c>
      <c r="F19" s="14" t="n">
        <v>173</v>
      </c>
      <c r="G19" s="14" t="n">
        <v>88</v>
      </c>
      <c r="H19" s="14" t="n">
        <v>23</v>
      </c>
      <c r="I19" s="14" t="n">
        <v>73</v>
      </c>
      <c r="J19" s="14" t="n">
        <v>18</v>
      </c>
      <c r="K19" s="14" t="n">
        <v>401</v>
      </c>
      <c r="L19" s="14" t="n">
        <v>324</v>
      </c>
      <c r="M19" s="21"/>
      <c r="N19" s="11"/>
      <c r="O19" s="23"/>
      <c r="P19" s="23"/>
      <c r="Q19" s="23"/>
      <c r="R19" s="23"/>
      <c r="S19" s="23"/>
      <c r="T19" s="23"/>
      <c r="U19" s="23"/>
      <c r="V19" s="23"/>
      <c r="W19" s="23"/>
      <c r="X19" s="23"/>
      <c r="Y19" s="23"/>
      <c r="Z19" s="23"/>
    </row>
    <row r="20" customFormat="false" ht="15.75" hidden="false" customHeight="true" outlineLevel="0" collapsed="false">
      <c r="A20" s="52" t="n">
        <v>46303</v>
      </c>
      <c r="B20" s="14" t="s">
        <v>254</v>
      </c>
      <c r="C20" s="14" t="str">
        <f aca="false" t="array" ref="C20:C20">IF(B20="","",IFERROR(INDEX('CLM &amp; IM Mapping'!$B$2:$B$270,MATCH(TRIM(B20),'CLM &amp; IM Mapping'!$A$2:$A$270,0)),"Not Mapped"))</f>
        <v>Basil Scariya</v>
      </c>
      <c r="D20" s="14" t="str">
        <f aca="false" t="array" ref="D20:D20">IF(B20="","",IFERROR(INDEX('CLM &amp; IM Mapping'!$C$2:$C$270,MATCH(TRIM(B20),'CLM &amp; IM Mapping'!$A$2:$A$270,0)),"Not Mapped"))</f>
        <v>Prakash BS</v>
      </c>
      <c r="E20" s="14" t="n">
        <v>35</v>
      </c>
      <c r="F20" s="14" t="n">
        <v>56</v>
      </c>
      <c r="G20" s="14" t="n">
        <v>102</v>
      </c>
      <c r="H20" s="14" t="n">
        <v>17</v>
      </c>
      <c r="I20" s="14" t="n">
        <v>0</v>
      </c>
      <c r="J20" s="14" t="n">
        <v>177</v>
      </c>
      <c r="K20" s="14" t="n">
        <v>387</v>
      </c>
      <c r="L20" s="14" t="n">
        <v>364</v>
      </c>
      <c r="M20" s="12" t="s">
        <v>744</v>
      </c>
      <c r="N20" s="12" t="s">
        <v>752</v>
      </c>
      <c r="O20" s="23"/>
      <c r="P20" s="23"/>
      <c r="Q20" s="23"/>
      <c r="R20" s="23"/>
      <c r="S20" s="23"/>
      <c r="T20" s="23"/>
      <c r="U20" s="23"/>
      <c r="V20" s="23"/>
      <c r="W20" s="23"/>
      <c r="X20" s="23"/>
      <c r="Y20" s="23"/>
      <c r="Z20" s="23"/>
    </row>
    <row r="21" customFormat="false" ht="15.75" hidden="false" customHeight="true" outlineLevel="0" collapsed="false">
      <c r="A21" s="52" t="n">
        <v>46303</v>
      </c>
      <c r="B21" s="14" t="s">
        <v>473</v>
      </c>
      <c r="C21" s="14" t="str">
        <f aca="false" t="array" ref="C21:C21">IF(B21="","",IFERROR(INDEX('CLM &amp; IM Mapping'!$B$2:$B$270,MATCH(TRIM(B21),'CLM &amp; IM Mapping'!$A$2:$A$270,0)),"Not Mapped"))</f>
        <v>Raghavendra Vernekar</v>
      </c>
      <c r="D21" s="14" t="str">
        <f aca="false" t="array" ref="D21:D21">IF(B21="","",IFERROR(INDEX('CLM &amp; IM Mapping'!$C$2:$C$270,MATCH(TRIM(B21),'CLM &amp; IM Mapping'!$A$2:$A$270,0)),"Not Mapped"))</f>
        <v>Prakash BS</v>
      </c>
      <c r="E21" s="14" t="n">
        <v>34</v>
      </c>
      <c r="F21" s="14" t="n">
        <v>71</v>
      </c>
      <c r="G21" s="14" t="n">
        <v>13</v>
      </c>
      <c r="H21" s="14" t="n">
        <v>240</v>
      </c>
      <c r="I21" s="14" t="n">
        <v>0</v>
      </c>
      <c r="J21" s="14" t="n">
        <v>28</v>
      </c>
      <c r="K21" s="14" t="n">
        <v>386</v>
      </c>
      <c r="L21" s="14" t="n">
        <v>372</v>
      </c>
      <c r="M21" s="12" t="s">
        <v>744</v>
      </c>
      <c r="N21" s="12" t="s">
        <v>752</v>
      </c>
      <c r="O21" s="23"/>
      <c r="P21" s="23"/>
      <c r="Q21" s="23"/>
      <c r="R21" s="23"/>
      <c r="S21" s="23"/>
      <c r="T21" s="23"/>
      <c r="U21" s="23"/>
      <c r="V21" s="23"/>
      <c r="W21" s="23"/>
      <c r="X21" s="23"/>
      <c r="Y21" s="23"/>
      <c r="Z21" s="23"/>
    </row>
    <row r="22" customFormat="false" ht="15.75" hidden="false" customHeight="true" outlineLevel="0" collapsed="false">
      <c r="A22" s="52" t="n">
        <v>46303</v>
      </c>
      <c r="B22" s="14" t="s">
        <v>144</v>
      </c>
      <c r="C22" s="14" t="str">
        <f aca="false" t="array" ref="C22:C22">IF(B22="","",IFERROR(INDEX('CLM &amp; IM Mapping'!$B$2:$B$270,MATCH(TRIM(B22),'CLM &amp; IM Mapping'!$A$2:$A$270,0)),"Not Mapped"))</f>
        <v>Mohaideen DH</v>
      </c>
      <c r="D22" s="14" t="str">
        <f aca="false" t="array" ref="D22:D22">IF(B22="","",IFERROR(INDEX('CLM &amp; IM Mapping'!$C$2:$C$270,MATCH(TRIM(B22),'CLM &amp; IM Mapping'!$A$2:$A$270,0)),"Not Mapped"))</f>
        <v>Mohammed Akbar</v>
      </c>
      <c r="E22" s="14" t="n">
        <v>0</v>
      </c>
      <c r="F22" s="14" t="n">
        <v>1</v>
      </c>
      <c r="G22" s="14" t="n">
        <v>0</v>
      </c>
      <c r="H22" s="14" t="n">
        <v>247</v>
      </c>
      <c r="I22" s="14" t="n">
        <v>121</v>
      </c>
      <c r="J22" s="14" t="n">
        <v>13</v>
      </c>
      <c r="K22" s="14" t="n">
        <v>382</v>
      </c>
      <c r="L22" s="14" t="n">
        <v>88</v>
      </c>
      <c r="M22" s="21"/>
      <c r="N22" s="54" t="n">
        <v>0.708333333333333</v>
      </c>
      <c r="O22" s="23"/>
      <c r="P22" s="23"/>
      <c r="Q22" s="23"/>
      <c r="R22" s="23"/>
      <c r="S22" s="23"/>
      <c r="T22" s="23"/>
      <c r="U22" s="23"/>
      <c r="V22" s="23"/>
      <c r="W22" s="23"/>
      <c r="X22" s="23"/>
      <c r="Y22" s="23"/>
      <c r="Z22" s="23"/>
    </row>
    <row r="23" customFormat="false" ht="15.75" hidden="false" customHeight="true" outlineLevel="0" collapsed="false">
      <c r="A23" s="52" t="n">
        <v>46303</v>
      </c>
      <c r="B23" s="14" t="s">
        <v>364</v>
      </c>
      <c r="C23" s="14" t="str">
        <f aca="false" t="array" ref="C23:C23">IF(B23="","",IFERROR(INDEX('CLM &amp; IM Mapping'!$B$2:$B$270,MATCH(TRIM(B23),'CLM &amp; IM Mapping'!$A$2:$A$270,0)),"Not Mapped"))</f>
        <v>Raghavendra Vernekar</v>
      </c>
      <c r="D23" s="14" t="str">
        <f aca="false" t="array" ref="D23:D23">IF(B23="","",IFERROR(INDEX('CLM &amp; IM Mapping'!$C$2:$C$270,MATCH(TRIM(B23),'CLM &amp; IM Mapping'!$A$2:$A$270,0)),"Not Mapped"))</f>
        <v>Prakash BS</v>
      </c>
      <c r="E23" s="14" t="n">
        <v>68</v>
      </c>
      <c r="F23" s="14" t="n">
        <v>201</v>
      </c>
      <c r="G23" s="14" t="n">
        <v>74</v>
      </c>
      <c r="H23" s="14" t="n">
        <v>2</v>
      </c>
      <c r="I23" s="14" t="n">
        <v>6</v>
      </c>
      <c r="J23" s="14" t="n">
        <v>31</v>
      </c>
      <c r="K23" s="14" t="n">
        <v>382</v>
      </c>
      <c r="L23" s="14" t="n">
        <v>377</v>
      </c>
      <c r="M23" s="12" t="s">
        <v>744</v>
      </c>
      <c r="N23" s="12" t="s">
        <v>752</v>
      </c>
      <c r="O23" s="23"/>
      <c r="P23" s="23"/>
      <c r="Q23" s="23"/>
      <c r="R23" s="23"/>
      <c r="S23" s="23"/>
      <c r="T23" s="23"/>
      <c r="U23" s="23"/>
      <c r="V23" s="23"/>
      <c r="W23" s="23"/>
      <c r="X23" s="23"/>
      <c r="Y23" s="23"/>
      <c r="Z23" s="23"/>
    </row>
    <row r="24" customFormat="false" ht="15.75" hidden="false" customHeight="true" outlineLevel="0" collapsed="false">
      <c r="A24" s="52" t="n">
        <v>46303</v>
      </c>
      <c r="B24" s="14" t="s">
        <v>47</v>
      </c>
      <c r="C24" s="14" t="str">
        <f aca="false" t="array" ref="C24:C24">IF(B24="","",IFERROR(INDEX('CLM &amp; IM Mapping'!$B$2:$B$270,MATCH(TRIM(B24),'CLM &amp; IM Mapping'!$A$2:$A$270,0)),"Not Mapped"))</f>
        <v>Saddam Hussain</v>
      </c>
      <c r="D24" s="14" t="str">
        <f aca="false" t="array" ref="D24:D24">IF(B24="","",IFERROR(INDEX('CLM &amp; IM Mapping'!$C$2:$C$270,MATCH(TRIM(B24),'CLM &amp; IM Mapping'!$A$2:$A$270,0)),"Not Mapped"))</f>
        <v>Un Mapped</v>
      </c>
      <c r="E24" s="14" t="n">
        <v>10</v>
      </c>
      <c r="F24" s="14" t="n">
        <v>3</v>
      </c>
      <c r="G24" s="14" t="n">
        <v>123</v>
      </c>
      <c r="H24" s="14" t="n">
        <v>51</v>
      </c>
      <c r="I24" s="14" t="n">
        <v>88</v>
      </c>
      <c r="J24" s="14" t="n">
        <v>107</v>
      </c>
      <c r="K24" s="14" t="n">
        <v>382</v>
      </c>
      <c r="L24" s="14" t="n">
        <v>339</v>
      </c>
      <c r="M24" s="21"/>
      <c r="N24" s="11"/>
      <c r="O24" s="23"/>
      <c r="P24" s="23"/>
      <c r="Q24" s="23"/>
      <c r="R24" s="23"/>
      <c r="S24" s="23"/>
      <c r="T24" s="23"/>
      <c r="U24" s="23"/>
      <c r="V24" s="23"/>
      <c r="W24" s="23"/>
      <c r="X24" s="23"/>
      <c r="Y24" s="23"/>
      <c r="Z24" s="23"/>
    </row>
    <row r="25" customFormat="false" ht="15.75" hidden="false" customHeight="true" outlineLevel="0" collapsed="false">
      <c r="A25" s="52" t="n">
        <v>46303</v>
      </c>
      <c r="B25" s="14" t="s">
        <v>304</v>
      </c>
      <c r="C25" s="14" t="str">
        <f aca="false" t="array" ref="C25:C25">IF(B25="","",IFERROR(INDEX('CLM &amp; IM Mapping'!$B$2:$B$270,MATCH(TRIM(B25),'CLM &amp; IM Mapping'!$A$2:$A$270,0)),"Not Mapped"))</f>
        <v>John Britto</v>
      </c>
      <c r="D25" s="14" t="str">
        <f aca="false" t="array" ref="D25:D25">IF(B25="","",IFERROR(INDEX('CLM &amp; IM Mapping'!$C$2:$C$270,MATCH(TRIM(B25),'CLM &amp; IM Mapping'!$A$2:$A$270,0)),"Not Mapped"))</f>
        <v>Aravind S</v>
      </c>
      <c r="E25" s="14" t="n">
        <v>78</v>
      </c>
      <c r="F25" s="14" t="n">
        <v>125</v>
      </c>
      <c r="G25" s="14" t="n">
        <v>119</v>
      </c>
      <c r="H25" s="14" t="n">
        <v>9</v>
      </c>
      <c r="I25" s="14" t="n">
        <v>2</v>
      </c>
      <c r="J25" s="14" t="n">
        <v>34</v>
      </c>
      <c r="K25" s="14" t="n">
        <v>367</v>
      </c>
      <c r="L25" s="14" t="n">
        <v>157</v>
      </c>
      <c r="M25" s="12" t="s">
        <v>819</v>
      </c>
      <c r="N25" s="11"/>
      <c r="O25" s="23"/>
      <c r="P25" s="23"/>
      <c r="Q25" s="23"/>
      <c r="R25" s="23"/>
      <c r="S25" s="23"/>
      <c r="T25" s="23"/>
      <c r="U25" s="23"/>
      <c r="V25" s="23"/>
      <c r="W25" s="23"/>
      <c r="X25" s="23"/>
      <c r="Y25" s="23"/>
      <c r="Z25" s="23"/>
    </row>
    <row r="26" customFormat="false" ht="15.75" hidden="false" customHeight="true" outlineLevel="0" collapsed="false">
      <c r="A26" s="52" t="n">
        <v>46303</v>
      </c>
      <c r="B26" s="14" t="s">
        <v>139</v>
      </c>
      <c r="C26" s="14" t="str">
        <f aca="false" t="array" ref="C26:C26">IF(B26="","",IFERROR(INDEX('CLM &amp; IM Mapping'!$B$2:$B$270,MATCH(TRIM(B26),'CLM &amp; IM Mapping'!$A$2:$A$270,0)),"Not Mapped"))</f>
        <v>Mohaideen DH</v>
      </c>
      <c r="D26" s="14" t="str">
        <f aca="false" t="array" ref="D26:D26">IF(B26="","",IFERROR(INDEX('CLM &amp; IM Mapping'!$C$2:$C$270,MATCH(TRIM(B26),'CLM &amp; IM Mapping'!$A$2:$A$270,0)),"Not Mapped"))</f>
        <v>Mohammed Akbar</v>
      </c>
      <c r="E26" s="14" t="n">
        <v>0</v>
      </c>
      <c r="F26" s="14" t="n">
        <v>16</v>
      </c>
      <c r="G26" s="14" t="n">
        <v>0</v>
      </c>
      <c r="H26" s="14" t="n">
        <v>103</v>
      </c>
      <c r="I26" s="14" t="n">
        <v>179</v>
      </c>
      <c r="J26" s="14" t="n">
        <v>65</v>
      </c>
      <c r="K26" s="14" t="n">
        <v>363</v>
      </c>
      <c r="L26" s="14" t="n">
        <v>171</v>
      </c>
      <c r="M26" s="21"/>
      <c r="N26" s="54" t="n">
        <v>0.833333333333333</v>
      </c>
      <c r="O26" s="23"/>
      <c r="P26" s="23"/>
      <c r="Q26" s="23"/>
      <c r="R26" s="23"/>
      <c r="S26" s="23"/>
      <c r="T26" s="23"/>
      <c r="U26" s="23"/>
      <c r="V26" s="23"/>
      <c r="W26" s="23"/>
      <c r="X26" s="23"/>
      <c r="Y26" s="23"/>
      <c r="Z26" s="23"/>
    </row>
    <row r="27" customFormat="false" ht="15.75" hidden="false" customHeight="true" outlineLevel="0" collapsed="false">
      <c r="A27" s="52" t="n">
        <v>46303</v>
      </c>
      <c r="B27" s="14" t="s">
        <v>491</v>
      </c>
      <c r="C27" s="14" t="str">
        <f aca="false" t="array" ref="C27:C27">IF(B27="","",IFERROR(INDEX('CLM &amp; IM Mapping'!$B$2:$B$270,MATCH(TRIM(B27),'CLM &amp; IM Mapping'!$A$2:$A$270,0)),"Not Mapped"))</f>
        <v>Manjunatha V</v>
      </c>
      <c r="D27" s="14" t="str">
        <f aca="false" t="array" ref="D27:D27">IF(B27="","",IFERROR(INDEX('CLM &amp; IM Mapping'!$C$2:$C$270,MATCH(TRIM(B27),'CLM &amp; IM Mapping'!$A$2:$A$270,0)),"Not Mapped"))</f>
        <v>Un Mapped</v>
      </c>
      <c r="E27" s="14" t="n">
        <v>37</v>
      </c>
      <c r="F27" s="14" t="n">
        <v>48</v>
      </c>
      <c r="G27" s="14"/>
      <c r="H27" s="14" t="n">
        <v>88</v>
      </c>
      <c r="I27" s="14" t="n">
        <v>50</v>
      </c>
      <c r="J27" s="14" t="n">
        <v>133</v>
      </c>
      <c r="K27" s="14" t="n">
        <v>356</v>
      </c>
      <c r="L27" s="14" t="n">
        <v>263</v>
      </c>
      <c r="M27" s="21"/>
      <c r="N27" s="11"/>
      <c r="O27" s="23"/>
      <c r="P27" s="23"/>
      <c r="Q27" s="23"/>
      <c r="R27" s="23"/>
      <c r="S27" s="23"/>
      <c r="T27" s="23"/>
      <c r="U27" s="23"/>
      <c r="V27" s="23"/>
      <c r="W27" s="23"/>
      <c r="X27" s="23"/>
      <c r="Y27" s="23"/>
      <c r="Z27" s="23"/>
    </row>
    <row r="28" customFormat="false" ht="15.75" hidden="false" customHeight="true" outlineLevel="0" collapsed="false">
      <c r="A28" s="52" t="n">
        <v>46303</v>
      </c>
      <c r="B28" s="14" t="s">
        <v>505</v>
      </c>
      <c r="C28" s="14" t="str">
        <f aca="false" t="array" ref="C28:C28">IF(B28="","",IFERROR(INDEX('CLM &amp; IM Mapping'!$B$2:$B$270,MATCH(TRIM(B28),'CLM &amp; IM Mapping'!$A$2:$A$270,0)),"Not Mapped"))</f>
        <v>Basil Scariya</v>
      </c>
      <c r="D28" s="14" t="str">
        <f aca="false" t="array" ref="D28:D28">IF(B28="","",IFERROR(INDEX('CLM &amp; IM Mapping'!$C$2:$C$270,MATCH(TRIM(B28),'CLM &amp; IM Mapping'!$A$2:$A$270,0)),"Not Mapped"))</f>
        <v>Prakash BS</v>
      </c>
      <c r="E28" s="14" t="n">
        <v>77</v>
      </c>
      <c r="F28" s="14" t="n">
        <v>102</v>
      </c>
      <c r="G28" s="14" t="n">
        <v>16</v>
      </c>
      <c r="H28" s="14" t="n">
        <v>80</v>
      </c>
      <c r="I28" s="14" t="n">
        <v>26</v>
      </c>
      <c r="J28" s="14" t="n">
        <v>54</v>
      </c>
      <c r="K28" s="14" t="n">
        <v>355</v>
      </c>
      <c r="L28" s="14" t="n">
        <v>351</v>
      </c>
      <c r="M28" s="12" t="s">
        <v>744</v>
      </c>
      <c r="N28" s="12" t="s">
        <v>752</v>
      </c>
      <c r="O28" s="23"/>
      <c r="P28" s="23"/>
      <c r="Q28" s="23"/>
      <c r="R28" s="23"/>
      <c r="S28" s="23"/>
      <c r="T28" s="23"/>
      <c r="U28" s="23"/>
      <c r="V28" s="23"/>
      <c r="W28" s="23"/>
      <c r="X28" s="23"/>
      <c r="Y28" s="23"/>
      <c r="Z28" s="23"/>
    </row>
    <row r="29" customFormat="false" ht="15.75" hidden="false" customHeight="true" outlineLevel="0" collapsed="false">
      <c r="A29" s="52" t="n">
        <v>46303</v>
      </c>
      <c r="B29" s="14" t="s">
        <v>198</v>
      </c>
      <c r="C29" s="14" t="str">
        <f aca="false" t="array" ref="C29:C29">IF(B29="","",IFERROR(INDEX('CLM &amp; IM Mapping'!$B$2:$B$270,MATCH(TRIM(B29),'CLM &amp; IM Mapping'!$A$2:$A$270,0)),"Not Mapped"))</f>
        <v>Manjunatha V</v>
      </c>
      <c r="D29" s="14" t="str">
        <f aca="false" t="array" ref="D29:D29">IF(B29="","",IFERROR(INDEX('CLM &amp; IM Mapping'!$C$2:$C$270,MATCH(TRIM(B29),'CLM &amp; IM Mapping'!$A$2:$A$270,0)),"Not Mapped"))</f>
        <v>Un Mapped</v>
      </c>
      <c r="E29" s="14" t="n">
        <v>45</v>
      </c>
      <c r="F29" s="14" t="n">
        <v>130</v>
      </c>
      <c r="G29" s="14" t="n">
        <v>12</v>
      </c>
      <c r="H29" s="14" t="n">
        <v>103</v>
      </c>
      <c r="I29" s="14" t="n">
        <v>10</v>
      </c>
      <c r="J29" s="14" t="n">
        <v>50</v>
      </c>
      <c r="K29" s="14" t="n">
        <v>350</v>
      </c>
      <c r="L29" s="14" t="n">
        <v>340</v>
      </c>
      <c r="M29" s="21"/>
      <c r="N29" s="11"/>
      <c r="O29" s="23"/>
      <c r="P29" s="23"/>
      <c r="Q29" s="23"/>
      <c r="R29" s="23"/>
      <c r="S29" s="23"/>
      <c r="T29" s="23"/>
      <c r="U29" s="23"/>
      <c r="V29" s="23"/>
      <c r="W29" s="23"/>
      <c r="X29" s="23"/>
      <c r="Y29" s="23"/>
      <c r="Z29" s="23"/>
    </row>
    <row r="30" customFormat="false" ht="15.75" hidden="false" customHeight="true" outlineLevel="0" collapsed="false">
      <c r="A30" s="52" t="n">
        <v>46303</v>
      </c>
      <c r="B30" s="14" t="s">
        <v>271</v>
      </c>
      <c r="C30" s="14" t="str">
        <f aca="false" t="array" ref="C30:C30">IF(B30="","",IFERROR(INDEX('CLM &amp; IM Mapping'!$B$2:$B$270,MATCH(TRIM(B30),'CLM &amp; IM Mapping'!$A$2:$A$270,0)),"Not Mapped"))</f>
        <v>Rizwan Ahmed</v>
      </c>
      <c r="D30" s="14" t="str">
        <f aca="false" t="array" ref="D30:D30">IF(B30="","",IFERROR(INDEX('CLM &amp; IM Mapping'!$C$2:$C$270,MATCH(TRIM(B30),'CLM &amp; IM Mapping'!$A$2:$A$270,0)),"Not Mapped"))</f>
        <v>Prakash BS</v>
      </c>
      <c r="E30" s="14" t="n">
        <v>97</v>
      </c>
      <c r="F30" s="14" t="n">
        <v>127</v>
      </c>
      <c r="G30" s="14" t="n">
        <v>4</v>
      </c>
      <c r="H30" s="14" t="n">
        <v>13</v>
      </c>
      <c r="I30" s="14" t="n">
        <v>31</v>
      </c>
      <c r="J30" s="14" t="n">
        <v>78</v>
      </c>
      <c r="K30" s="14" t="n">
        <v>350</v>
      </c>
      <c r="L30" s="14" t="n">
        <v>328</v>
      </c>
      <c r="M30" s="12" t="s">
        <v>744</v>
      </c>
      <c r="N30" s="12" t="s">
        <v>752</v>
      </c>
      <c r="O30" s="23"/>
      <c r="P30" s="23"/>
      <c r="Q30" s="23"/>
      <c r="R30" s="23"/>
      <c r="S30" s="23"/>
      <c r="T30" s="23"/>
      <c r="U30" s="23"/>
      <c r="V30" s="23"/>
      <c r="W30" s="23"/>
      <c r="X30" s="23"/>
      <c r="Y30" s="23"/>
      <c r="Z30" s="23"/>
    </row>
    <row r="31" customFormat="false" ht="15.75" hidden="false" customHeight="true" outlineLevel="0" collapsed="false">
      <c r="A31" s="52" t="n">
        <v>46303</v>
      </c>
      <c r="B31" s="14" t="s">
        <v>173</v>
      </c>
      <c r="C31" s="14" t="str">
        <f aca="false" t="array" ref="C31:C31">IF(B31="","",IFERROR(INDEX('CLM &amp; IM Mapping'!$B$2:$B$270,MATCH(TRIM(B31),'CLM &amp; IM Mapping'!$A$2:$A$270,0)),"Not Mapped"))</f>
        <v>Akshay P</v>
      </c>
      <c r="D31" s="14" t="str">
        <f aca="false" t="array" ref="D31:D31">IF(B31="","",IFERROR(INDEX('CLM &amp; IM Mapping'!$C$2:$C$270,MATCH(TRIM(B31),'CLM &amp; IM Mapping'!$A$2:$A$270,0)),"Not Mapped"))</f>
        <v>Srittam Dhal</v>
      </c>
      <c r="E31" s="14" t="n">
        <v>68</v>
      </c>
      <c r="F31" s="14" t="n">
        <v>204</v>
      </c>
      <c r="G31" s="14" t="n">
        <v>69</v>
      </c>
      <c r="H31" s="14" t="n">
        <v>4</v>
      </c>
      <c r="I31" s="14" t="n">
        <v>2</v>
      </c>
      <c r="J31" s="14" t="n">
        <v>0</v>
      </c>
      <c r="K31" s="14" t="n">
        <v>347</v>
      </c>
      <c r="L31" s="14" t="n">
        <v>342</v>
      </c>
      <c r="M31" s="12" t="s">
        <v>744</v>
      </c>
      <c r="N31" s="12" t="s">
        <v>752</v>
      </c>
      <c r="O31" s="23"/>
      <c r="P31" s="23"/>
      <c r="Q31" s="23"/>
      <c r="R31" s="23"/>
      <c r="S31" s="23"/>
      <c r="T31" s="23"/>
      <c r="U31" s="23"/>
      <c r="V31" s="23"/>
      <c r="W31" s="23"/>
      <c r="X31" s="23"/>
      <c r="Y31" s="23"/>
      <c r="Z31" s="23"/>
    </row>
    <row r="32" customFormat="false" ht="15.75" hidden="false" customHeight="true" outlineLevel="0" collapsed="false">
      <c r="A32" s="52" t="n">
        <v>46303</v>
      </c>
      <c r="B32" s="14" t="s">
        <v>411</v>
      </c>
      <c r="C32" s="14" t="str">
        <f aca="false" t="array" ref="C32:C32">IF(B32="","",IFERROR(INDEX('CLM &amp; IM Mapping'!$B$2:$B$270,MATCH(TRIM(B32),'CLM &amp; IM Mapping'!$A$2:$A$270,0)),"Not Mapped"))</f>
        <v>Vishnu V</v>
      </c>
      <c r="D32" s="14" t="str">
        <f aca="false" t="array" ref="D32:D32">IF(B32="","",IFERROR(INDEX('CLM &amp; IM Mapping'!$C$2:$C$270,MATCH(TRIM(B32),'CLM &amp; IM Mapping'!$A$2:$A$270,0)),"Not Mapped"))</f>
        <v>Arivind S</v>
      </c>
      <c r="E32" s="14" t="n">
        <v>15</v>
      </c>
      <c r="F32" s="14" t="n">
        <v>240</v>
      </c>
      <c r="G32" s="14" t="n">
        <v>8</v>
      </c>
      <c r="H32" s="14" t="n">
        <v>18</v>
      </c>
      <c r="I32" s="14" t="n">
        <v>21</v>
      </c>
      <c r="J32" s="14" t="n">
        <v>25</v>
      </c>
      <c r="K32" s="14" t="n">
        <v>327</v>
      </c>
      <c r="L32" s="14" t="n">
        <v>225</v>
      </c>
      <c r="M32" s="21"/>
      <c r="N32" s="11"/>
      <c r="O32" s="23"/>
      <c r="P32" s="23"/>
      <c r="Q32" s="23"/>
      <c r="R32" s="23"/>
      <c r="S32" s="23"/>
      <c r="T32" s="23"/>
      <c r="U32" s="23"/>
      <c r="V32" s="23"/>
      <c r="W32" s="23"/>
      <c r="X32" s="23"/>
      <c r="Y32" s="23"/>
      <c r="Z32" s="23"/>
    </row>
    <row r="33" customFormat="false" ht="15.75" hidden="false" customHeight="true" outlineLevel="0" collapsed="false">
      <c r="A33" s="52" t="n">
        <v>46303</v>
      </c>
      <c r="B33" s="14" t="s">
        <v>218</v>
      </c>
      <c r="C33" s="14" t="str">
        <f aca="false" t="array" ref="C33:C33">IF(B33="","",IFERROR(INDEX('CLM &amp; IM Mapping'!$B$2:$B$270,MATCH(TRIM(B33),'CLM &amp; IM Mapping'!$A$2:$A$270,0)),"Not Mapped"))</f>
        <v>Ashwath S</v>
      </c>
      <c r="D33" s="14" t="str">
        <f aca="false" t="array" ref="D33:D33">IF(B33="","",IFERROR(INDEX('CLM &amp; IM Mapping'!$C$2:$C$270,MATCH(TRIM(B33),'CLM &amp; IM Mapping'!$A$2:$A$270,0)),"Not Mapped"))</f>
        <v>Kantha Kumar</v>
      </c>
      <c r="E33" s="14" t="n">
        <v>82</v>
      </c>
      <c r="F33" s="14" t="n">
        <v>65</v>
      </c>
      <c r="G33" s="14" t="n">
        <v>18</v>
      </c>
      <c r="H33" s="14" t="n">
        <v>0</v>
      </c>
      <c r="I33" s="14" t="n">
        <v>159</v>
      </c>
      <c r="J33" s="14" t="n">
        <v>0</v>
      </c>
      <c r="K33" s="14" t="n">
        <v>324</v>
      </c>
      <c r="L33" s="14" t="n">
        <v>309</v>
      </c>
      <c r="M33" s="21"/>
      <c r="N33" s="11"/>
      <c r="O33" s="23"/>
      <c r="P33" s="23"/>
      <c r="Q33" s="23"/>
      <c r="R33" s="23"/>
      <c r="S33" s="23"/>
      <c r="T33" s="23"/>
      <c r="U33" s="23"/>
      <c r="V33" s="23"/>
      <c r="W33" s="23"/>
      <c r="X33" s="23"/>
      <c r="Y33" s="23"/>
      <c r="Z33" s="23"/>
    </row>
    <row r="34" customFormat="false" ht="15.75" hidden="false" customHeight="true" outlineLevel="0" collapsed="false">
      <c r="A34" s="52" t="n">
        <v>46303</v>
      </c>
      <c r="B34" s="14" t="s">
        <v>168</v>
      </c>
      <c r="C34" s="14" t="str">
        <f aca="false" t="array" ref="C34:C34">IF(B34="","",IFERROR(INDEX('CLM &amp; IM Mapping'!$B$2:$B$270,MATCH(TRIM(B34),'CLM &amp; IM Mapping'!$A$2:$A$270,0)),"Not Mapped"))</f>
        <v>Vijay M</v>
      </c>
      <c r="D34" s="14" t="str">
        <f aca="false" t="array" ref="D34:D34">IF(B34="","",IFERROR(INDEX('CLM &amp; IM Mapping'!$C$2:$C$270,MATCH(TRIM(B34),'CLM &amp; IM Mapping'!$A$2:$A$270,0)),"Not Mapped"))</f>
        <v>Kantha Kumar</v>
      </c>
      <c r="E34" s="14" t="n">
        <v>13</v>
      </c>
      <c r="F34" s="14" t="n">
        <v>36</v>
      </c>
      <c r="G34" s="14" t="n">
        <v>1</v>
      </c>
      <c r="H34" s="14" t="n">
        <v>246</v>
      </c>
      <c r="I34" s="14" t="n">
        <v>26</v>
      </c>
      <c r="J34" s="14" t="n">
        <v>0</v>
      </c>
      <c r="K34" s="14" t="n">
        <v>322</v>
      </c>
      <c r="L34" s="14" t="n">
        <v>170</v>
      </c>
      <c r="M34" s="21"/>
      <c r="N34" s="11"/>
      <c r="O34" s="23"/>
      <c r="P34" s="23"/>
      <c r="Q34" s="23"/>
      <c r="R34" s="23"/>
      <c r="S34" s="23"/>
      <c r="T34" s="23"/>
      <c r="U34" s="23"/>
      <c r="V34" s="23"/>
      <c r="W34" s="23"/>
      <c r="X34" s="23"/>
      <c r="Y34" s="23"/>
      <c r="Z34" s="23"/>
    </row>
    <row r="35" customFormat="false" ht="15.75" hidden="false" customHeight="true" outlineLevel="0" collapsed="false">
      <c r="A35" s="52" t="n">
        <v>46303</v>
      </c>
      <c r="B35" s="14" t="s">
        <v>470</v>
      </c>
      <c r="C35" s="14" t="str">
        <f aca="false" t="array" ref="C35:C35">IF(B35="","",IFERROR(INDEX('CLM &amp; IM Mapping'!$B$2:$B$270,MATCH(TRIM(B35),'CLM &amp; IM Mapping'!$A$2:$A$270,0)),"Not Mapped"))</f>
        <v>Vishnu V</v>
      </c>
      <c r="D35" s="14" t="str">
        <f aca="false" t="array" ref="D35:D35">IF(B35="","",IFERROR(INDEX('CLM &amp; IM Mapping'!$C$2:$C$270,MATCH(TRIM(B35),'CLM &amp; IM Mapping'!$A$2:$A$270,0)),"Not Mapped"))</f>
        <v>Arivind S</v>
      </c>
      <c r="E35" s="14" t="n">
        <v>8</v>
      </c>
      <c r="F35" s="14" t="n">
        <v>273</v>
      </c>
      <c r="G35" s="14" t="n">
        <v>0</v>
      </c>
      <c r="H35" s="14" t="n">
        <v>12</v>
      </c>
      <c r="I35" s="14" t="n">
        <v>0</v>
      </c>
      <c r="J35" s="14" t="n">
        <v>22</v>
      </c>
      <c r="K35" s="14" t="n">
        <v>315</v>
      </c>
      <c r="L35" s="14" t="n">
        <v>184</v>
      </c>
      <c r="M35" s="21"/>
      <c r="N35" s="11"/>
      <c r="O35" s="23"/>
      <c r="P35" s="23"/>
      <c r="Q35" s="23"/>
      <c r="R35" s="23"/>
      <c r="S35" s="23"/>
      <c r="T35" s="23"/>
      <c r="U35" s="23"/>
      <c r="V35" s="23"/>
      <c r="W35" s="23"/>
      <c r="X35" s="23"/>
      <c r="Y35" s="23"/>
      <c r="Z35" s="23"/>
    </row>
    <row r="36" customFormat="false" ht="15.75" hidden="false" customHeight="true" outlineLevel="0" collapsed="false">
      <c r="A36" s="52" t="n">
        <v>46303</v>
      </c>
      <c r="B36" s="14" t="s">
        <v>427</v>
      </c>
      <c r="C36" s="14" t="str">
        <f aca="false" t="array" ref="C36:C36">IF(B36="","",IFERROR(INDEX('CLM &amp; IM Mapping'!$B$2:$B$270,MATCH(TRIM(B36),'CLM &amp; IM Mapping'!$A$2:$A$270,0)),"Not Mapped"))</f>
        <v>John Britto</v>
      </c>
      <c r="D36" s="14" t="str">
        <f aca="false" t="array" ref="D36:D36">IF(B36="","",IFERROR(INDEX('CLM &amp; IM Mapping'!$C$2:$C$270,MATCH(TRIM(B36),'CLM &amp; IM Mapping'!$A$2:$A$270,0)),"Not Mapped"))</f>
        <v>Aravind S</v>
      </c>
      <c r="E36" s="14" t="n">
        <v>3</v>
      </c>
      <c r="F36" s="14" t="n">
        <v>150</v>
      </c>
      <c r="G36" s="14" t="n">
        <v>5</v>
      </c>
      <c r="H36" s="14" t="n">
        <v>12</v>
      </c>
      <c r="I36" s="14" t="n">
        <v>12</v>
      </c>
      <c r="J36" s="14" t="n">
        <v>126</v>
      </c>
      <c r="K36" s="14" t="n">
        <v>308</v>
      </c>
      <c r="L36" s="14" t="n">
        <v>156</v>
      </c>
      <c r="M36" s="12" t="s">
        <v>819</v>
      </c>
      <c r="N36" s="11"/>
      <c r="O36" s="23"/>
      <c r="P36" s="23"/>
      <c r="Q36" s="23"/>
      <c r="R36" s="23"/>
      <c r="S36" s="23"/>
      <c r="T36" s="23"/>
      <c r="U36" s="23"/>
      <c r="V36" s="23"/>
      <c r="W36" s="23"/>
      <c r="X36" s="23"/>
      <c r="Y36" s="23"/>
      <c r="Z36" s="23"/>
    </row>
    <row r="37" customFormat="false" ht="15.75" hidden="false" customHeight="true" outlineLevel="0" collapsed="false">
      <c r="A37" s="52" t="n">
        <v>46303</v>
      </c>
      <c r="B37" s="14" t="s">
        <v>150</v>
      </c>
      <c r="C37" s="14" t="str">
        <f aca="false" t="array" ref="C37:C37">IF(B37="","",IFERROR(INDEX('CLM &amp; IM Mapping'!$B$2:$B$270,MATCH(TRIM(B37),'CLM &amp; IM Mapping'!$A$2:$A$270,0)),"Not Mapped"))</f>
        <v>Akshay P</v>
      </c>
      <c r="D37" s="14" t="str">
        <f aca="false" t="array" ref="D37:D37">IF(B37="","",IFERROR(INDEX('CLM &amp; IM Mapping'!$C$2:$C$270,MATCH(TRIM(B37),'CLM &amp; IM Mapping'!$A$2:$A$270,0)),"Not Mapped"))</f>
        <v>Srittam Dhal</v>
      </c>
      <c r="E37" s="14" t="n">
        <v>43</v>
      </c>
      <c r="F37" s="14" t="n">
        <v>30</v>
      </c>
      <c r="G37" s="14" t="n">
        <v>0</v>
      </c>
      <c r="H37" s="14" t="n">
        <v>57</v>
      </c>
      <c r="I37" s="14" t="n">
        <v>121</v>
      </c>
      <c r="J37" s="14" t="n">
        <v>56</v>
      </c>
      <c r="K37" s="14" t="n">
        <v>307</v>
      </c>
      <c r="L37" s="14" t="n">
        <v>253</v>
      </c>
      <c r="M37" s="12" t="s">
        <v>820</v>
      </c>
      <c r="N37" s="12" t="s">
        <v>752</v>
      </c>
      <c r="O37" s="23"/>
      <c r="P37" s="23"/>
      <c r="Q37" s="23"/>
      <c r="R37" s="23"/>
      <c r="S37" s="23"/>
      <c r="T37" s="23"/>
      <c r="U37" s="23"/>
      <c r="V37" s="23"/>
      <c r="W37" s="23"/>
      <c r="X37" s="23"/>
      <c r="Y37" s="23"/>
      <c r="Z37" s="23"/>
    </row>
    <row r="38" customFormat="false" ht="15.75" hidden="false" customHeight="true" outlineLevel="0" collapsed="false">
      <c r="A38" s="52" t="n">
        <v>46303</v>
      </c>
      <c r="B38" s="14" t="s">
        <v>384</v>
      </c>
      <c r="C38" s="14" t="str">
        <f aca="false" t="array" ref="C38:C38">IF(B38="","",IFERROR(INDEX('CLM &amp; IM Mapping'!$B$2:$B$270,MATCH(TRIM(B38),'CLM &amp; IM Mapping'!$A$2:$A$270,0)),"Not Mapped"))</f>
        <v>Saddam Hussain</v>
      </c>
      <c r="D38" s="14" t="str">
        <f aca="false" t="array" ref="D38:D38">IF(B38="","",IFERROR(INDEX('CLM &amp; IM Mapping'!$C$2:$C$270,MATCH(TRIM(B38),'CLM &amp; IM Mapping'!$A$2:$A$270,0)),"Not Mapped"))</f>
        <v>Un Mapped</v>
      </c>
      <c r="E38" s="14" t="n">
        <v>59</v>
      </c>
      <c r="F38" s="14" t="n">
        <v>85</v>
      </c>
      <c r="G38" s="14" t="n">
        <v>4</v>
      </c>
      <c r="H38" s="14" t="n">
        <v>0</v>
      </c>
      <c r="I38" s="14" t="n">
        <v>14</v>
      </c>
      <c r="J38" s="14" t="n">
        <v>142</v>
      </c>
      <c r="K38" s="14" t="n">
        <v>304</v>
      </c>
      <c r="L38" s="14" t="n">
        <v>244</v>
      </c>
      <c r="M38" s="21"/>
      <c r="N38" s="11"/>
      <c r="O38" s="23"/>
      <c r="P38" s="23"/>
      <c r="Q38" s="23"/>
      <c r="R38" s="23"/>
      <c r="S38" s="23"/>
      <c r="T38" s="23"/>
      <c r="U38" s="23"/>
      <c r="V38" s="23"/>
      <c r="W38" s="23"/>
      <c r="X38" s="23"/>
      <c r="Y38" s="23"/>
      <c r="Z38" s="23"/>
    </row>
    <row r="39" customFormat="false" ht="15.75" hidden="false" customHeight="true" outlineLevel="0" collapsed="false">
      <c r="A39" s="52" t="n">
        <v>46303</v>
      </c>
      <c r="B39" s="14" t="s">
        <v>265</v>
      </c>
      <c r="C39" s="14" t="str">
        <f aca="false" t="array" ref="C39:C39">IF(B39="","",IFERROR(INDEX('CLM &amp; IM Mapping'!$B$2:$B$270,MATCH(TRIM(B39),'CLM &amp; IM Mapping'!$A$2:$A$270,0)),"Not Mapped"))</f>
        <v>Adhavan Subramani</v>
      </c>
      <c r="D39" s="14" t="str">
        <f aca="false" t="array" ref="D39:D39">IF(B39="","",IFERROR(INDEX('CLM &amp; IM Mapping'!$C$2:$C$270,MATCH(TRIM(B39),'CLM &amp; IM Mapping'!$A$2:$A$270,0)),"Not Mapped"))</f>
        <v>Mohammed Akbar</v>
      </c>
      <c r="E39" s="14" t="n">
        <v>0</v>
      </c>
      <c r="F39" s="14" t="n">
        <v>90</v>
      </c>
      <c r="G39" s="14" t="n">
        <v>19</v>
      </c>
      <c r="H39" s="14" t="n">
        <v>126</v>
      </c>
      <c r="I39" s="14" t="n">
        <v>1</v>
      </c>
      <c r="J39" s="14" t="n">
        <v>66</v>
      </c>
      <c r="K39" s="14" t="n">
        <v>302</v>
      </c>
      <c r="L39" s="14" t="n">
        <v>298</v>
      </c>
      <c r="M39" s="21"/>
      <c r="N39" s="11"/>
      <c r="O39" s="23"/>
      <c r="P39" s="23"/>
      <c r="Q39" s="23"/>
      <c r="R39" s="23"/>
      <c r="S39" s="23"/>
      <c r="T39" s="23"/>
      <c r="U39" s="23"/>
      <c r="V39" s="23"/>
      <c r="W39" s="23"/>
      <c r="X39" s="23"/>
      <c r="Y39" s="23"/>
      <c r="Z39" s="23"/>
    </row>
    <row r="40" customFormat="false" ht="15.75" hidden="false" customHeight="true" outlineLevel="0" collapsed="false">
      <c r="A40" s="52" t="n">
        <v>46303</v>
      </c>
      <c r="B40" s="14" t="s">
        <v>378</v>
      </c>
      <c r="C40" s="14" t="str">
        <f aca="false" t="array" ref="C40:C40">IF(B40="","",IFERROR(INDEX('CLM &amp; IM Mapping'!$B$2:$B$270,MATCH(TRIM(B40),'CLM &amp; IM Mapping'!$A$2:$A$270,0)),"Not Mapped"))</f>
        <v>Vishnu V</v>
      </c>
      <c r="D40" s="14" t="str">
        <f aca="false" t="array" ref="D40:D40">IF(B40="","",IFERROR(INDEX('CLM &amp; IM Mapping'!$C$2:$C$270,MATCH(TRIM(B40),'CLM &amp; IM Mapping'!$A$2:$A$270,0)),"Not Mapped"))</f>
        <v>Arivind S</v>
      </c>
      <c r="E40" s="14" t="n">
        <v>1</v>
      </c>
      <c r="F40" s="14" t="n">
        <v>0</v>
      </c>
      <c r="G40" s="14"/>
      <c r="H40" s="14" t="n">
        <v>0</v>
      </c>
      <c r="I40" s="14" t="n">
        <v>4</v>
      </c>
      <c r="J40" s="14" t="n">
        <v>296</v>
      </c>
      <c r="K40" s="14" t="n">
        <v>301</v>
      </c>
      <c r="L40" s="14" t="n">
        <v>300</v>
      </c>
      <c r="M40" s="12" t="s">
        <v>821</v>
      </c>
      <c r="N40" s="11"/>
      <c r="O40" s="23"/>
      <c r="P40" s="23"/>
      <c r="Q40" s="23"/>
      <c r="R40" s="23"/>
      <c r="S40" s="23"/>
      <c r="T40" s="23"/>
      <c r="U40" s="23"/>
      <c r="V40" s="23"/>
      <c r="W40" s="23"/>
      <c r="X40" s="23"/>
      <c r="Y40" s="23"/>
      <c r="Z40" s="23"/>
    </row>
    <row r="41" customFormat="false" ht="15.75" hidden="false" customHeight="true" outlineLevel="0" collapsed="false">
      <c r="A41" s="52" t="n">
        <v>46303</v>
      </c>
      <c r="B41" s="14" t="s">
        <v>178</v>
      </c>
      <c r="C41" s="14" t="str">
        <f aca="false" t="array" ref="C41:C41">IF(B41="","",IFERROR(INDEX('CLM &amp; IM Mapping'!$B$2:$B$270,MATCH(TRIM(B41),'CLM &amp; IM Mapping'!$A$2:$A$270,0)),"Not Mapped"))</f>
        <v>Balaji G</v>
      </c>
      <c r="D41" s="14" t="str">
        <f aca="false" t="array" ref="D41:D41">IF(B41="","",IFERROR(INDEX('CLM &amp; IM Mapping'!$C$2:$C$270,MATCH(TRIM(B41),'CLM &amp; IM Mapping'!$A$2:$A$270,0)),"Not Mapped"))</f>
        <v>Mohammed Akbar</v>
      </c>
      <c r="E41" s="14" t="n">
        <v>82</v>
      </c>
      <c r="F41" s="14" t="n">
        <v>111</v>
      </c>
      <c r="G41" s="14" t="n">
        <v>4</v>
      </c>
      <c r="H41" s="14" t="n">
        <v>84</v>
      </c>
      <c r="I41" s="14" t="n">
        <v>17</v>
      </c>
      <c r="J41" s="14"/>
      <c r="K41" s="14" t="n">
        <v>298</v>
      </c>
      <c r="L41" s="14" t="n">
        <v>200</v>
      </c>
      <c r="M41" s="12" t="s">
        <v>822</v>
      </c>
      <c r="N41" s="54" t="n">
        <v>0.666666666666667</v>
      </c>
      <c r="O41" s="23"/>
      <c r="P41" s="23"/>
      <c r="Q41" s="23"/>
      <c r="R41" s="23"/>
      <c r="S41" s="23"/>
      <c r="T41" s="23"/>
      <c r="U41" s="23"/>
      <c r="V41" s="23"/>
      <c r="W41" s="23"/>
      <c r="X41" s="23"/>
      <c r="Y41" s="23"/>
      <c r="Z41" s="23"/>
    </row>
    <row r="42" customFormat="false" ht="15.75" hidden="false" customHeight="true" outlineLevel="0" collapsed="false">
      <c r="A42" s="52" t="n">
        <v>46303</v>
      </c>
      <c r="B42" s="14" t="s">
        <v>105</v>
      </c>
      <c r="C42" s="14" t="str">
        <f aca="false" t="array" ref="C42:C42">IF(B42="","",IFERROR(INDEX('CLM &amp; IM Mapping'!$B$2:$B$270,MATCH(TRIM(B42),'CLM &amp; IM Mapping'!$A$2:$A$270,0)),"Not Mapped"))</f>
        <v>Suhas N</v>
      </c>
      <c r="D42" s="14" t="str">
        <f aca="false" t="array" ref="D42:D42">IF(B42="","",IFERROR(INDEX('CLM &amp; IM Mapping'!$C$2:$C$270,MATCH(TRIM(B42),'CLM &amp; IM Mapping'!$A$2:$A$270,0)),"Not Mapped"))</f>
        <v>Aravind S</v>
      </c>
      <c r="E42" s="14" t="n">
        <v>0</v>
      </c>
      <c r="F42" s="14" t="n">
        <v>76</v>
      </c>
      <c r="G42" s="14" t="n">
        <v>0</v>
      </c>
      <c r="H42" s="14" t="n">
        <v>115</v>
      </c>
      <c r="I42" s="14" t="n">
        <v>97</v>
      </c>
      <c r="J42" s="14" t="n">
        <v>3</v>
      </c>
      <c r="K42" s="14" t="n">
        <v>291</v>
      </c>
      <c r="L42" s="14" t="n">
        <v>291</v>
      </c>
      <c r="M42" s="12" t="s">
        <v>819</v>
      </c>
      <c r="N42" s="11"/>
      <c r="O42" s="23"/>
      <c r="P42" s="23"/>
      <c r="Q42" s="23"/>
      <c r="R42" s="23"/>
      <c r="S42" s="23"/>
      <c r="T42" s="23"/>
      <c r="U42" s="23"/>
      <c r="V42" s="23"/>
      <c r="W42" s="23"/>
      <c r="X42" s="23"/>
      <c r="Y42" s="23"/>
      <c r="Z42" s="23"/>
    </row>
    <row r="43" customFormat="false" ht="15.75" hidden="false" customHeight="true" outlineLevel="0" collapsed="false">
      <c r="A43" s="52" t="n">
        <v>46303</v>
      </c>
      <c r="B43" s="14" t="s">
        <v>153</v>
      </c>
      <c r="C43" s="14" t="str">
        <f aca="false" t="array" ref="C43:C43">IF(B43="","",IFERROR(INDEX('CLM &amp; IM Mapping'!$B$2:$B$270,MATCH(TRIM(B43),'CLM &amp; IM Mapping'!$A$2:$A$270,0)),"Not Mapped"))</f>
        <v>Ashwath S</v>
      </c>
      <c r="D43" s="14" t="str">
        <f aca="false" t="array" ref="D43:D43">IF(B43="","",IFERROR(INDEX('CLM &amp; IM Mapping'!$C$2:$C$270,MATCH(TRIM(B43),'CLM &amp; IM Mapping'!$A$2:$A$270,0)),"Not Mapped"))</f>
        <v>Kantha Kumar</v>
      </c>
      <c r="E43" s="14" t="n">
        <v>0</v>
      </c>
      <c r="F43" s="14" t="n">
        <v>42</v>
      </c>
      <c r="G43" s="14" t="n">
        <v>0</v>
      </c>
      <c r="H43" s="14" t="n">
        <v>81</v>
      </c>
      <c r="I43" s="14" t="n">
        <v>129</v>
      </c>
      <c r="J43" s="14" t="n">
        <v>30</v>
      </c>
      <c r="K43" s="14" t="n">
        <v>282</v>
      </c>
      <c r="L43" s="14" t="n">
        <v>280</v>
      </c>
      <c r="M43" s="21"/>
      <c r="N43" s="11"/>
      <c r="O43" s="23"/>
      <c r="P43" s="23"/>
      <c r="Q43" s="23"/>
      <c r="R43" s="23"/>
      <c r="S43" s="23"/>
      <c r="T43" s="23"/>
      <c r="U43" s="23"/>
      <c r="V43" s="23"/>
      <c r="W43" s="23"/>
      <c r="X43" s="23"/>
      <c r="Y43" s="23"/>
      <c r="Z43" s="23"/>
    </row>
    <row r="44" customFormat="false" ht="15.75" hidden="false" customHeight="true" outlineLevel="0" collapsed="false">
      <c r="A44" s="52" t="n">
        <v>46303</v>
      </c>
      <c r="B44" s="14" t="s">
        <v>134</v>
      </c>
      <c r="C44" s="14" t="str">
        <f aca="false" t="array" ref="C44:C44">IF(B44="","",IFERROR(INDEX('CLM &amp; IM Mapping'!$B$2:$B$270,MATCH(TRIM(B44),'CLM &amp; IM Mapping'!$A$2:$A$270,0)),"Not Mapped"))</f>
        <v>Raghavendra Vernekar</v>
      </c>
      <c r="D44" s="14" t="str">
        <f aca="false" t="array" ref="D44:D44">IF(B44="","",IFERROR(INDEX('CLM &amp; IM Mapping'!$C$2:$C$270,MATCH(TRIM(B44),'CLM &amp; IM Mapping'!$A$2:$A$270,0)),"Not Mapped"))</f>
        <v>Prakash BS</v>
      </c>
      <c r="E44" s="14" t="n">
        <v>2</v>
      </c>
      <c r="F44" s="14" t="n">
        <v>61</v>
      </c>
      <c r="G44" s="14"/>
      <c r="H44" s="14" t="n">
        <v>105</v>
      </c>
      <c r="I44" s="14" t="n">
        <v>88</v>
      </c>
      <c r="J44" s="14" t="n">
        <v>26</v>
      </c>
      <c r="K44" s="14" t="n">
        <v>282</v>
      </c>
      <c r="L44" s="14" t="n">
        <v>235</v>
      </c>
      <c r="M44" s="12" t="s">
        <v>744</v>
      </c>
      <c r="N44" s="12" t="s">
        <v>752</v>
      </c>
      <c r="O44" s="23"/>
      <c r="P44" s="23"/>
      <c r="Q44" s="23"/>
      <c r="R44" s="23"/>
      <c r="S44" s="23"/>
      <c r="T44" s="23"/>
      <c r="U44" s="23"/>
      <c r="V44" s="23"/>
      <c r="W44" s="23"/>
      <c r="X44" s="23"/>
      <c r="Y44" s="23"/>
      <c r="Z44" s="23"/>
    </row>
    <row r="45" customFormat="false" ht="15.75" hidden="false" customHeight="true" outlineLevel="0" collapsed="false">
      <c r="A45" s="52" t="n">
        <v>46303</v>
      </c>
      <c r="B45" s="14" t="s">
        <v>44</v>
      </c>
      <c r="C45" s="14" t="str">
        <f aca="false" t="array" ref="C45:C45">IF(B45="","",IFERROR(INDEX('CLM &amp; IM Mapping'!$B$2:$B$270,MATCH(TRIM(B45),'CLM &amp; IM Mapping'!$A$2:$A$270,0)),"Not Mapped"))</f>
        <v>Rizwan Ahmed</v>
      </c>
      <c r="D45" s="14" t="str">
        <f aca="false" t="array" ref="D45:D45">IF(B45="","",IFERROR(INDEX('CLM &amp; IM Mapping'!$C$2:$C$270,MATCH(TRIM(B45),'CLM &amp; IM Mapping'!$A$2:$A$270,0)),"Not Mapped"))</f>
        <v>Un Mapped</v>
      </c>
      <c r="E45" s="14" t="n">
        <v>0</v>
      </c>
      <c r="F45" s="14" t="n">
        <v>29</v>
      </c>
      <c r="G45" s="14" t="n">
        <v>0</v>
      </c>
      <c r="H45" s="14" t="n">
        <v>123</v>
      </c>
      <c r="I45" s="14" t="n">
        <v>123</v>
      </c>
      <c r="J45" s="14" t="n">
        <v>5</v>
      </c>
      <c r="K45" s="14" t="n">
        <v>280</v>
      </c>
      <c r="L45" s="14" t="n">
        <v>280</v>
      </c>
      <c r="M45" s="21"/>
      <c r="N45" s="11"/>
      <c r="O45" s="23"/>
      <c r="P45" s="23"/>
      <c r="Q45" s="23"/>
      <c r="R45" s="23"/>
      <c r="S45" s="23"/>
      <c r="T45" s="23"/>
      <c r="U45" s="23"/>
      <c r="V45" s="23"/>
      <c r="W45" s="23"/>
      <c r="X45" s="23"/>
      <c r="Y45" s="23"/>
      <c r="Z45" s="23"/>
    </row>
    <row r="46" customFormat="false" ht="15.75" hidden="false" customHeight="true" outlineLevel="0" collapsed="false">
      <c r="A46" s="52" t="n">
        <v>46303</v>
      </c>
      <c r="B46" s="14" t="s">
        <v>443</v>
      </c>
      <c r="C46" s="14" t="str">
        <f aca="false" t="array" ref="C46:C46">IF(B46="","",IFERROR(INDEX('CLM &amp; IM Mapping'!$B$2:$B$270,MATCH(TRIM(B46),'CLM &amp; IM Mapping'!$A$2:$A$270,0)),"Not Mapped"))</f>
        <v>Manoj Kj</v>
      </c>
      <c r="D46" s="14" t="str">
        <f aca="false" t="array" ref="D46:D46">IF(B46="","",IFERROR(INDEX('CLM &amp; IM Mapping'!$C$2:$C$270,MATCH(TRIM(B46),'CLM &amp; IM Mapping'!$A$2:$A$270,0)),"Not Mapped"))</f>
        <v>Srittam Dhal</v>
      </c>
      <c r="E46" s="14" t="n">
        <v>10</v>
      </c>
      <c r="F46" s="14" t="n">
        <v>69</v>
      </c>
      <c r="G46" s="14" t="n">
        <v>12</v>
      </c>
      <c r="H46" s="14" t="n">
        <v>41</v>
      </c>
      <c r="I46" s="14" t="n">
        <v>2</v>
      </c>
      <c r="J46" s="14" t="n">
        <v>145</v>
      </c>
      <c r="K46" s="14" t="n">
        <v>279</v>
      </c>
      <c r="L46" s="14" t="n">
        <v>266</v>
      </c>
      <c r="M46" s="12" t="s">
        <v>744</v>
      </c>
      <c r="N46" s="12" t="s">
        <v>752</v>
      </c>
      <c r="O46" s="23"/>
      <c r="P46" s="23"/>
      <c r="Q46" s="23"/>
      <c r="R46" s="23"/>
      <c r="S46" s="23"/>
      <c r="T46" s="23"/>
      <c r="U46" s="23"/>
      <c r="V46" s="23"/>
      <c r="W46" s="23"/>
      <c r="X46" s="23"/>
      <c r="Y46" s="23"/>
      <c r="Z46" s="23"/>
    </row>
    <row r="47" customFormat="false" ht="15.75" hidden="false" customHeight="true" outlineLevel="0" collapsed="false">
      <c r="A47" s="52" t="n">
        <v>46303</v>
      </c>
      <c r="B47" s="14" t="s">
        <v>323</v>
      </c>
      <c r="C47" s="14" t="str">
        <f aca="false" t="array" ref="C47:C47">IF(B47="","",IFERROR(INDEX('CLM &amp; IM Mapping'!$B$2:$B$270,MATCH(TRIM(B47),'CLM &amp; IM Mapping'!$A$2:$A$270,0)),"Not Mapped"))</f>
        <v>Vishnu V</v>
      </c>
      <c r="D47" s="14" t="str">
        <f aca="false" t="array" ref="D47:D47">IF(B47="","",IFERROR(INDEX('CLM &amp; IM Mapping'!$C$2:$C$270,MATCH(TRIM(B47),'CLM &amp; IM Mapping'!$A$2:$A$270,0)),"Not Mapped"))</f>
        <v>Arivind S</v>
      </c>
      <c r="E47" s="14" t="n">
        <v>21</v>
      </c>
      <c r="F47" s="14" t="n">
        <v>164</v>
      </c>
      <c r="G47" s="14" t="n">
        <v>60</v>
      </c>
      <c r="H47" s="14" t="n">
        <v>15</v>
      </c>
      <c r="I47" s="14" t="n">
        <v>10</v>
      </c>
      <c r="J47" s="14" t="n">
        <v>5</v>
      </c>
      <c r="K47" s="14" t="n">
        <v>275</v>
      </c>
      <c r="L47" s="14" t="n">
        <v>212</v>
      </c>
      <c r="M47" s="21"/>
      <c r="N47" s="11"/>
      <c r="O47" s="23"/>
      <c r="P47" s="23"/>
      <c r="Q47" s="23"/>
      <c r="R47" s="23"/>
      <c r="S47" s="23"/>
      <c r="T47" s="23"/>
      <c r="U47" s="23"/>
      <c r="V47" s="23"/>
      <c r="W47" s="23"/>
      <c r="X47" s="23"/>
      <c r="Y47" s="23"/>
      <c r="Z47" s="23"/>
    </row>
    <row r="48" customFormat="false" ht="15.75" hidden="false" customHeight="true" outlineLevel="0" collapsed="false">
      <c r="A48" s="52" t="n">
        <v>46303</v>
      </c>
      <c r="B48" s="14" t="s">
        <v>521</v>
      </c>
      <c r="C48" s="14" t="str">
        <f aca="false" t="array" ref="C48:C48">IF(B48="","",IFERROR(INDEX('CLM &amp; IM Mapping'!$B$2:$B$270,MATCH(TRIM(B48),'CLM &amp; IM Mapping'!$A$2:$A$270,0)),"Not Mapped"))</f>
        <v>Mohaideen DH</v>
      </c>
      <c r="D48" s="14" t="str">
        <f aca="false" t="array" ref="D48:D48">IF(B48="","",IFERROR(INDEX('CLM &amp; IM Mapping'!$C$2:$C$270,MATCH(TRIM(B48),'CLM &amp; IM Mapping'!$A$2:$A$270,0)),"Not Mapped"))</f>
        <v>Mohammed Akbar</v>
      </c>
      <c r="E48" s="14" t="n">
        <v>6</v>
      </c>
      <c r="F48" s="14" t="n">
        <v>76</v>
      </c>
      <c r="G48" s="14" t="n">
        <v>63</v>
      </c>
      <c r="H48" s="14" t="n">
        <v>48</v>
      </c>
      <c r="I48" s="14" t="n">
        <v>45</v>
      </c>
      <c r="J48" s="14" t="n">
        <v>37</v>
      </c>
      <c r="K48" s="14" t="n">
        <v>275</v>
      </c>
      <c r="L48" s="14" t="n">
        <v>275</v>
      </c>
      <c r="M48" s="21"/>
      <c r="N48" s="54" t="n">
        <v>0.708333333333333</v>
      </c>
      <c r="O48" s="23"/>
      <c r="P48" s="23"/>
      <c r="Q48" s="23"/>
      <c r="R48" s="23"/>
      <c r="S48" s="23"/>
      <c r="T48" s="23"/>
      <c r="U48" s="23"/>
      <c r="V48" s="23"/>
      <c r="W48" s="23"/>
      <c r="X48" s="23"/>
      <c r="Y48" s="23"/>
      <c r="Z48" s="23"/>
    </row>
    <row r="49" customFormat="false" ht="15.75" hidden="false" customHeight="true" outlineLevel="0" collapsed="false">
      <c r="A49" s="52" t="n">
        <v>46303</v>
      </c>
      <c r="B49" s="14" t="s">
        <v>227</v>
      </c>
      <c r="C49" s="14" t="str">
        <f aca="false" t="array" ref="C49:C49">IF(B49="","",IFERROR(INDEX('CLM &amp; IM Mapping'!$B$2:$B$270,MATCH(TRIM(B49),'CLM &amp; IM Mapping'!$A$2:$A$270,0)),"Not Mapped"))</f>
        <v>Vijay M</v>
      </c>
      <c r="D49" s="14" t="str">
        <f aca="false" t="array" ref="D49:D49">IF(B49="","",IFERROR(INDEX('CLM &amp; IM Mapping'!$C$2:$C$270,MATCH(TRIM(B49),'CLM &amp; IM Mapping'!$A$2:$A$270,0)),"Not Mapped"))</f>
        <v>Kantha Kumar</v>
      </c>
      <c r="E49" s="14" t="n">
        <v>33</v>
      </c>
      <c r="F49" s="14" t="n">
        <v>139</v>
      </c>
      <c r="G49" s="14" t="n">
        <v>7</v>
      </c>
      <c r="H49" s="14" t="n">
        <v>0</v>
      </c>
      <c r="I49" s="14" t="n">
        <v>6</v>
      </c>
      <c r="J49" s="14" t="n">
        <v>87</v>
      </c>
      <c r="K49" s="14" t="n">
        <v>272</v>
      </c>
      <c r="L49" s="14" t="n">
        <v>271</v>
      </c>
      <c r="M49" s="21"/>
      <c r="N49" s="11"/>
      <c r="O49" s="23"/>
      <c r="P49" s="23"/>
      <c r="Q49" s="23"/>
      <c r="R49" s="23"/>
      <c r="S49" s="23"/>
      <c r="T49" s="23"/>
      <c r="U49" s="23"/>
      <c r="V49" s="23"/>
      <c r="W49" s="23"/>
      <c r="X49" s="23"/>
      <c r="Y49" s="23"/>
      <c r="Z49" s="23"/>
    </row>
    <row r="50" customFormat="false" ht="15.75" hidden="false" customHeight="true" outlineLevel="0" collapsed="false">
      <c r="A50" s="52" t="n">
        <v>46303</v>
      </c>
      <c r="B50" s="14" t="s">
        <v>241</v>
      </c>
      <c r="C50" s="14" t="str">
        <f aca="false" t="array" ref="C50:C50">IF(B50="","",IFERROR(INDEX('CLM &amp; IM Mapping'!$B$2:$B$270,MATCH(TRIM(B50),'CLM &amp; IM Mapping'!$A$2:$A$270,0)),"Not Mapped"))</f>
        <v>Sundaresh S</v>
      </c>
      <c r="D50" s="14" t="str">
        <f aca="false" t="array" ref="D50:D50">IF(B50="","",IFERROR(INDEX('CLM &amp; IM Mapping'!$C$2:$C$270,MATCH(TRIM(B50),'CLM &amp; IM Mapping'!$A$2:$A$270,0)),"Not Mapped"))</f>
        <v>Un Mapped</v>
      </c>
      <c r="E50" s="14" t="n">
        <v>9</v>
      </c>
      <c r="F50" s="14" t="n">
        <v>28</v>
      </c>
      <c r="G50" s="14" t="n">
        <v>38</v>
      </c>
      <c r="H50" s="14" t="n">
        <v>23</v>
      </c>
      <c r="I50" s="14" t="n">
        <v>131</v>
      </c>
      <c r="J50" s="14" t="n">
        <v>24</v>
      </c>
      <c r="K50" s="14" t="n">
        <v>253</v>
      </c>
      <c r="L50" s="14" t="n">
        <v>252</v>
      </c>
      <c r="M50" s="21"/>
      <c r="N50" s="11"/>
      <c r="O50" s="23"/>
      <c r="P50" s="23"/>
      <c r="Q50" s="23"/>
      <c r="R50" s="23"/>
      <c r="S50" s="23"/>
      <c r="T50" s="23"/>
      <c r="U50" s="23"/>
      <c r="V50" s="23"/>
      <c r="W50" s="23"/>
      <c r="X50" s="23"/>
      <c r="Y50" s="23"/>
      <c r="Z50" s="23"/>
    </row>
    <row r="51" customFormat="false" ht="15.75" hidden="false" customHeight="true" outlineLevel="0" collapsed="false">
      <c r="A51" s="52" t="n">
        <v>46303</v>
      </c>
      <c r="B51" s="14" t="s">
        <v>123</v>
      </c>
      <c r="C51" s="14" t="str">
        <f aca="false" t="array" ref="C51:C51">IF(B51="","",IFERROR(INDEX('CLM &amp; IM Mapping'!$B$2:$B$270,MATCH(TRIM(B51),'CLM &amp; IM Mapping'!$A$2:$A$270,0)),"Not Mapped"))</f>
        <v>Silambarasan E</v>
      </c>
      <c r="D51" s="14" t="str">
        <f aca="false" t="array" ref="D51:D51">IF(B51="","",IFERROR(INDEX('CLM &amp; IM Mapping'!$C$2:$C$270,MATCH(TRIM(B51),'CLM &amp; IM Mapping'!$A$2:$A$270,0)),"Not Mapped"))</f>
        <v>Arivind S</v>
      </c>
      <c r="E51" s="14" t="n">
        <v>14</v>
      </c>
      <c r="F51" s="14" t="n">
        <v>166</v>
      </c>
      <c r="G51" s="14" t="n">
        <v>26</v>
      </c>
      <c r="H51" s="14" t="n">
        <v>20</v>
      </c>
      <c r="I51" s="14" t="n">
        <v>7</v>
      </c>
      <c r="J51" s="14" t="n">
        <v>8</v>
      </c>
      <c r="K51" s="14" t="n">
        <v>241</v>
      </c>
      <c r="L51" s="14" t="n">
        <v>241</v>
      </c>
      <c r="M51" s="21"/>
      <c r="N51" s="54" t="n">
        <v>0.666666666666667</v>
      </c>
      <c r="O51" s="23"/>
      <c r="P51" s="23"/>
      <c r="Q51" s="23"/>
      <c r="R51" s="23"/>
      <c r="S51" s="23"/>
      <c r="T51" s="23"/>
      <c r="U51" s="23"/>
      <c r="V51" s="23"/>
      <c r="W51" s="23"/>
      <c r="X51" s="23"/>
      <c r="Y51" s="23"/>
      <c r="Z51" s="23"/>
    </row>
    <row r="52" customFormat="false" ht="15.75" hidden="false" customHeight="true" outlineLevel="0" collapsed="false">
      <c r="A52" s="52" t="n">
        <v>46303</v>
      </c>
      <c r="B52" s="14" t="s">
        <v>396</v>
      </c>
      <c r="C52" s="14" t="str">
        <f aca="false" t="array" ref="C52:C52">IF(B52="","",IFERROR(INDEX('CLM &amp; IM Mapping'!$B$2:$B$270,MATCH(TRIM(B52),'CLM &amp; IM Mapping'!$A$2:$A$270,0)),"Not Mapped"))</f>
        <v>Ravishankar gowda</v>
      </c>
      <c r="D52" s="14" t="str">
        <f aca="false" t="array" ref="D52:D52">IF(B52="","",IFERROR(INDEX('CLM &amp; IM Mapping'!$C$2:$C$270,MATCH(TRIM(B52),'CLM &amp; IM Mapping'!$A$2:$A$270,0)),"Not Mapped"))</f>
        <v>Kishor K</v>
      </c>
      <c r="E52" s="14" t="n">
        <v>6</v>
      </c>
      <c r="F52" s="14" t="n">
        <v>62</v>
      </c>
      <c r="G52" s="14" t="n">
        <v>0</v>
      </c>
      <c r="H52" s="14" t="n">
        <v>81</v>
      </c>
      <c r="I52" s="14" t="n">
        <v>45</v>
      </c>
      <c r="J52" s="14" t="n">
        <v>46</v>
      </c>
      <c r="K52" s="14" t="n">
        <v>240</v>
      </c>
      <c r="L52" s="14" t="n">
        <v>240</v>
      </c>
      <c r="M52" s="12" t="s">
        <v>823</v>
      </c>
      <c r="N52" s="54" t="n">
        <v>0.666666666666667</v>
      </c>
      <c r="O52" s="23"/>
      <c r="P52" s="23"/>
      <c r="Q52" s="23"/>
      <c r="R52" s="23"/>
      <c r="S52" s="23"/>
      <c r="T52" s="23"/>
      <c r="U52" s="23"/>
      <c r="V52" s="23"/>
      <c r="W52" s="23"/>
      <c r="X52" s="23"/>
      <c r="Y52" s="23"/>
      <c r="Z52" s="23"/>
    </row>
    <row r="53" customFormat="false" ht="15.75" hidden="false" customHeight="true" outlineLevel="0" collapsed="false">
      <c r="A53" s="52" t="n">
        <v>46303</v>
      </c>
      <c r="B53" s="14" t="s">
        <v>422</v>
      </c>
      <c r="C53" s="14" t="str">
        <f aca="false" t="array" ref="C53:C53">IF(B53="","",IFERROR(INDEX('CLM &amp; IM Mapping'!$B$2:$B$270,MATCH(TRIM(B53),'CLM &amp; IM Mapping'!$A$2:$A$270,0)),"Not Mapped"))</f>
        <v>Manjunatha V</v>
      </c>
      <c r="D53" s="14" t="str">
        <f aca="false" t="array" ref="D53:D53">IF(B53="","",IFERROR(INDEX('CLM &amp; IM Mapping'!$C$2:$C$270,MATCH(TRIM(B53),'CLM &amp; IM Mapping'!$A$2:$A$270,0)),"Not Mapped"))</f>
        <v>Un Mapped</v>
      </c>
      <c r="E53" s="14" t="n">
        <v>31</v>
      </c>
      <c r="F53" s="14" t="n">
        <v>79</v>
      </c>
      <c r="G53" s="14" t="n">
        <v>2</v>
      </c>
      <c r="H53" s="14" t="n">
        <v>13</v>
      </c>
      <c r="I53" s="14" t="n">
        <v>41</v>
      </c>
      <c r="J53" s="14" t="n">
        <v>74</v>
      </c>
      <c r="K53" s="14" t="n">
        <v>240</v>
      </c>
      <c r="L53" s="14" t="n">
        <v>142</v>
      </c>
      <c r="M53" s="21"/>
      <c r="N53" s="11"/>
      <c r="O53" s="23"/>
      <c r="P53" s="23"/>
      <c r="Q53" s="23"/>
      <c r="R53" s="23"/>
      <c r="S53" s="23"/>
      <c r="T53" s="23"/>
      <c r="U53" s="23"/>
      <c r="V53" s="23"/>
      <c r="W53" s="23"/>
      <c r="X53" s="23"/>
      <c r="Y53" s="23"/>
      <c r="Z53" s="23"/>
    </row>
    <row r="54" customFormat="false" ht="15.75" hidden="false" customHeight="true" outlineLevel="0" collapsed="false">
      <c r="A54" s="52" t="n">
        <v>46303</v>
      </c>
      <c r="B54" s="14" t="s">
        <v>80</v>
      </c>
      <c r="C54" s="14" t="str">
        <f aca="false" t="array" ref="C54:C54">IF(B54="","",IFERROR(INDEX('CLM &amp; IM Mapping'!$B$2:$B$270,MATCH(TRIM(B54),'CLM &amp; IM Mapping'!$A$2:$A$270,0)),"Not Mapped"))</f>
        <v>Sundaresh S</v>
      </c>
      <c r="D54" s="14" t="str">
        <f aca="false" t="array" ref="D54:D54">IF(B54="","",IFERROR(INDEX('CLM &amp; IM Mapping'!$C$2:$C$270,MATCH(TRIM(B54),'CLM &amp; IM Mapping'!$A$2:$A$270,0)),"Not Mapped"))</f>
        <v>Un Mapped</v>
      </c>
      <c r="E54" s="14" t="n">
        <v>13</v>
      </c>
      <c r="F54" s="14" t="n">
        <v>93</v>
      </c>
      <c r="G54" s="14" t="n">
        <v>39</v>
      </c>
      <c r="H54" s="14" t="n">
        <v>0</v>
      </c>
      <c r="I54" s="14" t="n">
        <v>0</v>
      </c>
      <c r="J54" s="14" t="n">
        <v>94</v>
      </c>
      <c r="K54" s="14" t="n">
        <v>239</v>
      </c>
      <c r="L54" s="14" t="n">
        <v>239</v>
      </c>
      <c r="M54" s="21"/>
      <c r="N54" s="11"/>
      <c r="O54" s="23"/>
      <c r="P54" s="23"/>
      <c r="Q54" s="23"/>
      <c r="R54" s="23"/>
      <c r="S54" s="23"/>
      <c r="T54" s="23"/>
      <c r="U54" s="23"/>
      <c r="V54" s="23"/>
      <c r="W54" s="23"/>
      <c r="X54" s="23"/>
      <c r="Y54" s="23"/>
      <c r="Z54" s="23"/>
    </row>
    <row r="55" customFormat="false" ht="15.75" hidden="false" customHeight="true" outlineLevel="0" collapsed="false">
      <c r="A55" s="52" t="n">
        <v>46303</v>
      </c>
      <c r="B55" s="14" t="s">
        <v>528</v>
      </c>
      <c r="C55" s="14" t="str">
        <f aca="false" t="array" ref="C55:C55">IF(B55="","",IFERROR(INDEX('CLM &amp; IM Mapping'!$B$2:$B$270,MATCH(TRIM(B55),'CLM &amp; IM Mapping'!$A$2:$A$270,0)),"Not Mapped"))</f>
        <v>Saddam Hussain</v>
      </c>
      <c r="D55" s="14" t="str">
        <f aca="false" t="array" ref="D55:D55">IF(B55="","",IFERROR(INDEX('CLM &amp; IM Mapping'!$C$2:$C$270,MATCH(TRIM(B55),'CLM &amp; IM Mapping'!$A$2:$A$270,0)),"Not Mapped"))</f>
        <v>Un Mapped</v>
      </c>
      <c r="E55" s="14" t="n">
        <v>10</v>
      </c>
      <c r="F55" s="14" t="n">
        <v>137</v>
      </c>
      <c r="G55" s="14" t="n">
        <v>6</v>
      </c>
      <c r="H55" s="14" t="n">
        <v>25</v>
      </c>
      <c r="I55" s="14" t="n">
        <v>23</v>
      </c>
      <c r="J55" s="14" t="n">
        <v>35</v>
      </c>
      <c r="K55" s="14" t="n">
        <v>236</v>
      </c>
      <c r="L55" s="14" t="n">
        <v>97</v>
      </c>
      <c r="M55" s="21"/>
      <c r="N55" s="11"/>
      <c r="O55" s="23"/>
      <c r="P55" s="23"/>
      <c r="Q55" s="23"/>
      <c r="R55" s="23"/>
      <c r="S55" s="23"/>
      <c r="T55" s="23"/>
      <c r="U55" s="23"/>
      <c r="V55" s="23"/>
      <c r="W55" s="23"/>
      <c r="X55" s="23"/>
      <c r="Y55" s="23"/>
      <c r="Z55" s="23"/>
    </row>
    <row r="56" customFormat="false" ht="15.75" hidden="false" customHeight="true" outlineLevel="0" collapsed="false">
      <c r="A56" s="52" t="n">
        <v>46303</v>
      </c>
      <c r="B56" s="14" t="s">
        <v>342</v>
      </c>
      <c r="C56" s="14" t="str">
        <f aca="false" t="array" ref="C56:C56">IF(B56="","",IFERROR(INDEX('CLM &amp; IM Mapping'!$B$2:$B$270,MATCH(TRIM(B56),'CLM &amp; IM Mapping'!$A$2:$A$270,0)),"Not Mapped"))</f>
        <v>Saddam Hussain</v>
      </c>
      <c r="D56" s="14" t="str">
        <f aca="false" t="array" ref="D56:D56">IF(B56="","",IFERROR(INDEX('CLM &amp; IM Mapping'!$C$2:$C$270,MATCH(TRIM(B56),'CLM &amp; IM Mapping'!$A$2:$A$270,0)),"Not Mapped"))</f>
        <v>Un Mapped</v>
      </c>
      <c r="E56" s="14" t="n">
        <v>48</v>
      </c>
      <c r="F56" s="14" t="n">
        <v>75</v>
      </c>
      <c r="G56" s="14" t="n">
        <v>78</v>
      </c>
      <c r="H56" s="14" t="n">
        <v>0</v>
      </c>
      <c r="I56" s="14" t="n">
        <v>9</v>
      </c>
      <c r="J56" s="14" t="n">
        <v>19</v>
      </c>
      <c r="K56" s="14" t="n">
        <v>229</v>
      </c>
      <c r="L56" s="14" t="n">
        <v>157</v>
      </c>
      <c r="M56" s="21"/>
      <c r="N56" s="11"/>
      <c r="O56" s="23"/>
      <c r="P56" s="23"/>
      <c r="Q56" s="23"/>
      <c r="R56" s="23"/>
      <c r="S56" s="23"/>
      <c r="T56" s="23"/>
      <c r="U56" s="23"/>
      <c r="V56" s="23"/>
      <c r="W56" s="23"/>
      <c r="X56" s="23"/>
      <c r="Y56" s="23"/>
      <c r="Z56" s="23"/>
    </row>
    <row r="57" customFormat="false" ht="15.75" hidden="false" customHeight="true" outlineLevel="0" collapsed="false">
      <c r="A57" s="52" t="n">
        <v>46303</v>
      </c>
      <c r="B57" s="14" t="s">
        <v>507</v>
      </c>
      <c r="C57" s="14" t="str">
        <f aca="false" t="array" ref="C57:C57">IF(B57="","",IFERROR(INDEX('CLM &amp; IM Mapping'!$B$2:$B$270,MATCH(TRIM(B57),'CLM &amp; IM Mapping'!$A$2:$A$270,0)),"Not Mapped"))</f>
        <v>Raghavendra Vernekar</v>
      </c>
      <c r="D57" s="14" t="str">
        <f aca="false" t="array" ref="D57:D57">IF(B57="","",IFERROR(INDEX('CLM &amp; IM Mapping'!$C$2:$C$270,MATCH(TRIM(B57),'CLM &amp; IM Mapping'!$A$2:$A$270,0)),"Not Mapped"))</f>
        <v>Prakash BS</v>
      </c>
      <c r="E57" s="14" t="n">
        <v>53</v>
      </c>
      <c r="F57" s="14" t="n">
        <v>42</v>
      </c>
      <c r="G57" s="14" t="n">
        <v>50</v>
      </c>
      <c r="H57" s="14" t="n">
        <v>12</v>
      </c>
      <c r="I57" s="14" t="n">
        <v>5</v>
      </c>
      <c r="J57" s="14" t="n">
        <v>67</v>
      </c>
      <c r="K57" s="14" t="n">
        <v>229</v>
      </c>
      <c r="L57" s="14" t="n">
        <v>213</v>
      </c>
      <c r="M57" s="12" t="s">
        <v>744</v>
      </c>
      <c r="N57" s="12" t="s">
        <v>752</v>
      </c>
      <c r="O57" s="23"/>
      <c r="P57" s="23"/>
      <c r="Q57" s="23"/>
      <c r="R57" s="23"/>
      <c r="S57" s="23"/>
      <c r="T57" s="23"/>
      <c r="U57" s="23"/>
      <c r="V57" s="23"/>
      <c r="W57" s="23"/>
      <c r="X57" s="23"/>
      <c r="Y57" s="23"/>
      <c r="Z57" s="23"/>
    </row>
    <row r="58" customFormat="false" ht="15.75" hidden="false" customHeight="true" outlineLevel="0" collapsed="false">
      <c r="A58" s="52" t="n">
        <v>46303</v>
      </c>
      <c r="B58" s="14" t="s">
        <v>512</v>
      </c>
      <c r="C58" s="14" t="str">
        <f aca="false" t="array" ref="C58:C58">IF(B58="","",IFERROR(INDEX('CLM &amp; IM Mapping'!$B$2:$B$270,MATCH(TRIM(B58),'CLM &amp; IM Mapping'!$A$2:$A$270,0)),"Not Mapped"))</f>
        <v>Saddam Hussain</v>
      </c>
      <c r="D58" s="14" t="str">
        <f aca="false" t="array" ref="D58:D58">IF(B58="","",IFERROR(INDEX('CLM &amp; IM Mapping'!$C$2:$C$270,MATCH(TRIM(B58),'CLM &amp; IM Mapping'!$A$2:$A$270,0)),"Not Mapped"))</f>
        <v>Un Mapped</v>
      </c>
      <c r="E58" s="14" t="n">
        <v>0</v>
      </c>
      <c r="F58" s="14" t="n">
        <v>58</v>
      </c>
      <c r="G58" s="14" t="n">
        <v>7</v>
      </c>
      <c r="H58" s="14" t="n">
        <v>69</v>
      </c>
      <c r="I58" s="14" t="n">
        <v>59</v>
      </c>
      <c r="J58" s="14" t="n">
        <v>31</v>
      </c>
      <c r="K58" s="14" t="n">
        <v>224</v>
      </c>
      <c r="L58" s="14" t="n">
        <v>187</v>
      </c>
      <c r="M58" s="21"/>
      <c r="N58" s="11"/>
      <c r="O58" s="23"/>
      <c r="P58" s="23"/>
      <c r="Q58" s="23"/>
      <c r="R58" s="23"/>
      <c r="S58" s="23"/>
      <c r="T58" s="23"/>
      <c r="U58" s="23"/>
      <c r="V58" s="23"/>
      <c r="W58" s="23"/>
      <c r="X58" s="23"/>
      <c r="Y58" s="23"/>
      <c r="Z58" s="23"/>
    </row>
    <row r="59" customFormat="false" ht="15.75" hidden="false" customHeight="true" outlineLevel="0" collapsed="false">
      <c r="A59" s="52" t="n">
        <v>46303</v>
      </c>
      <c r="B59" s="14" t="s">
        <v>56</v>
      </c>
      <c r="C59" s="14" t="str">
        <f aca="false" t="array" ref="C59:C59">IF(B59="","",IFERROR(INDEX('CLM &amp; IM Mapping'!$B$2:$B$270,MATCH(TRIM(B59),'CLM &amp; IM Mapping'!$A$2:$A$270,0)),"Not Mapped"))</f>
        <v>Keshav G</v>
      </c>
      <c r="D59" s="14" t="str">
        <f aca="false" t="array" ref="D59:D59">IF(B59="","",IFERROR(INDEX('CLM &amp; IM Mapping'!$C$2:$C$270,MATCH(TRIM(B59),'CLM &amp; IM Mapping'!$A$2:$A$270,0)),"Not Mapped"))</f>
        <v>Un Mapped</v>
      </c>
      <c r="E59" s="14" t="n">
        <v>0</v>
      </c>
      <c r="F59" s="14" t="n">
        <v>17</v>
      </c>
      <c r="G59" s="14" t="n">
        <v>0</v>
      </c>
      <c r="H59" s="14" t="n">
        <v>17</v>
      </c>
      <c r="I59" s="14" t="n">
        <v>185</v>
      </c>
      <c r="J59" s="14" t="n">
        <v>0</v>
      </c>
      <c r="K59" s="14" t="n">
        <v>219</v>
      </c>
      <c r="L59" s="14" t="n">
        <v>136</v>
      </c>
      <c r="M59" s="21"/>
      <c r="N59" s="11"/>
      <c r="O59" s="23"/>
      <c r="P59" s="23"/>
      <c r="Q59" s="23"/>
      <c r="R59" s="23"/>
      <c r="S59" s="23"/>
      <c r="T59" s="23"/>
      <c r="U59" s="23"/>
      <c r="V59" s="23"/>
      <c r="W59" s="23"/>
      <c r="X59" s="23"/>
      <c r="Y59" s="23"/>
      <c r="Z59" s="23"/>
    </row>
    <row r="60" customFormat="false" ht="15.75" hidden="false" customHeight="true" outlineLevel="0" collapsed="false">
      <c r="A60" s="52" t="n">
        <v>46303</v>
      </c>
      <c r="B60" s="14" t="s">
        <v>292</v>
      </c>
      <c r="C60" s="14" t="str">
        <f aca="false" t="array" ref="C60:C60">IF(B60="","",IFERROR(INDEX('CLM &amp; IM Mapping'!$B$2:$B$270,MATCH(TRIM(B60),'CLM &amp; IM Mapping'!$A$2:$A$270,0)),"Not Mapped"))</f>
        <v>Mohaideen DH</v>
      </c>
      <c r="D60" s="14" t="str">
        <f aca="false" t="array" ref="D60:D60">IF(B60="","",IFERROR(INDEX('CLM &amp; IM Mapping'!$C$2:$C$270,MATCH(TRIM(B60),'CLM &amp; IM Mapping'!$A$2:$A$270,0)),"Not Mapped"))</f>
        <v>Mohammed Akbar</v>
      </c>
      <c r="E60" s="14" t="n">
        <v>98</v>
      </c>
      <c r="F60" s="14" t="n">
        <v>48</v>
      </c>
      <c r="G60" s="14" t="n">
        <v>19</v>
      </c>
      <c r="H60" s="14" t="n">
        <v>3</v>
      </c>
      <c r="I60" s="14" t="n">
        <v>46</v>
      </c>
      <c r="J60" s="14" t="n">
        <v>4</v>
      </c>
      <c r="K60" s="14" t="n">
        <v>218</v>
      </c>
      <c r="L60" s="14" t="n">
        <v>215</v>
      </c>
      <c r="M60" s="12" t="s">
        <v>824</v>
      </c>
      <c r="N60" s="54" t="n">
        <v>0.875</v>
      </c>
      <c r="O60" s="23"/>
      <c r="P60" s="23"/>
      <c r="Q60" s="23"/>
      <c r="R60" s="23"/>
      <c r="S60" s="23"/>
      <c r="T60" s="23"/>
      <c r="U60" s="23"/>
      <c r="V60" s="23"/>
      <c r="W60" s="23"/>
      <c r="X60" s="23"/>
      <c r="Y60" s="23"/>
      <c r="Z60" s="23"/>
    </row>
    <row r="61" customFormat="false" ht="15.75" hidden="false" customHeight="true" outlineLevel="0" collapsed="false">
      <c r="A61" s="52" t="n">
        <v>46303</v>
      </c>
      <c r="B61" s="14" t="s">
        <v>162</v>
      </c>
      <c r="C61" s="14" t="str">
        <f aca="false" t="array" ref="C61:C61">IF(B61="","",IFERROR(INDEX('CLM &amp; IM Mapping'!$B$2:$B$270,MATCH(TRIM(B61),'CLM &amp; IM Mapping'!$A$2:$A$270,0)),"Not Mapped"))</f>
        <v>Ashwath S</v>
      </c>
      <c r="D61" s="14" t="str">
        <f aca="false" t="array" ref="D61:D61">IF(B61="","",IFERROR(INDEX('CLM &amp; IM Mapping'!$C$2:$C$270,MATCH(TRIM(B61),'CLM &amp; IM Mapping'!$A$2:$A$270,0)),"Not Mapped"))</f>
        <v>Kantha Kumar</v>
      </c>
      <c r="E61" s="14" t="n">
        <v>41</v>
      </c>
      <c r="F61" s="14" t="n">
        <v>111</v>
      </c>
      <c r="G61" s="14" t="n">
        <v>58</v>
      </c>
      <c r="H61" s="14" t="n">
        <v>2</v>
      </c>
      <c r="I61" s="14" t="n">
        <v>6</v>
      </c>
      <c r="J61" s="14" t="n">
        <v>0</v>
      </c>
      <c r="K61" s="14" t="n">
        <v>218</v>
      </c>
      <c r="L61" s="14" t="n">
        <v>212</v>
      </c>
      <c r="M61" s="21"/>
      <c r="N61" s="11"/>
      <c r="O61" s="23"/>
      <c r="P61" s="23"/>
      <c r="Q61" s="23"/>
      <c r="R61" s="23"/>
      <c r="S61" s="23"/>
      <c r="T61" s="23"/>
      <c r="U61" s="23"/>
      <c r="V61" s="23"/>
      <c r="W61" s="23"/>
      <c r="X61" s="23"/>
      <c r="Y61" s="23"/>
      <c r="Z61" s="23"/>
    </row>
    <row r="62" customFormat="false" ht="15.75" hidden="false" customHeight="true" outlineLevel="0" collapsed="false">
      <c r="A62" s="52" t="n">
        <v>46303</v>
      </c>
      <c r="B62" s="14" t="s">
        <v>530</v>
      </c>
      <c r="C62" s="14" t="str">
        <f aca="false" t="array" ref="C62:C62">IF(B62="","",IFERROR(INDEX('CLM &amp; IM Mapping'!$B$2:$B$270,MATCH(TRIM(B62),'CLM &amp; IM Mapping'!$A$2:$A$270,0)),"Not Mapped"))</f>
        <v>Balaji G</v>
      </c>
      <c r="D62" s="14" t="str">
        <f aca="false" t="array" ref="D62:D62">IF(B62="","",IFERROR(INDEX('CLM &amp; IM Mapping'!$C$2:$C$270,MATCH(TRIM(B62),'CLM &amp; IM Mapping'!$A$2:$A$270,0)),"Not Mapped"))</f>
        <v>Mohammed Akbar</v>
      </c>
      <c r="E62" s="14" t="n">
        <v>1</v>
      </c>
      <c r="F62" s="14" t="n">
        <v>97</v>
      </c>
      <c r="G62" s="14" t="n">
        <v>0</v>
      </c>
      <c r="H62" s="14" t="n">
        <v>18</v>
      </c>
      <c r="I62" s="14" t="n">
        <v>1</v>
      </c>
      <c r="J62" s="14" t="n">
        <v>91</v>
      </c>
      <c r="K62" s="14" t="n">
        <v>208</v>
      </c>
      <c r="L62" s="14" t="n">
        <v>208</v>
      </c>
      <c r="M62" s="12" t="s">
        <v>825</v>
      </c>
      <c r="N62" s="54" t="n">
        <v>0.708333333333333</v>
      </c>
      <c r="O62" s="23"/>
      <c r="P62" s="23"/>
      <c r="Q62" s="23"/>
      <c r="R62" s="23"/>
      <c r="S62" s="23"/>
      <c r="T62" s="23"/>
      <c r="U62" s="23"/>
      <c r="V62" s="23"/>
      <c r="W62" s="23"/>
      <c r="X62" s="23"/>
      <c r="Y62" s="23"/>
      <c r="Z62" s="23"/>
    </row>
    <row r="63" customFormat="false" ht="15.75" hidden="false" customHeight="true" outlineLevel="0" collapsed="false">
      <c r="A63" s="52" t="n">
        <v>46303</v>
      </c>
      <c r="B63" s="14" t="s">
        <v>118</v>
      </c>
      <c r="C63" s="14" t="str">
        <f aca="false" t="array" ref="C63:C63">IF(B63="","",IFERROR(INDEX('CLM &amp; IM Mapping'!$B$2:$B$270,MATCH(TRIM(B63),'CLM &amp; IM Mapping'!$A$2:$A$270,0)),"Not Mapped"))</f>
        <v>Adhavan Subramani</v>
      </c>
      <c r="D63" s="14" t="str">
        <f aca="false" t="array" ref="D63:D63">IF(B63="","",IFERROR(INDEX('CLM &amp; IM Mapping'!$C$2:$C$270,MATCH(TRIM(B63),'CLM &amp; IM Mapping'!$A$2:$A$270,0)),"Not Mapped"))</f>
        <v>Mohammed Akbar</v>
      </c>
      <c r="E63" s="14" t="n">
        <v>11</v>
      </c>
      <c r="F63" s="14" t="n">
        <v>88</v>
      </c>
      <c r="G63" s="14" t="n">
        <v>34</v>
      </c>
      <c r="H63" s="14" t="n">
        <v>5</v>
      </c>
      <c r="I63" s="14" t="n">
        <v>14</v>
      </c>
      <c r="J63" s="14" t="n">
        <v>55</v>
      </c>
      <c r="K63" s="14" t="n">
        <v>207</v>
      </c>
      <c r="L63" s="14" t="n">
        <v>207</v>
      </c>
      <c r="M63" s="12" t="s">
        <v>733</v>
      </c>
      <c r="N63" s="54" t="n">
        <v>0.604166666666667</v>
      </c>
      <c r="O63" s="23"/>
      <c r="P63" s="23"/>
      <c r="Q63" s="23"/>
      <c r="R63" s="23"/>
      <c r="S63" s="23"/>
      <c r="T63" s="23"/>
      <c r="U63" s="23"/>
      <c r="V63" s="23"/>
      <c r="W63" s="23"/>
      <c r="X63" s="23"/>
      <c r="Y63" s="23"/>
      <c r="Z63" s="23"/>
    </row>
    <row r="64" customFormat="false" ht="15.75" hidden="false" customHeight="true" outlineLevel="0" collapsed="false">
      <c r="A64" s="52" t="n">
        <v>46303</v>
      </c>
      <c r="B64" s="14" t="s">
        <v>447</v>
      </c>
      <c r="C64" s="14" t="str">
        <f aca="false" t="array" ref="C64:C64">IF(B64="","",IFERROR(INDEX('CLM &amp; IM Mapping'!$B$2:$B$270,MATCH(TRIM(B64),'CLM &amp; IM Mapping'!$A$2:$A$270,0)),"Not Mapped"))</f>
        <v>John Britto</v>
      </c>
      <c r="D64" s="14" t="str">
        <f aca="false" t="array" ref="D64:D64">IF(B64="","",IFERROR(INDEX('CLM &amp; IM Mapping'!$C$2:$C$270,MATCH(TRIM(B64),'CLM &amp; IM Mapping'!$A$2:$A$270,0)),"Not Mapped"))</f>
        <v>Aravind S</v>
      </c>
      <c r="E64" s="14" t="n">
        <v>3</v>
      </c>
      <c r="F64" s="14" t="n">
        <v>184</v>
      </c>
      <c r="G64" s="14" t="n">
        <v>10</v>
      </c>
      <c r="H64" s="14" t="n">
        <v>9</v>
      </c>
      <c r="I64" s="14" t="n">
        <v>0</v>
      </c>
      <c r="J64" s="14" t="n">
        <v>0</v>
      </c>
      <c r="K64" s="14" t="n">
        <v>206</v>
      </c>
      <c r="L64" s="14" t="n">
        <v>109</v>
      </c>
      <c r="M64" s="12" t="s">
        <v>818</v>
      </c>
      <c r="N64" s="12" t="s">
        <v>818</v>
      </c>
      <c r="O64" s="23"/>
      <c r="P64" s="23"/>
      <c r="Q64" s="23"/>
      <c r="R64" s="23"/>
      <c r="S64" s="23"/>
      <c r="T64" s="23"/>
      <c r="U64" s="23"/>
      <c r="V64" s="23"/>
      <c r="W64" s="23"/>
      <c r="X64" s="23"/>
      <c r="Y64" s="23"/>
      <c r="Z64" s="23"/>
    </row>
    <row r="65" customFormat="false" ht="15.75" hidden="false" customHeight="true" outlineLevel="0" collapsed="false">
      <c r="A65" s="52" t="n">
        <v>46303</v>
      </c>
      <c r="B65" s="14" t="s">
        <v>381</v>
      </c>
      <c r="C65" s="14" t="str">
        <f aca="false" t="array" ref="C65:C65">IF(B65="","",IFERROR(INDEX('CLM &amp; IM Mapping'!$B$2:$B$270,MATCH(TRIM(B65),'CLM &amp; IM Mapping'!$A$2:$A$270,0)),"Not Mapped"))</f>
        <v>Balaji G</v>
      </c>
      <c r="D65" s="14" t="str">
        <f aca="false" t="array" ref="D65:D65">IF(B65="","",IFERROR(INDEX('CLM &amp; IM Mapping'!$C$2:$C$270,MATCH(TRIM(B65),'CLM &amp; IM Mapping'!$A$2:$A$270,0)),"Not Mapped"))</f>
        <v>Mohammed Akbar</v>
      </c>
      <c r="E65" s="14" t="n">
        <v>37</v>
      </c>
      <c r="F65" s="14" t="n">
        <v>24</v>
      </c>
      <c r="G65" s="14" t="n">
        <v>80</v>
      </c>
      <c r="H65" s="14" t="n">
        <v>0</v>
      </c>
      <c r="I65" s="14" t="n">
        <v>33</v>
      </c>
      <c r="J65" s="14" t="n">
        <v>30</v>
      </c>
      <c r="K65" s="14" t="n">
        <v>204</v>
      </c>
      <c r="L65" s="14" t="n">
        <v>203</v>
      </c>
      <c r="M65" s="21"/>
      <c r="N65" s="54" t="n">
        <v>0.708333333333333</v>
      </c>
      <c r="O65" s="23"/>
      <c r="P65" s="23"/>
      <c r="Q65" s="23"/>
      <c r="R65" s="23"/>
      <c r="S65" s="23"/>
      <c r="T65" s="23"/>
      <c r="U65" s="23"/>
      <c r="V65" s="23"/>
      <c r="W65" s="23"/>
      <c r="X65" s="23"/>
      <c r="Y65" s="23"/>
      <c r="Z65" s="23"/>
    </row>
    <row r="66" customFormat="false" ht="15.75" hidden="false" customHeight="true" outlineLevel="0" collapsed="false">
      <c r="A66" s="52" t="n">
        <v>46303</v>
      </c>
      <c r="B66" s="14" t="s">
        <v>181</v>
      </c>
      <c r="C66" s="14" t="str">
        <f aca="false" t="array" ref="C66:C66">IF(B66="","",IFERROR(INDEX('CLM &amp; IM Mapping'!$B$2:$B$270,MATCH(TRIM(B66),'CLM &amp; IM Mapping'!$A$2:$A$270,0)),"Not Mapped"))</f>
        <v>Silambarasan E</v>
      </c>
      <c r="D66" s="14" t="str">
        <f aca="false" t="array" ref="D66:D66">IF(B66="","",IFERROR(INDEX('CLM &amp; IM Mapping'!$C$2:$C$270,MATCH(TRIM(B66),'CLM &amp; IM Mapping'!$A$2:$A$270,0)),"Not Mapped"))</f>
        <v>Arivind S</v>
      </c>
      <c r="E66" s="14" t="n">
        <v>0</v>
      </c>
      <c r="F66" s="14" t="n">
        <v>54</v>
      </c>
      <c r="G66" s="14" t="n">
        <v>0</v>
      </c>
      <c r="H66" s="14" t="n">
        <v>103</v>
      </c>
      <c r="I66" s="14" t="n">
        <v>11</v>
      </c>
      <c r="J66" s="14" t="n">
        <v>36</v>
      </c>
      <c r="K66" s="14" t="n">
        <v>204</v>
      </c>
      <c r="L66" s="14" t="n">
        <v>139</v>
      </c>
      <c r="M66" s="21"/>
      <c r="N66" s="11"/>
      <c r="O66" s="23"/>
      <c r="P66" s="23"/>
      <c r="Q66" s="23"/>
      <c r="R66" s="23"/>
      <c r="S66" s="23"/>
      <c r="T66" s="23"/>
      <c r="U66" s="23"/>
      <c r="V66" s="23"/>
      <c r="W66" s="23"/>
      <c r="X66" s="23"/>
      <c r="Y66" s="23"/>
      <c r="Z66" s="23"/>
    </row>
    <row r="67" customFormat="false" ht="15.75" hidden="false" customHeight="true" outlineLevel="0" collapsed="false">
      <c r="A67" s="52" t="n">
        <v>46303</v>
      </c>
      <c r="B67" s="14" t="s">
        <v>486</v>
      </c>
      <c r="C67" s="14" t="str">
        <f aca="false" t="array" ref="C67:C67">IF(B67="","",IFERROR(INDEX('CLM &amp; IM Mapping'!$B$2:$B$270,MATCH(TRIM(B67),'CLM &amp; IM Mapping'!$A$2:$A$270,0)),"Not Mapped"))</f>
        <v>Balaji G</v>
      </c>
      <c r="D67" s="14" t="str">
        <f aca="false" t="array" ref="D67:D67">IF(B67="","",IFERROR(INDEX('CLM &amp; IM Mapping'!$C$2:$C$270,MATCH(TRIM(B67),'CLM &amp; IM Mapping'!$A$2:$A$270,0)),"Not Mapped"))</f>
        <v>Mohammed Akbar</v>
      </c>
      <c r="E67" s="14" t="n">
        <v>0</v>
      </c>
      <c r="F67" s="14" t="n">
        <v>0</v>
      </c>
      <c r="G67" s="14" t="n">
        <v>0</v>
      </c>
      <c r="H67" s="14" t="n">
        <v>145</v>
      </c>
      <c r="I67" s="14" t="n">
        <v>56</v>
      </c>
      <c r="J67" s="14" t="n">
        <v>0</v>
      </c>
      <c r="K67" s="14" t="n">
        <v>201</v>
      </c>
      <c r="L67" s="14" t="n">
        <v>201</v>
      </c>
      <c r="M67" s="12" t="s">
        <v>826</v>
      </c>
      <c r="N67" s="54" t="n">
        <v>0.708333333333333</v>
      </c>
      <c r="O67" s="23"/>
      <c r="P67" s="23"/>
      <c r="Q67" s="23"/>
      <c r="R67" s="23"/>
      <c r="S67" s="23"/>
      <c r="T67" s="23"/>
      <c r="U67" s="23"/>
      <c r="V67" s="23"/>
      <c r="W67" s="23"/>
      <c r="X67" s="23"/>
      <c r="Y67" s="23"/>
      <c r="Z67" s="23"/>
    </row>
    <row r="68" customFormat="false" ht="15.75" hidden="false" customHeight="true" outlineLevel="0" collapsed="false">
      <c r="A68" s="52" t="n">
        <v>46303</v>
      </c>
      <c r="B68" s="14" t="s">
        <v>213</v>
      </c>
      <c r="C68" s="14" t="str">
        <f aca="false" t="array" ref="C68:C68">IF(B68="","",IFERROR(INDEX('CLM &amp; IM Mapping'!$B$2:$B$270,MATCH(TRIM(B68),'CLM &amp; IM Mapping'!$A$2:$A$270,0)),"Not Mapped"))</f>
        <v>Bangareppa CS</v>
      </c>
      <c r="D68" s="14" t="str">
        <f aca="false" t="array" ref="D68:D68">IF(B68="","",IFERROR(INDEX('CLM &amp; IM Mapping'!$C$2:$C$270,MATCH(TRIM(B68),'CLM &amp; IM Mapping'!$A$2:$A$270,0)),"Not Mapped"))</f>
        <v>Kishor K</v>
      </c>
      <c r="E68" s="14" t="n">
        <v>6</v>
      </c>
      <c r="F68" s="14" t="n">
        <v>195</v>
      </c>
      <c r="G68" s="14" t="n">
        <v>0</v>
      </c>
      <c r="H68" s="14" t="n">
        <v>0</v>
      </c>
      <c r="I68" s="14" t="n">
        <v>0</v>
      </c>
      <c r="J68" s="14" t="n">
        <v>0</v>
      </c>
      <c r="K68" s="14" t="n">
        <v>201</v>
      </c>
      <c r="L68" s="14" t="n">
        <v>15</v>
      </c>
      <c r="M68" s="12" t="s">
        <v>827</v>
      </c>
      <c r="N68" s="54" t="n">
        <v>0.666666666666667</v>
      </c>
      <c r="O68" s="23"/>
      <c r="P68" s="23"/>
      <c r="Q68" s="23"/>
      <c r="R68" s="23"/>
      <c r="S68" s="23"/>
      <c r="T68" s="23"/>
      <c r="U68" s="23"/>
      <c r="V68" s="23"/>
      <c r="W68" s="23"/>
      <c r="X68" s="23"/>
      <c r="Y68" s="23"/>
      <c r="Z68" s="23"/>
    </row>
    <row r="69" customFormat="false" ht="15.75" hidden="false" customHeight="true" outlineLevel="0" collapsed="false">
      <c r="A69" s="52" t="n">
        <v>46303</v>
      </c>
      <c r="B69" s="14" t="s">
        <v>235</v>
      </c>
      <c r="C69" s="14" t="str">
        <f aca="false" t="array" ref="C69:C69">IF(B69="","",IFERROR(INDEX('CLM &amp; IM Mapping'!$B$2:$B$270,MATCH(TRIM(B69),'CLM &amp; IM Mapping'!$A$2:$A$270,0)),"Not Mapped"))</f>
        <v>Akshay P</v>
      </c>
      <c r="D69" s="14" t="str">
        <f aca="false" t="array" ref="D69:D69">IF(B69="","",IFERROR(INDEX('CLM &amp; IM Mapping'!$C$2:$C$270,MATCH(TRIM(B69),'CLM &amp; IM Mapping'!$A$2:$A$270,0)),"Not Mapped"))</f>
        <v>Srittam Dhal</v>
      </c>
      <c r="E69" s="14" t="n">
        <v>29</v>
      </c>
      <c r="F69" s="14" t="n">
        <v>70</v>
      </c>
      <c r="G69" s="14" t="n">
        <v>53</v>
      </c>
      <c r="H69" s="14" t="n">
        <v>0</v>
      </c>
      <c r="I69" s="14" t="n">
        <v>0</v>
      </c>
      <c r="J69" s="14" t="n">
        <v>46</v>
      </c>
      <c r="K69" s="14" t="n">
        <v>198</v>
      </c>
      <c r="L69" s="14" t="n">
        <v>196</v>
      </c>
      <c r="M69" s="12" t="s">
        <v>744</v>
      </c>
      <c r="N69" s="12" t="s">
        <v>752</v>
      </c>
      <c r="O69" s="23"/>
      <c r="P69" s="23"/>
      <c r="Q69" s="23"/>
      <c r="R69" s="23"/>
      <c r="S69" s="23"/>
      <c r="T69" s="23"/>
      <c r="U69" s="23"/>
      <c r="V69" s="23"/>
      <c r="W69" s="23"/>
      <c r="X69" s="23"/>
      <c r="Y69" s="23"/>
      <c r="Z69" s="23"/>
    </row>
    <row r="70" customFormat="false" ht="15.75" hidden="false" customHeight="true" outlineLevel="0" collapsed="false">
      <c r="A70" s="52" t="n">
        <v>46303</v>
      </c>
      <c r="B70" s="14" t="s">
        <v>488</v>
      </c>
      <c r="C70" s="14" t="str">
        <f aca="false" t="array" ref="C70:C70">IF(B70="","",IFERROR(INDEX('CLM &amp; IM Mapping'!$B$2:$B$270,MATCH(TRIM(B70),'CLM &amp; IM Mapping'!$A$2:$A$270,0)),"Not Mapped"))</f>
        <v>Sundaresh S</v>
      </c>
      <c r="D70" s="14" t="str">
        <f aca="false" t="array" ref="D70:D70">IF(B70="","",IFERROR(INDEX('CLM &amp; IM Mapping'!$C$2:$C$270,MATCH(TRIM(B70),'CLM &amp; IM Mapping'!$A$2:$A$270,0)),"Not Mapped"))</f>
        <v>Un Mapped</v>
      </c>
      <c r="E70" s="14" t="n">
        <v>6</v>
      </c>
      <c r="F70" s="14" t="n">
        <v>54</v>
      </c>
      <c r="G70" s="14" t="n">
        <v>53</v>
      </c>
      <c r="H70" s="14" t="n">
        <v>65</v>
      </c>
      <c r="I70" s="14" t="n">
        <v>3</v>
      </c>
      <c r="J70" s="14" t="n">
        <v>16</v>
      </c>
      <c r="K70" s="14" t="n">
        <v>197</v>
      </c>
      <c r="L70" s="14" t="n">
        <v>197</v>
      </c>
      <c r="M70" s="21"/>
      <c r="N70" s="11"/>
      <c r="O70" s="23"/>
      <c r="P70" s="23"/>
      <c r="Q70" s="23"/>
      <c r="R70" s="23"/>
      <c r="S70" s="23"/>
      <c r="T70" s="23"/>
      <c r="U70" s="23"/>
      <c r="V70" s="23"/>
      <c r="W70" s="23"/>
      <c r="X70" s="23"/>
      <c r="Y70" s="23"/>
      <c r="Z70" s="23"/>
    </row>
    <row r="71" customFormat="false" ht="15.75" hidden="false" customHeight="true" outlineLevel="0" collapsed="false">
      <c r="A71" s="52" t="n">
        <v>46303</v>
      </c>
      <c r="B71" s="14" t="s">
        <v>257</v>
      </c>
      <c r="C71" s="14" t="str">
        <f aca="false" t="array" ref="C71:C71">IF(B71="","",IFERROR(INDEX('CLM &amp; IM Mapping'!$B$2:$B$270,MATCH(TRIM(B71),'CLM &amp; IM Mapping'!$A$2:$A$270,0)),"Not Mapped"))</f>
        <v>Raghavendra Vernekar</v>
      </c>
      <c r="D71" s="14" t="str">
        <f aca="false" t="array" ref="D71:D71">IF(B71="","",IFERROR(INDEX('CLM &amp; IM Mapping'!$C$2:$C$270,MATCH(TRIM(B71),'CLM &amp; IM Mapping'!$A$2:$A$270,0)),"Not Mapped"))</f>
        <v>Prakash BS</v>
      </c>
      <c r="E71" s="14" t="n">
        <v>61</v>
      </c>
      <c r="F71" s="14" t="n">
        <v>5</v>
      </c>
      <c r="G71" s="14" t="n">
        <v>32</v>
      </c>
      <c r="H71" s="14" t="n">
        <v>8</v>
      </c>
      <c r="I71" s="14" t="n">
        <v>5</v>
      </c>
      <c r="J71" s="14" t="n">
        <v>80</v>
      </c>
      <c r="K71" s="14" t="n">
        <v>191</v>
      </c>
      <c r="L71" s="14" t="n">
        <v>190</v>
      </c>
      <c r="M71" s="12" t="s">
        <v>744</v>
      </c>
      <c r="N71" s="12" t="s">
        <v>752</v>
      </c>
      <c r="O71" s="23"/>
      <c r="P71" s="23"/>
      <c r="Q71" s="23"/>
      <c r="R71" s="23"/>
      <c r="S71" s="23"/>
      <c r="T71" s="23"/>
      <c r="U71" s="23"/>
      <c r="V71" s="23"/>
      <c r="W71" s="23"/>
      <c r="X71" s="23"/>
      <c r="Y71" s="23"/>
      <c r="Z71" s="23"/>
    </row>
    <row r="72" customFormat="false" ht="15.75" hidden="false" customHeight="true" outlineLevel="0" collapsed="false">
      <c r="A72" s="52" t="n">
        <v>46303</v>
      </c>
      <c r="B72" s="14" t="s">
        <v>460</v>
      </c>
      <c r="C72" s="14" t="str">
        <f aca="false" t="array" ref="C72:C72">IF(B72="","",IFERROR(INDEX('CLM &amp; IM Mapping'!$B$2:$B$270,MATCH(TRIM(B72),'CLM &amp; IM Mapping'!$A$2:$A$270,0)),"Not Mapped"))</f>
        <v>Vijay M</v>
      </c>
      <c r="D72" s="14" t="str">
        <f aca="false" t="array" ref="D72:D72">IF(B72="","",IFERROR(INDEX('CLM &amp; IM Mapping'!$C$2:$C$270,MATCH(TRIM(B72),'CLM &amp; IM Mapping'!$A$2:$A$270,0)),"Not Mapped"))</f>
        <v>Kantha Kumar</v>
      </c>
      <c r="E72" s="14" t="n">
        <v>0</v>
      </c>
      <c r="F72" s="14" t="n">
        <v>28</v>
      </c>
      <c r="G72" s="14" t="n">
        <v>0</v>
      </c>
      <c r="H72" s="14" t="n">
        <v>88</v>
      </c>
      <c r="I72" s="14" t="n">
        <v>29</v>
      </c>
      <c r="J72" s="14" t="n">
        <v>44</v>
      </c>
      <c r="K72" s="14" t="n">
        <v>189</v>
      </c>
      <c r="L72" s="14" t="n">
        <v>186</v>
      </c>
      <c r="M72" s="21"/>
      <c r="N72" s="11"/>
      <c r="O72" s="23"/>
      <c r="P72" s="23"/>
      <c r="Q72" s="23"/>
      <c r="R72" s="23"/>
      <c r="S72" s="23"/>
      <c r="T72" s="23"/>
      <c r="U72" s="23"/>
      <c r="V72" s="23"/>
      <c r="W72" s="23"/>
      <c r="X72" s="23"/>
      <c r="Y72" s="23"/>
      <c r="Z72" s="23"/>
    </row>
    <row r="73" customFormat="false" ht="15.75" hidden="false" customHeight="true" outlineLevel="0" collapsed="false">
      <c r="A73" s="52" t="n">
        <v>46303</v>
      </c>
      <c r="B73" s="14" t="s">
        <v>379</v>
      </c>
      <c r="C73" s="14" t="str">
        <f aca="false" t="array" ref="C73:C73">IF(B73="","",IFERROR(INDEX('CLM &amp; IM Mapping'!$B$2:$B$270,MATCH(TRIM(B73),'CLM &amp; IM Mapping'!$A$2:$A$270,0)),"Not Mapped"))</f>
        <v>Richard Harris</v>
      </c>
      <c r="D73" s="14" t="str">
        <f aca="false" t="array" ref="D73:D73">IF(B73="","",IFERROR(INDEX('CLM &amp; IM Mapping'!$C$2:$C$270,MATCH(TRIM(B73),'CLM &amp; IM Mapping'!$A$2:$A$270,0)),"Not Mapped"))</f>
        <v>Kantha Kumar</v>
      </c>
      <c r="E73" s="14" t="n">
        <v>0</v>
      </c>
      <c r="F73" s="14" t="n">
        <v>31</v>
      </c>
      <c r="G73" s="14" t="n">
        <v>0</v>
      </c>
      <c r="H73" s="14" t="n">
        <v>129</v>
      </c>
      <c r="I73" s="14" t="n">
        <v>28</v>
      </c>
      <c r="J73" s="14" t="n">
        <v>0</v>
      </c>
      <c r="K73" s="14" t="n">
        <v>188</v>
      </c>
      <c r="L73" s="14" t="n">
        <v>122</v>
      </c>
      <c r="M73" s="21"/>
      <c r="N73" s="11"/>
      <c r="O73" s="23"/>
      <c r="P73" s="23"/>
      <c r="Q73" s="23"/>
      <c r="R73" s="23"/>
      <c r="S73" s="23"/>
      <c r="T73" s="23"/>
      <c r="U73" s="23"/>
      <c r="V73" s="23"/>
      <c r="W73" s="23"/>
      <c r="X73" s="23"/>
      <c r="Y73" s="23"/>
      <c r="Z73" s="23"/>
    </row>
    <row r="74" customFormat="false" ht="15.75" hidden="false" customHeight="true" outlineLevel="0" collapsed="false">
      <c r="A74" s="52" t="n">
        <v>46303</v>
      </c>
      <c r="B74" s="14" t="s">
        <v>517</v>
      </c>
      <c r="C74" s="14" t="str">
        <f aca="false" t="array" ref="C74:C74">IF(B74="","",IFERROR(INDEX('CLM &amp; IM Mapping'!$B$2:$B$270,MATCH(TRIM(B74),'CLM &amp; IM Mapping'!$A$2:$A$270,0)),"Not Mapped"))</f>
        <v>Manoj Kj</v>
      </c>
      <c r="D74" s="14" t="str">
        <f aca="false" t="array" ref="D74:D74">IF(B74="","",IFERROR(INDEX('CLM &amp; IM Mapping'!$C$2:$C$270,MATCH(TRIM(B74),'CLM &amp; IM Mapping'!$A$2:$A$270,0)),"Not Mapped"))</f>
        <v>Srittam Dhal</v>
      </c>
      <c r="E74" s="14" t="n">
        <v>2</v>
      </c>
      <c r="F74" s="14" t="n">
        <v>60</v>
      </c>
      <c r="G74" s="14" t="n">
        <v>0</v>
      </c>
      <c r="H74" s="14" t="n">
        <v>63</v>
      </c>
      <c r="I74" s="14" t="n">
        <v>27</v>
      </c>
      <c r="J74" s="14" t="n">
        <v>34</v>
      </c>
      <c r="K74" s="14" t="n">
        <v>186</v>
      </c>
      <c r="L74" s="14" t="n">
        <v>159</v>
      </c>
      <c r="M74" s="12" t="s">
        <v>744</v>
      </c>
      <c r="N74" s="12" t="s">
        <v>752</v>
      </c>
      <c r="O74" s="23"/>
      <c r="P74" s="23"/>
      <c r="Q74" s="23"/>
      <c r="R74" s="23"/>
      <c r="S74" s="23"/>
      <c r="T74" s="23"/>
      <c r="U74" s="23"/>
      <c r="V74" s="23"/>
      <c r="W74" s="23"/>
      <c r="X74" s="23"/>
      <c r="Y74" s="23"/>
      <c r="Z74" s="23"/>
    </row>
    <row r="75" customFormat="false" ht="15.75" hidden="false" customHeight="true" outlineLevel="0" collapsed="false">
      <c r="A75" s="52" t="n">
        <v>46303</v>
      </c>
      <c r="B75" s="14" t="s">
        <v>322</v>
      </c>
      <c r="C75" s="14" t="str">
        <f aca="false" t="array" ref="C75:C75">IF(B75="","",IFERROR(INDEX('CLM &amp; IM Mapping'!$B$2:$B$270,MATCH(TRIM(B75),'CLM &amp; IM Mapping'!$A$2:$A$270,0)),"Not Mapped"))</f>
        <v>Ashwath S</v>
      </c>
      <c r="D75" s="14" t="str">
        <f aca="false" t="array" ref="D75:D75">IF(B75="","",IFERROR(INDEX('CLM &amp; IM Mapping'!$C$2:$C$270,MATCH(TRIM(B75),'CLM &amp; IM Mapping'!$A$2:$A$270,0)),"Not Mapped"))</f>
        <v>Kantha Kumar</v>
      </c>
      <c r="E75" s="14" t="n">
        <v>0</v>
      </c>
      <c r="F75" s="14" t="n">
        <v>33</v>
      </c>
      <c r="G75" s="14" t="n">
        <v>0</v>
      </c>
      <c r="H75" s="14" t="n">
        <v>82</v>
      </c>
      <c r="I75" s="14" t="n">
        <v>49</v>
      </c>
      <c r="J75" s="14" t="n">
        <v>18</v>
      </c>
      <c r="K75" s="14" t="n">
        <v>182</v>
      </c>
      <c r="L75" s="14" t="n">
        <v>182</v>
      </c>
      <c r="M75" s="21"/>
      <c r="N75" s="11"/>
      <c r="O75" s="23"/>
      <c r="P75" s="23"/>
      <c r="Q75" s="23"/>
      <c r="R75" s="23"/>
      <c r="S75" s="23"/>
      <c r="T75" s="23"/>
      <c r="U75" s="23"/>
      <c r="V75" s="23"/>
      <c r="W75" s="23"/>
      <c r="X75" s="23"/>
      <c r="Y75" s="23"/>
      <c r="Z75" s="23"/>
    </row>
    <row r="76" customFormat="false" ht="15.75" hidden="false" customHeight="true" outlineLevel="0" collapsed="false">
      <c r="A76" s="52" t="n">
        <v>46303</v>
      </c>
      <c r="B76" s="14" t="s">
        <v>423</v>
      </c>
      <c r="C76" s="14" t="str">
        <f aca="false" t="array" ref="C76:C76">IF(B76="","",IFERROR(INDEX('CLM &amp; IM Mapping'!$B$2:$B$270,MATCH(TRIM(B76),'CLM &amp; IM Mapping'!$A$2:$A$270,0)),"Not Mapped"))</f>
        <v>Ashwath S</v>
      </c>
      <c r="D76" s="14" t="str">
        <f aca="false" t="array" ref="D76:D76">IF(B76="","",IFERROR(INDEX('CLM &amp; IM Mapping'!$C$2:$C$270,MATCH(TRIM(B76),'CLM &amp; IM Mapping'!$A$2:$A$270,0)),"Not Mapped"))</f>
        <v>Kantha Kumar</v>
      </c>
      <c r="E76" s="14" t="n">
        <v>32</v>
      </c>
      <c r="F76" s="14" t="n">
        <v>32</v>
      </c>
      <c r="G76" s="14" t="n">
        <v>2</v>
      </c>
      <c r="H76" s="14" t="n">
        <v>3</v>
      </c>
      <c r="I76" s="14" t="n">
        <v>21</v>
      </c>
      <c r="J76" s="14" t="n">
        <v>92</v>
      </c>
      <c r="K76" s="14" t="n">
        <v>182</v>
      </c>
      <c r="L76" s="14" t="n">
        <v>182</v>
      </c>
      <c r="M76" s="21"/>
      <c r="N76" s="11"/>
      <c r="O76" s="23"/>
      <c r="P76" s="23"/>
      <c r="Q76" s="23"/>
      <c r="R76" s="23"/>
      <c r="S76" s="23"/>
      <c r="T76" s="23"/>
      <c r="U76" s="23"/>
      <c r="V76" s="23"/>
      <c r="W76" s="23"/>
      <c r="X76" s="23"/>
      <c r="Y76" s="23"/>
      <c r="Z76" s="23"/>
    </row>
    <row r="77" customFormat="false" ht="15.75" hidden="false" customHeight="true" outlineLevel="0" collapsed="false">
      <c r="A77" s="52" t="n">
        <v>46303</v>
      </c>
      <c r="B77" s="14" t="s">
        <v>463</v>
      </c>
      <c r="C77" s="14" t="str">
        <f aca="false" t="array" ref="C77:C77">IF(B77="","",IFERROR(INDEX('CLM &amp; IM Mapping'!$B$2:$B$270,MATCH(TRIM(B77),'CLM &amp; IM Mapping'!$A$2:$A$270,0)),"Not Mapped"))</f>
        <v>Ashwath S</v>
      </c>
      <c r="D77" s="14" t="str">
        <f aca="false" t="array" ref="D77:D77">IF(B77="","",IFERROR(INDEX('CLM &amp; IM Mapping'!$C$2:$C$270,MATCH(TRIM(B77),'CLM &amp; IM Mapping'!$A$2:$A$270,0)),"Not Mapped"))</f>
        <v>Kantha Kumar</v>
      </c>
      <c r="E77" s="14" t="n">
        <v>12</v>
      </c>
      <c r="F77" s="14" t="n">
        <v>78</v>
      </c>
      <c r="G77" s="14" t="n">
        <v>14</v>
      </c>
      <c r="H77" s="14" t="n">
        <v>14</v>
      </c>
      <c r="I77" s="14" t="n">
        <v>37</v>
      </c>
      <c r="J77" s="14" t="n">
        <v>23</v>
      </c>
      <c r="K77" s="14" t="n">
        <v>178</v>
      </c>
      <c r="L77" s="14" t="n">
        <v>153</v>
      </c>
      <c r="M77" s="21"/>
      <c r="N77" s="11"/>
      <c r="O77" s="23"/>
      <c r="P77" s="23"/>
      <c r="Q77" s="23"/>
      <c r="R77" s="23"/>
      <c r="S77" s="23"/>
      <c r="T77" s="23"/>
      <c r="U77" s="23"/>
      <c r="V77" s="23"/>
      <c r="W77" s="23"/>
      <c r="X77" s="23"/>
      <c r="Y77" s="23"/>
      <c r="Z77" s="23"/>
    </row>
    <row r="78" customFormat="false" ht="15.75" hidden="false" customHeight="true" outlineLevel="0" collapsed="false">
      <c r="A78" s="52" t="n">
        <v>46303</v>
      </c>
      <c r="B78" s="14" t="s">
        <v>205</v>
      </c>
      <c r="C78" s="14" t="str">
        <f aca="false" t="array" ref="C78:C78">IF(B78="","",IFERROR(INDEX('CLM &amp; IM Mapping'!$B$2:$B$270,MATCH(TRIM(B78),'CLM &amp; IM Mapping'!$A$2:$A$270,0)),"Not Mapped"))</f>
        <v>Akshay P</v>
      </c>
      <c r="D78" s="14" t="str">
        <f aca="false" t="array" ref="D78:D78">IF(B78="","",IFERROR(INDEX('CLM &amp; IM Mapping'!$C$2:$C$270,MATCH(TRIM(B78),'CLM &amp; IM Mapping'!$A$2:$A$270,0)),"Not Mapped"))</f>
        <v>Srittam Dhal</v>
      </c>
      <c r="E78" s="14" t="n">
        <v>56</v>
      </c>
      <c r="F78" s="14" t="n">
        <v>82</v>
      </c>
      <c r="G78" s="14" t="n">
        <v>0</v>
      </c>
      <c r="H78" s="14" t="n">
        <v>10</v>
      </c>
      <c r="I78" s="14" t="n">
        <v>24</v>
      </c>
      <c r="J78" s="14" t="n">
        <v>6</v>
      </c>
      <c r="K78" s="14" t="n">
        <v>178</v>
      </c>
      <c r="L78" s="14" t="n">
        <v>151</v>
      </c>
      <c r="M78" s="12" t="s">
        <v>744</v>
      </c>
      <c r="N78" s="12" t="s">
        <v>752</v>
      </c>
      <c r="O78" s="23"/>
      <c r="P78" s="23"/>
      <c r="Q78" s="23"/>
      <c r="R78" s="23"/>
      <c r="S78" s="23"/>
      <c r="T78" s="23"/>
      <c r="U78" s="23"/>
      <c r="V78" s="23"/>
      <c r="W78" s="23"/>
      <c r="X78" s="23"/>
      <c r="Y78" s="23"/>
      <c r="Z78" s="23"/>
    </row>
    <row r="79" customFormat="false" ht="15.75" hidden="false" customHeight="true" outlineLevel="0" collapsed="false">
      <c r="A79" s="52" t="n">
        <v>46303</v>
      </c>
      <c r="B79" s="14" t="s">
        <v>165</v>
      </c>
      <c r="C79" s="14" t="str">
        <f aca="false" t="array" ref="C79:C79">IF(B79="","",IFERROR(INDEX('CLM &amp; IM Mapping'!$B$2:$B$270,MATCH(TRIM(B79),'CLM &amp; IM Mapping'!$A$2:$A$270,0)),"Not Mapped"))</f>
        <v>Akshay P</v>
      </c>
      <c r="D79" s="14" t="str">
        <f aca="false" t="array" ref="D79:D79">IF(B79="","",IFERROR(INDEX('CLM &amp; IM Mapping'!$C$2:$C$270,MATCH(TRIM(B79),'CLM &amp; IM Mapping'!$A$2:$A$270,0)),"Not Mapped"))</f>
        <v>Srittam Dhal</v>
      </c>
      <c r="E79" s="14" t="n">
        <v>0</v>
      </c>
      <c r="F79" s="14" t="n">
        <v>71</v>
      </c>
      <c r="G79" s="14" t="n">
        <v>0</v>
      </c>
      <c r="H79" s="14" t="n">
        <v>51</v>
      </c>
      <c r="I79" s="14" t="n">
        <v>13</v>
      </c>
      <c r="J79" s="14" t="n">
        <v>42</v>
      </c>
      <c r="K79" s="14" t="n">
        <v>177</v>
      </c>
      <c r="L79" s="14" t="n">
        <v>175</v>
      </c>
      <c r="M79" s="12" t="s">
        <v>744</v>
      </c>
      <c r="N79" s="12" t="s">
        <v>752</v>
      </c>
      <c r="O79" s="23"/>
      <c r="P79" s="23"/>
      <c r="Q79" s="23"/>
      <c r="R79" s="23"/>
      <c r="S79" s="23"/>
      <c r="T79" s="23"/>
      <c r="U79" s="23"/>
      <c r="V79" s="23"/>
      <c r="W79" s="23"/>
      <c r="X79" s="23"/>
      <c r="Y79" s="23"/>
      <c r="Z79" s="23"/>
    </row>
    <row r="80" customFormat="false" ht="15.75" hidden="false" customHeight="true" outlineLevel="0" collapsed="false">
      <c r="A80" s="52" t="n">
        <v>46303</v>
      </c>
      <c r="B80" s="14" t="s">
        <v>478</v>
      </c>
      <c r="C80" s="14" t="str">
        <f aca="false" t="array" ref="C80:C80">IF(B80="","",IFERROR(INDEX('CLM &amp; IM Mapping'!$B$2:$B$270,MATCH(TRIM(B80),'CLM &amp; IM Mapping'!$A$2:$A$270,0)),"Not Mapped"))</f>
        <v>Vishnu V</v>
      </c>
      <c r="D80" s="14" t="str">
        <f aca="false" t="array" ref="D80:D80">IF(B80="","",IFERROR(INDEX('CLM &amp; IM Mapping'!$C$2:$C$270,MATCH(TRIM(B80),'CLM &amp; IM Mapping'!$A$2:$A$270,0)),"Not Mapped"))</f>
        <v>Arivind S</v>
      </c>
      <c r="E80" s="14" t="n">
        <v>0</v>
      </c>
      <c r="F80" s="14" t="n">
        <v>0</v>
      </c>
      <c r="G80" s="14" t="n">
        <v>0</v>
      </c>
      <c r="H80" s="14" t="n">
        <v>0</v>
      </c>
      <c r="I80" s="14" t="n">
        <v>14</v>
      </c>
      <c r="J80" s="14" t="n">
        <v>163</v>
      </c>
      <c r="K80" s="14" t="n">
        <v>177</v>
      </c>
      <c r="L80" s="14" t="n">
        <v>177</v>
      </c>
      <c r="M80" s="21"/>
      <c r="N80" s="11"/>
      <c r="O80" s="23"/>
      <c r="P80" s="23"/>
      <c r="Q80" s="23"/>
      <c r="R80" s="23"/>
      <c r="S80" s="23"/>
      <c r="T80" s="23"/>
      <c r="U80" s="23"/>
      <c r="V80" s="23"/>
      <c r="W80" s="23"/>
      <c r="X80" s="23"/>
      <c r="Y80" s="23"/>
      <c r="Z80" s="23"/>
    </row>
    <row r="81" customFormat="false" ht="15.75" hidden="false" customHeight="true" outlineLevel="0" collapsed="false">
      <c r="A81" s="52" t="n">
        <v>46303</v>
      </c>
      <c r="B81" s="14" t="s">
        <v>398</v>
      </c>
      <c r="C81" s="14" t="str">
        <f aca="false" t="array" ref="C81:C81">IF(B81="","",IFERROR(INDEX('CLM &amp; IM Mapping'!$B$2:$B$270,MATCH(TRIM(B81),'CLM &amp; IM Mapping'!$A$2:$A$270,0)),"Not Mapped"))</f>
        <v>Raghavendra Vernekar</v>
      </c>
      <c r="D81" s="14" t="str">
        <f aca="false" t="array" ref="D81:D81">IF(B81="","",IFERROR(INDEX('CLM &amp; IM Mapping'!$C$2:$C$270,MATCH(TRIM(B81),'CLM &amp; IM Mapping'!$A$2:$A$270,0)),"Not Mapped"))</f>
        <v>Prakash BS</v>
      </c>
      <c r="E81" s="14" t="n">
        <v>11</v>
      </c>
      <c r="F81" s="14" t="n">
        <v>27</v>
      </c>
      <c r="G81" s="14" t="n">
        <v>10</v>
      </c>
      <c r="H81" s="14" t="n">
        <v>56</v>
      </c>
      <c r="I81" s="14" t="n">
        <v>0</v>
      </c>
      <c r="J81" s="14" t="n">
        <v>72</v>
      </c>
      <c r="K81" s="14" t="n">
        <v>176</v>
      </c>
      <c r="L81" s="14" t="n">
        <v>159</v>
      </c>
      <c r="M81" s="12" t="s">
        <v>744</v>
      </c>
      <c r="N81" s="12" t="s">
        <v>752</v>
      </c>
      <c r="O81" s="23"/>
      <c r="P81" s="23"/>
      <c r="Q81" s="23"/>
      <c r="R81" s="23"/>
      <c r="S81" s="23"/>
      <c r="T81" s="23"/>
      <c r="U81" s="23"/>
      <c r="V81" s="23"/>
      <c r="W81" s="23"/>
      <c r="X81" s="23"/>
      <c r="Y81" s="23"/>
      <c r="Z81" s="23"/>
    </row>
    <row r="82" customFormat="false" ht="15.75" hidden="false" customHeight="true" outlineLevel="0" collapsed="false">
      <c r="A82" s="52" t="n">
        <v>46303</v>
      </c>
      <c r="B82" s="14" t="s">
        <v>500</v>
      </c>
      <c r="C82" s="14" t="str">
        <f aca="false" t="array" ref="C82:C82">IF(B82="","",IFERROR(INDEX('CLM &amp; IM Mapping'!$B$2:$B$270,MATCH(TRIM(B82),'CLM &amp; IM Mapping'!$A$2:$A$270,0)),"Not Mapped"))</f>
        <v>Ravishankar gowda</v>
      </c>
      <c r="D82" s="14" t="str">
        <f aca="false" t="array" ref="D82:D82">IF(B82="","",IFERROR(INDEX('CLM &amp; IM Mapping'!$C$2:$C$270,MATCH(TRIM(B82),'CLM &amp; IM Mapping'!$A$2:$A$270,0)),"Not Mapped"))</f>
        <v>Kishor K</v>
      </c>
      <c r="E82" s="14" t="n">
        <v>48</v>
      </c>
      <c r="F82" s="14" t="n">
        <v>43</v>
      </c>
      <c r="G82" s="14" t="n">
        <v>18</v>
      </c>
      <c r="H82" s="14" t="n">
        <v>18</v>
      </c>
      <c r="I82" s="14" t="n">
        <v>0</v>
      </c>
      <c r="J82" s="14" t="n">
        <v>44</v>
      </c>
      <c r="K82" s="14" t="n">
        <v>171</v>
      </c>
      <c r="L82" s="14" t="n">
        <v>129</v>
      </c>
      <c r="M82" s="12" t="s">
        <v>828</v>
      </c>
      <c r="N82" s="54" t="n">
        <v>0.666666666666667</v>
      </c>
      <c r="O82" s="23"/>
      <c r="P82" s="23"/>
      <c r="Q82" s="23"/>
      <c r="R82" s="23"/>
      <c r="S82" s="23"/>
      <c r="T82" s="23"/>
      <c r="U82" s="23"/>
      <c r="V82" s="23"/>
      <c r="W82" s="23"/>
      <c r="X82" s="23"/>
      <c r="Y82" s="23"/>
      <c r="Z82" s="23"/>
    </row>
    <row r="83" customFormat="false" ht="15.75" hidden="false" customHeight="true" outlineLevel="0" collapsed="false">
      <c r="A83" s="52" t="n">
        <v>46303</v>
      </c>
      <c r="B83" s="14" t="s">
        <v>397</v>
      </c>
      <c r="C83" s="14" t="str">
        <f aca="false" t="array" ref="C83:C83">IF(B83="","",IFERROR(INDEX('CLM &amp; IM Mapping'!$B$2:$B$270,MATCH(TRIM(B83),'CLM &amp; IM Mapping'!$A$2:$A$270,0)),"Not Mapped"))</f>
        <v>Akshay P</v>
      </c>
      <c r="D83" s="14" t="str">
        <f aca="false" t="array" ref="D83:D83">IF(B83="","",IFERROR(INDEX('CLM &amp; IM Mapping'!$C$2:$C$270,MATCH(TRIM(B83),'CLM &amp; IM Mapping'!$A$2:$A$270,0)),"Not Mapped"))</f>
        <v>Srittam Dhal</v>
      </c>
      <c r="E83" s="14" t="n">
        <v>39</v>
      </c>
      <c r="F83" s="14" t="n">
        <v>82</v>
      </c>
      <c r="G83" s="14" t="n">
        <v>18</v>
      </c>
      <c r="H83" s="14" t="n">
        <v>6</v>
      </c>
      <c r="I83" s="14" t="n">
        <v>5</v>
      </c>
      <c r="J83" s="14" t="n">
        <v>20</v>
      </c>
      <c r="K83" s="14" t="n">
        <v>170</v>
      </c>
      <c r="L83" s="14" t="n">
        <v>101</v>
      </c>
      <c r="M83" s="21"/>
      <c r="N83" s="11"/>
      <c r="O83" s="23"/>
      <c r="P83" s="23"/>
      <c r="Q83" s="23"/>
      <c r="R83" s="23"/>
      <c r="S83" s="23"/>
      <c r="T83" s="23"/>
      <c r="U83" s="23"/>
      <c r="V83" s="23"/>
      <c r="W83" s="23"/>
      <c r="X83" s="23"/>
      <c r="Y83" s="23"/>
      <c r="Z83" s="23"/>
    </row>
    <row r="84" customFormat="false" ht="15.75" hidden="false" customHeight="true" outlineLevel="0" collapsed="false">
      <c r="A84" s="52" t="n">
        <v>46303</v>
      </c>
      <c r="B84" s="14" t="s">
        <v>120</v>
      </c>
      <c r="C84" s="14" t="str">
        <f aca="false" t="array" ref="C84:C84">IF(B84="","",IFERROR(INDEX('CLM &amp; IM Mapping'!$B$2:$B$270,MATCH(TRIM(B84),'CLM &amp; IM Mapping'!$A$2:$A$270,0)),"Not Mapped"))</f>
        <v>Balaji G</v>
      </c>
      <c r="D84" s="14" t="str">
        <f aca="false" t="array" ref="D84:D84">IF(B84="","",IFERROR(INDEX('CLM &amp; IM Mapping'!$C$2:$C$270,MATCH(TRIM(B84),'CLM &amp; IM Mapping'!$A$2:$A$270,0)),"Not Mapped"))</f>
        <v>Mohammed Akbar</v>
      </c>
      <c r="E84" s="14" t="n">
        <v>0</v>
      </c>
      <c r="F84" s="14" t="n">
        <v>42</v>
      </c>
      <c r="G84" s="14" t="n">
        <v>0</v>
      </c>
      <c r="H84" s="14" t="n">
        <v>12</v>
      </c>
      <c r="I84" s="14" t="n">
        <v>115</v>
      </c>
      <c r="J84" s="14" t="n">
        <v>1</v>
      </c>
      <c r="K84" s="14" t="n">
        <v>170</v>
      </c>
      <c r="L84" s="14" t="n">
        <v>155</v>
      </c>
      <c r="M84" s="12" t="s">
        <v>829</v>
      </c>
      <c r="N84" s="54" t="n">
        <v>0.583333333333333</v>
      </c>
      <c r="O84" s="23"/>
      <c r="P84" s="23"/>
      <c r="Q84" s="23"/>
      <c r="R84" s="23"/>
      <c r="S84" s="23"/>
      <c r="T84" s="23"/>
      <c r="U84" s="23"/>
      <c r="V84" s="23"/>
      <c r="W84" s="23"/>
      <c r="X84" s="23"/>
      <c r="Y84" s="23"/>
      <c r="Z84" s="23"/>
    </row>
    <row r="85" customFormat="false" ht="15.75" hidden="false" customHeight="true" outlineLevel="0" collapsed="false">
      <c r="A85" s="52" t="n">
        <v>46303</v>
      </c>
      <c r="B85" s="14" t="s">
        <v>520</v>
      </c>
      <c r="C85" s="14" t="str">
        <f aca="false" t="array" ref="C85:C85">IF(B85="","",IFERROR(INDEX('CLM &amp; IM Mapping'!$B$2:$B$270,MATCH(TRIM(B85),'CLM &amp; IM Mapping'!$A$2:$A$270,0)),"Not Mapped"))</f>
        <v>John Britto</v>
      </c>
      <c r="D85" s="14" t="str">
        <f aca="false" t="array" ref="D85:D85">IF(B85="","",IFERROR(INDEX('CLM &amp; IM Mapping'!$C$2:$C$270,MATCH(TRIM(B85),'CLM &amp; IM Mapping'!$A$2:$A$270,0)),"Not Mapped"))</f>
        <v>Aravind S</v>
      </c>
      <c r="E85" s="14" t="n">
        <v>13</v>
      </c>
      <c r="F85" s="14" t="n">
        <v>28</v>
      </c>
      <c r="G85" s="14" t="n">
        <v>6</v>
      </c>
      <c r="H85" s="14" t="n">
        <v>9</v>
      </c>
      <c r="I85" s="14" t="n">
        <v>1</v>
      </c>
      <c r="J85" s="14" t="n">
        <v>111</v>
      </c>
      <c r="K85" s="14" t="n">
        <v>168</v>
      </c>
      <c r="L85" s="14" t="n">
        <v>165</v>
      </c>
      <c r="M85" s="12" t="s">
        <v>830</v>
      </c>
      <c r="N85" s="12" t="s">
        <v>831</v>
      </c>
      <c r="O85" s="23"/>
      <c r="P85" s="23"/>
      <c r="Q85" s="23"/>
      <c r="R85" s="23"/>
      <c r="S85" s="23"/>
      <c r="T85" s="23"/>
      <c r="U85" s="23"/>
      <c r="V85" s="23"/>
      <c r="W85" s="23"/>
      <c r="X85" s="23"/>
      <c r="Y85" s="23"/>
      <c r="Z85" s="23"/>
    </row>
    <row r="86" customFormat="false" ht="15.75" hidden="false" customHeight="true" outlineLevel="0" collapsed="false">
      <c r="A86" s="52" t="n">
        <v>46303</v>
      </c>
      <c r="B86" s="14" t="s">
        <v>159</v>
      </c>
      <c r="C86" s="14" t="str">
        <f aca="false" t="array" ref="C86:C86">IF(B86="","",IFERROR(INDEX('CLM &amp; IM Mapping'!$B$2:$B$270,MATCH(TRIM(B86),'CLM &amp; IM Mapping'!$A$2:$A$270,0)),"Not Mapped"))</f>
        <v>Rizwan Ahmed</v>
      </c>
      <c r="D86" s="14" t="str">
        <f aca="false" t="array" ref="D86:D86">IF(B86="","",IFERROR(INDEX('CLM &amp; IM Mapping'!$C$2:$C$270,MATCH(TRIM(B86),'CLM &amp; IM Mapping'!$A$2:$A$270,0)),"Not Mapped"))</f>
        <v>Un Mapped</v>
      </c>
      <c r="E86" s="14" t="n">
        <v>2</v>
      </c>
      <c r="F86" s="14" t="n">
        <v>43</v>
      </c>
      <c r="G86" s="14" t="n">
        <v>0</v>
      </c>
      <c r="H86" s="14" t="n">
        <v>58</v>
      </c>
      <c r="I86" s="14" t="n">
        <v>9</v>
      </c>
      <c r="J86" s="14" t="n">
        <v>54</v>
      </c>
      <c r="K86" s="14" t="n">
        <v>166</v>
      </c>
      <c r="L86" s="14" t="n">
        <v>158</v>
      </c>
      <c r="M86" s="21"/>
      <c r="N86" s="11"/>
      <c r="O86" s="23"/>
      <c r="P86" s="23"/>
      <c r="Q86" s="23"/>
      <c r="R86" s="23"/>
      <c r="S86" s="23"/>
      <c r="T86" s="23"/>
      <c r="U86" s="23"/>
      <c r="V86" s="23"/>
      <c r="W86" s="23"/>
      <c r="X86" s="23"/>
      <c r="Y86" s="23"/>
      <c r="Z86" s="23"/>
    </row>
    <row r="87" customFormat="false" ht="15.75" hidden="false" customHeight="true" outlineLevel="0" collapsed="false">
      <c r="A87" s="52" t="n">
        <v>46303</v>
      </c>
      <c r="B87" s="14" t="s">
        <v>508</v>
      </c>
      <c r="C87" s="14" t="str">
        <f aca="false" t="array" ref="C87:C87">IF(B87="","",IFERROR(INDEX('CLM &amp; IM Mapping'!$B$2:$B$270,MATCH(TRIM(B87),'CLM &amp; IM Mapping'!$A$2:$A$270,0)),"Not Mapped"))</f>
        <v>Ravishankar gowda</v>
      </c>
      <c r="D87" s="14" t="str">
        <f aca="false" t="array" ref="D87:D87">IF(B87="","",IFERROR(INDEX('CLM &amp; IM Mapping'!$C$2:$C$270,MATCH(TRIM(B87),'CLM &amp; IM Mapping'!$A$2:$A$270,0)),"Not Mapped"))</f>
        <v>Kishor K</v>
      </c>
      <c r="E87" s="14" t="n">
        <v>38</v>
      </c>
      <c r="F87" s="14" t="n">
        <v>44</v>
      </c>
      <c r="G87" s="14" t="n">
        <v>18</v>
      </c>
      <c r="H87" s="14" t="n">
        <v>4</v>
      </c>
      <c r="I87" s="14" t="n">
        <v>0</v>
      </c>
      <c r="J87" s="14" t="n">
        <v>59</v>
      </c>
      <c r="K87" s="14" t="n">
        <v>163</v>
      </c>
      <c r="L87" s="14" t="n">
        <v>163</v>
      </c>
      <c r="M87" s="12" t="s">
        <v>828</v>
      </c>
      <c r="N87" s="54" t="n">
        <v>0.666666666666667</v>
      </c>
      <c r="O87" s="23"/>
      <c r="P87" s="23"/>
      <c r="Q87" s="23"/>
      <c r="R87" s="23"/>
      <c r="S87" s="23"/>
      <c r="T87" s="23"/>
      <c r="U87" s="23"/>
      <c r="V87" s="23"/>
      <c r="W87" s="23"/>
      <c r="X87" s="23"/>
      <c r="Y87" s="23"/>
      <c r="Z87" s="23"/>
    </row>
    <row r="88" customFormat="false" ht="15.75" hidden="false" customHeight="true" outlineLevel="0" collapsed="false">
      <c r="A88" s="52" t="n">
        <v>46303</v>
      </c>
      <c r="B88" s="14" t="s">
        <v>523</v>
      </c>
      <c r="C88" s="14" t="str">
        <f aca="false" t="array" ref="C88:C88">IF(B88="","",IFERROR(INDEX('CLM &amp; IM Mapping'!$B$2:$B$270,MATCH(TRIM(B88),'CLM &amp; IM Mapping'!$A$2:$A$270,0)),"Not Mapped"))</f>
        <v>Sundaresh S</v>
      </c>
      <c r="D88" s="14" t="str">
        <f aca="false" t="array" ref="D88:D88">IF(B88="","",IFERROR(INDEX('CLM &amp; IM Mapping'!$C$2:$C$270,MATCH(TRIM(B88),'CLM &amp; IM Mapping'!$A$2:$A$270,0)),"Not Mapped"))</f>
        <v>Un Mapped</v>
      </c>
      <c r="E88" s="14" t="n">
        <v>0</v>
      </c>
      <c r="F88" s="14" t="n">
        <v>34</v>
      </c>
      <c r="G88" s="14" t="n">
        <v>59</v>
      </c>
      <c r="H88" s="14" t="n">
        <v>31</v>
      </c>
      <c r="I88" s="14" t="n">
        <v>34</v>
      </c>
      <c r="J88" s="14" t="n">
        <v>0</v>
      </c>
      <c r="K88" s="14" t="n">
        <v>158</v>
      </c>
      <c r="L88" s="14" t="n">
        <v>158</v>
      </c>
      <c r="M88" s="21"/>
      <c r="N88" s="11"/>
      <c r="O88" s="23"/>
      <c r="P88" s="23"/>
      <c r="Q88" s="23"/>
      <c r="R88" s="23"/>
      <c r="S88" s="23"/>
      <c r="T88" s="23"/>
      <c r="U88" s="23"/>
      <c r="V88" s="23"/>
      <c r="W88" s="23"/>
      <c r="X88" s="23"/>
      <c r="Y88" s="23"/>
      <c r="Z88" s="23"/>
    </row>
    <row r="89" customFormat="false" ht="15.75" hidden="false" customHeight="true" outlineLevel="0" collapsed="false">
      <c r="A89" s="52" t="n">
        <v>46303</v>
      </c>
      <c r="B89" s="14" t="s">
        <v>492</v>
      </c>
      <c r="C89" s="14" t="str">
        <f aca="false" t="array" ref="C89:C89">IF(B89="","",IFERROR(INDEX('CLM &amp; IM Mapping'!$B$2:$B$270,MATCH(TRIM(B89),'CLM &amp; IM Mapping'!$A$2:$A$270,0)),"Not Mapped"))</f>
        <v>Balaji G</v>
      </c>
      <c r="D89" s="14" t="str">
        <f aca="false" t="array" ref="D89:D89">IF(B89="","",IFERROR(INDEX('CLM &amp; IM Mapping'!$C$2:$C$270,MATCH(TRIM(B89),'CLM &amp; IM Mapping'!$A$2:$A$270,0)),"Not Mapped"))</f>
        <v>Mohammed Akbar</v>
      </c>
      <c r="E89" s="14" t="n">
        <v>80</v>
      </c>
      <c r="F89" s="14" t="n">
        <v>53</v>
      </c>
      <c r="G89" s="14" t="n">
        <v>18</v>
      </c>
      <c r="H89" s="14" t="n">
        <v>0</v>
      </c>
      <c r="I89" s="14" t="n">
        <v>2</v>
      </c>
      <c r="J89" s="14" t="n">
        <v>5</v>
      </c>
      <c r="K89" s="14" t="n">
        <v>158</v>
      </c>
      <c r="L89" s="14" t="n">
        <v>157</v>
      </c>
      <c r="M89" s="12" t="s">
        <v>818</v>
      </c>
      <c r="N89" s="11"/>
      <c r="O89" s="23"/>
      <c r="P89" s="23"/>
      <c r="Q89" s="23"/>
      <c r="R89" s="23"/>
      <c r="S89" s="23"/>
      <c r="T89" s="23"/>
      <c r="U89" s="23"/>
      <c r="V89" s="23"/>
      <c r="W89" s="23"/>
      <c r="X89" s="23"/>
      <c r="Y89" s="23"/>
      <c r="Z89" s="23"/>
    </row>
    <row r="90" customFormat="false" ht="15.75" hidden="false" customHeight="true" outlineLevel="0" collapsed="false">
      <c r="A90" s="52" t="n">
        <v>46303</v>
      </c>
      <c r="B90" s="14" t="s">
        <v>371</v>
      </c>
      <c r="C90" s="14" t="str">
        <f aca="false" t="array" ref="C90:C90">IF(B90="","",IFERROR(INDEX('CLM &amp; IM Mapping'!$B$2:$B$270,MATCH(TRIM(B90),'CLM &amp; IM Mapping'!$A$2:$A$270,0)),"Not Mapped"))</f>
        <v>Akshay P</v>
      </c>
      <c r="D90" s="14" t="str">
        <f aca="false" t="array" ref="D90:D90">IF(B90="","",IFERROR(INDEX('CLM &amp; IM Mapping'!$C$2:$C$270,MATCH(TRIM(B90),'CLM &amp; IM Mapping'!$A$2:$A$270,0)),"Not Mapped"))</f>
        <v>Srittam Dhal</v>
      </c>
      <c r="E90" s="14" t="n">
        <v>31</v>
      </c>
      <c r="F90" s="14" t="n">
        <v>47</v>
      </c>
      <c r="G90" s="14" t="n">
        <v>5</v>
      </c>
      <c r="H90" s="14" t="n">
        <v>4</v>
      </c>
      <c r="I90" s="14" t="n">
        <v>0</v>
      </c>
      <c r="J90" s="14" t="n">
        <v>70</v>
      </c>
      <c r="K90" s="14" t="n">
        <v>157</v>
      </c>
      <c r="L90" s="14" t="n">
        <v>157</v>
      </c>
      <c r="M90" s="21"/>
      <c r="N90" s="11"/>
      <c r="O90" s="23"/>
      <c r="P90" s="23"/>
      <c r="Q90" s="23"/>
      <c r="R90" s="23"/>
      <c r="S90" s="23"/>
      <c r="T90" s="23"/>
      <c r="U90" s="23"/>
      <c r="V90" s="23"/>
      <c r="W90" s="23"/>
      <c r="X90" s="23"/>
      <c r="Y90" s="23"/>
      <c r="Z90" s="23"/>
    </row>
    <row r="91" customFormat="false" ht="15.75" hidden="false" customHeight="true" outlineLevel="0" collapsed="false">
      <c r="A91" s="52" t="n">
        <v>46303</v>
      </c>
      <c r="B91" s="14" t="s">
        <v>193</v>
      </c>
      <c r="C91" s="14" t="str">
        <f aca="false" t="array" ref="C91:C91">IF(B91="","",IFERROR(INDEX('CLM &amp; IM Mapping'!$B$2:$B$270,MATCH(TRIM(B91),'CLM &amp; IM Mapping'!$A$2:$A$270,0)),"Not Mapped"))</f>
        <v>Girish N</v>
      </c>
      <c r="D91" s="14" t="str">
        <f aca="false" t="array" ref="D91:D91">IF(B91="","",IFERROR(INDEX('CLM &amp; IM Mapping'!$C$2:$C$270,MATCH(TRIM(B91),'CLM &amp; IM Mapping'!$A$2:$A$270,0)),"Not Mapped"))</f>
        <v>Un Mapped</v>
      </c>
      <c r="E91" s="14" t="n">
        <v>0</v>
      </c>
      <c r="F91" s="14" t="n">
        <v>0</v>
      </c>
      <c r="G91" s="14" t="n">
        <v>0</v>
      </c>
      <c r="H91" s="14" t="n">
        <v>68</v>
      </c>
      <c r="I91" s="14" t="n">
        <v>62</v>
      </c>
      <c r="J91" s="14" t="n">
        <v>26</v>
      </c>
      <c r="K91" s="14" t="n">
        <v>156</v>
      </c>
      <c r="L91" s="14" t="n">
        <v>122</v>
      </c>
      <c r="M91" s="21"/>
      <c r="N91" s="11"/>
      <c r="O91" s="23"/>
      <c r="P91" s="23"/>
      <c r="Q91" s="23"/>
      <c r="R91" s="23"/>
      <c r="S91" s="23"/>
      <c r="T91" s="23"/>
      <c r="U91" s="23"/>
      <c r="V91" s="23"/>
      <c r="W91" s="23"/>
      <c r="X91" s="23"/>
      <c r="Y91" s="23"/>
      <c r="Z91" s="23"/>
    </row>
    <row r="92" customFormat="false" ht="15.75" hidden="false" customHeight="true" outlineLevel="0" collapsed="false">
      <c r="A92" s="52" t="n">
        <v>46303</v>
      </c>
      <c r="B92" s="14" t="s">
        <v>320</v>
      </c>
      <c r="C92" s="14" t="str">
        <f aca="false" t="array" ref="C92:C92">IF(B92="","",IFERROR(INDEX('CLM &amp; IM Mapping'!$B$2:$B$270,MATCH(TRIM(B92),'CLM &amp; IM Mapping'!$A$2:$A$270,0)),"Not Mapped"))</f>
        <v>Ashwath S</v>
      </c>
      <c r="D92" s="14" t="str">
        <f aca="false" t="array" ref="D92:D92">IF(B92="","",IFERROR(INDEX('CLM &amp; IM Mapping'!$C$2:$C$270,MATCH(TRIM(B92),'CLM &amp; IM Mapping'!$A$2:$A$270,0)),"Not Mapped"))</f>
        <v>Kantha Kumar</v>
      </c>
      <c r="E92" s="14" t="n">
        <v>16</v>
      </c>
      <c r="F92" s="14" t="n">
        <v>44</v>
      </c>
      <c r="G92" s="14" t="n">
        <v>11</v>
      </c>
      <c r="H92" s="14" t="n">
        <v>5</v>
      </c>
      <c r="I92" s="14" t="n">
        <v>8</v>
      </c>
      <c r="J92" s="14" t="n">
        <v>70</v>
      </c>
      <c r="K92" s="14" t="n">
        <v>154</v>
      </c>
      <c r="L92" s="14" t="n">
        <v>111</v>
      </c>
      <c r="M92" s="21"/>
      <c r="N92" s="11"/>
      <c r="O92" s="23"/>
      <c r="P92" s="23"/>
      <c r="Q92" s="23"/>
      <c r="R92" s="23"/>
      <c r="S92" s="23"/>
      <c r="T92" s="23"/>
      <c r="U92" s="23"/>
      <c r="V92" s="23"/>
      <c r="W92" s="23"/>
      <c r="X92" s="23"/>
      <c r="Y92" s="23"/>
      <c r="Z92" s="23"/>
    </row>
    <row r="93" customFormat="false" ht="15.75" hidden="false" customHeight="true" outlineLevel="0" collapsed="false">
      <c r="A93" s="52" t="n">
        <v>46303</v>
      </c>
      <c r="B93" s="14" t="s">
        <v>362</v>
      </c>
      <c r="C93" s="14" t="str">
        <f aca="false" t="array" ref="C93:C93">IF(B93="","",IFERROR(INDEX('CLM &amp; IM Mapping'!$B$2:$B$270,MATCH(TRIM(B93),'CLM &amp; IM Mapping'!$A$2:$A$270,0)),"Not Mapped"))</f>
        <v>Ashwath S</v>
      </c>
      <c r="D93" s="14" t="str">
        <f aca="false" t="array" ref="D93:D93">IF(B93="","",IFERROR(INDEX('CLM &amp; IM Mapping'!$C$2:$C$270,MATCH(TRIM(B93),'CLM &amp; IM Mapping'!$A$2:$A$270,0)),"Not Mapped"))</f>
        <v>Kantha Kumar</v>
      </c>
      <c r="E93" s="14" t="n">
        <v>47</v>
      </c>
      <c r="F93" s="14" t="n">
        <v>67</v>
      </c>
      <c r="G93" s="14" t="n">
        <v>35</v>
      </c>
      <c r="H93" s="14" t="n">
        <v>1</v>
      </c>
      <c r="I93" s="14" t="n">
        <v>4</v>
      </c>
      <c r="J93" s="14" t="n">
        <v>0</v>
      </c>
      <c r="K93" s="14" t="n">
        <v>154</v>
      </c>
      <c r="L93" s="14" t="n">
        <v>100</v>
      </c>
      <c r="M93" s="21"/>
      <c r="N93" s="11"/>
      <c r="O93" s="23"/>
      <c r="P93" s="23"/>
      <c r="Q93" s="23"/>
      <c r="R93" s="23"/>
      <c r="S93" s="23"/>
      <c r="T93" s="23"/>
      <c r="U93" s="23"/>
      <c r="V93" s="23"/>
      <c r="W93" s="23"/>
      <c r="X93" s="23"/>
      <c r="Y93" s="23"/>
      <c r="Z93" s="23"/>
    </row>
    <row r="94" customFormat="false" ht="15.75" hidden="false" customHeight="true" outlineLevel="0" collapsed="false">
      <c r="A94" s="52" t="n">
        <v>46303</v>
      </c>
      <c r="B94" s="14" t="s">
        <v>510</v>
      </c>
      <c r="C94" s="14" t="str">
        <f aca="false" t="array" ref="C94:C94">IF(B94="","",IFERROR(INDEX('CLM &amp; IM Mapping'!$B$2:$B$270,MATCH(TRIM(B94),'CLM &amp; IM Mapping'!$A$2:$A$270,0)),"Not Mapped"))</f>
        <v>Manjunatha V</v>
      </c>
      <c r="D94" s="14" t="str">
        <f aca="false" t="array" ref="D94:D94">IF(B94="","",IFERROR(INDEX('CLM &amp; IM Mapping'!$C$2:$C$270,MATCH(TRIM(B94),'CLM &amp; IM Mapping'!$A$2:$A$270,0)),"Not Mapped"))</f>
        <v>Un Mapped</v>
      </c>
      <c r="E94" s="14" t="n">
        <v>2</v>
      </c>
      <c r="F94" s="14" t="n">
        <v>35</v>
      </c>
      <c r="G94" s="14" t="n">
        <v>4</v>
      </c>
      <c r="H94" s="14" t="n">
        <v>24</v>
      </c>
      <c r="I94" s="14" t="n">
        <v>36</v>
      </c>
      <c r="J94" s="14" t="n">
        <v>52</v>
      </c>
      <c r="K94" s="14" t="n">
        <v>153</v>
      </c>
      <c r="L94" s="14" t="n">
        <v>151</v>
      </c>
      <c r="M94" s="21"/>
      <c r="N94" s="11"/>
      <c r="O94" s="23"/>
      <c r="P94" s="23"/>
      <c r="Q94" s="23"/>
      <c r="R94" s="23"/>
      <c r="S94" s="23"/>
      <c r="T94" s="23"/>
      <c r="U94" s="23"/>
      <c r="V94" s="23"/>
      <c r="W94" s="23"/>
      <c r="X94" s="23"/>
      <c r="Y94" s="23"/>
      <c r="Z94" s="23"/>
    </row>
    <row r="95" customFormat="false" ht="15.75" hidden="false" customHeight="true" outlineLevel="0" collapsed="false">
      <c r="A95" s="52" t="n">
        <v>46303</v>
      </c>
      <c r="B95" s="14" t="s">
        <v>375</v>
      </c>
      <c r="C95" s="14" t="str">
        <f aca="false" t="array" ref="C95:C95">IF(B95="","",IFERROR(INDEX('CLM &amp; IM Mapping'!$B$2:$B$270,MATCH(TRIM(B95),'CLM &amp; IM Mapping'!$A$2:$A$270,0)),"Not Mapped"))</f>
        <v>Saddam Hussain</v>
      </c>
      <c r="D95" s="14" t="str">
        <f aca="false" t="array" ref="D95:D95">IF(B95="","",IFERROR(INDEX('CLM &amp; IM Mapping'!$C$2:$C$270,MATCH(TRIM(B95),'CLM &amp; IM Mapping'!$A$2:$A$270,0)),"Not Mapped"))</f>
        <v>Un Mapped</v>
      </c>
      <c r="E95" s="14" t="n">
        <v>5</v>
      </c>
      <c r="F95" s="14" t="n">
        <v>33</v>
      </c>
      <c r="G95" s="14" t="n">
        <v>0</v>
      </c>
      <c r="H95" s="14" t="n">
        <v>36</v>
      </c>
      <c r="I95" s="14" t="n">
        <v>18</v>
      </c>
      <c r="J95" s="14" t="n">
        <v>58</v>
      </c>
      <c r="K95" s="14" t="n">
        <v>150</v>
      </c>
      <c r="L95" s="14" t="n">
        <v>136</v>
      </c>
      <c r="M95" s="21"/>
      <c r="N95" s="11"/>
      <c r="O95" s="23"/>
      <c r="P95" s="23"/>
      <c r="Q95" s="23"/>
      <c r="R95" s="23"/>
      <c r="S95" s="23"/>
      <c r="T95" s="23"/>
      <c r="U95" s="23"/>
      <c r="V95" s="23"/>
      <c r="W95" s="23"/>
      <c r="X95" s="23"/>
      <c r="Y95" s="23"/>
      <c r="Z95" s="23"/>
    </row>
    <row r="96" customFormat="false" ht="15.75" hidden="false" customHeight="true" outlineLevel="0" collapsed="false">
      <c r="A96" s="52" t="n">
        <v>46303</v>
      </c>
      <c r="B96" s="14" t="s">
        <v>395</v>
      </c>
      <c r="C96" s="14" t="str">
        <f aca="false" t="array" ref="C96:C96">IF(B96="","",IFERROR(INDEX('CLM &amp; IM Mapping'!$B$2:$B$270,MATCH(TRIM(B96),'CLM &amp; IM Mapping'!$A$2:$A$270,0)),"Not Mapped"))</f>
        <v>Bangareppa CS</v>
      </c>
      <c r="D96" s="14" t="str">
        <f aca="false" t="array" ref="D96:D96">IF(B96="","",IFERROR(INDEX('CLM &amp; IM Mapping'!$C$2:$C$270,MATCH(TRIM(B96),'CLM &amp; IM Mapping'!$A$2:$A$270,0)),"Not Mapped"))</f>
        <v>Kishor K</v>
      </c>
      <c r="E96" s="14" t="n">
        <v>2</v>
      </c>
      <c r="F96" s="14" t="n">
        <v>67</v>
      </c>
      <c r="G96" s="14" t="n">
        <v>34</v>
      </c>
      <c r="H96" s="14" t="n">
        <v>20</v>
      </c>
      <c r="I96" s="14" t="n">
        <v>3</v>
      </c>
      <c r="J96" s="14" t="n">
        <v>23</v>
      </c>
      <c r="K96" s="14" t="n">
        <v>149</v>
      </c>
      <c r="L96" s="14" t="n">
        <v>144</v>
      </c>
      <c r="M96" s="12" t="s">
        <v>828</v>
      </c>
      <c r="N96" s="54" t="n">
        <v>0.666666666666667</v>
      </c>
      <c r="O96" s="23"/>
      <c r="P96" s="23"/>
      <c r="Q96" s="23"/>
      <c r="R96" s="23"/>
      <c r="S96" s="23"/>
      <c r="T96" s="23"/>
      <c r="U96" s="23"/>
      <c r="V96" s="23"/>
      <c r="W96" s="23"/>
      <c r="X96" s="23"/>
      <c r="Y96" s="23"/>
      <c r="Z96" s="23"/>
    </row>
    <row r="97" customFormat="false" ht="15.75" hidden="false" customHeight="true" outlineLevel="0" collapsed="false">
      <c r="A97" s="52" t="n">
        <v>46303</v>
      </c>
      <c r="B97" s="14" t="s">
        <v>435</v>
      </c>
      <c r="C97" s="14" t="str">
        <f aca="false" t="array" ref="C97:C97">IF(B97="","",IFERROR(INDEX('CLM &amp; IM Mapping'!$B$2:$B$270,MATCH(TRIM(B97),'CLM &amp; IM Mapping'!$A$2:$A$270,0)),"Not Mapped"))</f>
        <v>Balaji G</v>
      </c>
      <c r="D97" s="14" t="str">
        <f aca="false" t="array" ref="D97:D97">IF(B97="","",IFERROR(INDEX('CLM &amp; IM Mapping'!$C$2:$C$270,MATCH(TRIM(B97),'CLM &amp; IM Mapping'!$A$2:$A$270,0)),"Not Mapped"))</f>
        <v>Mohammed Akbar</v>
      </c>
      <c r="E97" s="14" t="n">
        <v>47</v>
      </c>
      <c r="F97" s="14" t="n">
        <v>55</v>
      </c>
      <c r="G97" s="14" t="n">
        <v>40</v>
      </c>
      <c r="H97" s="14" t="n">
        <v>2</v>
      </c>
      <c r="I97" s="14" t="n">
        <v>0</v>
      </c>
      <c r="J97" s="14" t="n">
        <v>0</v>
      </c>
      <c r="K97" s="14" t="n">
        <v>144</v>
      </c>
      <c r="L97" s="14" t="n">
        <v>144</v>
      </c>
      <c r="M97" s="12" t="s">
        <v>832</v>
      </c>
      <c r="N97" s="54" t="n">
        <v>0.583333333333333</v>
      </c>
      <c r="O97" s="23"/>
      <c r="P97" s="23"/>
      <c r="Q97" s="23"/>
      <c r="R97" s="23"/>
      <c r="S97" s="23"/>
      <c r="T97" s="23"/>
      <c r="U97" s="23"/>
      <c r="V97" s="23"/>
      <c r="W97" s="23"/>
      <c r="X97" s="23"/>
      <c r="Y97" s="23"/>
      <c r="Z97" s="23"/>
    </row>
    <row r="98" customFormat="false" ht="15.75" hidden="false" customHeight="true" outlineLevel="0" collapsed="false">
      <c r="A98" s="52" t="n">
        <v>46303</v>
      </c>
      <c r="B98" s="14" t="s">
        <v>97</v>
      </c>
      <c r="C98" s="14" t="str">
        <f aca="false" t="array" ref="C98:C98">IF(B98="","",IFERROR(INDEX('CLM &amp; IM Mapping'!$B$2:$B$270,MATCH(TRIM(B98),'CLM &amp; IM Mapping'!$A$2:$A$270,0)),"Not Mapped"))</f>
        <v>Raghavendra Vernekar</v>
      </c>
      <c r="D98" s="14" t="str">
        <f aca="false" t="array" ref="D98:D98">IF(B98="","",IFERROR(INDEX('CLM &amp; IM Mapping'!$C$2:$C$270,MATCH(TRIM(B98),'CLM &amp; IM Mapping'!$A$2:$A$270,0)),"Not Mapped"))</f>
        <v>Prakash BS</v>
      </c>
      <c r="E98" s="14" t="n">
        <v>55</v>
      </c>
      <c r="F98" s="14" t="n">
        <v>39</v>
      </c>
      <c r="G98" s="14" t="n">
        <v>2</v>
      </c>
      <c r="H98" s="14" t="n">
        <v>23</v>
      </c>
      <c r="I98" s="14" t="n">
        <v>16</v>
      </c>
      <c r="J98" s="14" t="n">
        <v>7</v>
      </c>
      <c r="K98" s="14" t="n">
        <v>142</v>
      </c>
      <c r="L98" s="14" t="n">
        <v>116</v>
      </c>
      <c r="M98" s="12" t="s">
        <v>744</v>
      </c>
      <c r="N98" s="12" t="s">
        <v>752</v>
      </c>
      <c r="O98" s="23"/>
      <c r="P98" s="23"/>
      <c r="Q98" s="23"/>
      <c r="R98" s="23"/>
      <c r="S98" s="23"/>
      <c r="T98" s="23"/>
      <c r="U98" s="23"/>
      <c r="V98" s="23"/>
      <c r="W98" s="23"/>
      <c r="X98" s="23"/>
      <c r="Y98" s="23"/>
      <c r="Z98" s="23"/>
    </row>
    <row r="99" customFormat="false" ht="15.75" hidden="false" customHeight="true" outlineLevel="0" collapsed="false">
      <c r="A99" s="52" t="n">
        <v>46303</v>
      </c>
      <c r="B99" s="14" t="s">
        <v>216</v>
      </c>
      <c r="C99" s="14" t="str">
        <f aca="false" t="array" ref="C99:C99">IF(B99="","",IFERROR(INDEX('CLM &amp; IM Mapping'!$B$2:$B$270,MATCH(TRIM(B99),'CLM &amp; IM Mapping'!$A$2:$A$270,0)),"Not Mapped"))</f>
        <v>Silambarasan E</v>
      </c>
      <c r="D99" s="14" t="str">
        <f aca="false" t="array" ref="D99:D99">IF(B99="","",IFERROR(INDEX('CLM &amp; IM Mapping'!$C$2:$C$270,MATCH(TRIM(B99),'CLM &amp; IM Mapping'!$A$2:$A$270,0)),"Not Mapped"))</f>
        <v>Arivind S</v>
      </c>
      <c r="E99" s="14" t="n">
        <v>0</v>
      </c>
      <c r="F99" s="14" t="n">
        <v>3</v>
      </c>
      <c r="G99" s="14" t="n">
        <v>0</v>
      </c>
      <c r="H99" s="14" t="n">
        <v>35</v>
      </c>
      <c r="I99" s="14" t="n">
        <v>78</v>
      </c>
      <c r="J99" s="14" t="n">
        <v>26</v>
      </c>
      <c r="K99" s="14" t="n">
        <v>142</v>
      </c>
      <c r="L99" s="14" t="n">
        <v>142</v>
      </c>
      <c r="M99" s="21"/>
      <c r="N99" s="11"/>
      <c r="O99" s="23"/>
      <c r="P99" s="23"/>
      <c r="Q99" s="23"/>
      <c r="R99" s="23"/>
      <c r="S99" s="23"/>
      <c r="T99" s="23"/>
      <c r="U99" s="23"/>
      <c r="V99" s="23"/>
      <c r="W99" s="23"/>
      <c r="X99" s="23"/>
      <c r="Y99" s="23"/>
      <c r="Z99" s="23"/>
    </row>
    <row r="100" customFormat="false" ht="15.75" hidden="false" customHeight="true" outlineLevel="0" collapsed="false">
      <c r="A100" s="52" t="n">
        <v>46303</v>
      </c>
      <c r="B100" s="14" t="s">
        <v>284</v>
      </c>
      <c r="C100" s="14" t="str">
        <f aca="false" t="array" ref="C100:C100">IF(B100="","",IFERROR(INDEX('CLM &amp; IM Mapping'!$B$2:$B$270,MATCH(TRIM(B100),'CLM &amp; IM Mapping'!$A$2:$A$270,0)),"Not Mapped"))</f>
        <v>Balaji G</v>
      </c>
      <c r="D100" s="14" t="str">
        <f aca="false" t="array" ref="D100:D100">IF(B100="","",IFERROR(INDEX('CLM &amp; IM Mapping'!$C$2:$C$270,MATCH(TRIM(B100),'CLM &amp; IM Mapping'!$A$2:$A$270,0)),"Not Mapped"))</f>
        <v>Mohammed Akbar</v>
      </c>
      <c r="E100" s="14" t="n">
        <v>0</v>
      </c>
      <c r="F100" s="14" t="n">
        <v>0</v>
      </c>
      <c r="G100" s="14" t="n">
        <v>0</v>
      </c>
      <c r="H100" s="14" t="n">
        <v>129</v>
      </c>
      <c r="I100" s="14" t="n">
        <v>12</v>
      </c>
      <c r="J100" s="14" t="n">
        <v>0</v>
      </c>
      <c r="K100" s="14" t="n">
        <v>141</v>
      </c>
      <c r="L100" s="14" t="n">
        <v>141</v>
      </c>
      <c r="M100" s="12" t="s">
        <v>829</v>
      </c>
      <c r="N100" s="54" t="n">
        <v>0.583333333333333</v>
      </c>
      <c r="O100" s="23"/>
      <c r="P100" s="23"/>
      <c r="Q100" s="23"/>
      <c r="R100" s="23"/>
      <c r="S100" s="23"/>
      <c r="T100" s="23"/>
      <c r="U100" s="23"/>
      <c r="V100" s="23"/>
      <c r="W100" s="23"/>
      <c r="X100" s="23"/>
      <c r="Y100" s="23"/>
      <c r="Z100" s="23"/>
    </row>
    <row r="101" customFormat="false" ht="15.75" hidden="false" customHeight="true" outlineLevel="0" collapsed="false">
      <c r="A101" s="52" t="n">
        <v>46303</v>
      </c>
      <c r="B101" s="14" t="s">
        <v>412</v>
      </c>
      <c r="C101" s="14" t="str">
        <f aca="false" t="array" ref="C101:C101">IF(B101="","",IFERROR(INDEX('CLM &amp; IM Mapping'!$B$2:$B$270,MATCH(TRIM(B101),'CLM &amp; IM Mapping'!$A$2:$A$270,0)),"Not Mapped"))</f>
        <v>Richard Harris</v>
      </c>
      <c r="D101" s="14" t="str">
        <f aca="false" t="array" ref="D101:D101">IF(B101="","",IFERROR(INDEX('CLM &amp; IM Mapping'!$C$2:$C$270,MATCH(TRIM(B101),'CLM &amp; IM Mapping'!$A$2:$A$270,0)),"Not Mapped"))</f>
        <v>Kantha Kumar</v>
      </c>
      <c r="E101" s="14" t="n">
        <v>72</v>
      </c>
      <c r="F101" s="14" t="n">
        <v>1</v>
      </c>
      <c r="G101" s="14" t="n">
        <v>21</v>
      </c>
      <c r="H101" s="14" t="n">
        <v>0</v>
      </c>
      <c r="I101" s="14" t="n">
        <v>2</v>
      </c>
      <c r="J101" s="14" t="n">
        <v>45</v>
      </c>
      <c r="K101" s="14" t="n">
        <v>141</v>
      </c>
      <c r="L101" s="14" t="n">
        <v>141</v>
      </c>
      <c r="M101" s="21"/>
      <c r="N101" s="11"/>
      <c r="O101" s="23"/>
      <c r="P101" s="23"/>
      <c r="Q101" s="23"/>
      <c r="R101" s="23"/>
      <c r="S101" s="23"/>
      <c r="T101" s="23"/>
      <c r="U101" s="23"/>
      <c r="V101" s="23"/>
      <c r="W101" s="23"/>
      <c r="X101" s="23"/>
      <c r="Y101" s="23"/>
      <c r="Z101" s="23"/>
    </row>
    <row r="102" customFormat="false" ht="15.75" hidden="false" customHeight="true" outlineLevel="0" collapsed="false">
      <c r="A102" s="52" t="n">
        <v>46303</v>
      </c>
      <c r="B102" s="14" t="s">
        <v>156</v>
      </c>
      <c r="C102" s="14" t="str">
        <f aca="false" t="array" ref="C102:C102">IF(B102="","",IFERROR(INDEX('CLM &amp; IM Mapping'!$B$2:$B$270,MATCH(TRIM(B102),'CLM &amp; IM Mapping'!$A$2:$A$270,0)),"Not Mapped"))</f>
        <v>Manoj Kj</v>
      </c>
      <c r="D102" s="14" t="str">
        <f aca="false" t="array" ref="D102:D102">IF(B102="","",IFERROR(INDEX('CLM &amp; IM Mapping'!$C$2:$C$270,MATCH(TRIM(B102),'CLM &amp; IM Mapping'!$A$2:$A$270,0)),"Not Mapped"))</f>
        <v>Srittam Dhal</v>
      </c>
      <c r="E102" s="14" t="n">
        <v>0</v>
      </c>
      <c r="F102" s="14" t="n">
        <v>60</v>
      </c>
      <c r="G102" s="14" t="n">
        <v>0</v>
      </c>
      <c r="H102" s="14" t="n">
        <v>27</v>
      </c>
      <c r="I102" s="14" t="n">
        <v>6</v>
      </c>
      <c r="J102" s="14" t="n">
        <v>47</v>
      </c>
      <c r="K102" s="14" t="n">
        <v>140</v>
      </c>
      <c r="L102" s="14" t="n">
        <v>140</v>
      </c>
      <c r="M102" s="21"/>
      <c r="N102" s="11"/>
      <c r="O102" s="23"/>
      <c r="P102" s="23"/>
      <c r="Q102" s="23"/>
      <c r="R102" s="23"/>
      <c r="S102" s="23"/>
      <c r="T102" s="23"/>
      <c r="U102" s="23"/>
      <c r="V102" s="23"/>
      <c r="W102" s="23"/>
      <c r="X102" s="23"/>
      <c r="Y102" s="23"/>
      <c r="Z102" s="23"/>
    </row>
    <row r="103" customFormat="false" ht="15.75" hidden="false" customHeight="true" outlineLevel="0" collapsed="false">
      <c r="A103" s="52" t="n">
        <v>46303</v>
      </c>
      <c r="B103" s="14" t="s">
        <v>451</v>
      </c>
      <c r="C103" s="14" t="str">
        <f aca="false" t="array" ref="C103:C103">IF(B103="","",IFERROR(INDEX('CLM &amp; IM Mapping'!$B$2:$B$270,MATCH(TRIM(B103),'CLM &amp; IM Mapping'!$A$2:$A$270,0)),"Not Mapped"))</f>
        <v>Ashwath S</v>
      </c>
      <c r="D103" s="14" t="str">
        <f aca="false" t="array" ref="D103:D103">IF(B103="","",IFERROR(INDEX('CLM &amp; IM Mapping'!$C$2:$C$270,MATCH(TRIM(B103),'CLM &amp; IM Mapping'!$A$2:$A$270,0)),"Not Mapped"))</f>
        <v>Kantha Kumar</v>
      </c>
      <c r="E103" s="14" t="n">
        <v>52</v>
      </c>
      <c r="F103" s="14" t="n">
        <v>50</v>
      </c>
      <c r="G103" s="14" t="n">
        <v>1</v>
      </c>
      <c r="H103" s="14" t="n">
        <v>1</v>
      </c>
      <c r="I103" s="14" t="n">
        <v>15</v>
      </c>
      <c r="J103" s="14" t="n">
        <v>20</v>
      </c>
      <c r="K103" s="14" t="n">
        <v>139</v>
      </c>
      <c r="L103" s="14" t="n">
        <v>132</v>
      </c>
      <c r="M103" s="21"/>
      <c r="N103" s="11"/>
      <c r="O103" s="23"/>
      <c r="P103" s="23"/>
      <c r="Q103" s="23"/>
      <c r="R103" s="23"/>
      <c r="S103" s="23"/>
      <c r="T103" s="23"/>
      <c r="U103" s="23"/>
      <c r="V103" s="23"/>
      <c r="W103" s="23"/>
      <c r="X103" s="23"/>
      <c r="Y103" s="23"/>
      <c r="Z103" s="23"/>
    </row>
    <row r="104" customFormat="false" ht="15.75" hidden="false" customHeight="true" outlineLevel="0" collapsed="false">
      <c r="A104" s="52" t="n">
        <v>46303</v>
      </c>
      <c r="B104" s="14" t="s">
        <v>493</v>
      </c>
      <c r="C104" s="14" t="str">
        <f aca="false" t="array" ref="C104:C104">IF(B104="","",IFERROR(INDEX('CLM &amp; IM Mapping'!$B$2:$B$270,MATCH(TRIM(B104),'CLM &amp; IM Mapping'!$A$2:$A$270,0)),"Not Mapped"))</f>
        <v>Santhosha M</v>
      </c>
      <c r="D104" s="14" t="str">
        <f aca="false" t="array" ref="D104:D104">IF(B104="","",IFERROR(INDEX('CLM &amp; IM Mapping'!$C$2:$C$270,MATCH(TRIM(B104),'CLM &amp; IM Mapping'!$A$2:$A$270,0)),"Not Mapped"))</f>
        <v>Aravind S</v>
      </c>
      <c r="E104" s="14" t="n">
        <v>0</v>
      </c>
      <c r="F104" s="14" t="n">
        <v>63</v>
      </c>
      <c r="G104" s="14" t="n">
        <v>0</v>
      </c>
      <c r="H104" s="14" t="n">
        <v>54</v>
      </c>
      <c r="I104" s="14" t="n">
        <v>15</v>
      </c>
      <c r="J104" s="14" t="n">
        <v>7</v>
      </c>
      <c r="K104" s="14" t="n">
        <v>139</v>
      </c>
      <c r="L104" s="14" t="n">
        <v>106</v>
      </c>
      <c r="M104" s="12" t="s">
        <v>818</v>
      </c>
      <c r="N104" s="12" t="s">
        <v>818</v>
      </c>
      <c r="O104" s="23"/>
      <c r="P104" s="23"/>
      <c r="Q104" s="23"/>
      <c r="R104" s="23"/>
      <c r="S104" s="23"/>
      <c r="T104" s="23"/>
      <c r="U104" s="23"/>
      <c r="V104" s="23"/>
      <c r="W104" s="23"/>
      <c r="X104" s="23"/>
      <c r="Y104" s="23"/>
      <c r="Z104" s="23"/>
    </row>
    <row r="105" customFormat="false" ht="15.75" hidden="false" customHeight="true" outlineLevel="0" collapsed="false">
      <c r="A105" s="52" t="n">
        <v>46303</v>
      </c>
      <c r="B105" s="14" t="s">
        <v>437</v>
      </c>
      <c r="C105" s="14" t="str">
        <f aca="false" t="array" ref="C105:C105">IF(B105="","",IFERROR(INDEX('CLM &amp; IM Mapping'!$B$2:$B$270,MATCH(TRIM(B105),'CLM &amp; IM Mapping'!$A$2:$A$270,0)),"Not Mapped"))</f>
        <v>Balaji G</v>
      </c>
      <c r="D105" s="14" t="str">
        <f aca="false" t="array" ref="D105:D105">IF(B105="","",IFERROR(INDEX('CLM &amp; IM Mapping'!$C$2:$C$270,MATCH(TRIM(B105),'CLM &amp; IM Mapping'!$A$2:$A$270,0)),"Not Mapped"))</f>
        <v>Mohammed Akbar</v>
      </c>
      <c r="E105" s="14" t="n">
        <v>16</v>
      </c>
      <c r="F105" s="14" t="n">
        <v>39</v>
      </c>
      <c r="G105" s="14" t="n">
        <v>1</v>
      </c>
      <c r="H105" s="14" t="n">
        <v>45</v>
      </c>
      <c r="I105" s="14" t="n">
        <v>37</v>
      </c>
      <c r="J105" s="14" t="n">
        <v>0</v>
      </c>
      <c r="K105" s="14" t="n">
        <v>138</v>
      </c>
      <c r="L105" s="14" t="n">
        <v>138</v>
      </c>
      <c r="M105" s="12" t="s">
        <v>829</v>
      </c>
      <c r="N105" s="54" t="n">
        <v>0.666666666666667</v>
      </c>
      <c r="O105" s="23"/>
      <c r="P105" s="23"/>
      <c r="Q105" s="23"/>
      <c r="R105" s="23"/>
      <c r="S105" s="23"/>
      <c r="T105" s="23"/>
      <c r="U105" s="23"/>
      <c r="V105" s="23"/>
      <c r="W105" s="23"/>
      <c r="X105" s="23"/>
      <c r="Y105" s="23"/>
      <c r="Z105" s="23"/>
    </row>
    <row r="106" customFormat="false" ht="15.75" hidden="false" customHeight="true" outlineLevel="0" collapsed="false">
      <c r="A106" s="52" t="n">
        <v>46303</v>
      </c>
      <c r="B106" s="14" t="s">
        <v>309</v>
      </c>
      <c r="C106" s="14" t="str">
        <f aca="false" t="array" ref="C106:C106">IF(B106="","",IFERROR(INDEX('CLM &amp; IM Mapping'!$B$2:$B$270,MATCH(TRIM(B106),'CLM &amp; IM Mapping'!$A$2:$A$270,0)),"Not Mapped"))</f>
        <v>Ashwath S</v>
      </c>
      <c r="D106" s="14" t="str">
        <f aca="false" t="array" ref="D106:D106">IF(B106="","",IFERROR(INDEX('CLM &amp; IM Mapping'!$C$2:$C$270,MATCH(TRIM(B106),'CLM &amp; IM Mapping'!$A$2:$A$270,0)),"Not Mapped"))</f>
        <v>Kantha Kumar</v>
      </c>
      <c r="E106" s="14" t="n">
        <v>8</v>
      </c>
      <c r="F106" s="14" t="n">
        <v>14</v>
      </c>
      <c r="G106" s="14" t="n">
        <v>6</v>
      </c>
      <c r="H106" s="14" t="n">
        <v>5</v>
      </c>
      <c r="I106" s="14" t="n">
        <v>103</v>
      </c>
      <c r="J106" s="14" t="n">
        <v>0</v>
      </c>
      <c r="K106" s="14" t="n">
        <v>136</v>
      </c>
      <c r="L106" s="14" t="n">
        <v>122</v>
      </c>
      <c r="M106" s="21"/>
      <c r="N106" s="11"/>
      <c r="O106" s="23"/>
      <c r="P106" s="23"/>
      <c r="Q106" s="23"/>
      <c r="R106" s="23"/>
      <c r="S106" s="23"/>
      <c r="T106" s="23"/>
      <c r="U106" s="23"/>
      <c r="V106" s="23"/>
      <c r="W106" s="23"/>
      <c r="X106" s="23"/>
      <c r="Y106" s="23"/>
      <c r="Z106" s="23"/>
    </row>
    <row r="107" customFormat="false" ht="15.75" hidden="false" customHeight="true" outlineLevel="0" collapsed="false">
      <c r="A107" s="52" t="n">
        <v>46303</v>
      </c>
      <c r="B107" s="14" t="s">
        <v>281</v>
      </c>
      <c r="C107" s="14" t="str">
        <f aca="false" t="array" ref="C107:C107">IF(B107="","",IFERROR(INDEX('CLM &amp; IM Mapping'!$B$2:$B$270,MATCH(TRIM(B107),'CLM &amp; IM Mapping'!$A$2:$A$270,0)),"Not Mapped"))</f>
        <v>Balaji G</v>
      </c>
      <c r="D107" s="14" t="str">
        <f aca="false" t="array" ref="D107:D107">IF(B107="","",IFERROR(INDEX('CLM &amp; IM Mapping'!$C$2:$C$270,MATCH(TRIM(B107),'CLM &amp; IM Mapping'!$A$2:$A$270,0)),"Not Mapped"))</f>
        <v>Mohammed Akbar</v>
      </c>
      <c r="E107" s="14" t="n">
        <v>30</v>
      </c>
      <c r="F107" s="14" t="n">
        <v>60</v>
      </c>
      <c r="G107" s="14" t="n">
        <v>0</v>
      </c>
      <c r="H107" s="14" t="n">
        <v>9</v>
      </c>
      <c r="I107" s="14" t="n">
        <v>12</v>
      </c>
      <c r="J107" s="14" t="n">
        <v>21</v>
      </c>
      <c r="K107" s="14" t="n">
        <v>132</v>
      </c>
      <c r="L107" s="14" t="n">
        <v>132</v>
      </c>
      <c r="M107" s="12" t="s">
        <v>829</v>
      </c>
      <c r="N107" s="54" t="n">
        <v>0.583333333333333</v>
      </c>
      <c r="O107" s="23"/>
      <c r="P107" s="23"/>
      <c r="Q107" s="23"/>
      <c r="R107" s="23"/>
      <c r="S107" s="23"/>
      <c r="T107" s="23"/>
      <c r="U107" s="23"/>
      <c r="V107" s="23"/>
      <c r="W107" s="23"/>
      <c r="X107" s="23"/>
      <c r="Y107" s="23"/>
      <c r="Z107" s="23"/>
    </row>
    <row r="108" customFormat="false" ht="15.75" hidden="false" customHeight="true" outlineLevel="0" collapsed="false">
      <c r="A108" s="52" t="n">
        <v>46303</v>
      </c>
      <c r="B108" s="14" t="s">
        <v>252</v>
      </c>
      <c r="C108" s="14" t="str">
        <f aca="false" t="array" ref="C108:C108">IF(B108="","",IFERROR(INDEX('CLM &amp; IM Mapping'!$B$2:$B$270,MATCH(TRIM(B108),'CLM &amp; IM Mapping'!$A$2:$A$270,0)),"Not Mapped"))</f>
        <v>Vishnu V</v>
      </c>
      <c r="D108" s="14" t="str">
        <f aca="false" t="array" ref="D108:D108">IF(B108="","",IFERROR(INDEX('CLM &amp; IM Mapping'!$C$2:$C$270,MATCH(TRIM(B108),'CLM &amp; IM Mapping'!$A$2:$A$270,0)),"Not Mapped"))</f>
        <v>Arivind S</v>
      </c>
      <c r="E108" s="14" t="n">
        <v>28</v>
      </c>
      <c r="F108" s="14" t="n">
        <v>66</v>
      </c>
      <c r="G108" s="14" t="n">
        <v>31</v>
      </c>
      <c r="H108" s="14" t="n">
        <v>4</v>
      </c>
      <c r="I108" s="14" t="n">
        <v>0</v>
      </c>
      <c r="J108" s="14" t="n">
        <v>0</v>
      </c>
      <c r="K108" s="14" t="n">
        <v>129</v>
      </c>
      <c r="L108" s="14" t="n">
        <v>129</v>
      </c>
      <c r="M108" s="21"/>
      <c r="N108" s="11"/>
      <c r="O108" s="23"/>
      <c r="P108" s="23"/>
      <c r="Q108" s="23"/>
      <c r="R108" s="23"/>
      <c r="S108" s="23"/>
      <c r="T108" s="23"/>
      <c r="U108" s="23"/>
      <c r="V108" s="23"/>
      <c r="W108" s="23"/>
      <c r="X108" s="23"/>
      <c r="Y108" s="23"/>
      <c r="Z108" s="23"/>
    </row>
    <row r="109" customFormat="false" ht="15.75" hidden="false" customHeight="true" outlineLevel="0" collapsed="false">
      <c r="A109" s="52" t="n">
        <v>46303</v>
      </c>
      <c r="B109" s="14" t="s">
        <v>188</v>
      </c>
      <c r="C109" s="14" t="str">
        <f aca="false" t="array" ref="C109:C109">IF(B109="","",IFERROR(INDEX('CLM &amp; IM Mapping'!$B$2:$B$270,MATCH(TRIM(B109),'CLM &amp; IM Mapping'!$A$2:$A$270,0)),"Not Mapped"))</f>
        <v>Richard Harris</v>
      </c>
      <c r="D109" s="14" t="str">
        <f aca="false" t="array" ref="D109:D109">IF(B109="","",IFERROR(INDEX('CLM &amp; IM Mapping'!$C$2:$C$270,MATCH(TRIM(B109),'CLM &amp; IM Mapping'!$A$2:$A$270,0)),"Not Mapped"))</f>
        <v>Kantha Kumar</v>
      </c>
      <c r="E109" s="14" t="n">
        <v>20</v>
      </c>
      <c r="F109" s="14" t="n">
        <v>19</v>
      </c>
      <c r="G109" s="14" t="n">
        <v>4</v>
      </c>
      <c r="H109" s="14" t="n">
        <v>49</v>
      </c>
      <c r="I109" s="14" t="n">
        <v>15</v>
      </c>
      <c r="J109" s="14" t="n">
        <v>16</v>
      </c>
      <c r="K109" s="14" t="n">
        <v>123</v>
      </c>
      <c r="L109" s="14" t="n">
        <v>119</v>
      </c>
      <c r="M109" s="21"/>
      <c r="N109" s="11"/>
      <c r="O109" s="23"/>
      <c r="P109" s="23"/>
      <c r="Q109" s="23"/>
      <c r="R109" s="23"/>
      <c r="S109" s="23"/>
      <c r="T109" s="23"/>
      <c r="U109" s="23"/>
      <c r="V109" s="23"/>
      <c r="W109" s="23"/>
      <c r="X109" s="23"/>
      <c r="Y109" s="23"/>
      <c r="Z109" s="23"/>
    </row>
    <row r="110" customFormat="false" ht="15.75" hidden="false" customHeight="true" outlineLevel="0" collapsed="false">
      <c r="A110" s="52" t="n">
        <v>46303</v>
      </c>
      <c r="B110" s="14" t="s">
        <v>142</v>
      </c>
      <c r="C110" s="14" t="str">
        <f aca="false" t="array" ref="C110:C110">IF(B110="","",IFERROR(INDEX('CLM &amp; IM Mapping'!$B$2:$B$270,MATCH(TRIM(B110),'CLM &amp; IM Mapping'!$A$2:$A$270,0)),"Not Mapped"))</f>
        <v>Sundaresh S</v>
      </c>
      <c r="D110" s="14" t="str">
        <f aca="false" t="array" ref="D110:D110">IF(B110="","",IFERROR(INDEX('CLM &amp; IM Mapping'!$C$2:$C$270,MATCH(TRIM(B110),'CLM &amp; IM Mapping'!$A$2:$A$270,0)),"Not Mapped"))</f>
        <v>Un Mapped</v>
      </c>
      <c r="E110" s="14" t="n">
        <v>10</v>
      </c>
      <c r="F110" s="14" t="n">
        <v>34</v>
      </c>
      <c r="G110" s="14" t="n">
        <v>0</v>
      </c>
      <c r="H110" s="14" t="n">
        <v>14</v>
      </c>
      <c r="I110" s="14" t="n">
        <v>0</v>
      </c>
      <c r="J110" s="14" t="n">
        <v>64</v>
      </c>
      <c r="K110" s="14" t="n">
        <v>122</v>
      </c>
      <c r="L110" s="14" t="n">
        <v>111</v>
      </c>
      <c r="M110" s="21"/>
      <c r="N110" s="11"/>
      <c r="O110" s="23"/>
      <c r="P110" s="23"/>
      <c r="Q110" s="23"/>
      <c r="R110" s="23"/>
      <c r="S110" s="23"/>
      <c r="T110" s="23"/>
      <c r="U110" s="23"/>
      <c r="V110" s="23"/>
      <c r="W110" s="23"/>
      <c r="X110" s="23"/>
      <c r="Y110" s="23"/>
      <c r="Z110" s="23"/>
    </row>
    <row r="111" customFormat="false" ht="15.75" hidden="false" customHeight="true" outlineLevel="0" collapsed="false">
      <c r="A111" s="52" t="n">
        <v>46303</v>
      </c>
      <c r="B111" s="14" t="s">
        <v>483</v>
      </c>
      <c r="C111" s="14" t="str">
        <f aca="false" t="array" ref="C111:C111">IF(B111="","",IFERROR(INDEX('CLM &amp; IM Mapping'!$B$2:$B$270,MATCH(TRIM(B111),'CLM &amp; IM Mapping'!$A$2:$A$270,0)),"Not Mapped"))</f>
        <v>Sundaresh S</v>
      </c>
      <c r="D111" s="14" t="str">
        <f aca="false" t="array" ref="D111:D111">IF(B111="","",IFERROR(INDEX('CLM &amp; IM Mapping'!$C$2:$C$270,MATCH(TRIM(B111),'CLM &amp; IM Mapping'!$A$2:$A$270,0)),"Not Mapped"))</f>
        <v>Un Mapped</v>
      </c>
      <c r="E111" s="14" t="n">
        <v>7</v>
      </c>
      <c r="F111" s="14" t="n">
        <v>50</v>
      </c>
      <c r="G111" s="14" t="n">
        <v>21</v>
      </c>
      <c r="H111" s="14" t="n">
        <v>12</v>
      </c>
      <c r="I111" s="14" t="n">
        <v>2</v>
      </c>
      <c r="J111" s="14" t="n">
        <v>30</v>
      </c>
      <c r="K111" s="14" t="n">
        <v>122</v>
      </c>
      <c r="L111" s="14" t="n">
        <v>122</v>
      </c>
      <c r="M111" s="21"/>
      <c r="N111" s="11"/>
      <c r="O111" s="23"/>
      <c r="P111" s="23"/>
      <c r="Q111" s="23"/>
      <c r="R111" s="23"/>
      <c r="S111" s="23"/>
      <c r="T111" s="23"/>
      <c r="U111" s="23"/>
      <c r="V111" s="23"/>
      <c r="W111" s="23"/>
      <c r="X111" s="23"/>
      <c r="Y111" s="23"/>
      <c r="Z111" s="23"/>
    </row>
    <row r="112" customFormat="false" ht="15.75" hidden="false" customHeight="true" outlineLevel="0" collapsed="false">
      <c r="A112" s="52" t="n">
        <v>46303</v>
      </c>
      <c r="B112" s="14" t="s">
        <v>400</v>
      </c>
      <c r="C112" s="14" t="str">
        <f aca="false" t="array" ref="C112:C112">IF(B112="","",IFERROR(INDEX('CLM &amp; IM Mapping'!$B$2:$B$270,MATCH(TRIM(B112),'CLM &amp; IM Mapping'!$A$2:$A$270,0)),"Not Mapped"))</f>
        <v>Bangareppa CS</v>
      </c>
      <c r="D112" s="14" t="str">
        <f aca="false" t="array" ref="D112:D112">IF(B112="","",IFERROR(INDEX('CLM &amp; IM Mapping'!$C$2:$C$270,MATCH(TRIM(B112),'CLM &amp; IM Mapping'!$A$2:$A$270,0)),"Not Mapped"))</f>
        <v>Kishor K</v>
      </c>
      <c r="E112" s="14" t="n">
        <v>8</v>
      </c>
      <c r="F112" s="14" t="n">
        <v>16</v>
      </c>
      <c r="G112" s="14" t="n">
        <v>3</v>
      </c>
      <c r="H112" s="14" t="n">
        <v>21</v>
      </c>
      <c r="I112" s="14" t="n">
        <v>45</v>
      </c>
      <c r="J112" s="14" t="n">
        <v>26</v>
      </c>
      <c r="K112" s="14" t="n">
        <v>119</v>
      </c>
      <c r="L112" s="14" t="n">
        <v>117</v>
      </c>
      <c r="M112" s="12" t="s">
        <v>828</v>
      </c>
      <c r="N112" s="54" t="n">
        <v>0.666666666666667</v>
      </c>
      <c r="O112" s="23"/>
      <c r="P112" s="23"/>
      <c r="Q112" s="23"/>
      <c r="R112" s="23"/>
      <c r="S112" s="23"/>
      <c r="T112" s="23"/>
      <c r="U112" s="23"/>
      <c r="V112" s="23"/>
      <c r="W112" s="23"/>
      <c r="X112" s="23"/>
      <c r="Y112" s="23"/>
      <c r="Z112" s="23"/>
    </row>
    <row r="113" customFormat="false" ht="15.75" hidden="false" customHeight="true" outlineLevel="0" collapsed="false">
      <c r="A113" s="52" t="n">
        <v>46303</v>
      </c>
      <c r="B113" s="14" t="s">
        <v>408</v>
      </c>
      <c r="C113" s="14" t="str">
        <f aca="false" t="array" ref="C113:C113">IF(B113="","",IFERROR(INDEX('CLM &amp; IM Mapping'!$B$2:$B$270,MATCH(TRIM(B113),'CLM &amp; IM Mapping'!$A$2:$A$270,0)),"Not Mapped"))</f>
        <v>Ravishankar gowda</v>
      </c>
      <c r="D113" s="14" t="str">
        <f aca="false" t="array" ref="D113:D113">IF(B113="","",IFERROR(INDEX('CLM &amp; IM Mapping'!$C$2:$C$270,MATCH(TRIM(B113),'CLM &amp; IM Mapping'!$A$2:$A$270,0)),"Not Mapped"))</f>
        <v>Kishor K</v>
      </c>
      <c r="E113" s="14" t="n">
        <v>15</v>
      </c>
      <c r="F113" s="14" t="n">
        <v>27</v>
      </c>
      <c r="G113" s="14" t="n">
        <v>2</v>
      </c>
      <c r="H113" s="14" t="n">
        <v>27</v>
      </c>
      <c r="I113" s="14" t="n">
        <v>0</v>
      </c>
      <c r="J113" s="14" t="n">
        <v>47</v>
      </c>
      <c r="K113" s="14" t="n">
        <v>118</v>
      </c>
      <c r="L113" s="14" t="n">
        <v>101</v>
      </c>
      <c r="M113" s="12" t="s">
        <v>828</v>
      </c>
      <c r="N113" s="54" t="n">
        <v>0.666666666666667</v>
      </c>
      <c r="O113" s="23"/>
      <c r="P113" s="23"/>
      <c r="Q113" s="23"/>
      <c r="R113" s="23"/>
      <c r="S113" s="23"/>
      <c r="T113" s="23"/>
      <c r="U113" s="23"/>
      <c r="V113" s="23"/>
      <c r="W113" s="23"/>
      <c r="X113" s="23"/>
      <c r="Y113" s="23"/>
      <c r="Z113" s="23"/>
    </row>
    <row r="114" customFormat="false" ht="15.75" hidden="false" customHeight="true" outlineLevel="0" collapsed="false">
      <c r="A114" s="52" t="n">
        <v>46303</v>
      </c>
      <c r="B114" s="14" t="s">
        <v>426</v>
      </c>
      <c r="C114" s="14" t="str">
        <f aca="false" t="array" ref="C114:C114">IF(B114="","",IFERROR(INDEX('CLM &amp; IM Mapping'!$B$2:$B$270,MATCH(TRIM(B114),'CLM &amp; IM Mapping'!$A$2:$A$270,0)),"Not Mapped"))</f>
        <v>Silambarasan E</v>
      </c>
      <c r="D114" s="14" t="str">
        <f aca="false" t="array" ref="D114:D114">IF(B114="","",IFERROR(INDEX('CLM &amp; IM Mapping'!$C$2:$C$270,MATCH(TRIM(B114),'CLM &amp; IM Mapping'!$A$2:$A$270,0)),"Not Mapped"))</f>
        <v>Arivind S</v>
      </c>
      <c r="E114" s="14" t="n">
        <v>1</v>
      </c>
      <c r="F114" s="14" t="n">
        <v>5</v>
      </c>
      <c r="G114" s="14" t="n">
        <v>3</v>
      </c>
      <c r="H114" s="14" t="n">
        <v>33</v>
      </c>
      <c r="I114" s="14" t="n">
        <v>18</v>
      </c>
      <c r="J114" s="14" t="n">
        <v>56</v>
      </c>
      <c r="K114" s="14" t="n">
        <v>116</v>
      </c>
      <c r="L114" s="14" t="n">
        <v>105</v>
      </c>
      <c r="M114" s="21"/>
      <c r="N114" s="11"/>
      <c r="O114" s="23"/>
      <c r="P114" s="23"/>
      <c r="Q114" s="23"/>
      <c r="R114" s="23"/>
      <c r="S114" s="23"/>
      <c r="T114" s="23"/>
      <c r="U114" s="23"/>
      <c r="V114" s="23"/>
      <c r="W114" s="23"/>
      <c r="X114" s="23"/>
      <c r="Y114" s="23"/>
      <c r="Z114" s="23"/>
    </row>
    <row r="115" customFormat="false" ht="15.75" hidden="false" customHeight="true" outlineLevel="0" collapsed="false">
      <c r="A115" s="52" t="n">
        <v>46303</v>
      </c>
      <c r="B115" s="14" t="s">
        <v>186</v>
      </c>
      <c r="C115" s="14" t="str">
        <f aca="false" t="array" ref="C115:C115">IF(B115="","",IFERROR(INDEX('CLM &amp; IM Mapping'!$B$2:$B$270,MATCH(TRIM(B115),'CLM &amp; IM Mapping'!$A$2:$A$270,0)),"Not Mapped"))</f>
        <v>Silambarasan E</v>
      </c>
      <c r="D115" s="14" t="str">
        <f aca="false" t="array" ref="D115:D115">IF(B115="","",IFERROR(INDEX('CLM &amp; IM Mapping'!$C$2:$C$270,MATCH(TRIM(B115),'CLM &amp; IM Mapping'!$A$2:$A$270,0)),"Not Mapped"))</f>
        <v>Arivind S</v>
      </c>
      <c r="E115" s="14" t="n">
        <v>0</v>
      </c>
      <c r="F115" s="14" t="n">
        <v>10</v>
      </c>
      <c r="G115" s="14" t="n">
        <v>3</v>
      </c>
      <c r="H115" s="14" t="n">
        <v>64</v>
      </c>
      <c r="I115" s="14" t="n">
        <v>25</v>
      </c>
      <c r="J115" s="14" t="n">
        <v>14</v>
      </c>
      <c r="K115" s="14" t="n">
        <v>116</v>
      </c>
      <c r="L115" s="14" t="n">
        <v>51</v>
      </c>
      <c r="M115" s="21"/>
      <c r="N115" s="11"/>
      <c r="O115" s="23"/>
      <c r="P115" s="23"/>
      <c r="Q115" s="23"/>
      <c r="R115" s="23"/>
      <c r="S115" s="23"/>
      <c r="T115" s="23"/>
      <c r="U115" s="23"/>
      <c r="V115" s="23"/>
      <c r="W115" s="23"/>
      <c r="X115" s="23"/>
      <c r="Y115" s="23"/>
      <c r="Z115" s="23"/>
    </row>
    <row r="116" customFormat="false" ht="15.75" hidden="false" customHeight="true" outlineLevel="0" collapsed="false">
      <c r="A116" s="52" t="n">
        <v>46303</v>
      </c>
      <c r="B116" s="14" t="s">
        <v>53</v>
      </c>
      <c r="C116" s="14" t="str">
        <f aca="false" t="array" ref="C116:C116">IF(B116="","",IFERROR(INDEX('CLM &amp; IM Mapping'!$B$2:$B$270,MATCH(TRIM(B116),'CLM &amp; IM Mapping'!$A$2:$A$270,0)),"Not Mapped"))</f>
        <v>Richard Harris</v>
      </c>
      <c r="D116" s="14" t="str">
        <f aca="false" t="array" ref="D116:D116">IF(B116="","",IFERROR(INDEX('CLM &amp; IM Mapping'!$C$2:$C$270,MATCH(TRIM(B116),'CLM &amp; IM Mapping'!$A$2:$A$270,0)),"Not Mapped"))</f>
        <v>Kantha Kumar</v>
      </c>
      <c r="E116" s="14" t="n">
        <v>0</v>
      </c>
      <c r="F116" s="14" t="n">
        <v>38</v>
      </c>
      <c r="G116" s="14" t="n">
        <v>0</v>
      </c>
      <c r="H116" s="14" t="n">
        <v>75</v>
      </c>
      <c r="I116" s="14"/>
      <c r="J116" s="14" t="n">
        <v>0</v>
      </c>
      <c r="K116" s="14" t="n">
        <v>113</v>
      </c>
      <c r="L116" s="14" t="n">
        <v>103</v>
      </c>
      <c r="M116" s="21"/>
      <c r="N116" s="11"/>
      <c r="O116" s="23"/>
      <c r="P116" s="23"/>
      <c r="Q116" s="23"/>
      <c r="R116" s="23"/>
      <c r="S116" s="23"/>
      <c r="T116" s="23"/>
      <c r="U116" s="23"/>
      <c r="V116" s="23"/>
      <c r="W116" s="23"/>
      <c r="X116" s="23"/>
      <c r="Y116" s="23"/>
      <c r="Z116" s="23"/>
    </row>
    <row r="117" customFormat="false" ht="15.75" hidden="false" customHeight="true" outlineLevel="0" collapsed="false">
      <c r="A117" s="52" t="n">
        <v>46303</v>
      </c>
      <c r="B117" s="14" t="s">
        <v>92</v>
      </c>
      <c r="C117" s="14" t="str">
        <f aca="false" t="array" ref="C117:C117">IF(B117="","",IFERROR(INDEX('CLM &amp; IM Mapping'!$B$2:$B$270,MATCH(TRIM(B117),'CLM &amp; IM Mapping'!$A$2:$A$270,0)),"Not Mapped"))</f>
        <v>Balaji G</v>
      </c>
      <c r="D117" s="14" t="str">
        <f aca="false" t="array" ref="D117:D117">IF(B117="","",IFERROR(INDEX('CLM &amp; IM Mapping'!$C$2:$C$270,MATCH(TRIM(B117),'CLM &amp; IM Mapping'!$A$2:$A$270,0)),"Not Mapped"))</f>
        <v>Mohammed Akbar</v>
      </c>
      <c r="E117" s="14" t="n">
        <v>26</v>
      </c>
      <c r="F117" s="14" t="n">
        <v>28</v>
      </c>
      <c r="G117" s="14" t="n">
        <v>4</v>
      </c>
      <c r="H117" s="14" t="n">
        <v>19</v>
      </c>
      <c r="I117" s="14" t="n">
        <v>6</v>
      </c>
      <c r="J117" s="14" t="n">
        <v>28</v>
      </c>
      <c r="K117" s="14" t="n">
        <v>111</v>
      </c>
      <c r="L117" s="14" t="n">
        <v>105</v>
      </c>
      <c r="M117" s="12" t="s">
        <v>833</v>
      </c>
      <c r="N117" s="54" t="n">
        <v>0.625</v>
      </c>
      <c r="O117" s="23"/>
      <c r="P117" s="23"/>
      <c r="Q117" s="23"/>
      <c r="R117" s="23"/>
      <c r="S117" s="23"/>
      <c r="T117" s="23"/>
      <c r="U117" s="23"/>
      <c r="V117" s="23"/>
      <c r="W117" s="23"/>
      <c r="X117" s="23"/>
      <c r="Y117" s="23"/>
      <c r="Z117" s="23"/>
    </row>
    <row r="118" customFormat="false" ht="15.75" hidden="false" customHeight="true" outlineLevel="0" collapsed="false">
      <c r="A118" s="52" t="n">
        <v>46303</v>
      </c>
      <c r="B118" s="14" t="s">
        <v>346</v>
      </c>
      <c r="C118" s="14" t="str">
        <f aca="false" t="array" ref="C118:C118">IF(B118="","",IFERROR(INDEX('CLM &amp; IM Mapping'!$B$2:$B$270,MATCH(TRIM(B118),'CLM &amp; IM Mapping'!$A$2:$A$270,0)),"Not Mapped"))</f>
        <v>Saddam Hussain</v>
      </c>
      <c r="D118" s="14" t="str">
        <f aca="false" t="array" ref="D118:D118">IF(B118="","",IFERROR(INDEX('CLM &amp; IM Mapping'!$C$2:$C$270,MATCH(TRIM(B118),'CLM &amp; IM Mapping'!$A$2:$A$270,0)),"Not Mapped"))</f>
        <v>Un Mapped</v>
      </c>
      <c r="E118" s="14" t="n">
        <v>0</v>
      </c>
      <c r="F118" s="14" t="n">
        <v>19</v>
      </c>
      <c r="G118" s="14" t="n">
        <v>0</v>
      </c>
      <c r="H118" s="14" t="n">
        <v>27</v>
      </c>
      <c r="I118" s="14" t="n">
        <v>0</v>
      </c>
      <c r="J118" s="14" t="n">
        <v>65</v>
      </c>
      <c r="K118" s="14" t="n">
        <v>111</v>
      </c>
      <c r="L118" s="14" t="n">
        <v>111</v>
      </c>
      <c r="M118" s="21"/>
      <c r="N118" s="11"/>
      <c r="O118" s="23"/>
      <c r="P118" s="23"/>
      <c r="Q118" s="23"/>
      <c r="R118" s="23"/>
      <c r="S118" s="23"/>
      <c r="T118" s="23"/>
      <c r="U118" s="23"/>
      <c r="V118" s="23"/>
      <c r="W118" s="23"/>
      <c r="X118" s="23"/>
      <c r="Y118" s="23"/>
      <c r="Z118" s="23"/>
    </row>
    <row r="119" customFormat="false" ht="15.75" hidden="false" customHeight="true" outlineLevel="0" collapsed="false">
      <c r="A119" s="52" t="n">
        <v>46303</v>
      </c>
      <c r="B119" s="14" t="s">
        <v>416</v>
      </c>
      <c r="C119" s="14" t="str">
        <f aca="false" t="array" ref="C119:C119">IF(B119="","",IFERROR(INDEX('CLM &amp; IM Mapping'!$B$2:$B$270,MATCH(TRIM(B119),'CLM &amp; IM Mapping'!$A$2:$A$270,0)),"Not Mapped"))</f>
        <v>Girish N</v>
      </c>
      <c r="D119" s="14" t="str">
        <f aca="false" t="array" ref="D119:D119">IF(B119="","",IFERROR(INDEX('CLM &amp; IM Mapping'!$C$2:$C$270,MATCH(TRIM(B119),'CLM &amp; IM Mapping'!$A$2:$A$270,0)),"Not Mapped"))</f>
        <v>Un Mapped</v>
      </c>
      <c r="E119" s="14" t="n">
        <v>1</v>
      </c>
      <c r="F119" s="14" t="n">
        <v>35</v>
      </c>
      <c r="G119" s="14" t="n">
        <v>2</v>
      </c>
      <c r="H119" s="14" t="n">
        <v>21</v>
      </c>
      <c r="I119" s="14" t="n">
        <v>1</v>
      </c>
      <c r="J119" s="14" t="n">
        <v>50</v>
      </c>
      <c r="K119" s="14" t="n">
        <v>110</v>
      </c>
      <c r="L119" s="14" t="n">
        <v>108</v>
      </c>
      <c r="M119" s="21"/>
      <c r="N119" s="11"/>
      <c r="O119" s="23"/>
      <c r="P119" s="23"/>
      <c r="Q119" s="23"/>
      <c r="R119" s="23"/>
      <c r="S119" s="23"/>
      <c r="T119" s="23"/>
      <c r="U119" s="23"/>
      <c r="V119" s="23"/>
      <c r="W119" s="23"/>
      <c r="X119" s="23"/>
      <c r="Y119" s="23"/>
      <c r="Z119" s="23"/>
    </row>
    <row r="120" customFormat="false" ht="15.75" hidden="false" customHeight="true" outlineLevel="0" collapsed="false">
      <c r="A120" s="52" t="n">
        <v>46303</v>
      </c>
      <c r="B120" s="14" t="s">
        <v>317</v>
      </c>
      <c r="C120" s="14" t="str">
        <f aca="false" t="array" ref="C120:C120">IF(B120="","",IFERROR(INDEX('CLM &amp; IM Mapping'!$B$2:$B$270,MATCH(TRIM(B120),'CLM &amp; IM Mapping'!$A$2:$A$270,0)),"Not Mapped"))</f>
        <v>Akshay P</v>
      </c>
      <c r="D120" s="14" t="str">
        <f aca="false" t="array" ref="D120:D120">IF(B120="","",IFERROR(INDEX('CLM &amp; IM Mapping'!$C$2:$C$270,MATCH(TRIM(B120),'CLM &amp; IM Mapping'!$A$2:$A$270,0)),"Not Mapped"))</f>
        <v>Srittam Dhal</v>
      </c>
      <c r="E120" s="14" t="n">
        <v>22</v>
      </c>
      <c r="F120" s="14" t="n">
        <v>46</v>
      </c>
      <c r="G120" s="14" t="n">
        <v>8</v>
      </c>
      <c r="H120" s="14" t="n">
        <v>25</v>
      </c>
      <c r="I120" s="14" t="n">
        <v>8</v>
      </c>
      <c r="J120" s="14" t="n">
        <v>0</v>
      </c>
      <c r="K120" s="14" t="n">
        <v>109</v>
      </c>
      <c r="L120" s="14" t="n">
        <v>98</v>
      </c>
      <c r="M120" s="21"/>
      <c r="N120" s="11"/>
      <c r="O120" s="23"/>
      <c r="P120" s="23"/>
      <c r="Q120" s="23"/>
      <c r="R120" s="23"/>
      <c r="S120" s="23"/>
      <c r="T120" s="23"/>
      <c r="U120" s="23"/>
      <c r="V120" s="23"/>
      <c r="W120" s="23"/>
      <c r="X120" s="23"/>
      <c r="Y120" s="23"/>
      <c r="Z120" s="23"/>
    </row>
    <row r="121" customFormat="false" ht="15.75" hidden="false" customHeight="true" outlineLevel="0" collapsed="false">
      <c r="A121" s="52" t="n">
        <v>46303</v>
      </c>
      <c r="B121" s="14" t="s">
        <v>287</v>
      </c>
      <c r="C121" s="14" t="str">
        <f aca="false" t="array" ref="C121:C121">IF(B121="","",IFERROR(INDEX('CLM &amp; IM Mapping'!$B$2:$B$270,MATCH(TRIM(B121),'CLM &amp; IM Mapping'!$A$2:$A$270,0)),"Not Mapped"))</f>
        <v>Sundaresh S</v>
      </c>
      <c r="D121" s="14" t="str">
        <f aca="false" t="array" ref="D121:D121">IF(B121="","",IFERROR(INDEX('CLM &amp; IM Mapping'!$C$2:$C$270,MATCH(TRIM(B121),'CLM &amp; IM Mapping'!$A$2:$A$270,0)),"Not Mapped"))</f>
        <v>Un Mapped</v>
      </c>
      <c r="E121" s="14" t="n">
        <v>0</v>
      </c>
      <c r="F121" s="14" t="n">
        <v>16</v>
      </c>
      <c r="G121" s="14" t="n">
        <v>1</v>
      </c>
      <c r="H121" s="14" t="n">
        <v>34</v>
      </c>
      <c r="I121" s="14" t="n">
        <v>26</v>
      </c>
      <c r="J121" s="14" t="n">
        <v>32</v>
      </c>
      <c r="K121" s="14" t="n">
        <v>109</v>
      </c>
      <c r="L121" s="14" t="n">
        <v>108</v>
      </c>
      <c r="M121" s="21"/>
      <c r="N121" s="11"/>
      <c r="O121" s="23"/>
      <c r="P121" s="23"/>
      <c r="Q121" s="23"/>
      <c r="R121" s="23"/>
      <c r="S121" s="23"/>
      <c r="T121" s="23"/>
      <c r="U121" s="23"/>
      <c r="V121" s="23"/>
      <c r="W121" s="23"/>
      <c r="X121" s="23"/>
      <c r="Y121" s="23"/>
      <c r="Z121" s="23"/>
    </row>
    <row r="122" customFormat="false" ht="15.75" hidden="false" customHeight="true" outlineLevel="0" collapsed="false">
      <c r="A122" s="52" t="n">
        <v>46303</v>
      </c>
      <c r="B122" s="14" t="s">
        <v>350</v>
      </c>
      <c r="C122" s="14" t="str">
        <f aca="false" t="array" ref="C122:C122">IF(B122="","",IFERROR(INDEX('CLM &amp; IM Mapping'!$B$2:$B$270,MATCH(TRIM(B122),'CLM &amp; IM Mapping'!$A$2:$A$270,0)),"Not Mapped"))</f>
        <v>Vishnu V</v>
      </c>
      <c r="D122" s="14" t="str">
        <f aca="false" t="array" ref="D122:D122">IF(B122="","",IFERROR(INDEX('CLM &amp; IM Mapping'!$C$2:$C$270,MATCH(TRIM(B122),'CLM &amp; IM Mapping'!$A$2:$A$270,0)),"Not Mapped"))</f>
        <v>Arivind S</v>
      </c>
      <c r="E122" s="14" t="n">
        <v>5</v>
      </c>
      <c r="F122" s="14" t="n">
        <v>63</v>
      </c>
      <c r="G122" s="14" t="n">
        <v>36</v>
      </c>
      <c r="H122" s="14" t="n">
        <v>1</v>
      </c>
      <c r="I122" s="14" t="n">
        <v>1</v>
      </c>
      <c r="J122" s="14" t="n">
        <v>2</v>
      </c>
      <c r="K122" s="14" t="n">
        <v>108</v>
      </c>
      <c r="L122" s="14" t="n">
        <v>74</v>
      </c>
      <c r="M122" s="21"/>
      <c r="N122" s="11"/>
      <c r="O122" s="23"/>
      <c r="P122" s="23"/>
      <c r="Q122" s="23"/>
      <c r="R122" s="23"/>
      <c r="S122" s="23"/>
      <c r="T122" s="23"/>
      <c r="U122" s="23"/>
      <c r="V122" s="23"/>
      <c r="W122" s="23"/>
      <c r="X122" s="23"/>
      <c r="Y122" s="23"/>
      <c r="Z122" s="23"/>
    </row>
    <row r="123" customFormat="false" ht="15.75" hidden="false" customHeight="true" outlineLevel="0" collapsed="false">
      <c r="A123" s="52" t="n">
        <v>46303</v>
      </c>
      <c r="B123" s="14" t="s">
        <v>195</v>
      </c>
      <c r="C123" s="14" t="str">
        <f aca="false" t="array" ref="C123:C123">IF(B123="","",IFERROR(INDEX('CLM &amp; IM Mapping'!$B$2:$B$270,MATCH(TRIM(B123),'CLM &amp; IM Mapping'!$A$2:$A$270,0)),"Not Mapped"))</f>
        <v>Adhavan Subramani</v>
      </c>
      <c r="D123" s="14" t="str">
        <f aca="false" t="array" ref="D123:D123">IF(B123="","",IFERROR(INDEX('CLM &amp; IM Mapping'!$C$2:$C$270,MATCH(TRIM(B123),'CLM &amp; IM Mapping'!$A$2:$A$270,0)),"Not Mapped"))</f>
        <v>Mohammed Akbar</v>
      </c>
      <c r="E123" s="14" t="n">
        <v>0</v>
      </c>
      <c r="F123" s="14" t="n">
        <v>1</v>
      </c>
      <c r="G123" s="14" t="n">
        <v>0</v>
      </c>
      <c r="H123" s="14" t="n">
        <v>40</v>
      </c>
      <c r="I123" s="14" t="n">
        <v>65</v>
      </c>
      <c r="J123" s="14" t="n">
        <v>0</v>
      </c>
      <c r="K123" s="14" t="n">
        <v>106</v>
      </c>
      <c r="L123" s="14" t="n">
        <v>106</v>
      </c>
      <c r="M123" s="21"/>
      <c r="N123" s="54" t="n">
        <v>0.604166666666667</v>
      </c>
      <c r="O123" s="23"/>
      <c r="P123" s="23"/>
      <c r="Q123" s="23"/>
      <c r="R123" s="23"/>
      <c r="S123" s="23"/>
      <c r="T123" s="23"/>
      <c r="U123" s="23"/>
      <c r="V123" s="23"/>
      <c r="W123" s="23"/>
      <c r="X123" s="23"/>
      <c r="Y123" s="23"/>
      <c r="Z123" s="23"/>
    </row>
    <row r="124" customFormat="false" ht="15.75" hidden="false" customHeight="true" outlineLevel="0" collapsed="false">
      <c r="A124" s="52" t="n">
        <v>46303</v>
      </c>
      <c r="B124" s="14" t="s">
        <v>41</v>
      </c>
      <c r="C124" s="14" t="str">
        <f aca="false" t="array" ref="C124:C124">IF(B124="","",IFERROR(INDEX('CLM &amp; IM Mapping'!$B$2:$B$270,MATCH(TRIM(B124),'CLM &amp; IM Mapping'!$A$2:$A$270,0)),"Not Mapped"))</f>
        <v>Rizwan Ahmed</v>
      </c>
      <c r="D124" s="14" t="str">
        <f aca="false" t="array" ref="D124:D124">IF(B124="","",IFERROR(INDEX('CLM &amp; IM Mapping'!$C$2:$C$270,MATCH(TRIM(B124),'CLM &amp; IM Mapping'!$A$2:$A$270,0)),"Not Mapped"))</f>
        <v>Un Mapped</v>
      </c>
      <c r="E124" s="14" t="n">
        <v>0</v>
      </c>
      <c r="F124" s="14" t="n">
        <v>15</v>
      </c>
      <c r="G124" s="14"/>
      <c r="H124" s="14" t="n">
        <v>11</v>
      </c>
      <c r="I124" s="14" t="n">
        <v>24</v>
      </c>
      <c r="J124" s="14" t="n">
        <v>53</v>
      </c>
      <c r="K124" s="14" t="n">
        <v>103</v>
      </c>
      <c r="L124" s="14" t="n">
        <v>84</v>
      </c>
      <c r="M124" s="21"/>
      <c r="N124" s="11"/>
      <c r="O124" s="23"/>
      <c r="P124" s="23"/>
      <c r="Q124" s="23"/>
      <c r="R124" s="23"/>
      <c r="S124" s="23"/>
      <c r="T124" s="23"/>
      <c r="U124" s="23"/>
      <c r="V124" s="23"/>
      <c r="W124" s="23"/>
      <c r="X124" s="23"/>
      <c r="Y124" s="23"/>
      <c r="Z124" s="23"/>
    </row>
    <row r="125" customFormat="false" ht="15.75" hidden="false" customHeight="true" outlineLevel="0" collapsed="false">
      <c r="A125" s="52" t="n">
        <v>46303</v>
      </c>
      <c r="B125" s="14" t="s">
        <v>200</v>
      </c>
      <c r="C125" s="14" t="str">
        <f aca="false" t="array" ref="C125:C125">IF(B125="","",IFERROR(INDEX('CLM &amp; IM Mapping'!$B$2:$B$270,MATCH(TRIM(B125),'CLM &amp; IM Mapping'!$A$2:$A$270,0)),"Not Mapped"))</f>
        <v>Adhavan Subramani</v>
      </c>
      <c r="D125" s="14" t="str">
        <f aca="false" t="array" ref="D125:D125">IF(B125="","",IFERROR(INDEX('CLM &amp; IM Mapping'!$C$2:$C$270,MATCH(TRIM(B125),'CLM &amp; IM Mapping'!$A$2:$A$270,0)),"Not Mapped"))</f>
        <v>Mohammed Akbar</v>
      </c>
      <c r="E125" s="14" t="n">
        <v>0</v>
      </c>
      <c r="F125" s="14" t="n">
        <v>0</v>
      </c>
      <c r="G125" s="14" t="n">
        <v>0</v>
      </c>
      <c r="H125" s="14" t="n">
        <v>42</v>
      </c>
      <c r="I125" s="14" t="n">
        <v>1</v>
      </c>
      <c r="J125" s="14" t="n">
        <v>60</v>
      </c>
      <c r="K125" s="14" t="n">
        <v>103</v>
      </c>
      <c r="L125" s="14" t="n">
        <v>96</v>
      </c>
      <c r="M125" s="21"/>
      <c r="N125" s="54" t="n">
        <v>0.604166666666667</v>
      </c>
      <c r="O125" s="23"/>
      <c r="P125" s="23"/>
      <c r="Q125" s="23"/>
      <c r="R125" s="23"/>
      <c r="S125" s="23"/>
      <c r="T125" s="23"/>
      <c r="U125" s="23"/>
      <c r="V125" s="23"/>
      <c r="W125" s="23"/>
      <c r="X125" s="23"/>
      <c r="Y125" s="23"/>
      <c r="Z125" s="23"/>
    </row>
    <row r="126" customFormat="false" ht="15.75" hidden="false" customHeight="true" outlineLevel="0" collapsed="false">
      <c r="A126" s="52" t="n">
        <v>46303</v>
      </c>
      <c r="B126" s="14" t="s">
        <v>311</v>
      </c>
      <c r="C126" s="14" t="str">
        <f aca="false" t="array" ref="C126:C126">IF(B126="","",IFERROR(INDEX('CLM &amp; IM Mapping'!$B$2:$B$270,MATCH(TRIM(B126),'CLM &amp; IM Mapping'!$A$2:$A$270,0)),"Not Mapped"))</f>
        <v>Manjunatha V</v>
      </c>
      <c r="D126" s="14" t="str">
        <f aca="false" t="array" ref="D126:D126">IF(B126="","",IFERROR(INDEX('CLM &amp; IM Mapping'!$C$2:$C$270,MATCH(TRIM(B126),'CLM &amp; IM Mapping'!$A$2:$A$270,0)),"Not Mapped"))</f>
        <v>Un Mapped</v>
      </c>
      <c r="E126" s="14" t="n">
        <v>28</v>
      </c>
      <c r="F126" s="14" t="n">
        <v>39</v>
      </c>
      <c r="G126" s="14" t="n">
        <v>2</v>
      </c>
      <c r="H126" s="14" t="n">
        <v>8</v>
      </c>
      <c r="I126" s="14" t="n">
        <v>10</v>
      </c>
      <c r="J126" s="14" t="n">
        <v>12</v>
      </c>
      <c r="K126" s="14" t="n">
        <v>99</v>
      </c>
      <c r="L126" s="14" t="n">
        <v>77</v>
      </c>
      <c r="M126" s="21"/>
      <c r="N126" s="11"/>
      <c r="O126" s="23"/>
      <c r="P126" s="23"/>
      <c r="Q126" s="23"/>
      <c r="R126" s="23"/>
      <c r="S126" s="23"/>
      <c r="T126" s="23"/>
      <c r="U126" s="23"/>
      <c r="V126" s="23"/>
      <c r="W126" s="23"/>
      <c r="X126" s="23"/>
      <c r="Y126" s="23"/>
      <c r="Z126" s="23"/>
    </row>
    <row r="127" customFormat="false" ht="15.75" hidden="false" customHeight="true" outlineLevel="0" collapsed="false">
      <c r="A127" s="52" t="n">
        <v>46303</v>
      </c>
      <c r="B127" s="14" t="s">
        <v>441</v>
      </c>
      <c r="C127" s="14" t="str">
        <f aca="false" t="array" ref="C127:C127">IF(B127="","",IFERROR(INDEX('CLM &amp; IM Mapping'!$B$2:$B$270,MATCH(TRIM(B127),'CLM &amp; IM Mapping'!$A$2:$A$270,0)),"Not Mapped"))</f>
        <v>Vijay M</v>
      </c>
      <c r="D127" s="14" t="str">
        <f aca="false" t="array" ref="D127:D127">IF(B127="","",IFERROR(INDEX('CLM &amp; IM Mapping'!$C$2:$C$270,MATCH(TRIM(B127),'CLM &amp; IM Mapping'!$A$2:$A$270,0)),"Not Mapped"))</f>
        <v>Kantha Kumar</v>
      </c>
      <c r="E127" s="14" t="n">
        <v>0</v>
      </c>
      <c r="F127" s="14" t="n">
        <v>11</v>
      </c>
      <c r="G127" s="14" t="n">
        <v>0</v>
      </c>
      <c r="H127" s="14" t="n">
        <v>43</v>
      </c>
      <c r="I127" s="14" t="n">
        <v>27</v>
      </c>
      <c r="J127" s="14" t="n">
        <v>18</v>
      </c>
      <c r="K127" s="14" t="n">
        <v>99</v>
      </c>
      <c r="L127" s="14" t="n">
        <v>99</v>
      </c>
      <c r="M127" s="21"/>
      <c r="N127" s="11"/>
      <c r="O127" s="23"/>
      <c r="P127" s="23"/>
      <c r="Q127" s="23"/>
      <c r="R127" s="23"/>
      <c r="S127" s="23"/>
      <c r="T127" s="23"/>
      <c r="U127" s="23"/>
      <c r="V127" s="23"/>
      <c r="W127" s="23"/>
      <c r="X127" s="23"/>
      <c r="Y127" s="23"/>
      <c r="Z127" s="23"/>
    </row>
    <row r="128" customFormat="false" ht="15.75" hidden="false" customHeight="true" outlineLevel="0" collapsed="false">
      <c r="A128" s="52" t="n">
        <v>46303</v>
      </c>
      <c r="B128" s="14" t="s">
        <v>94</v>
      </c>
      <c r="C128" s="14" t="str">
        <f aca="false" t="array" ref="C128:C128">IF(B128="","",IFERROR(INDEX('CLM &amp; IM Mapping'!$B$2:$B$270,MATCH(TRIM(B128),'CLM &amp; IM Mapping'!$A$2:$A$270,0)),"Not Mapped"))</f>
        <v>Ashwath S</v>
      </c>
      <c r="D128" s="14" t="str">
        <f aca="false" t="array" ref="D128:D128">IF(B128="","",IFERROR(INDEX('CLM &amp; IM Mapping'!$C$2:$C$270,MATCH(TRIM(B128),'CLM &amp; IM Mapping'!$A$2:$A$270,0)),"Not Mapped"))</f>
        <v>Kantha Kumar</v>
      </c>
      <c r="E128" s="14" t="n">
        <v>2</v>
      </c>
      <c r="F128" s="14" t="n">
        <v>29</v>
      </c>
      <c r="G128" s="14" t="n">
        <v>11</v>
      </c>
      <c r="H128" s="14" t="n">
        <v>19</v>
      </c>
      <c r="I128" s="14" t="n">
        <v>15</v>
      </c>
      <c r="J128" s="14" t="n">
        <v>20</v>
      </c>
      <c r="K128" s="14" t="n">
        <v>96</v>
      </c>
      <c r="L128" s="14" t="n">
        <v>95</v>
      </c>
      <c r="M128" s="21"/>
      <c r="N128" s="11"/>
      <c r="O128" s="23"/>
      <c r="P128" s="23"/>
      <c r="Q128" s="23"/>
      <c r="R128" s="23"/>
      <c r="S128" s="23"/>
      <c r="T128" s="23"/>
      <c r="U128" s="23"/>
      <c r="V128" s="23"/>
      <c r="W128" s="23"/>
      <c r="X128" s="23"/>
      <c r="Y128" s="23"/>
      <c r="Z128" s="23"/>
    </row>
    <row r="129" customFormat="false" ht="15.75" hidden="false" customHeight="true" outlineLevel="0" collapsed="false">
      <c r="A129" s="52" t="n">
        <v>46303</v>
      </c>
      <c r="B129" s="14" t="s">
        <v>111</v>
      </c>
      <c r="C129" s="14" t="str">
        <f aca="false" t="array" ref="C129:C129">IF(B129="","",IFERROR(INDEX('CLM &amp; IM Mapping'!$B$2:$B$270,MATCH(TRIM(B129),'CLM &amp; IM Mapping'!$A$2:$A$270,0)),"Not Mapped"))</f>
        <v>Narasimhamurthy R</v>
      </c>
      <c r="D129" s="14" t="str">
        <f aca="false" t="array" ref="D129:D129">IF(B129="","",IFERROR(INDEX('CLM &amp; IM Mapping'!$C$2:$C$270,MATCH(TRIM(B129),'CLM &amp; IM Mapping'!$A$2:$A$270,0)),"Not Mapped"))</f>
        <v>Kishor K</v>
      </c>
      <c r="E129" s="14" t="n">
        <v>11</v>
      </c>
      <c r="F129" s="14" t="n">
        <v>0</v>
      </c>
      <c r="G129" s="14" t="n">
        <v>0</v>
      </c>
      <c r="H129" s="14" t="n">
        <v>46</v>
      </c>
      <c r="I129" s="14" t="n">
        <v>29</v>
      </c>
      <c r="J129" s="14" t="n">
        <v>9</v>
      </c>
      <c r="K129" s="14" t="n">
        <v>95</v>
      </c>
      <c r="L129" s="14" t="n">
        <v>93</v>
      </c>
      <c r="M129" s="12" t="s">
        <v>828</v>
      </c>
      <c r="N129" s="54" t="n">
        <v>0.666666666666667</v>
      </c>
      <c r="O129" s="23"/>
      <c r="P129" s="23"/>
      <c r="Q129" s="23"/>
      <c r="R129" s="23"/>
      <c r="S129" s="23"/>
      <c r="T129" s="23"/>
      <c r="U129" s="23"/>
      <c r="V129" s="23"/>
      <c r="W129" s="23"/>
      <c r="X129" s="23"/>
      <c r="Y129" s="23"/>
      <c r="Z129" s="23"/>
    </row>
    <row r="130" customFormat="false" ht="15.75" hidden="false" customHeight="true" outlineLevel="0" collapsed="false">
      <c r="A130" s="52" t="n">
        <v>46303</v>
      </c>
      <c r="B130" s="14" t="s">
        <v>455</v>
      </c>
      <c r="C130" s="14" t="str">
        <f aca="false" t="array" ref="C130:C130">IF(B130="","",IFERROR(INDEX('CLM &amp; IM Mapping'!$B$2:$B$270,MATCH(TRIM(B130),'CLM &amp; IM Mapping'!$A$2:$A$270,0)),"Not Mapped"))</f>
        <v>Rizwan Ahmed</v>
      </c>
      <c r="D130" s="14" t="str">
        <f aca="false" t="array" ref="D130:D130">IF(B130="","",IFERROR(INDEX('CLM &amp; IM Mapping'!$C$2:$C$270,MATCH(TRIM(B130),'CLM &amp; IM Mapping'!$A$2:$A$270,0)),"Not Mapped"))</f>
        <v>Un Mapped</v>
      </c>
      <c r="E130" s="14" t="n">
        <v>4</v>
      </c>
      <c r="F130" s="14" t="n">
        <v>26</v>
      </c>
      <c r="G130" s="14" t="n">
        <v>0</v>
      </c>
      <c r="H130" s="14" t="n">
        <v>52</v>
      </c>
      <c r="I130" s="14" t="n">
        <v>6</v>
      </c>
      <c r="J130" s="14" t="n">
        <v>7</v>
      </c>
      <c r="K130" s="14" t="n">
        <v>95</v>
      </c>
      <c r="L130" s="14" t="n">
        <v>83</v>
      </c>
      <c r="M130" s="21"/>
      <c r="N130" s="11"/>
      <c r="O130" s="23"/>
      <c r="P130" s="23"/>
      <c r="Q130" s="23"/>
      <c r="R130" s="23"/>
      <c r="S130" s="23"/>
      <c r="T130" s="23"/>
      <c r="U130" s="23"/>
      <c r="V130" s="23"/>
      <c r="W130" s="23"/>
      <c r="X130" s="23"/>
      <c r="Y130" s="23"/>
      <c r="Z130" s="23"/>
    </row>
    <row r="131" customFormat="false" ht="15.75" hidden="false" customHeight="true" outlineLevel="0" collapsed="false">
      <c r="A131" s="52" t="n">
        <v>46303</v>
      </c>
      <c r="B131" s="14" t="s">
        <v>293</v>
      </c>
      <c r="C131" s="14" t="str">
        <f aca="false" t="array" ref="C131:C131">IF(B131="","",IFERROR(INDEX('CLM &amp; IM Mapping'!$B$2:$B$270,MATCH(TRIM(B131),'CLM &amp; IM Mapping'!$A$2:$A$270,0)),"Not Mapped"))</f>
        <v>Suhas N</v>
      </c>
      <c r="D131" s="14" t="str">
        <f aca="false" t="array" ref="D131:D131">IF(B131="","",IFERROR(INDEX('CLM &amp; IM Mapping'!$C$2:$C$270,MATCH(TRIM(B131),'CLM &amp; IM Mapping'!$A$2:$A$270,0)),"Not Mapped"))</f>
        <v>Aravind S</v>
      </c>
      <c r="E131" s="14" t="n">
        <v>0</v>
      </c>
      <c r="F131" s="14" t="n">
        <v>77</v>
      </c>
      <c r="G131" s="14" t="n">
        <v>0</v>
      </c>
      <c r="H131" s="14" t="n">
        <v>12</v>
      </c>
      <c r="I131" s="14" t="n">
        <v>6</v>
      </c>
      <c r="J131" s="14" t="n">
        <v>0</v>
      </c>
      <c r="K131" s="14" t="n">
        <v>95</v>
      </c>
      <c r="L131" s="14" t="n">
        <v>95</v>
      </c>
      <c r="M131" s="12" t="s">
        <v>818</v>
      </c>
      <c r="N131" s="12" t="s">
        <v>818</v>
      </c>
      <c r="O131" s="23"/>
      <c r="P131" s="23"/>
      <c r="Q131" s="23"/>
      <c r="R131" s="23"/>
      <c r="S131" s="23"/>
      <c r="T131" s="23"/>
      <c r="U131" s="23"/>
      <c r="V131" s="23"/>
      <c r="W131" s="23"/>
      <c r="X131" s="23"/>
      <c r="Y131" s="23"/>
      <c r="Z131" s="23"/>
    </row>
    <row r="132" customFormat="false" ht="15.75" hidden="false" customHeight="true" outlineLevel="0" collapsed="false">
      <c r="A132" s="52" t="n">
        <v>46303</v>
      </c>
      <c r="B132" s="14" t="s">
        <v>73</v>
      </c>
      <c r="C132" s="14" t="str">
        <f aca="false" t="array" ref="C132:C132">IF(B132="","",IFERROR(INDEX('CLM &amp; IM Mapping'!$B$2:$B$270,MATCH(TRIM(B132),'CLM &amp; IM Mapping'!$A$2:$A$270,0)),"Not Mapped"))</f>
        <v>Narasimhamurthy R</v>
      </c>
      <c r="D132" s="14" t="str">
        <f aca="false" t="array" ref="D132:D132">IF(B132="","",IFERROR(INDEX('CLM &amp; IM Mapping'!$C$2:$C$270,MATCH(TRIM(B132),'CLM &amp; IM Mapping'!$A$2:$A$270,0)),"Not Mapped"))</f>
        <v>Kishor K</v>
      </c>
      <c r="E132" s="14" t="n">
        <v>21</v>
      </c>
      <c r="F132" s="14" t="n">
        <v>14</v>
      </c>
      <c r="G132" s="14" t="n">
        <v>8</v>
      </c>
      <c r="H132" s="14" t="n">
        <v>3</v>
      </c>
      <c r="I132" s="14" t="n">
        <v>10</v>
      </c>
      <c r="J132" s="14" t="n">
        <v>39</v>
      </c>
      <c r="K132" s="14" t="n">
        <v>95</v>
      </c>
      <c r="L132" s="14" t="n">
        <v>95</v>
      </c>
      <c r="M132" s="12" t="s">
        <v>828</v>
      </c>
      <c r="N132" s="54" t="n">
        <v>0.666666666666667</v>
      </c>
      <c r="O132" s="23"/>
      <c r="P132" s="23"/>
      <c r="Q132" s="23"/>
      <c r="R132" s="23"/>
      <c r="S132" s="23"/>
      <c r="T132" s="23"/>
      <c r="U132" s="23"/>
      <c r="V132" s="23"/>
      <c r="W132" s="23"/>
      <c r="X132" s="23"/>
      <c r="Y132" s="23"/>
      <c r="Z132" s="23"/>
    </row>
    <row r="133" customFormat="false" ht="15.75" hidden="false" customHeight="true" outlineLevel="0" collapsed="false">
      <c r="A133" s="52" t="n">
        <v>46303</v>
      </c>
      <c r="B133" s="14" t="s">
        <v>267</v>
      </c>
      <c r="C133" s="14" t="str">
        <f aca="false" t="array" ref="C133:C133">IF(B133="","",IFERROR(INDEX('CLM &amp; IM Mapping'!$B$2:$B$270,MATCH(TRIM(B133),'CLM &amp; IM Mapping'!$A$2:$A$270,0)),"Not Mapped"))</f>
        <v>Balaji G</v>
      </c>
      <c r="D133" s="14" t="str">
        <f aca="false" t="array" ref="D133:D133">IF(B133="","",IFERROR(INDEX('CLM &amp; IM Mapping'!$C$2:$C$270,MATCH(TRIM(B133),'CLM &amp; IM Mapping'!$A$2:$A$270,0)),"Not Mapped"))</f>
        <v>Mohammed Akbar</v>
      </c>
      <c r="E133" s="14" t="n">
        <v>0</v>
      </c>
      <c r="F133" s="14" t="n">
        <v>0</v>
      </c>
      <c r="G133" s="14" t="n">
        <v>0</v>
      </c>
      <c r="H133" s="14" t="n">
        <v>19</v>
      </c>
      <c r="I133" s="14" t="n">
        <v>13</v>
      </c>
      <c r="J133" s="14" t="n">
        <v>62</v>
      </c>
      <c r="K133" s="14" t="n">
        <v>94</v>
      </c>
      <c r="L133" s="14" t="n">
        <v>90</v>
      </c>
      <c r="M133" s="12" t="s">
        <v>818</v>
      </c>
      <c r="N133" s="11"/>
      <c r="O133" s="23"/>
      <c r="P133" s="23"/>
      <c r="Q133" s="23"/>
      <c r="R133" s="23"/>
      <c r="S133" s="23"/>
      <c r="T133" s="23"/>
      <c r="U133" s="23"/>
      <c r="V133" s="23"/>
      <c r="W133" s="23"/>
      <c r="X133" s="23"/>
      <c r="Y133" s="23"/>
      <c r="Z133" s="23"/>
    </row>
    <row r="134" customFormat="false" ht="15.75" hidden="false" customHeight="true" outlineLevel="0" collapsed="false">
      <c r="A134" s="52" t="n">
        <v>46303</v>
      </c>
      <c r="B134" s="14" t="s">
        <v>132</v>
      </c>
      <c r="C134" s="14" t="str">
        <f aca="false" t="array" ref="C134:C134">IF(B134="","",IFERROR(INDEX('CLM &amp; IM Mapping'!$B$2:$B$270,MATCH(TRIM(B134),'CLM &amp; IM Mapping'!$A$2:$A$270,0)),"Not Mapped"))</f>
        <v>Saddam Hussain</v>
      </c>
      <c r="D134" s="14" t="str">
        <f aca="false" t="array" ref="D134:D134">IF(B134="","",IFERROR(INDEX('CLM &amp; IM Mapping'!$C$2:$C$270,MATCH(TRIM(B134),'CLM &amp; IM Mapping'!$A$2:$A$270,0)),"Not Mapped"))</f>
        <v>Un Mapped</v>
      </c>
      <c r="E134" s="14" t="n">
        <v>5</v>
      </c>
      <c r="F134" s="14" t="n">
        <v>19</v>
      </c>
      <c r="G134" s="14" t="n">
        <v>47</v>
      </c>
      <c r="H134" s="14" t="n">
        <v>8</v>
      </c>
      <c r="I134" s="14" t="n">
        <v>14</v>
      </c>
      <c r="J134" s="14" t="n">
        <v>1</v>
      </c>
      <c r="K134" s="14" t="n">
        <v>94</v>
      </c>
      <c r="L134" s="14" t="n">
        <v>93</v>
      </c>
      <c r="M134" s="21"/>
      <c r="N134" s="11"/>
      <c r="O134" s="23"/>
      <c r="P134" s="23"/>
      <c r="Q134" s="23"/>
      <c r="R134" s="23"/>
      <c r="S134" s="23"/>
      <c r="T134" s="23"/>
      <c r="U134" s="23"/>
      <c r="V134" s="23"/>
      <c r="W134" s="23"/>
      <c r="X134" s="23"/>
      <c r="Y134" s="23"/>
      <c r="Z134" s="23"/>
    </row>
    <row r="135" customFormat="false" ht="15.75" hidden="false" customHeight="true" outlineLevel="0" collapsed="false">
      <c r="A135" s="52" t="n">
        <v>46303</v>
      </c>
      <c r="B135" s="14" t="s">
        <v>250</v>
      </c>
      <c r="C135" s="14" t="str">
        <f aca="false" t="array" ref="C135:C135">IF(B135="","",IFERROR(INDEX('CLM &amp; IM Mapping'!$B$2:$B$270,MATCH(TRIM(B135),'CLM &amp; IM Mapping'!$A$2:$A$270,0)),"Not Mapped"))</f>
        <v>Akshay P</v>
      </c>
      <c r="D135" s="14" t="str">
        <f aca="false" t="array" ref="D135:D135">IF(B135="","",IFERROR(INDEX('CLM &amp; IM Mapping'!$C$2:$C$270,MATCH(TRIM(B135),'CLM &amp; IM Mapping'!$A$2:$A$270,0)),"Not Mapped"))</f>
        <v>Srittam Dhal</v>
      </c>
      <c r="E135" s="14" t="n">
        <v>0</v>
      </c>
      <c r="F135" s="14" t="n">
        <v>7</v>
      </c>
      <c r="G135" s="14" t="n">
        <v>0</v>
      </c>
      <c r="H135" s="14" t="n">
        <v>22</v>
      </c>
      <c r="I135" s="14" t="n">
        <v>29</v>
      </c>
      <c r="J135" s="14" t="n">
        <v>35</v>
      </c>
      <c r="K135" s="14" t="n">
        <v>93</v>
      </c>
      <c r="L135" s="14" t="n">
        <v>93</v>
      </c>
      <c r="M135" s="21"/>
      <c r="N135" s="11"/>
      <c r="O135" s="23"/>
      <c r="P135" s="23"/>
      <c r="Q135" s="23"/>
      <c r="R135" s="23"/>
      <c r="S135" s="23"/>
      <c r="T135" s="23"/>
      <c r="U135" s="23"/>
      <c r="V135" s="23"/>
      <c r="W135" s="23"/>
      <c r="X135" s="23"/>
      <c r="Y135" s="23"/>
      <c r="Z135" s="23"/>
    </row>
    <row r="136" customFormat="false" ht="15.75" hidden="false" customHeight="true" outlineLevel="0" collapsed="false">
      <c r="A136" s="52" t="n">
        <v>46303</v>
      </c>
      <c r="B136" s="14" t="s">
        <v>526</v>
      </c>
      <c r="C136" s="14" t="str">
        <f aca="false" t="array" ref="C136:C136">IF(B136="","",IFERROR(INDEX('CLM &amp; IM Mapping'!$B$2:$B$270,MATCH(TRIM(B136),'CLM &amp; IM Mapping'!$A$2:$A$270,0)),"Not Mapped"))</f>
        <v>Sundaresh S</v>
      </c>
      <c r="D136" s="14" t="str">
        <f aca="false" t="array" ref="D136:D136">IF(B136="","",IFERROR(INDEX('CLM &amp; IM Mapping'!$C$2:$C$270,MATCH(TRIM(B136),'CLM &amp; IM Mapping'!$A$2:$A$270,0)),"Not Mapped"))</f>
        <v>Un Mapped</v>
      </c>
      <c r="E136" s="14" t="n">
        <v>48</v>
      </c>
      <c r="F136" s="14" t="n">
        <v>18</v>
      </c>
      <c r="G136" s="14" t="n">
        <v>0</v>
      </c>
      <c r="H136" s="14" t="n">
        <v>1</v>
      </c>
      <c r="I136" s="14" t="n">
        <v>0</v>
      </c>
      <c r="J136" s="14" t="n">
        <v>24</v>
      </c>
      <c r="K136" s="14" t="n">
        <v>91</v>
      </c>
      <c r="L136" s="14" t="n">
        <v>91</v>
      </c>
      <c r="M136" s="21"/>
      <c r="N136" s="11"/>
      <c r="O136" s="23"/>
      <c r="P136" s="23"/>
      <c r="Q136" s="23"/>
      <c r="R136" s="23"/>
      <c r="S136" s="23"/>
      <c r="T136" s="23"/>
      <c r="U136" s="23"/>
      <c r="V136" s="23"/>
      <c r="W136" s="23"/>
      <c r="X136" s="23"/>
      <c r="Y136" s="23"/>
      <c r="Z136" s="23"/>
    </row>
    <row r="137" customFormat="false" ht="15.75" hidden="false" customHeight="true" outlineLevel="0" collapsed="false">
      <c r="A137" s="52" t="n">
        <v>46303</v>
      </c>
      <c r="B137" s="14" t="s">
        <v>294</v>
      </c>
      <c r="C137" s="14" t="str">
        <f aca="false" t="array" ref="C137:C137">IF(B137="","",IFERROR(INDEX('CLM &amp; IM Mapping'!$B$2:$B$270,MATCH(TRIM(B137),'CLM &amp; IM Mapping'!$A$2:$A$270,0)),"Not Mapped"))</f>
        <v>Manoj Kj</v>
      </c>
      <c r="D137" s="14" t="str">
        <f aca="false" t="array" ref="D137:D137">IF(B137="","",IFERROR(INDEX('CLM &amp; IM Mapping'!$C$2:$C$270,MATCH(TRIM(B137),'CLM &amp; IM Mapping'!$A$2:$A$270,0)),"Not Mapped"))</f>
        <v>Srittam Dhal</v>
      </c>
      <c r="E137" s="14" t="n">
        <v>16</v>
      </c>
      <c r="F137" s="14" t="n">
        <v>4</v>
      </c>
      <c r="G137" s="14" t="n">
        <v>4</v>
      </c>
      <c r="H137" s="14" t="n">
        <v>21</v>
      </c>
      <c r="I137" s="14" t="n">
        <v>6</v>
      </c>
      <c r="J137" s="14" t="n">
        <v>39</v>
      </c>
      <c r="K137" s="14" t="n">
        <v>90</v>
      </c>
      <c r="L137" s="14" t="n">
        <v>90</v>
      </c>
      <c r="M137" s="21"/>
      <c r="N137" s="11"/>
      <c r="O137" s="23"/>
      <c r="P137" s="23"/>
      <c r="Q137" s="23"/>
      <c r="R137" s="23"/>
      <c r="S137" s="23"/>
      <c r="T137" s="23"/>
      <c r="U137" s="23"/>
      <c r="V137" s="23"/>
      <c r="W137" s="23"/>
      <c r="X137" s="23"/>
      <c r="Y137" s="23"/>
      <c r="Z137" s="23"/>
    </row>
    <row r="138" customFormat="false" ht="15.75" hidden="false" customHeight="true" outlineLevel="0" collapsed="false">
      <c r="A138" s="52" t="n">
        <v>46303</v>
      </c>
      <c r="B138" s="14" t="s">
        <v>484</v>
      </c>
      <c r="C138" s="14" t="str">
        <f aca="false" t="array" ref="C138:C138">IF(B138="","",IFERROR(INDEX('CLM &amp; IM Mapping'!$B$2:$B$270,MATCH(TRIM(B138),'CLM &amp; IM Mapping'!$A$2:$A$270,0)),"Not Mapped"))</f>
        <v>Raghavendra Vernekar</v>
      </c>
      <c r="D138" s="14" t="str">
        <f aca="false" t="array" ref="D138:D138">IF(B138="","",IFERROR(INDEX('CLM &amp; IM Mapping'!$C$2:$C$270,MATCH(TRIM(B138),'CLM &amp; IM Mapping'!$A$2:$A$270,0)),"Not Mapped"))</f>
        <v>Prakash BS</v>
      </c>
      <c r="E138" s="14" t="n">
        <v>3</v>
      </c>
      <c r="F138" s="14" t="n">
        <v>15</v>
      </c>
      <c r="G138" s="14" t="n">
        <v>0</v>
      </c>
      <c r="H138" s="14" t="n">
        <v>28</v>
      </c>
      <c r="I138" s="14" t="n">
        <v>14</v>
      </c>
      <c r="J138" s="14" t="n">
        <v>30</v>
      </c>
      <c r="K138" s="14" t="n">
        <v>90</v>
      </c>
      <c r="L138" s="14" t="n">
        <v>90</v>
      </c>
      <c r="M138" s="12" t="s">
        <v>834</v>
      </c>
      <c r="N138" s="11"/>
      <c r="O138" s="23"/>
      <c r="P138" s="23"/>
      <c r="Q138" s="23"/>
      <c r="R138" s="23"/>
      <c r="S138" s="23"/>
      <c r="T138" s="23"/>
      <c r="U138" s="23"/>
      <c r="V138" s="23"/>
      <c r="W138" s="23"/>
      <c r="X138" s="23"/>
      <c r="Y138" s="23"/>
      <c r="Z138" s="23"/>
    </row>
    <row r="139" customFormat="false" ht="15.75" hidden="false" customHeight="true" outlineLevel="0" collapsed="false">
      <c r="A139" s="52" t="n">
        <v>46303</v>
      </c>
      <c r="B139" s="14" t="s">
        <v>189</v>
      </c>
      <c r="C139" s="14" t="str">
        <f aca="false" t="array" ref="C139:C139">IF(B139="","",IFERROR(INDEX('CLM &amp; IM Mapping'!$B$2:$B$270,MATCH(TRIM(B139),'CLM &amp; IM Mapping'!$A$2:$A$270,0)),"Not Mapped"))</f>
        <v>Girish N</v>
      </c>
      <c r="D139" s="14" t="str">
        <f aca="false" t="array" ref="D139:D139">IF(B139="","",IFERROR(INDEX('CLM &amp; IM Mapping'!$C$2:$C$270,MATCH(TRIM(B139),'CLM &amp; IM Mapping'!$A$2:$A$270,0)),"Not Mapped"))</f>
        <v>Un Mapped</v>
      </c>
      <c r="E139" s="14" t="n">
        <v>0</v>
      </c>
      <c r="F139" s="14" t="n">
        <v>3</v>
      </c>
      <c r="G139" s="14" t="n">
        <v>0</v>
      </c>
      <c r="H139" s="14" t="n">
        <v>30</v>
      </c>
      <c r="I139" s="14" t="n">
        <v>1</v>
      </c>
      <c r="J139" s="14" t="n">
        <v>55</v>
      </c>
      <c r="K139" s="14" t="n">
        <v>89</v>
      </c>
      <c r="L139" s="14" t="n">
        <v>89</v>
      </c>
      <c r="M139" s="21"/>
      <c r="N139" s="11"/>
      <c r="O139" s="23"/>
      <c r="P139" s="23"/>
      <c r="Q139" s="23"/>
      <c r="R139" s="23"/>
      <c r="S139" s="23"/>
      <c r="T139" s="23"/>
      <c r="U139" s="23"/>
      <c r="V139" s="23"/>
      <c r="W139" s="23"/>
      <c r="X139" s="23"/>
      <c r="Y139" s="23"/>
      <c r="Z139" s="23"/>
    </row>
    <row r="140" customFormat="false" ht="15.75" hidden="false" customHeight="true" outlineLevel="0" collapsed="false">
      <c r="A140" s="52" t="n">
        <v>46303</v>
      </c>
      <c r="B140" s="14" t="s">
        <v>314</v>
      </c>
      <c r="C140" s="14" t="str">
        <f aca="false" t="array" ref="C140:C140">IF(B140="","",IFERROR(INDEX('CLM &amp; IM Mapping'!$B$2:$B$270,MATCH(TRIM(B140),'CLM &amp; IM Mapping'!$A$2:$A$270,0)),"Not Mapped"))</f>
        <v>Basil Scariya</v>
      </c>
      <c r="D140" s="14" t="str">
        <f aca="false" t="array" ref="D140:D140">IF(B140="","",IFERROR(INDEX('CLM &amp; IM Mapping'!$C$2:$C$270,MATCH(TRIM(B140),'CLM &amp; IM Mapping'!$A$2:$A$270,0)),"Not Mapped"))</f>
        <v>Prakash BS</v>
      </c>
      <c r="E140" s="14" t="n">
        <v>18</v>
      </c>
      <c r="F140" s="14" t="n">
        <v>5</v>
      </c>
      <c r="G140" s="14" t="n">
        <v>0</v>
      </c>
      <c r="H140" s="14" t="n">
        <v>26</v>
      </c>
      <c r="I140" s="14"/>
      <c r="J140" s="14" t="n">
        <v>38</v>
      </c>
      <c r="K140" s="14" t="n">
        <v>87</v>
      </c>
      <c r="L140" s="14" t="n">
        <v>80</v>
      </c>
      <c r="M140" s="12" t="s">
        <v>834</v>
      </c>
      <c r="N140" s="11"/>
      <c r="O140" s="23"/>
      <c r="P140" s="23"/>
      <c r="Q140" s="23"/>
      <c r="R140" s="23"/>
      <c r="S140" s="23"/>
      <c r="T140" s="23"/>
      <c r="U140" s="23"/>
      <c r="V140" s="23"/>
      <c r="W140" s="23"/>
      <c r="X140" s="23"/>
      <c r="Y140" s="23"/>
      <c r="Z140" s="23"/>
    </row>
    <row r="141" customFormat="false" ht="15.75" hidden="false" customHeight="true" outlineLevel="0" collapsed="false">
      <c r="A141" s="52" t="n">
        <v>46303</v>
      </c>
      <c r="B141" s="14" t="s">
        <v>327</v>
      </c>
      <c r="C141" s="14" t="str">
        <f aca="false" t="array" ref="C141:C141">IF(B141="","",IFERROR(INDEX('CLM &amp; IM Mapping'!$B$2:$B$270,MATCH(TRIM(B141),'CLM &amp; IM Mapping'!$A$2:$A$270,0)),"Not Mapped"))</f>
        <v>Suhas N</v>
      </c>
      <c r="D141" s="14" t="str">
        <f aca="false" t="array" ref="D141:D141">IF(B141="","",IFERROR(INDEX('CLM &amp; IM Mapping'!$C$2:$C$270,MATCH(TRIM(B141),'CLM &amp; IM Mapping'!$A$2:$A$270,0)),"Not Mapped"))</f>
        <v>Aravind S</v>
      </c>
      <c r="E141" s="14" t="n">
        <v>22</v>
      </c>
      <c r="F141" s="14" t="n">
        <v>25</v>
      </c>
      <c r="G141" s="14" t="n">
        <v>0</v>
      </c>
      <c r="H141" s="14" t="n">
        <v>29</v>
      </c>
      <c r="I141" s="14" t="n">
        <v>0</v>
      </c>
      <c r="J141" s="14" t="n">
        <v>10</v>
      </c>
      <c r="K141" s="14" t="n">
        <v>86</v>
      </c>
      <c r="L141" s="14" t="n">
        <v>64</v>
      </c>
      <c r="M141" s="12" t="s">
        <v>818</v>
      </c>
      <c r="N141" s="12" t="s">
        <v>818</v>
      </c>
      <c r="O141" s="23"/>
      <c r="P141" s="23"/>
      <c r="Q141" s="23"/>
      <c r="R141" s="23"/>
      <c r="S141" s="23"/>
      <c r="T141" s="23"/>
      <c r="U141" s="23"/>
      <c r="V141" s="23"/>
      <c r="W141" s="23"/>
      <c r="X141" s="23"/>
      <c r="Y141" s="23"/>
      <c r="Z141" s="23"/>
    </row>
    <row r="142" customFormat="false" ht="15.75" hidden="false" customHeight="true" outlineLevel="0" collapsed="false">
      <c r="A142" s="52" t="n">
        <v>46303</v>
      </c>
      <c r="B142" s="14" t="s">
        <v>319</v>
      </c>
      <c r="C142" s="14" t="str">
        <f aca="false" t="array" ref="C142:C142">IF(B142="","",IFERROR(INDEX('CLM &amp; IM Mapping'!$B$2:$B$270,MATCH(TRIM(B142),'CLM &amp; IM Mapping'!$A$2:$A$270,0)),"Not Mapped"))</f>
        <v>John Britto</v>
      </c>
      <c r="D142" s="14" t="str">
        <f aca="false" t="array" ref="D142:D142">IF(B142="","",IFERROR(INDEX('CLM &amp; IM Mapping'!$C$2:$C$270,MATCH(TRIM(B142),'CLM &amp; IM Mapping'!$A$2:$A$270,0)),"Not Mapped"))</f>
        <v>Aravind S</v>
      </c>
      <c r="E142" s="14" t="n">
        <v>0</v>
      </c>
      <c r="F142" s="14" t="n">
        <v>56</v>
      </c>
      <c r="G142" s="14" t="n">
        <v>0</v>
      </c>
      <c r="H142" s="14" t="n">
        <v>4</v>
      </c>
      <c r="I142" s="14" t="n">
        <v>24</v>
      </c>
      <c r="J142" s="14" t="n">
        <v>0</v>
      </c>
      <c r="K142" s="14" t="n">
        <v>84</v>
      </c>
      <c r="L142" s="14" t="n">
        <v>82</v>
      </c>
      <c r="M142" s="12" t="s">
        <v>819</v>
      </c>
      <c r="N142" s="11"/>
      <c r="O142" s="23"/>
      <c r="P142" s="23"/>
      <c r="Q142" s="23"/>
      <c r="R142" s="23"/>
      <c r="S142" s="23"/>
      <c r="T142" s="23"/>
      <c r="U142" s="23"/>
      <c r="V142" s="23"/>
      <c r="W142" s="23"/>
      <c r="X142" s="23"/>
      <c r="Y142" s="23"/>
      <c r="Z142" s="23"/>
    </row>
    <row r="143" customFormat="false" ht="15.75" hidden="false" customHeight="true" outlineLevel="0" collapsed="false">
      <c r="A143" s="52" t="n">
        <v>46303</v>
      </c>
      <c r="B143" s="14" t="s">
        <v>296</v>
      </c>
      <c r="C143" s="14" t="str">
        <f aca="false" t="array" ref="C143:C143">IF(B143="","",IFERROR(INDEX('CLM &amp; IM Mapping'!$B$2:$B$270,MATCH(TRIM(B143),'CLM &amp; IM Mapping'!$A$2:$A$270,0)),"Not Mapped"))</f>
        <v>Balaji G</v>
      </c>
      <c r="D143" s="14" t="str">
        <f aca="false" t="array" ref="D143:D143">IF(B143="","",IFERROR(INDEX('CLM &amp; IM Mapping'!$C$2:$C$270,MATCH(TRIM(B143),'CLM &amp; IM Mapping'!$A$2:$A$270,0)),"Not Mapped"))</f>
        <v>Mohammed Akbar</v>
      </c>
      <c r="E143" s="14" t="n">
        <v>0</v>
      </c>
      <c r="F143" s="14" t="n">
        <v>0</v>
      </c>
      <c r="G143" s="14" t="n">
        <v>0</v>
      </c>
      <c r="H143" s="14" t="n">
        <v>2</v>
      </c>
      <c r="I143" s="14" t="n">
        <v>30</v>
      </c>
      <c r="J143" s="14" t="n">
        <v>50</v>
      </c>
      <c r="K143" s="14" t="n">
        <v>82</v>
      </c>
      <c r="L143" s="14" t="n">
        <v>82</v>
      </c>
      <c r="M143" s="12" t="s">
        <v>818</v>
      </c>
      <c r="N143" s="11"/>
      <c r="O143" s="23"/>
      <c r="P143" s="23"/>
      <c r="Q143" s="23"/>
      <c r="R143" s="23"/>
      <c r="S143" s="23"/>
      <c r="T143" s="23"/>
      <c r="U143" s="23"/>
      <c r="V143" s="23"/>
      <c r="W143" s="23"/>
      <c r="X143" s="23"/>
      <c r="Y143" s="23"/>
      <c r="Z143" s="23"/>
    </row>
    <row r="144" customFormat="false" ht="15.75" hidden="false" customHeight="true" outlineLevel="0" collapsed="false">
      <c r="A144" s="52" t="n">
        <v>46303</v>
      </c>
      <c r="B144" s="14" t="s">
        <v>279</v>
      </c>
      <c r="C144" s="14" t="str">
        <f aca="false" t="array" ref="C144:C144">IF(B144="","",IFERROR(INDEX('CLM &amp; IM Mapping'!$B$2:$B$270,MATCH(TRIM(B144),'CLM &amp; IM Mapping'!$A$2:$A$270,0)),"Not Mapped"))</f>
        <v>Rizwan Ahmed</v>
      </c>
      <c r="D144" s="14" t="str">
        <f aca="false" t="array" ref="D144:D144">IF(B144="","",IFERROR(INDEX('CLM &amp; IM Mapping'!$C$2:$C$270,MATCH(TRIM(B144),'CLM &amp; IM Mapping'!$A$2:$A$270,0)),"Not Mapped"))</f>
        <v>Un Mapped</v>
      </c>
      <c r="E144" s="14" t="n">
        <v>15</v>
      </c>
      <c r="F144" s="14" t="n">
        <v>35</v>
      </c>
      <c r="G144" s="14" t="n">
        <v>19</v>
      </c>
      <c r="H144" s="14" t="n">
        <v>13</v>
      </c>
      <c r="I144" s="14" t="n">
        <v>0</v>
      </c>
      <c r="J144" s="14" t="n">
        <v>0</v>
      </c>
      <c r="K144" s="14" t="n">
        <v>82</v>
      </c>
      <c r="L144" s="14" t="n">
        <v>55</v>
      </c>
      <c r="M144" s="21"/>
      <c r="N144" s="11"/>
      <c r="O144" s="23"/>
      <c r="P144" s="23"/>
      <c r="Q144" s="23"/>
      <c r="R144" s="23"/>
      <c r="S144" s="23"/>
      <c r="T144" s="23"/>
      <c r="U144" s="23"/>
      <c r="V144" s="23"/>
      <c r="W144" s="23"/>
      <c r="X144" s="23"/>
      <c r="Y144" s="23"/>
      <c r="Z144" s="23"/>
    </row>
    <row r="145" customFormat="false" ht="15.75" hidden="false" customHeight="true" outlineLevel="0" collapsed="false">
      <c r="A145" s="52" t="n">
        <v>46303</v>
      </c>
      <c r="B145" s="14" t="s">
        <v>472</v>
      </c>
      <c r="C145" s="14" t="str">
        <f aca="false" t="array" ref="C145:C145">IF(B145="","",IFERROR(INDEX('CLM &amp; IM Mapping'!$B$2:$B$270,MATCH(TRIM(B145),'CLM &amp; IM Mapping'!$A$2:$A$270,0)),"Not Mapped"))</f>
        <v>Bangareppa CS</v>
      </c>
      <c r="D145" s="14" t="str">
        <f aca="false" t="array" ref="D145:D145">IF(B145="","",IFERROR(INDEX('CLM &amp; IM Mapping'!$C$2:$C$270,MATCH(TRIM(B145),'CLM &amp; IM Mapping'!$A$2:$A$270,0)),"Not Mapped"))</f>
        <v>Kishor K</v>
      </c>
      <c r="E145" s="14" t="n">
        <v>0</v>
      </c>
      <c r="F145" s="14" t="n">
        <v>14</v>
      </c>
      <c r="G145" s="14" t="n">
        <v>14</v>
      </c>
      <c r="H145" s="14" t="n">
        <v>10</v>
      </c>
      <c r="I145" s="14" t="n">
        <v>12</v>
      </c>
      <c r="J145" s="14" t="n">
        <v>31</v>
      </c>
      <c r="K145" s="14" t="n">
        <v>81</v>
      </c>
      <c r="L145" s="14" t="n">
        <v>80</v>
      </c>
      <c r="M145" s="12" t="s">
        <v>828</v>
      </c>
      <c r="N145" s="54" t="n">
        <v>0.666666666666667</v>
      </c>
      <c r="O145" s="23"/>
      <c r="P145" s="23"/>
      <c r="Q145" s="23"/>
      <c r="R145" s="23"/>
      <c r="S145" s="23"/>
      <c r="T145" s="23"/>
      <c r="U145" s="23"/>
      <c r="V145" s="23"/>
      <c r="W145" s="23"/>
      <c r="X145" s="23"/>
      <c r="Y145" s="23"/>
      <c r="Z145" s="23"/>
    </row>
    <row r="146" customFormat="false" ht="15.75" hidden="false" customHeight="true" outlineLevel="0" collapsed="false">
      <c r="A146" s="52" t="n">
        <v>46303</v>
      </c>
      <c r="B146" s="14" t="s">
        <v>68</v>
      </c>
      <c r="C146" s="14" t="str">
        <f aca="false" t="array" ref="C146:C146">IF(B146="","",IFERROR(INDEX('CLM &amp; IM Mapping'!$B$2:$B$270,MATCH(TRIM(B146),'CLM &amp; IM Mapping'!$A$2:$A$270,0)),"Not Mapped"))</f>
        <v>Girish N</v>
      </c>
      <c r="D146" s="14" t="str">
        <f aca="false" t="array" ref="D146:D146">IF(B146="","",IFERROR(INDEX('CLM &amp; IM Mapping'!$C$2:$C$270,MATCH(TRIM(B146),'CLM &amp; IM Mapping'!$A$2:$A$270,0)),"Not Mapped"))</f>
        <v>Un Mapped</v>
      </c>
      <c r="E146" s="14" t="n">
        <v>0</v>
      </c>
      <c r="F146" s="14" t="n">
        <v>7</v>
      </c>
      <c r="G146" s="14" t="n">
        <v>9</v>
      </c>
      <c r="H146" s="14" t="n">
        <v>50</v>
      </c>
      <c r="I146" s="14" t="n">
        <v>0</v>
      </c>
      <c r="J146" s="14" t="n">
        <v>14</v>
      </c>
      <c r="K146" s="14" t="n">
        <v>80</v>
      </c>
      <c r="L146" s="14" t="n">
        <v>80</v>
      </c>
      <c r="M146" s="21"/>
      <c r="N146" s="11"/>
      <c r="O146" s="23"/>
      <c r="P146" s="23"/>
      <c r="Q146" s="23"/>
      <c r="R146" s="23"/>
      <c r="S146" s="23"/>
      <c r="T146" s="23"/>
      <c r="U146" s="23"/>
      <c r="V146" s="23"/>
      <c r="W146" s="23"/>
      <c r="X146" s="23"/>
      <c r="Y146" s="23"/>
      <c r="Z146" s="23"/>
    </row>
    <row r="147" customFormat="false" ht="15.75" hidden="false" customHeight="true" outlineLevel="0" collapsed="false">
      <c r="A147" s="52" t="n">
        <v>46303</v>
      </c>
      <c r="B147" s="14" t="s">
        <v>407</v>
      </c>
      <c r="C147" s="14" t="str">
        <f aca="false" t="array" ref="C147:C147">IF(B147="","",IFERROR(INDEX('CLM &amp; IM Mapping'!$B$2:$B$270,MATCH(TRIM(B147),'CLM &amp; IM Mapping'!$A$2:$A$270,0)),"Not Mapped"))</f>
        <v>Rizwan Ahmed</v>
      </c>
      <c r="D147" s="14" t="str">
        <f aca="false" t="array" ref="D147:D147">IF(B147="","",IFERROR(INDEX('CLM &amp; IM Mapping'!$C$2:$C$270,MATCH(TRIM(B147),'CLM &amp; IM Mapping'!$A$2:$A$270,0)),"Not Mapped"))</f>
        <v>Un Mapped</v>
      </c>
      <c r="E147" s="14" t="n">
        <v>1</v>
      </c>
      <c r="F147" s="14" t="n">
        <v>3</v>
      </c>
      <c r="G147" s="14" t="n">
        <v>0</v>
      </c>
      <c r="H147" s="14" t="n">
        <v>9</v>
      </c>
      <c r="I147" s="14" t="n">
        <v>19</v>
      </c>
      <c r="J147" s="14" t="n">
        <v>48</v>
      </c>
      <c r="K147" s="14" t="n">
        <v>80</v>
      </c>
      <c r="L147" s="14" t="n">
        <v>79</v>
      </c>
      <c r="M147" s="21"/>
      <c r="N147" s="11"/>
      <c r="O147" s="23"/>
      <c r="P147" s="23"/>
      <c r="Q147" s="23"/>
      <c r="R147" s="23"/>
      <c r="S147" s="23"/>
      <c r="T147" s="23"/>
      <c r="U147" s="23"/>
      <c r="V147" s="23"/>
      <c r="W147" s="23"/>
      <c r="X147" s="23"/>
      <c r="Y147" s="23"/>
      <c r="Z147" s="23"/>
    </row>
    <row r="148" customFormat="false" ht="15.75" hidden="false" customHeight="true" outlineLevel="0" collapsed="false">
      <c r="A148" s="52" t="n">
        <v>46303</v>
      </c>
      <c r="B148" s="14" t="s">
        <v>312</v>
      </c>
      <c r="C148" s="14" t="str">
        <f aca="false" t="array" ref="C148:C148">IF(B148="","",IFERROR(INDEX('CLM &amp; IM Mapping'!$B$2:$B$270,MATCH(TRIM(B148),'CLM &amp; IM Mapping'!$A$2:$A$270,0)),"Not Mapped"))</f>
        <v>Manoj Kj</v>
      </c>
      <c r="D148" s="14" t="str">
        <f aca="false" t="array" ref="D148:D148">IF(B148="","",IFERROR(INDEX('CLM &amp; IM Mapping'!$C$2:$C$270,MATCH(TRIM(B148),'CLM &amp; IM Mapping'!$A$2:$A$270,0)),"Not Mapped"))</f>
        <v>Srittam Dhal</v>
      </c>
      <c r="E148" s="14" t="n">
        <v>0</v>
      </c>
      <c r="F148" s="14" t="n">
        <v>1</v>
      </c>
      <c r="G148" s="14" t="n">
        <v>0</v>
      </c>
      <c r="H148" s="14" t="n">
        <v>8</v>
      </c>
      <c r="I148" s="14" t="n">
        <v>17</v>
      </c>
      <c r="J148" s="14" t="n">
        <v>53</v>
      </c>
      <c r="K148" s="14" t="n">
        <v>79</v>
      </c>
      <c r="L148" s="14" t="n">
        <v>79</v>
      </c>
      <c r="M148" s="21"/>
      <c r="N148" s="11"/>
      <c r="O148" s="23"/>
      <c r="P148" s="23"/>
      <c r="Q148" s="23"/>
      <c r="R148" s="23"/>
      <c r="S148" s="23"/>
      <c r="T148" s="23"/>
      <c r="U148" s="23"/>
      <c r="V148" s="23"/>
      <c r="W148" s="23"/>
      <c r="X148" s="23"/>
      <c r="Y148" s="23"/>
      <c r="Z148" s="23"/>
    </row>
    <row r="149" customFormat="false" ht="15.75" hidden="false" customHeight="true" outlineLevel="0" collapsed="false">
      <c r="A149" s="52" t="n">
        <v>46303</v>
      </c>
      <c r="B149" s="14" t="s">
        <v>226</v>
      </c>
      <c r="C149" s="14" t="str">
        <f aca="false" t="array" ref="C149:C149">IF(B149="","",IFERROR(INDEX('CLM &amp; IM Mapping'!$B$2:$B$270,MATCH(TRIM(B149),'CLM &amp; IM Mapping'!$A$2:$A$270,0)),"Not Mapped"))</f>
        <v>Manoj Kj</v>
      </c>
      <c r="D149" s="14" t="str">
        <f aca="false" t="array" ref="D149:D149">IF(B149="","",IFERROR(INDEX('CLM &amp; IM Mapping'!$C$2:$C$270,MATCH(TRIM(B149),'CLM &amp; IM Mapping'!$A$2:$A$270,0)),"Not Mapped"))</f>
        <v>Srittam Dhal</v>
      </c>
      <c r="E149" s="14" t="n">
        <v>0</v>
      </c>
      <c r="F149" s="14" t="n">
        <v>1</v>
      </c>
      <c r="G149" s="14" t="n">
        <v>0</v>
      </c>
      <c r="H149" s="14" t="n">
        <v>24</v>
      </c>
      <c r="I149" s="14" t="n">
        <v>54</v>
      </c>
      <c r="J149" s="14" t="n">
        <v>0</v>
      </c>
      <c r="K149" s="14" t="n">
        <v>79</v>
      </c>
      <c r="L149" s="14"/>
      <c r="M149" s="21"/>
      <c r="N149" s="11"/>
      <c r="O149" s="23"/>
      <c r="P149" s="23"/>
      <c r="Q149" s="23"/>
      <c r="R149" s="23"/>
      <c r="S149" s="23"/>
      <c r="T149" s="23"/>
      <c r="U149" s="23"/>
      <c r="V149" s="23"/>
      <c r="W149" s="23"/>
      <c r="X149" s="23"/>
      <c r="Y149" s="23"/>
      <c r="Z149" s="23"/>
    </row>
    <row r="150" customFormat="false" ht="15.75" hidden="false" customHeight="true" outlineLevel="0" collapsed="false">
      <c r="A150" s="52" t="n">
        <v>46303</v>
      </c>
      <c r="B150" s="14" t="s">
        <v>468</v>
      </c>
      <c r="C150" s="14" t="str">
        <f aca="false" t="array" ref="C150:C150">IF(B150="","",IFERROR(INDEX('CLM &amp; IM Mapping'!$B$2:$B$270,MATCH(TRIM(B150),'CLM &amp; IM Mapping'!$A$2:$A$270,0)),"Not Mapped"))</f>
        <v>Suhas N</v>
      </c>
      <c r="D150" s="14" t="str">
        <f aca="false" t="array" ref="D150:D150">IF(B150="","",IFERROR(INDEX('CLM &amp; IM Mapping'!$C$2:$C$270,MATCH(TRIM(B150),'CLM &amp; IM Mapping'!$A$2:$A$270,0)),"Not Mapped"))</f>
        <v>Aravind S</v>
      </c>
      <c r="E150" s="14" t="n">
        <v>6</v>
      </c>
      <c r="F150" s="14" t="n">
        <v>52</v>
      </c>
      <c r="G150" s="14" t="n">
        <v>13</v>
      </c>
      <c r="H150" s="14" t="n">
        <v>1</v>
      </c>
      <c r="I150" s="14" t="n">
        <v>0</v>
      </c>
      <c r="J150" s="14" t="n">
        <v>7</v>
      </c>
      <c r="K150" s="14" t="n">
        <v>79</v>
      </c>
      <c r="L150" s="14" t="n">
        <v>78</v>
      </c>
      <c r="M150" s="21"/>
      <c r="N150" s="11"/>
      <c r="O150" s="23"/>
      <c r="P150" s="23"/>
      <c r="Q150" s="23"/>
      <c r="R150" s="23"/>
      <c r="S150" s="23"/>
      <c r="T150" s="23"/>
      <c r="U150" s="23"/>
      <c r="V150" s="23"/>
      <c r="W150" s="23"/>
      <c r="X150" s="23"/>
      <c r="Y150" s="23"/>
      <c r="Z150" s="23"/>
    </row>
    <row r="151" customFormat="false" ht="15.75" hidden="false" customHeight="true" outlineLevel="0" collapsed="false">
      <c r="A151" s="52" t="n">
        <v>46303</v>
      </c>
      <c r="B151" s="14" t="s">
        <v>114</v>
      </c>
      <c r="C151" s="14" t="str">
        <f aca="false" t="array" ref="C151:C151">IF(B151="","",IFERROR(INDEX('CLM &amp; IM Mapping'!$B$2:$B$270,MATCH(TRIM(B151),'CLM &amp; IM Mapping'!$A$2:$A$270,0)),"Not Mapped"))</f>
        <v>Adhavan Subramani</v>
      </c>
      <c r="D151" s="14" t="str">
        <f aca="false" t="array" ref="D151:D151">IF(B151="","",IFERROR(INDEX('CLM &amp; IM Mapping'!$C$2:$C$270,MATCH(TRIM(B151),'CLM &amp; IM Mapping'!$A$2:$A$270,0)),"Not Mapped"))</f>
        <v>Mohammed Akbar</v>
      </c>
      <c r="E151" s="14" t="n">
        <v>28</v>
      </c>
      <c r="F151" s="14" t="n">
        <v>14</v>
      </c>
      <c r="G151" s="14" t="n">
        <v>0</v>
      </c>
      <c r="H151" s="14" t="n">
        <v>9</v>
      </c>
      <c r="I151" s="14" t="n">
        <v>22</v>
      </c>
      <c r="J151" s="14" t="n">
        <v>4</v>
      </c>
      <c r="K151" s="14" t="n">
        <v>77</v>
      </c>
      <c r="L151" s="14" t="n">
        <v>77</v>
      </c>
      <c r="M151" s="12" t="s">
        <v>818</v>
      </c>
      <c r="N151" s="11"/>
      <c r="O151" s="23"/>
      <c r="P151" s="23"/>
      <c r="Q151" s="23"/>
      <c r="R151" s="23"/>
      <c r="S151" s="23"/>
      <c r="T151" s="23"/>
      <c r="U151" s="23"/>
      <c r="V151" s="23"/>
      <c r="W151" s="23"/>
      <c r="X151" s="23"/>
      <c r="Y151" s="23"/>
      <c r="Z151" s="23"/>
    </row>
    <row r="152" customFormat="false" ht="15.75" hidden="false" customHeight="true" outlineLevel="0" collapsed="false">
      <c r="A152" s="52" t="n">
        <v>46303</v>
      </c>
      <c r="B152" s="14" t="s">
        <v>290</v>
      </c>
      <c r="C152" s="14" t="str">
        <f aca="false" t="array" ref="C152:C152">IF(B152="","",IFERROR(INDEX('CLM &amp; IM Mapping'!$B$2:$B$270,MATCH(TRIM(B152),'CLM &amp; IM Mapping'!$A$2:$A$270,0)),"Not Mapped"))</f>
        <v>Akshay P</v>
      </c>
      <c r="D152" s="14" t="str">
        <f aca="false" t="array" ref="D152:D152">IF(B152="","",IFERROR(INDEX('CLM &amp; IM Mapping'!$C$2:$C$270,MATCH(TRIM(B152),'CLM &amp; IM Mapping'!$A$2:$A$270,0)),"Not Mapped"))</f>
        <v>Srittam Dhal</v>
      </c>
      <c r="E152" s="14" t="n">
        <v>4</v>
      </c>
      <c r="F152" s="14" t="n">
        <v>53</v>
      </c>
      <c r="G152" s="14" t="n">
        <v>1</v>
      </c>
      <c r="H152" s="14" t="n">
        <v>8</v>
      </c>
      <c r="I152" s="14" t="n">
        <v>6</v>
      </c>
      <c r="J152" s="14" t="n">
        <v>4</v>
      </c>
      <c r="K152" s="14" t="n">
        <v>76</v>
      </c>
      <c r="L152" s="14" t="n">
        <v>65</v>
      </c>
      <c r="M152" s="21"/>
      <c r="N152" s="11"/>
      <c r="O152" s="23"/>
      <c r="P152" s="23"/>
      <c r="Q152" s="23"/>
      <c r="R152" s="23"/>
      <c r="S152" s="23"/>
      <c r="T152" s="23"/>
      <c r="U152" s="23"/>
      <c r="V152" s="23"/>
      <c r="W152" s="23"/>
      <c r="X152" s="23"/>
      <c r="Y152" s="23"/>
      <c r="Z152" s="23"/>
    </row>
    <row r="153" customFormat="false" ht="15.75" hidden="false" customHeight="true" outlineLevel="0" collapsed="false">
      <c r="A153" s="52" t="n">
        <v>46303</v>
      </c>
      <c r="B153" s="14" t="s">
        <v>524</v>
      </c>
      <c r="C153" s="14" t="str">
        <f aca="false" t="array" ref="C153:C153">IF(B153="","",IFERROR(INDEX('CLM &amp; IM Mapping'!$B$2:$B$270,MATCH(TRIM(B153),'CLM &amp; IM Mapping'!$A$2:$A$270,0)),"Not Mapped"))</f>
        <v>Balaji G</v>
      </c>
      <c r="D153" s="14" t="str">
        <f aca="false" t="array" ref="D153:D153">IF(B153="","",IFERROR(INDEX('CLM &amp; IM Mapping'!$C$2:$C$270,MATCH(TRIM(B153),'CLM &amp; IM Mapping'!$A$2:$A$270,0)),"Not Mapped"))</f>
        <v>Mohammed Akbar</v>
      </c>
      <c r="E153" s="14" t="n">
        <v>13</v>
      </c>
      <c r="F153" s="14" t="n">
        <v>19</v>
      </c>
      <c r="G153" s="14" t="n">
        <v>1</v>
      </c>
      <c r="H153" s="14" t="n">
        <v>9</v>
      </c>
      <c r="I153" s="14" t="n">
        <v>30</v>
      </c>
      <c r="J153" s="14" t="n">
        <v>3</v>
      </c>
      <c r="K153" s="14" t="n">
        <v>75</v>
      </c>
      <c r="L153" s="14" t="n">
        <v>74</v>
      </c>
      <c r="M153" s="12" t="s">
        <v>818</v>
      </c>
      <c r="N153" s="11"/>
      <c r="O153" s="23"/>
      <c r="P153" s="23"/>
      <c r="Q153" s="23"/>
      <c r="R153" s="23"/>
      <c r="S153" s="23"/>
      <c r="T153" s="23"/>
      <c r="U153" s="23"/>
      <c r="V153" s="23"/>
      <c r="W153" s="23"/>
      <c r="X153" s="23"/>
      <c r="Y153" s="23"/>
      <c r="Z153" s="23"/>
    </row>
    <row r="154" customFormat="false" ht="15.75" hidden="false" customHeight="true" outlineLevel="0" collapsed="false">
      <c r="A154" s="52" t="n">
        <v>46303</v>
      </c>
      <c r="B154" s="14" t="s">
        <v>300</v>
      </c>
      <c r="C154" s="14" t="str">
        <f aca="false" t="array" ref="C154:C154">IF(B154="","",IFERROR(INDEX('CLM &amp; IM Mapping'!$B$2:$B$270,MATCH(TRIM(B154),'CLM &amp; IM Mapping'!$A$2:$A$270,0)),"Not Mapped"))</f>
        <v>Bangareppa CS</v>
      </c>
      <c r="D154" s="14" t="str">
        <f aca="false" t="array" ref="D154:D154">IF(B154="","",IFERROR(INDEX('CLM &amp; IM Mapping'!$C$2:$C$270,MATCH(TRIM(B154),'CLM &amp; IM Mapping'!$A$2:$A$270,0)),"Not Mapped"))</f>
        <v>Kishor K</v>
      </c>
      <c r="E154" s="14" t="n">
        <v>9</v>
      </c>
      <c r="F154" s="14" t="n">
        <v>37</v>
      </c>
      <c r="G154" s="14" t="n">
        <v>26</v>
      </c>
      <c r="H154" s="14" t="n">
        <v>3</v>
      </c>
      <c r="I154" s="14" t="n">
        <v>0</v>
      </c>
      <c r="J154" s="14" t="n">
        <v>0</v>
      </c>
      <c r="K154" s="14" t="n">
        <v>75</v>
      </c>
      <c r="L154" s="14" t="n">
        <v>54</v>
      </c>
      <c r="M154" s="12" t="s">
        <v>828</v>
      </c>
      <c r="N154" s="54" t="n">
        <v>0.666666666666667</v>
      </c>
      <c r="O154" s="23"/>
      <c r="P154" s="23"/>
      <c r="Q154" s="23"/>
      <c r="R154" s="23"/>
      <c r="S154" s="23"/>
      <c r="T154" s="23"/>
      <c r="U154" s="23"/>
      <c r="V154" s="23"/>
      <c r="W154" s="23"/>
      <c r="X154" s="23"/>
      <c r="Y154" s="23"/>
      <c r="Z154" s="23"/>
    </row>
    <row r="155" customFormat="false" ht="15.75" hidden="false" customHeight="true" outlineLevel="0" collapsed="false">
      <c r="A155" s="52" t="n">
        <v>46303</v>
      </c>
      <c r="B155" s="14" t="s">
        <v>361</v>
      </c>
      <c r="C155" s="14" t="str">
        <f aca="false" t="array" ref="C155:C155">IF(B155="","",IFERROR(INDEX('CLM &amp; IM Mapping'!$B$2:$B$270,MATCH(TRIM(B155),'CLM &amp; IM Mapping'!$A$2:$A$270,0)),"Not Mapped"))</f>
        <v>Santhosha M</v>
      </c>
      <c r="D155" s="14" t="str">
        <f aca="false" t="array" ref="D155:D155">IF(B155="","",IFERROR(INDEX('CLM &amp; IM Mapping'!$C$2:$C$270,MATCH(TRIM(B155),'CLM &amp; IM Mapping'!$A$2:$A$270,0)),"Not Mapped"))</f>
        <v>Aravind S</v>
      </c>
      <c r="E155" s="14" t="n">
        <v>12</v>
      </c>
      <c r="F155" s="14" t="n">
        <v>28</v>
      </c>
      <c r="G155" s="14" t="n">
        <v>29</v>
      </c>
      <c r="H155" s="14" t="n">
        <v>1</v>
      </c>
      <c r="I155" s="14" t="n">
        <v>3</v>
      </c>
      <c r="J155" s="14" t="n">
        <v>1</v>
      </c>
      <c r="K155" s="14" t="n">
        <v>74</v>
      </c>
      <c r="L155" s="14" t="n">
        <v>68</v>
      </c>
      <c r="M155" s="21"/>
      <c r="N155" s="11"/>
      <c r="O155" s="23"/>
      <c r="P155" s="23"/>
      <c r="Q155" s="23"/>
      <c r="R155" s="23"/>
      <c r="S155" s="23"/>
      <c r="T155" s="23"/>
      <c r="U155" s="23"/>
      <c r="V155" s="23"/>
      <c r="W155" s="23"/>
      <c r="X155" s="23"/>
      <c r="Y155" s="23"/>
      <c r="Z155" s="23"/>
    </row>
    <row r="156" customFormat="false" ht="15.75" hidden="false" customHeight="true" outlineLevel="0" collapsed="false">
      <c r="A156" s="52" t="n">
        <v>46303</v>
      </c>
      <c r="B156" s="14" t="s">
        <v>262</v>
      </c>
      <c r="C156" s="14" t="str">
        <f aca="false" t="array" ref="C156:C156">IF(B156="","",IFERROR(INDEX('CLM &amp; IM Mapping'!$B$2:$B$270,MATCH(TRIM(B156),'CLM &amp; IM Mapping'!$A$2:$A$270,0)),"Not Mapped"))</f>
        <v>Majid Kakatikar</v>
      </c>
      <c r="D156" s="14" t="str">
        <f aca="false" t="array" ref="D156:D156">IF(B156="","",IFERROR(INDEX('CLM &amp; IM Mapping'!$C$2:$C$270,MATCH(TRIM(B156),'CLM &amp; IM Mapping'!$A$2:$A$270,0)),"Not Mapped"))</f>
        <v>Kishor K</v>
      </c>
      <c r="E156" s="14" t="n">
        <v>6</v>
      </c>
      <c r="F156" s="14" t="n">
        <v>40</v>
      </c>
      <c r="G156" s="14" t="n">
        <v>15</v>
      </c>
      <c r="H156" s="14" t="n">
        <v>4</v>
      </c>
      <c r="I156" s="14" t="n">
        <v>9</v>
      </c>
      <c r="J156" s="14" t="n">
        <v>0</v>
      </c>
      <c r="K156" s="14" t="n">
        <v>74</v>
      </c>
      <c r="L156" s="14" t="n">
        <v>71</v>
      </c>
      <c r="M156" s="12" t="s">
        <v>828</v>
      </c>
      <c r="N156" s="54" t="n">
        <v>0.666666666666667</v>
      </c>
      <c r="O156" s="23"/>
      <c r="P156" s="23"/>
      <c r="Q156" s="23"/>
      <c r="R156" s="23"/>
      <c r="S156" s="23"/>
      <c r="T156" s="23"/>
      <c r="U156" s="23"/>
      <c r="V156" s="23"/>
      <c r="W156" s="23"/>
      <c r="X156" s="23"/>
      <c r="Y156" s="23"/>
      <c r="Z156" s="23"/>
    </row>
    <row r="157" customFormat="false" ht="15.75" hidden="false" customHeight="true" outlineLevel="0" collapsed="false">
      <c r="A157" s="52" t="n">
        <v>46303</v>
      </c>
      <c r="B157" s="14" t="s">
        <v>274</v>
      </c>
      <c r="C157" s="14" t="str">
        <f aca="false" t="array" ref="C157:C157">IF(B157="","",IFERROR(INDEX('CLM &amp; IM Mapping'!$B$2:$B$270,MATCH(TRIM(B157),'CLM &amp; IM Mapping'!$A$2:$A$270,0)),"Not Mapped"))</f>
        <v>Vishnu V</v>
      </c>
      <c r="D157" s="14" t="str">
        <f aca="false" t="array" ref="D157:D157">IF(B157="","",IFERROR(INDEX('CLM &amp; IM Mapping'!$C$2:$C$270,MATCH(TRIM(B157),'CLM &amp; IM Mapping'!$A$2:$A$270,0)),"Not Mapped"))</f>
        <v>Arivind S</v>
      </c>
      <c r="E157" s="14" t="n">
        <v>0</v>
      </c>
      <c r="F157" s="14" t="n">
        <v>26</v>
      </c>
      <c r="G157" s="14" t="n">
        <v>1</v>
      </c>
      <c r="H157" s="14" t="n">
        <v>24</v>
      </c>
      <c r="I157" s="14" t="n">
        <v>6</v>
      </c>
      <c r="J157" s="14" t="n">
        <v>16</v>
      </c>
      <c r="K157" s="14" t="n">
        <v>73</v>
      </c>
      <c r="L157" s="14" t="n">
        <v>73</v>
      </c>
      <c r="M157" s="21"/>
      <c r="N157" s="11"/>
      <c r="O157" s="23"/>
      <c r="P157" s="23"/>
      <c r="Q157" s="23"/>
      <c r="R157" s="23"/>
      <c r="S157" s="23"/>
      <c r="T157" s="23"/>
      <c r="U157" s="23"/>
      <c r="V157" s="23"/>
      <c r="W157" s="23"/>
      <c r="X157" s="23"/>
      <c r="Y157" s="23"/>
      <c r="Z157" s="23"/>
    </row>
    <row r="158" customFormat="false" ht="15.75" hidden="false" customHeight="true" outlineLevel="0" collapsed="false">
      <c r="A158" s="52" t="n">
        <v>46303</v>
      </c>
      <c r="B158" s="14" t="s">
        <v>171</v>
      </c>
      <c r="C158" s="14" t="str">
        <f aca="false" t="array" ref="C158:C158">IF(B158="","",IFERROR(INDEX('CLM &amp; IM Mapping'!$B$2:$B$270,MATCH(TRIM(B158),'CLM &amp; IM Mapping'!$A$2:$A$270,0)),"Not Mapped"))</f>
        <v>Ashwath S</v>
      </c>
      <c r="D158" s="14" t="str">
        <f aca="false" t="array" ref="D158:D158">IF(B158="","",IFERROR(INDEX('CLM &amp; IM Mapping'!$C$2:$C$270,MATCH(TRIM(B158),'CLM &amp; IM Mapping'!$A$2:$A$270,0)),"Not Mapped"))</f>
        <v>Kantha Kumar</v>
      </c>
      <c r="E158" s="14" t="n">
        <v>8</v>
      </c>
      <c r="F158" s="14" t="n">
        <v>20</v>
      </c>
      <c r="G158" s="14" t="n">
        <v>0</v>
      </c>
      <c r="H158" s="14" t="n">
        <v>14</v>
      </c>
      <c r="I158" s="14" t="n">
        <v>21</v>
      </c>
      <c r="J158" s="14" t="n">
        <v>10</v>
      </c>
      <c r="K158" s="14" t="n">
        <v>73</v>
      </c>
      <c r="L158" s="14" t="n">
        <v>73</v>
      </c>
      <c r="M158" s="21"/>
      <c r="N158" s="11"/>
      <c r="O158" s="23"/>
      <c r="P158" s="23"/>
      <c r="Q158" s="23"/>
      <c r="R158" s="23"/>
      <c r="S158" s="23"/>
      <c r="T158" s="23"/>
      <c r="U158" s="23"/>
      <c r="V158" s="23"/>
      <c r="W158" s="23"/>
      <c r="X158" s="23"/>
      <c r="Y158" s="23"/>
      <c r="Z158" s="23"/>
    </row>
    <row r="159" customFormat="false" ht="15.75" hidden="false" customHeight="true" outlineLevel="0" collapsed="false">
      <c r="A159" s="52" t="n">
        <v>46303</v>
      </c>
      <c r="B159" s="14" t="s">
        <v>445</v>
      </c>
      <c r="C159" s="14" t="str">
        <f aca="false" t="array" ref="C159:C159">IF(B159="","",IFERROR(INDEX('CLM &amp; IM Mapping'!$B$2:$B$270,MATCH(TRIM(B159),'CLM &amp; IM Mapping'!$A$2:$A$270,0)),"Not Mapped"))</f>
        <v>Sundaresh S</v>
      </c>
      <c r="D159" s="14" t="str">
        <f aca="false" t="array" ref="D159:D159">IF(B159="","",IFERROR(INDEX('CLM &amp; IM Mapping'!$C$2:$C$270,MATCH(TRIM(B159),'CLM &amp; IM Mapping'!$A$2:$A$270,0)),"Not Mapped"))</f>
        <v>Un Mapped</v>
      </c>
      <c r="E159" s="14" t="n">
        <v>0</v>
      </c>
      <c r="F159" s="14" t="n">
        <v>48</v>
      </c>
      <c r="G159" s="14" t="n">
        <v>1</v>
      </c>
      <c r="H159" s="14" t="n">
        <v>9</v>
      </c>
      <c r="I159" s="14" t="n">
        <v>12</v>
      </c>
      <c r="J159" s="14" t="n">
        <v>3</v>
      </c>
      <c r="K159" s="14" t="n">
        <v>73</v>
      </c>
      <c r="L159" s="14" t="n">
        <v>66</v>
      </c>
      <c r="M159" s="21"/>
      <c r="N159" s="11"/>
      <c r="O159" s="23"/>
      <c r="P159" s="23"/>
      <c r="Q159" s="23"/>
      <c r="R159" s="23"/>
      <c r="S159" s="23"/>
      <c r="T159" s="23"/>
      <c r="U159" s="23"/>
      <c r="V159" s="23"/>
      <c r="W159" s="23"/>
      <c r="X159" s="23"/>
      <c r="Y159" s="23"/>
      <c r="Z159" s="23"/>
    </row>
    <row r="160" customFormat="false" ht="15.75" hidden="false" customHeight="true" outlineLevel="0" collapsed="false">
      <c r="A160" s="52" t="n">
        <v>46303</v>
      </c>
      <c r="B160" s="14" t="s">
        <v>376</v>
      </c>
      <c r="C160" s="14" t="str">
        <f aca="false" t="array" ref="C160:C160">IF(B160="","",IFERROR(INDEX('CLM &amp; IM Mapping'!$B$2:$B$270,MATCH(TRIM(B160),'CLM &amp; IM Mapping'!$A$2:$A$270,0)),"Not Mapped"))</f>
        <v>Sundaresh S</v>
      </c>
      <c r="D160" s="14" t="str">
        <f aca="false" t="array" ref="D160:D160">IF(B160="","",IFERROR(INDEX('CLM &amp; IM Mapping'!$C$2:$C$270,MATCH(TRIM(B160),'CLM &amp; IM Mapping'!$A$2:$A$270,0)),"Not Mapped"))</f>
        <v>Un Mapped</v>
      </c>
      <c r="E160" s="14" t="n">
        <v>3</v>
      </c>
      <c r="F160" s="14" t="n">
        <v>37</v>
      </c>
      <c r="G160" s="14" t="n">
        <v>0</v>
      </c>
      <c r="H160" s="14" t="n">
        <v>5</v>
      </c>
      <c r="I160" s="14" t="n">
        <v>8</v>
      </c>
      <c r="J160" s="14" t="n">
        <v>20</v>
      </c>
      <c r="K160" s="14" t="n">
        <v>73</v>
      </c>
      <c r="L160" s="14" t="n">
        <v>72</v>
      </c>
      <c r="M160" s="21"/>
      <c r="N160" s="11"/>
      <c r="O160" s="23"/>
      <c r="P160" s="23"/>
      <c r="Q160" s="23"/>
      <c r="R160" s="23"/>
      <c r="S160" s="23"/>
      <c r="T160" s="23"/>
      <c r="U160" s="23"/>
      <c r="V160" s="23"/>
      <c r="W160" s="23"/>
      <c r="X160" s="23"/>
      <c r="Y160" s="23"/>
      <c r="Z160" s="23"/>
    </row>
    <row r="161" customFormat="false" ht="15.75" hidden="false" customHeight="true" outlineLevel="0" collapsed="false">
      <c r="A161" s="52" t="n">
        <v>46303</v>
      </c>
      <c r="B161" s="14" t="s">
        <v>498</v>
      </c>
      <c r="C161" s="14" t="str">
        <f aca="false" t="array" ref="C161:C161">IF(B161="","",IFERROR(INDEX('CLM &amp; IM Mapping'!$B$2:$B$270,MATCH(TRIM(B161),'CLM &amp; IM Mapping'!$A$2:$A$270,0)),"Not Mapped"))</f>
        <v>Adhavan Subramani</v>
      </c>
      <c r="D161" s="14" t="str">
        <f aca="false" t="array" ref="D161:D161">IF(B161="","",IFERROR(INDEX('CLM &amp; IM Mapping'!$C$2:$C$270,MATCH(TRIM(B161),'CLM &amp; IM Mapping'!$A$2:$A$270,0)),"Not Mapped"))</f>
        <v>Mohammed Akbar</v>
      </c>
      <c r="E161" s="14" t="n">
        <v>0</v>
      </c>
      <c r="F161" s="14" t="n">
        <v>6</v>
      </c>
      <c r="G161" s="14" t="n">
        <v>0</v>
      </c>
      <c r="H161" s="14" t="n">
        <v>0</v>
      </c>
      <c r="I161" s="14" t="n">
        <v>3</v>
      </c>
      <c r="J161" s="14" t="n">
        <v>63</v>
      </c>
      <c r="K161" s="14" t="n">
        <v>72</v>
      </c>
      <c r="L161" s="14" t="n">
        <v>67</v>
      </c>
      <c r="M161" s="21"/>
      <c r="N161" s="54" t="n">
        <v>0.625</v>
      </c>
      <c r="O161" s="23"/>
      <c r="P161" s="23"/>
      <c r="Q161" s="23"/>
      <c r="R161" s="23"/>
      <c r="S161" s="23"/>
      <c r="T161" s="23"/>
      <c r="U161" s="23"/>
      <c r="V161" s="23"/>
      <c r="W161" s="23"/>
      <c r="X161" s="23"/>
      <c r="Y161" s="23"/>
      <c r="Z161" s="23"/>
    </row>
    <row r="162" customFormat="false" ht="15.75" hidden="false" customHeight="true" outlineLevel="0" collapsed="false">
      <c r="A162" s="52" t="n">
        <v>46303</v>
      </c>
      <c r="B162" s="14" t="s">
        <v>449</v>
      </c>
      <c r="C162" s="14" t="str">
        <f aca="false" t="array" ref="C162:C162">IF(B162="","",IFERROR(INDEX('CLM &amp; IM Mapping'!$B$2:$B$270,MATCH(TRIM(B162),'CLM &amp; IM Mapping'!$A$2:$A$270,0)),"Not Mapped"))</f>
        <v>Manjunatha V</v>
      </c>
      <c r="D162" s="14" t="str">
        <f aca="false" t="array" ref="D162:D162">IF(B162="","",IFERROR(INDEX('CLM &amp; IM Mapping'!$C$2:$C$270,MATCH(TRIM(B162),'CLM &amp; IM Mapping'!$A$2:$A$270,0)),"Not Mapped"))</f>
        <v>Un Mapped</v>
      </c>
      <c r="E162" s="14" t="n">
        <v>17</v>
      </c>
      <c r="F162" s="14" t="n">
        <v>8</v>
      </c>
      <c r="G162" s="14" t="n">
        <v>5</v>
      </c>
      <c r="H162" s="14" t="n">
        <v>7</v>
      </c>
      <c r="I162" s="14" t="n">
        <v>0</v>
      </c>
      <c r="J162" s="14" t="n">
        <v>33</v>
      </c>
      <c r="K162" s="14" t="n">
        <v>70</v>
      </c>
      <c r="L162" s="14" t="n">
        <v>66</v>
      </c>
      <c r="M162" s="21"/>
      <c r="N162" s="11"/>
      <c r="O162" s="23"/>
      <c r="P162" s="23"/>
      <c r="Q162" s="23"/>
      <c r="R162" s="23"/>
      <c r="S162" s="23"/>
      <c r="T162" s="23"/>
      <c r="U162" s="23"/>
      <c r="V162" s="23"/>
      <c r="W162" s="23"/>
      <c r="X162" s="23"/>
      <c r="Y162" s="23"/>
      <c r="Z162" s="23"/>
    </row>
    <row r="163" customFormat="false" ht="15.75" hidden="false" customHeight="true" outlineLevel="0" collapsed="false">
      <c r="A163" s="52" t="n">
        <v>46303</v>
      </c>
      <c r="B163" s="14" t="s">
        <v>466</v>
      </c>
      <c r="C163" s="14" t="str">
        <f aca="false" t="array" ref="C163:C163">IF(B163="","",IFERROR(INDEX('CLM &amp; IM Mapping'!$B$2:$B$270,MATCH(TRIM(B163),'CLM &amp; IM Mapping'!$A$2:$A$270,0)),"Not Mapped"))</f>
        <v>Vishnu V</v>
      </c>
      <c r="D163" s="14" t="str">
        <f aca="false" t="array" ref="D163:D163">IF(B163="","",IFERROR(INDEX('CLM &amp; IM Mapping'!$C$2:$C$270,MATCH(TRIM(B163),'CLM &amp; IM Mapping'!$A$2:$A$270,0)),"Not Mapped"))</f>
        <v>Arivind S</v>
      </c>
      <c r="E163" s="14" t="n">
        <v>8</v>
      </c>
      <c r="F163" s="14" t="n">
        <v>51</v>
      </c>
      <c r="G163" s="14" t="n">
        <v>9</v>
      </c>
      <c r="H163" s="14" t="n">
        <v>0</v>
      </c>
      <c r="I163" s="14" t="n">
        <v>1</v>
      </c>
      <c r="J163" s="14" t="n">
        <v>0</v>
      </c>
      <c r="K163" s="14" t="n">
        <v>69</v>
      </c>
      <c r="L163" s="14" t="n">
        <v>42</v>
      </c>
      <c r="M163" s="21"/>
      <c r="N163" s="11"/>
      <c r="O163" s="23"/>
      <c r="P163" s="23"/>
      <c r="Q163" s="23"/>
      <c r="R163" s="23"/>
      <c r="S163" s="23"/>
      <c r="T163" s="23"/>
      <c r="U163" s="23"/>
      <c r="V163" s="23"/>
      <c r="W163" s="23"/>
      <c r="X163" s="23"/>
      <c r="Y163" s="23"/>
      <c r="Z163" s="23"/>
    </row>
    <row r="164" customFormat="false" ht="15.75" hidden="false" customHeight="true" outlineLevel="0" collapsed="false">
      <c r="A164" s="52" t="n">
        <v>46303</v>
      </c>
      <c r="B164" s="14" t="s">
        <v>532</v>
      </c>
      <c r="C164" s="14" t="str">
        <f aca="false" t="array" ref="C164:C164">IF(B164="","",IFERROR(INDEX('CLM &amp; IM Mapping'!$B$2:$B$270,MATCH(TRIM(B164),'CLM &amp; IM Mapping'!$A$2:$A$270,0)),"Not Mapped"))</f>
        <v>Arun Raj</v>
      </c>
      <c r="D164" s="14" t="str">
        <f aca="false" t="array" ref="D164:D164">IF(B164="","",IFERROR(INDEX('CLM &amp; IM Mapping'!$C$2:$C$270,MATCH(TRIM(B164),'CLM &amp; IM Mapping'!$A$2:$A$270,0)),"Not Mapped"))</f>
        <v>Simon Manoharan</v>
      </c>
      <c r="E164" s="14" t="n">
        <v>0</v>
      </c>
      <c r="F164" s="14" t="n">
        <v>0</v>
      </c>
      <c r="G164" s="14"/>
      <c r="H164" s="14" t="n">
        <v>58</v>
      </c>
      <c r="I164" s="14" t="n">
        <v>11</v>
      </c>
      <c r="J164" s="14"/>
      <c r="K164" s="14" t="n">
        <v>69</v>
      </c>
      <c r="L164" s="14" t="n">
        <v>0</v>
      </c>
      <c r="M164" s="21"/>
      <c r="N164" s="11"/>
      <c r="O164" s="23"/>
      <c r="P164" s="23"/>
      <c r="Q164" s="23"/>
      <c r="R164" s="23"/>
      <c r="S164" s="23"/>
      <c r="T164" s="23"/>
      <c r="U164" s="23"/>
      <c r="V164" s="23"/>
      <c r="W164" s="23"/>
      <c r="X164" s="23"/>
      <c r="Y164" s="23"/>
      <c r="Z164" s="23"/>
    </row>
    <row r="165" customFormat="false" ht="15.75" hidden="false" customHeight="true" outlineLevel="0" collapsed="false">
      <c r="A165" s="52" t="n">
        <v>46303</v>
      </c>
      <c r="B165" s="14" t="s">
        <v>76</v>
      </c>
      <c r="C165" s="14" t="str">
        <f aca="false" t="array" ref="C165:C165">IF(B165="","",IFERROR(INDEX('CLM &amp; IM Mapping'!$B$2:$B$270,MATCH(TRIM(B165),'CLM &amp; IM Mapping'!$A$2:$A$270,0)),"Not Mapped"))</f>
        <v>Silambarasan E</v>
      </c>
      <c r="D165" s="14" t="str">
        <f aca="false" t="array" ref="D165:D165">IF(B165="","",IFERROR(INDEX('CLM &amp; IM Mapping'!$C$2:$C$270,MATCH(TRIM(B165),'CLM &amp; IM Mapping'!$A$2:$A$270,0)),"Not Mapped"))</f>
        <v>Arivind S</v>
      </c>
      <c r="E165" s="14" t="n">
        <v>0</v>
      </c>
      <c r="F165" s="14" t="n">
        <v>35</v>
      </c>
      <c r="G165" s="14" t="n">
        <v>0</v>
      </c>
      <c r="H165" s="14" t="n">
        <v>21</v>
      </c>
      <c r="I165" s="14" t="n">
        <v>7</v>
      </c>
      <c r="J165" s="14" t="n">
        <v>4</v>
      </c>
      <c r="K165" s="14" t="n">
        <v>67</v>
      </c>
      <c r="L165" s="14" t="n">
        <v>66</v>
      </c>
      <c r="M165" s="21"/>
      <c r="N165" s="11"/>
      <c r="O165" s="23"/>
      <c r="P165" s="23"/>
      <c r="Q165" s="23"/>
      <c r="R165" s="23"/>
      <c r="S165" s="23"/>
      <c r="T165" s="23"/>
      <c r="U165" s="23"/>
      <c r="V165" s="23"/>
      <c r="W165" s="23"/>
      <c r="X165" s="23"/>
      <c r="Y165" s="23"/>
      <c r="Z165" s="23"/>
    </row>
    <row r="166" customFormat="false" ht="15.75" hidden="false" customHeight="true" outlineLevel="0" collapsed="false">
      <c r="A166" s="52" t="n">
        <v>46303</v>
      </c>
      <c r="B166" s="14" t="s">
        <v>291</v>
      </c>
      <c r="C166" s="14" t="str">
        <f aca="false" t="array" ref="C166:C166">IF(B166="","",IFERROR(INDEX('CLM &amp; IM Mapping'!$B$2:$B$270,MATCH(TRIM(B166),'CLM &amp; IM Mapping'!$A$2:$A$270,0)),"Not Mapped"))</f>
        <v>Ashwath S</v>
      </c>
      <c r="D166" s="14" t="str">
        <f aca="false" t="array" ref="D166:D166">IF(B166="","",IFERROR(INDEX('CLM &amp; IM Mapping'!$C$2:$C$270,MATCH(TRIM(B166),'CLM &amp; IM Mapping'!$A$2:$A$270,0)),"Not Mapped"))</f>
        <v>Kantha Kumar</v>
      </c>
      <c r="E166" s="14" t="n">
        <v>8</v>
      </c>
      <c r="F166" s="14" t="n">
        <v>3</v>
      </c>
      <c r="G166" s="14" t="n">
        <v>14</v>
      </c>
      <c r="H166" s="14" t="n">
        <v>8</v>
      </c>
      <c r="I166" s="14" t="n">
        <v>0</v>
      </c>
      <c r="J166" s="14" t="n">
        <v>34</v>
      </c>
      <c r="K166" s="14" t="n">
        <v>67</v>
      </c>
      <c r="L166" s="14" t="n">
        <v>67</v>
      </c>
      <c r="M166" s="21"/>
      <c r="N166" s="11"/>
      <c r="O166" s="23"/>
      <c r="P166" s="23"/>
      <c r="Q166" s="23"/>
      <c r="R166" s="23"/>
      <c r="S166" s="23"/>
      <c r="T166" s="23"/>
      <c r="U166" s="23"/>
      <c r="V166" s="23"/>
      <c r="W166" s="23"/>
      <c r="X166" s="23"/>
      <c r="Y166" s="23"/>
      <c r="Z166" s="23"/>
    </row>
    <row r="167" customFormat="false" ht="15.75" hidden="false" customHeight="true" outlineLevel="0" collapsed="false">
      <c r="A167" s="52" t="n">
        <v>46303</v>
      </c>
      <c r="B167" s="14" t="s">
        <v>516</v>
      </c>
      <c r="C167" s="14" t="str">
        <f aca="false" t="array" ref="C167:C167">IF(B167="","",IFERROR(INDEX('CLM &amp; IM Mapping'!$B$2:$B$270,MATCH(TRIM(B167),'CLM &amp; IM Mapping'!$A$2:$A$270,0)),"Not Mapped"))</f>
        <v>Sundaresh S</v>
      </c>
      <c r="D167" s="14" t="str">
        <f aca="false" t="array" ref="D167:D167">IF(B167="","",IFERROR(INDEX('CLM &amp; IM Mapping'!$C$2:$C$270,MATCH(TRIM(B167),'CLM &amp; IM Mapping'!$A$2:$A$270,0)),"Not Mapped"))</f>
        <v>Un Mapped</v>
      </c>
      <c r="E167" s="14" t="n">
        <v>11</v>
      </c>
      <c r="F167" s="14" t="n">
        <v>22</v>
      </c>
      <c r="G167" s="14" t="n">
        <v>3</v>
      </c>
      <c r="H167" s="14" t="n">
        <v>8</v>
      </c>
      <c r="I167" s="14" t="n">
        <v>6</v>
      </c>
      <c r="J167" s="14" t="n">
        <v>16</v>
      </c>
      <c r="K167" s="14" t="n">
        <v>66</v>
      </c>
      <c r="L167" s="14" t="n">
        <v>65</v>
      </c>
      <c r="M167" s="21"/>
      <c r="N167" s="11"/>
      <c r="O167" s="23"/>
      <c r="P167" s="23"/>
      <c r="Q167" s="23"/>
      <c r="R167" s="23"/>
      <c r="S167" s="23"/>
      <c r="T167" s="23"/>
      <c r="U167" s="23"/>
      <c r="V167" s="23"/>
      <c r="W167" s="23"/>
      <c r="X167" s="23"/>
      <c r="Y167" s="23"/>
      <c r="Z167" s="23"/>
    </row>
    <row r="168" customFormat="false" ht="15.75" hidden="false" customHeight="true" outlineLevel="0" collapsed="false">
      <c r="A168" s="52" t="n">
        <v>46303</v>
      </c>
      <c r="B168" s="14" t="s">
        <v>359</v>
      </c>
      <c r="C168" s="14" t="str">
        <f aca="false" t="array" ref="C168:C168">IF(B168="","",IFERROR(INDEX('CLM &amp; IM Mapping'!$B$2:$B$270,MATCH(TRIM(B168),'CLM &amp; IM Mapping'!$A$2:$A$270,0)),"Not Mapped"))</f>
        <v>Santhosha M</v>
      </c>
      <c r="D168" s="14" t="str">
        <f aca="false" t="array" ref="D168:D168">IF(B168="","",IFERROR(INDEX('CLM &amp; IM Mapping'!$C$2:$C$270,MATCH(TRIM(B168),'CLM &amp; IM Mapping'!$A$2:$A$270,0)),"Not Mapped"))</f>
        <v>Aravind S</v>
      </c>
      <c r="E168" s="14" t="n">
        <v>13</v>
      </c>
      <c r="F168" s="14" t="n">
        <v>40</v>
      </c>
      <c r="G168" s="14" t="n">
        <v>0</v>
      </c>
      <c r="H168" s="14" t="n">
        <v>5</v>
      </c>
      <c r="I168" s="14" t="n">
        <v>6</v>
      </c>
      <c r="J168" s="14" t="n">
        <v>0</v>
      </c>
      <c r="K168" s="14" t="n">
        <v>64</v>
      </c>
      <c r="L168" s="14" t="n">
        <v>57</v>
      </c>
      <c r="M168" s="21"/>
      <c r="N168" s="11"/>
      <c r="O168" s="23"/>
      <c r="P168" s="23"/>
      <c r="Q168" s="23"/>
      <c r="R168" s="23"/>
      <c r="S168" s="23"/>
      <c r="T168" s="23"/>
      <c r="U168" s="23"/>
      <c r="V168" s="23"/>
      <c r="W168" s="23"/>
      <c r="X168" s="23"/>
      <c r="Y168" s="23"/>
      <c r="Z168" s="23"/>
    </row>
    <row r="169" customFormat="false" ht="15.75" hidden="false" customHeight="true" outlineLevel="0" collapsed="false">
      <c r="A169" s="52" t="n">
        <v>46303</v>
      </c>
      <c r="B169" s="14" t="s">
        <v>429</v>
      </c>
      <c r="C169" s="14" t="str">
        <f aca="false" t="array" ref="C169:C169">IF(B169="","",IFERROR(INDEX('CLM &amp; IM Mapping'!$B$2:$B$270,MATCH(TRIM(B169),'CLM &amp; IM Mapping'!$A$2:$A$270,0)),"Not Mapped"))</f>
        <v>Manjunatha V</v>
      </c>
      <c r="D169" s="14" t="str">
        <f aca="false" t="array" ref="D169:D169">IF(B169="","",IFERROR(INDEX('CLM &amp; IM Mapping'!$C$2:$C$270,MATCH(TRIM(B169),'CLM &amp; IM Mapping'!$A$2:$A$270,0)),"Not Mapped"))</f>
        <v>Un Mapped</v>
      </c>
      <c r="E169" s="14" t="n">
        <v>0</v>
      </c>
      <c r="F169" s="14" t="n">
        <v>24</v>
      </c>
      <c r="G169" s="14" t="n">
        <v>0</v>
      </c>
      <c r="H169" s="14" t="n">
        <v>18</v>
      </c>
      <c r="I169" s="14" t="n">
        <v>12</v>
      </c>
      <c r="J169" s="14" t="n">
        <v>10</v>
      </c>
      <c r="K169" s="14" t="n">
        <v>64</v>
      </c>
      <c r="L169" s="14" t="n">
        <v>64</v>
      </c>
      <c r="M169" s="21"/>
      <c r="N169" s="11"/>
      <c r="O169" s="23"/>
      <c r="P169" s="23"/>
      <c r="Q169" s="23"/>
      <c r="R169" s="23"/>
      <c r="S169" s="23"/>
      <c r="T169" s="23"/>
      <c r="U169" s="23"/>
      <c r="V169" s="23"/>
      <c r="W169" s="23"/>
      <c r="X169" s="23"/>
      <c r="Y169" s="23"/>
      <c r="Z169" s="23"/>
    </row>
    <row r="170" customFormat="false" ht="15.75" hidden="false" customHeight="true" outlineLevel="0" collapsed="false">
      <c r="A170" s="52" t="n">
        <v>46303</v>
      </c>
      <c r="B170" s="14" t="s">
        <v>24</v>
      </c>
      <c r="C170" s="14" t="str">
        <f aca="false" t="array" ref="C170:C170">IF(B170="","",IFERROR(INDEX('CLM &amp; IM Mapping'!$B$2:$B$270,MATCH(TRIM(B170),'CLM &amp; IM Mapping'!$A$2:$A$270,0)),"Not Mapped"))</f>
        <v>Arun Raj</v>
      </c>
      <c r="D170" s="14" t="str">
        <f aca="false" t="array" ref="D170:D170">IF(B170="","",IFERROR(INDEX('CLM &amp; IM Mapping'!$C$2:$C$270,MATCH(TRIM(B170),'CLM &amp; IM Mapping'!$A$2:$A$270,0)),"Not Mapped"))</f>
        <v>Simon Manoharan</v>
      </c>
      <c r="E170" s="14" t="n">
        <v>12</v>
      </c>
      <c r="F170" s="14" t="n">
        <v>4</v>
      </c>
      <c r="G170" s="14" t="n">
        <v>0</v>
      </c>
      <c r="H170" s="14" t="n">
        <v>17</v>
      </c>
      <c r="I170" s="14" t="n">
        <v>28</v>
      </c>
      <c r="J170" s="14"/>
      <c r="K170" s="14" t="n">
        <v>61</v>
      </c>
      <c r="L170" s="14" t="n">
        <v>34</v>
      </c>
      <c r="M170" s="21"/>
      <c r="N170" s="11"/>
      <c r="O170" s="23"/>
      <c r="P170" s="23"/>
      <c r="Q170" s="23"/>
      <c r="R170" s="23"/>
      <c r="S170" s="23"/>
      <c r="T170" s="23"/>
      <c r="U170" s="23"/>
      <c r="V170" s="23"/>
      <c r="W170" s="23"/>
      <c r="X170" s="23"/>
      <c r="Y170" s="23"/>
      <c r="Z170" s="23"/>
    </row>
    <row r="171" customFormat="false" ht="15.75" hidden="false" customHeight="true" outlineLevel="0" collapsed="false">
      <c r="A171" s="52" t="n">
        <v>46303</v>
      </c>
      <c r="B171" s="14" t="s">
        <v>525</v>
      </c>
      <c r="C171" s="14" t="str">
        <f aca="false" t="array" ref="C171:C171">IF(B171="","",IFERROR(INDEX('CLM &amp; IM Mapping'!$B$2:$B$270,MATCH(TRIM(B171),'CLM &amp; IM Mapping'!$A$2:$A$270,0)),"Not Mapped"))</f>
        <v>Saddam Hussain</v>
      </c>
      <c r="D171" s="14" t="str">
        <f aca="false" t="array" ref="D171:D171">IF(B171="","",IFERROR(INDEX('CLM &amp; IM Mapping'!$C$2:$C$270,MATCH(TRIM(B171),'CLM &amp; IM Mapping'!$A$2:$A$270,0)),"Not Mapped"))</f>
        <v>Un Mapped</v>
      </c>
      <c r="E171" s="14" t="n">
        <v>2</v>
      </c>
      <c r="F171" s="14" t="n">
        <v>31</v>
      </c>
      <c r="G171" s="14" t="n">
        <v>2</v>
      </c>
      <c r="H171" s="14" t="n">
        <v>11</v>
      </c>
      <c r="I171" s="14" t="n">
        <v>15</v>
      </c>
      <c r="J171" s="14" t="n">
        <v>0</v>
      </c>
      <c r="K171" s="14" t="n">
        <v>61</v>
      </c>
      <c r="L171" s="14" t="n">
        <v>61</v>
      </c>
      <c r="M171" s="21"/>
      <c r="N171" s="11"/>
      <c r="O171" s="23"/>
      <c r="P171" s="23"/>
      <c r="Q171" s="23"/>
      <c r="R171" s="23"/>
      <c r="S171" s="23"/>
      <c r="T171" s="23"/>
      <c r="U171" s="23"/>
      <c r="V171" s="23"/>
      <c r="W171" s="23"/>
      <c r="X171" s="23"/>
      <c r="Y171" s="23"/>
      <c r="Z171" s="23"/>
    </row>
    <row r="172" customFormat="false" ht="15.75" hidden="false" customHeight="true" outlineLevel="0" collapsed="false">
      <c r="A172" s="52" t="n">
        <v>46303</v>
      </c>
      <c r="B172" s="14" t="s">
        <v>390</v>
      </c>
      <c r="C172" s="14" t="str">
        <f aca="false" t="array" ref="C172:C172">IF(B172="","",IFERROR(INDEX('CLM &amp; IM Mapping'!$B$2:$B$270,MATCH(TRIM(B172),'CLM &amp; IM Mapping'!$A$2:$A$270,0)),"Not Mapped"))</f>
        <v>Sundaresh S</v>
      </c>
      <c r="D172" s="14" t="str">
        <f aca="false" t="array" ref="D172:D172">IF(B172="","",IFERROR(INDEX('CLM &amp; IM Mapping'!$C$2:$C$270,MATCH(TRIM(B172),'CLM &amp; IM Mapping'!$A$2:$A$270,0)),"Not Mapped"))</f>
        <v>Un Mapped</v>
      </c>
      <c r="E172" s="14" t="n">
        <v>9</v>
      </c>
      <c r="F172" s="14" t="n">
        <v>21</v>
      </c>
      <c r="G172" s="14" t="n">
        <v>0</v>
      </c>
      <c r="H172" s="14" t="n">
        <v>8</v>
      </c>
      <c r="I172" s="14" t="n">
        <v>4</v>
      </c>
      <c r="J172" s="14" t="n">
        <v>17</v>
      </c>
      <c r="K172" s="14" t="n">
        <v>59</v>
      </c>
      <c r="L172" s="14" t="n">
        <v>55</v>
      </c>
      <c r="M172" s="21"/>
      <c r="N172" s="11"/>
      <c r="O172" s="23"/>
      <c r="P172" s="23"/>
      <c r="Q172" s="23"/>
      <c r="R172" s="23"/>
      <c r="S172" s="23"/>
      <c r="T172" s="23"/>
      <c r="U172" s="23"/>
      <c r="V172" s="23"/>
      <c r="W172" s="23"/>
      <c r="X172" s="23"/>
      <c r="Y172" s="23"/>
      <c r="Z172" s="23"/>
    </row>
    <row r="173" customFormat="false" ht="15.75" hidden="false" customHeight="true" outlineLevel="0" collapsed="false">
      <c r="A173" s="52" t="n">
        <v>46303</v>
      </c>
      <c r="B173" s="14" t="s">
        <v>433</v>
      </c>
      <c r="C173" s="14" t="str">
        <f aca="false" t="array" ref="C173:C173">IF(B173="","",IFERROR(INDEX('CLM &amp; IM Mapping'!$B$2:$B$270,MATCH(TRIM(B173),'CLM &amp; IM Mapping'!$A$2:$A$270,0)),"Not Mapped"))</f>
        <v>Silambarasan E</v>
      </c>
      <c r="D173" s="14" t="str">
        <f aca="false" t="array" ref="D173:D173">IF(B173="","",IFERROR(INDEX('CLM &amp; IM Mapping'!$C$2:$C$270,MATCH(TRIM(B173),'CLM &amp; IM Mapping'!$A$2:$A$270,0)),"Not Mapped"))</f>
        <v>Arivind S</v>
      </c>
      <c r="E173" s="14" t="n">
        <v>24</v>
      </c>
      <c r="F173" s="14" t="n">
        <v>6</v>
      </c>
      <c r="G173" s="14" t="n">
        <v>1</v>
      </c>
      <c r="H173" s="14" t="n">
        <v>0</v>
      </c>
      <c r="I173" s="14" t="n">
        <v>26</v>
      </c>
      <c r="J173" s="14" t="n">
        <v>2</v>
      </c>
      <c r="K173" s="14" t="n">
        <v>59</v>
      </c>
      <c r="L173" s="14" t="n">
        <v>57</v>
      </c>
      <c r="M173" s="21"/>
      <c r="N173" s="11"/>
      <c r="O173" s="23"/>
      <c r="P173" s="23"/>
      <c r="Q173" s="23"/>
      <c r="R173" s="23"/>
      <c r="S173" s="23"/>
      <c r="T173" s="23"/>
      <c r="U173" s="23"/>
      <c r="V173" s="23"/>
      <c r="W173" s="23"/>
      <c r="X173" s="23"/>
      <c r="Y173" s="23"/>
      <c r="Z173" s="23"/>
    </row>
    <row r="174" customFormat="false" ht="15.75" hidden="false" customHeight="true" outlineLevel="0" collapsed="false">
      <c r="A174" s="52" t="n">
        <v>46303</v>
      </c>
      <c r="B174" s="14" t="s">
        <v>373</v>
      </c>
      <c r="C174" s="14" t="str">
        <f aca="false" t="array" ref="C174:C174">IF(B174="","",IFERROR(INDEX('CLM &amp; IM Mapping'!$B$2:$B$270,MATCH(TRIM(B174),'CLM &amp; IM Mapping'!$A$2:$A$270,0)),"Not Mapped"))</f>
        <v>Majid Kakatikar</v>
      </c>
      <c r="D174" s="14" t="str">
        <f aca="false" t="array" ref="D174:D174">IF(B174="","",IFERROR(INDEX('CLM &amp; IM Mapping'!$C$2:$C$270,MATCH(TRIM(B174),'CLM &amp; IM Mapping'!$A$2:$A$270,0)),"Not Mapped"))</f>
        <v>Kishor K</v>
      </c>
      <c r="E174" s="14" t="n">
        <v>0</v>
      </c>
      <c r="F174" s="14" t="n">
        <v>24</v>
      </c>
      <c r="G174" s="14" t="n">
        <v>28</v>
      </c>
      <c r="H174" s="14" t="n">
        <v>0</v>
      </c>
      <c r="I174" s="14" t="n">
        <v>6</v>
      </c>
      <c r="J174" s="14" t="n">
        <v>0</v>
      </c>
      <c r="K174" s="14" t="n">
        <v>58</v>
      </c>
      <c r="L174" s="14" t="n">
        <v>25</v>
      </c>
      <c r="M174" s="12" t="s">
        <v>828</v>
      </c>
      <c r="N174" s="54" t="n">
        <v>0.666666666666667</v>
      </c>
      <c r="O174" s="23"/>
      <c r="P174" s="23"/>
      <c r="Q174" s="23"/>
      <c r="R174" s="23"/>
      <c r="S174" s="23"/>
      <c r="T174" s="23"/>
      <c r="U174" s="23"/>
      <c r="V174" s="23"/>
      <c r="W174" s="23"/>
      <c r="X174" s="23"/>
      <c r="Y174" s="23"/>
      <c r="Z174" s="23"/>
    </row>
    <row r="175" customFormat="false" ht="15.75" hidden="false" customHeight="true" outlineLevel="0" collapsed="false">
      <c r="A175" s="52" t="n">
        <v>46303</v>
      </c>
      <c r="B175" s="14" t="s">
        <v>242</v>
      </c>
      <c r="C175" s="14" t="str">
        <f aca="false" t="array" ref="C175:C175">IF(B175="","",IFERROR(INDEX('CLM &amp; IM Mapping'!$B$2:$B$270,MATCH(TRIM(B175),'CLM &amp; IM Mapping'!$A$2:$A$270,0)),"Not Mapped"))</f>
        <v>Suhas N</v>
      </c>
      <c r="D175" s="14" t="str">
        <f aca="false" t="array" ref="D175:D175">IF(B175="","",IFERROR(INDEX('CLM &amp; IM Mapping'!$C$2:$C$270,MATCH(TRIM(B175),'CLM &amp; IM Mapping'!$A$2:$A$270,0)),"Not Mapped"))</f>
        <v>Aravind S</v>
      </c>
      <c r="E175" s="14" t="n">
        <v>0</v>
      </c>
      <c r="F175" s="14" t="n">
        <v>4</v>
      </c>
      <c r="G175" s="14" t="n">
        <v>0</v>
      </c>
      <c r="H175" s="14" t="n">
        <v>21</v>
      </c>
      <c r="I175" s="14" t="n">
        <v>24</v>
      </c>
      <c r="J175" s="14" t="n">
        <v>8</v>
      </c>
      <c r="K175" s="14" t="n">
        <v>57</v>
      </c>
      <c r="L175" s="14" t="n">
        <v>54</v>
      </c>
      <c r="M175" s="21"/>
      <c r="N175" s="11"/>
      <c r="O175" s="23"/>
      <c r="P175" s="23"/>
      <c r="Q175" s="23"/>
      <c r="R175" s="23"/>
      <c r="S175" s="23"/>
      <c r="T175" s="23"/>
      <c r="U175" s="23"/>
      <c r="V175" s="23"/>
      <c r="W175" s="23"/>
      <c r="X175" s="23"/>
      <c r="Y175" s="23"/>
      <c r="Z175" s="23"/>
    </row>
    <row r="176" customFormat="false" ht="15.75" hidden="false" customHeight="true" outlineLevel="0" collapsed="false">
      <c r="A176" s="52" t="n">
        <v>46303</v>
      </c>
      <c r="B176" s="14" t="s">
        <v>475</v>
      </c>
      <c r="C176" s="14" t="str">
        <f aca="false" t="array" ref="C176:C176">IF(B176="","",IFERROR(INDEX('CLM &amp; IM Mapping'!$B$2:$B$270,MATCH(TRIM(B176),'CLM &amp; IM Mapping'!$A$2:$A$270,0)),"Not Mapped"))</f>
        <v>John Britto</v>
      </c>
      <c r="D176" s="14" t="str">
        <f aca="false" t="array" ref="D176:D176">IF(B176="","",IFERROR(INDEX('CLM &amp; IM Mapping'!$C$2:$C$270,MATCH(TRIM(B176),'CLM &amp; IM Mapping'!$A$2:$A$270,0)),"Not Mapped"))</f>
        <v>Aravind S</v>
      </c>
      <c r="E176" s="14" t="n">
        <v>1</v>
      </c>
      <c r="F176" s="14" t="n">
        <v>37</v>
      </c>
      <c r="G176" s="14"/>
      <c r="H176" s="14" t="n">
        <v>19</v>
      </c>
      <c r="I176" s="14"/>
      <c r="J176" s="14" t="n">
        <v>0</v>
      </c>
      <c r="K176" s="14" t="n">
        <v>57</v>
      </c>
      <c r="L176" s="14" t="n">
        <v>57</v>
      </c>
      <c r="M176" s="21"/>
      <c r="N176" s="11"/>
      <c r="O176" s="23"/>
      <c r="P176" s="23"/>
      <c r="Q176" s="23"/>
      <c r="R176" s="23"/>
      <c r="S176" s="23"/>
      <c r="T176" s="23"/>
      <c r="U176" s="23"/>
      <c r="V176" s="23"/>
      <c r="W176" s="23"/>
      <c r="X176" s="23"/>
      <c r="Y176" s="23"/>
      <c r="Z176" s="23"/>
    </row>
    <row r="177" customFormat="false" ht="15.75" hidden="false" customHeight="true" outlineLevel="0" collapsed="false">
      <c r="A177" s="52" t="n">
        <v>46303</v>
      </c>
      <c r="B177" s="14" t="s">
        <v>337</v>
      </c>
      <c r="C177" s="14" t="str">
        <f aca="false" t="array" ref="C177:C177">IF(B177="","",IFERROR(INDEX('CLM &amp; IM Mapping'!$B$2:$B$270,MATCH(TRIM(B177),'CLM &amp; IM Mapping'!$A$2:$A$270,0)),"Not Mapped"))</f>
        <v>Akshay P</v>
      </c>
      <c r="D177" s="14" t="str">
        <f aca="false" t="array" ref="D177:D177">IF(B177="","",IFERROR(INDEX('CLM &amp; IM Mapping'!$C$2:$C$270,MATCH(TRIM(B177),'CLM &amp; IM Mapping'!$A$2:$A$270,0)),"Not Mapped"))</f>
        <v>Srittam Dhal</v>
      </c>
      <c r="E177" s="14" t="n">
        <v>9</v>
      </c>
      <c r="F177" s="14" t="n">
        <v>44</v>
      </c>
      <c r="G177" s="14" t="n">
        <v>0</v>
      </c>
      <c r="H177" s="14" t="n">
        <v>0</v>
      </c>
      <c r="I177" s="14" t="n">
        <v>1</v>
      </c>
      <c r="J177" s="14" t="n">
        <v>3</v>
      </c>
      <c r="K177" s="14" t="n">
        <v>57</v>
      </c>
      <c r="L177" s="14" t="n">
        <v>57</v>
      </c>
      <c r="M177" s="21"/>
      <c r="N177" s="11"/>
      <c r="O177" s="23"/>
      <c r="P177" s="23"/>
      <c r="Q177" s="23"/>
      <c r="R177" s="23"/>
      <c r="S177" s="23"/>
      <c r="T177" s="23"/>
      <c r="U177" s="23"/>
      <c r="V177" s="23"/>
      <c r="W177" s="23"/>
      <c r="X177" s="23"/>
      <c r="Y177" s="23"/>
      <c r="Z177" s="23"/>
    </row>
    <row r="178" customFormat="false" ht="15.75" hidden="false" customHeight="true" outlineLevel="0" collapsed="false">
      <c r="A178" s="52" t="n">
        <v>46303</v>
      </c>
      <c r="B178" s="14" t="s">
        <v>518</v>
      </c>
      <c r="C178" s="14" t="str">
        <f aca="false" t="array" ref="C178:C178">IF(B178="","",IFERROR(INDEX('CLM &amp; IM Mapping'!$B$2:$B$270,MATCH(TRIM(B178),'CLM &amp; IM Mapping'!$A$2:$A$270,0)),"Not Mapped"))</f>
        <v>Basil Scariya</v>
      </c>
      <c r="D178" s="14" t="str">
        <f aca="false" t="array" ref="D178:D178">IF(B178="","",IFERROR(INDEX('CLM &amp; IM Mapping'!$C$2:$C$270,MATCH(TRIM(B178),'CLM &amp; IM Mapping'!$A$2:$A$270,0)),"Not Mapped"))</f>
        <v>Prakash BS</v>
      </c>
      <c r="E178" s="14" t="n">
        <v>4</v>
      </c>
      <c r="F178" s="14" t="n">
        <v>0</v>
      </c>
      <c r="G178" s="14" t="n">
        <v>0</v>
      </c>
      <c r="H178" s="14" t="n">
        <v>35</v>
      </c>
      <c r="I178" s="14" t="n">
        <v>13</v>
      </c>
      <c r="J178" s="14" t="n">
        <v>5</v>
      </c>
      <c r="K178" s="14" t="n">
        <v>57</v>
      </c>
      <c r="L178" s="14" t="n">
        <v>57</v>
      </c>
      <c r="M178" s="12" t="s">
        <v>834</v>
      </c>
      <c r="N178" s="11"/>
      <c r="O178" s="23"/>
      <c r="P178" s="23"/>
      <c r="Q178" s="23"/>
      <c r="R178" s="23"/>
      <c r="S178" s="23"/>
      <c r="T178" s="23"/>
      <c r="U178" s="23"/>
      <c r="V178" s="23"/>
      <c r="W178" s="23"/>
      <c r="X178" s="23"/>
      <c r="Y178" s="23"/>
      <c r="Z178" s="23"/>
    </row>
    <row r="179" customFormat="false" ht="15.75" hidden="false" customHeight="true" outlineLevel="0" collapsed="false">
      <c r="A179" s="52" t="n">
        <v>46303</v>
      </c>
      <c r="B179" s="14" t="s">
        <v>444</v>
      </c>
      <c r="C179" s="14" t="str">
        <f aca="false" t="array" ref="C179:C179">IF(B179="","",IFERROR(INDEX('CLM &amp; IM Mapping'!$B$2:$B$270,MATCH(TRIM(B179),'CLM &amp; IM Mapping'!$A$2:$A$270,0)),"Not Mapped"))</f>
        <v>Narasimhamurthy R</v>
      </c>
      <c r="D179" s="14" t="str">
        <f aca="false" t="array" ref="D179:D179">IF(B179="","",IFERROR(INDEX('CLM &amp; IM Mapping'!$C$2:$C$270,MATCH(TRIM(B179),'CLM &amp; IM Mapping'!$A$2:$A$270,0)),"Not Mapped"))</f>
        <v>Kishor K</v>
      </c>
      <c r="E179" s="14" t="n">
        <v>1</v>
      </c>
      <c r="F179" s="14" t="n">
        <v>0</v>
      </c>
      <c r="G179" s="14" t="n">
        <v>0</v>
      </c>
      <c r="H179" s="14" t="n">
        <v>29</v>
      </c>
      <c r="I179" s="14" t="n">
        <v>0</v>
      </c>
      <c r="J179" s="14" t="n">
        <v>26</v>
      </c>
      <c r="K179" s="14" t="n">
        <v>56</v>
      </c>
      <c r="L179" s="14" t="n">
        <v>56</v>
      </c>
      <c r="M179" s="12" t="s">
        <v>828</v>
      </c>
      <c r="N179" s="54" t="n">
        <v>0.666666666666667</v>
      </c>
      <c r="O179" s="23"/>
      <c r="P179" s="23"/>
      <c r="Q179" s="23"/>
      <c r="R179" s="23"/>
      <c r="S179" s="23"/>
      <c r="T179" s="23"/>
      <c r="U179" s="23"/>
      <c r="V179" s="23"/>
      <c r="W179" s="23"/>
      <c r="X179" s="23"/>
      <c r="Y179" s="23"/>
      <c r="Z179" s="23"/>
    </row>
    <row r="180" customFormat="false" ht="15.75" hidden="false" customHeight="true" outlineLevel="0" collapsed="false">
      <c r="A180" s="52" t="n">
        <v>46303</v>
      </c>
      <c r="B180" s="14" t="s">
        <v>392</v>
      </c>
      <c r="C180" s="14" t="str">
        <f aca="false" t="array" ref="C180:C180">IF(B180="","",IFERROR(INDEX('CLM &amp; IM Mapping'!$B$2:$B$270,MATCH(TRIM(B180),'CLM &amp; IM Mapping'!$A$2:$A$270,0)),"Not Mapped"))</f>
        <v>Balaji G</v>
      </c>
      <c r="D180" s="14" t="str">
        <f aca="false" t="array" ref="D180:D180">IF(B180="","",IFERROR(INDEX('CLM &amp; IM Mapping'!$C$2:$C$270,MATCH(TRIM(B180),'CLM &amp; IM Mapping'!$A$2:$A$270,0)),"Not Mapped"))</f>
        <v>Mohammed Akbar</v>
      </c>
      <c r="E180" s="14" t="n">
        <v>0</v>
      </c>
      <c r="F180" s="14" t="n">
        <v>1</v>
      </c>
      <c r="G180" s="14" t="n">
        <v>0</v>
      </c>
      <c r="H180" s="14" t="n">
        <v>10</v>
      </c>
      <c r="I180" s="14" t="n">
        <v>43</v>
      </c>
      <c r="J180" s="14" t="n">
        <v>0</v>
      </c>
      <c r="K180" s="14" t="n">
        <v>54</v>
      </c>
      <c r="L180" s="14" t="n">
        <v>54</v>
      </c>
      <c r="M180" s="12" t="s">
        <v>829</v>
      </c>
      <c r="N180" s="54" t="n">
        <v>0.583333333333333</v>
      </c>
      <c r="O180" s="23"/>
      <c r="P180" s="23"/>
      <c r="Q180" s="23"/>
      <c r="R180" s="23"/>
      <c r="S180" s="23"/>
      <c r="T180" s="23"/>
      <c r="U180" s="23"/>
      <c r="V180" s="23"/>
      <c r="W180" s="23"/>
      <c r="X180" s="23"/>
      <c r="Y180" s="23"/>
      <c r="Z180" s="23"/>
    </row>
    <row r="181" customFormat="false" ht="15.75" hidden="false" customHeight="true" outlineLevel="0" collapsed="false">
      <c r="A181" s="52" t="n">
        <v>46303</v>
      </c>
      <c r="B181" s="14" t="s">
        <v>183</v>
      </c>
      <c r="C181" s="14" t="str">
        <f aca="false" t="array" ref="C181:C181">IF(B181="","",IFERROR(INDEX('CLM &amp; IM Mapping'!$B$2:$B$270,MATCH(TRIM(B181),'CLM &amp; IM Mapping'!$A$2:$A$270,0)),"Not Mapped"))</f>
        <v>Saddam Hussain</v>
      </c>
      <c r="D181" s="14" t="str">
        <f aca="false" t="array" ref="D181:D181">IF(B181="","",IFERROR(INDEX('CLM &amp; IM Mapping'!$C$2:$C$270,MATCH(TRIM(B181),'CLM &amp; IM Mapping'!$A$2:$A$270,0)),"Not Mapped"))</f>
        <v>Un Mapped</v>
      </c>
      <c r="E181" s="14" t="n">
        <v>34</v>
      </c>
      <c r="F181" s="14" t="n">
        <v>12</v>
      </c>
      <c r="G181" s="14" t="n">
        <v>0</v>
      </c>
      <c r="H181" s="14" t="n">
        <v>6</v>
      </c>
      <c r="I181" s="14" t="n">
        <v>2</v>
      </c>
      <c r="J181" s="14" t="n">
        <v>0</v>
      </c>
      <c r="K181" s="14" t="n">
        <v>54</v>
      </c>
      <c r="L181" s="14" t="n">
        <v>54</v>
      </c>
      <c r="M181" s="21"/>
      <c r="N181" s="11"/>
      <c r="O181" s="23"/>
      <c r="P181" s="23"/>
      <c r="Q181" s="23"/>
      <c r="R181" s="23"/>
      <c r="S181" s="23"/>
      <c r="T181" s="23"/>
      <c r="U181" s="23"/>
      <c r="V181" s="23"/>
      <c r="W181" s="23"/>
      <c r="X181" s="23"/>
      <c r="Y181" s="23"/>
      <c r="Z181" s="23"/>
    </row>
    <row r="182" customFormat="false" ht="15.75" hidden="false" customHeight="true" outlineLevel="0" collapsed="false">
      <c r="A182" s="52" t="n">
        <v>46303</v>
      </c>
      <c r="B182" s="14" t="s">
        <v>238</v>
      </c>
      <c r="C182" s="14" t="str">
        <f aca="false" t="array" ref="C182:C182">IF(B182="","",IFERROR(INDEX('CLM &amp; IM Mapping'!$B$2:$B$270,MATCH(TRIM(B182),'CLM &amp; IM Mapping'!$A$2:$A$270,0)),"Not Mapped"))</f>
        <v>Suhas N</v>
      </c>
      <c r="D182" s="14" t="str">
        <f aca="false" t="array" ref="D182:D182">IF(B182="","",IFERROR(INDEX('CLM &amp; IM Mapping'!$C$2:$C$270,MATCH(TRIM(B182),'CLM &amp; IM Mapping'!$A$2:$A$270,0)),"Not Mapped"))</f>
        <v>Aravind S</v>
      </c>
      <c r="E182" s="14" t="n">
        <v>21</v>
      </c>
      <c r="F182" s="14" t="n">
        <v>33</v>
      </c>
      <c r="G182" s="14" t="n">
        <v>0</v>
      </c>
      <c r="H182" s="14" t="n">
        <v>0</v>
      </c>
      <c r="I182" s="14" t="n">
        <v>0</v>
      </c>
      <c r="J182" s="14" t="n">
        <v>0</v>
      </c>
      <c r="K182" s="14" t="n">
        <v>54</v>
      </c>
      <c r="L182" s="14" t="n">
        <v>53</v>
      </c>
      <c r="M182" s="21"/>
      <c r="N182" s="11"/>
      <c r="O182" s="23"/>
      <c r="P182" s="23"/>
      <c r="Q182" s="23"/>
      <c r="R182" s="23"/>
      <c r="S182" s="23"/>
      <c r="T182" s="23"/>
      <c r="U182" s="23"/>
      <c r="V182" s="23"/>
      <c r="W182" s="23"/>
      <c r="X182" s="23"/>
      <c r="Y182" s="23"/>
      <c r="Z182" s="23"/>
    </row>
    <row r="183" customFormat="false" ht="15.75" hidden="false" customHeight="true" outlineLevel="0" collapsed="false">
      <c r="A183" s="52" t="n">
        <v>46303</v>
      </c>
      <c r="B183" s="14" t="s">
        <v>425</v>
      </c>
      <c r="C183" s="14" t="str">
        <f aca="false" t="array" ref="C183:C183">IF(B183="","",IFERROR(INDEX('CLM &amp; IM Mapping'!$B$2:$B$270,MATCH(TRIM(B183),'CLM &amp; IM Mapping'!$A$2:$A$270,0)),"Not Mapped"))</f>
        <v>Santhosha M</v>
      </c>
      <c r="D183" s="14" t="str">
        <f aca="false" t="array" ref="D183:D183">IF(B183="","",IFERROR(INDEX('CLM &amp; IM Mapping'!$C$2:$C$270,MATCH(TRIM(B183),'CLM &amp; IM Mapping'!$A$2:$A$270,0)),"Not Mapped"))</f>
        <v>Aravind S</v>
      </c>
      <c r="E183" s="14" t="n">
        <v>7</v>
      </c>
      <c r="F183" s="14" t="n">
        <v>30</v>
      </c>
      <c r="G183" s="14" t="n">
        <v>2</v>
      </c>
      <c r="H183" s="14" t="n">
        <v>1</v>
      </c>
      <c r="I183" s="14" t="n">
        <v>13</v>
      </c>
      <c r="J183" s="14" t="n">
        <v>0</v>
      </c>
      <c r="K183" s="14" t="n">
        <v>53</v>
      </c>
      <c r="L183" s="14" t="n">
        <v>39</v>
      </c>
      <c r="M183" s="21"/>
      <c r="N183" s="11"/>
      <c r="O183" s="23"/>
      <c r="P183" s="23"/>
      <c r="Q183" s="23"/>
      <c r="R183" s="23"/>
      <c r="S183" s="23"/>
      <c r="T183" s="23"/>
      <c r="U183" s="23"/>
      <c r="V183" s="23"/>
      <c r="W183" s="23"/>
      <c r="X183" s="23"/>
      <c r="Y183" s="23"/>
      <c r="Z183" s="23"/>
    </row>
    <row r="184" customFormat="false" ht="15.75" hidden="false" customHeight="true" outlineLevel="0" collapsed="false">
      <c r="A184" s="52" t="n">
        <v>46303</v>
      </c>
      <c r="B184" s="14" t="s">
        <v>420</v>
      </c>
      <c r="C184" s="14" t="str">
        <f aca="false" t="array" ref="C184:C184">IF(B184="","",IFERROR(INDEX('CLM &amp; IM Mapping'!$B$2:$B$270,MATCH(TRIM(B184),'CLM &amp; IM Mapping'!$A$2:$A$270,0)),"Not Mapped"))</f>
        <v>Ravishankar gowda</v>
      </c>
      <c r="D184" s="14" t="str">
        <f aca="false" t="array" ref="D184:D184">IF(B184="","",IFERROR(INDEX('CLM &amp; IM Mapping'!$C$2:$C$270,MATCH(TRIM(B184),'CLM &amp; IM Mapping'!$A$2:$A$270,0)),"Not Mapped"))</f>
        <v>Kishor K</v>
      </c>
      <c r="E184" s="14" t="n">
        <v>5</v>
      </c>
      <c r="F184" s="14" t="n">
        <v>6</v>
      </c>
      <c r="G184" s="14" t="n">
        <v>16</v>
      </c>
      <c r="H184" s="14" t="n">
        <v>23</v>
      </c>
      <c r="I184" s="14" t="n">
        <v>1</v>
      </c>
      <c r="J184" s="14" t="n">
        <v>1</v>
      </c>
      <c r="K184" s="14" t="n">
        <v>52</v>
      </c>
      <c r="L184" s="14" t="n">
        <v>47</v>
      </c>
      <c r="M184" s="12" t="s">
        <v>828</v>
      </c>
      <c r="N184" s="54" t="n">
        <v>0.666666666666667</v>
      </c>
      <c r="O184" s="23"/>
      <c r="P184" s="23"/>
      <c r="Q184" s="23"/>
      <c r="R184" s="23"/>
      <c r="S184" s="23"/>
      <c r="T184" s="23"/>
      <c r="U184" s="23"/>
      <c r="V184" s="23"/>
      <c r="W184" s="23"/>
      <c r="X184" s="23"/>
      <c r="Y184" s="23"/>
      <c r="Z184" s="23"/>
    </row>
    <row r="185" customFormat="false" ht="15.75" hidden="false" customHeight="true" outlineLevel="0" collapsed="false">
      <c r="A185" s="52" t="n">
        <v>46303</v>
      </c>
      <c r="B185" s="14" t="s">
        <v>440</v>
      </c>
      <c r="C185" s="14" t="str">
        <f aca="false" t="array" ref="C185:C185">IF(B185="","",IFERROR(INDEX('CLM &amp; IM Mapping'!$B$2:$B$270,MATCH(TRIM(B185),'CLM &amp; IM Mapping'!$A$2:$A$270,0)),"Not Mapped"))</f>
        <v>Bangareppa CS</v>
      </c>
      <c r="D185" s="14" t="str">
        <f aca="false" t="array" ref="D185:D185">IF(B185="","",IFERROR(INDEX('CLM &amp; IM Mapping'!$C$2:$C$270,MATCH(TRIM(B185),'CLM &amp; IM Mapping'!$A$2:$A$270,0)),"Not Mapped"))</f>
        <v>Kishor K</v>
      </c>
      <c r="E185" s="14" t="n">
        <v>0</v>
      </c>
      <c r="F185" s="14" t="n">
        <v>9</v>
      </c>
      <c r="G185" s="14" t="n">
        <v>0</v>
      </c>
      <c r="H185" s="14" t="n">
        <v>0</v>
      </c>
      <c r="I185" s="14" t="n">
        <v>0</v>
      </c>
      <c r="J185" s="14" t="n">
        <v>42</v>
      </c>
      <c r="K185" s="14" t="n">
        <v>51</v>
      </c>
      <c r="L185" s="14" t="n">
        <v>45</v>
      </c>
      <c r="M185" s="12" t="s">
        <v>828</v>
      </c>
      <c r="N185" s="54" t="n">
        <v>0.666666666666667</v>
      </c>
      <c r="O185" s="23"/>
      <c r="P185" s="23"/>
      <c r="Q185" s="23"/>
      <c r="R185" s="23"/>
      <c r="S185" s="23"/>
      <c r="T185" s="23"/>
      <c r="U185" s="23"/>
      <c r="V185" s="23"/>
      <c r="W185" s="23"/>
      <c r="X185" s="23"/>
      <c r="Y185" s="23"/>
      <c r="Z185" s="23"/>
    </row>
    <row r="186" customFormat="false" ht="15.75" hidden="false" customHeight="true" outlineLevel="0" collapsed="false">
      <c r="A186" s="52" t="n">
        <v>46303</v>
      </c>
      <c r="B186" s="14" t="s">
        <v>402</v>
      </c>
      <c r="C186" s="14" t="str">
        <f aca="false" t="array" ref="C186:C186">IF(B186="","",IFERROR(INDEX('CLM &amp; IM Mapping'!$B$2:$B$270,MATCH(TRIM(B186),'CLM &amp; IM Mapping'!$A$2:$A$270,0)),"Not Mapped"))</f>
        <v>Narasimhamurthy R</v>
      </c>
      <c r="D186" s="14" t="str">
        <f aca="false" t="array" ref="D186:D186">IF(B186="","",IFERROR(INDEX('CLM &amp; IM Mapping'!$C$2:$C$270,MATCH(TRIM(B186),'CLM &amp; IM Mapping'!$A$2:$A$270,0)),"Not Mapped"))</f>
        <v>Kishor K</v>
      </c>
      <c r="E186" s="14" t="n">
        <v>0</v>
      </c>
      <c r="F186" s="14" t="n">
        <v>3</v>
      </c>
      <c r="G186" s="14" t="n">
        <v>0</v>
      </c>
      <c r="H186" s="14" t="n">
        <v>19</v>
      </c>
      <c r="I186" s="14" t="n">
        <v>20</v>
      </c>
      <c r="J186" s="14" t="n">
        <v>8</v>
      </c>
      <c r="K186" s="14" t="n">
        <v>50</v>
      </c>
      <c r="L186" s="14" t="n">
        <v>49</v>
      </c>
      <c r="M186" s="12" t="s">
        <v>828</v>
      </c>
      <c r="N186" s="54" t="n">
        <v>0.666666666666667</v>
      </c>
      <c r="O186" s="23"/>
      <c r="P186" s="23"/>
      <c r="Q186" s="23"/>
      <c r="R186" s="23"/>
      <c r="S186" s="23"/>
      <c r="T186" s="23"/>
      <c r="U186" s="23"/>
      <c r="V186" s="23"/>
      <c r="W186" s="23"/>
      <c r="X186" s="23"/>
      <c r="Y186" s="23"/>
      <c r="Z186" s="23"/>
    </row>
    <row r="187" customFormat="false" ht="15.75" hidden="false" customHeight="true" outlineLevel="0" collapsed="false">
      <c r="A187" s="52" t="n">
        <v>46303</v>
      </c>
      <c r="B187" s="14" t="s">
        <v>233</v>
      </c>
      <c r="C187" s="14" t="str">
        <f aca="false" t="array" ref="C187:C187">IF(B187="","",IFERROR(INDEX('CLM &amp; IM Mapping'!$B$2:$B$270,MATCH(TRIM(B187),'CLM &amp; IM Mapping'!$A$2:$A$270,0)),"Not Mapped"))</f>
        <v>Suhas N</v>
      </c>
      <c r="D187" s="14" t="str">
        <f aca="false" t="array" ref="D187:D187">IF(B187="","",IFERROR(INDEX('CLM &amp; IM Mapping'!$C$2:$C$270,MATCH(TRIM(B187),'CLM &amp; IM Mapping'!$A$2:$A$270,0)),"Not Mapped"))</f>
        <v>Aravind S</v>
      </c>
      <c r="E187" s="14" t="n">
        <v>0</v>
      </c>
      <c r="F187" s="14" t="n">
        <v>36</v>
      </c>
      <c r="G187" s="14" t="n">
        <v>0</v>
      </c>
      <c r="H187" s="14" t="n">
        <v>7</v>
      </c>
      <c r="I187" s="14" t="n">
        <v>0</v>
      </c>
      <c r="J187" s="14" t="n">
        <v>7</v>
      </c>
      <c r="K187" s="14" t="n">
        <v>50</v>
      </c>
      <c r="L187" s="14" t="n">
        <v>41</v>
      </c>
      <c r="M187" s="21"/>
      <c r="N187" s="11"/>
      <c r="O187" s="23"/>
      <c r="P187" s="23"/>
      <c r="Q187" s="23"/>
      <c r="R187" s="23"/>
      <c r="S187" s="23"/>
      <c r="T187" s="23"/>
      <c r="U187" s="23"/>
      <c r="V187" s="23"/>
      <c r="W187" s="23"/>
      <c r="X187" s="23"/>
      <c r="Y187" s="23"/>
      <c r="Z187" s="23"/>
    </row>
    <row r="188" customFormat="false" ht="15.75" hidden="false" customHeight="true" outlineLevel="0" collapsed="false">
      <c r="A188" s="52" t="n">
        <v>46303</v>
      </c>
      <c r="B188" s="14" t="s">
        <v>329</v>
      </c>
      <c r="C188" s="14" t="str">
        <f aca="false" t="array" ref="C188:C188">IF(B188="","",IFERROR(INDEX('CLM &amp; IM Mapping'!$B$2:$B$270,MATCH(TRIM(B188),'CLM &amp; IM Mapping'!$A$2:$A$270,0)),"Not Mapped"))</f>
        <v>Ashwath S</v>
      </c>
      <c r="D188" s="14" t="str">
        <f aca="false" t="array" ref="D188:D188">IF(B188="","",IFERROR(INDEX('CLM &amp; IM Mapping'!$C$2:$C$270,MATCH(TRIM(B188),'CLM &amp; IM Mapping'!$A$2:$A$270,0)),"Not Mapped"))</f>
        <v>Kantha Kumar</v>
      </c>
      <c r="E188" s="14" t="n">
        <v>22</v>
      </c>
      <c r="F188" s="14" t="n">
        <v>21</v>
      </c>
      <c r="G188" s="14" t="n">
        <v>2</v>
      </c>
      <c r="H188" s="14" t="n">
        <v>4</v>
      </c>
      <c r="I188" s="14" t="n">
        <v>1</v>
      </c>
      <c r="J188" s="14" t="n">
        <v>0</v>
      </c>
      <c r="K188" s="14" t="n">
        <v>50</v>
      </c>
      <c r="L188" s="14" t="n">
        <v>39</v>
      </c>
      <c r="M188" s="21"/>
      <c r="N188" s="11"/>
      <c r="O188" s="23"/>
      <c r="P188" s="23"/>
      <c r="Q188" s="23"/>
      <c r="R188" s="23"/>
      <c r="S188" s="23"/>
      <c r="T188" s="23"/>
      <c r="U188" s="23"/>
      <c r="V188" s="23"/>
      <c r="W188" s="23"/>
      <c r="X188" s="23"/>
      <c r="Y188" s="23"/>
      <c r="Z188" s="23"/>
    </row>
    <row r="189" customFormat="false" ht="15.75" hidden="false" customHeight="true" outlineLevel="0" collapsed="false">
      <c r="A189" s="52" t="n">
        <v>46303</v>
      </c>
      <c r="B189" s="14" t="s">
        <v>175</v>
      </c>
      <c r="C189" s="14" t="str">
        <f aca="false" t="array" ref="C189:C189">IF(B189="","",IFERROR(INDEX('CLM &amp; IM Mapping'!$B$2:$B$270,MATCH(TRIM(B189),'CLM &amp; IM Mapping'!$A$2:$A$270,0)),"Not Mapped"))</f>
        <v>Arun Raj</v>
      </c>
      <c r="D189" s="14" t="str">
        <f aca="false" t="array" ref="D189:D189">IF(B189="","",IFERROR(INDEX('CLM &amp; IM Mapping'!$C$2:$C$270,MATCH(TRIM(B189),'CLM &amp; IM Mapping'!$A$2:$A$270,0)),"Not Mapped"))</f>
        <v>Simon Manoharan</v>
      </c>
      <c r="E189" s="14" t="n">
        <v>0</v>
      </c>
      <c r="F189" s="14" t="n">
        <v>2</v>
      </c>
      <c r="G189" s="14" t="n">
        <v>0</v>
      </c>
      <c r="H189" s="14" t="n">
        <v>37</v>
      </c>
      <c r="I189" s="14" t="n">
        <v>10</v>
      </c>
      <c r="J189" s="14"/>
      <c r="K189" s="14" t="n">
        <v>49</v>
      </c>
      <c r="L189" s="14" t="n">
        <v>29</v>
      </c>
      <c r="M189" s="21"/>
      <c r="N189" s="11"/>
      <c r="O189" s="23"/>
      <c r="P189" s="23"/>
      <c r="Q189" s="23"/>
      <c r="R189" s="23"/>
      <c r="S189" s="23"/>
      <c r="T189" s="23"/>
      <c r="U189" s="23"/>
      <c r="V189" s="23"/>
      <c r="W189" s="23"/>
      <c r="X189" s="23"/>
      <c r="Y189" s="23"/>
      <c r="Z189" s="23"/>
    </row>
    <row r="190" customFormat="false" ht="15.75" hidden="false" customHeight="true" outlineLevel="0" collapsed="false">
      <c r="A190" s="52" t="n">
        <v>46303</v>
      </c>
      <c r="B190" s="14" t="s">
        <v>103</v>
      </c>
      <c r="C190" s="14" t="str">
        <f aca="false" t="array" ref="C190:C190">IF(B190="","",IFERROR(INDEX('CLM &amp; IM Mapping'!$B$2:$B$270,MATCH(TRIM(B190),'CLM &amp; IM Mapping'!$A$2:$A$270,0)),"Not Mapped"))</f>
        <v>Girish N</v>
      </c>
      <c r="D190" s="14" t="str">
        <f aca="false" t="array" ref="D190:D190">IF(B190="","",IFERROR(INDEX('CLM &amp; IM Mapping'!$C$2:$C$270,MATCH(TRIM(B190),'CLM &amp; IM Mapping'!$A$2:$A$270,0)),"Not Mapped"))</f>
        <v>Un Mapped</v>
      </c>
      <c r="E190" s="14" t="n">
        <v>0</v>
      </c>
      <c r="F190" s="14" t="n">
        <v>20</v>
      </c>
      <c r="G190" s="14" t="n">
        <v>0</v>
      </c>
      <c r="H190" s="14" t="n">
        <v>21</v>
      </c>
      <c r="I190" s="14" t="n">
        <v>1</v>
      </c>
      <c r="J190" s="14" t="n">
        <v>6</v>
      </c>
      <c r="K190" s="14" t="n">
        <v>48</v>
      </c>
      <c r="L190" s="14" t="n">
        <v>48</v>
      </c>
      <c r="M190" s="21"/>
      <c r="N190" s="11"/>
      <c r="O190" s="23"/>
      <c r="P190" s="23"/>
      <c r="Q190" s="23"/>
      <c r="R190" s="23"/>
      <c r="S190" s="23"/>
      <c r="T190" s="23"/>
      <c r="U190" s="23"/>
      <c r="V190" s="23"/>
      <c r="W190" s="23"/>
      <c r="X190" s="23"/>
      <c r="Y190" s="23"/>
      <c r="Z190" s="23"/>
    </row>
    <row r="191" customFormat="false" ht="15.75" hidden="false" customHeight="true" outlineLevel="0" collapsed="false">
      <c r="A191" s="52" t="n">
        <v>46303</v>
      </c>
      <c r="B191" s="14" t="s">
        <v>245</v>
      </c>
      <c r="C191" s="14" t="str">
        <f aca="false" t="array" ref="C191:C191">IF(B191="","",IFERROR(INDEX('CLM &amp; IM Mapping'!$B$2:$B$270,MATCH(TRIM(B191),'CLM &amp; IM Mapping'!$A$2:$A$270,0)),"Not Mapped"))</f>
        <v>Adhavan Subramani</v>
      </c>
      <c r="D191" s="14" t="str">
        <f aca="false" t="array" ref="D191:D191">IF(B191="","",IFERROR(INDEX('CLM &amp; IM Mapping'!$C$2:$C$270,MATCH(TRIM(B191),'CLM &amp; IM Mapping'!$A$2:$A$270,0)),"Not Mapped"))</f>
        <v>Mohammed Akbar</v>
      </c>
      <c r="E191" s="14" t="n">
        <v>0</v>
      </c>
      <c r="F191" s="14" t="n">
        <v>1</v>
      </c>
      <c r="G191" s="14" t="n">
        <v>0</v>
      </c>
      <c r="H191" s="14" t="n">
        <v>12</v>
      </c>
      <c r="I191" s="14" t="n">
        <v>31</v>
      </c>
      <c r="J191" s="14" t="n">
        <v>3</v>
      </c>
      <c r="K191" s="14" t="n">
        <v>47</v>
      </c>
      <c r="L191" s="14" t="n">
        <v>47</v>
      </c>
      <c r="M191" s="21"/>
      <c r="N191" s="54" t="n">
        <v>0.604166666666667</v>
      </c>
      <c r="O191" s="23"/>
      <c r="P191" s="23"/>
      <c r="Q191" s="23"/>
      <c r="R191" s="23"/>
      <c r="S191" s="23"/>
      <c r="T191" s="23"/>
      <c r="U191" s="23"/>
      <c r="V191" s="23"/>
      <c r="W191" s="23"/>
      <c r="X191" s="23"/>
      <c r="Y191" s="23"/>
      <c r="Z191" s="23"/>
    </row>
    <row r="192" customFormat="false" ht="15.75" hidden="false" customHeight="true" outlineLevel="0" collapsed="false">
      <c r="A192" s="52" t="n">
        <v>46303</v>
      </c>
      <c r="B192" s="14" t="s">
        <v>126</v>
      </c>
      <c r="C192" s="14" t="str">
        <f aca="false" t="array" ref="C192:C192">IF(B192="","",IFERROR(INDEX('CLM &amp; IM Mapping'!$B$2:$B$270,MATCH(TRIM(B192),'CLM &amp; IM Mapping'!$A$2:$A$270,0)),"Not Mapped"))</f>
        <v>Girish N</v>
      </c>
      <c r="D192" s="14" t="str">
        <f aca="false" t="array" ref="D192:D192">IF(B192="","",IFERROR(INDEX('CLM &amp; IM Mapping'!$C$2:$C$270,MATCH(TRIM(B192),'CLM &amp; IM Mapping'!$A$2:$A$270,0)),"Not Mapped"))</f>
        <v>Un Mapped</v>
      </c>
      <c r="E192" s="14" t="n">
        <v>0</v>
      </c>
      <c r="F192" s="14" t="n">
        <v>15</v>
      </c>
      <c r="G192" s="14" t="n">
        <v>0</v>
      </c>
      <c r="H192" s="14" t="n">
        <v>24</v>
      </c>
      <c r="I192" s="14" t="n">
        <v>0</v>
      </c>
      <c r="J192" s="14" t="n">
        <v>8</v>
      </c>
      <c r="K192" s="14" t="n">
        <v>47</v>
      </c>
      <c r="L192" s="14" t="n">
        <v>47</v>
      </c>
      <c r="M192" s="21"/>
      <c r="N192" s="11"/>
      <c r="O192" s="23"/>
      <c r="P192" s="23"/>
      <c r="Q192" s="23"/>
      <c r="R192" s="23"/>
      <c r="S192" s="23"/>
      <c r="T192" s="23"/>
      <c r="U192" s="23"/>
      <c r="V192" s="23"/>
      <c r="W192" s="23"/>
      <c r="X192" s="23"/>
      <c r="Y192" s="23"/>
      <c r="Z192" s="23"/>
    </row>
    <row r="193" customFormat="false" ht="15.75" hidden="false" customHeight="true" outlineLevel="0" collapsed="false">
      <c r="A193" s="52" t="n">
        <v>46303</v>
      </c>
      <c r="B193" s="14" t="s">
        <v>62</v>
      </c>
      <c r="C193" s="14" t="str">
        <f aca="false" t="array" ref="C193:C193">IF(B193="","",IFERROR(INDEX('CLM &amp; IM Mapping'!$B$2:$B$270,MATCH(TRIM(B193),'CLM &amp; IM Mapping'!$A$2:$A$270,0)),"Not Mapped"))</f>
        <v>Basil Scariya</v>
      </c>
      <c r="D193" s="14" t="str">
        <f aca="false" t="array" ref="D193:D193">IF(B193="","",IFERROR(INDEX('CLM &amp; IM Mapping'!$C$2:$C$270,MATCH(TRIM(B193),'CLM &amp; IM Mapping'!$A$2:$A$270,0)),"Not Mapped"))</f>
        <v>Prakash BS</v>
      </c>
      <c r="E193" s="14" t="n">
        <v>2</v>
      </c>
      <c r="F193" s="14" t="n">
        <v>39</v>
      </c>
      <c r="G193" s="14" t="n">
        <v>0</v>
      </c>
      <c r="H193" s="14" t="n">
        <v>5</v>
      </c>
      <c r="I193" s="14" t="n">
        <v>0</v>
      </c>
      <c r="J193" s="14" t="n">
        <v>1</v>
      </c>
      <c r="K193" s="14" t="n">
        <v>47</v>
      </c>
      <c r="L193" s="14" t="n">
        <v>45</v>
      </c>
      <c r="M193" s="12" t="s">
        <v>834</v>
      </c>
      <c r="N193" s="11"/>
      <c r="O193" s="23"/>
      <c r="P193" s="23"/>
      <c r="Q193" s="23"/>
      <c r="R193" s="23"/>
      <c r="S193" s="23"/>
      <c r="T193" s="23"/>
      <c r="U193" s="23"/>
      <c r="V193" s="23"/>
      <c r="W193" s="23"/>
      <c r="X193" s="23"/>
      <c r="Y193" s="23"/>
      <c r="Z193" s="23"/>
    </row>
    <row r="194" customFormat="false" ht="15.75" hidden="false" customHeight="true" outlineLevel="0" collapsed="false">
      <c r="A194" s="52" t="n">
        <v>46303</v>
      </c>
      <c r="B194" s="14" t="s">
        <v>86</v>
      </c>
      <c r="C194" s="14" t="str">
        <f aca="false" t="array" ref="C194:C194">IF(B194="","",IFERROR(INDEX('CLM &amp; IM Mapping'!$B$2:$B$270,MATCH(TRIM(B194),'CLM &amp; IM Mapping'!$A$2:$A$270,0)),"Not Mapped"))</f>
        <v>Raghavendra Vernekar</v>
      </c>
      <c r="D194" s="14" t="str">
        <f aca="false" t="array" ref="D194:D194">IF(B194="","",IFERROR(INDEX('CLM &amp; IM Mapping'!$C$2:$C$270,MATCH(TRIM(B194),'CLM &amp; IM Mapping'!$A$2:$A$270,0)),"Not Mapped"))</f>
        <v>Prakash BS</v>
      </c>
      <c r="E194" s="14" t="n">
        <v>0</v>
      </c>
      <c r="F194" s="14" t="n">
        <v>1</v>
      </c>
      <c r="G194" s="14" t="n">
        <v>0</v>
      </c>
      <c r="H194" s="14" t="n">
        <v>6</v>
      </c>
      <c r="I194" s="14" t="n">
        <v>19</v>
      </c>
      <c r="J194" s="14" t="n">
        <v>21</v>
      </c>
      <c r="K194" s="14" t="n">
        <v>47</v>
      </c>
      <c r="L194" s="14" t="n">
        <v>47</v>
      </c>
      <c r="M194" s="12" t="s">
        <v>834</v>
      </c>
      <c r="N194" s="11"/>
      <c r="O194" s="23"/>
      <c r="P194" s="23"/>
      <c r="Q194" s="23"/>
      <c r="R194" s="23"/>
      <c r="S194" s="23"/>
      <c r="T194" s="23"/>
      <c r="U194" s="23"/>
      <c r="V194" s="23"/>
      <c r="W194" s="23"/>
      <c r="X194" s="23"/>
      <c r="Y194" s="23"/>
      <c r="Z194" s="23"/>
    </row>
    <row r="195" customFormat="false" ht="15.75" hidden="false" customHeight="true" outlineLevel="0" collapsed="false">
      <c r="A195" s="52" t="n">
        <v>46303</v>
      </c>
      <c r="B195" s="14" t="s">
        <v>410</v>
      </c>
      <c r="C195" s="14" t="str">
        <f aca="false" t="array" ref="C195:C195">IF(B195="","",IFERROR(INDEX('CLM &amp; IM Mapping'!$B$2:$B$270,MATCH(TRIM(B195),'CLM &amp; IM Mapping'!$A$2:$A$270,0)),"Not Mapped"))</f>
        <v>Akshay P</v>
      </c>
      <c r="D195" s="14" t="str">
        <f aca="false" t="array" ref="D195:D195">IF(B195="","",IFERROR(INDEX('CLM &amp; IM Mapping'!$C$2:$C$270,MATCH(TRIM(B195),'CLM &amp; IM Mapping'!$A$2:$A$270,0)),"Not Mapped"))</f>
        <v>Srittam Dhal</v>
      </c>
      <c r="E195" s="14" t="n">
        <v>13</v>
      </c>
      <c r="F195" s="14" t="n">
        <v>1</v>
      </c>
      <c r="G195" s="14" t="n">
        <v>4</v>
      </c>
      <c r="H195" s="14" t="n">
        <v>21</v>
      </c>
      <c r="I195" s="14" t="n">
        <v>0</v>
      </c>
      <c r="J195" s="14" t="n">
        <v>3</v>
      </c>
      <c r="K195" s="14" t="n">
        <v>42</v>
      </c>
      <c r="L195" s="14" t="n">
        <v>42</v>
      </c>
      <c r="M195" s="21"/>
      <c r="N195" s="11"/>
      <c r="O195" s="23"/>
      <c r="P195" s="23"/>
      <c r="Q195" s="23"/>
      <c r="R195" s="23"/>
      <c r="S195" s="23"/>
      <c r="T195" s="23"/>
      <c r="U195" s="23"/>
      <c r="V195" s="23"/>
      <c r="W195" s="23"/>
      <c r="X195" s="23"/>
      <c r="Y195" s="23"/>
      <c r="Z195" s="23"/>
    </row>
    <row r="196" customFormat="false" ht="15.75" hidden="false" customHeight="true" outlineLevel="0" collapsed="false">
      <c r="A196" s="52" t="n">
        <v>46303</v>
      </c>
      <c r="B196" s="14" t="s">
        <v>403</v>
      </c>
      <c r="C196" s="14" t="str">
        <f aca="false" t="array" ref="C196:C196">IF(B196="","",IFERROR(INDEX('CLM &amp; IM Mapping'!$B$2:$B$270,MATCH(TRIM(B196),'CLM &amp; IM Mapping'!$A$2:$A$270,0)),"Not Mapped"))</f>
        <v>Narasimhamurthy R</v>
      </c>
      <c r="D196" s="14" t="str">
        <f aca="false" t="array" ref="D196:D196">IF(B196="","",IFERROR(INDEX('CLM &amp; IM Mapping'!$C$2:$C$270,MATCH(TRIM(B196),'CLM &amp; IM Mapping'!$A$2:$A$270,0)),"Not Mapped"))</f>
        <v>Kishor K</v>
      </c>
      <c r="E196" s="14" t="n">
        <v>0</v>
      </c>
      <c r="F196" s="14" t="n">
        <v>5</v>
      </c>
      <c r="G196" s="14" t="n">
        <v>0</v>
      </c>
      <c r="H196" s="14" t="n">
        <v>32</v>
      </c>
      <c r="I196" s="14" t="n">
        <v>3</v>
      </c>
      <c r="J196" s="14" t="n">
        <v>1</v>
      </c>
      <c r="K196" s="14" t="n">
        <v>41</v>
      </c>
      <c r="L196" s="14" t="n">
        <v>41</v>
      </c>
      <c r="M196" s="12" t="s">
        <v>828</v>
      </c>
      <c r="N196" s="54" t="n">
        <v>0.666666666666667</v>
      </c>
      <c r="O196" s="23"/>
      <c r="P196" s="23"/>
      <c r="Q196" s="23"/>
      <c r="R196" s="23"/>
      <c r="S196" s="23"/>
      <c r="T196" s="23"/>
      <c r="U196" s="23"/>
      <c r="V196" s="23"/>
      <c r="W196" s="23"/>
      <c r="X196" s="23"/>
      <c r="Y196" s="23"/>
      <c r="Z196" s="23"/>
    </row>
    <row r="197" customFormat="false" ht="15.75" hidden="false" customHeight="true" outlineLevel="0" collapsed="false">
      <c r="A197" s="52" t="n">
        <v>46303</v>
      </c>
      <c r="B197" s="14" t="s">
        <v>89</v>
      </c>
      <c r="C197" s="14" t="str">
        <f aca="false" t="array" ref="C197:C197">IF(B197="","",IFERROR(INDEX('CLM &amp; IM Mapping'!$B$2:$B$270,MATCH(TRIM(B197),'CLM &amp; IM Mapping'!$A$2:$A$270,0)),"Not Mapped"))</f>
        <v>Raghavendra Vernekar</v>
      </c>
      <c r="D197" s="14" t="str">
        <f aca="false" t="array" ref="D197:D197">IF(B197="","",IFERROR(INDEX('CLM &amp; IM Mapping'!$C$2:$C$270,MATCH(TRIM(B197),'CLM &amp; IM Mapping'!$A$2:$A$270,0)),"Not Mapped"))</f>
        <v>Prakash BS</v>
      </c>
      <c r="E197" s="14" t="n">
        <v>0</v>
      </c>
      <c r="F197" s="14" t="n">
        <v>0</v>
      </c>
      <c r="G197" s="14" t="n">
        <v>0</v>
      </c>
      <c r="H197" s="14" t="n">
        <v>30</v>
      </c>
      <c r="I197" s="14" t="n">
        <v>0</v>
      </c>
      <c r="J197" s="14" t="n">
        <v>10</v>
      </c>
      <c r="K197" s="14" t="n">
        <v>40</v>
      </c>
      <c r="L197" s="14" t="n">
        <v>40</v>
      </c>
      <c r="M197" s="12" t="s">
        <v>834</v>
      </c>
      <c r="N197" s="11"/>
      <c r="O197" s="23"/>
      <c r="P197" s="23"/>
      <c r="Q197" s="23"/>
      <c r="R197" s="23"/>
      <c r="S197" s="23"/>
      <c r="T197" s="23"/>
      <c r="U197" s="23"/>
      <c r="V197" s="23"/>
      <c r="W197" s="23"/>
      <c r="X197" s="23"/>
      <c r="Y197" s="23"/>
      <c r="Z197" s="23"/>
    </row>
    <row r="198" customFormat="false" ht="15.75" hidden="false" customHeight="true" outlineLevel="0" collapsed="false">
      <c r="A198" s="52" t="n">
        <v>46303</v>
      </c>
      <c r="B198" s="14" t="s">
        <v>203</v>
      </c>
      <c r="C198" s="14" t="str">
        <f aca="false" t="array" ref="C198:C198">IF(B198="","",IFERROR(INDEX('CLM &amp; IM Mapping'!$B$2:$B$270,MATCH(TRIM(B198),'CLM &amp; IM Mapping'!$A$2:$A$270,0)),"Not Mapped"))</f>
        <v>Suhas N</v>
      </c>
      <c r="D198" s="14" t="str">
        <f aca="false" t="array" ref="D198:D198">IF(B198="","",IFERROR(INDEX('CLM &amp; IM Mapping'!$C$2:$C$270,MATCH(TRIM(B198),'CLM &amp; IM Mapping'!$A$2:$A$270,0)),"Not Mapped"))</f>
        <v>Aravind S</v>
      </c>
      <c r="E198" s="14" t="n">
        <v>0</v>
      </c>
      <c r="F198" s="14" t="n">
        <v>0</v>
      </c>
      <c r="G198" s="14" t="n">
        <v>2</v>
      </c>
      <c r="H198" s="14" t="n">
        <v>4</v>
      </c>
      <c r="I198" s="14" t="n">
        <v>3</v>
      </c>
      <c r="J198" s="14" t="n">
        <v>30</v>
      </c>
      <c r="K198" s="14" t="n">
        <v>39</v>
      </c>
      <c r="L198" s="14" t="n">
        <v>37</v>
      </c>
      <c r="M198" s="21"/>
      <c r="N198" s="11"/>
      <c r="O198" s="23"/>
      <c r="P198" s="23"/>
      <c r="Q198" s="23"/>
      <c r="R198" s="23"/>
      <c r="S198" s="23"/>
      <c r="T198" s="23"/>
      <c r="U198" s="23"/>
      <c r="V198" s="23"/>
      <c r="W198" s="23"/>
      <c r="X198" s="23"/>
      <c r="Y198" s="23"/>
      <c r="Z198" s="23"/>
    </row>
    <row r="199" customFormat="false" ht="15.75" hidden="false" customHeight="true" outlineLevel="0" collapsed="false">
      <c r="A199" s="52" t="n">
        <v>46303</v>
      </c>
      <c r="B199" s="14" t="s">
        <v>288</v>
      </c>
      <c r="C199" s="14" t="str">
        <f aca="false" t="array" ref="C199:C199">IF(B199="","",IFERROR(INDEX('CLM &amp; IM Mapping'!$B$2:$B$270,MATCH(TRIM(B199),'CLM &amp; IM Mapping'!$A$2:$A$270,0)),"Not Mapped"))</f>
        <v>Arun Raj</v>
      </c>
      <c r="D199" s="14" t="str">
        <f aca="false" t="array" ref="D199:D199">IF(B199="","",IFERROR(INDEX('CLM &amp; IM Mapping'!$C$2:$C$270,MATCH(TRIM(B199),'CLM &amp; IM Mapping'!$A$2:$A$270,0)),"Not Mapped"))</f>
        <v>Simon Manoharan</v>
      </c>
      <c r="E199" s="14"/>
      <c r="F199" s="14" t="n">
        <v>6</v>
      </c>
      <c r="G199" s="14"/>
      <c r="H199" s="14" t="n">
        <v>29</v>
      </c>
      <c r="I199" s="14" t="n">
        <v>3</v>
      </c>
      <c r="J199" s="14" t="n">
        <v>0</v>
      </c>
      <c r="K199" s="14" t="n">
        <v>38</v>
      </c>
      <c r="L199" s="14" t="n">
        <v>2</v>
      </c>
      <c r="M199" s="21"/>
      <c r="N199" s="11"/>
      <c r="O199" s="23"/>
      <c r="P199" s="23"/>
      <c r="Q199" s="23"/>
      <c r="R199" s="23"/>
      <c r="S199" s="23"/>
      <c r="T199" s="23"/>
      <c r="U199" s="23"/>
      <c r="V199" s="23"/>
      <c r="W199" s="23"/>
      <c r="X199" s="23"/>
      <c r="Y199" s="23"/>
      <c r="Z199" s="23"/>
    </row>
    <row r="200" customFormat="false" ht="15.75" hidden="false" customHeight="true" outlineLevel="0" collapsed="false">
      <c r="A200" s="52" t="n">
        <v>46303</v>
      </c>
      <c r="B200" s="14" t="s">
        <v>527</v>
      </c>
      <c r="C200" s="14" t="str">
        <f aca="false" t="array" ref="C200:C200">IF(B200="","",IFERROR(INDEX('CLM &amp; IM Mapping'!$B$2:$B$270,MATCH(TRIM(B200),'CLM &amp; IM Mapping'!$A$2:$A$270,0)),"Not Mapped"))</f>
        <v>Suhas N</v>
      </c>
      <c r="D200" s="14" t="str">
        <f aca="false" t="array" ref="D200:D200">IF(B200="","",IFERROR(INDEX('CLM &amp; IM Mapping'!$C$2:$C$270,MATCH(TRIM(B200),'CLM &amp; IM Mapping'!$A$2:$A$270,0)),"Not Mapped"))</f>
        <v>Aravind S</v>
      </c>
      <c r="E200" s="14" t="n">
        <v>1</v>
      </c>
      <c r="F200" s="14" t="n">
        <v>13</v>
      </c>
      <c r="G200" s="14"/>
      <c r="H200" s="14" t="n">
        <v>7</v>
      </c>
      <c r="I200" s="14" t="n">
        <v>17</v>
      </c>
      <c r="J200" s="14" t="n">
        <v>0</v>
      </c>
      <c r="K200" s="14" t="n">
        <v>38</v>
      </c>
      <c r="L200" s="14" t="n">
        <v>36</v>
      </c>
      <c r="M200" s="21"/>
      <c r="N200" s="11"/>
      <c r="O200" s="23"/>
      <c r="P200" s="23"/>
      <c r="Q200" s="23"/>
      <c r="R200" s="23"/>
      <c r="S200" s="23"/>
      <c r="T200" s="23"/>
      <c r="U200" s="23"/>
      <c r="V200" s="23"/>
      <c r="W200" s="23"/>
      <c r="X200" s="23"/>
      <c r="Y200" s="23"/>
      <c r="Z200" s="23"/>
    </row>
    <row r="201" customFormat="false" ht="15.75" hidden="false" customHeight="true" outlineLevel="0" collapsed="false">
      <c r="A201" s="52" t="n">
        <v>46303</v>
      </c>
      <c r="B201" s="14" t="s">
        <v>436</v>
      </c>
      <c r="C201" s="14" t="str">
        <f aca="false" t="array" ref="C201:C201">IF(B201="","",IFERROR(INDEX('CLM &amp; IM Mapping'!$B$2:$B$270,MATCH(TRIM(B201),'CLM &amp; IM Mapping'!$A$2:$A$270,0)),"Not Mapped"))</f>
        <v>Narasimhamurthy R</v>
      </c>
      <c r="D201" s="14" t="str">
        <f aca="false" t="array" ref="D201:D201">IF(B201="","",IFERROR(INDEX('CLM &amp; IM Mapping'!$C$2:$C$270,MATCH(TRIM(B201),'CLM &amp; IM Mapping'!$A$2:$A$270,0)),"Not Mapped"))</f>
        <v>Kishor K</v>
      </c>
      <c r="E201" s="14" t="n">
        <v>7</v>
      </c>
      <c r="F201" s="14" t="n">
        <v>2</v>
      </c>
      <c r="G201" s="14" t="n">
        <v>14</v>
      </c>
      <c r="H201" s="14" t="n">
        <v>0</v>
      </c>
      <c r="I201" s="14" t="n">
        <v>1</v>
      </c>
      <c r="J201" s="14" t="n">
        <v>13</v>
      </c>
      <c r="K201" s="14" t="n">
        <v>37</v>
      </c>
      <c r="L201" s="14" t="n">
        <v>37</v>
      </c>
      <c r="M201" s="12" t="s">
        <v>828</v>
      </c>
      <c r="N201" s="54" t="n">
        <v>0.666666666666667</v>
      </c>
      <c r="O201" s="23"/>
      <c r="P201" s="23"/>
      <c r="Q201" s="23"/>
      <c r="R201" s="23"/>
      <c r="S201" s="23"/>
      <c r="T201" s="23"/>
      <c r="U201" s="23"/>
      <c r="V201" s="23"/>
      <c r="W201" s="23"/>
      <c r="X201" s="23"/>
      <c r="Y201" s="23"/>
      <c r="Z201" s="23"/>
    </row>
    <row r="202" customFormat="false" ht="15.75" hidden="false" customHeight="true" outlineLevel="0" collapsed="false">
      <c r="A202" s="52" t="n">
        <v>46303</v>
      </c>
      <c r="B202" s="14" t="s">
        <v>224</v>
      </c>
      <c r="C202" s="14" t="str">
        <f aca="false" t="array" ref="C202:C202">IF(B202="","",IFERROR(INDEX('CLM &amp; IM Mapping'!$B$2:$B$270,MATCH(TRIM(B202),'CLM &amp; IM Mapping'!$A$2:$A$270,0)),"Not Mapped"))</f>
        <v>Vishnu V</v>
      </c>
      <c r="D202" s="14" t="str">
        <f aca="false" t="array" ref="D202:D202">IF(B202="","",IFERROR(INDEX('CLM &amp; IM Mapping'!$C$2:$C$270,MATCH(TRIM(B202),'CLM &amp; IM Mapping'!$A$2:$A$270,0)),"Not Mapped"))</f>
        <v>Arivind S</v>
      </c>
      <c r="E202" s="14" t="n">
        <v>0</v>
      </c>
      <c r="F202" s="14" t="n">
        <v>32</v>
      </c>
      <c r="G202" s="14"/>
      <c r="H202" s="14" t="n">
        <v>5</v>
      </c>
      <c r="I202" s="14"/>
      <c r="J202" s="14"/>
      <c r="K202" s="14" t="n">
        <v>37</v>
      </c>
      <c r="L202" s="14" t="n">
        <v>13</v>
      </c>
      <c r="M202" s="21"/>
      <c r="N202" s="11"/>
      <c r="O202" s="23"/>
      <c r="P202" s="23"/>
      <c r="Q202" s="23"/>
      <c r="R202" s="23"/>
      <c r="S202" s="23"/>
      <c r="T202" s="23"/>
      <c r="U202" s="23"/>
      <c r="V202" s="23"/>
      <c r="W202" s="23"/>
      <c r="X202" s="23"/>
      <c r="Y202" s="23"/>
      <c r="Z202" s="23"/>
    </row>
    <row r="203" customFormat="false" ht="15.75" hidden="false" customHeight="true" outlineLevel="0" collapsed="false">
      <c r="A203" s="52" t="n">
        <v>46303</v>
      </c>
      <c r="B203" s="14" t="s">
        <v>219</v>
      </c>
      <c r="C203" s="14" t="str">
        <f aca="false" t="array" ref="C203:C203">IF(B203="","",IFERROR(INDEX('CLM &amp; IM Mapping'!$B$2:$B$270,MATCH(TRIM(B203),'CLM &amp; IM Mapping'!$A$2:$A$270,0)),"Not Mapped"))</f>
        <v>Arun Raj</v>
      </c>
      <c r="D203" s="14" t="str">
        <f aca="false" t="array" ref="D203:D203">IF(B203="","",IFERROR(INDEX('CLM &amp; IM Mapping'!$C$2:$C$270,MATCH(TRIM(B203),'CLM &amp; IM Mapping'!$A$2:$A$270,0)),"Not Mapped"))</f>
        <v>Simon Manoharan</v>
      </c>
      <c r="E203" s="14" t="n">
        <v>15</v>
      </c>
      <c r="F203" s="14" t="n">
        <v>10</v>
      </c>
      <c r="G203" s="14" t="n">
        <v>5</v>
      </c>
      <c r="H203" s="14" t="n">
        <v>1</v>
      </c>
      <c r="I203" s="14" t="n">
        <v>2</v>
      </c>
      <c r="J203" s="14"/>
      <c r="K203" s="14" t="n">
        <v>33</v>
      </c>
      <c r="L203" s="14" t="n">
        <v>31</v>
      </c>
      <c r="M203" s="21"/>
      <c r="N203" s="11"/>
      <c r="O203" s="23"/>
      <c r="P203" s="23"/>
      <c r="Q203" s="23"/>
      <c r="R203" s="23"/>
      <c r="S203" s="23"/>
      <c r="T203" s="23"/>
      <c r="U203" s="23"/>
      <c r="V203" s="23"/>
      <c r="W203" s="23"/>
      <c r="X203" s="23"/>
      <c r="Y203" s="23"/>
      <c r="Z203" s="23"/>
    </row>
    <row r="204" customFormat="false" ht="15.75" hidden="false" customHeight="true" outlineLevel="0" collapsed="false">
      <c r="A204" s="52" t="n">
        <v>46303</v>
      </c>
      <c r="B204" s="14" t="s">
        <v>344</v>
      </c>
      <c r="C204" s="14" t="str">
        <f aca="false" t="array" ref="C204:C204">IF(B204="","",IFERROR(INDEX('CLM &amp; IM Mapping'!$B$2:$B$270,MATCH(TRIM(B204),'CLM &amp; IM Mapping'!$A$2:$A$270,0)),"Not Mapped"))</f>
        <v>Arun Raj</v>
      </c>
      <c r="D204" s="14" t="str">
        <f aca="false" t="array" ref="D204:D204">IF(B204="","",IFERROR(INDEX('CLM &amp; IM Mapping'!$C$2:$C$270,MATCH(TRIM(B204),'CLM &amp; IM Mapping'!$A$2:$A$270,0)),"Not Mapped"))</f>
        <v>Simon Manoharan</v>
      </c>
      <c r="E204" s="14" t="n">
        <v>0</v>
      </c>
      <c r="F204" s="14" t="n">
        <v>3</v>
      </c>
      <c r="G204" s="14" t="n">
        <v>0</v>
      </c>
      <c r="H204" s="14" t="n">
        <v>23</v>
      </c>
      <c r="I204" s="14" t="n">
        <v>6</v>
      </c>
      <c r="J204" s="14"/>
      <c r="K204" s="14" t="n">
        <v>32</v>
      </c>
      <c r="L204" s="14" t="n">
        <v>25</v>
      </c>
      <c r="M204" s="21"/>
      <c r="N204" s="11"/>
      <c r="O204" s="23"/>
      <c r="P204" s="23"/>
      <c r="Q204" s="23"/>
      <c r="R204" s="23"/>
      <c r="S204" s="23"/>
      <c r="T204" s="23"/>
      <c r="U204" s="23"/>
      <c r="V204" s="23"/>
      <c r="W204" s="23"/>
      <c r="X204" s="23"/>
      <c r="Y204" s="23"/>
      <c r="Z204" s="23"/>
    </row>
    <row r="205" customFormat="false" ht="15.75" hidden="false" customHeight="true" outlineLevel="0" collapsed="false">
      <c r="A205" s="52" t="n">
        <v>46303</v>
      </c>
      <c r="B205" s="14" t="s">
        <v>503</v>
      </c>
      <c r="C205" s="14" t="str">
        <f aca="false" t="array" ref="C205:C205">IF(B205="","",IFERROR(INDEX('CLM &amp; IM Mapping'!$B$2:$B$270,MATCH(TRIM(B205),'CLM &amp; IM Mapping'!$A$2:$A$270,0)),"Not Mapped"))</f>
        <v>Santhosha M</v>
      </c>
      <c r="D205" s="14" t="str">
        <f aca="false" t="array" ref="D205:D205">IF(B205="","",IFERROR(INDEX('CLM &amp; IM Mapping'!$C$2:$C$270,MATCH(TRIM(B205),'CLM &amp; IM Mapping'!$A$2:$A$270,0)),"Not Mapped"))</f>
        <v>Aravind S</v>
      </c>
      <c r="E205" s="14" t="n">
        <v>19</v>
      </c>
      <c r="F205" s="14" t="n">
        <v>4</v>
      </c>
      <c r="G205" s="14" t="n">
        <v>2</v>
      </c>
      <c r="H205" s="14" t="n">
        <v>0</v>
      </c>
      <c r="I205" s="14" t="n">
        <v>1</v>
      </c>
      <c r="J205" s="14" t="n">
        <v>0</v>
      </c>
      <c r="K205" s="14" t="n">
        <v>26</v>
      </c>
      <c r="L205" s="14" t="n">
        <v>26</v>
      </c>
      <c r="M205" s="21"/>
      <c r="N205" s="11"/>
      <c r="O205" s="23"/>
      <c r="P205" s="23"/>
      <c r="Q205" s="23"/>
      <c r="R205" s="23"/>
      <c r="S205" s="23"/>
      <c r="T205" s="23"/>
      <c r="U205" s="23"/>
      <c r="V205" s="23"/>
      <c r="W205" s="23"/>
      <c r="X205" s="23"/>
      <c r="Y205" s="23"/>
      <c r="Z205" s="23"/>
    </row>
    <row r="206" customFormat="false" ht="15.75" hidden="false" customHeight="true" outlineLevel="0" collapsed="false">
      <c r="A206" s="52" t="n">
        <v>46303</v>
      </c>
      <c r="B206" s="14" t="s">
        <v>458</v>
      </c>
      <c r="C206" s="14" t="str">
        <f aca="false" t="array" ref="C206:C206">IF(B206="","",IFERROR(INDEX('CLM &amp; IM Mapping'!$B$2:$B$270,MATCH(TRIM(B206),'CLM &amp; IM Mapping'!$A$2:$A$270,0)),"Not Mapped"))</f>
        <v>John Britto</v>
      </c>
      <c r="D206" s="14" t="str">
        <f aca="false" t="array" ref="D206:D206">IF(B206="","",IFERROR(INDEX('CLM &amp; IM Mapping'!$C$2:$C$270,MATCH(TRIM(B206),'CLM &amp; IM Mapping'!$A$2:$A$270,0)),"Not Mapped"))</f>
        <v>Aravind S</v>
      </c>
      <c r="E206" s="14" t="n">
        <v>0</v>
      </c>
      <c r="F206" s="14" t="n">
        <v>15</v>
      </c>
      <c r="G206" s="14" t="n">
        <v>0</v>
      </c>
      <c r="H206" s="14" t="n">
        <v>9</v>
      </c>
      <c r="I206" s="14" t="n">
        <v>0</v>
      </c>
      <c r="J206" s="14" t="n">
        <v>0</v>
      </c>
      <c r="K206" s="14" t="n">
        <v>24</v>
      </c>
      <c r="L206" s="14" t="n">
        <v>24</v>
      </c>
      <c r="M206" s="21"/>
      <c r="N206" s="11"/>
      <c r="O206" s="23"/>
      <c r="P206" s="23"/>
      <c r="Q206" s="23"/>
      <c r="R206" s="23"/>
      <c r="S206" s="23"/>
      <c r="T206" s="23"/>
      <c r="U206" s="23"/>
      <c r="V206" s="23"/>
      <c r="W206" s="23"/>
      <c r="X206" s="23"/>
      <c r="Y206" s="23"/>
      <c r="Z206" s="23"/>
    </row>
    <row r="207" customFormat="false" ht="15.75" hidden="false" customHeight="true" outlineLevel="0" collapsed="false">
      <c r="A207" s="52" t="n">
        <v>46303</v>
      </c>
      <c r="B207" s="14" t="s">
        <v>515</v>
      </c>
      <c r="C207" s="14" t="str">
        <f aca="false" t="array" ref="C207:C207">IF(B207="","",IFERROR(INDEX('CLM &amp; IM Mapping'!$B$2:$B$270,MATCH(TRIM(B207),'CLM &amp; IM Mapping'!$A$2:$A$270,0)),"Not Mapped"))</f>
        <v>Balaji G</v>
      </c>
      <c r="D207" s="14" t="str">
        <f aca="false" t="array" ref="D207:D207">IF(B207="","",IFERROR(INDEX('CLM &amp; IM Mapping'!$C$2:$C$270,MATCH(TRIM(B207),'CLM &amp; IM Mapping'!$A$2:$A$270,0)),"Not Mapped"))</f>
        <v>Mohammed Akbar</v>
      </c>
      <c r="E207" s="14" t="n">
        <v>9</v>
      </c>
      <c r="F207" s="14" t="n">
        <v>3</v>
      </c>
      <c r="G207" s="14" t="n">
        <v>4</v>
      </c>
      <c r="H207" s="14" t="n">
        <v>4</v>
      </c>
      <c r="I207" s="14" t="n">
        <v>1</v>
      </c>
      <c r="J207" s="14" t="n">
        <v>3</v>
      </c>
      <c r="K207" s="14" t="n">
        <v>24</v>
      </c>
      <c r="L207" s="14" t="n">
        <v>24</v>
      </c>
      <c r="M207" s="12" t="s">
        <v>818</v>
      </c>
      <c r="N207" s="11"/>
      <c r="O207" s="23"/>
      <c r="P207" s="23"/>
      <c r="Q207" s="23"/>
      <c r="R207" s="23"/>
      <c r="S207" s="23"/>
      <c r="T207" s="23"/>
      <c r="U207" s="23"/>
      <c r="V207" s="23"/>
      <c r="W207" s="23"/>
      <c r="X207" s="23"/>
      <c r="Y207" s="23"/>
      <c r="Z207" s="23"/>
    </row>
    <row r="208" customFormat="false" ht="15.75" hidden="false" customHeight="true" outlineLevel="0" collapsed="false">
      <c r="A208" s="52" t="n">
        <v>46303</v>
      </c>
      <c r="B208" s="14" t="s">
        <v>345</v>
      </c>
      <c r="C208" s="14" t="str">
        <f aca="false" t="array" ref="C208:C208">IF(B208="","",IFERROR(INDEX('CLM &amp; IM Mapping'!$B$2:$B$270,MATCH(TRIM(B208),'CLM &amp; IM Mapping'!$A$2:$A$270,0)),"Not Mapped"))</f>
        <v>John Britto</v>
      </c>
      <c r="D208" s="14" t="str">
        <f aca="false" t="array" ref="D208:D208">IF(B208="","",IFERROR(INDEX('CLM &amp; IM Mapping'!$C$2:$C$270,MATCH(TRIM(B208),'CLM &amp; IM Mapping'!$A$2:$A$270,0)),"Not Mapped"))</f>
        <v>Aravind S</v>
      </c>
      <c r="E208" s="14" t="n">
        <v>0</v>
      </c>
      <c r="F208" s="14" t="n">
        <v>22</v>
      </c>
      <c r="G208" s="14" t="n">
        <v>0</v>
      </c>
      <c r="H208" s="14" t="n">
        <v>1</v>
      </c>
      <c r="I208" s="14" t="n">
        <v>0</v>
      </c>
      <c r="J208" s="14" t="n">
        <v>1</v>
      </c>
      <c r="K208" s="14" t="n">
        <v>24</v>
      </c>
      <c r="L208" s="14" t="n">
        <v>24</v>
      </c>
      <c r="M208" s="21"/>
      <c r="N208" s="11"/>
      <c r="O208" s="23"/>
      <c r="P208" s="23"/>
      <c r="Q208" s="23"/>
      <c r="R208" s="23"/>
      <c r="S208" s="23"/>
      <c r="T208" s="23"/>
      <c r="U208" s="23"/>
      <c r="V208" s="23"/>
      <c r="W208" s="23"/>
      <c r="X208" s="23"/>
      <c r="Y208" s="23"/>
      <c r="Z208" s="23"/>
    </row>
    <row r="209" customFormat="false" ht="15.75" hidden="false" customHeight="true" outlineLevel="0" collapsed="false">
      <c r="A209" s="52" t="n">
        <v>46303</v>
      </c>
      <c r="B209" s="14" t="s">
        <v>298</v>
      </c>
      <c r="C209" s="14" t="str">
        <f aca="false" t="array" ref="C209:C209">IF(B209="","",IFERROR(INDEX('CLM &amp; IM Mapping'!$B$2:$B$270,MATCH(TRIM(B209),'CLM &amp; IM Mapping'!$A$2:$A$270,0)),"Not Mapped"))</f>
        <v>Ravishankar gowda</v>
      </c>
      <c r="D209" s="14" t="str">
        <f aca="false" t="array" ref="D209:D209">IF(B209="","",IFERROR(INDEX('CLM &amp; IM Mapping'!$C$2:$C$270,MATCH(TRIM(B209),'CLM &amp; IM Mapping'!$A$2:$A$270,0)),"Not Mapped"))</f>
        <v>Kishor K</v>
      </c>
      <c r="E209" s="14" t="n">
        <v>2</v>
      </c>
      <c r="F209" s="14" t="n">
        <v>0</v>
      </c>
      <c r="G209" s="14" t="n">
        <v>0</v>
      </c>
      <c r="H209" s="14" t="n">
        <v>2</v>
      </c>
      <c r="I209" s="14" t="n">
        <v>5</v>
      </c>
      <c r="J209" s="14" t="n">
        <v>15</v>
      </c>
      <c r="K209" s="14" t="n">
        <v>24</v>
      </c>
      <c r="L209" s="14" t="n">
        <v>24</v>
      </c>
      <c r="M209" s="12" t="s">
        <v>828</v>
      </c>
      <c r="N209" s="54" t="n">
        <v>0.666666666666667</v>
      </c>
      <c r="O209" s="23"/>
      <c r="P209" s="23"/>
      <c r="Q209" s="23"/>
      <c r="R209" s="23"/>
      <c r="S209" s="23"/>
      <c r="T209" s="23"/>
      <c r="U209" s="23"/>
      <c r="V209" s="23"/>
      <c r="W209" s="23"/>
      <c r="X209" s="23"/>
      <c r="Y209" s="23"/>
      <c r="Z209" s="23"/>
    </row>
    <row r="210" customFormat="false" ht="15.75" hidden="false" customHeight="true" outlineLevel="0" collapsed="false">
      <c r="A210" s="52" t="n">
        <v>46303</v>
      </c>
      <c r="B210" s="14" t="s">
        <v>388</v>
      </c>
      <c r="C210" s="14" t="str">
        <f aca="false" t="array" ref="C210:C210">IF(B210="","",IFERROR(INDEX('CLM &amp; IM Mapping'!$B$2:$B$270,MATCH(TRIM(B210),'CLM &amp; IM Mapping'!$A$2:$A$270,0)),"Not Mapped"))</f>
        <v>Arun Raj</v>
      </c>
      <c r="D210" s="14" t="str">
        <f aca="false" t="array" ref="D210:D210">IF(B210="","",IFERROR(INDEX('CLM &amp; IM Mapping'!$C$2:$C$270,MATCH(TRIM(B210),'CLM &amp; IM Mapping'!$A$2:$A$270,0)),"Not Mapped"))</f>
        <v>Simon Manoharan</v>
      </c>
      <c r="E210" s="14" t="n">
        <v>0</v>
      </c>
      <c r="F210" s="14" t="n">
        <v>0</v>
      </c>
      <c r="G210" s="14" t="n">
        <v>0</v>
      </c>
      <c r="H210" s="14" t="n">
        <v>21</v>
      </c>
      <c r="I210" s="14" t="n">
        <v>2</v>
      </c>
      <c r="J210" s="14"/>
      <c r="K210" s="14" t="n">
        <v>23</v>
      </c>
      <c r="L210" s="14" t="n">
        <v>22</v>
      </c>
      <c r="M210" s="21"/>
      <c r="N210" s="11"/>
      <c r="O210" s="23"/>
      <c r="P210" s="23"/>
      <c r="Q210" s="23"/>
      <c r="R210" s="23"/>
      <c r="S210" s="23"/>
      <c r="T210" s="23"/>
      <c r="U210" s="23"/>
      <c r="V210" s="23"/>
      <c r="W210" s="23"/>
      <c r="X210" s="23"/>
      <c r="Y210" s="23"/>
      <c r="Z210" s="23"/>
    </row>
    <row r="211" customFormat="false" ht="15.75" hidden="false" customHeight="true" outlineLevel="0" collapsed="false">
      <c r="A211" s="52" t="n">
        <v>46303</v>
      </c>
      <c r="B211" s="14" t="s">
        <v>391</v>
      </c>
      <c r="C211" s="14" t="str">
        <f aca="false" t="array" ref="C211:C211">IF(B211="","",IFERROR(INDEX('CLM &amp; IM Mapping'!$B$2:$B$270,MATCH(TRIM(B211),'CLM &amp; IM Mapping'!$A$2:$A$270,0)),"Not Mapped"))</f>
        <v>John Britto</v>
      </c>
      <c r="D211" s="14" t="str">
        <f aca="false" t="array" ref="D211:D211">IF(B211="","",IFERROR(INDEX('CLM &amp; IM Mapping'!$C$2:$C$270,MATCH(TRIM(B211),'CLM &amp; IM Mapping'!$A$2:$A$270,0)),"Not Mapped"))</f>
        <v>Aravind S</v>
      </c>
      <c r="E211" s="14" t="n">
        <v>0</v>
      </c>
      <c r="F211" s="14" t="n">
        <v>0</v>
      </c>
      <c r="G211" s="14" t="n">
        <v>1</v>
      </c>
      <c r="H211" s="14" t="n">
        <v>0</v>
      </c>
      <c r="I211" s="14" t="n">
        <v>0</v>
      </c>
      <c r="J211" s="14" t="n">
        <v>22</v>
      </c>
      <c r="K211" s="14" t="n">
        <v>23</v>
      </c>
      <c r="L211" s="14" t="n">
        <v>1</v>
      </c>
      <c r="M211" s="21"/>
      <c r="N211" s="11"/>
      <c r="O211" s="23"/>
      <c r="P211" s="23"/>
      <c r="Q211" s="23"/>
      <c r="R211" s="23"/>
      <c r="S211" s="23"/>
      <c r="T211" s="23"/>
      <c r="U211" s="23"/>
      <c r="V211" s="23"/>
      <c r="W211" s="23"/>
      <c r="X211" s="23"/>
      <c r="Y211" s="23"/>
      <c r="Z211" s="23"/>
    </row>
    <row r="212" customFormat="false" ht="15.75" hidden="false" customHeight="true" outlineLevel="0" collapsed="false">
      <c r="A212" s="52" t="n">
        <v>46303</v>
      </c>
      <c r="B212" s="14" t="s">
        <v>334</v>
      </c>
      <c r="C212" s="14" t="str">
        <f aca="false" t="array" ref="C212:C212">IF(B212="","",IFERROR(INDEX('CLM &amp; IM Mapping'!$B$2:$B$270,MATCH(TRIM(B212),'CLM &amp; IM Mapping'!$A$2:$A$270,0)),"Not Mapped"))</f>
        <v>Akshay P</v>
      </c>
      <c r="D212" s="14" t="str">
        <f aca="false" t="array" ref="D212:D212">IF(B212="","",IFERROR(INDEX('CLM &amp; IM Mapping'!$C$2:$C$270,MATCH(TRIM(B212),'CLM &amp; IM Mapping'!$A$2:$A$270,0)),"Not Mapped"))</f>
        <v>Srittam Dhal</v>
      </c>
      <c r="E212" s="14" t="n">
        <v>0</v>
      </c>
      <c r="F212" s="14" t="n">
        <v>0</v>
      </c>
      <c r="G212" s="14" t="n">
        <v>0</v>
      </c>
      <c r="H212" s="14" t="n">
        <v>1</v>
      </c>
      <c r="I212" s="14" t="n">
        <v>0</v>
      </c>
      <c r="J212" s="14" t="n">
        <v>22</v>
      </c>
      <c r="K212" s="14" t="n">
        <v>23</v>
      </c>
      <c r="L212" s="14" t="n">
        <v>23</v>
      </c>
      <c r="M212" s="21"/>
      <c r="N212" s="11"/>
      <c r="O212" s="23"/>
      <c r="P212" s="23"/>
      <c r="Q212" s="23"/>
      <c r="R212" s="23"/>
      <c r="S212" s="23"/>
      <c r="T212" s="23"/>
      <c r="U212" s="23"/>
      <c r="V212" s="23"/>
      <c r="W212" s="23"/>
      <c r="X212" s="23"/>
      <c r="Y212" s="23"/>
      <c r="Z212" s="23"/>
    </row>
    <row r="213" customFormat="false" ht="15.75" hidden="false" customHeight="true" outlineLevel="0" collapsed="false">
      <c r="A213" s="52" t="n">
        <v>46303</v>
      </c>
      <c r="B213" s="14" t="s">
        <v>136</v>
      </c>
      <c r="C213" s="14" t="str">
        <f aca="false" t="array" ref="C213:C213">IF(B213="","",IFERROR(INDEX('CLM &amp; IM Mapping'!$B$2:$B$270,MATCH(TRIM(B213),'CLM &amp; IM Mapping'!$A$2:$A$270,0)),"Not Mapped"))</f>
        <v>Arun Raj</v>
      </c>
      <c r="D213" s="14" t="str">
        <f aca="false" t="array" ref="D213:D213">IF(B213="","",IFERROR(INDEX('CLM &amp; IM Mapping'!$C$2:$C$270,MATCH(TRIM(B213),'CLM &amp; IM Mapping'!$A$2:$A$270,0)),"Not Mapped"))</f>
        <v>Simon Manoharan</v>
      </c>
      <c r="E213" s="14" t="n">
        <v>14</v>
      </c>
      <c r="F213" s="14" t="n">
        <v>0</v>
      </c>
      <c r="G213" s="14" t="n">
        <v>8</v>
      </c>
      <c r="H213" s="14" t="n">
        <v>0</v>
      </c>
      <c r="I213" s="14" t="n">
        <v>0</v>
      </c>
      <c r="J213" s="14"/>
      <c r="K213" s="14" t="n">
        <v>22</v>
      </c>
      <c r="L213" s="14" t="n">
        <v>22</v>
      </c>
      <c r="M213" s="21"/>
      <c r="N213" s="11"/>
      <c r="O213" s="23"/>
      <c r="P213" s="23"/>
      <c r="Q213" s="23"/>
      <c r="R213" s="23"/>
      <c r="S213" s="23"/>
      <c r="T213" s="23"/>
      <c r="U213" s="23"/>
      <c r="V213" s="23"/>
      <c r="W213" s="23"/>
      <c r="X213" s="23"/>
      <c r="Y213" s="23"/>
      <c r="Z213" s="23"/>
    </row>
    <row r="214" customFormat="false" ht="15.75" hidden="false" customHeight="true" outlineLevel="0" collapsed="false">
      <c r="A214" s="52" t="n">
        <v>46303</v>
      </c>
      <c r="B214" s="14" t="s">
        <v>316</v>
      </c>
      <c r="C214" s="14" t="str">
        <f aca="false" t="array" ref="C214:C214">IF(B214="","",IFERROR(INDEX('CLM &amp; IM Mapping'!$B$2:$B$270,MATCH(TRIM(B214),'CLM &amp; IM Mapping'!$A$2:$A$270,0)),"Not Mapped"))</f>
        <v>Vishnu V</v>
      </c>
      <c r="D214" s="14" t="str">
        <f aca="false" t="array" ref="D214:D214">IF(B214="","",IFERROR(INDEX('CLM &amp; IM Mapping'!$C$2:$C$270,MATCH(TRIM(B214),'CLM &amp; IM Mapping'!$A$2:$A$270,0)),"Not Mapped"))</f>
        <v>Arivind S</v>
      </c>
      <c r="E214" s="14" t="n">
        <v>0</v>
      </c>
      <c r="F214" s="14" t="n">
        <v>0</v>
      </c>
      <c r="G214" s="14" t="n">
        <v>0</v>
      </c>
      <c r="H214" s="14" t="n">
        <v>5</v>
      </c>
      <c r="I214" s="14" t="n">
        <v>0</v>
      </c>
      <c r="J214" s="14" t="n">
        <v>17</v>
      </c>
      <c r="K214" s="14" t="n">
        <v>22</v>
      </c>
      <c r="L214" s="14" t="n">
        <v>22</v>
      </c>
      <c r="M214" s="21"/>
      <c r="N214" s="11"/>
      <c r="O214" s="23"/>
      <c r="P214" s="23"/>
      <c r="Q214" s="23"/>
      <c r="R214" s="23"/>
      <c r="S214" s="23"/>
      <c r="T214" s="23"/>
      <c r="U214" s="23"/>
      <c r="V214" s="23"/>
      <c r="W214" s="23"/>
      <c r="X214" s="23"/>
      <c r="Y214" s="23"/>
      <c r="Z214" s="23"/>
    </row>
    <row r="215" customFormat="false" ht="15.75" hidden="false" customHeight="true" outlineLevel="0" collapsed="false">
      <c r="A215" s="52" t="n">
        <v>46303</v>
      </c>
      <c r="B215" s="14" t="s">
        <v>548</v>
      </c>
      <c r="C215" s="14" t="str">
        <f aca="false" t="array" ref="C215:C215">IF(B215="","",IFERROR(INDEX('CLM &amp; IM Mapping'!$B$2:$B$270,MATCH(TRIM(B215),'CLM &amp; IM Mapping'!$A$2:$A$270,0)),"Not Mapped"))</f>
        <v>Arun Raj</v>
      </c>
      <c r="D215" s="14" t="str">
        <f aca="false" t="array" ref="D215:D215">IF(B215="","",IFERROR(INDEX('CLM &amp; IM Mapping'!$C$2:$C$270,MATCH(TRIM(B215),'CLM &amp; IM Mapping'!$A$2:$A$270,0)),"Not Mapped"))</f>
        <v>Simon Manoharan</v>
      </c>
      <c r="E215" s="14" t="n">
        <v>0</v>
      </c>
      <c r="F215" s="14" t="n">
        <v>18</v>
      </c>
      <c r="G215" s="14"/>
      <c r="H215" s="14" t="n">
        <v>2</v>
      </c>
      <c r="I215" s="14"/>
      <c r="J215" s="14"/>
      <c r="K215" s="14" t="n">
        <v>20</v>
      </c>
      <c r="L215" s="14" t="n">
        <v>3</v>
      </c>
      <c r="M215" s="21"/>
      <c r="N215" s="11"/>
      <c r="O215" s="23"/>
      <c r="P215" s="23"/>
      <c r="Q215" s="23"/>
      <c r="R215" s="23"/>
      <c r="S215" s="23"/>
      <c r="T215" s="23"/>
      <c r="U215" s="23"/>
      <c r="V215" s="23"/>
      <c r="W215" s="23"/>
      <c r="X215" s="23"/>
      <c r="Y215" s="23"/>
      <c r="Z215" s="23"/>
    </row>
    <row r="216" customFormat="false" ht="15.75" hidden="false" customHeight="true" outlineLevel="0" collapsed="false">
      <c r="A216" s="52" t="n">
        <v>46303</v>
      </c>
      <c r="B216" s="14" t="s">
        <v>490</v>
      </c>
      <c r="C216" s="14" t="str">
        <f aca="false" t="array" ref="C216:C216">IF(B216="","",IFERROR(INDEX('CLM &amp; IM Mapping'!$B$2:$B$270,MATCH(TRIM(B216),'CLM &amp; IM Mapping'!$A$2:$A$270,0)),"Not Mapped"))</f>
        <v>Arun Raj</v>
      </c>
      <c r="D216" s="14" t="str">
        <f aca="false" t="array" ref="D216:D216">IF(B216="","",IFERROR(INDEX('CLM &amp; IM Mapping'!$C$2:$C$270,MATCH(TRIM(B216),'CLM &amp; IM Mapping'!$A$2:$A$270,0)),"Not Mapped"))</f>
        <v>Simon Manoharan</v>
      </c>
      <c r="E216" s="14" t="n">
        <v>0</v>
      </c>
      <c r="F216" s="14" t="n">
        <v>2</v>
      </c>
      <c r="G216" s="14" t="n">
        <v>4</v>
      </c>
      <c r="H216" s="14" t="n">
        <v>3</v>
      </c>
      <c r="I216" s="14" t="n">
        <v>11</v>
      </c>
      <c r="J216" s="14"/>
      <c r="K216" s="14" t="n">
        <v>20</v>
      </c>
      <c r="L216" s="14" t="n">
        <v>11</v>
      </c>
      <c r="M216" s="21"/>
      <c r="N216" s="11"/>
      <c r="O216" s="23"/>
      <c r="P216" s="23"/>
      <c r="Q216" s="23"/>
      <c r="R216" s="23"/>
      <c r="S216" s="23"/>
      <c r="T216" s="23"/>
      <c r="U216" s="23"/>
      <c r="V216" s="23"/>
      <c r="W216" s="23"/>
      <c r="X216" s="23"/>
      <c r="Y216" s="23"/>
      <c r="Z216" s="23"/>
    </row>
    <row r="217" customFormat="false" ht="15.75" hidden="false" customHeight="true" outlineLevel="0" collapsed="false">
      <c r="A217" s="52" t="n">
        <v>46303</v>
      </c>
      <c r="B217" s="14" t="s">
        <v>450</v>
      </c>
      <c r="C217" s="14" t="str">
        <f aca="false" t="array" ref="C217:C217">IF(B217="","",IFERROR(INDEX('CLM &amp; IM Mapping'!$B$2:$B$270,MATCH(TRIM(B217),'CLM &amp; IM Mapping'!$A$2:$A$270,0)),"Not Mapped"))</f>
        <v>Santhosha M</v>
      </c>
      <c r="D217" s="14" t="str">
        <f aca="false" t="array" ref="D217:D217">IF(B217="","",IFERROR(INDEX('CLM &amp; IM Mapping'!$C$2:$C$270,MATCH(TRIM(B217),'CLM &amp; IM Mapping'!$A$2:$A$270,0)),"Not Mapped"))</f>
        <v>Aravind S</v>
      </c>
      <c r="E217" s="14" t="n">
        <v>2</v>
      </c>
      <c r="F217" s="14" t="n">
        <v>4</v>
      </c>
      <c r="G217" s="14" t="n">
        <v>11</v>
      </c>
      <c r="H217" s="14" t="n">
        <v>3</v>
      </c>
      <c r="I217" s="14" t="n">
        <v>0</v>
      </c>
      <c r="J217" s="14" t="n">
        <v>0</v>
      </c>
      <c r="K217" s="14" t="n">
        <v>20</v>
      </c>
      <c r="L217" s="14" t="n">
        <v>15</v>
      </c>
      <c r="M217" s="21"/>
      <c r="N217" s="11"/>
      <c r="O217" s="23"/>
      <c r="P217" s="23"/>
      <c r="Q217" s="23"/>
      <c r="R217" s="23"/>
      <c r="S217" s="23"/>
      <c r="T217" s="23"/>
      <c r="U217" s="23"/>
      <c r="V217" s="23"/>
      <c r="W217" s="23"/>
      <c r="X217" s="23"/>
      <c r="Y217" s="23"/>
      <c r="Z217" s="23"/>
    </row>
    <row r="218" customFormat="false" ht="15.75" hidden="false" customHeight="true" outlineLevel="0" collapsed="false">
      <c r="A218" s="52" t="n">
        <v>46303</v>
      </c>
      <c r="B218" s="14" t="s">
        <v>357</v>
      </c>
      <c r="C218" s="14" t="str">
        <f aca="false" t="array" ref="C218:C218">IF(B218="","",IFERROR(INDEX('CLM &amp; IM Mapping'!$B$2:$B$270,MATCH(TRIM(B218),'CLM &amp; IM Mapping'!$A$2:$A$270,0)),"Not Mapped"))</f>
        <v>Arun Raj</v>
      </c>
      <c r="D218" s="14" t="str">
        <f aca="false" t="array" ref="D218:D218">IF(B218="","",IFERROR(INDEX('CLM &amp; IM Mapping'!$C$2:$C$270,MATCH(TRIM(B218),'CLM &amp; IM Mapping'!$A$2:$A$270,0)),"Not Mapped"))</f>
        <v>Simon Manoharan</v>
      </c>
      <c r="E218" s="14" t="n">
        <v>0</v>
      </c>
      <c r="F218" s="14" t="n">
        <v>3</v>
      </c>
      <c r="G218" s="14"/>
      <c r="H218" s="14" t="n">
        <v>14</v>
      </c>
      <c r="I218" s="14" t="n">
        <v>1</v>
      </c>
      <c r="J218" s="14"/>
      <c r="K218" s="14" t="n">
        <v>18</v>
      </c>
      <c r="L218" s="14" t="n">
        <v>15</v>
      </c>
      <c r="M218" s="21"/>
      <c r="N218" s="11"/>
      <c r="O218" s="23"/>
      <c r="P218" s="23"/>
      <c r="Q218" s="23"/>
      <c r="R218" s="23"/>
      <c r="S218" s="23"/>
      <c r="T218" s="23"/>
      <c r="U218" s="23"/>
      <c r="V218" s="23"/>
      <c r="W218" s="23"/>
      <c r="X218" s="23"/>
      <c r="Y218" s="23"/>
      <c r="Z218" s="23"/>
    </row>
    <row r="219" customFormat="false" ht="15.75" hidden="false" customHeight="true" outlineLevel="0" collapsed="false">
      <c r="A219" s="52" t="n">
        <v>46303</v>
      </c>
      <c r="B219" s="14" t="s">
        <v>229</v>
      </c>
      <c r="C219" s="14" t="str">
        <f aca="false" t="array" ref="C219:C219">IF(B219="","",IFERROR(INDEX('CLM &amp; IM Mapping'!$B$2:$B$270,MATCH(TRIM(B219),'CLM &amp; IM Mapping'!$A$2:$A$270,0)),"Not Mapped"))</f>
        <v>Arun Raj</v>
      </c>
      <c r="D219" s="14" t="str">
        <f aca="false" t="array" ref="D219:D219">IF(B219="","",IFERROR(INDEX('CLM &amp; IM Mapping'!$C$2:$C$270,MATCH(TRIM(B219),'CLM &amp; IM Mapping'!$A$2:$A$270,0)),"Not Mapped"))</f>
        <v>Simon Manoharan</v>
      </c>
      <c r="E219" s="14" t="n">
        <v>0</v>
      </c>
      <c r="F219" s="14" t="n">
        <v>4</v>
      </c>
      <c r="G219" s="14"/>
      <c r="H219" s="14" t="n">
        <v>13</v>
      </c>
      <c r="I219" s="14" t="n">
        <v>1</v>
      </c>
      <c r="J219" s="14"/>
      <c r="K219" s="14" t="n">
        <v>18</v>
      </c>
      <c r="L219" s="14" t="n">
        <v>16</v>
      </c>
      <c r="M219" s="21"/>
      <c r="N219" s="11"/>
      <c r="O219" s="23"/>
      <c r="P219" s="23"/>
      <c r="Q219" s="23"/>
      <c r="R219" s="23"/>
      <c r="S219" s="23"/>
      <c r="T219" s="23"/>
      <c r="U219" s="23"/>
      <c r="V219" s="23"/>
      <c r="W219" s="23"/>
      <c r="X219" s="23"/>
      <c r="Y219" s="23"/>
      <c r="Z219" s="23"/>
    </row>
    <row r="220" customFormat="false" ht="15.75" hidden="false" customHeight="true" outlineLevel="0" collapsed="false">
      <c r="A220" s="52" t="n">
        <v>46303</v>
      </c>
      <c r="B220" s="14" t="s">
        <v>457</v>
      </c>
      <c r="C220" s="14" t="str">
        <f aca="false" t="array" ref="C220:C220">IF(B220="","",IFERROR(INDEX('CLM &amp; IM Mapping'!$B$2:$B$270,MATCH(TRIM(B220),'CLM &amp; IM Mapping'!$A$2:$A$270,0)),"Not Mapped"))</f>
        <v>Saddam Hussain</v>
      </c>
      <c r="D220" s="14" t="str">
        <f aca="false" t="array" ref="D220:D220">IF(B220="","",IFERROR(INDEX('CLM &amp; IM Mapping'!$C$2:$C$270,MATCH(TRIM(B220),'CLM &amp; IM Mapping'!$A$2:$A$270,0)),"Not Mapped"))</f>
        <v>Un Mapped</v>
      </c>
      <c r="E220" s="14" t="n">
        <v>0</v>
      </c>
      <c r="F220" s="14" t="n">
        <v>0</v>
      </c>
      <c r="G220" s="14" t="n">
        <v>0</v>
      </c>
      <c r="H220" s="14" t="n">
        <v>8</v>
      </c>
      <c r="I220" s="14" t="n">
        <v>9</v>
      </c>
      <c r="J220" s="14" t="n">
        <v>0</v>
      </c>
      <c r="K220" s="14" t="n">
        <v>17</v>
      </c>
      <c r="L220" s="14" t="n">
        <v>17</v>
      </c>
      <c r="M220" s="21"/>
      <c r="N220" s="11"/>
      <c r="O220" s="23"/>
      <c r="P220" s="23"/>
      <c r="Q220" s="23"/>
      <c r="R220" s="23"/>
      <c r="S220" s="23"/>
      <c r="T220" s="23"/>
      <c r="U220" s="23"/>
      <c r="V220" s="23"/>
      <c r="W220" s="23"/>
      <c r="X220" s="23"/>
      <c r="Y220" s="23"/>
      <c r="Z220" s="23"/>
    </row>
    <row r="221" customFormat="false" ht="15.75" hidden="false" customHeight="true" outlineLevel="0" collapsed="false">
      <c r="A221" s="52" t="n">
        <v>46303</v>
      </c>
      <c r="B221" s="14" t="s">
        <v>454</v>
      </c>
      <c r="C221" s="14" t="str">
        <f aca="false" t="array" ref="C221:C221">IF(B221="","",IFERROR(INDEX('CLM &amp; IM Mapping'!$B$2:$B$270,MATCH(TRIM(B221),'CLM &amp; IM Mapping'!$A$2:$A$270,0)),"Not Mapped"))</f>
        <v>Balaji G</v>
      </c>
      <c r="D221" s="14" t="str">
        <f aca="false" t="array" ref="D221:D221">IF(B221="","",IFERROR(INDEX('CLM &amp; IM Mapping'!$C$2:$C$270,MATCH(TRIM(B221),'CLM &amp; IM Mapping'!$A$2:$A$270,0)),"Not Mapped"))</f>
        <v>Mohammed Akbar</v>
      </c>
      <c r="E221" s="14" t="n">
        <v>0</v>
      </c>
      <c r="F221" s="14" t="n">
        <v>0</v>
      </c>
      <c r="G221" s="14" t="n">
        <v>0</v>
      </c>
      <c r="H221" s="14" t="n">
        <v>12</v>
      </c>
      <c r="I221" s="14" t="n">
        <v>0</v>
      </c>
      <c r="J221" s="14" t="n">
        <v>5</v>
      </c>
      <c r="K221" s="14" t="n">
        <v>17</v>
      </c>
      <c r="L221" s="14" t="n">
        <v>17</v>
      </c>
      <c r="M221" s="12" t="s">
        <v>818</v>
      </c>
      <c r="N221" s="11"/>
      <c r="O221" s="23"/>
      <c r="P221" s="23"/>
      <c r="Q221" s="23"/>
      <c r="R221" s="23"/>
      <c r="S221" s="23"/>
      <c r="T221" s="23"/>
      <c r="U221" s="23"/>
      <c r="V221" s="23"/>
      <c r="W221" s="23"/>
      <c r="X221" s="23"/>
      <c r="Y221" s="23"/>
      <c r="Z221" s="23"/>
    </row>
    <row r="222" customFormat="false" ht="15.75" hidden="false" customHeight="true" outlineLevel="0" collapsed="false">
      <c r="A222" s="52" t="n">
        <v>46303</v>
      </c>
      <c r="B222" s="14" t="s">
        <v>497</v>
      </c>
      <c r="C222" s="14" t="str">
        <f aca="false" t="array" ref="C222:C222">IF(B222="","",IFERROR(INDEX('CLM &amp; IM Mapping'!$B$2:$B$270,MATCH(TRIM(B222),'CLM &amp; IM Mapping'!$A$2:$A$270,0)),"Not Mapped"))</f>
        <v>Narasimhamurthy R</v>
      </c>
      <c r="D222" s="14" t="str">
        <f aca="false" t="array" ref="D222:D222">IF(B222="","",IFERROR(INDEX('CLM &amp; IM Mapping'!$C$2:$C$270,MATCH(TRIM(B222),'CLM &amp; IM Mapping'!$A$2:$A$270,0)),"Not Mapped"))</f>
        <v>Kishor K</v>
      </c>
      <c r="E222" s="14" t="n">
        <v>0</v>
      </c>
      <c r="F222" s="14" t="n">
        <v>0</v>
      </c>
      <c r="G222" s="14" t="n">
        <v>4</v>
      </c>
      <c r="H222" s="14" t="n">
        <v>1</v>
      </c>
      <c r="I222" s="14" t="n">
        <v>4</v>
      </c>
      <c r="J222" s="14" t="n">
        <v>7</v>
      </c>
      <c r="K222" s="14" t="n">
        <v>16</v>
      </c>
      <c r="L222" s="14" t="n">
        <v>12</v>
      </c>
      <c r="M222" s="12" t="s">
        <v>828</v>
      </c>
      <c r="N222" s="54" t="n">
        <v>0.666666666666667</v>
      </c>
      <c r="O222" s="23"/>
      <c r="P222" s="23"/>
      <c r="Q222" s="23"/>
      <c r="R222" s="23"/>
      <c r="S222" s="23"/>
      <c r="T222" s="23"/>
      <c r="U222" s="23"/>
      <c r="V222" s="23"/>
      <c r="W222" s="23"/>
      <c r="X222" s="23"/>
      <c r="Y222" s="23"/>
      <c r="Z222" s="23"/>
    </row>
    <row r="223" customFormat="false" ht="15.75" hidden="false" customHeight="true" outlineLevel="0" collapsed="false">
      <c r="A223" s="52" t="n">
        <v>46303</v>
      </c>
      <c r="B223" s="14" t="s">
        <v>461</v>
      </c>
      <c r="C223" s="14" t="str">
        <f aca="false" t="array" ref="C223:C223">IF(B223="","",IFERROR(INDEX('CLM &amp; IM Mapping'!$B$2:$B$270,MATCH(TRIM(B223),'CLM &amp; IM Mapping'!$A$2:$A$270,0)),"Not Mapped"))</f>
        <v>Arun Raj</v>
      </c>
      <c r="D223" s="14" t="str">
        <f aca="false" t="array" ref="D223:D223">IF(B223="","",IFERROR(INDEX('CLM &amp; IM Mapping'!$C$2:$C$270,MATCH(TRIM(B223),'CLM &amp; IM Mapping'!$A$2:$A$270,0)),"Not Mapped"))</f>
        <v>Simon Manoharan</v>
      </c>
      <c r="E223" s="14" t="n">
        <v>0</v>
      </c>
      <c r="F223" s="14" t="n">
        <v>6</v>
      </c>
      <c r="G223" s="14" t="n">
        <v>0</v>
      </c>
      <c r="H223" s="14" t="n">
        <v>7</v>
      </c>
      <c r="I223" s="14" t="n">
        <v>3</v>
      </c>
      <c r="J223" s="14"/>
      <c r="K223" s="14" t="n">
        <v>16</v>
      </c>
      <c r="L223" s="14" t="n">
        <v>16</v>
      </c>
      <c r="M223" s="21"/>
      <c r="N223" s="11"/>
      <c r="O223" s="23"/>
      <c r="P223" s="23"/>
      <c r="Q223" s="23"/>
      <c r="R223" s="23"/>
      <c r="S223" s="23"/>
      <c r="T223" s="23"/>
      <c r="U223" s="23"/>
      <c r="V223" s="23"/>
      <c r="W223" s="23"/>
      <c r="X223" s="23"/>
      <c r="Y223" s="23"/>
      <c r="Z223" s="23"/>
    </row>
    <row r="224" customFormat="false" ht="15.75" hidden="false" customHeight="true" outlineLevel="0" collapsed="false">
      <c r="A224" s="52" t="n">
        <v>46303</v>
      </c>
      <c r="B224" s="14" t="s">
        <v>474</v>
      </c>
      <c r="C224" s="14" t="str">
        <f aca="false" t="array" ref="C224:C224">IF(B224="","",IFERROR(INDEX('CLM &amp; IM Mapping'!$B$2:$B$270,MATCH(TRIM(B224),'CLM &amp; IM Mapping'!$A$2:$A$270,0)),"Not Mapped"))</f>
        <v>Silambarasan E</v>
      </c>
      <c r="D224" s="14" t="str">
        <f aca="false" t="array" ref="D224:D224">IF(B224="","",IFERROR(INDEX('CLM &amp; IM Mapping'!$C$2:$C$270,MATCH(TRIM(B224),'CLM &amp; IM Mapping'!$A$2:$A$270,0)),"Not Mapped"))</f>
        <v>Arivind S</v>
      </c>
      <c r="E224" s="14" t="n">
        <v>2</v>
      </c>
      <c r="F224" s="14" t="n">
        <v>13</v>
      </c>
      <c r="G224" s="14" t="n">
        <v>0</v>
      </c>
      <c r="H224" s="14" t="n">
        <v>0</v>
      </c>
      <c r="I224" s="14" t="n">
        <v>0</v>
      </c>
      <c r="J224" s="14" t="n">
        <v>0</v>
      </c>
      <c r="K224" s="14" t="n">
        <v>15</v>
      </c>
      <c r="L224" s="14" t="n">
        <v>15</v>
      </c>
      <c r="M224" s="21"/>
      <c r="N224" s="11"/>
      <c r="O224" s="23"/>
      <c r="P224" s="23"/>
      <c r="Q224" s="23"/>
      <c r="R224" s="23"/>
      <c r="S224" s="23"/>
      <c r="T224" s="23"/>
      <c r="U224" s="23"/>
      <c r="V224" s="23"/>
      <c r="W224" s="23"/>
      <c r="X224" s="23"/>
      <c r="Y224" s="23"/>
      <c r="Z224" s="23"/>
    </row>
    <row r="225" customFormat="false" ht="15.75" hidden="false" customHeight="true" outlineLevel="0" collapsed="false">
      <c r="A225" s="52" t="n">
        <v>46303</v>
      </c>
      <c r="B225" s="14" t="s">
        <v>513</v>
      </c>
      <c r="C225" s="14" t="str">
        <f aca="false" t="array" ref="C225:C225">IF(B225="","",IFERROR(INDEX('CLM &amp; IM Mapping'!$B$2:$B$270,MATCH(TRIM(B225),'CLM &amp; IM Mapping'!$A$2:$A$270,0)),"Not Mapped"))</f>
        <v>Manoj Kj</v>
      </c>
      <c r="D225" s="14" t="str">
        <f aca="false" t="array" ref="D225:D225">IF(B225="","",IFERROR(INDEX('CLM &amp; IM Mapping'!$C$2:$C$270,MATCH(TRIM(B225),'CLM &amp; IM Mapping'!$A$2:$A$270,0)),"Not Mapped"))</f>
        <v>Srittam Dhal</v>
      </c>
      <c r="E225" s="14" t="n">
        <v>1</v>
      </c>
      <c r="F225" s="14" t="n">
        <v>0</v>
      </c>
      <c r="G225" s="14" t="n">
        <v>10</v>
      </c>
      <c r="H225" s="14" t="n">
        <v>0</v>
      </c>
      <c r="I225" s="14" t="n">
        <v>2</v>
      </c>
      <c r="J225" s="14" t="n">
        <v>0</v>
      </c>
      <c r="K225" s="14" t="n">
        <v>13</v>
      </c>
      <c r="L225" s="14" t="n">
        <v>13</v>
      </c>
      <c r="M225" s="21"/>
      <c r="N225" s="11"/>
      <c r="O225" s="23"/>
      <c r="P225" s="23"/>
      <c r="Q225" s="23"/>
      <c r="R225" s="23"/>
      <c r="S225" s="23"/>
      <c r="T225" s="23"/>
      <c r="U225" s="23"/>
      <c r="V225" s="23"/>
      <c r="W225" s="23"/>
      <c r="X225" s="23"/>
      <c r="Y225" s="23"/>
      <c r="Z225" s="23"/>
    </row>
    <row r="226" customFormat="false" ht="15.75" hidden="false" customHeight="true" outlineLevel="0" collapsed="false">
      <c r="A226" s="52" t="n">
        <v>46303</v>
      </c>
      <c r="B226" s="14" t="s">
        <v>413</v>
      </c>
      <c r="C226" s="14" t="str">
        <f aca="false" t="array" ref="C226:C226">IF(B226="","",IFERROR(INDEX('CLM &amp; IM Mapping'!$B$2:$B$270,MATCH(TRIM(B226),'CLM &amp; IM Mapping'!$A$2:$A$270,0)),"Not Mapped"))</f>
        <v>Arun Raj</v>
      </c>
      <c r="D226" s="14" t="str">
        <f aca="false" t="array" ref="D226:D226">IF(B226="","",IFERROR(INDEX('CLM &amp; IM Mapping'!$C$2:$C$270,MATCH(TRIM(B226),'CLM &amp; IM Mapping'!$A$2:$A$270,0)),"Not Mapped"))</f>
        <v>Simon Manoharan</v>
      </c>
      <c r="E226" s="14" t="n">
        <v>1</v>
      </c>
      <c r="F226" s="14" t="n">
        <v>4</v>
      </c>
      <c r="G226" s="14" t="n">
        <v>0</v>
      </c>
      <c r="H226" s="14" t="n">
        <v>5</v>
      </c>
      <c r="I226" s="14" t="n">
        <v>3</v>
      </c>
      <c r="J226" s="14"/>
      <c r="K226" s="14" t="n">
        <v>13</v>
      </c>
      <c r="L226" s="14" t="n">
        <v>11</v>
      </c>
      <c r="M226" s="21"/>
      <c r="N226" s="11"/>
      <c r="O226" s="23"/>
      <c r="P226" s="23"/>
      <c r="Q226" s="23"/>
      <c r="R226" s="23"/>
      <c r="S226" s="23"/>
      <c r="T226" s="23"/>
      <c r="U226" s="23"/>
      <c r="V226" s="23"/>
      <c r="W226" s="23"/>
      <c r="X226" s="23"/>
      <c r="Y226" s="23"/>
      <c r="Z226" s="23"/>
    </row>
    <row r="227" customFormat="false" ht="15.75" hidden="false" customHeight="true" outlineLevel="0" collapsed="false">
      <c r="A227" s="52" t="n">
        <v>46303</v>
      </c>
      <c r="B227" s="14" t="s">
        <v>352</v>
      </c>
      <c r="C227" s="14" t="str">
        <f aca="false" t="array" ref="C227:C227">IF(B227="","",IFERROR(INDEX('CLM &amp; IM Mapping'!$B$2:$B$270,MATCH(TRIM(B227),'CLM &amp; IM Mapping'!$A$2:$A$270,0)),"Not Mapped"))</f>
        <v>Raghavendra Vernekar</v>
      </c>
      <c r="D227" s="14" t="str">
        <f aca="false" t="array" ref="D227:D227">IF(B227="","",IFERROR(INDEX('CLM &amp; IM Mapping'!$C$2:$C$270,MATCH(TRIM(B227),'CLM &amp; IM Mapping'!$A$2:$A$270,0)),"Not Mapped"))</f>
        <v>Prakash BS</v>
      </c>
      <c r="E227" s="14" t="n">
        <v>0</v>
      </c>
      <c r="F227" s="14" t="n">
        <v>0</v>
      </c>
      <c r="G227" s="14" t="n">
        <v>0</v>
      </c>
      <c r="H227" s="14" t="n">
        <v>11</v>
      </c>
      <c r="I227" s="14" t="n">
        <v>0</v>
      </c>
      <c r="J227" s="14" t="n">
        <v>0</v>
      </c>
      <c r="K227" s="14" t="n">
        <v>11</v>
      </c>
      <c r="L227" s="14" t="n">
        <v>11</v>
      </c>
      <c r="M227" s="12" t="s">
        <v>834</v>
      </c>
      <c r="N227" s="11"/>
      <c r="O227" s="23"/>
      <c r="P227" s="23"/>
      <c r="Q227" s="23"/>
      <c r="R227" s="23"/>
      <c r="S227" s="23"/>
      <c r="T227" s="23"/>
      <c r="U227" s="23"/>
      <c r="V227" s="23"/>
      <c r="W227" s="23"/>
      <c r="X227" s="23"/>
      <c r="Y227" s="23"/>
      <c r="Z227" s="23"/>
    </row>
    <row r="228" customFormat="false" ht="15.75" hidden="false" customHeight="true" outlineLevel="0" collapsed="false">
      <c r="A228" s="52" t="n">
        <v>46303</v>
      </c>
      <c r="B228" s="14" t="s">
        <v>325</v>
      </c>
      <c r="C228" s="14" t="str">
        <f aca="false" t="array" ref="C228:C228">IF(B228="","",IFERROR(INDEX('CLM &amp; IM Mapping'!$B$2:$B$270,MATCH(TRIM(B228),'CLM &amp; IM Mapping'!$A$2:$A$270,0)),"Not Mapped"))</f>
        <v>Santhosha M</v>
      </c>
      <c r="D228" s="14" t="str">
        <f aca="false" t="array" ref="D228:D228">IF(B228="","",IFERROR(INDEX('CLM &amp; IM Mapping'!$C$2:$C$270,MATCH(TRIM(B228),'CLM &amp; IM Mapping'!$A$2:$A$270,0)),"Not Mapped"))</f>
        <v>Aravind S</v>
      </c>
      <c r="E228" s="14" t="n">
        <v>0</v>
      </c>
      <c r="F228" s="14" t="n">
        <v>9</v>
      </c>
      <c r="G228" s="14" t="n">
        <v>0</v>
      </c>
      <c r="H228" s="14" t="n">
        <v>1</v>
      </c>
      <c r="I228" s="14" t="n">
        <v>0</v>
      </c>
      <c r="J228" s="14" t="n">
        <v>0</v>
      </c>
      <c r="K228" s="14" t="n">
        <v>10</v>
      </c>
      <c r="L228" s="14" t="n">
        <v>1</v>
      </c>
      <c r="M228" s="21"/>
      <c r="N228" s="11"/>
      <c r="O228" s="23"/>
      <c r="P228" s="23"/>
      <c r="Q228" s="23"/>
      <c r="R228" s="23"/>
      <c r="S228" s="23"/>
      <c r="T228" s="23"/>
      <c r="U228" s="23"/>
      <c r="V228" s="23"/>
      <c r="W228" s="23"/>
      <c r="X228" s="23"/>
      <c r="Y228" s="23"/>
      <c r="Z228" s="23"/>
    </row>
    <row r="229" customFormat="false" ht="15.75" hidden="false" customHeight="true" outlineLevel="0" collapsed="false">
      <c r="A229" s="52" t="n">
        <v>46303</v>
      </c>
      <c r="B229" s="14" t="s">
        <v>248</v>
      </c>
      <c r="C229" s="14" t="str">
        <f aca="false" t="array" ref="C229:C229">IF(B229="","",IFERROR(INDEX('CLM &amp; IM Mapping'!$B$2:$B$270,MATCH(TRIM(B229),'CLM &amp; IM Mapping'!$A$2:$A$270,0)),"Not Mapped"))</f>
        <v>Arun Raj</v>
      </c>
      <c r="D229" s="14" t="str">
        <f aca="false" t="array" ref="D229:D229">IF(B229="","",IFERROR(INDEX('CLM &amp; IM Mapping'!$C$2:$C$270,MATCH(TRIM(B229),'CLM &amp; IM Mapping'!$A$2:$A$270,0)),"Not Mapped"))</f>
        <v>Simon Manoharan</v>
      </c>
      <c r="E229" s="14" t="n">
        <v>6</v>
      </c>
      <c r="F229" s="14" t="n">
        <v>1</v>
      </c>
      <c r="G229" s="14" t="n">
        <v>0</v>
      </c>
      <c r="H229" s="14" t="n">
        <v>0</v>
      </c>
      <c r="I229" s="14" t="n">
        <v>3</v>
      </c>
      <c r="J229" s="14"/>
      <c r="K229" s="14" t="n">
        <v>10</v>
      </c>
      <c r="L229" s="14" t="n">
        <v>10</v>
      </c>
      <c r="M229" s="21"/>
      <c r="N229" s="11"/>
      <c r="O229" s="23"/>
      <c r="P229" s="23"/>
      <c r="Q229" s="23"/>
      <c r="R229" s="23"/>
      <c r="S229" s="23"/>
      <c r="T229" s="23"/>
      <c r="U229" s="23"/>
      <c r="V229" s="23"/>
      <c r="W229" s="23"/>
      <c r="X229" s="23"/>
      <c r="Y229" s="23"/>
      <c r="Z229" s="23"/>
    </row>
    <row r="230" customFormat="false" ht="15.75" hidden="false" customHeight="true" outlineLevel="0" collapsed="false">
      <c r="A230" s="52" t="n">
        <v>46303</v>
      </c>
      <c r="B230" s="14" t="s">
        <v>339</v>
      </c>
      <c r="C230" s="14" t="str">
        <f aca="false" t="array" ref="C230:C230">IF(B230="","",IFERROR(INDEX('CLM &amp; IM Mapping'!$B$2:$B$270,MATCH(TRIM(B230),'CLM &amp; IM Mapping'!$A$2:$A$270,0)),"Not Mapped"))</f>
        <v>Ravishankar gowda</v>
      </c>
      <c r="D230" s="14" t="str">
        <f aca="false" t="array" ref="D230:D230">IF(B230="","",IFERROR(INDEX('CLM &amp; IM Mapping'!$C$2:$C$270,MATCH(TRIM(B230),'CLM &amp; IM Mapping'!$A$2:$A$270,0)),"Not Mapped"))</f>
        <v>Kishor K</v>
      </c>
      <c r="E230" s="14" t="n">
        <v>0</v>
      </c>
      <c r="F230" s="14" t="n">
        <v>3</v>
      </c>
      <c r="G230" s="14" t="n">
        <v>0</v>
      </c>
      <c r="H230" s="14" t="n">
        <v>5</v>
      </c>
      <c r="I230" s="14" t="n">
        <v>0</v>
      </c>
      <c r="J230" s="14" t="n">
        <v>1</v>
      </c>
      <c r="K230" s="14" t="n">
        <v>9</v>
      </c>
      <c r="L230" s="14" t="n">
        <v>7</v>
      </c>
      <c r="M230" s="12" t="s">
        <v>828</v>
      </c>
      <c r="N230" s="54" t="n">
        <v>0.666666666666667</v>
      </c>
      <c r="O230" s="23"/>
      <c r="P230" s="23"/>
      <c r="Q230" s="23"/>
      <c r="R230" s="23"/>
      <c r="S230" s="23"/>
      <c r="T230" s="23"/>
      <c r="U230" s="23"/>
      <c r="V230" s="23"/>
      <c r="W230" s="23"/>
      <c r="X230" s="23"/>
      <c r="Y230" s="23"/>
      <c r="Z230" s="23"/>
    </row>
    <row r="231" customFormat="false" ht="15.75" hidden="false" customHeight="true" outlineLevel="0" collapsed="false">
      <c r="A231" s="52" t="n">
        <v>46303</v>
      </c>
      <c r="B231" s="14" t="s">
        <v>421</v>
      </c>
      <c r="C231" s="14" t="str">
        <f aca="false" t="array" ref="C231:C231">IF(B231="","",IFERROR(INDEX('CLM &amp; IM Mapping'!$B$2:$B$270,MATCH(TRIM(B231),'CLM &amp; IM Mapping'!$A$2:$A$270,0)),"Not Mapped"))</f>
        <v>Santhosha M</v>
      </c>
      <c r="D231" s="14" t="str">
        <f aca="false" t="array" ref="D231:D231">IF(B231="","",IFERROR(INDEX('CLM &amp; IM Mapping'!$C$2:$C$270,MATCH(TRIM(B231),'CLM &amp; IM Mapping'!$A$2:$A$270,0)),"Not Mapped"))</f>
        <v>Aravind S</v>
      </c>
      <c r="E231" s="14" t="n">
        <v>1</v>
      </c>
      <c r="F231" s="14" t="n">
        <v>0</v>
      </c>
      <c r="G231" s="14" t="n">
        <v>0</v>
      </c>
      <c r="H231" s="14" t="n">
        <v>4</v>
      </c>
      <c r="I231" s="14" t="n">
        <v>2</v>
      </c>
      <c r="J231" s="14" t="n">
        <v>0</v>
      </c>
      <c r="K231" s="14" t="n">
        <v>7</v>
      </c>
      <c r="L231" s="14" t="n">
        <v>6</v>
      </c>
      <c r="M231" s="21"/>
      <c r="N231" s="11"/>
      <c r="O231" s="23"/>
      <c r="P231" s="23"/>
      <c r="Q231" s="23"/>
      <c r="R231" s="23"/>
      <c r="S231" s="23"/>
      <c r="T231" s="23"/>
      <c r="U231" s="23"/>
      <c r="V231" s="23"/>
      <c r="W231" s="23"/>
      <c r="X231" s="23"/>
      <c r="Y231" s="23"/>
      <c r="Z231" s="23"/>
    </row>
    <row r="232" customFormat="false" ht="15.75" hidden="false" customHeight="true" outlineLevel="0" collapsed="false">
      <c r="A232" s="52" t="n">
        <v>46303</v>
      </c>
      <c r="B232" s="14" t="s">
        <v>231</v>
      </c>
      <c r="C232" s="14" t="str">
        <f aca="false" t="array" ref="C232:C232">IF(B232="","",IFERROR(INDEX('CLM &amp; IM Mapping'!$B$2:$B$270,MATCH(TRIM(B232),'CLM &amp; IM Mapping'!$A$2:$A$270,0)),"Not Mapped"))</f>
        <v>Arun Raj</v>
      </c>
      <c r="D232" s="14" t="str">
        <f aca="false" t="array" ref="D232:D232">IF(B232="","",IFERROR(INDEX('CLM &amp; IM Mapping'!$C$2:$C$270,MATCH(TRIM(B232),'CLM &amp; IM Mapping'!$A$2:$A$270,0)),"Not Mapped"))</f>
        <v>Simon Manoharan</v>
      </c>
      <c r="E232" s="14" t="n">
        <v>0</v>
      </c>
      <c r="F232" s="14" t="n">
        <v>1</v>
      </c>
      <c r="G232" s="14"/>
      <c r="H232" s="14" t="n">
        <v>6</v>
      </c>
      <c r="I232" s="14"/>
      <c r="J232" s="14"/>
      <c r="K232" s="14" t="n">
        <v>7</v>
      </c>
      <c r="L232" s="14" t="n">
        <v>7</v>
      </c>
      <c r="M232" s="21"/>
      <c r="N232" s="11"/>
      <c r="O232" s="23"/>
      <c r="P232" s="23"/>
      <c r="Q232" s="23"/>
      <c r="R232" s="23"/>
      <c r="S232" s="23"/>
      <c r="T232" s="23"/>
      <c r="U232" s="23"/>
      <c r="V232" s="23"/>
      <c r="W232" s="23"/>
      <c r="X232" s="23"/>
      <c r="Y232" s="23"/>
      <c r="Z232" s="23"/>
    </row>
    <row r="233" customFormat="false" ht="15.75" hidden="false" customHeight="true" outlineLevel="0" collapsed="false">
      <c r="A233" s="52" t="n">
        <v>46303</v>
      </c>
      <c r="B233" s="14" t="s">
        <v>481</v>
      </c>
      <c r="C233" s="14" t="str">
        <f aca="false" t="array" ref="C233:C233">IF(B233="","",IFERROR(INDEX('CLM &amp; IM Mapping'!$B$2:$B$270,MATCH(TRIM(B233),'CLM &amp; IM Mapping'!$A$2:$A$270,0)),"Not Mapped"))</f>
        <v>Akshay P</v>
      </c>
      <c r="D233" s="14" t="str">
        <f aca="false" t="array" ref="D233:D233">IF(B233="","",IFERROR(INDEX('CLM &amp; IM Mapping'!$C$2:$C$270,MATCH(TRIM(B233),'CLM &amp; IM Mapping'!$A$2:$A$270,0)),"Not Mapped"))</f>
        <v>Srittam Dhal</v>
      </c>
      <c r="E233" s="14" t="n">
        <v>0</v>
      </c>
      <c r="F233" s="14" t="n">
        <v>2</v>
      </c>
      <c r="G233" s="14" t="n">
        <v>2</v>
      </c>
      <c r="H233" s="14" t="n">
        <v>0</v>
      </c>
      <c r="I233" s="14" t="n">
        <v>2</v>
      </c>
      <c r="J233" s="14" t="n">
        <v>0</v>
      </c>
      <c r="K233" s="14" t="n">
        <v>6</v>
      </c>
      <c r="L233" s="14" t="n">
        <v>6</v>
      </c>
      <c r="M233" s="21"/>
      <c r="N233" s="11"/>
      <c r="O233" s="23"/>
      <c r="P233" s="23"/>
      <c r="Q233" s="23"/>
      <c r="R233" s="23"/>
      <c r="S233" s="23"/>
      <c r="T233" s="23"/>
      <c r="U233" s="23"/>
      <c r="V233" s="23"/>
      <c r="W233" s="23"/>
      <c r="X233" s="23"/>
      <c r="Y233" s="23"/>
      <c r="Z233" s="23"/>
    </row>
    <row r="234" customFormat="false" ht="15.75" hidden="false" customHeight="true" outlineLevel="0" collapsed="false">
      <c r="A234" s="52" t="n">
        <v>46303</v>
      </c>
      <c r="B234" s="14" t="s">
        <v>50</v>
      </c>
      <c r="C234" s="14" t="str">
        <f aca="false" t="array" ref="C234:C234">IF(B234="","",IFERROR(INDEX('CLM &amp; IM Mapping'!$B$2:$B$270,MATCH(TRIM(B234),'CLM &amp; IM Mapping'!$A$2:$A$270,0)),"Not Mapped"))</f>
        <v>Arun Raj</v>
      </c>
      <c r="D234" s="14" t="str">
        <f aca="false" t="array" ref="D234:D234">IF(B234="","",IFERROR(INDEX('CLM &amp; IM Mapping'!$C$2:$C$270,MATCH(TRIM(B234),'CLM &amp; IM Mapping'!$A$2:$A$270,0)),"Not Mapped"))</f>
        <v>Simon Manoharan</v>
      </c>
      <c r="E234" s="14" t="n">
        <v>0</v>
      </c>
      <c r="F234" s="14" t="n">
        <v>0</v>
      </c>
      <c r="G234" s="14" t="n">
        <v>0</v>
      </c>
      <c r="H234" s="14" t="n">
        <v>5</v>
      </c>
      <c r="I234" s="14" t="n">
        <v>1</v>
      </c>
      <c r="J234" s="14"/>
      <c r="K234" s="14" t="n">
        <v>6</v>
      </c>
      <c r="L234" s="14" t="n">
        <v>6</v>
      </c>
      <c r="M234" s="21"/>
      <c r="N234" s="11"/>
      <c r="O234" s="23"/>
      <c r="P234" s="23"/>
      <c r="Q234" s="23"/>
      <c r="R234" s="23"/>
      <c r="S234" s="23"/>
      <c r="T234" s="23"/>
      <c r="U234" s="23"/>
      <c r="V234" s="23"/>
      <c r="W234" s="23"/>
      <c r="X234" s="23"/>
      <c r="Y234" s="23"/>
      <c r="Z234" s="23"/>
    </row>
    <row r="235" customFormat="false" ht="15.75" hidden="false" customHeight="true" outlineLevel="0" collapsed="false">
      <c r="A235" s="52" t="n">
        <v>46303</v>
      </c>
      <c r="B235" s="14" t="s">
        <v>382</v>
      </c>
      <c r="C235" s="14" t="str">
        <f aca="false" t="array" ref="C235:C235">IF(B235="","",IFERROR(INDEX('CLM &amp; IM Mapping'!$B$2:$B$270,MATCH(TRIM(B235),'CLM &amp; IM Mapping'!$A$2:$A$270,0)),"Not Mapped"))</f>
        <v>Arun Raj</v>
      </c>
      <c r="D235" s="14" t="str">
        <f aca="false" t="array" ref="D235:D235">IF(B235="","",IFERROR(INDEX('CLM &amp; IM Mapping'!$C$2:$C$270,MATCH(TRIM(B235),'CLM &amp; IM Mapping'!$A$2:$A$270,0)),"Not Mapped"))</f>
        <v>Simon Manoharan</v>
      </c>
      <c r="E235" s="14" t="n">
        <v>1</v>
      </c>
      <c r="F235" s="14" t="n">
        <v>3</v>
      </c>
      <c r="G235" s="14"/>
      <c r="H235" s="14" t="n">
        <v>1</v>
      </c>
      <c r="I235" s="14"/>
      <c r="J235" s="14"/>
      <c r="K235" s="14" t="n">
        <v>5</v>
      </c>
      <c r="L235" s="14" t="n">
        <v>4</v>
      </c>
      <c r="M235" s="21"/>
      <c r="N235" s="11"/>
      <c r="O235" s="23"/>
      <c r="P235" s="23"/>
      <c r="Q235" s="23"/>
      <c r="R235" s="23"/>
      <c r="S235" s="23"/>
      <c r="T235" s="23"/>
      <c r="U235" s="23"/>
      <c r="V235" s="23"/>
      <c r="W235" s="23"/>
      <c r="X235" s="23"/>
      <c r="Y235" s="23"/>
      <c r="Z235" s="23"/>
    </row>
    <row r="236" customFormat="false" ht="15.75" hidden="false" customHeight="true" outlineLevel="0" collapsed="false">
      <c r="A236" s="52" t="n">
        <v>46303</v>
      </c>
      <c r="B236" s="14" t="s">
        <v>404</v>
      </c>
      <c r="C236" s="14" t="str">
        <f aca="false" t="array" ref="C236:C236">IF(B236="","",IFERROR(INDEX('CLM &amp; IM Mapping'!$B$2:$B$270,MATCH(TRIM(B236),'CLM &amp; IM Mapping'!$A$2:$A$270,0)),"Not Mapped"))</f>
        <v>Arun Raj</v>
      </c>
      <c r="D236" s="14" t="str">
        <f aca="false" t="array" ref="D236:D236">IF(B236="","",IFERROR(INDEX('CLM &amp; IM Mapping'!$C$2:$C$270,MATCH(TRIM(B236),'CLM &amp; IM Mapping'!$A$2:$A$270,0)),"Not Mapped"))</f>
        <v>Simon Manoharan</v>
      </c>
      <c r="E236" s="14" t="n">
        <v>1</v>
      </c>
      <c r="F236" s="14" t="n">
        <v>1</v>
      </c>
      <c r="G236" s="14"/>
      <c r="H236" s="14" t="n">
        <v>2</v>
      </c>
      <c r="I236" s="14"/>
      <c r="J236" s="14"/>
      <c r="K236" s="14" t="n">
        <v>4</v>
      </c>
      <c r="L236" s="14" t="n">
        <v>4</v>
      </c>
      <c r="M236" s="21"/>
      <c r="N236" s="11"/>
      <c r="O236" s="23"/>
      <c r="P236" s="23"/>
      <c r="Q236" s="23"/>
      <c r="R236" s="23"/>
      <c r="S236" s="23"/>
      <c r="T236" s="23"/>
      <c r="U236" s="23"/>
      <c r="V236" s="23"/>
      <c r="W236" s="23"/>
      <c r="X236" s="23"/>
      <c r="Y236" s="23"/>
      <c r="Z236" s="23"/>
    </row>
    <row r="237" customFormat="false" ht="15.75" hidden="false" customHeight="true" outlineLevel="0" collapsed="false">
      <c r="A237" s="52" t="n">
        <v>46303</v>
      </c>
      <c r="B237" s="14" t="s">
        <v>479</v>
      </c>
      <c r="C237" s="14" t="str">
        <f aca="false" t="array" ref="C237:C237">IF(B237="","",IFERROR(INDEX('CLM &amp; IM Mapping'!$B$2:$B$270,MATCH(TRIM(B237),'CLM &amp; IM Mapping'!$A$2:$A$270,0)),"Not Mapped"))</f>
        <v>Arun Raj</v>
      </c>
      <c r="D237" s="14" t="str">
        <f aca="false" t="array" ref="D237:D237">IF(B237="","",IFERROR(INDEX('CLM &amp; IM Mapping'!$C$2:$C$270,MATCH(TRIM(B237),'CLM &amp; IM Mapping'!$A$2:$A$270,0)),"Not Mapped"))</f>
        <v>Simon Manoharan</v>
      </c>
      <c r="E237" s="14"/>
      <c r="F237" s="14" t="n">
        <v>4</v>
      </c>
      <c r="G237" s="14"/>
      <c r="H237" s="14"/>
      <c r="I237" s="14"/>
      <c r="J237" s="14"/>
      <c r="K237" s="14" t="n">
        <v>4</v>
      </c>
      <c r="L237" s="14" t="n">
        <v>3</v>
      </c>
      <c r="M237" s="21"/>
      <c r="N237" s="11"/>
      <c r="O237" s="23"/>
      <c r="P237" s="23"/>
      <c r="Q237" s="23"/>
      <c r="R237" s="23"/>
      <c r="S237" s="23"/>
      <c r="T237" s="23"/>
      <c r="U237" s="23"/>
      <c r="V237" s="23"/>
      <c r="W237" s="23"/>
      <c r="X237" s="23"/>
      <c r="Y237" s="23"/>
      <c r="Z237" s="23"/>
    </row>
    <row r="238" customFormat="false" ht="15.75" hidden="false" customHeight="true" outlineLevel="0" collapsed="false">
      <c r="A238" s="52" t="n">
        <v>46303</v>
      </c>
      <c r="B238" s="14" t="s">
        <v>29</v>
      </c>
      <c r="C238" s="14" t="str">
        <f aca="false" t="array" ref="C238:C238">IF(B238="","",IFERROR(INDEX('CLM &amp; IM Mapping'!$B$2:$B$270,MATCH(TRIM(B238),'CLM &amp; IM Mapping'!$A$2:$A$270,0)),"Not Mapped"))</f>
        <v>Arun Raj</v>
      </c>
      <c r="D238" s="14" t="str">
        <f aca="false" t="array" ref="D238:D238">IF(B238="","",IFERROR(INDEX('CLM &amp; IM Mapping'!$C$2:$C$270,MATCH(TRIM(B238),'CLM &amp; IM Mapping'!$A$2:$A$270,0)),"Not Mapped"))</f>
        <v>Simon Manoharan</v>
      </c>
      <c r="E238" s="14" t="n">
        <v>0</v>
      </c>
      <c r="F238" s="14" t="n">
        <v>1</v>
      </c>
      <c r="G238" s="14" t="n">
        <v>0</v>
      </c>
      <c r="H238" s="14" t="n">
        <v>2</v>
      </c>
      <c r="I238" s="14" t="n">
        <v>0</v>
      </c>
      <c r="J238" s="14"/>
      <c r="K238" s="14" t="n">
        <v>3</v>
      </c>
      <c r="L238" s="14" t="n">
        <v>2</v>
      </c>
      <c r="M238" s="21"/>
      <c r="N238" s="11"/>
      <c r="O238" s="23"/>
      <c r="P238" s="23"/>
      <c r="Q238" s="23"/>
      <c r="R238" s="23"/>
      <c r="S238" s="23"/>
      <c r="T238" s="23"/>
      <c r="U238" s="23"/>
      <c r="V238" s="23"/>
      <c r="W238" s="23"/>
      <c r="X238" s="23"/>
      <c r="Y238" s="23"/>
      <c r="Z238" s="23"/>
    </row>
    <row r="239" customFormat="false" ht="15.75" hidden="false" customHeight="true" outlineLevel="0" collapsed="false">
      <c r="A239" s="52" t="n">
        <v>46303</v>
      </c>
      <c r="B239" s="14" t="s">
        <v>418</v>
      </c>
      <c r="C239" s="14" t="str">
        <f aca="false" t="array" ref="C239:C239">IF(B239="","",IFERROR(INDEX('CLM &amp; IM Mapping'!$B$2:$B$270,MATCH(TRIM(B239),'CLM &amp; IM Mapping'!$A$2:$A$270,0)),"Not Mapped"))</f>
        <v>Vishnu V</v>
      </c>
      <c r="D239" s="14" t="str">
        <f aca="false" t="array" ref="D239:D239">IF(B239="","",IFERROR(INDEX('CLM &amp; IM Mapping'!$C$2:$C$270,MATCH(TRIM(B239),'CLM &amp; IM Mapping'!$A$2:$A$270,0)),"Not Mapped"))</f>
        <v>Arivind S</v>
      </c>
      <c r="E239" s="14" t="n">
        <v>0</v>
      </c>
      <c r="F239" s="14" t="n">
        <v>0</v>
      </c>
      <c r="G239" s="14" t="n">
        <v>0</v>
      </c>
      <c r="H239" s="14" t="n">
        <v>1</v>
      </c>
      <c r="I239" s="14" t="n">
        <v>2</v>
      </c>
      <c r="J239" s="14" t="n">
        <v>0</v>
      </c>
      <c r="K239" s="14" t="n">
        <v>3</v>
      </c>
      <c r="L239" s="14" t="n">
        <v>3</v>
      </c>
      <c r="M239" s="21"/>
      <c r="N239" s="11"/>
      <c r="O239" s="23"/>
      <c r="P239" s="23"/>
      <c r="Q239" s="23"/>
      <c r="R239" s="23"/>
      <c r="S239" s="23"/>
      <c r="T239" s="23"/>
      <c r="U239" s="23"/>
      <c r="V239" s="23"/>
      <c r="W239" s="23"/>
      <c r="X239" s="23"/>
      <c r="Y239" s="23"/>
      <c r="Z239" s="23"/>
    </row>
    <row r="240" customFormat="false" ht="15.75" hidden="false" customHeight="true" outlineLevel="0" collapsed="false">
      <c r="A240" s="52" t="n">
        <v>46303</v>
      </c>
      <c r="B240" s="14" t="s">
        <v>415</v>
      </c>
      <c r="C240" s="14" t="str">
        <f aca="false" t="array" ref="C240:C240">IF(B240="","",IFERROR(INDEX('CLM &amp; IM Mapping'!$B$2:$B$270,MATCH(TRIM(B240),'CLM &amp; IM Mapping'!$A$2:$A$270,0)),"Not Mapped"))</f>
        <v>Vishnu V</v>
      </c>
      <c r="D240" s="14" t="str">
        <f aca="false" t="array" ref="D240:D240">IF(B240="","",IFERROR(INDEX('CLM &amp; IM Mapping'!$C$2:$C$270,MATCH(TRIM(B240),'CLM &amp; IM Mapping'!$A$2:$A$270,0)),"Not Mapped"))</f>
        <v>Arivind S</v>
      </c>
      <c r="E240" s="14" t="n">
        <v>0</v>
      </c>
      <c r="F240" s="14" t="n">
        <v>0</v>
      </c>
      <c r="G240" s="14" t="n">
        <v>0</v>
      </c>
      <c r="H240" s="14" t="n">
        <v>3</v>
      </c>
      <c r="I240" s="14" t="n">
        <v>0</v>
      </c>
      <c r="J240" s="14" t="n">
        <v>0</v>
      </c>
      <c r="K240" s="14" t="n">
        <v>3</v>
      </c>
      <c r="L240" s="14" t="n">
        <v>3</v>
      </c>
      <c r="M240" s="21"/>
      <c r="N240" s="11"/>
      <c r="O240" s="23"/>
      <c r="P240" s="23"/>
      <c r="Q240" s="23"/>
      <c r="R240" s="23"/>
      <c r="S240" s="23"/>
      <c r="T240" s="23"/>
      <c r="U240" s="23"/>
      <c r="V240" s="23"/>
      <c r="W240" s="23"/>
      <c r="X240" s="23"/>
      <c r="Y240" s="23"/>
      <c r="Z240" s="23"/>
    </row>
    <row r="241" customFormat="false" ht="15.75" hidden="false" customHeight="true" outlineLevel="0" collapsed="false">
      <c r="A241" s="52" t="n">
        <v>46303</v>
      </c>
      <c r="B241" s="14" t="s">
        <v>333</v>
      </c>
      <c r="C241" s="14" t="str">
        <f aca="false" t="array" ref="C241:C241">IF(B241="","",IFERROR(INDEX('CLM &amp; IM Mapping'!$B$2:$B$270,MATCH(TRIM(B241),'CLM &amp; IM Mapping'!$A$2:$A$270,0)),"Not Mapped"))</f>
        <v>Basil Scariya</v>
      </c>
      <c r="D241" s="14" t="str">
        <f aca="false" t="array" ref="D241:D241">IF(B241="","",IFERROR(INDEX('CLM &amp; IM Mapping'!$C$2:$C$270,MATCH(TRIM(B241),'CLM &amp; IM Mapping'!$A$2:$A$270,0)),"Not Mapped"))</f>
        <v>Prakash BS</v>
      </c>
      <c r="E241" s="14" t="n">
        <v>0</v>
      </c>
      <c r="F241" s="14" t="n">
        <v>2</v>
      </c>
      <c r="G241" s="14" t="n">
        <v>0</v>
      </c>
      <c r="H241" s="14" t="n">
        <v>1</v>
      </c>
      <c r="I241" s="14" t="n">
        <v>0</v>
      </c>
      <c r="J241" s="14" t="n">
        <v>0</v>
      </c>
      <c r="K241" s="14" t="n">
        <v>3</v>
      </c>
      <c r="L241" s="14" t="n">
        <v>1</v>
      </c>
      <c r="M241" s="12" t="s">
        <v>834</v>
      </c>
      <c r="N241" s="11"/>
      <c r="O241" s="23"/>
      <c r="P241" s="23"/>
      <c r="Q241" s="23"/>
      <c r="R241" s="23"/>
      <c r="S241" s="23"/>
      <c r="T241" s="23"/>
      <c r="U241" s="23"/>
      <c r="V241" s="23"/>
      <c r="W241" s="23"/>
      <c r="X241" s="23"/>
      <c r="Y241" s="23"/>
      <c r="Z241" s="23"/>
    </row>
    <row r="242" customFormat="false" ht="15.75" hidden="false" customHeight="true" outlineLevel="0" collapsed="false">
      <c r="A242" s="52" t="n">
        <v>46303</v>
      </c>
      <c r="B242" s="14" t="s">
        <v>277</v>
      </c>
      <c r="C242" s="14" t="str">
        <f aca="false" t="array" ref="C242:C242">IF(B242="","",IFERROR(INDEX('CLM &amp; IM Mapping'!$B$2:$B$270,MATCH(TRIM(B242),'CLM &amp; IM Mapping'!$A$2:$A$270,0)),"Not Mapped"))</f>
        <v>Santhosha M</v>
      </c>
      <c r="D242" s="14" t="str">
        <f aca="false" t="array" ref="D242:D242">IF(B242="","",IFERROR(INDEX('CLM &amp; IM Mapping'!$C$2:$C$270,MATCH(TRIM(B242),'CLM &amp; IM Mapping'!$A$2:$A$270,0)),"Not Mapped"))</f>
        <v>Aravind S</v>
      </c>
      <c r="E242" s="14" t="n">
        <v>0</v>
      </c>
      <c r="F242" s="14" t="n">
        <v>0</v>
      </c>
      <c r="G242" s="14" t="n">
        <v>0</v>
      </c>
      <c r="H242" s="14" t="n">
        <v>1</v>
      </c>
      <c r="I242" s="14" t="n">
        <v>0</v>
      </c>
      <c r="J242" s="14" t="n">
        <v>0</v>
      </c>
      <c r="K242" s="14" t="n">
        <v>1</v>
      </c>
      <c r="L242" s="14" t="n">
        <v>1</v>
      </c>
      <c r="M242" s="21"/>
      <c r="N242" s="11"/>
      <c r="O242" s="23"/>
      <c r="P242" s="23"/>
      <c r="Q242" s="23"/>
      <c r="R242" s="23"/>
      <c r="S242" s="23"/>
      <c r="T242" s="23"/>
      <c r="U242" s="23"/>
      <c r="V242" s="23"/>
      <c r="W242" s="23"/>
      <c r="X242" s="23"/>
      <c r="Y242" s="23"/>
      <c r="Z242" s="23"/>
    </row>
    <row r="243" customFormat="false" ht="15.75" hidden="false" customHeight="true" outlineLevel="0" collapsed="false">
      <c r="A243" s="52" t="n">
        <v>46303</v>
      </c>
      <c r="B243" s="14" t="s">
        <v>348</v>
      </c>
      <c r="C243" s="14" t="str">
        <f aca="false" t="array" ref="C243:C243">IF(B243="","",IFERROR(INDEX('CLM &amp; IM Mapping'!$B$2:$B$270,MATCH(TRIM(B243),'CLM &amp; IM Mapping'!$A$2:$A$270,0)),"Not Mapped"))</f>
        <v>Arun Raj</v>
      </c>
      <c r="D243" s="14" t="str">
        <f aca="false" t="array" ref="D243:D243">IF(B243="","",IFERROR(INDEX('CLM &amp; IM Mapping'!$C$2:$C$270,MATCH(TRIM(B243),'CLM &amp; IM Mapping'!$A$2:$A$270,0)),"Not Mapped"))</f>
        <v>Simon Manoharan</v>
      </c>
      <c r="E243" s="14" t="n">
        <v>0</v>
      </c>
      <c r="F243" s="14" t="n">
        <v>0</v>
      </c>
      <c r="G243" s="14" t="n">
        <v>0</v>
      </c>
      <c r="H243" s="14" t="n">
        <v>1</v>
      </c>
      <c r="I243" s="14"/>
      <c r="J243" s="14"/>
      <c r="K243" s="14" t="n">
        <v>1</v>
      </c>
      <c r="L243" s="14" t="n">
        <v>1</v>
      </c>
      <c r="M243" s="21"/>
      <c r="N243" s="11"/>
      <c r="O243" s="23"/>
      <c r="P243" s="23"/>
      <c r="Q243" s="23"/>
      <c r="R243" s="23"/>
      <c r="S243" s="23"/>
      <c r="T243" s="23"/>
      <c r="U243" s="23"/>
      <c r="V243" s="23"/>
      <c r="W243" s="23"/>
      <c r="X243" s="23"/>
      <c r="Y243" s="23"/>
      <c r="Z243" s="23"/>
    </row>
    <row r="244" customFormat="false" ht="15.75" hidden="false" customHeight="true" outlineLevel="0" collapsed="false">
      <c r="A244" s="52" t="n">
        <v>46303</v>
      </c>
      <c r="B244" s="14" t="s">
        <v>431</v>
      </c>
      <c r="C244" s="14" t="str">
        <f aca="false" t="array" ref="C244:C244">IF(B244="","",IFERROR(INDEX('CLM &amp; IM Mapping'!$B$2:$B$270,MATCH(TRIM(B244),'CLM &amp; IM Mapping'!$A$2:$A$270,0)),"Not Mapped"))</f>
        <v>Vishnu V</v>
      </c>
      <c r="D244" s="14" t="str">
        <f aca="false" t="array" ref="D244:D244">IF(B244="","",IFERROR(INDEX('CLM &amp; IM Mapping'!$C$2:$C$270,MATCH(TRIM(B244),'CLM &amp; IM Mapping'!$A$2:$A$270,0)),"Not Mapped"))</f>
        <v>Arivind S</v>
      </c>
      <c r="E244" s="14" t="n">
        <v>0</v>
      </c>
      <c r="F244" s="14" t="n">
        <v>0</v>
      </c>
      <c r="G244" s="14" t="n">
        <v>0</v>
      </c>
      <c r="H244" s="14" t="n">
        <v>0</v>
      </c>
      <c r="I244" s="14" t="n">
        <v>0</v>
      </c>
      <c r="J244" s="14" t="n">
        <v>0</v>
      </c>
      <c r="K244" s="14" t="n">
        <v>0</v>
      </c>
      <c r="L244" s="14" t="n">
        <v>0</v>
      </c>
      <c r="M244" s="21"/>
      <c r="N244" s="11"/>
      <c r="O244" s="23"/>
      <c r="P244" s="23"/>
      <c r="Q244" s="23"/>
      <c r="R244" s="23"/>
      <c r="S244" s="23"/>
      <c r="T244" s="23"/>
      <c r="U244" s="23"/>
      <c r="V244" s="23"/>
      <c r="W244" s="23"/>
      <c r="X244" s="23"/>
      <c r="Y244" s="23"/>
      <c r="Z244" s="23"/>
    </row>
    <row r="245" customFormat="false" ht="15.75" hidden="false" customHeight="true" outlineLevel="0" collapsed="false">
      <c r="A245" s="52" t="n">
        <v>46303</v>
      </c>
      <c r="B245" s="14" t="s">
        <v>564</v>
      </c>
      <c r="C245" s="14" t="str">
        <f aca="false" t="array" ref="C245:C245">IF(B245="","",IFERROR(INDEX('CLM &amp; IM Mapping'!$B$2:$B$270,MATCH(TRIM(B245),'CLM &amp; IM Mapping'!$A$2:$A$270,0)),"Not Mapped"))</f>
        <v>Basil Scariya</v>
      </c>
      <c r="D245" s="14" t="str">
        <f aca="false" t="array" ref="D245:D245">IF(B245="","",IFERROR(INDEX('CLM &amp; IM Mapping'!$C$2:$C$270,MATCH(TRIM(B245),'CLM &amp; IM Mapping'!$A$2:$A$270,0)),"Not Mapped"))</f>
        <v>Prakash BS</v>
      </c>
      <c r="E245" s="14" t="n">
        <v>0</v>
      </c>
      <c r="F245" s="14" t="n">
        <v>0</v>
      </c>
      <c r="G245" s="14"/>
      <c r="H245" s="14"/>
      <c r="I245" s="14"/>
      <c r="J245" s="14" t="n">
        <v>0</v>
      </c>
      <c r="K245" s="14" t="n">
        <v>0</v>
      </c>
      <c r="L245" s="14"/>
      <c r="M245" s="21"/>
      <c r="N245" s="11"/>
      <c r="O245" s="23"/>
      <c r="P245" s="23"/>
      <c r="Q245" s="23"/>
      <c r="R245" s="23"/>
      <c r="S245" s="23"/>
      <c r="T245" s="23"/>
      <c r="U245" s="23"/>
      <c r="V245" s="23"/>
      <c r="W245" s="23"/>
      <c r="X245" s="23"/>
      <c r="Y245" s="23"/>
      <c r="Z245" s="23"/>
    </row>
    <row r="246" customFormat="false" ht="15.75" hidden="false" customHeight="true" outlineLevel="0" collapsed="false">
      <c r="A246" s="52" t="n">
        <v>46303</v>
      </c>
      <c r="B246" s="14" t="s">
        <v>494</v>
      </c>
      <c r="C246" s="14" t="str">
        <f aca="false" t="array" ref="C246:C246">IF(B246="","",IFERROR(INDEX('CLM &amp; IM Mapping'!$B$2:$B$270,MATCH(TRIM(B246),'CLM &amp; IM Mapping'!$A$2:$A$270,0)),"Not Mapped"))</f>
        <v>Arun Raj</v>
      </c>
      <c r="D246" s="14" t="str">
        <f aca="false" t="array" ref="D246:D246">IF(B246="","",IFERROR(INDEX('CLM &amp; IM Mapping'!$C$2:$C$270,MATCH(TRIM(B246),'CLM &amp; IM Mapping'!$A$2:$A$270,0)),"Not Mapped"))</f>
        <v>Simon Manoharan</v>
      </c>
      <c r="E246" s="14" t="n">
        <v>0</v>
      </c>
      <c r="F246" s="14" t="n">
        <v>0</v>
      </c>
      <c r="G246" s="14" t="n">
        <v>0</v>
      </c>
      <c r="H246" s="14" t="n">
        <v>0</v>
      </c>
      <c r="I246" s="14" t="n">
        <v>0</v>
      </c>
      <c r="J246" s="14"/>
      <c r="K246" s="14" t="n">
        <v>0</v>
      </c>
      <c r="L246" s="14" t="n">
        <v>0</v>
      </c>
      <c r="M246" s="21"/>
      <c r="N246" s="11"/>
      <c r="O246" s="23"/>
      <c r="P246" s="23"/>
      <c r="Q246" s="23"/>
      <c r="R246" s="23"/>
      <c r="S246" s="23"/>
      <c r="T246" s="23"/>
      <c r="U246" s="23"/>
      <c r="V246" s="23"/>
      <c r="W246" s="23"/>
      <c r="X246" s="23"/>
      <c r="Y246" s="23"/>
      <c r="Z246" s="23"/>
    </row>
    <row r="247" customFormat="false" ht="15.75" hidden="false" customHeight="true" outlineLevel="0" collapsed="false">
      <c r="A247" s="52" t="n">
        <v>46303</v>
      </c>
      <c r="B247" s="14" t="s">
        <v>439</v>
      </c>
      <c r="C247" s="14" t="str">
        <f aca="false" t="array" ref="C247:C247">IF(B247="","",IFERROR(INDEX('CLM &amp; IM Mapping'!$B$2:$B$270,MATCH(TRIM(B247),'CLM &amp; IM Mapping'!$A$2:$A$270,0)),"Not Mapped"))</f>
        <v>Vishnu V</v>
      </c>
      <c r="D247" s="14" t="str">
        <f aca="false" t="array" ref="D247:D247">IF(B247="","",IFERROR(INDEX('CLM &amp; IM Mapping'!$C$2:$C$270,MATCH(TRIM(B247),'CLM &amp; IM Mapping'!$A$2:$A$270,0)),"Not Mapped"))</f>
        <v>Arivind S</v>
      </c>
      <c r="E247" s="14" t="n">
        <v>0</v>
      </c>
      <c r="F247" s="14" t="n">
        <v>0</v>
      </c>
      <c r="G247" s="14" t="n">
        <v>0</v>
      </c>
      <c r="H247" s="14" t="n">
        <v>0</v>
      </c>
      <c r="I247" s="14" t="n">
        <v>0</v>
      </c>
      <c r="J247" s="14" t="n">
        <v>0</v>
      </c>
      <c r="K247" s="14" t="n">
        <v>0</v>
      </c>
      <c r="L247" s="14" t="n">
        <v>0</v>
      </c>
      <c r="M247" s="21"/>
      <c r="N247" s="11"/>
      <c r="O247" s="23"/>
      <c r="P247" s="23"/>
      <c r="Q247" s="23"/>
      <c r="R247" s="23"/>
      <c r="S247" s="23"/>
      <c r="T247" s="23"/>
      <c r="U247" s="23"/>
      <c r="V247" s="23"/>
      <c r="W247" s="23"/>
      <c r="X247" s="23"/>
      <c r="Y247" s="23"/>
      <c r="Z247" s="23"/>
    </row>
    <row r="248" customFormat="false" ht="15.75" hidden="false" customHeight="true" outlineLevel="0" collapsed="false">
      <c r="A248" s="52" t="n">
        <v>46303</v>
      </c>
      <c r="B248" s="14" t="s">
        <v>452</v>
      </c>
      <c r="C248" s="14" t="str">
        <f aca="false" t="array" ref="C248:C248">IF(B248="","",IFERROR(INDEX('CLM &amp; IM Mapping'!$B$2:$B$270,MATCH(TRIM(B248),'CLM &amp; IM Mapping'!$A$2:$A$270,0)),"Not Mapped"))</f>
        <v>Vishnu V</v>
      </c>
      <c r="D248" s="14" t="str">
        <f aca="false" t="array" ref="D248:D248">IF(B248="","",IFERROR(INDEX('CLM &amp; IM Mapping'!$C$2:$C$270,MATCH(TRIM(B248),'CLM &amp; IM Mapping'!$A$2:$A$270,0)),"Not Mapped"))</f>
        <v>Arivind S</v>
      </c>
      <c r="E248" s="14" t="n">
        <v>0</v>
      </c>
      <c r="F248" s="14" t="n">
        <v>0</v>
      </c>
      <c r="G248" s="14" t="n">
        <v>0</v>
      </c>
      <c r="H248" s="14" t="n">
        <v>0</v>
      </c>
      <c r="I248" s="14" t="n">
        <v>0</v>
      </c>
      <c r="J248" s="14" t="n">
        <v>0</v>
      </c>
      <c r="K248" s="14" t="n">
        <v>0</v>
      </c>
      <c r="L248" s="14" t="n">
        <v>0</v>
      </c>
      <c r="M248" s="21"/>
      <c r="N248" s="11"/>
      <c r="O248" s="23"/>
      <c r="P248" s="23"/>
      <c r="Q248" s="23"/>
      <c r="R248" s="23"/>
      <c r="S248" s="23"/>
      <c r="T248" s="23"/>
      <c r="U248" s="23"/>
      <c r="V248" s="23"/>
      <c r="W248" s="23"/>
      <c r="X248" s="23"/>
      <c r="Y248" s="23"/>
      <c r="Z248" s="23"/>
    </row>
    <row r="249" customFormat="false" ht="15.75" hidden="false" customHeight="true" outlineLevel="0" collapsed="false">
      <c r="A249" s="52" t="n">
        <v>46303</v>
      </c>
      <c r="B249" s="14" t="s">
        <v>399</v>
      </c>
      <c r="C249" s="14" t="str">
        <f aca="false" t="array" ref="C249:C249">IF(B249="","",IFERROR(INDEX('CLM &amp; IM Mapping'!$B$2:$B$270,MATCH(TRIM(B249),'CLM &amp; IM Mapping'!$A$2:$A$270,0)),"Not Mapped"))</f>
        <v>John Britto</v>
      </c>
      <c r="D249" s="14" t="str">
        <f aca="false" t="array" ref="D249:D249">IF(B249="","",IFERROR(INDEX('CLM &amp; IM Mapping'!$C$2:$C$270,MATCH(TRIM(B249),'CLM &amp; IM Mapping'!$A$2:$A$270,0)),"Not Mapped"))</f>
        <v>Aravind S</v>
      </c>
      <c r="E249" s="14" t="n">
        <v>0</v>
      </c>
      <c r="F249" s="14" t="n">
        <v>0</v>
      </c>
      <c r="G249" s="14" t="n">
        <v>0</v>
      </c>
      <c r="H249" s="14" t="n">
        <v>0</v>
      </c>
      <c r="I249" s="14" t="n">
        <v>0</v>
      </c>
      <c r="J249" s="14" t="n">
        <v>0</v>
      </c>
      <c r="K249" s="14" t="n">
        <v>0</v>
      </c>
      <c r="L249" s="14" t="n">
        <v>0</v>
      </c>
      <c r="M249" s="21"/>
      <c r="N249" s="11"/>
      <c r="O249" s="23"/>
      <c r="P249" s="23"/>
      <c r="Q249" s="23"/>
      <c r="R249" s="23"/>
      <c r="S249" s="23"/>
      <c r="T249" s="23"/>
      <c r="U249" s="23"/>
      <c r="V249" s="23"/>
      <c r="W249" s="23"/>
      <c r="X249" s="23"/>
      <c r="Y249" s="23"/>
      <c r="Z249" s="23"/>
    </row>
    <row r="250" customFormat="false" ht="15.75" hidden="false" customHeight="true" outlineLevel="0" collapsed="false">
      <c r="A250" s="52" t="n">
        <v>46303</v>
      </c>
      <c r="B250" s="14" t="s">
        <v>272</v>
      </c>
      <c r="C250" s="14" t="str">
        <f aca="false" t="array" ref="C250:C250">IF(B250="","",IFERROR(INDEX('CLM &amp; IM Mapping'!$B$2:$B$270,MATCH(TRIM(B250),'CLM &amp; IM Mapping'!$A$2:$A$270,0)),"Not Mapped"))</f>
        <v>Arun Raj</v>
      </c>
      <c r="D250" s="14" t="str">
        <f aca="false" t="array" ref="D250:D250">IF(B250="","",IFERROR(INDEX('CLM &amp; IM Mapping'!$C$2:$C$270,MATCH(TRIM(B250),'CLM &amp; IM Mapping'!$A$2:$A$270,0)),"Not Mapped"))</f>
        <v>Simon Manoharan</v>
      </c>
      <c r="E250" s="14" t="n">
        <v>0</v>
      </c>
      <c r="F250" s="14" t="n">
        <v>0</v>
      </c>
      <c r="G250" s="14" t="n">
        <v>0</v>
      </c>
      <c r="H250" s="14" t="n">
        <v>0</v>
      </c>
      <c r="I250" s="14" t="n">
        <v>0</v>
      </c>
      <c r="J250" s="14"/>
      <c r="K250" s="14" t="n">
        <v>0</v>
      </c>
      <c r="L250" s="14" t="n">
        <v>0</v>
      </c>
      <c r="M250" s="21"/>
      <c r="N250" s="11"/>
      <c r="O250" s="23"/>
      <c r="P250" s="23"/>
      <c r="Q250" s="23"/>
      <c r="R250" s="23"/>
      <c r="S250" s="23"/>
      <c r="T250" s="23"/>
      <c r="U250" s="23"/>
      <c r="V250" s="23"/>
      <c r="W250" s="23"/>
      <c r="X250" s="23"/>
      <c r="Y250" s="23"/>
      <c r="Z250" s="23"/>
    </row>
    <row r="251" customFormat="false" ht="15.75" hidden="false" customHeight="true" outlineLevel="0" collapsed="false">
      <c r="A251" s="52" t="n">
        <v>46303</v>
      </c>
      <c r="B251" s="14" t="s">
        <v>386</v>
      </c>
      <c r="C251" s="14" t="str">
        <f aca="false" t="array" ref="C251:C251">IF(B251="","",IFERROR(INDEX('CLM &amp; IM Mapping'!$B$2:$B$270,MATCH(TRIM(B251),'CLM &amp; IM Mapping'!$A$2:$A$270,0)),"Not Mapped"))</f>
        <v>Arun Raj</v>
      </c>
      <c r="D251" s="14" t="str">
        <f aca="false" t="array" ref="D251:D251">IF(B251="","",IFERROR(INDEX('CLM &amp; IM Mapping'!$C$2:$C$270,MATCH(TRIM(B251),'CLM &amp; IM Mapping'!$A$2:$A$270,0)),"Not Mapped"))</f>
        <v>Simon Manoharan</v>
      </c>
      <c r="E251" s="14" t="n">
        <v>0</v>
      </c>
      <c r="F251" s="14" t="n">
        <v>0</v>
      </c>
      <c r="G251" s="14" t="n">
        <v>0</v>
      </c>
      <c r="H251" s="14" t="n">
        <v>0</v>
      </c>
      <c r="I251" s="14" t="n">
        <v>0</v>
      </c>
      <c r="J251" s="14"/>
      <c r="K251" s="14" t="n">
        <v>0</v>
      </c>
      <c r="L251" s="14" t="n">
        <v>0</v>
      </c>
      <c r="M251" s="21"/>
      <c r="N251" s="11"/>
      <c r="O251" s="23"/>
      <c r="P251" s="23"/>
      <c r="Q251" s="23"/>
      <c r="R251" s="23"/>
      <c r="S251" s="23"/>
      <c r="T251" s="23"/>
      <c r="U251" s="23"/>
      <c r="V251" s="23"/>
      <c r="W251" s="23"/>
      <c r="X251" s="23"/>
      <c r="Y251" s="23"/>
      <c r="Z251" s="23"/>
    </row>
    <row r="252" customFormat="false" ht="15.75" hidden="false" customHeight="true" outlineLevel="0" collapsed="false">
      <c r="A252" s="52" t="n">
        <v>46303</v>
      </c>
      <c r="B252" s="14" t="s">
        <v>368</v>
      </c>
      <c r="C252" s="14" t="str">
        <f aca="false" t="array" ref="C252:C252">IF(B252="","",IFERROR(INDEX('CLM &amp; IM Mapping'!$B$2:$B$270,MATCH(TRIM(B252),'CLM &amp; IM Mapping'!$A$2:$A$270,0)),"Not Mapped"))</f>
        <v>Arun Raj</v>
      </c>
      <c r="D252" s="14" t="str">
        <f aca="false" t="array" ref="D252:D252">IF(B252="","",IFERROR(INDEX('CLM &amp; IM Mapping'!$C$2:$C$270,MATCH(TRIM(B252),'CLM &amp; IM Mapping'!$A$2:$A$270,0)),"Not Mapped"))</f>
        <v>Simon Manoharan</v>
      </c>
      <c r="E252" s="14" t="n">
        <v>0</v>
      </c>
      <c r="F252" s="14"/>
      <c r="G252" s="14"/>
      <c r="H252" s="14"/>
      <c r="I252" s="14"/>
      <c r="J252" s="14"/>
      <c r="K252" s="14" t="n">
        <v>0</v>
      </c>
      <c r="L252" s="14"/>
      <c r="M252" s="21"/>
      <c r="N252" s="11"/>
      <c r="O252" s="23"/>
      <c r="P252" s="23"/>
      <c r="Q252" s="23"/>
      <c r="R252" s="23"/>
      <c r="S252" s="23"/>
      <c r="T252" s="23"/>
      <c r="U252" s="23"/>
      <c r="V252" s="23"/>
      <c r="W252" s="23"/>
      <c r="X252" s="23"/>
      <c r="Y252" s="23"/>
      <c r="Z252" s="23"/>
    </row>
    <row r="253" customFormat="false" ht="15.75" hidden="false" customHeight="true" outlineLevel="0" collapsed="false">
      <c r="A253" s="52" t="n">
        <v>46304</v>
      </c>
      <c r="B253" s="14" t="s">
        <v>222</v>
      </c>
      <c r="C253" s="14" t="str">
        <f aca="false" t="array" ref="C253:C253">IF(B253="","",IFERROR(INDEX('CLM &amp; IM Mapping'!$B$2:$B$270,MATCH(TRIM(B253),'CLM &amp; IM Mapping'!$A$2:$A$270,0)),"Not Mapped"))</f>
        <v>Vishnu V</v>
      </c>
      <c r="D253" s="14" t="str">
        <f aca="false" t="array" ref="D253:D253">IF(B253="","",IFERROR(INDEX('CLM &amp; IM Mapping'!$C$2:$C$270,MATCH(TRIM(B253),'CLM &amp; IM Mapping'!$A$2:$A$270,0)),"Not Mapped"))</f>
        <v>Arivind S</v>
      </c>
      <c r="E253" s="14" t="n">
        <v>101</v>
      </c>
      <c r="F253" s="14" t="n">
        <v>1706</v>
      </c>
      <c r="G253" s="14" t="n">
        <v>32</v>
      </c>
      <c r="H253" s="14" t="n">
        <v>35</v>
      </c>
      <c r="I253" s="14" t="n">
        <v>1</v>
      </c>
      <c r="J253" s="14" t="n">
        <v>25</v>
      </c>
      <c r="K253" s="14" t="n">
        <v>1900</v>
      </c>
      <c r="L253" s="14" t="n">
        <v>97</v>
      </c>
      <c r="M253" s="12" t="s">
        <v>815</v>
      </c>
      <c r="N253" s="11"/>
      <c r="O253" s="23"/>
      <c r="P253" s="23"/>
      <c r="Q253" s="23"/>
      <c r="R253" s="23"/>
      <c r="S253" s="23"/>
      <c r="T253" s="23"/>
      <c r="U253" s="23"/>
      <c r="V253" s="23"/>
      <c r="W253" s="23"/>
      <c r="X253" s="23"/>
      <c r="Y253" s="23"/>
      <c r="Z253" s="23"/>
    </row>
    <row r="254" customFormat="false" ht="15.75" hidden="false" customHeight="true" outlineLevel="0" collapsed="false">
      <c r="A254" s="52" t="n">
        <v>46304</v>
      </c>
      <c r="B254" s="14" t="s">
        <v>38</v>
      </c>
      <c r="C254" s="14" t="str">
        <f aca="false" t="array" ref="C254:C254">IF(B254="","",IFERROR(INDEX('CLM &amp; IM Mapping'!$B$2:$B$270,MATCH(TRIM(B254),'CLM &amp; IM Mapping'!$A$2:$A$270,0)),"Not Mapped"))</f>
        <v>Vijay M</v>
      </c>
      <c r="D254" s="14" t="str">
        <f aca="false" t="array" ref="D254:D254">IF(B254="","",IFERROR(INDEX('CLM &amp; IM Mapping'!$C$2:$C$270,MATCH(TRIM(B254),'CLM &amp; IM Mapping'!$A$2:$A$270,0)),"Not Mapped"))</f>
        <v>Kantha Kumar</v>
      </c>
      <c r="E254" s="14" t="n">
        <v>59</v>
      </c>
      <c r="F254" s="14" t="n">
        <v>23</v>
      </c>
      <c r="G254" s="14" t="n">
        <v>0</v>
      </c>
      <c r="H254" s="14" t="n">
        <v>51</v>
      </c>
      <c r="I254" s="14" t="n">
        <v>1024</v>
      </c>
      <c r="J254" s="14" t="n">
        <v>54</v>
      </c>
      <c r="K254" s="14" t="n">
        <v>1211</v>
      </c>
      <c r="L254" s="14" t="n">
        <v>641</v>
      </c>
      <c r="M254" s="12"/>
      <c r="N254" s="11"/>
      <c r="O254" s="23"/>
      <c r="P254" s="23"/>
      <c r="Q254" s="23"/>
      <c r="R254" s="23"/>
      <c r="S254" s="23"/>
      <c r="T254" s="23"/>
      <c r="U254" s="23"/>
      <c r="V254" s="23"/>
      <c r="W254" s="23"/>
      <c r="X254" s="23"/>
      <c r="Y254" s="23"/>
      <c r="Z254" s="23"/>
    </row>
    <row r="255" customFormat="false" ht="15.75" hidden="false" customHeight="true" outlineLevel="0" collapsed="false">
      <c r="A255" s="52" t="n">
        <v>46304</v>
      </c>
      <c r="B255" s="14" t="s">
        <v>59</v>
      </c>
      <c r="C255" s="14" t="str">
        <f aca="false" t="array" ref="C255:C255">IF(B255="","",IFERROR(INDEX('CLM &amp; IM Mapping'!$B$2:$B$270,MATCH(TRIM(B255),'CLM &amp; IM Mapping'!$A$2:$A$270,0)),"Not Mapped"))</f>
        <v>Saddam Hussain</v>
      </c>
      <c r="D255" s="14" t="str">
        <f aca="false" t="array" ref="D255:D255">IF(B255="","",IFERROR(INDEX('CLM &amp; IM Mapping'!$C$2:$C$270,MATCH(TRIM(B255),'CLM &amp; IM Mapping'!$A$2:$A$270,0)),"Not Mapped"))</f>
        <v>Un Mapped</v>
      </c>
      <c r="E255" s="14" t="n">
        <v>35</v>
      </c>
      <c r="F255" s="14" t="n">
        <v>175</v>
      </c>
      <c r="G255" s="14" t="n">
        <v>2</v>
      </c>
      <c r="H255" s="14" t="n">
        <v>6</v>
      </c>
      <c r="I255" s="14" t="n">
        <v>553</v>
      </c>
      <c r="J255" s="14" t="n">
        <v>2</v>
      </c>
      <c r="K255" s="14" t="n">
        <v>773</v>
      </c>
      <c r="L255" s="14" t="n">
        <v>483</v>
      </c>
      <c r="M255" s="12"/>
      <c r="N255" s="11"/>
      <c r="O255" s="23"/>
      <c r="P255" s="23"/>
      <c r="Q255" s="23"/>
      <c r="R255" s="23"/>
      <c r="S255" s="23"/>
      <c r="T255" s="23"/>
      <c r="U255" s="23"/>
      <c r="V255" s="23"/>
      <c r="W255" s="23"/>
      <c r="X255" s="23"/>
      <c r="Y255" s="23"/>
      <c r="Z255" s="23"/>
    </row>
    <row r="256" customFormat="false" ht="15.75" hidden="false" customHeight="true" outlineLevel="0" collapsed="false">
      <c r="A256" s="52" t="n">
        <v>46304</v>
      </c>
      <c r="B256" s="14" t="s">
        <v>70</v>
      </c>
      <c r="C256" s="14" t="str">
        <f aca="false" t="array" ref="C256:C256">IF(B256="","",IFERROR(INDEX('CLM &amp; IM Mapping'!$B$2:$B$270,MATCH(TRIM(B256),'CLM &amp; IM Mapping'!$A$2:$A$270,0)),"Not Mapped"))</f>
        <v>Rizwan Ahmed</v>
      </c>
      <c r="D256" s="14" t="str">
        <f aca="false" t="array" ref="D256:D256">IF(B256="","",IFERROR(INDEX('CLM &amp; IM Mapping'!$C$2:$C$270,MATCH(TRIM(B256),'CLM &amp; IM Mapping'!$A$2:$A$270,0)),"Not Mapped"))</f>
        <v>Un Mapped</v>
      </c>
      <c r="E256" s="14" t="n">
        <v>180</v>
      </c>
      <c r="F256" s="14" t="n">
        <v>197</v>
      </c>
      <c r="G256" s="14" t="n">
        <v>0</v>
      </c>
      <c r="H256" s="14" t="n">
        <v>171</v>
      </c>
      <c r="I256" s="14" t="n">
        <v>69</v>
      </c>
      <c r="J256" s="14" t="n">
        <v>61</v>
      </c>
      <c r="K256" s="14" t="n">
        <v>678</v>
      </c>
      <c r="L256" s="14" t="n">
        <v>537</v>
      </c>
      <c r="M256" s="12"/>
      <c r="N256" s="11"/>
      <c r="O256" s="23"/>
      <c r="P256" s="23"/>
      <c r="Q256" s="23"/>
      <c r="R256" s="23"/>
      <c r="S256" s="23"/>
      <c r="T256" s="23"/>
      <c r="U256" s="23"/>
      <c r="V256" s="23"/>
      <c r="W256" s="23"/>
      <c r="X256" s="23"/>
      <c r="Y256" s="23"/>
      <c r="Z256" s="23"/>
    </row>
    <row r="257" customFormat="false" ht="15.75" hidden="false" customHeight="true" outlineLevel="0" collapsed="false">
      <c r="A257" s="52" t="n">
        <v>46304</v>
      </c>
      <c r="B257" s="14" t="s">
        <v>254</v>
      </c>
      <c r="C257" s="14" t="str">
        <f aca="false" t="array" ref="C257:C257">IF(B257="","",IFERROR(INDEX('CLM &amp; IM Mapping'!$B$2:$B$270,MATCH(TRIM(B257),'CLM &amp; IM Mapping'!$A$2:$A$270,0)),"Not Mapped"))</f>
        <v>Basil Scariya</v>
      </c>
      <c r="D257" s="14" t="str">
        <f aca="false" t="array" ref="D257:D257">IF(B257="","",IFERROR(INDEX('CLM &amp; IM Mapping'!$C$2:$C$270,MATCH(TRIM(B257),'CLM &amp; IM Mapping'!$A$2:$A$270,0)),"Not Mapped"))</f>
        <v>Prakash BS</v>
      </c>
      <c r="E257" s="14" t="n">
        <v>41</v>
      </c>
      <c r="F257" s="14" t="n">
        <v>432</v>
      </c>
      <c r="G257" s="14" t="n">
        <v>144</v>
      </c>
      <c r="H257" s="14" t="n">
        <v>6</v>
      </c>
      <c r="I257" s="14" t="n">
        <v>0</v>
      </c>
      <c r="J257" s="14" t="n">
        <v>38</v>
      </c>
      <c r="K257" s="14" t="n">
        <v>661</v>
      </c>
      <c r="L257" s="14" t="n">
        <v>301</v>
      </c>
      <c r="M257" s="12" t="s">
        <v>835</v>
      </c>
      <c r="N257" s="11" t="s">
        <v>836</v>
      </c>
      <c r="O257" s="23"/>
      <c r="P257" s="23"/>
      <c r="Q257" s="23"/>
      <c r="R257" s="23"/>
      <c r="S257" s="23"/>
      <c r="T257" s="23"/>
      <c r="U257" s="23"/>
      <c r="V257" s="23"/>
      <c r="W257" s="23"/>
      <c r="X257" s="23"/>
      <c r="Y257" s="23"/>
      <c r="Z257" s="23"/>
    </row>
    <row r="258" customFormat="false" ht="15.75" hidden="false" customHeight="true" outlineLevel="0" collapsed="false">
      <c r="A258" s="52" t="n">
        <v>46304</v>
      </c>
      <c r="B258" s="14" t="s">
        <v>184</v>
      </c>
      <c r="C258" s="14" t="str">
        <f aca="false" t="array" ref="C258:C258">IF(B258="","",IFERROR(INDEX('CLM &amp; IM Mapping'!$B$2:$B$270,MATCH(TRIM(B258),'CLM &amp; IM Mapping'!$A$2:$A$270,0)),"Not Mapped"))</f>
        <v>Richard Harris</v>
      </c>
      <c r="D258" s="14" t="str">
        <f aca="false" t="array" ref="D258:D258">IF(B258="","",IFERROR(INDEX('CLM &amp; IM Mapping'!$C$2:$C$270,MATCH(TRIM(B258),'CLM &amp; IM Mapping'!$A$2:$A$270,0)),"Not Mapped"))</f>
        <v>Kantha Kumar</v>
      </c>
      <c r="E258" s="14" t="n">
        <v>0</v>
      </c>
      <c r="F258" s="14" t="n">
        <v>48</v>
      </c>
      <c r="G258" s="14" t="n">
        <v>0</v>
      </c>
      <c r="H258" s="14" t="n">
        <v>457</v>
      </c>
      <c r="I258" s="14" t="n">
        <v>111</v>
      </c>
      <c r="J258" s="14" t="n">
        <v>18</v>
      </c>
      <c r="K258" s="14" t="n">
        <v>634</v>
      </c>
      <c r="L258" s="14" t="n">
        <v>196</v>
      </c>
      <c r="M258" s="12"/>
      <c r="N258" s="11"/>
      <c r="O258" s="23"/>
      <c r="P258" s="23"/>
      <c r="Q258" s="23"/>
      <c r="R258" s="23"/>
      <c r="S258" s="23"/>
      <c r="T258" s="23"/>
      <c r="U258" s="23"/>
      <c r="V258" s="23"/>
      <c r="W258" s="23"/>
      <c r="X258" s="23"/>
      <c r="Y258" s="23"/>
      <c r="Z258" s="23"/>
    </row>
    <row r="259" customFormat="false" ht="15.75" hidden="false" customHeight="true" outlineLevel="0" collapsed="false">
      <c r="A259" s="52" t="n">
        <v>46304</v>
      </c>
      <c r="B259" s="14" t="s">
        <v>405</v>
      </c>
      <c r="C259" s="14" t="str">
        <f aca="false" t="array" ref="C259:C259">IF(B259="","",IFERROR(INDEX('CLM &amp; IM Mapping'!$B$2:$B$270,MATCH(TRIM(B259),'CLM &amp; IM Mapping'!$A$2:$A$270,0)),"Not Mapped"))</f>
        <v>Adhavan Subramani</v>
      </c>
      <c r="D259" s="14" t="str">
        <f aca="false" t="array" ref="D259:D259">IF(B259="","",IFERROR(INDEX('CLM &amp; IM Mapping'!$C$2:$C$270,MATCH(TRIM(B259),'CLM &amp; IM Mapping'!$A$2:$A$270,0)),"Not Mapped"))</f>
        <v>Mohammed Akbar</v>
      </c>
      <c r="E259" s="14" t="n">
        <v>36</v>
      </c>
      <c r="F259" s="14" t="n">
        <v>43</v>
      </c>
      <c r="G259" s="14" t="n">
        <v>7</v>
      </c>
      <c r="H259" s="14" t="n">
        <v>174</v>
      </c>
      <c r="I259" s="14" t="n">
        <v>160</v>
      </c>
      <c r="J259" s="14" t="n">
        <v>120</v>
      </c>
      <c r="K259" s="14" t="n">
        <v>540</v>
      </c>
      <c r="L259" s="14" t="n">
        <v>277</v>
      </c>
      <c r="M259" s="12"/>
      <c r="N259" s="11"/>
      <c r="O259" s="23"/>
      <c r="P259" s="23"/>
      <c r="Q259" s="23"/>
      <c r="R259" s="23"/>
      <c r="S259" s="23"/>
      <c r="T259" s="23"/>
      <c r="U259" s="23"/>
      <c r="V259" s="23"/>
      <c r="W259" s="23"/>
      <c r="X259" s="23"/>
      <c r="Y259" s="23"/>
      <c r="Z259" s="23"/>
    </row>
    <row r="260" customFormat="false" ht="15.75" hidden="false" customHeight="true" outlineLevel="0" collapsed="false">
      <c r="A260" s="52" t="n">
        <v>46304</v>
      </c>
      <c r="B260" s="14" t="s">
        <v>83</v>
      </c>
      <c r="C260" s="14" t="str">
        <f aca="false" t="array" ref="C260:C260">IF(B260="","",IFERROR(INDEX('CLM &amp; IM Mapping'!$B$2:$B$270,MATCH(TRIM(B260),'CLM &amp; IM Mapping'!$A$2:$A$270,0)),"Not Mapped"))</f>
        <v>Keshav G</v>
      </c>
      <c r="D260" s="14" t="str">
        <f aca="false" t="array" ref="D260:D260">IF(B260="","",IFERROR(INDEX('CLM &amp; IM Mapping'!$C$2:$C$270,MATCH(TRIM(B260),'CLM &amp; IM Mapping'!$A$2:$A$270,0)),"Not Mapped"))</f>
        <v>Mohammed Akbar</v>
      </c>
      <c r="E260" s="14" t="n">
        <v>1</v>
      </c>
      <c r="F260" s="14" t="n">
        <v>236</v>
      </c>
      <c r="G260" s="14" t="n">
        <v>1</v>
      </c>
      <c r="H260" s="14" t="n">
        <v>130</v>
      </c>
      <c r="I260" s="14" t="n">
        <v>107</v>
      </c>
      <c r="J260" s="14" t="n">
        <v>8</v>
      </c>
      <c r="K260" s="14" t="n">
        <v>483</v>
      </c>
      <c r="L260" s="14" t="n">
        <v>358</v>
      </c>
      <c r="M260" s="12"/>
      <c r="N260" s="11"/>
      <c r="O260" s="23"/>
      <c r="P260" s="23"/>
      <c r="Q260" s="23"/>
      <c r="R260" s="23"/>
      <c r="S260" s="23"/>
      <c r="T260" s="23"/>
      <c r="U260" s="23"/>
      <c r="V260" s="23"/>
      <c r="W260" s="23"/>
      <c r="X260" s="23"/>
      <c r="Y260" s="23"/>
      <c r="Z260" s="23"/>
    </row>
    <row r="261" customFormat="false" ht="15.75" hidden="false" customHeight="true" outlineLevel="0" collapsed="false">
      <c r="A261" s="52" t="n">
        <v>46304</v>
      </c>
      <c r="B261" s="14" t="s">
        <v>470</v>
      </c>
      <c r="C261" s="14" t="str">
        <f aca="false" t="array" ref="C261:C261">IF(B261="","",IFERROR(INDEX('CLM &amp; IM Mapping'!$B$2:$B$270,MATCH(TRIM(B261),'CLM &amp; IM Mapping'!$A$2:$A$270,0)),"Not Mapped"))</f>
        <v>Vishnu V</v>
      </c>
      <c r="D261" s="14" t="str">
        <f aca="false" t="array" ref="D261:D261">IF(B261="","",IFERROR(INDEX('CLM &amp; IM Mapping'!$C$2:$C$270,MATCH(TRIM(B261),'CLM &amp; IM Mapping'!$A$2:$A$270,0)),"Not Mapped"))</f>
        <v>Arivind S</v>
      </c>
      <c r="E261" s="14" t="n">
        <v>30</v>
      </c>
      <c r="F261" s="14" t="n">
        <v>425</v>
      </c>
      <c r="G261" s="14" t="n">
        <v>0</v>
      </c>
      <c r="H261" s="14" t="n">
        <v>1</v>
      </c>
      <c r="I261" s="14" t="n">
        <v>0</v>
      </c>
      <c r="J261" s="14" t="n">
        <v>23</v>
      </c>
      <c r="K261" s="14" t="n">
        <v>479</v>
      </c>
      <c r="L261" s="14" t="n">
        <v>266</v>
      </c>
      <c r="M261" s="12" t="s">
        <v>837</v>
      </c>
      <c r="N261" s="11"/>
      <c r="O261" s="23"/>
      <c r="P261" s="23"/>
      <c r="Q261" s="23"/>
      <c r="R261" s="23"/>
      <c r="S261" s="23"/>
      <c r="T261" s="23"/>
      <c r="U261" s="23"/>
      <c r="V261" s="23"/>
      <c r="W261" s="23"/>
      <c r="X261" s="23"/>
      <c r="Y261" s="23"/>
      <c r="Z261" s="23"/>
    </row>
    <row r="262" customFormat="false" ht="15.75" hidden="false" customHeight="true" outlineLevel="0" collapsed="false">
      <c r="A262" s="52" t="n">
        <v>46304</v>
      </c>
      <c r="B262" s="14" t="s">
        <v>460</v>
      </c>
      <c r="C262" s="14" t="str">
        <f aca="false" t="array" ref="C262:C262">IF(B262="","",IFERROR(INDEX('CLM &amp; IM Mapping'!$B$2:$B$270,MATCH(TRIM(B262),'CLM &amp; IM Mapping'!$A$2:$A$270,0)),"Not Mapped"))</f>
        <v>Vijay M</v>
      </c>
      <c r="D262" s="14" t="str">
        <f aca="false" t="array" ref="D262:D262">IF(B262="","",IFERROR(INDEX('CLM &amp; IM Mapping'!$C$2:$C$270,MATCH(TRIM(B262),'CLM &amp; IM Mapping'!$A$2:$A$270,0)),"Not Mapped"))</f>
        <v>Kantha Kumar</v>
      </c>
      <c r="E262" s="14" t="n">
        <v>180</v>
      </c>
      <c r="F262" s="14" t="n">
        <v>146</v>
      </c>
      <c r="G262" s="14" t="n">
        <v>2</v>
      </c>
      <c r="H262" s="14" t="n">
        <v>91</v>
      </c>
      <c r="I262" s="14" t="n">
        <v>13</v>
      </c>
      <c r="J262" s="14" t="n">
        <v>2</v>
      </c>
      <c r="K262" s="14" t="n">
        <v>434</v>
      </c>
      <c r="L262" s="14" t="n">
        <v>135</v>
      </c>
      <c r="M262" s="12"/>
      <c r="N262" s="11"/>
      <c r="O262" s="23"/>
      <c r="P262" s="23"/>
      <c r="Q262" s="23"/>
      <c r="R262" s="23"/>
      <c r="S262" s="23"/>
      <c r="T262" s="23"/>
      <c r="U262" s="23"/>
      <c r="V262" s="23"/>
      <c r="W262" s="23"/>
      <c r="X262" s="23"/>
      <c r="Y262" s="23"/>
      <c r="Z262" s="23"/>
    </row>
    <row r="263" customFormat="false" ht="15.75" hidden="false" customHeight="true" outlineLevel="0" collapsed="false">
      <c r="A263" s="52" t="n">
        <v>46304</v>
      </c>
      <c r="B263" s="14" t="s">
        <v>265</v>
      </c>
      <c r="C263" s="14" t="str">
        <f aca="false" t="array" ref="C263:C263">IF(B263="","",IFERROR(INDEX('CLM &amp; IM Mapping'!$B$2:$B$270,MATCH(TRIM(B263),'CLM &amp; IM Mapping'!$A$2:$A$270,0)),"Not Mapped"))</f>
        <v>Adhavan Subramani</v>
      </c>
      <c r="D263" s="14" t="str">
        <f aca="false" t="array" ref="D263:D263">IF(B263="","",IFERROR(INDEX('CLM &amp; IM Mapping'!$C$2:$C$270,MATCH(TRIM(B263),'CLM &amp; IM Mapping'!$A$2:$A$270,0)),"Not Mapped"))</f>
        <v>Mohammed Akbar</v>
      </c>
      <c r="E263" s="14" t="n">
        <v>0</v>
      </c>
      <c r="F263" s="14" t="n">
        <v>172</v>
      </c>
      <c r="G263" s="14" t="n">
        <v>19</v>
      </c>
      <c r="H263" s="14" t="n">
        <v>202</v>
      </c>
      <c r="I263" s="14" t="n">
        <v>14</v>
      </c>
      <c r="J263" s="14" t="n">
        <v>12</v>
      </c>
      <c r="K263" s="14" t="n">
        <v>419</v>
      </c>
      <c r="L263" s="14" t="n">
        <v>400</v>
      </c>
      <c r="M263" s="12"/>
      <c r="N263" s="11"/>
      <c r="O263" s="23"/>
      <c r="P263" s="23"/>
      <c r="Q263" s="23"/>
      <c r="R263" s="23"/>
      <c r="S263" s="23"/>
      <c r="T263" s="23"/>
      <c r="U263" s="23"/>
      <c r="V263" s="23"/>
      <c r="W263" s="23"/>
      <c r="X263" s="23"/>
      <c r="Y263" s="23"/>
      <c r="Z263" s="23"/>
    </row>
    <row r="264" customFormat="false" ht="15.75" hidden="false" customHeight="true" outlineLevel="0" collapsed="false">
      <c r="A264" s="52" t="n">
        <v>46304</v>
      </c>
      <c r="B264" s="14" t="s">
        <v>44</v>
      </c>
      <c r="C264" s="14" t="str">
        <f aca="false" t="array" ref="C264:C264">IF(B264="","",IFERROR(INDEX('CLM &amp; IM Mapping'!$B$2:$B$270,MATCH(TRIM(B264),'CLM &amp; IM Mapping'!$A$2:$A$270,0)),"Not Mapped"))</f>
        <v>Rizwan Ahmed</v>
      </c>
      <c r="D264" s="14" t="str">
        <f aca="false" t="array" ref="D264:D264">IF(B264="","",IFERROR(INDEX('CLM &amp; IM Mapping'!$C$2:$C$270,MATCH(TRIM(B264),'CLM &amp; IM Mapping'!$A$2:$A$270,0)),"Not Mapped"))</f>
        <v>Un Mapped</v>
      </c>
      <c r="E264" s="14" t="n">
        <v>92</v>
      </c>
      <c r="F264" s="14" t="n">
        <v>45</v>
      </c>
      <c r="G264" s="14" t="n">
        <v>137</v>
      </c>
      <c r="H264" s="14" t="n">
        <v>56</v>
      </c>
      <c r="I264" s="14" t="n">
        <v>63</v>
      </c>
      <c r="J264" s="14" t="n">
        <v>19</v>
      </c>
      <c r="K264" s="14" t="n">
        <v>412</v>
      </c>
      <c r="L264" s="14" t="n">
        <v>412</v>
      </c>
      <c r="M264" s="12"/>
      <c r="N264" s="11"/>
      <c r="O264" s="23"/>
      <c r="P264" s="23"/>
      <c r="Q264" s="23"/>
      <c r="R264" s="23"/>
      <c r="S264" s="23"/>
      <c r="T264" s="23"/>
      <c r="U264" s="23"/>
      <c r="V264" s="23"/>
      <c r="W264" s="23"/>
      <c r="X264" s="23"/>
      <c r="Y264" s="23"/>
      <c r="Z264" s="23"/>
    </row>
    <row r="265" customFormat="false" ht="15.75" hidden="false" customHeight="true" outlineLevel="0" collapsed="false">
      <c r="A265" s="52" t="n">
        <v>46304</v>
      </c>
      <c r="B265" s="14" t="s">
        <v>505</v>
      </c>
      <c r="C265" s="14" t="str">
        <f aca="false" t="array" ref="C265:C265">IF(B265="","",IFERROR(INDEX('CLM &amp; IM Mapping'!$B$2:$B$270,MATCH(TRIM(B265),'CLM &amp; IM Mapping'!$A$2:$A$270,0)),"Not Mapped"))</f>
        <v>Basil Scariya</v>
      </c>
      <c r="D265" s="14" t="str">
        <f aca="false" t="array" ref="D265:D265">IF(B265="","",IFERROR(INDEX('CLM &amp; IM Mapping'!$C$2:$C$270,MATCH(TRIM(B265),'CLM &amp; IM Mapping'!$A$2:$A$270,0)),"Not Mapped"))</f>
        <v>Prakash BS</v>
      </c>
      <c r="E265" s="14" t="n">
        <v>18</v>
      </c>
      <c r="F265" s="14" t="n">
        <v>90</v>
      </c>
      <c r="G265" s="14" t="n">
        <v>96</v>
      </c>
      <c r="H265" s="14" t="n">
        <v>93</v>
      </c>
      <c r="I265" s="14" t="n">
        <v>7</v>
      </c>
      <c r="J265" s="14" t="n">
        <v>82</v>
      </c>
      <c r="K265" s="14" t="n">
        <v>386</v>
      </c>
      <c r="L265" s="14" t="n">
        <v>386</v>
      </c>
      <c r="M265" s="12" t="s">
        <v>838</v>
      </c>
      <c r="N265" s="54" t="n">
        <v>0.791666666666667</v>
      </c>
      <c r="O265" s="23"/>
      <c r="P265" s="23"/>
      <c r="Q265" s="23"/>
      <c r="R265" s="23"/>
      <c r="S265" s="23"/>
      <c r="T265" s="23"/>
      <c r="U265" s="23"/>
      <c r="V265" s="23"/>
      <c r="W265" s="23"/>
      <c r="X265" s="23"/>
      <c r="Y265" s="23"/>
      <c r="Z265" s="23"/>
    </row>
    <row r="266" customFormat="false" ht="15.75" hidden="false" customHeight="true" outlineLevel="0" collapsed="false">
      <c r="A266" s="52" t="n">
        <v>46304</v>
      </c>
      <c r="B266" s="14" t="s">
        <v>150</v>
      </c>
      <c r="C266" s="14" t="str">
        <f aca="false" t="array" ref="C266:C266">IF(B266="","",IFERROR(INDEX('CLM &amp; IM Mapping'!$B$2:$B$270,MATCH(TRIM(B266),'CLM &amp; IM Mapping'!$A$2:$A$270,0)),"Not Mapped"))</f>
        <v>Akshay P</v>
      </c>
      <c r="D266" s="14" t="str">
        <f aca="false" t="array" ref="D266:D266">IF(B266="","",IFERROR(INDEX('CLM &amp; IM Mapping'!$C$2:$C$270,MATCH(TRIM(B266),'CLM &amp; IM Mapping'!$A$2:$A$270,0)),"Not Mapped"))</f>
        <v>Srittam Dhal</v>
      </c>
      <c r="E266" s="14" t="n">
        <v>49</v>
      </c>
      <c r="F266" s="14" t="n">
        <v>66</v>
      </c>
      <c r="G266" s="14" t="n">
        <v>0</v>
      </c>
      <c r="H266" s="14" t="n">
        <v>69</v>
      </c>
      <c r="I266" s="14" t="n">
        <v>136</v>
      </c>
      <c r="J266" s="14" t="n">
        <v>63</v>
      </c>
      <c r="K266" s="14" t="n">
        <v>383</v>
      </c>
      <c r="L266" s="14" t="n">
        <v>276</v>
      </c>
      <c r="M266" s="12"/>
      <c r="N266" s="11"/>
      <c r="O266" s="23"/>
      <c r="P266" s="23"/>
      <c r="Q266" s="23"/>
      <c r="R266" s="23"/>
      <c r="S266" s="23"/>
      <c r="T266" s="23"/>
      <c r="U266" s="23"/>
      <c r="V266" s="23"/>
      <c r="W266" s="23"/>
      <c r="X266" s="23"/>
      <c r="Y266" s="23"/>
      <c r="Z266" s="23"/>
    </row>
    <row r="267" customFormat="false" ht="15.75" hidden="false" customHeight="true" outlineLevel="0" collapsed="false">
      <c r="A267" s="52" t="n">
        <v>46304</v>
      </c>
      <c r="B267" s="14" t="s">
        <v>496</v>
      </c>
      <c r="C267" s="14" t="str">
        <f aca="false" t="array" ref="C267:C267">IF(B267="","",IFERROR(INDEX('CLM &amp; IM Mapping'!$B$2:$B$270,MATCH(TRIM(B267),'CLM &amp; IM Mapping'!$A$2:$A$270,0)),"Not Mapped"))</f>
        <v>Keshav G</v>
      </c>
      <c r="D267" s="14" t="str">
        <f aca="false" t="array" ref="D267:D267">IF(B267="","",IFERROR(INDEX('CLM &amp; IM Mapping'!$C$2:$C$270,MATCH(TRIM(B267),'CLM &amp; IM Mapping'!$A$2:$A$270,0)),"Not Mapped"))</f>
        <v>Un Mapped</v>
      </c>
      <c r="E267" s="14" t="n">
        <v>15</v>
      </c>
      <c r="F267" s="14" t="n">
        <v>139</v>
      </c>
      <c r="G267" s="14" t="n">
        <v>5</v>
      </c>
      <c r="H267" s="14" t="n">
        <v>194</v>
      </c>
      <c r="I267" s="14" t="n">
        <v>3</v>
      </c>
      <c r="J267" s="14" t="n">
        <v>4</v>
      </c>
      <c r="K267" s="14" t="n">
        <v>360</v>
      </c>
      <c r="L267" s="14" t="n">
        <v>138</v>
      </c>
      <c r="M267" s="12"/>
      <c r="N267" s="11"/>
      <c r="O267" s="23"/>
      <c r="P267" s="23"/>
      <c r="Q267" s="23"/>
      <c r="R267" s="23"/>
      <c r="S267" s="23"/>
      <c r="T267" s="23"/>
      <c r="U267" s="23"/>
      <c r="V267" s="23"/>
      <c r="W267" s="23"/>
      <c r="X267" s="23"/>
      <c r="Y267" s="23"/>
      <c r="Z267" s="23"/>
    </row>
    <row r="268" customFormat="false" ht="15.75" hidden="false" customHeight="true" outlineLevel="0" collapsed="false">
      <c r="A268" s="52" t="n">
        <v>46304</v>
      </c>
      <c r="B268" s="14" t="s">
        <v>218</v>
      </c>
      <c r="C268" s="14" t="str">
        <f aca="false" t="array" ref="C268:C268">IF(B268="","",IFERROR(INDEX('CLM &amp; IM Mapping'!$B$2:$B$270,MATCH(TRIM(B268),'CLM &amp; IM Mapping'!$A$2:$A$270,0)),"Not Mapped"))</f>
        <v>Ashwath S</v>
      </c>
      <c r="D268" s="14" t="str">
        <f aca="false" t="array" ref="D268:D268">IF(B268="","",IFERROR(INDEX('CLM &amp; IM Mapping'!$C$2:$C$270,MATCH(TRIM(B268),'CLM &amp; IM Mapping'!$A$2:$A$270,0)),"Not Mapped"))</f>
        <v>Kantha Kumar</v>
      </c>
      <c r="E268" s="14" t="n">
        <v>30</v>
      </c>
      <c r="F268" s="14" t="n">
        <v>149</v>
      </c>
      <c r="G268" s="14" t="n">
        <v>45</v>
      </c>
      <c r="H268" s="14" t="n">
        <v>16</v>
      </c>
      <c r="I268" s="14" t="n">
        <v>95</v>
      </c>
      <c r="J268" s="14" t="n">
        <v>24</v>
      </c>
      <c r="K268" s="14" t="n">
        <v>359</v>
      </c>
      <c r="L268" s="14" t="n">
        <v>331</v>
      </c>
      <c r="M268" s="12"/>
      <c r="N268" s="11"/>
      <c r="O268" s="23"/>
      <c r="P268" s="23"/>
      <c r="Q268" s="23"/>
      <c r="R268" s="23"/>
      <c r="S268" s="23"/>
      <c r="T268" s="23"/>
      <c r="U268" s="23"/>
      <c r="V268" s="23"/>
      <c r="W268" s="23"/>
      <c r="X268" s="23"/>
      <c r="Y268" s="23"/>
      <c r="Z268" s="23"/>
    </row>
    <row r="269" customFormat="false" ht="15.75" hidden="false" customHeight="true" outlineLevel="0" collapsed="false">
      <c r="A269" s="52" t="n">
        <v>46304</v>
      </c>
      <c r="B269" s="14" t="s">
        <v>512</v>
      </c>
      <c r="C269" s="14" t="str">
        <f aca="false" t="array" ref="C269:C269">IF(B269="","",IFERROR(INDEX('CLM &amp; IM Mapping'!$B$2:$B$270,MATCH(TRIM(B269),'CLM &amp; IM Mapping'!$A$2:$A$270,0)),"Not Mapped"))</f>
        <v>Saddam Hussain</v>
      </c>
      <c r="D269" s="14" t="str">
        <f aca="false" t="array" ref="D269:D269">IF(B269="","",IFERROR(INDEX('CLM &amp; IM Mapping'!$C$2:$C$270,MATCH(TRIM(B269),'CLM &amp; IM Mapping'!$A$2:$A$270,0)),"Not Mapped"))</f>
        <v>Un Mapped</v>
      </c>
      <c r="E269" s="14" t="n">
        <v>0</v>
      </c>
      <c r="F269" s="14" t="n">
        <v>83</v>
      </c>
      <c r="G269" s="14" t="n">
        <v>73</v>
      </c>
      <c r="H269" s="14" t="n">
        <v>102</v>
      </c>
      <c r="I269" s="14" t="n">
        <v>29</v>
      </c>
      <c r="J269" s="14" t="n">
        <v>56</v>
      </c>
      <c r="K269" s="14" t="n">
        <v>343</v>
      </c>
      <c r="L269" s="14" t="n">
        <v>296</v>
      </c>
      <c r="M269" s="12"/>
      <c r="N269" s="11"/>
      <c r="O269" s="23"/>
      <c r="P269" s="23"/>
      <c r="Q269" s="23"/>
      <c r="R269" s="23"/>
      <c r="S269" s="23"/>
      <c r="T269" s="23"/>
      <c r="U269" s="23"/>
      <c r="V269" s="23"/>
      <c r="W269" s="23"/>
      <c r="X269" s="23"/>
      <c r="Y269" s="23"/>
      <c r="Z269" s="23"/>
    </row>
    <row r="270" customFormat="false" ht="15.75" hidden="false" customHeight="true" outlineLevel="0" collapsed="false">
      <c r="A270" s="52" t="n">
        <v>46304</v>
      </c>
      <c r="B270" s="14" t="s">
        <v>105</v>
      </c>
      <c r="C270" s="14" t="str">
        <f aca="false" t="array" ref="C270:C270">IF(B270="","",IFERROR(INDEX('CLM &amp; IM Mapping'!$B$2:$B$270,MATCH(TRIM(B270),'CLM &amp; IM Mapping'!$A$2:$A$270,0)),"Not Mapped"))</f>
        <v>Suhas N</v>
      </c>
      <c r="D270" s="14" t="str">
        <f aca="false" t="array" ref="D270:D270">IF(B270="","",IFERROR(INDEX('CLM &amp; IM Mapping'!$C$2:$C$270,MATCH(TRIM(B270),'CLM &amp; IM Mapping'!$A$2:$A$270,0)),"Not Mapped"))</f>
        <v>Aravind S</v>
      </c>
      <c r="E270" s="14" t="n">
        <v>0</v>
      </c>
      <c r="F270" s="14" t="n">
        <v>57</v>
      </c>
      <c r="G270" s="14" t="n">
        <v>0</v>
      </c>
      <c r="H270" s="14" t="n">
        <v>161</v>
      </c>
      <c r="I270" s="14" t="n">
        <v>107</v>
      </c>
      <c r="J270" s="14" t="n">
        <v>0</v>
      </c>
      <c r="K270" s="14" t="n">
        <v>325</v>
      </c>
      <c r="L270" s="14" t="n">
        <v>294</v>
      </c>
      <c r="M270" s="12" t="s">
        <v>839</v>
      </c>
      <c r="N270" s="11"/>
      <c r="O270" s="23"/>
      <c r="P270" s="23"/>
      <c r="Q270" s="23"/>
      <c r="R270" s="23"/>
      <c r="S270" s="23"/>
      <c r="T270" s="23"/>
      <c r="U270" s="23"/>
      <c r="V270" s="23"/>
      <c r="W270" s="23"/>
      <c r="X270" s="23"/>
      <c r="Y270" s="23"/>
      <c r="Z270" s="23"/>
    </row>
    <row r="271" customFormat="false" ht="15.75" hidden="false" customHeight="true" outlineLevel="0" collapsed="false">
      <c r="A271" s="52" t="n">
        <v>46304</v>
      </c>
      <c r="B271" s="14" t="s">
        <v>523</v>
      </c>
      <c r="C271" s="14" t="str">
        <f aca="false" t="array" ref="C271:C271">IF(B271="","",IFERROR(INDEX('CLM &amp; IM Mapping'!$B$2:$B$270,MATCH(TRIM(B271),'CLM &amp; IM Mapping'!$A$2:$A$270,0)),"Not Mapped"))</f>
        <v>Sundaresh S</v>
      </c>
      <c r="D271" s="14" t="str">
        <f aca="false" t="array" ref="D271:D271">IF(B271="","",IFERROR(INDEX('CLM &amp; IM Mapping'!$C$2:$C$270,MATCH(TRIM(B271),'CLM &amp; IM Mapping'!$A$2:$A$270,0)),"Not Mapped"))</f>
        <v>Un Mapped</v>
      </c>
      <c r="E271" s="14" t="n">
        <v>35</v>
      </c>
      <c r="F271" s="14" t="n">
        <v>90</v>
      </c>
      <c r="G271" s="14" t="n">
        <v>103</v>
      </c>
      <c r="H271" s="14" t="n">
        <v>7</v>
      </c>
      <c r="I271" s="14" t="n">
        <v>83</v>
      </c>
      <c r="J271" s="14" t="n">
        <v>0</v>
      </c>
      <c r="K271" s="14" t="n">
        <v>318</v>
      </c>
      <c r="L271" s="14" t="n">
        <v>309</v>
      </c>
      <c r="M271" s="12"/>
      <c r="N271" s="11"/>
      <c r="O271" s="23"/>
      <c r="P271" s="23"/>
      <c r="Q271" s="23"/>
      <c r="R271" s="23"/>
      <c r="S271" s="23"/>
      <c r="T271" s="23"/>
      <c r="U271" s="23"/>
      <c r="V271" s="23"/>
      <c r="W271" s="23"/>
      <c r="X271" s="23"/>
      <c r="Y271" s="23"/>
      <c r="Z271" s="23"/>
    </row>
    <row r="272" customFormat="false" ht="15.75" hidden="false" customHeight="true" outlineLevel="0" collapsed="false">
      <c r="A272" s="52" t="n">
        <v>46304</v>
      </c>
      <c r="B272" s="14" t="s">
        <v>271</v>
      </c>
      <c r="C272" s="14" t="str">
        <f aca="false" t="array" ref="C272:C272">IF(B272="","",IFERROR(INDEX('CLM &amp; IM Mapping'!$B$2:$B$270,MATCH(TRIM(B272),'CLM &amp; IM Mapping'!$A$2:$A$270,0)),"Not Mapped"))</f>
        <v>Rizwan Ahmed</v>
      </c>
      <c r="D272" s="14" t="str">
        <f aca="false" t="array" ref="D272:D272">IF(B272="","",IFERROR(INDEX('CLM &amp; IM Mapping'!$C$2:$C$270,MATCH(TRIM(B272),'CLM &amp; IM Mapping'!$A$2:$A$270,0)),"Not Mapped"))</f>
        <v>Prakash BS</v>
      </c>
      <c r="E272" s="14" t="n">
        <v>2</v>
      </c>
      <c r="F272" s="14" t="n">
        <v>195</v>
      </c>
      <c r="G272" s="14" t="n">
        <v>0</v>
      </c>
      <c r="H272" s="14" t="n">
        <v>55</v>
      </c>
      <c r="I272" s="14" t="n">
        <v>46</v>
      </c>
      <c r="J272" s="14" t="n">
        <v>17</v>
      </c>
      <c r="K272" s="14" t="n">
        <v>315</v>
      </c>
      <c r="L272" s="14" t="n">
        <v>284</v>
      </c>
      <c r="M272" s="12" t="s">
        <v>744</v>
      </c>
      <c r="N272" s="54" t="n">
        <v>0.791666666666667</v>
      </c>
      <c r="O272" s="23"/>
      <c r="P272" s="23"/>
      <c r="Q272" s="23"/>
      <c r="R272" s="23"/>
      <c r="S272" s="23"/>
      <c r="T272" s="23"/>
      <c r="U272" s="23"/>
      <c r="V272" s="23"/>
      <c r="W272" s="23"/>
      <c r="X272" s="23"/>
      <c r="Y272" s="23"/>
      <c r="Z272" s="23"/>
    </row>
    <row r="273" customFormat="false" ht="15.75" hidden="false" customHeight="true" outlineLevel="0" collapsed="false">
      <c r="A273" s="52" t="n">
        <v>46304</v>
      </c>
      <c r="B273" s="14" t="s">
        <v>153</v>
      </c>
      <c r="C273" s="14" t="str">
        <f aca="false" t="array" ref="C273:C273">IF(B273="","",IFERROR(INDEX('CLM &amp; IM Mapping'!$B$2:$B$270,MATCH(TRIM(B273),'CLM &amp; IM Mapping'!$A$2:$A$270,0)),"Not Mapped"))</f>
        <v>Ashwath S</v>
      </c>
      <c r="D273" s="14" t="str">
        <f aca="false" t="array" ref="D273:D273">IF(B273="","",IFERROR(INDEX('CLM &amp; IM Mapping'!$C$2:$C$270,MATCH(TRIM(B273),'CLM &amp; IM Mapping'!$A$2:$A$270,0)),"Not Mapped"))</f>
        <v>Kantha Kumar</v>
      </c>
      <c r="E273" s="14" t="n">
        <v>60</v>
      </c>
      <c r="F273" s="14" t="n">
        <v>41</v>
      </c>
      <c r="G273" s="14" t="n">
        <v>99</v>
      </c>
      <c r="H273" s="14" t="n">
        <v>51</v>
      </c>
      <c r="I273" s="14" t="n">
        <v>43</v>
      </c>
      <c r="J273" s="14" t="n">
        <v>0</v>
      </c>
      <c r="K273" s="14" t="n">
        <v>294</v>
      </c>
      <c r="L273" s="14" t="n">
        <v>283</v>
      </c>
      <c r="M273" s="12"/>
      <c r="N273" s="11"/>
      <c r="O273" s="23"/>
      <c r="P273" s="23"/>
      <c r="Q273" s="23"/>
      <c r="R273" s="23"/>
      <c r="S273" s="23"/>
      <c r="T273" s="23"/>
      <c r="U273" s="23"/>
      <c r="V273" s="23"/>
      <c r="W273" s="23"/>
      <c r="X273" s="23"/>
      <c r="Y273" s="23"/>
      <c r="Z273" s="23"/>
    </row>
    <row r="274" customFormat="false" ht="15.75" hidden="false" customHeight="true" outlineLevel="0" collapsed="false">
      <c r="A274" s="52" t="n">
        <v>46304</v>
      </c>
      <c r="B274" s="14" t="s">
        <v>488</v>
      </c>
      <c r="C274" s="14" t="str">
        <f aca="false" t="array" ref="C274:C274">IF(B274="","",IFERROR(INDEX('CLM &amp; IM Mapping'!$B$2:$B$270,MATCH(TRIM(B274),'CLM &amp; IM Mapping'!$A$2:$A$270,0)),"Not Mapped"))</f>
        <v>Sundaresh S</v>
      </c>
      <c r="D274" s="14" t="str">
        <f aca="false" t="array" ref="D274:D274">IF(B274="","",IFERROR(INDEX('CLM &amp; IM Mapping'!$C$2:$C$270,MATCH(TRIM(B274),'CLM &amp; IM Mapping'!$A$2:$A$270,0)),"Not Mapped"))</f>
        <v>Un Mapped</v>
      </c>
      <c r="E274" s="14" t="n">
        <v>6</v>
      </c>
      <c r="F274" s="14" t="n">
        <v>107</v>
      </c>
      <c r="G274" s="14" t="n">
        <v>53</v>
      </c>
      <c r="H274" s="14" t="n">
        <v>89</v>
      </c>
      <c r="I274" s="14" t="n">
        <v>8</v>
      </c>
      <c r="J274" s="14" t="n">
        <v>28</v>
      </c>
      <c r="K274" s="14" t="n">
        <v>291</v>
      </c>
      <c r="L274" s="14" t="n">
        <v>291</v>
      </c>
      <c r="M274" s="12"/>
      <c r="N274" s="11"/>
      <c r="O274" s="23"/>
      <c r="P274" s="23"/>
      <c r="Q274" s="23"/>
      <c r="R274" s="23"/>
      <c r="S274" s="23"/>
      <c r="T274" s="23"/>
      <c r="U274" s="23"/>
      <c r="V274" s="23"/>
      <c r="W274" s="23"/>
      <c r="X274" s="23"/>
      <c r="Y274" s="23"/>
      <c r="Z274" s="23"/>
    </row>
    <row r="275" customFormat="false" ht="15.75" hidden="false" customHeight="true" outlineLevel="0" collapsed="false">
      <c r="A275" s="52" t="n">
        <v>46304</v>
      </c>
      <c r="B275" s="14" t="s">
        <v>491</v>
      </c>
      <c r="C275" s="14" t="str">
        <f aca="false" t="array" ref="C275:C275">IF(B275="","",IFERROR(INDEX('CLM &amp; IM Mapping'!$B$2:$B$270,MATCH(TRIM(B275),'CLM &amp; IM Mapping'!$A$2:$A$270,0)),"Not Mapped"))</f>
        <v>Manjunatha V</v>
      </c>
      <c r="D275" s="14" t="str">
        <f aca="false" t="array" ref="D275:D275">IF(B275="","",IFERROR(INDEX('CLM &amp; IM Mapping'!$C$2:$C$270,MATCH(TRIM(B275),'CLM &amp; IM Mapping'!$A$2:$A$270,0)),"Not Mapped"))</f>
        <v>Un Mapped</v>
      </c>
      <c r="E275" s="14" t="n">
        <v>63</v>
      </c>
      <c r="F275" s="14" t="n">
        <v>38</v>
      </c>
      <c r="G275" s="14" t="n">
        <v>0</v>
      </c>
      <c r="H275" s="14" t="n">
        <v>74</v>
      </c>
      <c r="I275" s="14" t="n">
        <v>52</v>
      </c>
      <c r="J275" s="14" t="n">
        <v>58</v>
      </c>
      <c r="K275" s="14" t="n">
        <v>285</v>
      </c>
      <c r="L275" s="14" t="n">
        <v>206</v>
      </c>
      <c r="M275" s="12"/>
      <c r="N275" s="11"/>
      <c r="O275" s="23"/>
      <c r="P275" s="23"/>
      <c r="Q275" s="23"/>
      <c r="R275" s="23"/>
      <c r="S275" s="23"/>
      <c r="T275" s="23"/>
      <c r="U275" s="23"/>
      <c r="V275" s="23"/>
      <c r="W275" s="23"/>
      <c r="X275" s="23"/>
      <c r="Y275" s="23"/>
      <c r="Z275" s="23"/>
    </row>
    <row r="276" customFormat="false" ht="15.75" hidden="false" customHeight="true" outlineLevel="0" collapsed="false">
      <c r="A276" s="52" t="n">
        <v>46304</v>
      </c>
      <c r="B276" s="14" t="s">
        <v>156</v>
      </c>
      <c r="C276" s="14" t="str">
        <f aca="false" t="array" ref="C276:C276">IF(B276="","",IFERROR(INDEX('CLM &amp; IM Mapping'!$B$2:$B$270,MATCH(TRIM(B276),'CLM &amp; IM Mapping'!$A$2:$A$270,0)),"Not Mapped"))</f>
        <v>Manoj Kj</v>
      </c>
      <c r="D276" s="14" t="str">
        <f aca="false" t="array" ref="D276:D276">IF(B276="","",IFERROR(INDEX('CLM &amp; IM Mapping'!$C$2:$C$270,MATCH(TRIM(B276),'CLM &amp; IM Mapping'!$A$2:$A$270,0)),"Not Mapped"))</f>
        <v>Srittam Dhal</v>
      </c>
      <c r="E276" s="14" t="n">
        <v>4</v>
      </c>
      <c r="F276" s="14" t="n">
        <v>100</v>
      </c>
      <c r="G276" s="14" t="n">
        <v>0</v>
      </c>
      <c r="H276" s="14" t="n">
        <v>72</v>
      </c>
      <c r="I276" s="14" t="n">
        <v>6</v>
      </c>
      <c r="J276" s="14" t="n">
        <v>87</v>
      </c>
      <c r="K276" s="14" t="n">
        <v>269</v>
      </c>
      <c r="L276" s="14" t="n">
        <v>265</v>
      </c>
      <c r="M276" s="12"/>
      <c r="N276" s="11"/>
      <c r="O276" s="23"/>
      <c r="P276" s="23"/>
      <c r="Q276" s="23"/>
      <c r="R276" s="23"/>
      <c r="S276" s="23"/>
      <c r="T276" s="23"/>
      <c r="U276" s="23"/>
      <c r="V276" s="23"/>
      <c r="W276" s="23"/>
      <c r="X276" s="23"/>
      <c r="Y276" s="23"/>
      <c r="Z276" s="23"/>
    </row>
    <row r="277" customFormat="false" ht="15.75" hidden="false" customHeight="true" outlineLevel="0" collapsed="false">
      <c r="A277" s="52" t="n">
        <v>46304</v>
      </c>
      <c r="B277" s="14" t="s">
        <v>528</v>
      </c>
      <c r="C277" s="14" t="str">
        <f aca="false" t="array" ref="C277:C277">IF(B277="","",IFERROR(INDEX('CLM &amp; IM Mapping'!$B$2:$B$270,MATCH(TRIM(B277),'CLM &amp; IM Mapping'!$A$2:$A$270,0)),"Not Mapped"))</f>
        <v>Saddam Hussain</v>
      </c>
      <c r="D277" s="14" t="str">
        <f aca="false" t="array" ref="D277:D277">IF(B277="","",IFERROR(INDEX('CLM &amp; IM Mapping'!$C$2:$C$270,MATCH(TRIM(B277),'CLM &amp; IM Mapping'!$A$2:$A$270,0)),"Not Mapped"))</f>
        <v>Un Mapped</v>
      </c>
      <c r="E277" s="14" t="n">
        <v>0</v>
      </c>
      <c r="F277" s="14" t="n">
        <v>143</v>
      </c>
      <c r="G277" s="14" t="n">
        <v>3</v>
      </c>
      <c r="H277" s="14" t="n">
        <v>31</v>
      </c>
      <c r="I277" s="14" t="n">
        <v>31</v>
      </c>
      <c r="J277" s="14" t="n">
        <v>58</v>
      </c>
      <c r="K277" s="14" t="n">
        <v>266</v>
      </c>
      <c r="L277" s="14" t="n">
        <v>120</v>
      </c>
      <c r="M277" s="12"/>
      <c r="N277" s="11"/>
      <c r="O277" s="23"/>
      <c r="P277" s="23"/>
      <c r="Q277" s="23"/>
      <c r="R277" s="23"/>
      <c r="S277" s="23"/>
      <c r="T277" s="23"/>
      <c r="U277" s="23"/>
      <c r="V277" s="23"/>
      <c r="W277" s="23"/>
      <c r="X277" s="23"/>
      <c r="Y277" s="23"/>
      <c r="Z277" s="23"/>
    </row>
    <row r="278" customFormat="false" ht="15.75" hidden="false" customHeight="true" outlineLevel="0" collapsed="false">
      <c r="A278" s="52" t="n">
        <v>46304</v>
      </c>
      <c r="B278" s="14" t="s">
        <v>306</v>
      </c>
      <c r="C278" s="14" t="str">
        <f aca="false" t="array" ref="C278:C278">IF(B278="","",IFERROR(INDEX('CLM &amp; IM Mapping'!$B$2:$B$270,MATCH(TRIM(B278),'CLM &amp; IM Mapping'!$A$2:$A$270,0)),"Not Mapped"))</f>
        <v>Narasimhamurthy R</v>
      </c>
      <c r="D278" s="14" t="str">
        <f aca="false" t="array" ref="D278:D278">IF(B278="","",IFERROR(INDEX('CLM &amp; IM Mapping'!$C$2:$C$270,MATCH(TRIM(B278),'CLM &amp; IM Mapping'!$A$2:$A$270,0)),"Not Mapped"))</f>
        <v>Kishor K</v>
      </c>
      <c r="E278" s="14" t="n">
        <v>86</v>
      </c>
      <c r="F278" s="14" t="n">
        <v>135</v>
      </c>
      <c r="G278" s="14" t="n">
        <v>18</v>
      </c>
      <c r="H278" s="14" t="n">
        <v>8</v>
      </c>
      <c r="I278" s="14" t="n">
        <v>0</v>
      </c>
      <c r="J278" s="14" t="n">
        <v>17</v>
      </c>
      <c r="K278" s="14" t="n">
        <v>264</v>
      </c>
      <c r="L278" s="14" t="n">
        <v>161</v>
      </c>
      <c r="M278" s="12" t="s">
        <v>828</v>
      </c>
      <c r="N278" s="54" t="n">
        <v>0.666666666666667</v>
      </c>
      <c r="O278" s="23"/>
      <c r="P278" s="23"/>
      <c r="Q278" s="23"/>
      <c r="R278" s="23"/>
      <c r="S278" s="23"/>
      <c r="T278" s="23"/>
      <c r="U278" s="23"/>
      <c r="V278" s="23"/>
      <c r="W278" s="23"/>
      <c r="X278" s="23"/>
      <c r="Y278" s="23"/>
      <c r="Z278" s="23"/>
    </row>
    <row r="279" customFormat="false" ht="15.75" hidden="false" customHeight="true" outlineLevel="0" collapsed="false">
      <c r="A279" s="52" t="n">
        <v>46304</v>
      </c>
      <c r="B279" s="14" t="s">
        <v>331</v>
      </c>
      <c r="C279" s="14" t="str">
        <f aca="false" t="array" ref="C279:C279">IF(B279="","",IFERROR(INDEX('CLM &amp; IM Mapping'!$B$2:$B$270,MATCH(TRIM(B279),'CLM &amp; IM Mapping'!$A$2:$A$270,0)),"Not Mapped"))</f>
        <v>Vijay M</v>
      </c>
      <c r="D279" s="14" t="str">
        <f aca="false" t="array" ref="D279:D279">IF(B279="","",IFERROR(INDEX('CLM &amp; IM Mapping'!$C$2:$C$270,MATCH(TRIM(B279),'CLM &amp; IM Mapping'!$A$2:$A$270,0)),"Not Mapped"))</f>
        <v>Kantha Kumar</v>
      </c>
      <c r="E279" s="14" t="n">
        <v>91</v>
      </c>
      <c r="F279" s="14" t="n">
        <v>2</v>
      </c>
      <c r="G279" s="14" t="n">
        <v>15</v>
      </c>
      <c r="H279" s="14" t="n">
        <v>5</v>
      </c>
      <c r="I279" s="14" t="n">
        <v>100</v>
      </c>
      <c r="J279" s="14" t="n">
        <v>50</v>
      </c>
      <c r="K279" s="14" t="n">
        <v>263</v>
      </c>
      <c r="L279" s="14" t="n">
        <v>240</v>
      </c>
      <c r="M279" s="12"/>
      <c r="N279" s="11"/>
      <c r="O279" s="23"/>
      <c r="P279" s="23"/>
      <c r="Q279" s="23"/>
      <c r="R279" s="23"/>
      <c r="S279" s="23"/>
      <c r="T279" s="23"/>
      <c r="U279" s="23"/>
      <c r="V279" s="23"/>
      <c r="W279" s="23"/>
      <c r="X279" s="23"/>
      <c r="Y279" s="23"/>
      <c r="Z279" s="23"/>
    </row>
    <row r="280" customFormat="false" ht="15.75" hidden="false" customHeight="true" outlineLevel="0" collapsed="false">
      <c r="A280" s="52" t="n">
        <v>46304</v>
      </c>
      <c r="B280" s="14" t="s">
        <v>181</v>
      </c>
      <c r="C280" s="14" t="str">
        <f aca="false" t="array" ref="C280:C280">IF(B280="","",IFERROR(INDEX('CLM &amp; IM Mapping'!$B$2:$B$270,MATCH(TRIM(B280),'CLM &amp; IM Mapping'!$A$2:$A$270,0)),"Not Mapped"))</f>
        <v>Silambarasan E</v>
      </c>
      <c r="D280" s="14" t="str">
        <f aca="false" t="array" ref="D280:D280">IF(B280="","",IFERROR(INDEX('CLM &amp; IM Mapping'!$C$2:$C$270,MATCH(TRIM(B280),'CLM &amp; IM Mapping'!$A$2:$A$270,0)),"Not Mapped"))</f>
        <v>Arivind S</v>
      </c>
      <c r="E280" s="14" t="n">
        <v>0</v>
      </c>
      <c r="F280" s="14" t="n">
        <v>102</v>
      </c>
      <c r="G280" s="14" t="n">
        <v>0</v>
      </c>
      <c r="H280" s="14" t="n">
        <v>139</v>
      </c>
      <c r="I280" s="14" t="n">
        <v>14</v>
      </c>
      <c r="J280" s="14" t="n">
        <v>7</v>
      </c>
      <c r="K280" s="14" t="n">
        <v>262</v>
      </c>
      <c r="L280" s="14" t="n">
        <v>184</v>
      </c>
      <c r="M280" s="12"/>
      <c r="N280" s="11"/>
      <c r="O280" s="23"/>
      <c r="P280" s="23"/>
      <c r="Q280" s="23"/>
      <c r="R280" s="23"/>
      <c r="S280" s="23"/>
      <c r="T280" s="23"/>
      <c r="U280" s="23"/>
      <c r="V280" s="23"/>
      <c r="W280" s="23"/>
      <c r="X280" s="23"/>
      <c r="Y280" s="23"/>
      <c r="Z280" s="23"/>
    </row>
    <row r="281" customFormat="false" ht="15.75" hidden="false" customHeight="true" outlineLevel="0" collapsed="false">
      <c r="A281" s="52" t="n">
        <v>46304</v>
      </c>
      <c r="B281" s="14" t="s">
        <v>259</v>
      </c>
      <c r="C281" s="14" t="str">
        <f aca="false" t="array" ref="C281:C281">IF(B281="","",IFERROR(INDEX('CLM &amp; IM Mapping'!$B$2:$B$270,MATCH(TRIM(B281),'CLM &amp; IM Mapping'!$A$2:$A$270,0)),"Not Mapped"))</f>
        <v>Raghavendra Vernekar</v>
      </c>
      <c r="D281" s="14" t="str">
        <f aca="false" t="array" ref="D281:D281">IF(B281="","",IFERROR(INDEX('CLM &amp; IM Mapping'!$C$2:$C$270,MATCH(TRIM(B281),'CLM &amp; IM Mapping'!$A$2:$A$270,0)),"Not Mapped"))</f>
        <v>Prakash BS</v>
      </c>
      <c r="E281" s="14" t="n">
        <v>31</v>
      </c>
      <c r="F281" s="14" t="n">
        <v>106</v>
      </c>
      <c r="G281" s="14" t="n">
        <v>3</v>
      </c>
      <c r="H281" s="14" t="n">
        <v>1</v>
      </c>
      <c r="I281" s="14" t="n">
        <v>10</v>
      </c>
      <c r="J281" s="14" t="n">
        <v>105</v>
      </c>
      <c r="K281" s="14" t="n">
        <v>256</v>
      </c>
      <c r="L281" s="14" t="n">
        <v>256</v>
      </c>
      <c r="M281" s="12" t="s">
        <v>744</v>
      </c>
      <c r="N281" s="54" t="n">
        <v>0.75</v>
      </c>
      <c r="O281" s="23"/>
      <c r="P281" s="23"/>
      <c r="Q281" s="23"/>
      <c r="R281" s="23"/>
      <c r="S281" s="23"/>
      <c r="T281" s="23"/>
      <c r="U281" s="23"/>
      <c r="V281" s="23"/>
      <c r="W281" s="23"/>
      <c r="X281" s="23"/>
      <c r="Y281" s="23"/>
      <c r="Z281" s="23"/>
    </row>
    <row r="282" customFormat="false" ht="15.75" hidden="false" customHeight="true" outlineLevel="0" collapsed="false">
      <c r="A282" s="52" t="n">
        <v>46304</v>
      </c>
      <c r="B282" s="14" t="s">
        <v>443</v>
      </c>
      <c r="C282" s="14" t="str">
        <f aca="false" t="array" ref="C282:C282">IF(B282="","",IFERROR(INDEX('CLM &amp; IM Mapping'!$B$2:$B$270,MATCH(TRIM(B282),'CLM &amp; IM Mapping'!$A$2:$A$270,0)),"Not Mapped"))</f>
        <v>Manoj Kj</v>
      </c>
      <c r="D282" s="14" t="str">
        <f aca="false" t="array" ref="D282:D282">IF(B282="","",IFERROR(INDEX('CLM &amp; IM Mapping'!$C$2:$C$270,MATCH(TRIM(B282),'CLM &amp; IM Mapping'!$A$2:$A$270,0)),"Not Mapped"))</f>
        <v>Srittam Dhal</v>
      </c>
      <c r="E282" s="14" t="n">
        <v>39</v>
      </c>
      <c r="F282" s="14" t="n">
        <v>121</v>
      </c>
      <c r="G282" s="14" t="n">
        <v>45</v>
      </c>
      <c r="H282" s="14" t="n">
        <v>14</v>
      </c>
      <c r="I282" s="14" t="n">
        <v>33</v>
      </c>
      <c r="J282" s="14" t="n">
        <v>0</v>
      </c>
      <c r="K282" s="14" t="n">
        <v>252</v>
      </c>
      <c r="L282" s="14" t="n">
        <v>205</v>
      </c>
      <c r="M282" s="12"/>
      <c r="N282" s="11"/>
      <c r="O282" s="23"/>
      <c r="P282" s="23"/>
      <c r="Q282" s="23"/>
      <c r="R282" s="23"/>
      <c r="S282" s="23"/>
      <c r="T282" s="23"/>
      <c r="U282" s="23"/>
      <c r="V282" s="23"/>
      <c r="W282" s="23"/>
      <c r="X282" s="23"/>
      <c r="Y282" s="23"/>
      <c r="Z282" s="23"/>
    </row>
    <row r="283" customFormat="false" ht="15.75" hidden="false" customHeight="true" outlineLevel="0" collapsed="false">
      <c r="A283" s="52" t="n">
        <v>46304</v>
      </c>
      <c r="B283" s="14" t="s">
        <v>144</v>
      </c>
      <c r="C283" s="14" t="str">
        <f aca="false" t="array" ref="C283:C283">IF(B283="","",IFERROR(INDEX('CLM &amp; IM Mapping'!$B$2:$B$270,MATCH(TRIM(B283),'CLM &amp; IM Mapping'!$A$2:$A$270,0)),"Not Mapped"))</f>
        <v>Mohaideen DH</v>
      </c>
      <c r="D283" s="14" t="str">
        <f aca="false" t="array" ref="D283:D283">IF(B283="","",IFERROR(INDEX('CLM &amp; IM Mapping'!$C$2:$C$270,MATCH(TRIM(B283),'CLM &amp; IM Mapping'!$A$2:$A$270,0)),"Not Mapped"))</f>
        <v>Mohammed Akbar</v>
      </c>
      <c r="E283" s="14" t="n">
        <v>0</v>
      </c>
      <c r="F283" s="14" t="n">
        <v>0</v>
      </c>
      <c r="G283" s="14" t="n">
        <v>0</v>
      </c>
      <c r="H283" s="14" t="n">
        <v>201</v>
      </c>
      <c r="I283" s="14" t="n">
        <v>4</v>
      </c>
      <c r="J283" s="14" t="n">
        <v>47</v>
      </c>
      <c r="K283" s="14" t="n">
        <v>252</v>
      </c>
      <c r="L283" s="14" t="n">
        <v>88</v>
      </c>
      <c r="M283" s="12"/>
      <c r="N283" s="11"/>
      <c r="O283" s="23"/>
      <c r="P283" s="23"/>
      <c r="Q283" s="23"/>
      <c r="R283" s="23"/>
      <c r="S283" s="23"/>
      <c r="T283" s="23"/>
      <c r="U283" s="23"/>
      <c r="V283" s="23"/>
      <c r="W283" s="23"/>
      <c r="X283" s="23"/>
      <c r="Y283" s="23"/>
      <c r="Z283" s="23"/>
    </row>
    <row r="284" customFormat="false" ht="15.75" hidden="false" customHeight="true" outlineLevel="0" collapsed="false">
      <c r="A284" s="52" t="n">
        <v>46304</v>
      </c>
      <c r="B284" s="14" t="s">
        <v>486</v>
      </c>
      <c r="C284" s="14" t="str">
        <f aca="false" t="array" ref="C284:C284">IF(B284="","",IFERROR(INDEX('CLM &amp; IM Mapping'!$B$2:$B$270,MATCH(TRIM(B284),'CLM &amp; IM Mapping'!$A$2:$A$270,0)),"Not Mapped"))</f>
        <v>Balaji G</v>
      </c>
      <c r="D284" s="14" t="str">
        <f aca="false" t="array" ref="D284:D284">IF(B284="","",IFERROR(INDEX('CLM &amp; IM Mapping'!$C$2:$C$270,MATCH(TRIM(B284),'CLM &amp; IM Mapping'!$A$2:$A$270,0)),"Not Mapped"))</f>
        <v>Mohammed Akbar</v>
      </c>
      <c r="E284" s="14" t="n">
        <v>0</v>
      </c>
      <c r="F284" s="14" t="n">
        <v>0</v>
      </c>
      <c r="G284" s="14" t="n">
        <v>0</v>
      </c>
      <c r="H284" s="14" t="n">
        <v>188</v>
      </c>
      <c r="I284" s="14" t="n">
        <v>60</v>
      </c>
      <c r="J284" s="14" t="n">
        <v>3</v>
      </c>
      <c r="K284" s="14" t="n">
        <v>251</v>
      </c>
      <c r="L284" s="14" t="n">
        <v>210</v>
      </c>
      <c r="M284" s="12"/>
      <c r="N284" s="11"/>
      <c r="O284" s="23"/>
      <c r="P284" s="23"/>
      <c r="Q284" s="23"/>
      <c r="R284" s="23"/>
      <c r="S284" s="23"/>
      <c r="T284" s="23"/>
      <c r="U284" s="23"/>
      <c r="V284" s="23"/>
      <c r="W284" s="23"/>
      <c r="X284" s="23"/>
      <c r="Y284" s="23"/>
      <c r="Z284" s="23"/>
    </row>
    <row r="285" customFormat="false" ht="15.75" hidden="false" customHeight="true" outlineLevel="0" collapsed="false">
      <c r="A285" s="52" t="n">
        <v>46304</v>
      </c>
      <c r="B285" s="14" t="s">
        <v>47</v>
      </c>
      <c r="C285" s="14" t="str">
        <f aca="false" t="array" ref="C285:C285">IF(B285="","",IFERROR(INDEX('CLM &amp; IM Mapping'!$B$2:$B$270,MATCH(TRIM(B285),'CLM &amp; IM Mapping'!$A$2:$A$270,0)),"Not Mapped"))</f>
        <v>Saddam Hussain</v>
      </c>
      <c r="D285" s="14" t="str">
        <f aca="false" t="array" ref="D285:D285">IF(B285="","",IFERROR(INDEX('CLM &amp; IM Mapping'!$C$2:$C$270,MATCH(TRIM(B285),'CLM &amp; IM Mapping'!$A$2:$A$270,0)),"Not Mapped"))</f>
        <v>Un Mapped</v>
      </c>
      <c r="E285" s="14" t="n">
        <v>0</v>
      </c>
      <c r="F285" s="14" t="n">
        <v>10</v>
      </c>
      <c r="G285" s="14" t="n">
        <v>0</v>
      </c>
      <c r="H285" s="14" t="n">
        <v>41</v>
      </c>
      <c r="I285" s="14" t="n">
        <v>179</v>
      </c>
      <c r="J285" s="14" t="n">
        <v>14</v>
      </c>
      <c r="K285" s="14" t="n">
        <v>244</v>
      </c>
      <c r="L285" s="14" t="n">
        <v>240</v>
      </c>
      <c r="M285" s="12"/>
      <c r="N285" s="11"/>
      <c r="O285" s="23"/>
      <c r="P285" s="23"/>
      <c r="Q285" s="23"/>
      <c r="R285" s="23"/>
      <c r="S285" s="23"/>
      <c r="T285" s="23"/>
      <c r="U285" s="23"/>
      <c r="V285" s="23"/>
      <c r="W285" s="23"/>
      <c r="X285" s="23"/>
      <c r="Y285" s="23"/>
      <c r="Z285" s="23"/>
    </row>
    <row r="286" customFormat="false" ht="15.75" hidden="false" customHeight="true" outlineLevel="0" collapsed="false">
      <c r="A286" s="52" t="n">
        <v>46304</v>
      </c>
      <c r="B286" s="14" t="s">
        <v>342</v>
      </c>
      <c r="C286" s="14" t="str">
        <f aca="false" t="array" ref="C286:C286">IF(B286="","",IFERROR(INDEX('CLM &amp; IM Mapping'!$B$2:$B$270,MATCH(TRIM(B286),'CLM &amp; IM Mapping'!$A$2:$A$270,0)),"Not Mapped"))</f>
        <v>Saddam Hussain</v>
      </c>
      <c r="D286" s="14" t="str">
        <f aca="false" t="array" ref="D286:D286">IF(B286="","",IFERROR(INDEX('CLM &amp; IM Mapping'!$C$2:$C$270,MATCH(TRIM(B286),'CLM &amp; IM Mapping'!$A$2:$A$270,0)),"Not Mapped"))</f>
        <v>Un Mapped</v>
      </c>
      <c r="E286" s="14" t="n">
        <v>48</v>
      </c>
      <c r="F286" s="14" t="n">
        <v>71</v>
      </c>
      <c r="G286" s="14" t="n">
        <v>106</v>
      </c>
      <c r="H286" s="14" t="n">
        <v>6</v>
      </c>
      <c r="I286" s="14" t="n">
        <v>12</v>
      </c>
      <c r="J286" s="14" t="n">
        <v>0</v>
      </c>
      <c r="K286" s="14" t="n">
        <v>243</v>
      </c>
      <c r="L286" s="14" t="n">
        <v>171</v>
      </c>
      <c r="M286" s="12"/>
      <c r="N286" s="11"/>
      <c r="O286" s="23"/>
      <c r="P286" s="23"/>
      <c r="Q286" s="23"/>
      <c r="R286" s="23"/>
      <c r="S286" s="23"/>
      <c r="T286" s="23"/>
      <c r="U286" s="23"/>
      <c r="V286" s="23"/>
      <c r="W286" s="23"/>
      <c r="X286" s="23"/>
      <c r="Y286" s="23"/>
      <c r="Z286" s="23"/>
    </row>
    <row r="287" customFormat="false" ht="15.75" hidden="false" customHeight="true" outlineLevel="0" collapsed="false">
      <c r="A287" s="52" t="n">
        <v>46304</v>
      </c>
      <c r="B287" s="14" t="s">
        <v>213</v>
      </c>
      <c r="C287" s="14" t="str">
        <f aca="false" t="array" ref="C287:C287">IF(B287="","",IFERROR(INDEX('CLM &amp; IM Mapping'!$B$2:$B$270,MATCH(TRIM(B287),'CLM &amp; IM Mapping'!$A$2:$A$270,0)),"Not Mapped"))</f>
        <v>Bangareppa CS</v>
      </c>
      <c r="D287" s="14" t="str">
        <f aca="false" t="array" ref="D287:D287">IF(B287="","",IFERROR(INDEX('CLM &amp; IM Mapping'!$C$2:$C$270,MATCH(TRIM(B287),'CLM &amp; IM Mapping'!$A$2:$A$270,0)),"Not Mapped"))</f>
        <v>Kishor K</v>
      </c>
      <c r="E287" s="14" t="n">
        <v>2</v>
      </c>
      <c r="F287" s="14" t="n">
        <v>185</v>
      </c>
      <c r="G287" s="14" t="n">
        <v>0</v>
      </c>
      <c r="H287" s="14" t="n">
        <v>0</v>
      </c>
      <c r="I287" s="14" t="n">
        <v>56</v>
      </c>
      <c r="J287" s="14" t="n">
        <v>0</v>
      </c>
      <c r="K287" s="14" t="n">
        <v>243</v>
      </c>
      <c r="L287" s="14" t="n">
        <v>57</v>
      </c>
      <c r="M287" s="12" t="s">
        <v>840</v>
      </c>
      <c r="N287" s="54" t="n">
        <v>0.666666666666667</v>
      </c>
      <c r="O287" s="23"/>
      <c r="P287" s="23"/>
      <c r="Q287" s="23"/>
      <c r="R287" s="23"/>
      <c r="S287" s="23"/>
      <c r="T287" s="23"/>
      <c r="U287" s="23"/>
      <c r="V287" s="23"/>
      <c r="W287" s="23"/>
      <c r="X287" s="23"/>
      <c r="Y287" s="23"/>
      <c r="Z287" s="23"/>
    </row>
    <row r="288" customFormat="false" ht="15.75" hidden="false" customHeight="true" outlineLevel="0" collapsed="false">
      <c r="A288" s="52" t="n">
        <v>46304</v>
      </c>
      <c r="B288" s="14" t="s">
        <v>198</v>
      </c>
      <c r="C288" s="14" t="str">
        <f aca="false" t="array" ref="C288:C288">IF(B288="","",IFERROR(INDEX('CLM &amp; IM Mapping'!$B$2:$B$270,MATCH(TRIM(B288),'CLM &amp; IM Mapping'!$A$2:$A$270,0)),"Not Mapped"))</f>
        <v>Manjunatha V</v>
      </c>
      <c r="D288" s="14" t="str">
        <f aca="false" t="array" ref="D288:D288">IF(B288="","",IFERROR(INDEX('CLM &amp; IM Mapping'!$C$2:$C$270,MATCH(TRIM(B288),'CLM &amp; IM Mapping'!$A$2:$A$270,0)),"Not Mapped"))</f>
        <v>Un Mapped</v>
      </c>
      <c r="E288" s="14" t="n">
        <v>81</v>
      </c>
      <c r="F288" s="14" t="n">
        <v>65</v>
      </c>
      <c r="G288" s="14" t="n">
        <v>10</v>
      </c>
      <c r="H288" s="14" t="n">
        <v>2</v>
      </c>
      <c r="I288" s="14" t="n">
        <v>2</v>
      </c>
      <c r="J288" s="14" t="n">
        <v>82</v>
      </c>
      <c r="K288" s="14" t="n">
        <v>242</v>
      </c>
      <c r="L288" s="14" t="n">
        <v>233</v>
      </c>
      <c r="M288" s="12"/>
      <c r="N288" s="11"/>
      <c r="O288" s="23"/>
      <c r="P288" s="23"/>
      <c r="Q288" s="23"/>
      <c r="R288" s="23"/>
      <c r="S288" s="23"/>
      <c r="T288" s="23"/>
      <c r="U288" s="23"/>
      <c r="V288" s="23"/>
      <c r="W288" s="23"/>
      <c r="X288" s="23"/>
      <c r="Y288" s="23"/>
      <c r="Z288" s="23"/>
    </row>
    <row r="289" customFormat="false" ht="15.75" hidden="false" customHeight="true" outlineLevel="0" collapsed="false">
      <c r="A289" s="52" t="n">
        <v>46304</v>
      </c>
      <c r="B289" s="14" t="s">
        <v>379</v>
      </c>
      <c r="C289" s="14" t="str">
        <f aca="false" t="array" ref="C289:C289">IF(B289="","",IFERROR(INDEX('CLM &amp; IM Mapping'!$B$2:$B$270,MATCH(TRIM(B289),'CLM &amp; IM Mapping'!$A$2:$A$270,0)),"Not Mapped"))</f>
        <v>Richard Harris</v>
      </c>
      <c r="D289" s="14" t="str">
        <f aca="false" t="array" ref="D289:D289">IF(B289="","",IFERROR(INDEX('CLM &amp; IM Mapping'!$C$2:$C$270,MATCH(TRIM(B289),'CLM &amp; IM Mapping'!$A$2:$A$270,0)),"Not Mapped"))</f>
        <v>Kantha Kumar</v>
      </c>
      <c r="E289" s="14" t="n">
        <v>0</v>
      </c>
      <c r="F289" s="14" t="n">
        <v>35</v>
      </c>
      <c r="G289" s="14" t="n">
        <v>0</v>
      </c>
      <c r="H289" s="14" t="n">
        <v>151</v>
      </c>
      <c r="I289" s="14" t="n">
        <v>35</v>
      </c>
      <c r="J289" s="14" t="n">
        <v>18</v>
      </c>
      <c r="K289" s="14" t="n">
        <v>239</v>
      </c>
      <c r="L289" s="14" t="n">
        <v>143</v>
      </c>
      <c r="M289" s="12"/>
      <c r="N289" s="11"/>
      <c r="O289" s="23"/>
      <c r="P289" s="23"/>
      <c r="Q289" s="23"/>
      <c r="R289" s="23"/>
      <c r="S289" s="23"/>
      <c r="T289" s="23"/>
      <c r="U289" s="23"/>
      <c r="V289" s="23"/>
      <c r="W289" s="23"/>
      <c r="X289" s="23"/>
      <c r="Y289" s="23"/>
      <c r="Z289" s="23"/>
    </row>
    <row r="290" customFormat="false" ht="15.75" hidden="false" customHeight="true" outlineLevel="0" collapsed="false">
      <c r="A290" s="52" t="n">
        <v>46304</v>
      </c>
      <c r="B290" s="14" t="s">
        <v>139</v>
      </c>
      <c r="C290" s="14" t="str">
        <f aca="false" t="array" ref="C290:C290">IF(B290="","",IFERROR(INDEX('CLM &amp; IM Mapping'!$B$2:$B$270,MATCH(TRIM(B290),'CLM &amp; IM Mapping'!$A$2:$A$270,0)),"Not Mapped"))</f>
        <v>Mohaideen DH</v>
      </c>
      <c r="D290" s="14" t="str">
        <f aca="false" t="array" ref="D290:D290">IF(B290="","",IFERROR(INDEX('CLM &amp; IM Mapping'!$C$2:$C$270,MATCH(TRIM(B290),'CLM &amp; IM Mapping'!$A$2:$A$270,0)),"Not Mapped"))</f>
        <v>Mohammed Akbar</v>
      </c>
      <c r="E290" s="14" t="n">
        <v>9</v>
      </c>
      <c r="F290" s="14" t="n">
        <v>38</v>
      </c>
      <c r="G290" s="14" t="n">
        <v>4</v>
      </c>
      <c r="H290" s="14" t="n">
        <v>0</v>
      </c>
      <c r="I290" s="14" t="n">
        <v>47</v>
      </c>
      <c r="J290" s="14" t="n">
        <v>141</v>
      </c>
      <c r="K290" s="14" t="n">
        <v>239</v>
      </c>
      <c r="L290" s="14" t="n">
        <v>237</v>
      </c>
      <c r="M290" s="12"/>
      <c r="N290" s="11"/>
      <c r="O290" s="23"/>
      <c r="P290" s="23"/>
      <c r="Q290" s="23"/>
      <c r="R290" s="23"/>
      <c r="S290" s="23"/>
      <c r="T290" s="23"/>
      <c r="U290" s="23"/>
      <c r="V290" s="23"/>
      <c r="W290" s="23"/>
      <c r="X290" s="23"/>
      <c r="Y290" s="23"/>
      <c r="Z290" s="23"/>
    </row>
    <row r="291" customFormat="false" ht="15.75" hidden="false" customHeight="true" outlineLevel="0" collapsed="false">
      <c r="A291" s="52" t="n">
        <v>46304</v>
      </c>
      <c r="B291" s="14" t="s">
        <v>468</v>
      </c>
      <c r="C291" s="14" t="str">
        <f aca="false" t="array" ref="C291:C291">IF(B291="","",IFERROR(INDEX('CLM &amp; IM Mapping'!$B$2:$B$270,MATCH(TRIM(B291),'CLM &amp; IM Mapping'!$A$2:$A$270,0)),"Not Mapped"))</f>
        <v>Suhas N</v>
      </c>
      <c r="D291" s="14" t="str">
        <f aca="false" t="array" ref="D291:D291">IF(B291="","",IFERROR(INDEX('CLM &amp; IM Mapping'!$C$2:$C$270,MATCH(TRIM(B291),'CLM &amp; IM Mapping'!$A$2:$A$270,0)),"Not Mapped"))</f>
        <v>Aravind S</v>
      </c>
      <c r="E291" s="14" t="n">
        <v>40</v>
      </c>
      <c r="F291" s="14" t="n">
        <v>103</v>
      </c>
      <c r="G291" s="14" t="n">
        <v>13</v>
      </c>
      <c r="H291" s="14" t="n">
        <v>1</v>
      </c>
      <c r="I291" s="14" t="n">
        <v>25</v>
      </c>
      <c r="J291" s="14" t="n">
        <v>55</v>
      </c>
      <c r="K291" s="14" t="n">
        <v>237</v>
      </c>
      <c r="L291" s="14" t="n">
        <v>236</v>
      </c>
      <c r="M291" s="12" t="s">
        <v>839</v>
      </c>
      <c r="N291" s="11"/>
      <c r="O291" s="23"/>
      <c r="P291" s="23"/>
      <c r="Q291" s="23"/>
      <c r="R291" s="23"/>
      <c r="S291" s="23"/>
      <c r="T291" s="23"/>
      <c r="U291" s="23"/>
      <c r="V291" s="23"/>
      <c r="W291" s="23"/>
      <c r="X291" s="23"/>
      <c r="Y291" s="23"/>
      <c r="Z291" s="23"/>
    </row>
    <row r="292" customFormat="false" ht="15.75" hidden="false" customHeight="true" outlineLevel="0" collapsed="false">
      <c r="A292" s="52" t="n">
        <v>46304</v>
      </c>
      <c r="B292" s="14" t="s">
        <v>62</v>
      </c>
      <c r="C292" s="14" t="str">
        <f aca="false" t="array" ref="C292:C292">IF(B292="","",IFERROR(INDEX('CLM &amp; IM Mapping'!$B$2:$B$270,MATCH(TRIM(B292),'CLM &amp; IM Mapping'!$A$2:$A$270,0)),"Not Mapped"))</f>
        <v>Basil Scariya</v>
      </c>
      <c r="D292" s="14" t="str">
        <f aca="false" t="array" ref="D292:D292">IF(B292="","",IFERROR(INDEX('CLM &amp; IM Mapping'!$C$2:$C$270,MATCH(TRIM(B292),'CLM &amp; IM Mapping'!$A$2:$A$270,0)),"Not Mapped"))</f>
        <v>Prakash BS</v>
      </c>
      <c r="E292" s="14" t="n">
        <v>23</v>
      </c>
      <c r="F292" s="14" t="n">
        <v>157</v>
      </c>
      <c r="G292" s="14" t="n">
        <v>13</v>
      </c>
      <c r="H292" s="14" t="n">
        <v>22</v>
      </c>
      <c r="I292" s="14" t="n">
        <v>3</v>
      </c>
      <c r="J292" s="14" t="n">
        <v>19</v>
      </c>
      <c r="K292" s="14" t="n">
        <v>237</v>
      </c>
      <c r="L292" s="14" t="n">
        <v>105</v>
      </c>
      <c r="M292" s="12" t="s">
        <v>841</v>
      </c>
      <c r="N292" s="54" t="n">
        <v>0.791666666666667</v>
      </c>
      <c r="O292" s="23"/>
      <c r="P292" s="23"/>
      <c r="Q292" s="23"/>
      <c r="R292" s="23"/>
      <c r="S292" s="23"/>
      <c r="T292" s="23"/>
      <c r="U292" s="23"/>
      <c r="V292" s="23"/>
      <c r="W292" s="23"/>
      <c r="X292" s="23"/>
      <c r="Y292" s="23"/>
      <c r="Z292" s="23"/>
    </row>
    <row r="293" customFormat="false" ht="15.75" hidden="false" customHeight="true" outlineLevel="0" collapsed="false">
      <c r="A293" s="52" t="n">
        <v>46304</v>
      </c>
      <c r="B293" s="14" t="s">
        <v>147</v>
      </c>
      <c r="C293" s="14" t="str">
        <f aca="false" t="array" ref="C293:C293">IF(B293="","",IFERROR(INDEX('CLM &amp; IM Mapping'!$B$2:$B$270,MATCH(TRIM(B293),'CLM &amp; IM Mapping'!$A$2:$A$270,0)),"Not Mapped"))</f>
        <v>Manjunatha V</v>
      </c>
      <c r="D293" s="14" t="str">
        <f aca="false" t="array" ref="D293:D293">IF(B293="","",IFERROR(INDEX('CLM &amp; IM Mapping'!$C$2:$C$270,MATCH(TRIM(B293),'CLM &amp; IM Mapping'!$A$2:$A$270,0)),"Not Mapped"))</f>
        <v>Un Mapped</v>
      </c>
      <c r="E293" s="14" t="n">
        <v>30</v>
      </c>
      <c r="F293" s="14" t="n">
        <v>47</v>
      </c>
      <c r="G293" s="14" t="n">
        <v>46</v>
      </c>
      <c r="H293" s="14" t="n">
        <v>0</v>
      </c>
      <c r="I293" s="14" t="n">
        <v>40</v>
      </c>
      <c r="J293" s="14" t="n">
        <v>70</v>
      </c>
      <c r="K293" s="14" t="n">
        <v>233</v>
      </c>
      <c r="L293" s="14" t="n">
        <v>227</v>
      </c>
      <c r="M293" s="12"/>
      <c r="N293" s="11"/>
      <c r="O293" s="23"/>
      <c r="P293" s="23"/>
      <c r="Q293" s="23"/>
      <c r="R293" s="23"/>
      <c r="S293" s="23"/>
      <c r="T293" s="23"/>
      <c r="U293" s="23"/>
      <c r="V293" s="23"/>
      <c r="W293" s="23"/>
      <c r="X293" s="23"/>
      <c r="Y293" s="23"/>
      <c r="Z293" s="23"/>
    </row>
    <row r="294" customFormat="false" ht="15.75" hidden="false" customHeight="true" outlineLevel="0" collapsed="false">
      <c r="A294" s="52" t="n">
        <v>46304</v>
      </c>
      <c r="B294" s="14" t="s">
        <v>186</v>
      </c>
      <c r="C294" s="14" t="str">
        <f aca="false" t="array" ref="C294:C294">IF(B294="","",IFERROR(INDEX('CLM &amp; IM Mapping'!$B$2:$B$270,MATCH(TRIM(B294),'CLM &amp; IM Mapping'!$A$2:$A$270,0)),"Not Mapped"))</f>
        <v>Silambarasan E</v>
      </c>
      <c r="D294" s="14" t="str">
        <f aca="false" t="array" ref="D294:D294">IF(B294="","",IFERROR(INDEX('CLM &amp; IM Mapping'!$C$2:$C$270,MATCH(TRIM(B294),'CLM &amp; IM Mapping'!$A$2:$A$270,0)),"Not Mapped"))</f>
        <v>Arivind S</v>
      </c>
      <c r="E294" s="14" t="n">
        <v>0</v>
      </c>
      <c r="F294" s="14" t="n">
        <v>81</v>
      </c>
      <c r="G294" s="14" t="n">
        <v>3</v>
      </c>
      <c r="H294" s="14" t="n">
        <v>85</v>
      </c>
      <c r="I294" s="14" t="n">
        <v>50</v>
      </c>
      <c r="J294" s="14" t="n">
        <v>9</v>
      </c>
      <c r="K294" s="14" t="n">
        <v>228</v>
      </c>
      <c r="L294" s="14" t="n">
        <v>146</v>
      </c>
      <c r="M294" s="12"/>
      <c r="N294" s="11"/>
      <c r="O294" s="23"/>
      <c r="P294" s="23"/>
      <c r="Q294" s="23"/>
      <c r="R294" s="23"/>
      <c r="S294" s="23"/>
      <c r="T294" s="23"/>
      <c r="U294" s="23"/>
      <c r="V294" s="23"/>
      <c r="W294" s="23"/>
      <c r="X294" s="23"/>
      <c r="Y294" s="23"/>
      <c r="Z294" s="23"/>
    </row>
    <row r="295" customFormat="false" ht="15.75" hidden="false" customHeight="true" outlineLevel="0" collapsed="false">
      <c r="A295" s="52" t="n">
        <v>46304</v>
      </c>
      <c r="B295" s="14" t="s">
        <v>100</v>
      </c>
      <c r="C295" s="14" t="str">
        <f aca="false" t="array" ref="C295:C295">IF(B295="","",IFERROR(INDEX('CLM &amp; IM Mapping'!$B$2:$B$270,MATCH(TRIM(B295),'CLM &amp; IM Mapping'!$A$2:$A$270,0)),"Not Mapped"))</f>
        <v>Sundaresh S</v>
      </c>
      <c r="D295" s="14" t="str">
        <f aca="false" t="array" ref="D295:D295">IF(B295="","",IFERROR(INDEX('CLM &amp; IM Mapping'!$C$2:$C$270,MATCH(TRIM(B295),'CLM &amp; IM Mapping'!$A$2:$A$270,0)),"Not Mapped"))</f>
        <v>Un Mapped</v>
      </c>
      <c r="E295" s="14" t="n">
        <v>23</v>
      </c>
      <c r="F295" s="14" t="n">
        <v>58</v>
      </c>
      <c r="G295" s="14" t="n">
        <v>2</v>
      </c>
      <c r="H295" s="14" t="n">
        <v>20</v>
      </c>
      <c r="I295" s="14" t="n">
        <v>74</v>
      </c>
      <c r="J295" s="14" t="n">
        <v>49</v>
      </c>
      <c r="K295" s="14" t="n">
        <v>226</v>
      </c>
      <c r="L295" s="14" t="n">
        <v>194</v>
      </c>
      <c r="M295" s="12"/>
      <c r="N295" s="11"/>
      <c r="O295" s="23"/>
      <c r="P295" s="23"/>
      <c r="Q295" s="23"/>
      <c r="R295" s="23"/>
      <c r="S295" s="23"/>
      <c r="T295" s="23"/>
      <c r="U295" s="23"/>
      <c r="V295" s="23"/>
      <c r="W295" s="23"/>
      <c r="X295" s="23"/>
      <c r="Y295" s="23"/>
      <c r="Z295" s="23"/>
    </row>
    <row r="296" customFormat="false" ht="15.75" hidden="false" customHeight="true" outlineLevel="0" collapsed="false">
      <c r="A296" s="52" t="n">
        <v>46304</v>
      </c>
      <c r="B296" s="14" t="s">
        <v>422</v>
      </c>
      <c r="C296" s="14" t="str">
        <f aca="false" t="array" ref="C296:C296">IF(B296="","",IFERROR(INDEX('CLM &amp; IM Mapping'!$B$2:$B$270,MATCH(TRIM(B296),'CLM &amp; IM Mapping'!$A$2:$A$270,0)),"Not Mapped"))</f>
        <v>Manjunatha V</v>
      </c>
      <c r="D296" s="14" t="str">
        <f aca="false" t="array" ref="D296:D296">IF(B296="","",IFERROR(INDEX('CLM &amp; IM Mapping'!$C$2:$C$270,MATCH(TRIM(B296),'CLM &amp; IM Mapping'!$A$2:$A$270,0)),"Not Mapped"))</f>
        <v>Un Mapped</v>
      </c>
      <c r="E296" s="14" t="n">
        <v>66</v>
      </c>
      <c r="F296" s="14" t="n">
        <v>74</v>
      </c>
      <c r="G296" s="14" t="n">
        <v>51</v>
      </c>
      <c r="H296" s="14" t="n">
        <v>0</v>
      </c>
      <c r="I296" s="14" t="n">
        <v>0</v>
      </c>
      <c r="J296" s="14" t="n">
        <v>33</v>
      </c>
      <c r="K296" s="14" t="n">
        <v>224</v>
      </c>
      <c r="L296" s="14" t="n">
        <v>144</v>
      </c>
      <c r="M296" s="12"/>
      <c r="N296" s="11"/>
      <c r="O296" s="23"/>
      <c r="P296" s="23"/>
      <c r="Q296" s="23"/>
      <c r="R296" s="23"/>
      <c r="S296" s="23"/>
      <c r="T296" s="23"/>
      <c r="U296" s="23"/>
      <c r="V296" s="23"/>
      <c r="W296" s="23"/>
      <c r="X296" s="23"/>
      <c r="Y296" s="23"/>
      <c r="Z296" s="23"/>
    </row>
    <row r="297" customFormat="false" ht="15.75" hidden="false" customHeight="true" outlineLevel="0" collapsed="false">
      <c r="A297" s="52" t="n">
        <v>46304</v>
      </c>
      <c r="B297" s="14" t="s">
        <v>322</v>
      </c>
      <c r="C297" s="14" t="str">
        <f aca="false" t="array" ref="C297:C297">IF(B297="","",IFERROR(INDEX('CLM &amp; IM Mapping'!$B$2:$B$270,MATCH(TRIM(B297),'CLM &amp; IM Mapping'!$A$2:$A$270,0)),"Not Mapped"))</f>
        <v>Ashwath S</v>
      </c>
      <c r="D297" s="14" t="str">
        <f aca="false" t="array" ref="D297:D297">IF(B297="","",IFERROR(INDEX('CLM &amp; IM Mapping'!$C$2:$C$270,MATCH(TRIM(B297),'CLM &amp; IM Mapping'!$A$2:$A$270,0)),"Not Mapped"))</f>
        <v>Kantha Kumar</v>
      </c>
      <c r="E297" s="14" t="n">
        <v>0</v>
      </c>
      <c r="F297" s="14" t="n">
        <v>23</v>
      </c>
      <c r="G297" s="14" t="n">
        <v>8</v>
      </c>
      <c r="H297" s="14" t="n">
        <v>69</v>
      </c>
      <c r="I297" s="14" t="n">
        <v>90</v>
      </c>
      <c r="J297" s="14" t="n">
        <v>16</v>
      </c>
      <c r="K297" s="14" t="n">
        <v>206</v>
      </c>
      <c r="L297" s="14" t="n">
        <v>194</v>
      </c>
      <c r="M297" s="12"/>
      <c r="N297" s="11"/>
      <c r="O297" s="23"/>
      <c r="P297" s="23"/>
      <c r="Q297" s="23"/>
      <c r="R297" s="23"/>
      <c r="S297" s="23"/>
      <c r="T297" s="23"/>
      <c r="U297" s="23"/>
      <c r="V297" s="23"/>
      <c r="W297" s="23"/>
      <c r="X297" s="23"/>
      <c r="Y297" s="23"/>
      <c r="Z297" s="23"/>
    </row>
    <row r="298" customFormat="false" ht="15.75" hidden="false" customHeight="true" outlineLevel="0" collapsed="false">
      <c r="A298" s="52" t="n">
        <v>46304</v>
      </c>
      <c r="B298" s="14" t="s">
        <v>498</v>
      </c>
      <c r="C298" s="14" t="str">
        <f aca="false" t="array" ref="C298:C298">IF(B298="","",IFERROR(INDEX('CLM &amp; IM Mapping'!$B$2:$B$270,MATCH(TRIM(B298),'CLM &amp; IM Mapping'!$A$2:$A$270,0)),"Not Mapped"))</f>
        <v>Adhavan Subramani</v>
      </c>
      <c r="D298" s="14" t="str">
        <f aca="false" t="array" ref="D298:D298">IF(B298="","",IFERROR(INDEX('CLM &amp; IM Mapping'!$C$2:$C$270,MATCH(TRIM(B298),'CLM &amp; IM Mapping'!$A$2:$A$270,0)),"Not Mapped"))</f>
        <v>Mohammed Akbar</v>
      </c>
      <c r="E298" s="14" t="n">
        <v>0</v>
      </c>
      <c r="F298" s="14" t="n">
        <v>7</v>
      </c>
      <c r="G298" s="14" t="n">
        <v>0</v>
      </c>
      <c r="H298" s="14" t="n">
        <v>12</v>
      </c>
      <c r="I298" s="14" t="n">
        <v>0</v>
      </c>
      <c r="J298" s="14" t="n">
        <v>185</v>
      </c>
      <c r="K298" s="14" t="n">
        <v>204</v>
      </c>
      <c r="L298" s="14" t="n">
        <v>199</v>
      </c>
      <c r="M298" s="12"/>
      <c r="N298" s="11"/>
      <c r="O298" s="23"/>
      <c r="P298" s="23"/>
      <c r="Q298" s="23"/>
      <c r="R298" s="23"/>
      <c r="S298" s="23"/>
      <c r="T298" s="23"/>
      <c r="U298" s="23"/>
      <c r="V298" s="23"/>
      <c r="W298" s="23"/>
      <c r="X298" s="23"/>
      <c r="Y298" s="23"/>
      <c r="Z298" s="23"/>
    </row>
    <row r="299" customFormat="false" ht="15.75" hidden="false" customHeight="true" outlineLevel="0" collapsed="false">
      <c r="A299" s="52" t="n">
        <v>46304</v>
      </c>
      <c r="B299" s="14" t="s">
        <v>455</v>
      </c>
      <c r="C299" s="14" t="str">
        <f aca="false" t="array" ref="C299:C299">IF(B299="","",IFERROR(INDEX('CLM &amp; IM Mapping'!$B$2:$B$270,MATCH(TRIM(B299),'CLM &amp; IM Mapping'!$A$2:$A$270,0)),"Not Mapped"))</f>
        <v>Rizwan Ahmed</v>
      </c>
      <c r="D299" s="14" t="str">
        <f aca="false" t="array" ref="D299:D299">IF(B299="","",IFERROR(INDEX('CLM &amp; IM Mapping'!$C$2:$C$270,MATCH(TRIM(B299),'CLM &amp; IM Mapping'!$A$2:$A$270,0)),"Not Mapped"))</f>
        <v>Un Mapped</v>
      </c>
      <c r="E299" s="14" t="n">
        <v>46</v>
      </c>
      <c r="F299" s="14" t="n">
        <v>77</v>
      </c>
      <c r="G299" s="14" t="n">
        <v>5</v>
      </c>
      <c r="H299" s="14" t="n">
        <v>2</v>
      </c>
      <c r="I299" s="14" t="n">
        <v>15</v>
      </c>
      <c r="J299" s="14" t="n">
        <v>58</v>
      </c>
      <c r="K299" s="14" t="n">
        <v>203</v>
      </c>
      <c r="L299" s="14" t="n">
        <v>147</v>
      </c>
      <c r="M299" s="12"/>
      <c r="N299" s="11"/>
      <c r="O299" s="23"/>
      <c r="P299" s="23"/>
      <c r="Q299" s="23"/>
      <c r="R299" s="23"/>
      <c r="S299" s="23"/>
      <c r="T299" s="23"/>
      <c r="U299" s="23"/>
      <c r="V299" s="23"/>
      <c r="W299" s="23"/>
      <c r="X299" s="23"/>
      <c r="Y299" s="23"/>
      <c r="Z299" s="23"/>
    </row>
    <row r="300" customFormat="false" ht="15.75" hidden="false" customHeight="true" outlineLevel="0" collapsed="false">
      <c r="A300" s="52" t="n">
        <v>46304</v>
      </c>
      <c r="B300" s="14" t="s">
        <v>183</v>
      </c>
      <c r="C300" s="14" t="str">
        <f aca="false" t="array" ref="C300:C300">IF(B300="","",IFERROR(INDEX('CLM &amp; IM Mapping'!$B$2:$B$270,MATCH(TRIM(B300),'CLM &amp; IM Mapping'!$A$2:$A$270,0)),"Not Mapped"))</f>
        <v>Saddam Hussain</v>
      </c>
      <c r="D300" s="14" t="str">
        <f aca="false" t="array" ref="D300:D300">IF(B300="","",IFERROR(INDEX('CLM &amp; IM Mapping'!$C$2:$C$270,MATCH(TRIM(B300),'CLM &amp; IM Mapping'!$A$2:$A$270,0)),"Not Mapped"))</f>
        <v>Un Mapped</v>
      </c>
      <c r="E300" s="14" t="n">
        <v>38</v>
      </c>
      <c r="F300" s="14" t="n">
        <v>24</v>
      </c>
      <c r="G300" s="14" t="n">
        <v>0</v>
      </c>
      <c r="H300" s="14" t="n">
        <v>51</v>
      </c>
      <c r="I300" s="14" t="n">
        <v>26</v>
      </c>
      <c r="J300" s="14" t="n">
        <v>63</v>
      </c>
      <c r="K300" s="14" t="n">
        <v>202</v>
      </c>
      <c r="L300" s="14" t="n">
        <v>202</v>
      </c>
      <c r="M300" s="12"/>
      <c r="N300" s="11"/>
      <c r="O300" s="23"/>
      <c r="P300" s="23"/>
      <c r="Q300" s="23"/>
      <c r="R300" s="23"/>
      <c r="S300" s="23"/>
      <c r="T300" s="23"/>
      <c r="U300" s="23"/>
      <c r="V300" s="23"/>
      <c r="W300" s="23"/>
      <c r="X300" s="23"/>
      <c r="Y300" s="23"/>
      <c r="Z300" s="23"/>
    </row>
    <row r="301" customFormat="false" ht="15.75" hidden="false" customHeight="true" outlineLevel="0" collapsed="false">
      <c r="A301" s="52" t="n">
        <v>46304</v>
      </c>
      <c r="B301" s="14" t="s">
        <v>305</v>
      </c>
      <c r="C301" s="14" t="str">
        <f aca="false" t="array" ref="C301:C301">IF(B301="","",IFERROR(INDEX('CLM &amp; IM Mapping'!$B$2:$B$270,MATCH(TRIM(B301),'CLM &amp; IM Mapping'!$A$2:$A$270,0)),"Not Mapped"))</f>
        <v>Manjunatha V</v>
      </c>
      <c r="D301" s="14" t="str">
        <f aca="false" t="array" ref="D301:D301">IF(B301="","",IFERROR(INDEX('CLM &amp; IM Mapping'!$C$2:$C$270,MATCH(TRIM(B301),'CLM &amp; IM Mapping'!$A$2:$A$270,0)),"Not Mapped"))</f>
        <v>Un Mapped</v>
      </c>
      <c r="E301" s="14" t="n">
        <v>21</v>
      </c>
      <c r="F301" s="14" t="n">
        <v>71</v>
      </c>
      <c r="G301" s="14" t="n">
        <v>14</v>
      </c>
      <c r="H301" s="14" t="n">
        <v>9</v>
      </c>
      <c r="I301" s="14" t="n">
        <v>55</v>
      </c>
      <c r="J301" s="14" t="n">
        <v>31</v>
      </c>
      <c r="K301" s="14" t="n">
        <v>201</v>
      </c>
      <c r="L301" s="14" t="n">
        <v>193</v>
      </c>
      <c r="M301" s="12"/>
      <c r="N301" s="11"/>
      <c r="O301" s="23"/>
      <c r="P301" s="23"/>
      <c r="Q301" s="23"/>
      <c r="R301" s="23"/>
      <c r="S301" s="23"/>
      <c r="T301" s="23"/>
      <c r="U301" s="23"/>
      <c r="V301" s="23"/>
      <c r="W301" s="23"/>
      <c r="X301" s="23"/>
      <c r="Y301" s="23"/>
      <c r="Z301" s="23"/>
    </row>
    <row r="302" customFormat="false" ht="15.75" hidden="false" customHeight="true" outlineLevel="0" collapsed="false">
      <c r="A302" s="52" t="n">
        <v>46304</v>
      </c>
      <c r="B302" s="14" t="s">
        <v>292</v>
      </c>
      <c r="C302" s="14" t="str">
        <f aca="false" t="array" ref="C302:C302">IF(B302="","",IFERROR(INDEX('CLM &amp; IM Mapping'!$B$2:$B$270,MATCH(TRIM(B302),'CLM &amp; IM Mapping'!$A$2:$A$270,0)),"Not Mapped"))</f>
        <v>Mohaideen DH</v>
      </c>
      <c r="D302" s="14" t="str">
        <f aca="false" t="array" ref="D302:D302">IF(B302="","",IFERROR(INDEX('CLM &amp; IM Mapping'!$C$2:$C$270,MATCH(TRIM(B302),'CLM &amp; IM Mapping'!$A$2:$A$270,0)),"Not Mapped"))</f>
        <v>Mohammed Akbar</v>
      </c>
      <c r="E302" s="14" t="n">
        <v>81</v>
      </c>
      <c r="F302" s="14" t="n">
        <v>40</v>
      </c>
      <c r="G302" s="14" t="n">
        <v>0</v>
      </c>
      <c r="H302" s="14" t="n">
        <v>59</v>
      </c>
      <c r="I302" s="14" t="n">
        <v>16</v>
      </c>
      <c r="J302" s="14" t="n">
        <v>4</v>
      </c>
      <c r="K302" s="14" t="n">
        <v>200</v>
      </c>
      <c r="L302" s="14" t="n">
        <v>199</v>
      </c>
      <c r="M302" s="12"/>
      <c r="N302" s="11"/>
      <c r="O302" s="23"/>
      <c r="P302" s="23"/>
      <c r="Q302" s="23"/>
      <c r="R302" s="23"/>
      <c r="S302" s="23"/>
      <c r="T302" s="23"/>
      <c r="U302" s="23"/>
      <c r="V302" s="23"/>
      <c r="W302" s="23"/>
      <c r="X302" s="23"/>
      <c r="Y302" s="23"/>
      <c r="Z302" s="23"/>
    </row>
    <row r="303" customFormat="false" ht="15.75" hidden="false" customHeight="true" outlineLevel="0" collapsed="false">
      <c r="A303" s="52" t="n">
        <v>46304</v>
      </c>
      <c r="B303" s="14" t="s">
        <v>440</v>
      </c>
      <c r="C303" s="14" t="str">
        <f aca="false" t="array" ref="C303:C303">IF(B303="","",IFERROR(INDEX('CLM &amp; IM Mapping'!$B$2:$B$270,MATCH(TRIM(B303),'CLM &amp; IM Mapping'!$A$2:$A$270,0)),"Not Mapped"))</f>
        <v>Bangareppa CS</v>
      </c>
      <c r="D303" s="14" t="str">
        <f aca="false" t="array" ref="D303:D303">IF(B303="","",IFERROR(INDEX('CLM &amp; IM Mapping'!$C$2:$C$270,MATCH(TRIM(B303),'CLM &amp; IM Mapping'!$A$2:$A$270,0)),"Not Mapped"))</f>
        <v>Kishor K</v>
      </c>
      <c r="E303" s="14" t="n">
        <v>0</v>
      </c>
      <c r="F303" s="14" t="n">
        <v>8</v>
      </c>
      <c r="G303" s="14" t="n">
        <v>0</v>
      </c>
      <c r="H303" s="14" t="n">
        <v>0</v>
      </c>
      <c r="I303" s="14" t="n">
        <v>0</v>
      </c>
      <c r="J303" s="14" t="n">
        <v>192</v>
      </c>
      <c r="K303" s="14" t="n">
        <v>200</v>
      </c>
      <c r="L303" s="14" t="n">
        <v>194</v>
      </c>
      <c r="M303" s="12" t="s">
        <v>828</v>
      </c>
      <c r="N303" s="54" t="n">
        <v>0.666666666666667</v>
      </c>
      <c r="O303" s="23"/>
      <c r="P303" s="23"/>
      <c r="Q303" s="23"/>
      <c r="R303" s="23"/>
      <c r="S303" s="23"/>
      <c r="T303" s="23"/>
      <c r="U303" s="23"/>
      <c r="V303" s="23"/>
      <c r="W303" s="23"/>
      <c r="X303" s="23"/>
      <c r="Y303" s="23"/>
      <c r="Z303" s="23"/>
    </row>
    <row r="304" customFormat="false" ht="15.75" hidden="false" customHeight="true" outlineLevel="0" collapsed="false">
      <c r="A304" s="52" t="n">
        <v>46304</v>
      </c>
      <c r="B304" s="14" t="s">
        <v>524</v>
      </c>
      <c r="C304" s="14" t="str">
        <f aca="false" t="array" ref="C304:C304">IF(B304="","",IFERROR(INDEX('CLM &amp; IM Mapping'!$B$2:$B$270,MATCH(TRIM(B304),'CLM &amp; IM Mapping'!$A$2:$A$270,0)),"Not Mapped"))</f>
        <v>Balaji G</v>
      </c>
      <c r="D304" s="14" t="str">
        <f aca="false" t="array" ref="D304:D304">IF(B304="","",IFERROR(INDEX('CLM &amp; IM Mapping'!$C$2:$C$270,MATCH(TRIM(B304),'CLM &amp; IM Mapping'!$A$2:$A$270,0)),"Not Mapped"))</f>
        <v>Mohammed Akbar</v>
      </c>
      <c r="E304" s="14" t="n">
        <v>13</v>
      </c>
      <c r="F304" s="14" t="n">
        <v>83</v>
      </c>
      <c r="G304" s="14" t="n">
        <v>83</v>
      </c>
      <c r="H304" s="14" t="n">
        <v>3</v>
      </c>
      <c r="I304" s="14" t="n">
        <v>11</v>
      </c>
      <c r="J304" s="14" t="n">
        <v>0</v>
      </c>
      <c r="K304" s="14" t="n">
        <v>193</v>
      </c>
      <c r="L304" s="14" t="n">
        <v>192</v>
      </c>
      <c r="M304" s="12"/>
      <c r="N304" s="11"/>
      <c r="O304" s="23"/>
      <c r="P304" s="23"/>
      <c r="Q304" s="23"/>
      <c r="R304" s="23"/>
      <c r="S304" s="23"/>
      <c r="T304" s="23"/>
      <c r="U304" s="23"/>
      <c r="V304" s="23"/>
      <c r="W304" s="23"/>
      <c r="X304" s="23"/>
      <c r="Y304" s="23"/>
      <c r="Z304" s="23"/>
    </row>
    <row r="305" customFormat="false" ht="15.75" hidden="false" customHeight="true" outlineLevel="0" collapsed="false">
      <c r="A305" s="52" t="n">
        <v>46304</v>
      </c>
      <c r="B305" s="14" t="s">
        <v>316</v>
      </c>
      <c r="C305" s="14" t="str">
        <f aca="false" t="array" ref="C305:C305">IF(B305="","",IFERROR(INDEX('CLM &amp; IM Mapping'!$B$2:$B$270,MATCH(TRIM(B305),'CLM &amp; IM Mapping'!$A$2:$A$270,0)),"Not Mapped"))</f>
        <v>Vishnu V</v>
      </c>
      <c r="D305" s="14" t="str">
        <f aca="false" t="array" ref="D305:D305">IF(B305="","",IFERROR(INDEX('CLM &amp; IM Mapping'!$C$2:$C$270,MATCH(TRIM(B305),'CLM &amp; IM Mapping'!$A$2:$A$270,0)),"Not Mapped"))</f>
        <v>Arivind S</v>
      </c>
      <c r="E305" s="14" t="n">
        <v>26</v>
      </c>
      <c r="F305" s="14" t="n">
        <v>166</v>
      </c>
      <c r="G305" s="14" t="n">
        <v>0</v>
      </c>
      <c r="H305" s="14" t="n">
        <v>0</v>
      </c>
      <c r="I305" s="14" t="n">
        <v>0</v>
      </c>
      <c r="J305" s="14" t="n">
        <v>0</v>
      </c>
      <c r="K305" s="14" t="n">
        <v>192</v>
      </c>
      <c r="L305" s="14" t="n">
        <v>192</v>
      </c>
      <c r="M305" s="12"/>
      <c r="N305" s="11"/>
      <c r="O305" s="23"/>
      <c r="P305" s="23"/>
      <c r="Q305" s="23"/>
      <c r="R305" s="23"/>
      <c r="S305" s="23"/>
      <c r="T305" s="23"/>
      <c r="U305" s="23"/>
      <c r="V305" s="23"/>
      <c r="W305" s="23"/>
      <c r="X305" s="23"/>
      <c r="Y305" s="23"/>
      <c r="Z305" s="23"/>
    </row>
    <row r="306" customFormat="false" ht="15.75" hidden="false" customHeight="true" outlineLevel="0" collapsed="false">
      <c r="A306" s="52" t="n">
        <v>46304</v>
      </c>
      <c r="B306" s="14" t="s">
        <v>173</v>
      </c>
      <c r="C306" s="14" t="str">
        <f aca="false" t="array" ref="C306:C306">IF(B306="","",IFERROR(INDEX('CLM &amp; IM Mapping'!$B$2:$B$270,MATCH(TRIM(B306),'CLM &amp; IM Mapping'!$A$2:$A$270,0)),"Not Mapped"))</f>
        <v>Akshay P</v>
      </c>
      <c r="D306" s="14" t="str">
        <f aca="false" t="array" ref="D306:D306">IF(B306="","",IFERROR(INDEX('CLM &amp; IM Mapping'!$C$2:$C$270,MATCH(TRIM(B306),'CLM &amp; IM Mapping'!$A$2:$A$270,0)),"Not Mapped"))</f>
        <v>Srittam Dhal</v>
      </c>
      <c r="E306" s="14" t="n">
        <v>42</v>
      </c>
      <c r="F306" s="14" t="n">
        <v>60</v>
      </c>
      <c r="G306" s="14" t="n">
        <v>20</v>
      </c>
      <c r="H306" s="14" t="n">
        <v>1</v>
      </c>
      <c r="I306" s="14" t="n">
        <v>16</v>
      </c>
      <c r="J306" s="14" t="n">
        <v>51</v>
      </c>
      <c r="K306" s="14" t="n">
        <v>190</v>
      </c>
      <c r="L306" s="14" t="n">
        <v>187</v>
      </c>
      <c r="M306" s="12"/>
      <c r="N306" s="11"/>
      <c r="O306" s="23"/>
      <c r="P306" s="23"/>
      <c r="Q306" s="23"/>
      <c r="R306" s="23"/>
      <c r="S306" s="23"/>
      <c r="T306" s="23"/>
      <c r="U306" s="23"/>
      <c r="V306" s="23"/>
      <c r="W306" s="23"/>
      <c r="X306" s="23"/>
      <c r="Y306" s="23"/>
      <c r="Z306" s="23"/>
    </row>
    <row r="307" customFormat="false" ht="15.75" hidden="false" customHeight="true" outlineLevel="0" collapsed="false">
      <c r="A307" s="52" t="n">
        <v>46304</v>
      </c>
      <c r="B307" s="14" t="s">
        <v>165</v>
      </c>
      <c r="C307" s="14" t="str">
        <f aca="false" t="array" ref="C307:C307">IF(B307="","",IFERROR(INDEX('CLM &amp; IM Mapping'!$B$2:$B$270,MATCH(TRIM(B307),'CLM &amp; IM Mapping'!$A$2:$A$270,0)),"Not Mapped"))</f>
        <v>Akshay P</v>
      </c>
      <c r="D307" s="14" t="str">
        <f aca="false" t="array" ref="D307:D307">IF(B307="","",IFERROR(INDEX('CLM &amp; IM Mapping'!$C$2:$C$270,MATCH(TRIM(B307),'CLM &amp; IM Mapping'!$A$2:$A$270,0)),"Not Mapped"))</f>
        <v>Srittam Dhal</v>
      </c>
      <c r="E307" s="14" t="n">
        <v>0</v>
      </c>
      <c r="F307" s="14" t="n">
        <v>52</v>
      </c>
      <c r="G307" s="14" t="n">
        <v>0</v>
      </c>
      <c r="H307" s="14" t="n">
        <v>89</v>
      </c>
      <c r="I307" s="14" t="n">
        <v>24</v>
      </c>
      <c r="J307" s="14" t="n">
        <v>24</v>
      </c>
      <c r="K307" s="14" t="n">
        <v>189</v>
      </c>
      <c r="L307" s="14" t="n">
        <v>170</v>
      </c>
      <c r="M307" s="12"/>
      <c r="N307" s="11"/>
      <c r="O307" s="23"/>
      <c r="P307" s="23"/>
      <c r="Q307" s="23"/>
      <c r="R307" s="23"/>
      <c r="S307" s="23"/>
      <c r="T307" s="23"/>
      <c r="U307" s="23"/>
      <c r="V307" s="23"/>
      <c r="W307" s="23"/>
      <c r="X307" s="23"/>
      <c r="Y307" s="23"/>
      <c r="Z307" s="23"/>
    </row>
    <row r="308" customFormat="false" ht="15.75" hidden="false" customHeight="true" outlineLevel="0" collapsed="false">
      <c r="A308" s="52" t="n">
        <v>46304</v>
      </c>
      <c r="B308" s="14" t="s">
        <v>510</v>
      </c>
      <c r="C308" s="14" t="str">
        <f aca="false" t="array" ref="C308:C308">IF(B308="","",IFERROR(INDEX('CLM &amp; IM Mapping'!$B$2:$B$270,MATCH(TRIM(B308),'CLM &amp; IM Mapping'!$A$2:$A$270,0)),"Not Mapped"))</f>
        <v>Manjunatha V</v>
      </c>
      <c r="D308" s="14" t="str">
        <f aca="false" t="array" ref="D308:D308">IF(B308="","",IFERROR(INDEX('CLM &amp; IM Mapping'!$C$2:$C$270,MATCH(TRIM(B308),'CLM &amp; IM Mapping'!$A$2:$A$270,0)),"Not Mapped"))</f>
        <v>Un Mapped</v>
      </c>
      <c r="E308" s="14" t="n">
        <v>28</v>
      </c>
      <c r="F308" s="14" t="n">
        <v>62</v>
      </c>
      <c r="G308" s="14" t="n">
        <v>40</v>
      </c>
      <c r="H308" s="14" t="n">
        <v>41</v>
      </c>
      <c r="I308" s="14" t="n">
        <v>12</v>
      </c>
      <c r="J308" s="14" t="n">
        <v>5</v>
      </c>
      <c r="K308" s="14" t="n">
        <v>188</v>
      </c>
      <c r="L308" s="14" t="n">
        <v>188</v>
      </c>
      <c r="M308" s="12"/>
      <c r="N308" s="11"/>
      <c r="O308" s="23"/>
      <c r="P308" s="23"/>
      <c r="Q308" s="23"/>
      <c r="R308" s="23"/>
      <c r="S308" s="23"/>
      <c r="T308" s="23"/>
      <c r="U308" s="23"/>
      <c r="V308" s="23"/>
      <c r="W308" s="23"/>
      <c r="X308" s="23"/>
      <c r="Y308" s="23"/>
      <c r="Z308" s="23"/>
    </row>
    <row r="309" customFormat="false" ht="15.75" hidden="false" customHeight="true" outlineLevel="0" collapsed="false">
      <c r="A309" s="52" t="n">
        <v>46304</v>
      </c>
      <c r="B309" s="14" t="s">
        <v>120</v>
      </c>
      <c r="C309" s="14" t="str">
        <f aca="false" t="array" ref="C309:C309">IF(B309="","",IFERROR(INDEX('CLM &amp; IM Mapping'!$B$2:$B$270,MATCH(TRIM(B309),'CLM &amp; IM Mapping'!$A$2:$A$270,0)),"Not Mapped"))</f>
        <v>Balaji G</v>
      </c>
      <c r="D309" s="14" t="str">
        <f aca="false" t="array" ref="D309:D309">IF(B309="","",IFERROR(INDEX('CLM &amp; IM Mapping'!$C$2:$C$270,MATCH(TRIM(B309),'CLM &amp; IM Mapping'!$A$2:$A$270,0)),"Not Mapped"))</f>
        <v>Mohammed Akbar</v>
      </c>
      <c r="E309" s="14" t="n">
        <v>9</v>
      </c>
      <c r="F309" s="14" t="n">
        <v>64</v>
      </c>
      <c r="G309" s="14" t="n">
        <v>60</v>
      </c>
      <c r="H309" s="14" t="n">
        <v>10</v>
      </c>
      <c r="I309" s="14" t="n">
        <v>45</v>
      </c>
      <c r="J309" s="14" t="n">
        <v>0</v>
      </c>
      <c r="K309" s="14" t="n">
        <v>188</v>
      </c>
      <c r="L309" s="14" t="n">
        <v>161</v>
      </c>
      <c r="M309" s="12"/>
      <c r="N309" s="11"/>
      <c r="O309" s="23"/>
      <c r="P309" s="23"/>
      <c r="Q309" s="23"/>
      <c r="R309" s="23"/>
      <c r="S309" s="23"/>
      <c r="T309" s="23"/>
      <c r="U309" s="23"/>
      <c r="V309" s="23"/>
      <c r="W309" s="23"/>
      <c r="X309" s="23"/>
      <c r="Y309" s="23"/>
      <c r="Z309" s="23"/>
    </row>
    <row r="310" customFormat="false" ht="15.75" hidden="false" customHeight="true" outlineLevel="0" collapsed="false">
      <c r="A310" s="52" t="n">
        <v>46304</v>
      </c>
      <c r="B310" s="14" t="s">
        <v>208</v>
      </c>
      <c r="C310" s="14" t="str">
        <f aca="false" t="array" ref="C310:C310">IF(B310="","",IFERROR(INDEX('CLM &amp; IM Mapping'!$B$2:$B$270,MATCH(TRIM(B310),'CLM &amp; IM Mapping'!$A$2:$A$270,0)),"Not Mapped"))</f>
        <v>Silambarasan E</v>
      </c>
      <c r="D310" s="14" t="str">
        <f aca="false" t="array" ref="D310:D310">IF(B310="","",IFERROR(INDEX('CLM &amp; IM Mapping'!$C$2:$C$270,MATCH(TRIM(B310),'CLM &amp; IM Mapping'!$A$2:$A$270,0)),"Not Mapped"))</f>
        <v>Arivind S</v>
      </c>
      <c r="E310" s="14" t="n">
        <v>0</v>
      </c>
      <c r="F310" s="14" t="n">
        <v>80</v>
      </c>
      <c r="G310" s="14" t="n">
        <v>0</v>
      </c>
      <c r="H310" s="14" t="n">
        <v>19</v>
      </c>
      <c r="I310" s="14" t="n">
        <v>9</v>
      </c>
      <c r="J310" s="14" t="n">
        <v>76</v>
      </c>
      <c r="K310" s="14" t="n">
        <v>184</v>
      </c>
      <c r="L310" s="14" t="n">
        <v>181</v>
      </c>
      <c r="M310" s="12"/>
      <c r="N310" s="11"/>
      <c r="O310" s="23"/>
      <c r="P310" s="23"/>
      <c r="Q310" s="23"/>
      <c r="R310" s="23"/>
      <c r="S310" s="23"/>
      <c r="T310" s="23"/>
      <c r="U310" s="23"/>
      <c r="V310" s="23"/>
      <c r="W310" s="23"/>
      <c r="X310" s="23"/>
      <c r="Y310" s="23"/>
      <c r="Z310" s="23"/>
    </row>
    <row r="311" customFormat="false" ht="15.75" hidden="false" customHeight="true" outlineLevel="0" collapsed="false">
      <c r="A311" s="52" t="n">
        <v>46304</v>
      </c>
      <c r="B311" s="14" t="s">
        <v>473</v>
      </c>
      <c r="C311" s="14" t="str">
        <f aca="false" t="array" ref="C311:C311">IF(B311="","",IFERROR(INDEX('CLM &amp; IM Mapping'!$B$2:$B$270,MATCH(TRIM(B311),'CLM &amp; IM Mapping'!$A$2:$A$270,0)),"Not Mapped"))</f>
        <v>Raghavendra Vernekar</v>
      </c>
      <c r="D311" s="14" t="str">
        <f aca="false" t="array" ref="D311:D311">IF(B311="","",IFERROR(INDEX('CLM &amp; IM Mapping'!$C$2:$C$270,MATCH(TRIM(B311),'CLM &amp; IM Mapping'!$A$2:$A$270,0)),"Not Mapped"))</f>
        <v>Prakash BS</v>
      </c>
      <c r="E311" s="14" t="n">
        <v>26</v>
      </c>
      <c r="F311" s="14" t="n">
        <v>113</v>
      </c>
      <c r="G311" s="14" t="n">
        <v>13</v>
      </c>
      <c r="H311" s="14" t="n">
        <v>21</v>
      </c>
      <c r="I311" s="14" t="n">
        <v>9</v>
      </c>
      <c r="J311" s="14" t="n">
        <v>2</v>
      </c>
      <c r="K311" s="14" t="n">
        <v>184</v>
      </c>
      <c r="L311" s="14" t="n">
        <v>180</v>
      </c>
      <c r="M311" s="12" t="s">
        <v>842</v>
      </c>
      <c r="N311" s="54" t="n">
        <v>0.770833333333333</v>
      </c>
      <c r="O311" s="23"/>
      <c r="P311" s="23"/>
      <c r="Q311" s="23"/>
      <c r="R311" s="23"/>
      <c r="S311" s="23"/>
      <c r="T311" s="23"/>
      <c r="U311" s="23"/>
      <c r="V311" s="23"/>
      <c r="W311" s="23"/>
      <c r="X311" s="23"/>
      <c r="Y311" s="23"/>
      <c r="Z311" s="23"/>
    </row>
    <row r="312" customFormat="false" ht="15.75" hidden="false" customHeight="true" outlineLevel="0" collapsed="false">
      <c r="A312" s="52" t="n">
        <v>46304</v>
      </c>
      <c r="B312" s="14" t="s">
        <v>525</v>
      </c>
      <c r="C312" s="14" t="str">
        <f aca="false" t="array" ref="C312:C312">IF(B312="","",IFERROR(INDEX('CLM &amp; IM Mapping'!$B$2:$B$270,MATCH(TRIM(B312),'CLM &amp; IM Mapping'!$A$2:$A$270,0)),"Not Mapped"))</f>
        <v>Saddam Hussain</v>
      </c>
      <c r="D312" s="14" t="str">
        <f aca="false" t="array" ref="D312:D312">IF(B312="","",IFERROR(INDEX('CLM &amp; IM Mapping'!$C$2:$C$270,MATCH(TRIM(B312),'CLM &amp; IM Mapping'!$A$2:$A$270,0)),"Not Mapped"))</f>
        <v>Un Mapped</v>
      </c>
      <c r="E312" s="14" t="n">
        <v>2</v>
      </c>
      <c r="F312" s="14" t="n">
        <v>64</v>
      </c>
      <c r="G312" s="14" t="n">
        <v>7</v>
      </c>
      <c r="H312" s="14" t="n">
        <v>39</v>
      </c>
      <c r="I312" s="14" t="n">
        <v>37</v>
      </c>
      <c r="J312" s="14" t="n">
        <v>33</v>
      </c>
      <c r="K312" s="14" t="n">
        <v>182</v>
      </c>
      <c r="L312" s="14" t="n">
        <v>182</v>
      </c>
      <c r="M312" s="12"/>
      <c r="N312" s="11"/>
      <c r="O312" s="23"/>
      <c r="P312" s="23"/>
      <c r="Q312" s="23"/>
      <c r="R312" s="23"/>
      <c r="S312" s="23"/>
      <c r="T312" s="23"/>
      <c r="U312" s="23"/>
      <c r="V312" s="23"/>
      <c r="W312" s="23"/>
      <c r="X312" s="23"/>
      <c r="Y312" s="23"/>
      <c r="Z312" s="23"/>
    </row>
    <row r="313" customFormat="false" ht="15.75" hidden="false" customHeight="true" outlineLevel="0" collapsed="false">
      <c r="A313" s="52" t="n">
        <v>46304</v>
      </c>
      <c r="B313" s="14" t="s">
        <v>290</v>
      </c>
      <c r="C313" s="14" t="str">
        <f aca="false" t="array" ref="C313:C313">IF(B313="","",IFERROR(INDEX('CLM &amp; IM Mapping'!$B$2:$B$270,MATCH(TRIM(B313),'CLM &amp; IM Mapping'!$A$2:$A$270,0)),"Not Mapped"))</f>
        <v>Akshay P</v>
      </c>
      <c r="D313" s="14" t="str">
        <f aca="false" t="array" ref="D313:D313">IF(B313="","",IFERROR(INDEX('CLM &amp; IM Mapping'!$C$2:$C$270,MATCH(TRIM(B313),'CLM &amp; IM Mapping'!$A$2:$A$270,0)),"Not Mapped"))</f>
        <v>Srittam Dhal</v>
      </c>
      <c r="E313" s="14" t="n">
        <v>9</v>
      </c>
      <c r="F313" s="14" t="n">
        <v>129</v>
      </c>
      <c r="G313" s="14" t="n">
        <v>1</v>
      </c>
      <c r="H313" s="14" t="n">
        <v>19</v>
      </c>
      <c r="I313" s="14" t="n">
        <v>8</v>
      </c>
      <c r="J313" s="14" t="n">
        <v>14</v>
      </c>
      <c r="K313" s="14" t="n">
        <v>180</v>
      </c>
      <c r="L313" s="14" t="n">
        <v>164</v>
      </c>
      <c r="M313" s="12"/>
      <c r="N313" s="11"/>
      <c r="O313" s="23"/>
      <c r="P313" s="23"/>
      <c r="Q313" s="23"/>
      <c r="R313" s="23"/>
      <c r="S313" s="23"/>
      <c r="T313" s="23"/>
      <c r="U313" s="23"/>
      <c r="V313" s="23"/>
      <c r="W313" s="23"/>
      <c r="X313" s="23"/>
      <c r="Y313" s="23"/>
      <c r="Z313" s="23"/>
    </row>
    <row r="314" customFormat="false" ht="15.75" hidden="false" customHeight="true" outlineLevel="0" collapsed="false">
      <c r="A314" s="52" t="n">
        <v>46304</v>
      </c>
      <c r="B314" s="14" t="s">
        <v>241</v>
      </c>
      <c r="C314" s="14" t="str">
        <f aca="false" t="array" ref="C314:C314">IF(B314="","",IFERROR(INDEX('CLM &amp; IM Mapping'!$B$2:$B$270,MATCH(TRIM(B314),'CLM &amp; IM Mapping'!$A$2:$A$270,0)),"Not Mapped"))</f>
        <v>Sundaresh S</v>
      </c>
      <c r="D314" s="14" t="str">
        <f aca="false" t="array" ref="D314:D314">IF(B314="","",IFERROR(INDEX('CLM &amp; IM Mapping'!$C$2:$C$270,MATCH(TRIM(B314),'CLM &amp; IM Mapping'!$A$2:$A$270,0)),"Not Mapped"))</f>
        <v>Un Mapped</v>
      </c>
      <c r="E314" s="14" t="n">
        <v>16</v>
      </c>
      <c r="F314" s="14" t="n">
        <v>1</v>
      </c>
      <c r="G314" s="14" t="n">
        <v>98</v>
      </c>
      <c r="H314" s="14" t="n">
        <v>0</v>
      </c>
      <c r="I314" s="14" t="n">
        <v>0</v>
      </c>
      <c r="J314" s="14" t="n">
        <v>64</v>
      </c>
      <c r="K314" s="14" t="n">
        <v>179</v>
      </c>
      <c r="L314" s="14" t="n">
        <v>173</v>
      </c>
      <c r="M314" s="12"/>
      <c r="N314" s="11"/>
      <c r="O314" s="23"/>
      <c r="P314" s="23"/>
      <c r="Q314" s="23"/>
      <c r="R314" s="23"/>
      <c r="S314" s="23"/>
      <c r="T314" s="23"/>
      <c r="U314" s="23"/>
      <c r="V314" s="23"/>
      <c r="W314" s="23"/>
      <c r="X314" s="23"/>
      <c r="Y314" s="23"/>
      <c r="Z314" s="23"/>
    </row>
    <row r="315" customFormat="false" ht="15.75" hidden="false" customHeight="true" outlineLevel="0" collapsed="false">
      <c r="A315" s="52" t="n">
        <v>46304</v>
      </c>
      <c r="B315" s="14" t="s">
        <v>94</v>
      </c>
      <c r="C315" s="14" t="str">
        <f aca="false" t="array" ref="C315:C315">IF(B315="","",IFERROR(INDEX('CLM &amp; IM Mapping'!$B$2:$B$270,MATCH(TRIM(B315),'CLM &amp; IM Mapping'!$A$2:$A$270,0)),"Not Mapped"))</f>
        <v>Ashwath S</v>
      </c>
      <c r="D315" s="14" t="str">
        <f aca="false" t="array" ref="D315:D315">IF(B315="","",IFERROR(INDEX('CLM &amp; IM Mapping'!$C$2:$C$270,MATCH(TRIM(B315),'CLM &amp; IM Mapping'!$A$2:$A$270,0)),"Not Mapped"))</f>
        <v>Kantha Kumar</v>
      </c>
      <c r="E315" s="14" t="n">
        <v>43</v>
      </c>
      <c r="F315" s="14" t="n">
        <v>83</v>
      </c>
      <c r="G315" s="14" t="n">
        <v>48</v>
      </c>
      <c r="H315" s="14" t="n">
        <v>5</v>
      </c>
      <c r="I315" s="14" t="n">
        <v>0</v>
      </c>
      <c r="J315" s="14" t="n">
        <v>0</v>
      </c>
      <c r="K315" s="14" t="n">
        <v>179</v>
      </c>
      <c r="L315" s="14" t="n">
        <v>167</v>
      </c>
      <c r="M315" s="12"/>
      <c r="N315" s="11"/>
      <c r="O315" s="23"/>
      <c r="P315" s="23"/>
      <c r="Q315" s="23"/>
      <c r="R315" s="23"/>
      <c r="S315" s="23"/>
      <c r="T315" s="23"/>
      <c r="U315" s="23"/>
      <c r="V315" s="23"/>
      <c r="W315" s="23"/>
      <c r="X315" s="23"/>
      <c r="Y315" s="23"/>
      <c r="Z315" s="23"/>
    </row>
    <row r="316" customFormat="false" ht="15.75" hidden="false" customHeight="true" outlineLevel="0" collapsed="false">
      <c r="A316" s="52" t="n">
        <v>46304</v>
      </c>
      <c r="B316" s="14" t="s">
        <v>134</v>
      </c>
      <c r="C316" s="14" t="str">
        <f aca="false" t="array" ref="C316:C316">IF(B316="","",IFERROR(INDEX('CLM &amp; IM Mapping'!$B$2:$B$270,MATCH(TRIM(B316),'CLM &amp; IM Mapping'!$A$2:$A$270,0)),"Not Mapped"))</f>
        <v>Raghavendra Vernekar</v>
      </c>
      <c r="D316" s="14" t="str">
        <f aca="false" t="array" ref="D316:D316">IF(B316="","",IFERROR(INDEX('CLM &amp; IM Mapping'!$C$2:$C$270,MATCH(TRIM(B316),'CLM &amp; IM Mapping'!$A$2:$A$270,0)),"Not Mapped"))</f>
        <v>Prakash BS</v>
      </c>
      <c r="E316" s="14" t="n">
        <v>93</v>
      </c>
      <c r="F316" s="14" t="n">
        <v>22</v>
      </c>
      <c r="G316" s="14" t="n">
        <v>0</v>
      </c>
      <c r="H316" s="14" t="n">
        <v>27</v>
      </c>
      <c r="I316" s="14" t="n">
        <v>28</v>
      </c>
      <c r="J316" s="14" t="n">
        <v>5</v>
      </c>
      <c r="K316" s="14" t="n">
        <v>175</v>
      </c>
      <c r="L316" s="14" t="n">
        <v>75</v>
      </c>
      <c r="M316" s="12" t="s">
        <v>843</v>
      </c>
      <c r="N316" s="54" t="n">
        <v>0.791666666666667</v>
      </c>
      <c r="O316" s="23"/>
      <c r="P316" s="23"/>
      <c r="Q316" s="23"/>
      <c r="R316" s="23"/>
      <c r="S316" s="23"/>
      <c r="T316" s="23"/>
      <c r="U316" s="23"/>
      <c r="V316" s="23"/>
      <c r="W316" s="23"/>
      <c r="X316" s="23"/>
      <c r="Y316" s="23"/>
      <c r="Z316" s="23"/>
    </row>
    <row r="317" customFormat="false" ht="15.75" hidden="false" customHeight="true" outlineLevel="0" collapsed="false">
      <c r="A317" s="52" t="n">
        <v>46304</v>
      </c>
      <c r="B317" s="14" t="s">
        <v>507</v>
      </c>
      <c r="C317" s="14" t="str">
        <f aca="false" t="array" ref="C317:C317">IF(B317="","",IFERROR(INDEX('CLM &amp; IM Mapping'!$B$2:$B$270,MATCH(TRIM(B317),'CLM &amp; IM Mapping'!$A$2:$A$270,0)),"Not Mapped"))</f>
        <v>Raghavendra Vernekar</v>
      </c>
      <c r="D317" s="14" t="str">
        <f aca="false" t="array" ref="D317:D317">IF(B317="","",IFERROR(INDEX('CLM &amp; IM Mapping'!$C$2:$C$270,MATCH(TRIM(B317),'CLM &amp; IM Mapping'!$A$2:$A$270,0)),"Not Mapped"))</f>
        <v>Prakash BS</v>
      </c>
      <c r="E317" s="14" t="n">
        <v>23</v>
      </c>
      <c r="F317" s="14" t="n">
        <v>61</v>
      </c>
      <c r="G317" s="14" t="n">
        <v>13</v>
      </c>
      <c r="H317" s="14" t="n">
        <v>9</v>
      </c>
      <c r="I317" s="14" t="n">
        <v>11</v>
      </c>
      <c r="J317" s="14" t="n">
        <v>55</v>
      </c>
      <c r="K317" s="14" t="n">
        <v>172</v>
      </c>
      <c r="L317" s="14" t="n">
        <v>147</v>
      </c>
      <c r="M317" s="12" t="s">
        <v>844</v>
      </c>
      <c r="N317" s="11"/>
      <c r="O317" s="23"/>
      <c r="P317" s="23"/>
      <c r="Q317" s="23"/>
      <c r="R317" s="23"/>
      <c r="S317" s="23"/>
      <c r="T317" s="23"/>
      <c r="U317" s="23"/>
      <c r="V317" s="23"/>
      <c r="W317" s="23"/>
      <c r="X317" s="23"/>
      <c r="Y317" s="23"/>
      <c r="Z317" s="23"/>
    </row>
    <row r="318" customFormat="false" ht="15.75" hidden="false" customHeight="true" outlineLevel="0" collapsed="false">
      <c r="A318" s="52" t="n">
        <v>46304</v>
      </c>
      <c r="B318" s="14" t="s">
        <v>287</v>
      </c>
      <c r="C318" s="14" t="str">
        <f aca="false" t="array" ref="C318:C318">IF(B318="","",IFERROR(INDEX('CLM &amp; IM Mapping'!$B$2:$B$270,MATCH(TRIM(B318),'CLM &amp; IM Mapping'!$A$2:$A$270,0)),"Not Mapped"))</f>
        <v>Sundaresh S</v>
      </c>
      <c r="D318" s="14" t="str">
        <f aca="false" t="array" ref="D318:D318">IF(B318="","",IFERROR(INDEX('CLM &amp; IM Mapping'!$C$2:$C$270,MATCH(TRIM(B318),'CLM &amp; IM Mapping'!$A$2:$A$270,0)),"Not Mapped"))</f>
        <v>Un Mapped</v>
      </c>
      <c r="E318" s="14" t="n">
        <v>24</v>
      </c>
      <c r="F318" s="14" t="n">
        <v>23</v>
      </c>
      <c r="G318" s="14" t="n">
        <v>1</v>
      </c>
      <c r="H318" s="14" t="n">
        <v>8</v>
      </c>
      <c r="I318" s="14" t="n">
        <v>56</v>
      </c>
      <c r="J318" s="14" t="n">
        <v>59</v>
      </c>
      <c r="K318" s="14" t="n">
        <v>171</v>
      </c>
      <c r="L318" s="14" t="n">
        <v>169</v>
      </c>
      <c r="M318" s="12"/>
      <c r="N318" s="11"/>
      <c r="O318" s="23"/>
      <c r="P318" s="23"/>
      <c r="Q318" s="23"/>
      <c r="R318" s="23"/>
      <c r="S318" s="23"/>
      <c r="T318" s="23"/>
      <c r="U318" s="23"/>
      <c r="V318" s="23"/>
      <c r="W318" s="23"/>
      <c r="X318" s="23"/>
      <c r="Y318" s="23"/>
      <c r="Z318" s="23"/>
    </row>
    <row r="319" customFormat="false" ht="15.75" hidden="false" customHeight="true" outlineLevel="0" collapsed="false">
      <c r="A319" s="52" t="n">
        <v>46304</v>
      </c>
      <c r="B319" s="14" t="s">
        <v>521</v>
      </c>
      <c r="C319" s="14" t="str">
        <f aca="false" t="array" ref="C319:C319">IF(B319="","",IFERROR(INDEX('CLM &amp; IM Mapping'!$B$2:$B$270,MATCH(TRIM(B319),'CLM &amp; IM Mapping'!$A$2:$A$270,0)),"Not Mapped"))</f>
        <v>Mohaideen DH</v>
      </c>
      <c r="D319" s="14" t="str">
        <f aca="false" t="array" ref="D319:D319">IF(B319="","",IFERROR(INDEX('CLM &amp; IM Mapping'!$C$2:$C$270,MATCH(TRIM(B319),'CLM &amp; IM Mapping'!$A$2:$A$270,0)),"Not Mapped"))</f>
        <v>Mohammed Akbar</v>
      </c>
      <c r="E319" s="14" t="n">
        <v>31</v>
      </c>
      <c r="F319" s="14" t="n">
        <v>53</v>
      </c>
      <c r="G319" s="14" t="n">
        <v>52</v>
      </c>
      <c r="H319" s="14" t="n">
        <v>0</v>
      </c>
      <c r="I319" s="14" t="n">
        <v>0</v>
      </c>
      <c r="J319" s="14" t="n">
        <v>34</v>
      </c>
      <c r="K319" s="14" t="n">
        <v>170</v>
      </c>
      <c r="L319" s="14" t="n">
        <v>170</v>
      </c>
      <c r="M319" s="12"/>
      <c r="N319" s="11"/>
      <c r="O319" s="23"/>
      <c r="P319" s="23"/>
      <c r="Q319" s="23"/>
      <c r="R319" s="23"/>
      <c r="S319" s="23"/>
      <c r="T319" s="23"/>
      <c r="U319" s="23"/>
      <c r="V319" s="23"/>
      <c r="W319" s="23"/>
      <c r="X319" s="23"/>
      <c r="Y319" s="23"/>
      <c r="Z319" s="23"/>
    </row>
    <row r="320" customFormat="false" ht="15.75" hidden="false" customHeight="true" outlineLevel="0" collapsed="false">
      <c r="A320" s="52" t="n">
        <v>46304</v>
      </c>
      <c r="B320" s="14" t="s">
        <v>517</v>
      </c>
      <c r="C320" s="14" t="str">
        <f aca="false" t="array" ref="C320:C320">IF(B320="","",IFERROR(INDEX('CLM &amp; IM Mapping'!$B$2:$B$270,MATCH(TRIM(B320),'CLM &amp; IM Mapping'!$A$2:$A$270,0)),"Not Mapped"))</f>
        <v>Manoj Kj</v>
      </c>
      <c r="D320" s="14" t="str">
        <f aca="false" t="array" ref="D320:D320">IF(B320="","",IFERROR(INDEX('CLM &amp; IM Mapping'!$C$2:$C$270,MATCH(TRIM(B320),'CLM &amp; IM Mapping'!$A$2:$A$270,0)),"Not Mapped"))</f>
        <v>Srittam Dhal</v>
      </c>
      <c r="E320" s="14" t="n">
        <v>2</v>
      </c>
      <c r="F320" s="14" t="n">
        <v>51</v>
      </c>
      <c r="G320" s="14" t="n">
        <v>0</v>
      </c>
      <c r="H320" s="14" t="n">
        <v>38</v>
      </c>
      <c r="I320" s="14" t="n">
        <v>25</v>
      </c>
      <c r="J320" s="14" t="n">
        <v>52</v>
      </c>
      <c r="K320" s="14" t="n">
        <v>168</v>
      </c>
      <c r="L320" s="14" t="n">
        <v>135</v>
      </c>
      <c r="M320" s="12"/>
      <c r="N320" s="11"/>
      <c r="O320" s="23"/>
      <c r="P320" s="23"/>
      <c r="Q320" s="23"/>
      <c r="R320" s="23"/>
      <c r="S320" s="23"/>
      <c r="T320" s="23"/>
      <c r="U320" s="23"/>
      <c r="V320" s="23"/>
      <c r="W320" s="23"/>
      <c r="X320" s="23"/>
      <c r="Y320" s="23"/>
      <c r="Z320" s="23"/>
    </row>
    <row r="321" customFormat="false" ht="15.75" hidden="false" customHeight="true" outlineLevel="0" collapsed="false">
      <c r="A321" s="52" t="n">
        <v>46304</v>
      </c>
      <c r="B321" s="14" t="s">
        <v>168</v>
      </c>
      <c r="C321" s="14" t="str">
        <f aca="false" t="array" ref="C321:C321">IF(B321="","",IFERROR(INDEX('CLM &amp; IM Mapping'!$B$2:$B$270,MATCH(TRIM(B321),'CLM &amp; IM Mapping'!$A$2:$A$270,0)),"Not Mapped"))</f>
        <v>Vijay M</v>
      </c>
      <c r="D321" s="14" t="str">
        <f aca="false" t="array" ref="D321:D321">IF(B321="","",IFERROR(INDEX('CLM &amp; IM Mapping'!$C$2:$C$270,MATCH(TRIM(B321),'CLM &amp; IM Mapping'!$A$2:$A$270,0)),"Not Mapped"))</f>
        <v>Kantha Kumar</v>
      </c>
      <c r="E321" s="14" t="n">
        <v>4</v>
      </c>
      <c r="F321" s="14" t="n">
        <v>27</v>
      </c>
      <c r="G321" s="14" t="n">
        <v>2</v>
      </c>
      <c r="H321" s="14" t="n">
        <v>63</v>
      </c>
      <c r="I321" s="14" t="n">
        <v>43</v>
      </c>
      <c r="J321" s="14" t="n">
        <v>28</v>
      </c>
      <c r="K321" s="14" t="n">
        <v>167</v>
      </c>
      <c r="L321" s="14" t="n">
        <v>125</v>
      </c>
      <c r="M321" s="12"/>
      <c r="N321" s="11"/>
      <c r="O321" s="23"/>
      <c r="P321" s="23"/>
      <c r="Q321" s="23"/>
      <c r="R321" s="23"/>
      <c r="S321" s="23"/>
      <c r="T321" s="23"/>
      <c r="U321" s="23"/>
      <c r="V321" s="23"/>
      <c r="W321" s="23"/>
      <c r="X321" s="23"/>
      <c r="Y321" s="23"/>
      <c r="Z321" s="23"/>
    </row>
    <row r="322" customFormat="false" ht="15.75" hidden="false" customHeight="true" outlineLevel="0" collapsed="false">
      <c r="A322" s="52" t="n">
        <v>46304</v>
      </c>
      <c r="B322" s="14" t="s">
        <v>429</v>
      </c>
      <c r="C322" s="14" t="str">
        <f aca="false" t="array" ref="C322:C322">IF(B322="","",IFERROR(INDEX('CLM &amp; IM Mapping'!$B$2:$B$270,MATCH(TRIM(B322),'CLM &amp; IM Mapping'!$A$2:$A$270,0)),"Not Mapped"))</f>
        <v>Manjunatha V</v>
      </c>
      <c r="D322" s="14" t="str">
        <f aca="false" t="array" ref="D322:D322">IF(B322="","",IFERROR(INDEX('CLM &amp; IM Mapping'!$C$2:$C$270,MATCH(TRIM(B322),'CLM &amp; IM Mapping'!$A$2:$A$270,0)),"Not Mapped"))</f>
        <v>Un Mapped</v>
      </c>
      <c r="E322" s="14" t="n">
        <v>47</v>
      </c>
      <c r="F322" s="14" t="n">
        <v>77</v>
      </c>
      <c r="G322" s="14" t="n">
        <v>26</v>
      </c>
      <c r="H322" s="14" t="n">
        <v>4</v>
      </c>
      <c r="I322" s="14" t="n">
        <v>0</v>
      </c>
      <c r="J322" s="14" t="n">
        <v>11</v>
      </c>
      <c r="K322" s="14" t="n">
        <v>165</v>
      </c>
      <c r="L322" s="14" t="n">
        <v>165</v>
      </c>
      <c r="M322" s="12"/>
      <c r="N322" s="11"/>
      <c r="O322" s="23"/>
      <c r="P322" s="23"/>
      <c r="Q322" s="23"/>
      <c r="R322" s="23"/>
      <c r="S322" s="23"/>
      <c r="T322" s="23"/>
      <c r="U322" s="23"/>
      <c r="V322" s="23"/>
      <c r="W322" s="23"/>
      <c r="X322" s="23"/>
      <c r="Y322" s="23"/>
      <c r="Z322" s="23"/>
    </row>
    <row r="323" customFormat="false" ht="15.75" hidden="false" customHeight="true" outlineLevel="0" collapsed="false">
      <c r="A323" s="52" t="n">
        <v>46304</v>
      </c>
      <c r="B323" s="14" t="s">
        <v>291</v>
      </c>
      <c r="C323" s="14" t="str">
        <f aca="false" t="array" ref="C323:C323">IF(B323="","",IFERROR(INDEX('CLM &amp; IM Mapping'!$B$2:$B$270,MATCH(TRIM(B323),'CLM &amp; IM Mapping'!$A$2:$A$270,0)),"Not Mapped"))</f>
        <v>Ashwath S</v>
      </c>
      <c r="D323" s="14" t="str">
        <f aca="false" t="array" ref="D323:D323">IF(B323="","",IFERROR(INDEX('CLM &amp; IM Mapping'!$C$2:$C$270,MATCH(TRIM(B323),'CLM &amp; IM Mapping'!$A$2:$A$270,0)),"Not Mapped"))</f>
        <v>Kantha Kumar</v>
      </c>
      <c r="E323" s="14" t="n">
        <v>9</v>
      </c>
      <c r="F323" s="14" t="n">
        <v>56</v>
      </c>
      <c r="G323" s="14" t="n">
        <v>14</v>
      </c>
      <c r="H323" s="14" t="n">
        <v>28</v>
      </c>
      <c r="I323" s="14" t="n">
        <v>0</v>
      </c>
      <c r="J323" s="14" t="n">
        <v>54</v>
      </c>
      <c r="K323" s="14" t="n">
        <v>161</v>
      </c>
      <c r="L323" s="14" t="n">
        <v>161</v>
      </c>
      <c r="M323" s="12"/>
      <c r="N323" s="11"/>
      <c r="O323" s="23"/>
      <c r="P323" s="23"/>
      <c r="Q323" s="23"/>
      <c r="R323" s="23"/>
      <c r="S323" s="23"/>
      <c r="T323" s="23"/>
      <c r="U323" s="23"/>
      <c r="V323" s="23"/>
      <c r="W323" s="23"/>
      <c r="X323" s="23"/>
      <c r="Y323" s="23"/>
      <c r="Z323" s="23"/>
    </row>
    <row r="324" customFormat="false" ht="15.75" hidden="false" customHeight="true" outlineLevel="0" collapsed="false">
      <c r="A324" s="52" t="n">
        <v>46304</v>
      </c>
      <c r="B324" s="14" t="s">
        <v>463</v>
      </c>
      <c r="C324" s="14" t="str">
        <f aca="false" t="array" ref="C324:C324">IF(B324="","",IFERROR(INDEX('CLM &amp; IM Mapping'!$B$2:$B$270,MATCH(TRIM(B324),'CLM &amp; IM Mapping'!$A$2:$A$270,0)),"Not Mapped"))</f>
        <v>Ashwath S</v>
      </c>
      <c r="D324" s="14" t="str">
        <f aca="false" t="array" ref="D324:D324">IF(B324="","",IFERROR(INDEX('CLM &amp; IM Mapping'!$C$2:$C$270,MATCH(TRIM(B324),'CLM &amp; IM Mapping'!$A$2:$A$270,0)),"Not Mapped"))</f>
        <v>Kantha Kumar</v>
      </c>
      <c r="E324" s="14" t="n">
        <v>13</v>
      </c>
      <c r="F324" s="14" t="n">
        <v>60</v>
      </c>
      <c r="G324" s="14" t="n">
        <v>0</v>
      </c>
      <c r="H324" s="14" t="n">
        <v>22</v>
      </c>
      <c r="I324" s="14" t="n">
        <v>56</v>
      </c>
      <c r="J324" s="14" t="n">
        <v>10</v>
      </c>
      <c r="K324" s="14" t="n">
        <v>161</v>
      </c>
      <c r="L324" s="14" t="n">
        <v>118</v>
      </c>
      <c r="M324" s="12"/>
      <c r="N324" s="11"/>
      <c r="O324" s="23"/>
      <c r="P324" s="23"/>
      <c r="Q324" s="23"/>
      <c r="R324" s="23"/>
      <c r="S324" s="23"/>
      <c r="T324" s="23"/>
      <c r="U324" s="23"/>
      <c r="V324" s="23"/>
      <c r="W324" s="23"/>
      <c r="X324" s="23"/>
      <c r="Y324" s="23"/>
      <c r="Z324" s="23"/>
    </row>
    <row r="325" customFormat="false" ht="15.75" hidden="false" customHeight="true" outlineLevel="0" collapsed="false">
      <c r="A325" s="52" t="n">
        <v>46304</v>
      </c>
      <c r="B325" s="14" t="s">
        <v>427</v>
      </c>
      <c r="C325" s="14" t="str">
        <f aca="false" t="array" ref="C325:C325">IF(B325="","",IFERROR(INDEX('CLM &amp; IM Mapping'!$B$2:$B$270,MATCH(TRIM(B325),'CLM &amp; IM Mapping'!$A$2:$A$270,0)),"Not Mapped"))</f>
        <v>John Britto</v>
      </c>
      <c r="D325" s="14" t="str">
        <f aca="false" t="array" ref="D325:D325">IF(B325="","",IFERROR(INDEX('CLM &amp; IM Mapping'!$C$2:$C$270,MATCH(TRIM(B325),'CLM &amp; IM Mapping'!$A$2:$A$270,0)),"Not Mapped"))</f>
        <v>Aravind S</v>
      </c>
      <c r="E325" s="14" t="n">
        <v>2</v>
      </c>
      <c r="F325" s="14" t="n">
        <v>69</v>
      </c>
      <c r="G325" s="14" t="n">
        <v>4</v>
      </c>
      <c r="H325" s="14" t="n">
        <v>9</v>
      </c>
      <c r="I325" s="14" t="n">
        <v>1</v>
      </c>
      <c r="J325" s="14" t="n">
        <v>74</v>
      </c>
      <c r="K325" s="14" t="n">
        <v>159</v>
      </c>
      <c r="L325" s="14" t="n">
        <v>147</v>
      </c>
      <c r="M325" s="12" t="s">
        <v>819</v>
      </c>
      <c r="N325" s="11"/>
      <c r="O325" s="23"/>
      <c r="P325" s="23"/>
      <c r="Q325" s="23"/>
      <c r="R325" s="23"/>
      <c r="S325" s="23"/>
      <c r="T325" s="23"/>
      <c r="U325" s="23"/>
      <c r="V325" s="23"/>
      <c r="W325" s="23"/>
      <c r="X325" s="23"/>
      <c r="Y325" s="23"/>
      <c r="Z325" s="23"/>
    </row>
    <row r="326" customFormat="false" ht="15.75" hidden="false" customHeight="true" outlineLevel="0" collapsed="false">
      <c r="A326" s="52" t="n">
        <v>46304</v>
      </c>
      <c r="B326" s="14" t="s">
        <v>205</v>
      </c>
      <c r="C326" s="14" t="str">
        <f aca="false" t="array" ref="C326:C326">IF(B326="","",IFERROR(INDEX('CLM &amp; IM Mapping'!$B$2:$B$270,MATCH(TRIM(B326),'CLM &amp; IM Mapping'!$A$2:$A$270,0)),"Not Mapped"))</f>
        <v>Akshay P</v>
      </c>
      <c r="D326" s="14" t="str">
        <f aca="false" t="array" ref="D326:D326">IF(B326="","",IFERROR(INDEX('CLM &amp; IM Mapping'!$C$2:$C$270,MATCH(TRIM(B326),'CLM &amp; IM Mapping'!$A$2:$A$270,0)),"Not Mapped"))</f>
        <v>Srittam Dhal</v>
      </c>
      <c r="E326" s="14" t="n">
        <v>9</v>
      </c>
      <c r="F326" s="14" t="n">
        <v>40</v>
      </c>
      <c r="G326" s="14" t="n">
        <v>41</v>
      </c>
      <c r="H326" s="14" t="n">
        <v>28</v>
      </c>
      <c r="I326" s="14" t="n">
        <v>21</v>
      </c>
      <c r="J326" s="14" t="n">
        <v>19</v>
      </c>
      <c r="K326" s="14" t="n">
        <v>158</v>
      </c>
      <c r="L326" s="14" t="n">
        <v>153</v>
      </c>
      <c r="M326" s="12"/>
      <c r="N326" s="11"/>
      <c r="O326" s="23"/>
      <c r="P326" s="23"/>
      <c r="Q326" s="23"/>
      <c r="R326" s="23"/>
      <c r="S326" s="23"/>
      <c r="T326" s="23"/>
      <c r="U326" s="23"/>
      <c r="V326" s="23"/>
      <c r="W326" s="23"/>
      <c r="X326" s="23"/>
      <c r="Y326" s="23"/>
      <c r="Z326" s="23"/>
    </row>
    <row r="327" customFormat="false" ht="15.75" hidden="false" customHeight="true" outlineLevel="0" collapsed="false">
      <c r="A327" s="52" t="n">
        <v>46304</v>
      </c>
      <c r="B327" s="14" t="s">
        <v>216</v>
      </c>
      <c r="C327" s="14" t="str">
        <f aca="false" t="array" ref="C327:C327">IF(B327="","",IFERROR(INDEX('CLM &amp; IM Mapping'!$B$2:$B$270,MATCH(TRIM(B327),'CLM &amp; IM Mapping'!$A$2:$A$270,0)),"Not Mapped"))</f>
        <v>Silambarasan E</v>
      </c>
      <c r="D327" s="14" t="str">
        <f aca="false" t="array" ref="D327:D327">IF(B327="","",IFERROR(INDEX('CLM &amp; IM Mapping'!$C$2:$C$270,MATCH(TRIM(B327),'CLM &amp; IM Mapping'!$A$2:$A$270,0)),"Not Mapped"))</f>
        <v>Arivind S</v>
      </c>
      <c r="E327" s="14" t="n">
        <v>0</v>
      </c>
      <c r="F327" s="14" t="n">
        <v>0</v>
      </c>
      <c r="G327" s="14" t="n">
        <v>0</v>
      </c>
      <c r="H327" s="14" t="n">
        <v>38</v>
      </c>
      <c r="I327" s="14" t="n">
        <v>118</v>
      </c>
      <c r="J327" s="14" t="n">
        <v>0</v>
      </c>
      <c r="K327" s="14" t="n">
        <v>156</v>
      </c>
      <c r="L327" s="14" t="n">
        <v>156</v>
      </c>
      <c r="M327" s="12"/>
      <c r="N327" s="11"/>
      <c r="O327" s="23"/>
      <c r="P327" s="23"/>
      <c r="Q327" s="23"/>
      <c r="R327" s="23"/>
      <c r="S327" s="23"/>
      <c r="T327" s="23"/>
      <c r="U327" s="23"/>
      <c r="V327" s="23"/>
      <c r="W327" s="23"/>
      <c r="X327" s="23"/>
      <c r="Y327" s="23"/>
      <c r="Z327" s="23"/>
    </row>
    <row r="328" customFormat="false" ht="15.75" hidden="false" customHeight="true" outlineLevel="0" collapsed="false">
      <c r="A328" s="52" t="n">
        <v>46304</v>
      </c>
      <c r="B328" s="14" t="s">
        <v>159</v>
      </c>
      <c r="C328" s="14" t="str">
        <f aca="false" t="array" ref="C328:C328">IF(B328="","",IFERROR(INDEX('CLM &amp; IM Mapping'!$B$2:$B$270,MATCH(TRIM(B328),'CLM &amp; IM Mapping'!$A$2:$A$270,0)),"Not Mapped"))</f>
        <v>Rizwan Ahmed</v>
      </c>
      <c r="D328" s="14" t="str">
        <f aca="false" t="array" ref="D328:D328">IF(B328="","",IFERROR(INDEX('CLM &amp; IM Mapping'!$C$2:$C$270,MATCH(TRIM(B328),'CLM &amp; IM Mapping'!$A$2:$A$270,0)),"Not Mapped"))</f>
        <v>Un Mapped</v>
      </c>
      <c r="E328" s="14" t="n">
        <v>6</v>
      </c>
      <c r="F328" s="14" t="n">
        <v>42</v>
      </c>
      <c r="G328" s="14" t="n">
        <v>0</v>
      </c>
      <c r="H328" s="14" t="n">
        <v>45</v>
      </c>
      <c r="I328" s="14" t="n">
        <v>62</v>
      </c>
      <c r="J328" s="14" t="n">
        <v>0</v>
      </c>
      <c r="K328" s="14" t="n">
        <v>155</v>
      </c>
      <c r="L328" s="14" t="n">
        <v>112</v>
      </c>
      <c r="M328" s="12"/>
      <c r="N328" s="11"/>
      <c r="O328" s="23"/>
      <c r="P328" s="23"/>
      <c r="Q328" s="23"/>
      <c r="R328" s="23"/>
      <c r="S328" s="23"/>
      <c r="T328" s="23"/>
      <c r="U328" s="23"/>
      <c r="V328" s="23"/>
      <c r="W328" s="23"/>
      <c r="X328" s="23"/>
      <c r="Y328" s="23"/>
      <c r="Z328" s="23"/>
    </row>
    <row r="329" customFormat="false" ht="15.75" hidden="false" customHeight="true" outlineLevel="0" collapsed="false">
      <c r="A329" s="52" t="n">
        <v>46304</v>
      </c>
      <c r="B329" s="14" t="s">
        <v>375</v>
      </c>
      <c r="C329" s="14" t="str">
        <f aca="false" t="array" ref="C329:C329">IF(B329="","",IFERROR(INDEX('CLM &amp; IM Mapping'!$B$2:$B$270,MATCH(TRIM(B329),'CLM &amp; IM Mapping'!$A$2:$A$270,0)),"Not Mapped"))</f>
        <v>Saddam Hussain</v>
      </c>
      <c r="D329" s="14" t="str">
        <f aca="false" t="array" ref="D329:D329">IF(B329="","",IFERROR(INDEX('CLM &amp; IM Mapping'!$C$2:$C$270,MATCH(TRIM(B329),'CLM &amp; IM Mapping'!$A$2:$A$270,0)),"Not Mapped"))</f>
        <v>Un Mapped</v>
      </c>
      <c r="E329" s="14" t="n">
        <v>5</v>
      </c>
      <c r="F329" s="14" t="n">
        <v>50</v>
      </c>
      <c r="G329" s="14" t="n">
        <v>0</v>
      </c>
      <c r="H329" s="14" t="n">
        <v>64</v>
      </c>
      <c r="I329" s="14" t="n">
        <v>30</v>
      </c>
      <c r="J329" s="14" t="n">
        <v>5</v>
      </c>
      <c r="K329" s="14" t="n">
        <v>154</v>
      </c>
      <c r="L329" s="14" t="n">
        <v>139</v>
      </c>
      <c r="M329" s="12"/>
      <c r="N329" s="11"/>
      <c r="O329" s="23"/>
      <c r="P329" s="23"/>
      <c r="Q329" s="23"/>
      <c r="R329" s="23"/>
      <c r="S329" s="23"/>
      <c r="T329" s="23"/>
      <c r="U329" s="23"/>
      <c r="V329" s="23"/>
      <c r="W329" s="23"/>
      <c r="X329" s="23"/>
      <c r="Y329" s="23"/>
      <c r="Z329" s="23"/>
    </row>
    <row r="330" customFormat="false" ht="15.75" hidden="false" customHeight="true" outlineLevel="0" collapsed="false">
      <c r="A330" s="52" t="n">
        <v>46304</v>
      </c>
      <c r="B330" s="14" t="s">
        <v>267</v>
      </c>
      <c r="C330" s="14" t="str">
        <f aca="false" t="array" ref="C330:C330">IF(B330="","",IFERROR(INDEX('CLM &amp; IM Mapping'!$B$2:$B$270,MATCH(TRIM(B330),'CLM &amp; IM Mapping'!$A$2:$A$270,0)),"Not Mapped"))</f>
        <v>Balaji G</v>
      </c>
      <c r="D330" s="14" t="str">
        <f aca="false" t="array" ref="D330:D330">IF(B330="","",IFERROR(INDEX('CLM &amp; IM Mapping'!$C$2:$C$270,MATCH(TRIM(B330),'CLM &amp; IM Mapping'!$A$2:$A$270,0)),"Not Mapped"))</f>
        <v>Mohammed Akbar</v>
      </c>
      <c r="E330" s="14" t="n">
        <v>3</v>
      </c>
      <c r="F330" s="14" t="n">
        <v>83</v>
      </c>
      <c r="G330" s="14" t="n">
        <v>12</v>
      </c>
      <c r="H330" s="14" t="n">
        <v>4</v>
      </c>
      <c r="I330" s="14" t="n">
        <v>0</v>
      </c>
      <c r="J330" s="14" t="n">
        <v>51</v>
      </c>
      <c r="K330" s="14" t="n">
        <v>153</v>
      </c>
      <c r="L330" s="14" t="n">
        <v>153</v>
      </c>
      <c r="M330" s="12"/>
      <c r="N330" s="11"/>
      <c r="O330" s="23"/>
      <c r="P330" s="23"/>
      <c r="Q330" s="23"/>
      <c r="R330" s="23"/>
      <c r="S330" s="23"/>
      <c r="T330" s="23"/>
      <c r="U330" s="23"/>
      <c r="V330" s="23"/>
      <c r="W330" s="23"/>
      <c r="X330" s="23"/>
      <c r="Y330" s="23"/>
      <c r="Z330" s="23"/>
    </row>
    <row r="331" customFormat="false" ht="15.75" hidden="false" customHeight="true" outlineLevel="0" collapsed="false">
      <c r="A331" s="52" t="n">
        <v>46304</v>
      </c>
      <c r="B331" s="14" t="s">
        <v>294</v>
      </c>
      <c r="C331" s="14" t="str">
        <f aca="false" t="array" ref="C331:C331">IF(B331="","",IFERROR(INDEX('CLM &amp; IM Mapping'!$B$2:$B$270,MATCH(TRIM(B331),'CLM &amp; IM Mapping'!$A$2:$A$270,0)),"Not Mapped"))</f>
        <v>Manoj Kj</v>
      </c>
      <c r="D331" s="14" t="str">
        <f aca="false" t="array" ref="D331:D331">IF(B331="","",IFERROR(INDEX('CLM &amp; IM Mapping'!$C$2:$C$270,MATCH(TRIM(B331),'CLM &amp; IM Mapping'!$A$2:$A$270,0)),"Not Mapped"))</f>
        <v>Srittam Dhal</v>
      </c>
      <c r="E331" s="14" t="n">
        <v>29</v>
      </c>
      <c r="F331" s="14" t="n">
        <v>87</v>
      </c>
      <c r="G331" s="14" t="n">
        <v>10</v>
      </c>
      <c r="H331" s="14" t="n">
        <v>20</v>
      </c>
      <c r="I331" s="14" t="n">
        <v>7</v>
      </c>
      <c r="J331" s="14" t="n">
        <v>0</v>
      </c>
      <c r="K331" s="14" t="n">
        <v>153</v>
      </c>
      <c r="L331" s="14" t="n">
        <v>153</v>
      </c>
      <c r="M331" s="12"/>
      <c r="N331" s="11"/>
      <c r="O331" s="23"/>
      <c r="P331" s="23"/>
      <c r="Q331" s="23"/>
      <c r="R331" s="23"/>
      <c r="S331" s="23"/>
      <c r="T331" s="23"/>
      <c r="U331" s="23"/>
      <c r="V331" s="23"/>
      <c r="W331" s="23"/>
      <c r="X331" s="23"/>
      <c r="Y331" s="23"/>
      <c r="Z331" s="23"/>
    </row>
    <row r="332" customFormat="false" ht="15.75" hidden="false" customHeight="true" outlineLevel="0" collapsed="false">
      <c r="A332" s="52" t="n">
        <v>46304</v>
      </c>
      <c r="B332" s="14" t="s">
        <v>350</v>
      </c>
      <c r="C332" s="14" t="str">
        <f aca="false" t="array" ref="C332:C332">IF(B332="","",IFERROR(INDEX('CLM &amp; IM Mapping'!$B$2:$B$270,MATCH(TRIM(B332),'CLM &amp; IM Mapping'!$A$2:$A$270,0)),"Not Mapped"))</f>
        <v>Vishnu V</v>
      </c>
      <c r="D332" s="14" t="str">
        <f aca="false" t="array" ref="D332:D332">IF(B332="","",IFERROR(INDEX('CLM &amp; IM Mapping'!$C$2:$C$270,MATCH(TRIM(B332),'CLM &amp; IM Mapping'!$A$2:$A$270,0)),"Not Mapped"))</f>
        <v>Arivind S</v>
      </c>
      <c r="E332" s="14" t="n">
        <v>9</v>
      </c>
      <c r="F332" s="14" t="n">
        <v>94</v>
      </c>
      <c r="G332" s="14" t="n">
        <v>38</v>
      </c>
      <c r="H332" s="14" t="n">
        <v>1</v>
      </c>
      <c r="I332" s="14" t="n">
        <v>4</v>
      </c>
      <c r="J332" s="14" t="n">
        <v>5</v>
      </c>
      <c r="K332" s="14" t="n">
        <v>151</v>
      </c>
      <c r="L332" s="14" t="n">
        <v>115</v>
      </c>
      <c r="M332" s="12"/>
      <c r="N332" s="11"/>
      <c r="O332" s="23"/>
      <c r="P332" s="23"/>
      <c r="Q332" s="23"/>
      <c r="R332" s="23"/>
      <c r="S332" s="23"/>
      <c r="T332" s="23"/>
      <c r="U332" s="23"/>
      <c r="V332" s="23"/>
      <c r="W332" s="23"/>
      <c r="X332" s="23"/>
      <c r="Y332" s="23"/>
      <c r="Z332" s="23"/>
    </row>
    <row r="333" customFormat="false" ht="15.75" hidden="false" customHeight="true" outlineLevel="0" collapsed="false">
      <c r="A333" s="52" t="n">
        <v>46304</v>
      </c>
      <c r="B333" s="14" t="s">
        <v>53</v>
      </c>
      <c r="C333" s="14" t="str">
        <f aca="false" t="array" ref="C333:C333">IF(B333="","",IFERROR(INDEX('CLM &amp; IM Mapping'!$B$2:$B$270,MATCH(TRIM(B333),'CLM &amp; IM Mapping'!$A$2:$A$270,0)),"Not Mapped"))</f>
        <v>Richard Harris</v>
      </c>
      <c r="D333" s="14" t="str">
        <f aca="false" t="array" ref="D333:D333">IF(B333="","",IFERROR(INDEX('CLM &amp; IM Mapping'!$C$2:$C$270,MATCH(TRIM(B333),'CLM &amp; IM Mapping'!$A$2:$A$270,0)),"Not Mapped"))</f>
        <v>Kantha Kumar</v>
      </c>
      <c r="E333" s="14" t="n">
        <v>37</v>
      </c>
      <c r="F333" s="14" t="n">
        <v>76</v>
      </c>
      <c r="G333" s="14" t="n">
        <v>0</v>
      </c>
      <c r="H333" s="14" t="n">
        <v>36</v>
      </c>
      <c r="I333" s="14" t="n">
        <v>0</v>
      </c>
      <c r="J333" s="14" t="n">
        <v>0</v>
      </c>
      <c r="K333" s="14" t="n">
        <v>149</v>
      </c>
      <c r="L333" s="14" t="n">
        <v>136</v>
      </c>
      <c r="M333" s="12"/>
      <c r="N333" s="11"/>
      <c r="O333" s="23"/>
      <c r="P333" s="23"/>
      <c r="Q333" s="23"/>
      <c r="R333" s="23"/>
      <c r="S333" s="23"/>
      <c r="T333" s="23"/>
      <c r="U333" s="23"/>
      <c r="V333" s="23"/>
      <c r="W333" s="23"/>
      <c r="X333" s="23"/>
      <c r="Y333" s="23"/>
      <c r="Z333" s="23"/>
    </row>
    <row r="334" customFormat="false" ht="15.75" hidden="false" customHeight="true" outlineLevel="0" collapsed="false">
      <c r="A334" s="52" t="n">
        <v>46304</v>
      </c>
      <c r="B334" s="14" t="s">
        <v>319</v>
      </c>
      <c r="C334" s="14" t="str">
        <f aca="false" t="array" ref="C334:C334">IF(B334="","",IFERROR(INDEX('CLM &amp; IM Mapping'!$B$2:$B$270,MATCH(TRIM(B334),'CLM &amp; IM Mapping'!$A$2:$A$270,0)),"Not Mapped"))</f>
        <v>John Britto</v>
      </c>
      <c r="D334" s="14" t="str">
        <f aca="false" t="array" ref="D334:D334">IF(B334="","",IFERROR(INDEX('CLM &amp; IM Mapping'!$C$2:$C$270,MATCH(TRIM(B334),'CLM &amp; IM Mapping'!$A$2:$A$270,0)),"Not Mapped"))</f>
        <v>Aravind S</v>
      </c>
      <c r="E334" s="14" t="n">
        <v>0</v>
      </c>
      <c r="F334" s="14" t="n">
        <v>0</v>
      </c>
      <c r="G334" s="14" t="n">
        <v>0</v>
      </c>
      <c r="H334" s="14" t="n">
        <v>6</v>
      </c>
      <c r="I334" s="14" t="n">
        <v>34</v>
      </c>
      <c r="J334" s="14" t="n">
        <v>105</v>
      </c>
      <c r="K334" s="14" t="n">
        <v>145</v>
      </c>
      <c r="L334" s="14" t="n">
        <v>143</v>
      </c>
      <c r="M334" s="12" t="s">
        <v>819</v>
      </c>
      <c r="N334" s="11"/>
      <c r="O334" s="23"/>
      <c r="P334" s="23"/>
      <c r="Q334" s="23"/>
      <c r="R334" s="23"/>
      <c r="S334" s="23"/>
      <c r="T334" s="23"/>
      <c r="U334" s="23"/>
      <c r="V334" s="23"/>
      <c r="W334" s="23"/>
      <c r="X334" s="23"/>
      <c r="Y334" s="23"/>
      <c r="Z334" s="23"/>
    </row>
    <row r="335" customFormat="false" ht="15.75" hidden="false" customHeight="true" outlineLevel="0" collapsed="false">
      <c r="A335" s="52" t="n">
        <v>46304</v>
      </c>
      <c r="B335" s="14" t="s">
        <v>397</v>
      </c>
      <c r="C335" s="14" t="str">
        <f aca="false" t="array" ref="C335:C335">IF(B335="","",IFERROR(INDEX('CLM &amp; IM Mapping'!$B$2:$B$270,MATCH(TRIM(B335),'CLM &amp; IM Mapping'!$A$2:$A$270,0)),"Not Mapped"))</f>
        <v>Akshay P</v>
      </c>
      <c r="D335" s="14" t="str">
        <f aca="false" t="array" ref="D335:D335">IF(B335="","",IFERROR(INDEX('CLM &amp; IM Mapping'!$C$2:$C$270,MATCH(TRIM(B335),'CLM &amp; IM Mapping'!$A$2:$A$270,0)),"Not Mapped"))</f>
        <v>Srittam Dhal</v>
      </c>
      <c r="E335" s="14" t="n">
        <v>42</v>
      </c>
      <c r="F335" s="14" t="n">
        <v>39</v>
      </c>
      <c r="G335" s="14" t="n">
        <v>17</v>
      </c>
      <c r="H335" s="14" t="n">
        <v>23</v>
      </c>
      <c r="I335" s="14" t="n">
        <v>11</v>
      </c>
      <c r="J335" s="14" t="n">
        <v>11</v>
      </c>
      <c r="K335" s="14" t="n">
        <v>143</v>
      </c>
      <c r="L335" s="14" t="n">
        <v>74</v>
      </c>
      <c r="M335" s="12"/>
      <c r="N335" s="11"/>
      <c r="O335" s="23"/>
      <c r="P335" s="23"/>
      <c r="Q335" s="23"/>
      <c r="R335" s="23"/>
      <c r="S335" s="23"/>
      <c r="T335" s="23"/>
      <c r="U335" s="23"/>
      <c r="V335" s="23"/>
      <c r="W335" s="23"/>
      <c r="X335" s="23"/>
      <c r="Y335" s="23"/>
      <c r="Z335" s="23"/>
    </row>
    <row r="336" customFormat="false" ht="15.75" hidden="false" customHeight="true" outlineLevel="0" collapsed="false">
      <c r="A336" s="52" t="n">
        <v>46304</v>
      </c>
      <c r="B336" s="14" t="s">
        <v>317</v>
      </c>
      <c r="C336" s="14" t="str">
        <f aca="false" t="array" ref="C336:C336">IF(B336="","",IFERROR(INDEX('CLM &amp; IM Mapping'!$B$2:$B$270,MATCH(TRIM(B336),'CLM &amp; IM Mapping'!$A$2:$A$270,0)),"Not Mapped"))</f>
        <v>Akshay P</v>
      </c>
      <c r="D336" s="14" t="str">
        <f aca="false" t="array" ref="D336:D336">IF(B336="","",IFERROR(INDEX('CLM &amp; IM Mapping'!$C$2:$C$270,MATCH(TRIM(B336),'CLM &amp; IM Mapping'!$A$2:$A$270,0)),"Not Mapped"))</f>
        <v>Srittam Dhal</v>
      </c>
      <c r="E336" s="14" t="n">
        <v>34</v>
      </c>
      <c r="F336" s="14" t="n">
        <v>59</v>
      </c>
      <c r="G336" s="14" t="n">
        <v>13</v>
      </c>
      <c r="H336" s="14" t="n">
        <v>31</v>
      </c>
      <c r="I336" s="14" t="n">
        <v>0</v>
      </c>
      <c r="J336" s="14" t="n">
        <v>6</v>
      </c>
      <c r="K336" s="14" t="n">
        <v>143</v>
      </c>
      <c r="L336" s="14" t="n">
        <v>125</v>
      </c>
      <c r="M336" s="12"/>
      <c r="N336" s="11"/>
      <c r="O336" s="23"/>
      <c r="P336" s="23"/>
      <c r="Q336" s="23"/>
      <c r="R336" s="23"/>
      <c r="S336" s="23"/>
      <c r="T336" s="23"/>
      <c r="U336" s="23"/>
      <c r="V336" s="23"/>
      <c r="W336" s="23"/>
      <c r="X336" s="23"/>
      <c r="Y336" s="23"/>
      <c r="Z336" s="23"/>
    </row>
    <row r="337" customFormat="false" ht="15.75" hidden="false" customHeight="true" outlineLevel="0" collapsed="false">
      <c r="A337" s="52" t="n">
        <v>46304</v>
      </c>
      <c r="B337" s="14" t="s">
        <v>162</v>
      </c>
      <c r="C337" s="14" t="str">
        <f aca="false" t="array" ref="C337:C337">IF(B337="","",IFERROR(INDEX('CLM &amp; IM Mapping'!$B$2:$B$270,MATCH(TRIM(B337),'CLM &amp; IM Mapping'!$A$2:$A$270,0)),"Not Mapped"))</f>
        <v>Ashwath S</v>
      </c>
      <c r="D337" s="14" t="str">
        <f aca="false" t="array" ref="D337:D337">IF(B337="","",IFERROR(INDEX('CLM &amp; IM Mapping'!$C$2:$C$270,MATCH(TRIM(B337),'CLM &amp; IM Mapping'!$A$2:$A$270,0)),"Not Mapped"))</f>
        <v>Kantha Kumar</v>
      </c>
      <c r="E337" s="14" t="n">
        <v>32</v>
      </c>
      <c r="F337" s="14" t="n">
        <v>88</v>
      </c>
      <c r="G337" s="14" t="n">
        <v>12</v>
      </c>
      <c r="H337" s="14" t="n">
        <v>2</v>
      </c>
      <c r="I337" s="14" t="n">
        <v>2</v>
      </c>
      <c r="J337" s="14" t="n">
        <v>6</v>
      </c>
      <c r="K337" s="14" t="n">
        <v>142</v>
      </c>
      <c r="L337" s="14" t="n">
        <v>127</v>
      </c>
      <c r="M337" s="12"/>
      <c r="N337" s="11"/>
      <c r="O337" s="23"/>
      <c r="P337" s="23"/>
      <c r="Q337" s="23"/>
      <c r="R337" s="23"/>
      <c r="S337" s="23"/>
      <c r="T337" s="23"/>
      <c r="U337" s="23"/>
      <c r="V337" s="23"/>
      <c r="W337" s="23"/>
      <c r="X337" s="23"/>
      <c r="Y337" s="23"/>
      <c r="Z337" s="23"/>
    </row>
    <row r="338" customFormat="false" ht="15.75" hidden="false" customHeight="true" outlineLevel="0" collapsed="false">
      <c r="A338" s="52" t="n">
        <v>46304</v>
      </c>
      <c r="B338" s="14" t="s">
        <v>293</v>
      </c>
      <c r="C338" s="14" t="str">
        <f aca="false" t="array" ref="C338:C338">IF(B338="","",IFERROR(INDEX('CLM &amp; IM Mapping'!$B$2:$B$270,MATCH(TRIM(B338),'CLM &amp; IM Mapping'!$A$2:$A$270,0)),"Not Mapped"))</f>
        <v>Suhas N</v>
      </c>
      <c r="D338" s="14" t="str">
        <f aca="false" t="array" ref="D338:D338">IF(B338="","",IFERROR(INDEX('CLM &amp; IM Mapping'!$C$2:$C$270,MATCH(TRIM(B338),'CLM &amp; IM Mapping'!$A$2:$A$270,0)),"Not Mapped"))</f>
        <v>Aravind S</v>
      </c>
      <c r="E338" s="14" t="n">
        <v>17</v>
      </c>
      <c r="F338" s="14" t="n">
        <v>57</v>
      </c>
      <c r="G338" s="14" t="n">
        <v>26</v>
      </c>
      <c r="H338" s="14" t="n">
        <v>17</v>
      </c>
      <c r="I338" s="14" t="n">
        <v>1</v>
      </c>
      <c r="J338" s="14" t="n">
        <v>21</v>
      </c>
      <c r="K338" s="14" t="n">
        <v>139</v>
      </c>
      <c r="L338" s="14" t="n">
        <v>134</v>
      </c>
      <c r="M338" s="12" t="s">
        <v>839</v>
      </c>
      <c r="N338" s="11"/>
      <c r="O338" s="23"/>
      <c r="P338" s="23"/>
      <c r="Q338" s="23"/>
      <c r="R338" s="23"/>
      <c r="S338" s="23"/>
      <c r="T338" s="23"/>
      <c r="U338" s="23"/>
      <c r="V338" s="23"/>
      <c r="W338" s="23"/>
      <c r="X338" s="23"/>
      <c r="Y338" s="23"/>
      <c r="Z338" s="23"/>
    </row>
    <row r="339" customFormat="false" ht="15.75" hidden="false" customHeight="true" outlineLevel="0" collapsed="false">
      <c r="A339" s="52" t="n">
        <v>46304</v>
      </c>
      <c r="B339" s="14" t="s">
        <v>384</v>
      </c>
      <c r="C339" s="14" t="str">
        <f aca="false" t="array" ref="C339:C339">IF(B339="","",IFERROR(INDEX('CLM &amp; IM Mapping'!$B$2:$B$270,MATCH(TRIM(B339),'CLM &amp; IM Mapping'!$A$2:$A$270,0)),"Not Mapped"))</f>
        <v>Saddam Hussain</v>
      </c>
      <c r="D339" s="14" t="str">
        <f aca="false" t="array" ref="D339:D339">IF(B339="","",IFERROR(INDEX('CLM &amp; IM Mapping'!$C$2:$C$270,MATCH(TRIM(B339),'CLM &amp; IM Mapping'!$A$2:$A$270,0)),"Not Mapped"))</f>
        <v>Un Mapped</v>
      </c>
      <c r="E339" s="14" t="n">
        <v>14</v>
      </c>
      <c r="F339" s="14" t="n">
        <v>67</v>
      </c>
      <c r="G339" s="14" t="n">
        <v>0</v>
      </c>
      <c r="H339" s="14" t="n">
        <v>0</v>
      </c>
      <c r="I339" s="14" t="n">
        <v>10</v>
      </c>
      <c r="J339" s="14" t="n">
        <v>47</v>
      </c>
      <c r="K339" s="14" t="n">
        <v>138</v>
      </c>
      <c r="L339" s="14" t="n">
        <v>138</v>
      </c>
      <c r="M339" s="12"/>
      <c r="N339" s="11"/>
      <c r="O339" s="23"/>
      <c r="P339" s="23"/>
      <c r="Q339" s="23"/>
      <c r="R339" s="23"/>
      <c r="S339" s="23"/>
      <c r="T339" s="23"/>
      <c r="U339" s="23"/>
      <c r="V339" s="23"/>
      <c r="W339" s="23"/>
      <c r="X339" s="23"/>
      <c r="Y339" s="23"/>
      <c r="Z339" s="23"/>
    </row>
    <row r="340" customFormat="false" ht="15.75" hidden="false" customHeight="true" outlineLevel="0" collapsed="false">
      <c r="A340" s="52" t="n">
        <v>46304</v>
      </c>
      <c r="B340" s="14" t="s">
        <v>526</v>
      </c>
      <c r="C340" s="14" t="str">
        <f aca="false" t="array" ref="C340:C340">IF(B340="","",IFERROR(INDEX('CLM &amp; IM Mapping'!$B$2:$B$270,MATCH(TRIM(B340),'CLM &amp; IM Mapping'!$A$2:$A$270,0)),"Not Mapped"))</f>
        <v>Sundaresh S</v>
      </c>
      <c r="D340" s="14" t="str">
        <f aca="false" t="array" ref="D340:D340">IF(B340="","",IFERROR(INDEX('CLM &amp; IM Mapping'!$C$2:$C$270,MATCH(TRIM(B340),'CLM &amp; IM Mapping'!$A$2:$A$270,0)),"Not Mapped"))</f>
        <v>Un Mapped</v>
      </c>
      <c r="E340" s="14" t="n">
        <v>0</v>
      </c>
      <c r="F340" s="14" t="n">
        <v>34</v>
      </c>
      <c r="G340" s="14" t="n">
        <v>0</v>
      </c>
      <c r="H340" s="14" t="n">
        <v>12</v>
      </c>
      <c r="I340" s="14" t="n">
        <v>6</v>
      </c>
      <c r="J340" s="14" t="n">
        <v>83</v>
      </c>
      <c r="K340" s="14" t="n">
        <v>135</v>
      </c>
      <c r="L340" s="14" t="n">
        <v>134</v>
      </c>
      <c r="M340" s="12"/>
      <c r="N340" s="11"/>
      <c r="O340" s="23"/>
      <c r="P340" s="23"/>
      <c r="Q340" s="23"/>
      <c r="R340" s="23"/>
      <c r="S340" s="23"/>
      <c r="T340" s="23"/>
      <c r="U340" s="23"/>
      <c r="V340" s="23"/>
      <c r="W340" s="23"/>
      <c r="X340" s="23"/>
      <c r="Y340" s="23"/>
      <c r="Z340" s="23"/>
    </row>
    <row r="341" customFormat="false" ht="15.75" hidden="false" customHeight="true" outlineLevel="0" collapsed="false">
      <c r="A341" s="52" t="n">
        <v>46304</v>
      </c>
      <c r="B341" s="14" t="s">
        <v>426</v>
      </c>
      <c r="C341" s="14" t="str">
        <f aca="false" t="array" ref="C341:C341">IF(B341="","",IFERROR(INDEX('CLM &amp; IM Mapping'!$B$2:$B$270,MATCH(TRIM(B341),'CLM &amp; IM Mapping'!$A$2:$A$270,0)),"Not Mapped"))</f>
        <v>Silambarasan E</v>
      </c>
      <c r="D341" s="14" t="str">
        <f aca="false" t="array" ref="D341:D341">IF(B341="","",IFERROR(INDEX('CLM &amp; IM Mapping'!$C$2:$C$270,MATCH(TRIM(B341),'CLM &amp; IM Mapping'!$A$2:$A$270,0)),"Not Mapped"))</f>
        <v>Arivind S</v>
      </c>
      <c r="E341" s="14" t="n">
        <v>1</v>
      </c>
      <c r="F341" s="14" t="n">
        <v>22</v>
      </c>
      <c r="G341" s="14" t="n">
        <v>3</v>
      </c>
      <c r="H341" s="14" t="n">
        <v>74</v>
      </c>
      <c r="I341" s="14" t="n">
        <v>12</v>
      </c>
      <c r="J341" s="14" t="n">
        <v>22</v>
      </c>
      <c r="K341" s="14" t="n">
        <v>134</v>
      </c>
      <c r="L341" s="14" t="n">
        <v>125</v>
      </c>
      <c r="M341" s="12"/>
      <c r="N341" s="11"/>
      <c r="O341" s="23"/>
      <c r="P341" s="23"/>
      <c r="Q341" s="23"/>
      <c r="R341" s="23"/>
      <c r="S341" s="23"/>
      <c r="T341" s="23"/>
      <c r="U341" s="23"/>
      <c r="V341" s="23"/>
      <c r="W341" s="23"/>
      <c r="X341" s="23"/>
      <c r="Y341" s="23"/>
      <c r="Z341" s="23"/>
    </row>
    <row r="342" customFormat="false" ht="15.75" hidden="false" customHeight="true" outlineLevel="0" collapsed="false">
      <c r="A342" s="52" t="n">
        <v>46304</v>
      </c>
      <c r="B342" s="14" t="s">
        <v>362</v>
      </c>
      <c r="C342" s="14" t="str">
        <f aca="false" t="array" ref="C342:C342">IF(B342="","",IFERROR(INDEX('CLM &amp; IM Mapping'!$B$2:$B$270,MATCH(TRIM(B342),'CLM &amp; IM Mapping'!$A$2:$A$270,0)),"Not Mapped"))</f>
        <v>Ashwath S</v>
      </c>
      <c r="D342" s="14" t="str">
        <f aca="false" t="array" ref="D342:D342">IF(B342="","",IFERROR(INDEX('CLM &amp; IM Mapping'!$C$2:$C$270,MATCH(TRIM(B342),'CLM &amp; IM Mapping'!$A$2:$A$270,0)),"Not Mapped"))</f>
        <v>Kantha Kumar</v>
      </c>
      <c r="E342" s="14" t="n">
        <v>38</v>
      </c>
      <c r="F342" s="14" t="n">
        <v>17</v>
      </c>
      <c r="G342" s="14" t="n">
        <v>70</v>
      </c>
      <c r="H342" s="14" t="n">
        <v>2</v>
      </c>
      <c r="I342" s="14" t="n">
        <v>0</v>
      </c>
      <c r="J342" s="14" t="n">
        <v>6</v>
      </c>
      <c r="K342" s="14" t="n">
        <v>133</v>
      </c>
      <c r="L342" s="14" t="n">
        <v>113</v>
      </c>
      <c r="M342" s="12"/>
      <c r="N342" s="11"/>
      <c r="O342" s="23"/>
      <c r="P342" s="23"/>
      <c r="Q342" s="23"/>
      <c r="R342" s="23"/>
      <c r="S342" s="23"/>
      <c r="T342" s="23"/>
      <c r="U342" s="23"/>
      <c r="V342" s="23"/>
      <c r="W342" s="23"/>
      <c r="X342" s="23"/>
      <c r="Y342" s="23"/>
      <c r="Z342" s="23"/>
    </row>
    <row r="343" customFormat="false" ht="15.75" hidden="false" customHeight="true" outlineLevel="0" collapsed="false">
      <c r="A343" s="52" t="n">
        <v>46304</v>
      </c>
      <c r="B343" s="14" t="s">
        <v>309</v>
      </c>
      <c r="C343" s="14" t="str">
        <f aca="false" t="array" ref="C343:C343">IF(B343="","",IFERROR(INDEX('CLM &amp; IM Mapping'!$B$2:$B$270,MATCH(TRIM(B343),'CLM &amp; IM Mapping'!$A$2:$A$270,0)),"Not Mapped"))</f>
        <v>Ashwath S</v>
      </c>
      <c r="D343" s="14" t="str">
        <f aca="false" t="array" ref="D343:D343">IF(B343="","",IFERROR(INDEX('CLM &amp; IM Mapping'!$C$2:$C$270,MATCH(TRIM(B343),'CLM &amp; IM Mapping'!$A$2:$A$270,0)),"Not Mapped"))</f>
        <v>Kantha Kumar</v>
      </c>
      <c r="E343" s="14" t="n">
        <v>3</v>
      </c>
      <c r="F343" s="14" t="n">
        <v>15</v>
      </c>
      <c r="G343" s="14" t="n">
        <v>26</v>
      </c>
      <c r="H343" s="14" t="n">
        <v>9</v>
      </c>
      <c r="I343" s="14" t="n">
        <v>68</v>
      </c>
      <c r="J343" s="14" t="n">
        <v>11</v>
      </c>
      <c r="K343" s="14" t="n">
        <v>132</v>
      </c>
      <c r="L343" s="14" t="n">
        <v>118</v>
      </c>
      <c r="M343" s="12"/>
      <c r="N343" s="11"/>
      <c r="O343" s="23"/>
      <c r="P343" s="23"/>
      <c r="Q343" s="23"/>
      <c r="R343" s="23"/>
      <c r="S343" s="23"/>
      <c r="T343" s="23"/>
      <c r="U343" s="23"/>
      <c r="V343" s="23"/>
      <c r="W343" s="23"/>
      <c r="X343" s="23"/>
      <c r="Y343" s="23"/>
      <c r="Z343" s="23"/>
    </row>
    <row r="344" customFormat="false" ht="15.75" hidden="false" customHeight="true" outlineLevel="0" collapsed="false">
      <c r="A344" s="52" t="n">
        <v>46304</v>
      </c>
      <c r="B344" s="14" t="s">
        <v>314</v>
      </c>
      <c r="C344" s="14" t="str">
        <f aca="false" t="array" ref="C344:C344">IF(B344="","",IFERROR(INDEX('CLM &amp; IM Mapping'!$B$2:$B$270,MATCH(TRIM(B344),'CLM &amp; IM Mapping'!$A$2:$A$270,0)),"Not Mapped"))</f>
        <v>Basil Scariya</v>
      </c>
      <c r="D344" s="14" t="str">
        <f aca="false" t="array" ref="D344:D344">IF(B344="","",IFERROR(INDEX('CLM &amp; IM Mapping'!$C$2:$C$270,MATCH(TRIM(B344),'CLM &amp; IM Mapping'!$A$2:$A$270,0)),"Not Mapped"))</f>
        <v>Prakash BS</v>
      </c>
      <c r="E344" s="14" t="n">
        <v>1</v>
      </c>
      <c r="F344" s="14" t="n">
        <v>60</v>
      </c>
      <c r="G344" s="14" t="n">
        <v>0</v>
      </c>
      <c r="H344" s="14" t="n">
        <v>20</v>
      </c>
      <c r="I344" s="14" t="n">
        <v>0</v>
      </c>
      <c r="J344" s="14" t="n">
        <v>50</v>
      </c>
      <c r="K344" s="14" t="n">
        <v>131</v>
      </c>
      <c r="L344" s="14" t="n">
        <v>112</v>
      </c>
      <c r="M344" s="12" t="s">
        <v>844</v>
      </c>
      <c r="N344" s="11"/>
      <c r="O344" s="23"/>
      <c r="P344" s="23"/>
      <c r="Q344" s="23"/>
      <c r="R344" s="23"/>
      <c r="S344" s="23"/>
      <c r="T344" s="23"/>
      <c r="U344" s="23"/>
      <c r="V344" s="23"/>
      <c r="W344" s="23"/>
      <c r="X344" s="23"/>
      <c r="Y344" s="23"/>
      <c r="Z344" s="23"/>
    </row>
    <row r="345" customFormat="false" ht="15.75" hidden="false" customHeight="true" outlineLevel="0" collapsed="false">
      <c r="A345" s="52" t="n">
        <v>46304</v>
      </c>
      <c r="B345" s="14" t="s">
        <v>188</v>
      </c>
      <c r="C345" s="14" t="str">
        <f aca="false" t="array" ref="C345:C345">IF(B345="","",IFERROR(INDEX('CLM &amp; IM Mapping'!$B$2:$B$270,MATCH(TRIM(B345),'CLM &amp; IM Mapping'!$A$2:$A$270,0)),"Not Mapped"))</f>
        <v>Richard Harris</v>
      </c>
      <c r="D345" s="14" t="str">
        <f aca="false" t="array" ref="D345:D345">IF(B345="","",IFERROR(INDEX('CLM &amp; IM Mapping'!$C$2:$C$270,MATCH(TRIM(B345),'CLM &amp; IM Mapping'!$A$2:$A$270,0)),"Not Mapped"))</f>
        <v>Kantha Kumar</v>
      </c>
      <c r="E345" s="14" t="n">
        <v>0</v>
      </c>
      <c r="F345" s="14" t="n">
        <v>9</v>
      </c>
      <c r="G345" s="14" t="n">
        <v>4</v>
      </c>
      <c r="H345" s="14" t="n">
        <v>65</v>
      </c>
      <c r="I345" s="14" t="n">
        <v>7</v>
      </c>
      <c r="J345" s="14" t="n">
        <v>46</v>
      </c>
      <c r="K345" s="14" t="n">
        <v>131</v>
      </c>
      <c r="L345" s="14" t="n">
        <v>127</v>
      </c>
      <c r="M345" s="12"/>
      <c r="N345" s="11"/>
      <c r="O345" s="23"/>
      <c r="P345" s="23"/>
      <c r="Q345" s="23"/>
      <c r="R345" s="23"/>
      <c r="S345" s="23"/>
      <c r="T345" s="23"/>
      <c r="U345" s="23"/>
      <c r="V345" s="23"/>
      <c r="W345" s="23"/>
      <c r="X345" s="23"/>
      <c r="Y345" s="23"/>
      <c r="Z345" s="23"/>
    </row>
    <row r="346" customFormat="false" ht="15.75" hidden="false" customHeight="true" outlineLevel="0" collapsed="false">
      <c r="A346" s="52" t="n">
        <v>46304</v>
      </c>
      <c r="B346" s="14" t="s">
        <v>80</v>
      </c>
      <c r="C346" s="14" t="str">
        <f aca="false" t="array" ref="C346:C346">IF(B346="","",IFERROR(INDEX('CLM &amp; IM Mapping'!$B$2:$B$270,MATCH(TRIM(B346),'CLM &amp; IM Mapping'!$A$2:$A$270,0)),"Not Mapped"))</f>
        <v>Sundaresh S</v>
      </c>
      <c r="D346" s="14" t="str">
        <f aca="false" t="array" ref="D346:D346">IF(B346="","",IFERROR(INDEX('CLM &amp; IM Mapping'!$C$2:$C$270,MATCH(TRIM(B346),'CLM &amp; IM Mapping'!$A$2:$A$270,0)),"Not Mapped"))</f>
        <v>Un Mapped</v>
      </c>
      <c r="E346" s="14" t="n">
        <v>9</v>
      </c>
      <c r="F346" s="14" t="n">
        <v>14</v>
      </c>
      <c r="G346" s="14" t="n">
        <v>0</v>
      </c>
      <c r="H346" s="14" t="n">
        <v>6</v>
      </c>
      <c r="I346" s="14" t="n">
        <v>0</v>
      </c>
      <c r="J346" s="14" t="n">
        <v>99</v>
      </c>
      <c r="K346" s="14" t="n">
        <v>128</v>
      </c>
      <c r="L346" s="14" t="n">
        <v>128</v>
      </c>
      <c r="M346" s="12"/>
      <c r="N346" s="11"/>
      <c r="O346" s="23"/>
      <c r="P346" s="23"/>
      <c r="Q346" s="23"/>
      <c r="R346" s="23"/>
      <c r="S346" s="23"/>
      <c r="T346" s="23"/>
      <c r="U346" s="23"/>
      <c r="V346" s="23"/>
      <c r="W346" s="23"/>
      <c r="X346" s="23"/>
      <c r="Y346" s="23"/>
      <c r="Z346" s="23"/>
    </row>
    <row r="347" customFormat="false" ht="15.75" hidden="false" customHeight="true" outlineLevel="0" collapsed="false">
      <c r="A347" s="52" t="n">
        <v>46304</v>
      </c>
      <c r="B347" s="14" t="s">
        <v>129</v>
      </c>
      <c r="C347" s="14" t="str">
        <f aca="false" t="array" ref="C347:C347">IF(B347="","",IFERROR(INDEX('CLM &amp; IM Mapping'!$B$2:$B$270,MATCH(TRIM(B347),'CLM &amp; IM Mapping'!$A$2:$A$270,0)),"Not Mapped"))</f>
        <v>Ashwath S</v>
      </c>
      <c r="D347" s="14" t="str">
        <f aca="false" t="array" ref="D347:D347">IF(B347="","",IFERROR(INDEX('CLM &amp; IM Mapping'!$C$2:$C$270,MATCH(TRIM(B347),'CLM &amp; IM Mapping'!$A$2:$A$270,0)),"Not Mapped"))</f>
        <v>Kantha Kumar</v>
      </c>
      <c r="E347" s="14" t="n">
        <v>2</v>
      </c>
      <c r="F347" s="14" t="n">
        <v>2</v>
      </c>
      <c r="G347" s="14" t="n">
        <v>0</v>
      </c>
      <c r="H347" s="14" t="n">
        <v>8</v>
      </c>
      <c r="I347" s="14" t="n">
        <v>0</v>
      </c>
      <c r="J347" s="14" t="n">
        <v>115</v>
      </c>
      <c r="K347" s="14" t="n">
        <v>127</v>
      </c>
      <c r="L347" s="14" t="n">
        <v>127</v>
      </c>
      <c r="M347" s="12"/>
      <c r="N347" s="11"/>
      <c r="O347" s="23"/>
      <c r="P347" s="23"/>
      <c r="Q347" s="23"/>
      <c r="R347" s="23"/>
      <c r="S347" s="23"/>
      <c r="T347" s="23"/>
      <c r="U347" s="23"/>
      <c r="V347" s="23"/>
      <c r="W347" s="23"/>
      <c r="X347" s="23"/>
      <c r="Y347" s="23"/>
      <c r="Z347" s="23"/>
    </row>
    <row r="348" customFormat="false" ht="15.75" hidden="false" customHeight="true" outlineLevel="0" collapsed="false">
      <c r="A348" s="52" t="n">
        <v>46304</v>
      </c>
      <c r="B348" s="14" t="s">
        <v>320</v>
      </c>
      <c r="C348" s="14" t="str">
        <f aca="false" t="array" ref="C348:C348">IF(B348="","",IFERROR(INDEX('CLM &amp; IM Mapping'!$B$2:$B$270,MATCH(TRIM(B348),'CLM &amp; IM Mapping'!$A$2:$A$270,0)),"Not Mapped"))</f>
        <v>Ashwath S</v>
      </c>
      <c r="D348" s="14" t="str">
        <f aca="false" t="array" ref="D348:D348">IF(B348="","",IFERROR(INDEX('CLM &amp; IM Mapping'!$C$2:$C$270,MATCH(TRIM(B348),'CLM &amp; IM Mapping'!$A$2:$A$270,0)),"Not Mapped"))</f>
        <v>Kantha Kumar</v>
      </c>
      <c r="E348" s="14" t="n">
        <v>24</v>
      </c>
      <c r="F348" s="14" t="n">
        <v>17</v>
      </c>
      <c r="G348" s="14" t="n">
        <v>40</v>
      </c>
      <c r="H348" s="14" t="n">
        <v>10</v>
      </c>
      <c r="I348" s="14" t="n">
        <v>16</v>
      </c>
      <c r="J348" s="14" t="n">
        <v>19</v>
      </c>
      <c r="K348" s="14" t="n">
        <v>126</v>
      </c>
      <c r="L348" s="14" t="n">
        <v>120</v>
      </c>
      <c r="M348" s="12"/>
      <c r="N348" s="11"/>
      <c r="O348" s="23"/>
      <c r="P348" s="23"/>
      <c r="Q348" s="23"/>
      <c r="R348" s="23"/>
      <c r="S348" s="23"/>
      <c r="T348" s="23"/>
      <c r="U348" s="23"/>
      <c r="V348" s="23"/>
      <c r="W348" s="23"/>
      <c r="X348" s="23"/>
      <c r="Y348" s="23"/>
      <c r="Z348" s="23"/>
    </row>
    <row r="349" customFormat="false" ht="15.75" hidden="false" customHeight="true" outlineLevel="0" collapsed="false">
      <c r="A349" s="52" t="n">
        <v>46304</v>
      </c>
      <c r="B349" s="14" t="s">
        <v>449</v>
      </c>
      <c r="C349" s="14" t="str">
        <f aca="false" t="array" ref="C349:C349">IF(B349="","",IFERROR(INDEX('CLM &amp; IM Mapping'!$B$2:$B$270,MATCH(TRIM(B349),'CLM &amp; IM Mapping'!$A$2:$A$270,0)),"Not Mapped"))</f>
        <v>Manjunatha V</v>
      </c>
      <c r="D349" s="14" t="str">
        <f aca="false" t="array" ref="D349:D349">IF(B349="","",IFERROR(INDEX('CLM &amp; IM Mapping'!$C$2:$C$270,MATCH(TRIM(B349),'CLM &amp; IM Mapping'!$A$2:$A$270,0)),"Not Mapped"))</f>
        <v>Un Mapped</v>
      </c>
      <c r="E349" s="14" t="n">
        <v>14</v>
      </c>
      <c r="F349" s="14" t="n">
        <v>5</v>
      </c>
      <c r="G349" s="14" t="n">
        <v>2</v>
      </c>
      <c r="H349" s="14" t="n">
        <v>3</v>
      </c>
      <c r="I349" s="14" t="n">
        <v>35</v>
      </c>
      <c r="J349" s="14" t="n">
        <v>65</v>
      </c>
      <c r="K349" s="14" t="n">
        <v>124</v>
      </c>
      <c r="L349" s="14" t="n">
        <v>120</v>
      </c>
      <c r="M349" s="12"/>
      <c r="N349" s="11"/>
      <c r="O349" s="23"/>
      <c r="P349" s="23"/>
      <c r="Q349" s="23"/>
      <c r="R349" s="23"/>
      <c r="S349" s="23"/>
      <c r="T349" s="23"/>
      <c r="U349" s="23"/>
      <c r="V349" s="23"/>
      <c r="W349" s="23"/>
      <c r="X349" s="23"/>
      <c r="Y349" s="23"/>
      <c r="Z349" s="23"/>
    </row>
    <row r="350" customFormat="false" ht="15.75" hidden="false" customHeight="true" outlineLevel="0" collapsed="false">
      <c r="A350" s="52" t="n">
        <v>46304</v>
      </c>
      <c r="B350" s="14" t="s">
        <v>252</v>
      </c>
      <c r="C350" s="14" t="str">
        <f aca="false" t="array" ref="C350:C350">IF(B350="","",IFERROR(INDEX('CLM &amp; IM Mapping'!$B$2:$B$270,MATCH(TRIM(B350),'CLM &amp; IM Mapping'!$A$2:$A$270,0)),"Not Mapped"))</f>
        <v>Vishnu V</v>
      </c>
      <c r="D350" s="14" t="str">
        <f aca="false" t="array" ref="D350:D350">IF(B350="","",IFERROR(INDEX('CLM &amp; IM Mapping'!$C$2:$C$270,MATCH(TRIM(B350),'CLM &amp; IM Mapping'!$A$2:$A$270,0)),"Not Mapped"))</f>
        <v>Arivind S</v>
      </c>
      <c r="E350" s="14" t="n">
        <v>6</v>
      </c>
      <c r="F350" s="14" t="n">
        <v>74</v>
      </c>
      <c r="G350" s="14" t="n">
        <v>39</v>
      </c>
      <c r="H350" s="14" t="n">
        <v>0</v>
      </c>
      <c r="I350" s="14" t="n">
        <v>0</v>
      </c>
      <c r="J350" s="14" t="n">
        <v>4</v>
      </c>
      <c r="K350" s="14" t="n">
        <v>123</v>
      </c>
      <c r="L350" s="14" t="n">
        <v>85</v>
      </c>
      <c r="M350" s="12"/>
      <c r="N350" s="11"/>
      <c r="O350" s="23"/>
      <c r="P350" s="23"/>
      <c r="Q350" s="23"/>
      <c r="R350" s="23"/>
      <c r="S350" s="23"/>
      <c r="T350" s="23"/>
      <c r="U350" s="23"/>
      <c r="V350" s="23"/>
      <c r="W350" s="23"/>
      <c r="X350" s="23"/>
      <c r="Y350" s="23"/>
      <c r="Z350" s="23"/>
    </row>
    <row r="351" customFormat="false" ht="15.75" hidden="false" customHeight="true" outlineLevel="0" collapsed="false">
      <c r="A351" s="52" t="n">
        <v>46304</v>
      </c>
      <c r="B351" s="14" t="s">
        <v>227</v>
      </c>
      <c r="C351" s="14" t="str">
        <f aca="false" t="array" ref="C351:C351">IF(B351="","",IFERROR(INDEX('CLM &amp; IM Mapping'!$B$2:$B$270,MATCH(TRIM(B351),'CLM &amp; IM Mapping'!$A$2:$A$270,0)),"Not Mapped"))</f>
        <v>Vijay M</v>
      </c>
      <c r="D351" s="14" t="str">
        <f aca="false" t="array" ref="D351:D351">IF(B351="","",IFERROR(INDEX('CLM &amp; IM Mapping'!$C$2:$C$270,MATCH(TRIM(B351),'CLM &amp; IM Mapping'!$A$2:$A$270,0)),"Not Mapped"))</f>
        <v>Kantha Kumar</v>
      </c>
      <c r="E351" s="14" t="n">
        <v>1</v>
      </c>
      <c r="F351" s="14" t="n">
        <v>102</v>
      </c>
      <c r="G351" s="14" t="n">
        <v>2</v>
      </c>
      <c r="H351" s="14" t="n">
        <v>5</v>
      </c>
      <c r="I351" s="14" t="n">
        <v>11</v>
      </c>
      <c r="J351" s="14" t="n">
        <v>0</v>
      </c>
      <c r="K351" s="14" t="n">
        <v>121</v>
      </c>
      <c r="L351" s="14" t="n">
        <v>120</v>
      </c>
      <c r="M351" s="12"/>
      <c r="N351" s="11"/>
      <c r="O351" s="23"/>
      <c r="P351" s="23"/>
      <c r="Q351" s="23"/>
      <c r="R351" s="23"/>
      <c r="S351" s="23"/>
      <c r="T351" s="23"/>
      <c r="U351" s="23"/>
      <c r="V351" s="23"/>
      <c r="W351" s="23"/>
      <c r="X351" s="23"/>
      <c r="Y351" s="23"/>
      <c r="Z351" s="23"/>
    </row>
    <row r="352" customFormat="false" ht="15.75" hidden="false" customHeight="true" outlineLevel="0" collapsed="false">
      <c r="A352" s="52" t="n">
        <v>46304</v>
      </c>
      <c r="B352" s="14" t="s">
        <v>233</v>
      </c>
      <c r="C352" s="14" t="str">
        <f aca="false" t="array" ref="C352:C352">IF(B352="","",IFERROR(INDEX('CLM &amp; IM Mapping'!$B$2:$B$270,MATCH(TRIM(B352),'CLM &amp; IM Mapping'!$A$2:$A$270,0)),"Not Mapped"))</f>
        <v>Suhas N</v>
      </c>
      <c r="D352" s="14" t="str">
        <f aca="false" t="array" ref="D352:D352">IF(B352="","",IFERROR(INDEX('CLM &amp; IM Mapping'!$C$2:$C$270,MATCH(TRIM(B352),'CLM &amp; IM Mapping'!$A$2:$A$270,0)),"Not Mapped"))</f>
        <v>Aravind S</v>
      </c>
      <c r="E352" s="14" t="n">
        <v>0</v>
      </c>
      <c r="F352" s="14" t="n">
        <v>76</v>
      </c>
      <c r="G352" s="14" t="n">
        <v>0</v>
      </c>
      <c r="H352" s="14" t="n">
        <v>15</v>
      </c>
      <c r="I352" s="14" t="n">
        <v>2</v>
      </c>
      <c r="J352" s="14" t="n">
        <v>28</v>
      </c>
      <c r="K352" s="14" t="n">
        <v>121</v>
      </c>
      <c r="L352" s="14" t="n">
        <v>101</v>
      </c>
      <c r="M352" s="12" t="s">
        <v>839</v>
      </c>
      <c r="N352" s="11"/>
      <c r="O352" s="23"/>
      <c r="P352" s="23"/>
      <c r="Q352" s="23"/>
      <c r="R352" s="23"/>
      <c r="S352" s="23"/>
      <c r="T352" s="23"/>
      <c r="U352" s="23"/>
      <c r="V352" s="23"/>
      <c r="W352" s="23"/>
      <c r="X352" s="23"/>
      <c r="Y352" s="23"/>
      <c r="Z352" s="23"/>
    </row>
    <row r="353" customFormat="false" ht="15.75" hidden="false" customHeight="true" outlineLevel="0" collapsed="false">
      <c r="A353" s="52" t="n">
        <v>46304</v>
      </c>
      <c r="B353" s="14" t="s">
        <v>420</v>
      </c>
      <c r="C353" s="14" t="str">
        <f aca="false" t="array" ref="C353:C353">IF(B353="","",IFERROR(INDEX('CLM &amp; IM Mapping'!$B$2:$B$270,MATCH(TRIM(B353),'CLM &amp; IM Mapping'!$A$2:$A$270,0)),"Not Mapped"))</f>
        <v>Ravishankar gowda</v>
      </c>
      <c r="D353" s="14" t="str">
        <f aca="false" t="array" ref="D353:D353">IF(B353="","",IFERROR(INDEX('CLM &amp; IM Mapping'!$C$2:$C$270,MATCH(TRIM(B353),'CLM &amp; IM Mapping'!$A$2:$A$270,0)),"Not Mapped"))</f>
        <v>Kishor K</v>
      </c>
      <c r="E353" s="14" t="n">
        <v>37</v>
      </c>
      <c r="F353" s="14" t="n">
        <v>15</v>
      </c>
      <c r="G353" s="14" t="n">
        <v>12</v>
      </c>
      <c r="H353" s="14" t="n">
        <v>17</v>
      </c>
      <c r="I353" s="14" t="n">
        <v>22</v>
      </c>
      <c r="J353" s="14" t="n">
        <v>16</v>
      </c>
      <c r="K353" s="14" t="n">
        <v>119</v>
      </c>
      <c r="L353" s="14" t="n">
        <v>115</v>
      </c>
      <c r="M353" s="12" t="s">
        <v>828</v>
      </c>
      <c r="N353" s="54" t="n">
        <v>0.666666666666667</v>
      </c>
      <c r="O353" s="23"/>
      <c r="P353" s="23"/>
      <c r="Q353" s="23"/>
      <c r="R353" s="23"/>
      <c r="S353" s="23"/>
      <c r="T353" s="23"/>
      <c r="U353" s="23"/>
      <c r="V353" s="23"/>
      <c r="W353" s="23"/>
      <c r="X353" s="23"/>
      <c r="Y353" s="23"/>
      <c r="Z353" s="23"/>
    </row>
    <row r="354" customFormat="false" ht="15.75" hidden="false" customHeight="true" outlineLevel="0" collapsed="false">
      <c r="A354" s="52" t="n">
        <v>46304</v>
      </c>
      <c r="B354" s="14" t="s">
        <v>337</v>
      </c>
      <c r="C354" s="14" t="str">
        <f aca="false" t="array" ref="C354:C354">IF(B354="","",IFERROR(INDEX('CLM &amp; IM Mapping'!$B$2:$B$270,MATCH(TRIM(B354),'CLM &amp; IM Mapping'!$A$2:$A$270,0)),"Not Mapped"))</f>
        <v>Akshay P</v>
      </c>
      <c r="D354" s="14" t="str">
        <f aca="false" t="array" ref="D354:D354">IF(B354="","",IFERROR(INDEX('CLM &amp; IM Mapping'!$C$2:$C$270,MATCH(TRIM(B354),'CLM &amp; IM Mapping'!$A$2:$A$270,0)),"Not Mapped"))</f>
        <v>Srittam Dhal</v>
      </c>
      <c r="E354" s="14" t="n">
        <v>3</v>
      </c>
      <c r="F354" s="14" t="n">
        <v>84</v>
      </c>
      <c r="G354" s="14" t="n">
        <v>0</v>
      </c>
      <c r="H354" s="14" t="n">
        <v>18</v>
      </c>
      <c r="I354" s="14" t="n">
        <v>10</v>
      </c>
      <c r="J354" s="14" t="n">
        <v>3</v>
      </c>
      <c r="K354" s="14" t="n">
        <v>118</v>
      </c>
      <c r="L354" s="14" t="n">
        <v>118</v>
      </c>
      <c r="M354" s="12"/>
      <c r="N354" s="11"/>
      <c r="O354" s="23"/>
      <c r="P354" s="23"/>
      <c r="Q354" s="23"/>
      <c r="R354" s="23"/>
      <c r="S354" s="23"/>
      <c r="T354" s="23"/>
      <c r="U354" s="23"/>
      <c r="V354" s="23"/>
      <c r="W354" s="23"/>
      <c r="X354" s="23"/>
      <c r="Y354" s="23"/>
      <c r="Z354" s="23"/>
    </row>
    <row r="355" customFormat="false" ht="15.75" hidden="false" customHeight="true" outlineLevel="0" collapsed="false">
      <c r="A355" s="52" t="n">
        <v>46304</v>
      </c>
      <c r="B355" s="14" t="s">
        <v>403</v>
      </c>
      <c r="C355" s="14" t="str">
        <f aca="false" t="array" ref="C355:C355">IF(B355="","",IFERROR(INDEX('CLM &amp; IM Mapping'!$B$2:$B$270,MATCH(TRIM(B355),'CLM &amp; IM Mapping'!$A$2:$A$270,0)),"Not Mapped"))</f>
        <v>Narasimhamurthy R</v>
      </c>
      <c r="D355" s="14" t="str">
        <f aca="false" t="array" ref="D355:D355">IF(B355="","",IFERROR(INDEX('CLM &amp; IM Mapping'!$C$2:$C$270,MATCH(TRIM(B355),'CLM &amp; IM Mapping'!$A$2:$A$270,0)),"Not Mapped"))</f>
        <v>Kishor K</v>
      </c>
      <c r="E355" s="14" t="n">
        <v>9</v>
      </c>
      <c r="F355" s="14" t="n">
        <v>66</v>
      </c>
      <c r="G355" s="14" t="n">
        <v>4</v>
      </c>
      <c r="H355" s="14" t="n">
        <v>7</v>
      </c>
      <c r="I355" s="14" t="n">
        <v>18</v>
      </c>
      <c r="J355" s="14" t="n">
        <v>12</v>
      </c>
      <c r="K355" s="14" t="n">
        <v>116</v>
      </c>
      <c r="L355" s="14" t="n">
        <v>116</v>
      </c>
      <c r="M355" s="12" t="s">
        <v>828</v>
      </c>
      <c r="N355" s="54" t="n">
        <v>0.666666666666667</v>
      </c>
      <c r="O355" s="23"/>
      <c r="P355" s="23"/>
      <c r="Q355" s="23"/>
      <c r="R355" s="23"/>
      <c r="S355" s="23"/>
      <c r="T355" s="23"/>
      <c r="U355" s="23"/>
      <c r="V355" s="23"/>
      <c r="W355" s="23"/>
      <c r="X355" s="23"/>
      <c r="Y355" s="23"/>
      <c r="Z355" s="23"/>
    </row>
    <row r="356" customFormat="false" ht="15.75" hidden="false" customHeight="true" outlineLevel="0" collapsed="false">
      <c r="A356" s="52" t="n">
        <v>46304</v>
      </c>
      <c r="B356" s="14" t="s">
        <v>76</v>
      </c>
      <c r="C356" s="14" t="str">
        <f aca="false" t="array" ref="C356:C356">IF(B356="","",IFERROR(INDEX('CLM &amp; IM Mapping'!$B$2:$B$270,MATCH(TRIM(B356),'CLM &amp; IM Mapping'!$A$2:$A$270,0)),"Not Mapped"))</f>
        <v>Silambarasan E</v>
      </c>
      <c r="D356" s="14" t="str">
        <f aca="false" t="array" ref="D356:D356">IF(B356="","",IFERROR(INDEX('CLM &amp; IM Mapping'!$C$2:$C$270,MATCH(TRIM(B356),'CLM &amp; IM Mapping'!$A$2:$A$270,0)),"Not Mapped"))</f>
        <v>Arivind S</v>
      </c>
      <c r="E356" s="14" t="n">
        <v>0</v>
      </c>
      <c r="F356" s="14" t="n">
        <v>98</v>
      </c>
      <c r="G356" s="14" t="n">
        <v>0</v>
      </c>
      <c r="H356" s="14" t="n">
        <v>13</v>
      </c>
      <c r="I356" s="14" t="n">
        <v>3</v>
      </c>
      <c r="J356" s="14" t="n">
        <v>2</v>
      </c>
      <c r="K356" s="14" t="n">
        <v>116</v>
      </c>
      <c r="L356" s="14" t="n">
        <v>115</v>
      </c>
      <c r="M356" s="12"/>
      <c r="N356" s="11"/>
      <c r="O356" s="23"/>
      <c r="P356" s="23"/>
      <c r="Q356" s="23"/>
      <c r="R356" s="23"/>
      <c r="S356" s="23"/>
      <c r="T356" s="23"/>
      <c r="U356" s="23"/>
      <c r="V356" s="23"/>
      <c r="W356" s="23"/>
      <c r="X356" s="23"/>
      <c r="Y356" s="23"/>
      <c r="Z356" s="23"/>
    </row>
    <row r="357" customFormat="false" ht="15.75" hidden="false" customHeight="true" outlineLevel="0" collapsed="false">
      <c r="A357" s="52" t="n">
        <v>46304</v>
      </c>
      <c r="B357" s="14" t="s">
        <v>118</v>
      </c>
      <c r="C357" s="14" t="str">
        <f aca="false" t="array" ref="C357:C357">IF(B357="","",IFERROR(INDEX('CLM &amp; IM Mapping'!$B$2:$B$270,MATCH(TRIM(B357),'CLM &amp; IM Mapping'!$A$2:$A$270,0)),"Not Mapped"))</f>
        <v>Adhavan Subramani</v>
      </c>
      <c r="D357" s="14" t="str">
        <f aca="false" t="array" ref="D357:D357">IF(B357="","",IFERROR(INDEX('CLM &amp; IM Mapping'!$C$2:$C$270,MATCH(TRIM(B357),'CLM &amp; IM Mapping'!$A$2:$A$270,0)),"Not Mapped"))</f>
        <v>Mohammed Akbar</v>
      </c>
      <c r="E357" s="14" t="n">
        <v>27</v>
      </c>
      <c r="F357" s="14" t="n">
        <v>18</v>
      </c>
      <c r="G357" s="14" t="n">
        <v>15</v>
      </c>
      <c r="H357" s="14" t="n">
        <v>20</v>
      </c>
      <c r="I357" s="14" t="n">
        <v>34</v>
      </c>
      <c r="J357" s="14" t="n">
        <v>0</v>
      </c>
      <c r="K357" s="14" t="n">
        <v>114</v>
      </c>
      <c r="L357" s="14" t="n">
        <v>114</v>
      </c>
      <c r="M357" s="12"/>
      <c r="N357" s="11"/>
      <c r="O357" s="23"/>
      <c r="P357" s="23"/>
      <c r="Q357" s="23"/>
      <c r="R357" s="23"/>
      <c r="S357" s="23"/>
      <c r="T357" s="23"/>
      <c r="U357" s="23"/>
      <c r="V357" s="23"/>
      <c r="W357" s="23"/>
      <c r="X357" s="23"/>
      <c r="Y357" s="23"/>
      <c r="Z357" s="23"/>
    </row>
    <row r="358" customFormat="false" ht="15.75" hidden="false" customHeight="true" outlineLevel="0" collapsed="false">
      <c r="A358" s="52" t="n">
        <v>46304</v>
      </c>
      <c r="B358" s="14" t="s">
        <v>493</v>
      </c>
      <c r="C358" s="14" t="str">
        <f aca="false" t="array" ref="C358:C358">IF(B358="","",IFERROR(INDEX('CLM &amp; IM Mapping'!$B$2:$B$270,MATCH(TRIM(B358),'CLM &amp; IM Mapping'!$A$2:$A$270,0)),"Not Mapped"))</f>
        <v>Santhosha M</v>
      </c>
      <c r="D358" s="14" t="str">
        <f aca="false" t="array" ref="D358:D358">IF(B358="","",IFERROR(INDEX('CLM &amp; IM Mapping'!$C$2:$C$270,MATCH(TRIM(B358),'CLM &amp; IM Mapping'!$A$2:$A$270,0)),"Not Mapped"))</f>
        <v>Aravind S</v>
      </c>
      <c r="E358" s="14" t="n">
        <v>4</v>
      </c>
      <c r="F358" s="14" t="n">
        <v>92</v>
      </c>
      <c r="G358" s="14" t="n">
        <v>0</v>
      </c>
      <c r="H358" s="14" t="n">
        <v>0</v>
      </c>
      <c r="I358" s="14" t="n">
        <v>0</v>
      </c>
      <c r="J358" s="14" t="n">
        <v>16</v>
      </c>
      <c r="K358" s="14" t="n">
        <v>112</v>
      </c>
      <c r="L358" s="14" t="n">
        <v>62</v>
      </c>
      <c r="M358" s="12"/>
      <c r="N358" s="11"/>
      <c r="O358" s="23"/>
      <c r="P358" s="23"/>
      <c r="Q358" s="23"/>
      <c r="R358" s="23"/>
      <c r="S358" s="23"/>
      <c r="T358" s="23"/>
      <c r="U358" s="23"/>
      <c r="V358" s="23"/>
      <c r="W358" s="23"/>
      <c r="X358" s="23"/>
      <c r="Y358" s="23"/>
      <c r="Z358" s="23"/>
    </row>
    <row r="359" customFormat="false" ht="15.75" hidden="false" customHeight="true" outlineLevel="0" collapsed="false">
      <c r="A359" s="52" t="n">
        <v>46304</v>
      </c>
      <c r="B359" s="14" t="s">
        <v>518</v>
      </c>
      <c r="C359" s="14" t="str">
        <f aca="false" t="array" ref="C359:C359">IF(B359="","",IFERROR(INDEX('CLM &amp; IM Mapping'!$B$2:$B$270,MATCH(TRIM(B359),'CLM &amp; IM Mapping'!$A$2:$A$270,0)),"Not Mapped"))</f>
        <v>Basil Scariya</v>
      </c>
      <c r="D359" s="14" t="str">
        <f aca="false" t="array" ref="D359:D359">IF(B359="","",IFERROR(INDEX('CLM &amp; IM Mapping'!$C$2:$C$270,MATCH(TRIM(B359),'CLM &amp; IM Mapping'!$A$2:$A$270,0)),"Not Mapped"))</f>
        <v>Prakash BS</v>
      </c>
      <c r="E359" s="14" t="n">
        <v>26</v>
      </c>
      <c r="F359" s="14" t="n">
        <v>5</v>
      </c>
      <c r="G359" s="14" t="n">
        <v>38</v>
      </c>
      <c r="H359" s="14" t="n">
        <v>0</v>
      </c>
      <c r="I359" s="14" t="n">
        <v>18</v>
      </c>
      <c r="J359" s="14" t="n">
        <v>25</v>
      </c>
      <c r="K359" s="14" t="n">
        <v>112</v>
      </c>
      <c r="L359" s="14" t="n">
        <v>112</v>
      </c>
      <c r="M359" s="12" t="s">
        <v>844</v>
      </c>
      <c r="N359" s="11"/>
      <c r="O359" s="23"/>
      <c r="P359" s="23"/>
      <c r="Q359" s="23"/>
      <c r="R359" s="23"/>
      <c r="S359" s="23"/>
      <c r="T359" s="23"/>
      <c r="U359" s="23"/>
      <c r="V359" s="23"/>
      <c r="W359" s="23"/>
      <c r="X359" s="23"/>
      <c r="Y359" s="23"/>
      <c r="Z359" s="23"/>
    </row>
    <row r="360" customFormat="false" ht="15.75" hidden="false" customHeight="true" outlineLevel="0" collapsed="false">
      <c r="A360" s="52" t="n">
        <v>46304</v>
      </c>
      <c r="B360" s="14" t="s">
        <v>114</v>
      </c>
      <c r="C360" s="14" t="str">
        <f aca="false" t="array" ref="C360:C360">IF(B360="","",IFERROR(INDEX('CLM &amp; IM Mapping'!$B$2:$B$270,MATCH(TRIM(B360),'CLM &amp; IM Mapping'!$A$2:$A$270,0)),"Not Mapped"))</f>
        <v>Adhavan Subramani</v>
      </c>
      <c r="D360" s="14" t="str">
        <f aca="false" t="array" ref="D360:D360">IF(B360="","",IFERROR(INDEX('CLM &amp; IM Mapping'!$C$2:$C$270,MATCH(TRIM(B360),'CLM &amp; IM Mapping'!$A$2:$A$270,0)),"Not Mapped"))</f>
        <v>Mohammed Akbar</v>
      </c>
      <c r="E360" s="14" t="n">
        <v>9</v>
      </c>
      <c r="F360" s="14" t="n">
        <v>1</v>
      </c>
      <c r="G360" s="14" t="n">
        <v>0</v>
      </c>
      <c r="H360" s="14" t="n">
        <v>10</v>
      </c>
      <c r="I360" s="14" t="n">
        <v>74</v>
      </c>
      <c r="J360" s="14" t="n">
        <v>18</v>
      </c>
      <c r="K360" s="14" t="n">
        <v>112</v>
      </c>
      <c r="L360" s="14" t="n">
        <v>112</v>
      </c>
      <c r="M360" s="12"/>
      <c r="N360" s="11"/>
      <c r="O360" s="23"/>
      <c r="P360" s="23"/>
      <c r="Q360" s="23"/>
      <c r="R360" s="23"/>
      <c r="S360" s="23"/>
      <c r="T360" s="23"/>
      <c r="U360" s="23"/>
      <c r="V360" s="23"/>
      <c r="W360" s="23"/>
      <c r="X360" s="23"/>
      <c r="Y360" s="23"/>
      <c r="Z360" s="23"/>
    </row>
    <row r="361" customFormat="false" ht="15.75" hidden="false" customHeight="true" outlineLevel="0" collapsed="false">
      <c r="A361" s="52" t="n">
        <v>46304</v>
      </c>
      <c r="B361" s="14" t="s">
        <v>250</v>
      </c>
      <c r="C361" s="14" t="str">
        <f aca="false" t="array" ref="C361:C361">IF(B361="","",IFERROR(INDEX('CLM &amp; IM Mapping'!$B$2:$B$270,MATCH(TRIM(B361),'CLM &amp; IM Mapping'!$A$2:$A$270,0)),"Not Mapped"))</f>
        <v>Akshay P</v>
      </c>
      <c r="D361" s="14" t="str">
        <f aca="false" t="array" ref="D361:D361">IF(B361="","",IFERROR(INDEX('CLM &amp; IM Mapping'!$C$2:$C$270,MATCH(TRIM(B361),'CLM &amp; IM Mapping'!$A$2:$A$270,0)),"Not Mapped"))</f>
        <v>Srittam Dhal</v>
      </c>
      <c r="E361" s="14" t="n">
        <v>0</v>
      </c>
      <c r="F361" s="14" t="n">
        <v>2</v>
      </c>
      <c r="G361" s="14" t="n">
        <v>0</v>
      </c>
      <c r="H361" s="14" t="n">
        <v>9</v>
      </c>
      <c r="I361" s="14" t="n">
        <v>31</v>
      </c>
      <c r="J361" s="14" t="n">
        <v>69</v>
      </c>
      <c r="K361" s="14" t="n">
        <v>111</v>
      </c>
      <c r="L361" s="14" t="n">
        <v>111</v>
      </c>
      <c r="M361" s="12"/>
      <c r="N361" s="11"/>
      <c r="O361" s="23"/>
      <c r="P361" s="23"/>
      <c r="Q361" s="23"/>
      <c r="R361" s="23"/>
      <c r="S361" s="23"/>
      <c r="T361" s="23"/>
      <c r="U361" s="23"/>
      <c r="V361" s="23"/>
      <c r="W361" s="23"/>
      <c r="X361" s="23"/>
      <c r="Y361" s="23"/>
      <c r="Z361" s="23"/>
    </row>
    <row r="362" customFormat="false" ht="15.75" hidden="false" customHeight="true" outlineLevel="0" collapsed="false">
      <c r="A362" s="52" t="n">
        <v>46304</v>
      </c>
      <c r="B362" s="14" t="s">
        <v>381</v>
      </c>
      <c r="C362" s="14" t="str">
        <f aca="false" t="array" ref="C362:C362">IF(B362="","",IFERROR(INDEX('CLM &amp; IM Mapping'!$B$2:$B$270,MATCH(TRIM(B362),'CLM &amp; IM Mapping'!$A$2:$A$270,0)),"Not Mapped"))</f>
        <v>Balaji G</v>
      </c>
      <c r="D362" s="14" t="str">
        <f aca="false" t="array" ref="D362:D362">IF(B362="","",IFERROR(INDEX('CLM &amp; IM Mapping'!$C$2:$C$270,MATCH(TRIM(B362),'CLM &amp; IM Mapping'!$A$2:$A$270,0)),"Not Mapped"))</f>
        <v>Mohammed Akbar</v>
      </c>
      <c r="E362" s="14" t="n">
        <v>41</v>
      </c>
      <c r="F362" s="14" t="n">
        <v>8</v>
      </c>
      <c r="G362" s="14" t="n">
        <v>61</v>
      </c>
      <c r="H362" s="14" t="n">
        <v>0</v>
      </c>
      <c r="I362" s="14" t="n">
        <v>0</v>
      </c>
      <c r="J362" s="14" t="n">
        <v>0</v>
      </c>
      <c r="K362" s="14" t="n">
        <v>110</v>
      </c>
      <c r="L362" s="14" t="n">
        <v>109</v>
      </c>
      <c r="M362" s="12"/>
      <c r="N362" s="11"/>
      <c r="O362" s="23"/>
      <c r="P362" s="23"/>
      <c r="Q362" s="23"/>
      <c r="R362" s="23"/>
      <c r="S362" s="23"/>
      <c r="T362" s="23"/>
      <c r="U362" s="23"/>
      <c r="V362" s="23"/>
      <c r="W362" s="23"/>
      <c r="X362" s="23"/>
      <c r="Y362" s="23"/>
      <c r="Z362" s="23"/>
    </row>
    <row r="363" customFormat="false" ht="15.75" hidden="false" customHeight="true" outlineLevel="0" collapsed="false">
      <c r="A363" s="52" t="n">
        <v>46304</v>
      </c>
      <c r="B363" s="14" t="s">
        <v>400</v>
      </c>
      <c r="C363" s="14" t="str">
        <f aca="false" t="array" ref="C363:C363">IF(B363="","",IFERROR(INDEX('CLM &amp; IM Mapping'!$B$2:$B$270,MATCH(TRIM(B363),'CLM &amp; IM Mapping'!$A$2:$A$270,0)),"Not Mapped"))</f>
        <v>Bangareppa CS</v>
      </c>
      <c r="D363" s="14" t="str">
        <f aca="false" t="array" ref="D363:D363">IF(B363="","",IFERROR(INDEX('CLM &amp; IM Mapping'!$C$2:$C$270,MATCH(TRIM(B363),'CLM &amp; IM Mapping'!$A$2:$A$270,0)),"Not Mapped"))</f>
        <v>Kishor K</v>
      </c>
      <c r="E363" s="14" t="n">
        <v>6</v>
      </c>
      <c r="F363" s="14" t="n">
        <v>17</v>
      </c>
      <c r="G363" s="14" t="n">
        <v>16</v>
      </c>
      <c r="H363" s="14" t="n">
        <v>22</v>
      </c>
      <c r="I363" s="14" t="n">
        <v>15</v>
      </c>
      <c r="J363" s="14" t="n">
        <v>33</v>
      </c>
      <c r="K363" s="14" t="n">
        <v>109</v>
      </c>
      <c r="L363" s="14" t="n">
        <v>109</v>
      </c>
      <c r="M363" s="12" t="s">
        <v>828</v>
      </c>
      <c r="N363" s="54" t="n">
        <v>0.666666666666667</v>
      </c>
      <c r="O363" s="23"/>
      <c r="P363" s="23"/>
      <c r="Q363" s="23"/>
      <c r="R363" s="23"/>
      <c r="S363" s="23"/>
      <c r="T363" s="23"/>
      <c r="U363" s="23"/>
      <c r="V363" s="23"/>
      <c r="W363" s="23"/>
      <c r="X363" s="23"/>
      <c r="Y363" s="23"/>
      <c r="Z363" s="23"/>
    </row>
    <row r="364" customFormat="false" ht="15.75" hidden="false" customHeight="true" outlineLevel="0" collapsed="false">
      <c r="A364" s="52" t="n">
        <v>46304</v>
      </c>
      <c r="B364" s="14" t="s">
        <v>281</v>
      </c>
      <c r="C364" s="14" t="str">
        <f aca="false" t="array" ref="C364:C364">IF(B364="","",IFERROR(INDEX('CLM &amp; IM Mapping'!$B$2:$B$270,MATCH(TRIM(B364),'CLM &amp; IM Mapping'!$A$2:$A$270,0)),"Not Mapped"))</f>
        <v>Balaji G</v>
      </c>
      <c r="D364" s="14" t="str">
        <f aca="false" t="array" ref="D364:D364">IF(B364="","",IFERROR(INDEX('CLM &amp; IM Mapping'!$C$2:$C$270,MATCH(TRIM(B364),'CLM &amp; IM Mapping'!$A$2:$A$270,0)),"Not Mapped"))</f>
        <v>Mohammed Akbar</v>
      </c>
      <c r="E364" s="14" t="n">
        <v>19</v>
      </c>
      <c r="F364" s="14" t="n">
        <v>29</v>
      </c>
      <c r="G364" s="14" t="n">
        <v>0</v>
      </c>
      <c r="H364" s="14" t="n">
        <v>25</v>
      </c>
      <c r="I364" s="14" t="n">
        <v>2</v>
      </c>
      <c r="J364" s="14" t="n">
        <v>30</v>
      </c>
      <c r="K364" s="14" t="n">
        <v>105</v>
      </c>
      <c r="L364" s="14" t="n">
        <v>96</v>
      </c>
      <c r="M364" s="12"/>
      <c r="N364" s="11"/>
      <c r="O364" s="23"/>
      <c r="P364" s="23"/>
      <c r="Q364" s="23"/>
      <c r="R364" s="23"/>
      <c r="S364" s="23"/>
      <c r="T364" s="23"/>
      <c r="U364" s="23"/>
      <c r="V364" s="23"/>
      <c r="W364" s="23"/>
      <c r="X364" s="23"/>
      <c r="Y364" s="23"/>
      <c r="Z364" s="23"/>
    </row>
    <row r="365" customFormat="false" ht="15.75" hidden="false" customHeight="true" outlineLevel="0" collapsed="false">
      <c r="A365" s="52" t="n">
        <v>46304</v>
      </c>
      <c r="B365" s="14" t="s">
        <v>242</v>
      </c>
      <c r="C365" s="14" t="str">
        <f aca="false" t="array" ref="C365:C365">IF(B365="","",IFERROR(INDEX('CLM &amp; IM Mapping'!$B$2:$B$270,MATCH(TRIM(B365),'CLM &amp; IM Mapping'!$A$2:$A$270,0)),"Not Mapped"))</f>
        <v>Suhas N</v>
      </c>
      <c r="D365" s="14" t="str">
        <f aca="false" t="array" ref="D365:D365">IF(B365="","",IFERROR(INDEX('CLM &amp; IM Mapping'!$C$2:$C$270,MATCH(TRIM(B365),'CLM &amp; IM Mapping'!$A$2:$A$270,0)),"Not Mapped"))</f>
        <v>Aravind S</v>
      </c>
      <c r="E365" s="14" t="n">
        <v>7</v>
      </c>
      <c r="F365" s="14" t="n">
        <v>9</v>
      </c>
      <c r="G365" s="14" t="n">
        <v>0</v>
      </c>
      <c r="H365" s="14" t="n">
        <v>43</v>
      </c>
      <c r="I365" s="14" t="n">
        <v>36</v>
      </c>
      <c r="J365" s="14" t="n">
        <v>10</v>
      </c>
      <c r="K365" s="14" t="n">
        <v>105</v>
      </c>
      <c r="L365" s="14" t="n">
        <v>103</v>
      </c>
      <c r="M365" s="12" t="s">
        <v>839</v>
      </c>
      <c r="N365" s="11"/>
      <c r="O365" s="23"/>
      <c r="P365" s="23"/>
      <c r="Q365" s="23"/>
      <c r="R365" s="23"/>
      <c r="S365" s="23"/>
      <c r="T365" s="23"/>
      <c r="U365" s="23"/>
      <c r="V365" s="23"/>
      <c r="W365" s="23"/>
      <c r="X365" s="23"/>
      <c r="Y365" s="23"/>
      <c r="Z365" s="23"/>
    </row>
    <row r="366" customFormat="false" ht="15.75" hidden="false" customHeight="true" outlineLevel="0" collapsed="false">
      <c r="A366" s="52" t="n">
        <v>46304</v>
      </c>
      <c r="B366" s="14" t="s">
        <v>171</v>
      </c>
      <c r="C366" s="14" t="str">
        <f aca="false" t="array" ref="C366:C366">IF(B366="","",IFERROR(INDEX('CLM &amp; IM Mapping'!$B$2:$B$270,MATCH(TRIM(B366),'CLM &amp; IM Mapping'!$A$2:$A$270,0)),"Not Mapped"))</f>
        <v>Ashwath S</v>
      </c>
      <c r="D366" s="14" t="str">
        <f aca="false" t="array" ref="D366:D366">IF(B366="","",IFERROR(INDEX('CLM &amp; IM Mapping'!$C$2:$C$270,MATCH(TRIM(B366),'CLM &amp; IM Mapping'!$A$2:$A$270,0)),"Not Mapped"))</f>
        <v>Kantha Kumar</v>
      </c>
      <c r="E366" s="14" t="n">
        <v>32</v>
      </c>
      <c r="F366" s="14" t="n">
        <v>29</v>
      </c>
      <c r="G366" s="14" t="n">
        <v>0</v>
      </c>
      <c r="H366" s="14" t="n">
        <v>1</v>
      </c>
      <c r="I366" s="14" t="n">
        <v>40</v>
      </c>
      <c r="J366" s="14" t="n">
        <v>2</v>
      </c>
      <c r="K366" s="14" t="n">
        <v>104</v>
      </c>
      <c r="L366" s="14" t="n">
        <v>104</v>
      </c>
      <c r="M366" s="12"/>
      <c r="N366" s="11"/>
      <c r="O366" s="23"/>
      <c r="P366" s="23"/>
      <c r="Q366" s="23"/>
      <c r="R366" s="23"/>
      <c r="S366" s="23"/>
      <c r="T366" s="23"/>
      <c r="U366" s="23"/>
      <c r="V366" s="23"/>
      <c r="W366" s="23"/>
      <c r="X366" s="23"/>
      <c r="Y366" s="23"/>
      <c r="Z366" s="23"/>
    </row>
    <row r="367" customFormat="false" ht="15.75" hidden="false" customHeight="true" outlineLevel="0" collapsed="false">
      <c r="A367" s="52" t="n">
        <v>46304</v>
      </c>
      <c r="B367" s="14" t="s">
        <v>235</v>
      </c>
      <c r="C367" s="14" t="str">
        <f aca="false" t="array" ref="C367:C367">IF(B367="","",IFERROR(INDEX('CLM &amp; IM Mapping'!$B$2:$B$270,MATCH(TRIM(B367),'CLM &amp; IM Mapping'!$A$2:$A$270,0)),"Not Mapped"))</f>
        <v>Akshay P</v>
      </c>
      <c r="D367" s="14" t="str">
        <f aca="false" t="array" ref="D367:D367">IF(B367="","",IFERROR(INDEX('CLM &amp; IM Mapping'!$C$2:$C$270,MATCH(TRIM(B367),'CLM &amp; IM Mapping'!$A$2:$A$270,0)),"Not Mapped"))</f>
        <v>Srittam Dhal</v>
      </c>
      <c r="E367" s="14" t="n">
        <v>20</v>
      </c>
      <c r="F367" s="14" t="n">
        <v>6</v>
      </c>
      <c r="G367" s="14" t="n">
        <v>42</v>
      </c>
      <c r="H367" s="14" t="n">
        <v>0</v>
      </c>
      <c r="I367" s="14" t="n">
        <v>2</v>
      </c>
      <c r="J367" s="14" t="n">
        <v>33</v>
      </c>
      <c r="K367" s="14" t="n">
        <v>103</v>
      </c>
      <c r="L367" s="14" t="n">
        <v>102</v>
      </c>
      <c r="M367" s="12"/>
      <c r="N367" s="11"/>
      <c r="O367" s="23"/>
      <c r="P367" s="23"/>
      <c r="Q367" s="23"/>
      <c r="R367" s="23"/>
      <c r="S367" s="23"/>
      <c r="T367" s="23"/>
      <c r="U367" s="23"/>
      <c r="V367" s="23"/>
      <c r="W367" s="23"/>
      <c r="X367" s="23"/>
      <c r="Y367" s="23"/>
      <c r="Z367" s="23"/>
    </row>
    <row r="368" customFormat="false" ht="15.75" hidden="false" customHeight="true" outlineLevel="0" collapsed="false">
      <c r="A368" s="52" t="n">
        <v>46304</v>
      </c>
      <c r="B368" s="14" t="s">
        <v>132</v>
      </c>
      <c r="C368" s="14" t="str">
        <f aca="false" t="array" ref="C368:C368">IF(B368="","",IFERROR(INDEX('CLM &amp; IM Mapping'!$B$2:$B$270,MATCH(TRIM(B368),'CLM &amp; IM Mapping'!$A$2:$A$270,0)),"Not Mapped"))</f>
        <v>Saddam Hussain</v>
      </c>
      <c r="D368" s="14" t="str">
        <f aca="false" t="array" ref="D368:D368">IF(B368="","",IFERROR(INDEX('CLM &amp; IM Mapping'!$C$2:$C$270,MATCH(TRIM(B368),'CLM &amp; IM Mapping'!$A$2:$A$270,0)),"Not Mapped"))</f>
        <v>Un Mapped</v>
      </c>
      <c r="E368" s="14" t="n">
        <v>0</v>
      </c>
      <c r="F368" s="14" t="n">
        <v>2</v>
      </c>
      <c r="G368" s="14" t="n">
        <v>37</v>
      </c>
      <c r="H368" s="14" t="n">
        <v>26</v>
      </c>
      <c r="I368" s="14" t="n">
        <v>37</v>
      </c>
      <c r="J368" s="14" t="n">
        <v>0</v>
      </c>
      <c r="K368" s="14" t="n">
        <v>102</v>
      </c>
      <c r="L368" s="14" t="n">
        <v>101</v>
      </c>
      <c r="M368" s="12"/>
      <c r="N368" s="11"/>
      <c r="O368" s="23"/>
      <c r="P368" s="23"/>
      <c r="Q368" s="23"/>
      <c r="R368" s="23"/>
      <c r="S368" s="23"/>
      <c r="T368" s="23"/>
      <c r="U368" s="23"/>
      <c r="V368" s="23"/>
      <c r="W368" s="23"/>
      <c r="X368" s="23"/>
      <c r="Y368" s="23"/>
      <c r="Z368" s="23"/>
    </row>
    <row r="369" customFormat="false" ht="15.75" hidden="false" customHeight="true" outlineLevel="0" collapsed="false">
      <c r="A369" s="52" t="n">
        <v>46304</v>
      </c>
      <c r="B369" s="14" t="s">
        <v>103</v>
      </c>
      <c r="C369" s="14" t="str">
        <f aca="false" t="array" ref="C369:C369">IF(B369="","",IFERROR(INDEX('CLM &amp; IM Mapping'!$B$2:$B$270,MATCH(TRIM(B369),'CLM &amp; IM Mapping'!$A$2:$A$270,0)),"Not Mapped"))</f>
        <v>Girish N</v>
      </c>
      <c r="D369" s="14" t="str">
        <f aca="false" t="array" ref="D369:D369">IF(B369="","",IFERROR(INDEX('CLM &amp; IM Mapping'!$C$2:$C$270,MATCH(TRIM(B369),'CLM &amp; IM Mapping'!$A$2:$A$270,0)),"Not Mapped"))</f>
        <v>Un Mapped</v>
      </c>
      <c r="E369" s="14" t="n">
        <v>0</v>
      </c>
      <c r="F369" s="14" t="n">
        <v>24</v>
      </c>
      <c r="G369" s="14" t="n">
        <v>0</v>
      </c>
      <c r="H369" s="14" t="n">
        <v>73</v>
      </c>
      <c r="I369" s="14" t="n">
        <v>2</v>
      </c>
      <c r="J369" s="14" t="n">
        <v>2</v>
      </c>
      <c r="K369" s="14" t="n">
        <v>101</v>
      </c>
      <c r="L369" s="14" t="n">
        <v>101</v>
      </c>
      <c r="M369" s="12"/>
      <c r="N369" s="11"/>
      <c r="O369" s="23"/>
      <c r="P369" s="23"/>
      <c r="Q369" s="23"/>
      <c r="R369" s="23"/>
      <c r="S369" s="23"/>
      <c r="T369" s="23"/>
      <c r="U369" s="23"/>
      <c r="V369" s="23"/>
      <c r="W369" s="23"/>
      <c r="X369" s="23"/>
      <c r="Y369" s="23"/>
      <c r="Z369" s="23"/>
    </row>
    <row r="370" customFormat="false" ht="15.75" hidden="false" customHeight="true" outlineLevel="0" collapsed="false">
      <c r="A370" s="52" t="n">
        <v>46304</v>
      </c>
      <c r="B370" s="14" t="s">
        <v>126</v>
      </c>
      <c r="C370" s="14" t="str">
        <f aca="false" t="array" ref="C370:C370">IF(B370="","",IFERROR(INDEX('CLM &amp; IM Mapping'!$B$2:$B$270,MATCH(TRIM(B370),'CLM &amp; IM Mapping'!$A$2:$A$270,0)),"Not Mapped"))</f>
        <v>Girish N</v>
      </c>
      <c r="D370" s="14" t="str">
        <f aca="false" t="array" ref="D370:D370">IF(B370="","",IFERROR(INDEX('CLM &amp; IM Mapping'!$C$2:$C$270,MATCH(TRIM(B370),'CLM &amp; IM Mapping'!$A$2:$A$270,0)),"Not Mapped"))</f>
        <v>Un Mapped</v>
      </c>
      <c r="E370" s="14" t="n">
        <v>0</v>
      </c>
      <c r="F370" s="14" t="n">
        <v>76</v>
      </c>
      <c r="G370" s="14" t="n">
        <v>0</v>
      </c>
      <c r="H370" s="14" t="n">
        <v>19</v>
      </c>
      <c r="I370" s="14" t="n">
        <v>5</v>
      </c>
      <c r="J370" s="14" t="n">
        <v>0</v>
      </c>
      <c r="K370" s="14" t="n">
        <v>100</v>
      </c>
      <c r="L370" s="14" t="n">
        <v>100</v>
      </c>
      <c r="M370" s="12"/>
      <c r="N370" s="11"/>
      <c r="O370" s="23"/>
      <c r="P370" s="23"/>
      <c r="Q370" s="23"/>
      <c r="R370" s="23"/>
      <c r="S370" s="23"/>
      <c r="T370" s="23"/>
      <c r="U370" s="23"/>
      <c r="V370" s="23"/>
      <c r="W370" s="23"/>
      <c r="X370" s="23"/>
      <c r="Y370" s="23"/>
      <c r="Z370" s="23"/>
    </row>
    <row r="371" customFormat="false" ht="15.75" hidden="false" customHeight="true" outlineLevel="0" collapsed="false">
      <c r="A371" s="52" t="n">
        <v>46304</v>
      </c>
      <c r="B371" s="14" t="s">
        <v>41</v>
      </c>
      <c r="C371" s="14" t="str">
        <f aca="false" t="array" ref="C371:C371">IF(B371="","",IFERROR(INDEX('CLM &amp; IM Mapping'!$B$2:$B$270,MATCH(TRIM(B371),'CLM &amp; IM Mapping'!$A$2:$A$270,0)),"Not Mapped"))</f>
        <v>Rizwan Ahmed</v>
      </c>
      <c r="D371" s="14" t="str">
        <f aca="false" t="array" ref="D371:D371">IF(B371="","",IFERROR(INDEX('CLM &amp; IM Mapping'!$C$2:$C$270,MATCH(TRIM(B371),'CLM &amp; IM Mapping'!$A$2:$A$270,0)),"Not Mapped"))</f>
        <v>Un Mapped</v>
      </c>
      <c r="E371" s="14" t="n">
        <v>13</v>
      </c>
      <c r="F371" s="14" t="n">
        <v>15</v>
      </c>
      <c r="G371" s="14" t="n">
        <v>7</v>
      </c>
      <c r="H371" s="14" t="n">
        <v>61</v>
      </c>
      <c r="I371" s="14" t="n">
        <v>2</v>
      </c>
      <c r="J371" s="14" t="n">
        <v>0</v>
      </c>
      <c r="K371" s="14" t="n">
        <v>98</v>
      </c>
      <c r="L371" s="14" t="n">
        <v>98</v>
      </c>
      <c r="M371" s="12"/>
      <c r="N371" s="11"/>
      <c r="O371" s="23"/>
      <c r="P371" s="23"/>
      <c r="Q371" s="23"/>
      <c r="R371" s="23"/>
      <c r="S371" s="23"/>
      <c r="T371" s="23"/>
      <c r="U371" s="23"/>
      <c r="V371" s="23"/>
      <c r="W371" s="23"/>
      <c r="X371" s="23"/>
      <c r="Y371" s="23"/>
      <c r="Z371" s="23"/>
    </row>
    <row r="372" customFormat="false" ht="15.75" hidden="false" customHeight="true" outlineLevel="0" collapsed="false">
      <c r="A372" s="52" t="n">
        <v>46304</v>
      </c>
      <c r="B372" s="14" t="s">
        <v>407</v>
      </c>
      <c r="C372" s="14" t="str">
        <f aca="false" t="array" ref="C372:C372">IF(B372="","",IFERROR(INDEX('CLM &amp; IM Mapping'!$B$2:$B$270,MATCH(TRIM(B372),'CLM &amp; IM Mapping'!$A$2:$A$270,0)),"Not Mapped"))</f>
        <v>Rizwan Ahmed</v>
      </c>
      <c r="D372" s="14" t="str">
        <f aca="false" t="array" ref="D372:D372">IF(B372="","",IFERROR(INDEX('CLM &amp; IM Mapping'!$C$2:$C$270,MATCH(TRIM(B372),'CLM &amp; IM Mapping'!$A$2:$A$270,0)),"Not Mapped"))</f>
        <v>Un Mapped</v>
      </c>
      <c r="E372" s="14" t="n">
        <v>30</v>
      </c>
      <c r="F372" s="14" t="n">
        <v>9</v>
      </c>
      <c r="G372" s="14" t="n">
        <v>31</v>
      </c>
      <c r="H372" s="14" t="n">
        <v>5</v>
      </c>
      <c r="I372" s="14" t="n">
        <v>12</v>
      </c>
      <c r="J372" s="14" t="n">
        <v>9</v>
      </c>
      <c r="K372" s="14" t="n">
        <v>96</v>
      </c>
      <c r="L372" s="14" t="n">
        <v>96</v>
      </c>
      <c r="M372" s="12"/>
      <c r="N372" s="11"/>
      <c r="O372" s="23"/>
      <c r="P372" s="23"/>
      <c r="Q372" s="23"/>
      <c r="R372" s="23"/>
      <c r="S372" s="23"/>
      <c r="T372" s="23"/>
      <c r="U372" s="23"/>
      <c r="V372" s="23"/>
      <c r="W372" s="23"/>
      <c r="X372" s="23"/>
      <c r="Y372" s="23"/>
      <c r="Z372" s="23"/>
    </row>
    <row r="373" customFormat="false" ht="15.75" hidden="false" customHeight="true" outlineLevel="0" collapsed="false">
      <c r="A373" s="52" t="n">
        <v>46304</v>
      </c>
      <c r="B373" s="14" t="s">
        <v>423</v>
      </c>
      <c r="C373" s="14" t="str">
        <f aca="false" t="array" ref="C373:C373">IF(B373="","",IFERROR(INDEX('CLM &amp; IM Mapping'!$B$2:$B$270,MATCH(TRIM(B373),'CLM &amp; IM Mapping'!$A$2:$A$270,0)),"Not Mapped"))</f>
        <v>Ashwath S</v>
      </c>
      <c r="D373" s="14" t="str">
        <f aca="false" t="array" ref="D373:D373">IF(B373="","",IFERROR(INDEX('CLM &amp; IM Mapping'!$C$2:$C$270,MATCH(TRIM(B373),'CLM &amp; IM Mapping'!$A$2:$A$270,0)),"Not Mapped"))</f>
        <v>Kantha Kumar</v>
      </c>
      <c r="E373" s="14" t="n">
        <v>0</v>
      </c>
      <c r="F373" s="14" t="n">
        <v>23</v>
      </c>
      <c r="G373" s="14" t="n">
        <v>0</v>
      </c>
      <c r="H373" s="14" t="n">
        <v>6</v>
      </c>
      <c r="I373" s="14" t="n">
        <v>8</v>
      </c>
      <c r="J373" s="14" t="n">
        <v>58</v>
      </c>
      <c r="K373" s="14" t="n">
        <v>95</v>
      </c>
      <c r="L373" s="14" t="n">
        <v>95</v>
      </c>
      <c r="M373" s="12"/>
      <c r="N373" s="11"/>
      <c r="O373" s="23"/>
      <c r="P373" s="23"/>
      <c r="Q373" s="23"/>
      <c r="R373" s="23"/>
      <c r="S373" s="23"/>
      <c r="T373" s="23"/>
      <c r="U373" s="23"/>
      <c r="V373" s="23"/>
      <c r="W373" s="23"/>
      <c r="X373" s="23"/>
      <c r="Y373" s="23"/>
      <c r="Z373" s="23"/>
    </row>
    <row r="374" customFormat="false" ht="15.75" hidden="false" customHeight="true" outlineLevel="0" collapsed="false">
      <c r="A374" s="52" t="n">
        <v>46304</v>
      </c>
      <c r="B374" s="14" t="s">
        <v>203</v>
      </c>
      <c r="C374" s="14" t="str">
        <f aca="false" t="array" ref="C374:C374">IF(B374="","",IFERROR(INDEX('CLM &amp; IM Mapping'!$B$2:$B$270,MATCH(TRIM(B374),'CLM &amp; IM Mapping'!$A$2:$A$270,0)),"Not Mapped"))</f>
        <v>Suhas N</v>
      </c>
      <c r="D374" s="14" t="str">
        <f aca="false" t="array" ref="D374:D374">IF(B374="","",IFERROR(INDEX('CLM &amp; IM Mapping'!$C$2:$C$270,MATCH(TRIM(B374),'CLM &amp; IM Mapping'!$A$2:$A$270,0)),"Not Mapped"))</f>
        <v>Aravind S</v>
      </c>
      <c r="E374" s="14" t="n">
        <v>4</v>
      </c>
      <c r="F374" s="14" t="n">
        <v>46</v>
      </c>
      <c r="G374" s="14" t="n">
        <v>8</v>
      </c>
      <c r="H374" s="14" t="n">
        <v>3</v>
      </c>
      <c r="I374" s="14" t="n">
        <v>3</v>
      </c>
      <c r="J374" s="14" t="n">
        <v>28</v>
      </c>
      <c r="K374" s="14" t="n">
        <v>92</v>
      </c>
      <c r="L374" s="14" t="n">
        <v>90</v>
      </c>
      <c r="M374" s="12" t="s">
        <v>839</v>
      </c>
      <c r="N374" s="11"/>
      <c r="O374" s="23"/>
      <c r="P374" s="23"/>
      <c r="Q374" s="23"/>
      <c r="R374" s="23"/>
      <c r="S374" s="23"/>
      <c r="T374" s="23"/>
      <c r="U374" s="23"/>
      <c r="V374" s="23"/>
      <c r="W374" s="23"/>
      <c r="X374" s="23"/>
      <c r="Y374" s="23"/>
      <c r="Z374" s="23"/>
    </row>
    <row r="375" customFormat="false" ht="15.75" hidden="false" customHeight="true" outlineLevel="0" collapsed="false">
      <c r="A375" s="52" t="n">
        <v>46304</v>
      </c>
      <c r="B375" s="14" t="s">
        <v>398</v>
      </c>
      <c r="C375" s="14" t="str">
        <f aca="false" t="array" ref="C375:C375">IF(B375="","",IFERROR(INDEX('CLM &amp; IM Mapping'!$B$2:$B$270,MATCH(TRIM(B375),'CLM &amp; IM Mapping'!$A$2:$A$270,0)),"Not Mapped"))</f>
        <v>Raghavendra Vernekar</v>
      </c>
      <c r="D375" s="14" t="str">
        <f aca="false" t="array" ref="D375:D375">IF(B375="","",IFERROR(INDEX('CLM &amp; IM Mapping'!$C$2:$C$270,MATCH(TRIM(B375),'CLM &amp; IM Mapping'!$A$2:$A$270,0)),"Not Mapped"))</f>
        <v>Prakash BS</v>
      </c>
      <c r="E375" s="14" t="n">
        <v>18</v>
      </c>
      <c r="F375" s="14" t="n">
        <v>26</v>
      </c>
      <c r="G375" s="14" t="n">
        <v>15</v>
      </c>
      <c r="H375" s="14" t="n">
        <v>5</v>
      </c>
      <c r="I375" s="14" t="n">
        <v>15</v>
      </c>
      <c r="J375" s="14" t="n">
        <v>13</v>
      </c>
      <c r="K375" s="14" t="n">
        <v>92</v>
      </c>
      <c r="L375" s="14" t="n">
        <v>91</v>
      </c>
      <c r="M375" s="12" t="s">
        <v>844</v>
      </c>
      <c r="N375" s="11"/>
      <c r="O375" s="23"/>
      <c r="P375" s="23"/>
      <c r="Q375" s="23"/>
      <c r="R375" s="23"/>
      <c r="S375" s="23"/>
      <c r="T375" s="23"/>
      <c r="U375" s="23"/>
      <c r="V375" s="23"/>
      <c r="W375" s="23"/>
      <c r="X375" s="23"/>
      <c r="Y375" s="23"/>
      <c r="Z375" s="23"/>
    </row>
    <row r="376" customFormat="false" ht="15.75" hidden="false" customHeight="true" outlineLevel="0" collapsed="false">
      <c r="A376" s="52" t="n">
        <v>46304</v>
      </c>
      <c r="B376" s="14" t="s">
        <v>73</v>
      </c>
      <c r="C376" s="14" t="str">
        <f aca="false" t="array" ref="C376:C376">IF(B376="","",IFERROR(INDEX('CLM &amp; IM Mapping'!$B$2:$B$270,MATCH(TRIM(B376),'CLM &amp; IM Mapping'!$A$2:$A$270,0)),"Not Mapped"))</f>
        <v>Narasimhamurthy R</v>
      </c>
      <c r="D376" s="14" t="str">
        <f aca="false" t="array" ref="D376:D376">IF(B376="","",IFERROR(INDEX('CLM &amp; IM Mapping'!$C$2:$C$270,MATCH(TRIM(B376),'CLM &amp; IM Mapping'!$A$2:$A$270,0)),"Not Mapped"))</f>
        <v>Kishor K</v>
      </c>
      <c r="E376" s="14" t="n">
        <v>10</v>
      </c>
      <c r="F376" s="14" t="n">
        <v>26</v>
      </c>
      <c r="G376" s="14" t="n">
        <v>6</v>
      </c>
      <c r="H376" s="14" t="n">
        <v>8</v>
      </c>
      <c r="I376" s="14" t="n">
        <v>5</v>
      </c>
      <c r="J376" s="14" t="n">
        <v>35</v>
      </c>
      <c r="K376" s="14" t="n">
        <v>90</v>
      </c>
      <c r="L376" s="14" t="n">
        <v>90</v>
      </c>
      <c r="M376" s="12" t="s">
        <v>828</v>
      </c>
      <c r="N376" s="54" t="n">
        <v>0.666666666666667</v>
      </c>
      <c r="O376" s="23"/>
      <c r="P376" s="23"/>
      <c r="Q376" s="23"/>
      <c r="R376" s="23"/>
      <c r="S376" s="23"/>
      <c r="T376" s="23"/>
      <c r="U376" s="23"/>
      <c r="V376" s="23"/>
      <c r="W376" s="23"/>
      <c r="X376" s="23"/>
      <c r="Y376" s="23"/>
      <c r="Z376" s="23"/>
    </row>
    <row r="377" customFormat="false" ht="15.75" hidden="false" customHeight="true" outlineLevel="0" collapsed="false">
      <c r="A377" s="52" t="n">
        <v>46304</v>
      </c>
      <c r="B377" s="14" t="s">
        <v>361</v>
      </c>
      <c r="C377" s="14" t="str">
        <f aca="false" t="array" ref="C377:C377">IF(B377="","",IFERROR(INDEX('CLM &amp; IM Mapping'!$B$2:$B$270,MATCH(TRIM(B377),'CLM &amp; IM Mapping'!$A$2:$A$270,0)),"Not Mapped"))</f>
        <v>Santhosha M</v>
      </c>
      <c r="D377" s="14" t="str">
        <f aca="false" t="array" ref="D377:D377">IF(B377="","",IFERROR(INDEX('CLM &amp; IM Mapping'!$C$2:$C$270,MATCH(TRIM(B377),'CLM &amp; IM Mapping'!$A$2:$A$270,0)),"Not Mapped"))</f>
        <v>Aravind S</v>
      </c>
      <c r="E377" s="14" t="n">
        <v>45</v>
      </c>
      <c r="F377" s="14" t="n">
        <v>35</v>
      </c>
      <c r="G377" s="14" t="n">
        <v>4</v>
      </c>
      <c r="H377" s="14" t="n">
        <v>0</v>
      </c>
      <c r="I377" s="14" t="n">
        <v>2</v>
      </c>
      <c r="J377" s="14" t="n">
        <v>3</v>
      </c>
      <c r="K377" s="14" t="n">
        <v>89</v>
      </c>
      <c r="L377" s="14" t="n">
        <v>81</v>
      </c>
      <c r="M377" s="12"/>
      <c r="N377" s="11"/>
      <c r="O377" s="23"/>
      <c r="P377" s="23"/>
      <c r="Q377" s="23"/>
      <c r="R377" s="23"/>
      <c r="S377" s="23"/>
      <c r="T377" s="23"/>
      <c r="U377" s="23"/>
      <c r="V377" s="23"/>
      <c r="W377" s="23"/>
      <c r="X377" s="23"/>
      <c r="Y377" s="23"/>
      <c r="Z377" s="23"/>
    </row>
    <row r="378" customFormat="false" ht="15.75" hidden="false" customHeight="true" outlineLevel="0" collapsed="false">
      <c r="A378" s="52" t="n">
        <v>46304</v>
      </c>
      <c r="B378" s="14" t="s">
        <v>466</v>
      </c>
      <c r="C378" s="14" t="str">
        <f aca="false" t="array" ref="C378:C378">IF(B378="","",IFERROR(INDEX('CLM &amp; IM Mapping'!$B$2:$B$270,MATCH(TRIM(B378),'CLM &amp; IM Mapping'!$A$2:$A$270,0)),"Not Mapped"))</f>
        <v>Vishnu V</v>
      </c>
      <c r="D378" s="14" t="str">
        <f aca="false" t="array" ref="D378:D378">IF(B378="","",IFERROR(INDEX('CLM &amp; IM Mapping'!$C$2:$C$270,MATCH(TRIM(B378),'CLM &amp; IM Mapping'!$A$2:$A$270,0)),"Not Mapped"))</f>
        <v>Arivind S</v>
      </c>
      <c r="E378" s="14" t="n">
        <v>8</v>
      </c>
      <c r="F378" s="14" t="n">
        <v>57</v>
      </c>
      <c r="G378" s="14" t="n">
        <v>10</v>
      </c>
      <c r="H378" s="14" t="n">
        <v>8</v>
      </c>
      <c r="I378" s="14" t="n">
        <v>1</v>
      </c>
      <c r="J378" s="14" t="n">
        <v>4</v>
      </c>
      <c r="K378" s="14" t="n">
        <v>88</v>
      </c>
      <c r="L378" s="14" t="n">
        <v>46</v>
      </c>
      <c r="M378" s="12"/>
      <c r="N378" s="11"/>
      <c r="O378" s="23"/>
      <c r="P378" s="23"/>
      <c r="Q378" s="23"/>
      <c r="R378" s="23"/>
      <c r="S378" s="23"/>
      <c r="T378" s="23"/>
      <c r="U378" s="23"/>
      <c r="V378" s="23"/>
      <c r="W378" s="23"/>
      <c r="X378" s="23"/>
      <c r="Y378" s="23"/>
      <c r="Z378" s="23"/>
    </row>
    <row r="379" customFormat="false" ht="15.75" hidden="false" customHeight="true" outlineLevel="0" collapsed="false">
      <c r="A379" s="52" t="n">
        <v>46304</v>
      </c>
      <c r="B379" s="14" t="s">
        <v>300</v>
      </c>
      <c r="C379" s="14" t="str">
        <f aca="false" t="array" ref="C379:C379">IF(B379="","",IFERROR(INDEX('CLM &amp; IM Mapping'!$B$2:$B$270,MATCH(TRIM(B379),'CLM &amp; IM Mapping'!$A$2:$A$270,0)),"Not Mapped"))</f>
        <v>Bangareppa CS</v>
      </c>
      <c r="D379" s="14" t="str">
        <f aca="false" t="array" ref="D379:D379">IF(B379="","",IFERROR(INDEX('CLM &amp; IM Mapping'!$C$2:$C$270,MATCH(TRIM(B379),'CLM &amp; IM Mapping'!$A$2:$A$270,0)),"Not Mapped"))</f>
        <v>Kishor K</v>
      </c>
      <c r="E379" s="14" t="n">
        <v>14</v>
      </c>
      <c r="F379" s="14" t="n">
        <v>38</v>
      </c>
      <c r="G379" s="14" t="n">
        <v>34</v>
      </c>
      <c r="H379" s="14" t="n">
        <v>0</v>
      </c>
      <c r="I379" s="14" t="n">
        <v>1</v>
      </c>
      <c r="J379" s="14" t="n">
        <v>1</v>
      </c>
      <c r="K379" s="14" t="n">
        <v>88</v>
      </c>
      <c r="L379" s="14" t="n">
        <v>67</v>
      </c>
      <c r="M379" s="12" t="s">
        <v>828</v>
      </c>
      <c r="N379" s="54" t="n">
        <v>0.666666666666667</v>
      </c>
      <c r="O379" s="23"/>
      <c r="P379" s="23"/>
      <c r="Q379" s="23"/>
      <c r="R379" s="23"/>
      <c r="S379" s="23"/>
      <c r="T379" s="23"/>
      <c r="U379" s="23"/>
      <c r="V379" s="23"/>
      <c r="W379" s="23"/>
      <c r="X379" s="23"/>
      <c r="Y379" s="23"/>
      <c r="Z379" s="23"/>
    </row>
    <row r="380" customFormat="false" ht="15.75" hidden="false" customHeight="true" outlineLevel="0" collapsed="false">
      <c r="A380" s="52" t="n">
        <v>46304</v>
      </c>
      <c r="B380" s="14" t="s">
        <v>178</v>
      </c>
      <c r="C380" s="14" t="str">
        <f aca="false" t="array" ref="C380:C380">IF(B380="","",IFERROR(INDEX('CLM &amp; IM Mapping'!$B$2:$B$270,MATCH(TRIM(B380),'CLM &amp; IM Mapping'!$A$2:$A$270,0)),"Not Mapped"))</f>
        <v>Balaji G</v>
      </c>
      <c r="D380" s="14" t="str">
        <f aca="false" t="array" ref="D380:D380">IF(B380="","",IFERROR(INDEX('CLM &amp; IM Mapping'!$C$2:$C$270,MATCH(TRIM(B380),'CLM &amp; IM Mapping'!$A$2:$A$270,0)),"Not Mapped"))</f>
        <v>Mohammed Akbar</v>
      </c>
      <c r="E380" s="14" t="n">
        <v>0</v>
      </c>
      <c r="F380" s="14" t="n">
        <v>22</v>
      </c>
      <c r="G380" s="14" t="n">
        <v>0</v>
      </c>
      <c r="H380" s="14" t="n">
        <v>40</v>
      </c>
      <c r="I380" s="14" t="n">
        <v>22</v>
      </c>
      <c r="J380" s="14" t="n">
        <v>0</v>
      </c>
      <c r="K380" s="14" t="n">
        <v>84</v>
      </c>
      <c r="L380" s="14" t="n">
        <v>64</v>
      </c>
      <c r="M380" s="12"/>
      <c r="N380" s="11"/>
      <c r="O380" s="23"/>
      <c r="P380" s="23"/>
      <c r="Q380" s="23"/>
      <c r="R380" s="23"/>
      <c r="S380" s="23"/>
      <c r="T380" s="23"/>
      <c r="U380" s="23"/>
      <c r="V380" s="23"/>
      <c r="W380" s="23"/>
      <c r="X380" s="23"/>
      <c r="Y380" s="23"/>
      <c r="Z380" s="23"/>
    </row>
    <row r="381" customFormat="false" ht="15.75" hidden="false" customHeight="true" outlineLevel="0" collapsed="false">
      <c r="A381" s="52" t="n">
        <v>46304</v>
      </c>
      <c r="B381" s="14" t="s">
        <v>492</v>
      </c>
      <c r="C381" s="14" t="str">
        <f aca="false" t="array" ref="C381:C381">IF(B381="","",IFERROR(INDEX('CLM &amp; IM Mapping'!$B$2:$B$270,MATCH(TRIM(B381),'CLM &amp; IM Mapping'!$A$2:$A$270,0)),"Not Mapped"))</f>
        <v>Balaji G</v>
      </c>
      <c r="D381" s="14" t="str">
        <f aca="false" t="array" ref="D381:D381">IF(B381="","",IFERROR(INDEX('CLM &amp; IM Mapping'!$C$2:$C$270,MATCH(TRIM(B381),'CLM &amp; IM Mapping'!$A$2:$A$270,0)),"Not Mapped"))</f>
        <v>Mohammed Akbar</v>
      </c>
      <c r="E381" s="14" t="n">
        <v>43</v>
      </c>
      <c r="F381" s="14" t="n">
        <v>32</v>
      </c>
      <c r="G381" s="14" t="n">
        <v>8</v>
      </c>
      <c r="H381" s="14" t="n">
        <v>0</v>
      </c>
      <c r="I381" s="14" t="n">
        <v>0</v>
      </c>
      <c r="J381" s="14" t="n">
        <v>0</v>
      </c>
      <c r="K381" s="14" t="n">
        <v>83</v>
      </c>
      <c r="L381" s="14" t="n">
        <v>82</v>
      </c>
      <c r="M381" s="12"/>
      <c r="N381" s="11"/>
      <c r="O381" s="23"/>
      <c r="P381" s="23"/>
      <c r="Q381" s="23"/>
      <c r="R381" s="23"/>
      <c r="S381" s="23"/>
      <c r="T381" s="23"/>
      <c r="U381" s="23"/>
      <c r="V381" s="23"/>
      <c r="W381" s="23"/>
      <c r="X381" s="23"/>
      <c r="Y381" s="23"/>
      <c r="Z381" s="23"/>
    </row>
    <row r="382" customFormat="false" ht="15.75" hidden="false" customHeight="true" outlineLevel="0" collapsed="false">
      <c r="A382" s="52" t="n">
        <v>46304</v>
      </c>
      <c r="B382" s="14" t="s">
        <v>279</v>
      </c>
      <c r="C382" s="14" t="str">
        <f aca="false" t="array" ref="C382:C382">IF(B382="","",IFERROR(INDEX('CLM &amp; IM Mapping'!$B$2:$B$270,MATCH(TRIM(B382),'CLM &amp; IM Mapping'!$A$2:$A$270,0)),"Not Mapped"))</f>
        <v>Rizwan Ahmed</v>
      </c>
      <c r="D382" s="14" t="str">
        <f aca="false" t="array" ref="D382:D382">IF(B382="","",IFERROR(INDEX('CLM &amp; IM Mapping'!$C$2:$C$270,MATCH(TRIM(B382),'CLM &amp; IM Mapping'!$A$2:$A$270,0)),"Not Mapped"))</f>
        <v>Un Mapped</v>
      </c>
      <c r="E382" s="14" t="n">
        <v>21</v>
      </c>
      <c r="F382" s="14" t="n">
        <v>35</v>
      </c>
      <c r="G382" s="14" t="n">
        <v>5</v>
      </c>
      <c r="H382" s="14" t="n">
        <v>3</v>
      </c>
      <c r="I382" s="14" t="n">
        <v>16</v>
      </c>
      <c r="J382" s="14" t="n">
        <v>3</v>
      </c>
      <c r="K382" s="14" t="n">
        <v>83</v>
      </c>
      <c r="L382" s="14" t="n">
        <v>54</v>
      </c>
      <c r="M382" s="12"/>
      <c r="N382" s="11"/>
      <c r="O382" s="23"/>
      <c r="P382" s="23"/>
      <c r="Q382" s="23"/>
      <c r="R382" s="23"/>
      <c r="S382" s="23"/>
      <c r="T382" s="23"/>
      <c r="U382" s="23"/>
      <c r="V382" s="23"/>
      <c r="W382" s="23"/>
      <c r="X382" s="23"/>
      <c r="Y382" s="23"/>
      <c r="Z382" s="23"/>
    </row>
    <row r="383" customFormat="false" ht="15.75" hidden="false" customHeight="true" outlineLevel="0" collapsed="false">
      <c r="A383" s="52" t="n">
        <v>46304</v>
      </c>
      <c r="B383" s="14" t="s">
        <v>484</v>
      </c>
      <c r="C383" s="14" t="str">
        <f aca="false" t="array" ref="C383:C383">IF(B383="","",IFERROR(INDEX('CLM &amp; IM Mapping'!$B$2:$B$270,MATCH(TRIM(B383),'CLM &amp; IM Mapping'!$A$2:$A$270,0)),"Not Mapped"))</f>
        <v>Raghavendra Vernekar</v>
      </c>
      <c r="D383" s="14" t="str">
        <f aca="false" t="array" ref="D383:D383">IF(B383="","",IFERROR(INDEX('CLM &amp; IM Mapping'!$C$2:$C$270,MATCH(TRIM(B383),'CLM &amp; IM Mapping'!$A$2:$A$270,0)),"Not Mapped"))</f>
        <v>Prakash BS</v>
      </c>
      <c r="E383" s="14" t="n">
        <v>1</v>
      </c>
      <c r="F383" s="14" t="n">
        <v>59</v>
      </c>
      <c r="G383" s="14" t="n">
        <v>0</v>
      </c>
      <c r="H383" s="14" t="n">
        <v>15</v>
      </c>
      <c r="I383" s="14" t="n">
        <v>1</v>
      </c>
      <c r="J383" s="14" t="n">
        <v>5</v>
      </c>
      <c r="K383" s="14" t="n">
        <v>81</v>
      </c>
      <c r="L383" s="14" t="n">
        <v>81</v>
      </c>
      <c r="M383" s="12" t="s">
        <v>844</v>
      </c>
      <c r="N383" s="11"/>
      <c r="O383" s="23"/>
      <c r="P383" s="23"/>
      <c r="Q383" s="23"/>
      <c r="R383" s="23"/>
      <c r="S383" s="23"/>
      <c r="T383" s="23"/>
      <c r="U383" s="23"/>
      <c r="V383" s="23"/>
      <c r="W383" s="23"/>
      <c r="X383" s="23"/>
      <c r="Y383" s="23"/>
      <c r="Z383" s="23"/>
    </row>
    <row r="384" customFormat="false" ht="15.75" hidden="false" customHeight="true" outlineLevel="0" collapsed="false">
      <c r="A384" s="52" t="n">
        <v>46304</v>
      </c>
      <c r="B384" s="14" t="s">
        <v>396</v>
      </c>
      <c r="C384" s="14" t="str">
        <f aca="false" t="array" ref="C384:C384">IF(B384="","",IFERROR(INDEX('CLM &amp; IM Mapping'!$B$2:$B$270,MATCH(TRIM(B384),'CLM &amp; IM Mapping'!$A$2:$A$270,0)),"Not Mapped"))</f>
        <v>Ravishankar gowda</v>
      </c>
      <c r="D384" s="14" t="str">
        <f aca="false" t="array" ref="D384:D384">IF(B384="","",IFERROR(INDEX('CLM &amp; IM Mapping'!$C$2:$C$270,MATCH(TRIM(B384),'CLM &amp; IM Mapping'!$A$2:$A$270,0)),"Not Mapped"))</f>
        <v>Kishor K</v>
      </c>
      <c r="E384" s="14" t="n">
        <v>0</v>
      </c>
      <c r="F384" s="14" t="n">
        <v>0</v>
      </c>
      <c r="G384" s="14" t="n">
        <v>0</v>
      </c>
      <c r="H384" s="14" t="n">
        <v>5</v>
      </c>
      <c r="I384" s="14" t="n">
        <v>2</v>
      </c>
      <c r="J384" s="14" t="n">
        <v>74</v>
      </c>
      <c r="K384" s="14" t="n">
        <v>81</v>
      </c>
      <c r="L384" s="14" t="n">
        <v>81</v>
      </c>
      <c r="M384" s="12" t="s">
        <v>828</v>
      </c>
      <c r="N384" s="54" t="n">
        <v>0.666666666666667</v>
      </c>
      <c r="O384" s="23"/>
      <c r="P384" s="23"/>
      <c r="Q384" s="23"/>
      <c r="R384" s="23"/>
      <c r="S384" s="23"/>
      <c r="T384" s="23"/>
      <c r="U384" s="23"/>
      <c r="V384" s="23"/>
      <c r="W384" s="23"/>
      <c r="X384" s="23"/>
      <c r="Y384" s="23"/>
      <c r="Z384" s="23"/>
    </row>
    <row r="385" customFormat="false" ht="15.75" hidden="false" customHeight="true" outlineLevel="0" collapsed="false">
      <c r="A385" s="52" t="n">
        <v>46304</v>
      </c>
      <c r="B385" s="14" t="s">
        <v>416</v>
      </c>
      <c r="C385" s="14" t="str">
        <f aca="false" t="array" ref="C385:C385">IF(B385="","",IFERROR(INDEX('CLM &amp; IM Mapping'!$B$2:$B$270,MATCH(TRIM(B385),'CLM &amp; IM Mapping'!$A$2:$A$270,0)),"Not Mapped"))</f>
        <v>Girish N</v>
      </c>
      <c r="D385" s="14" t="str">
        <f aca="false" t="array" ref="D385:D385">IF(B385="","",IFERROR(INDEX('CLM &amp; IM Mapping'!$C$2:$C$270,MATCH(TRIM(B385),'CLM &amp; IM Mapping'!$A$2:$A$270,0)),"Not Mapped"))</f>
        <v>Un Mapped</v>
      </c>
      <c r="E385" s="14" t="n">
        <v>6</v>
      </c>
      <c r="F385" s="14" t="n">
        <v>24</v>
      </c>
      <c r="G385" s="14" t="n">
        <v>0</v>
      </c>
      <c r="H385" s="14" t="n">
        <v>10</v>
      </c>
      <c r="I385" s="14" t="n">
        <v>6</v>
      </c>
      <c r="J385" s="14" t="n">
        <v>33</v>
      </c>
      <c r="K385" s="14" t="n">
        <v>79</v>
      </c>
      <c r="L385" s="14" t="n">
        <v>79</v>
      </c>
      <c r="M385" s="12"/>
      <c r="N385" s="11"/>
      <c r="O385" s="23"/>
      <c r="P385" s="23"/>
      <c r="Q385" s="23"/>
      <c r="R385" s="23"/>
      <c r="S385" s="23"/>
      <c r="T385" s="23"/>
      <c r="U385" s="23"/>
      <c r="V385" s="23"/>
      <c r="W385" s="23"/>
      <c r="X385" s="23"/>
      <c r="Y385" s="23"/>
      <c r="Z385" s="23"/>
    </row>
    <row r="386" customFormat="false" ht="15.75" hidden="false" customHeight="true" outlineLevel="0" collapsed="false">
      <c r="A386" s="52" t="n">
        <v>46304</v>
      </c>
      <c r="B386" s="14" t="s">
        <v>465</v>
      </c>
      <c r="C386" s="14" t="str">
        <f aca="false" t="array" ref="C386:C386">IF(B386="","",IFERROR(INDEX('CLM &amp; IM Mapping'!$B$2:$B$270,MATCH(TRIM(B386),'CLM &amp; IM Mapping'!$A$2:$A$270,0)),"Not Mapped"))</f>
        <v>Suhas N</v>
      </c>
      <c r="D386" s="14" t="str">
        <f aca="false" t="array" ref="D386:D386">IF(B386="","",IFERROR(INDEX('CLM &amp; IM Mapping'!$C$2:$C$270,MATCH(TRIM(B386),'CLM &amp; IM Mapping'!$A$2:$A$270,0)),"Not Mapped"))</f>
        <v>Aravind S</v>
      </c>
      <c r="E386" s="14" t="n">
        <v>1</v>
      </c>
      <c r="F386" s="14" t="n">
        <v>13</v>
      </c>
      <c r="G386" s="14" t="n">
        <v>13</v>
      </c>
      <c r="H386" s="14" t="n">
        <v>13</v>
      </c>
      <c r="I386" s="14" t="n">
        <v>10</v>
      </c>
      <c r="J386" s="14" t="n">
        <v>29</v>
      </c>
      <c r="K386" s="14" t="n">
        <v>79</v>
      </c>
      <c r="L386" s="14" t="n">
        <v>79</v>
      </c>
      <c r="M386" s="12"/>
      <c r="N386" s="11"/>
      <c r="O386" s="23"/>
      <c r="P386" s="23"/>
      <c r="Q386" s="23"/>
      <c r="R386" s="23"/>
      <c r="S386" s="23"/>
      <c r="T386" s="23"/>
      <c r="U386" s="23"/>
      <c r="V386" s="23"/>
      <c r="W386" s="23"/>
      <c r="X386" s="23"/>
      <c r="Y386" s="23"/>
      <c r="Z386" s="23"/>
    </row>
    <row r="387" customFormat="false" ht="15.75" hidden="false" customHeight="true" outlineLevel="0" collapsed="false">
      <c r="A387" s="52" t="n">
        <v>46304</v>
      </c>
      <c r="B387" s="14" t="s">
        <v>516</v>
      </c>
      <c r="C387" s="14" t="str">
        <f aca="false" t="array" ref="C387:C387">IF(B387="","",IFERROR(INDEX('CLM &amp; IM Mapping'!$B$2:$B$270,MATCH(TRIM(B387),'CLM &amp; IM Mapping'!$A$2:$A$270,0)),"Not Mapped"))</f>
        <v>Sundaresh S</v>
      </c>
      <c r="D387" s="14" t="str">
        <f aca="false" t="array" ref="D387:D387">IF(B387="","",IFERROR(INDEX('CLM &amp; IM Mapping'!$C$2:$C$270,MATCH(TRIM(B387),'CLM &amp; IM Mapping'!$A$2:$A$270,0)),"Not Mapped"))</f>
        <v>Un Mapped</v>
      </c>
      <c r="E387" s="14" t="n">
        <v>5</v>
      </c>
      <c r="F387" s="14" t="n">
        <v>37</v>
      </c>
      <c r="G387" s="14" t="n">
        <v>3</v>
      </c>
      <c r="H387" s="14" t="n">
        <v>10</v>
      </c>
      <c r="I387" s="14" t="n">
        <v>12</v>
      </c>
      <c r="J387" s="14" t="n">
        <v>12</v>
      </c>
      <c r="K387" s="14" t="n">
        <v>79</v>
      </c>
      <c r="L387" s="14" t="n">
        <v>78</v>
      </c>
      <c r="M387" s="12"/>
      <c r="N387" s="11"/>
      <c r="O387" s="23"/>
      <c r="P387" s="23"/>
      <c r="Q387" s="23"/>
      <c r="R387" s="23"/>
      <c r="S387" s="23"/>
      <c r="T387" s="23"/>
      <c r="U387" s="23"/>
      <c r="V387" s="23"/>
      <c r="W387" s="23"/>
      <c r="X387" s="23"/>
      <c r="Y387" s="23"/>
      <c r="Z387" s="23"/>
    </row>
    <row r="388" customFormat="false" ht="15.75" hidden="false" customHeight="true" outlineLevel="0" collapsed="false">
      <c r="A388" s="52" t="n">
        <v>46304</v>
      </c>
      <c r="B388" s="14" t="s">
        <v>226</v>
      </c>
      <c r="C388" s="14" t="str">
        <f aca="false" t="array" ref="C388:C388">IF(B388="","",IFERROR(INDEX('CLM &amp; IM Mapping'!$B$2:$B$270,MATCH(TRIM(B388),'CLM &amp; IM Mapping'!$A$2:$A$270,0)),"Not Mapped"))</f>
        <v>Manoj Kj</v>
      </c>
      <c r="D388" s="14" t="str">
        <f aca="false" t="array" ref="D388:D388">IF(B388="","",IFERROR(INDEX('CLM &amp; IM Mapping'!$C$2:$C$270,MATCH(TRIM(B388),'CLM &amp; IM Mapping'!$A$2:$A$270,0)),"Not Mapped"))</f>
        <v>Srittam Dhal</v>
      </c>
      <c r="E388" s="14" t="n">
        <v>0</v>
      </c>
      <c r="F388" s="14" t="n">
        <v>1</v>
      </c>
      <c r="G388" s="14" t="n">
        <v>0</v>
      </c>
      <c r="H388" s="14" t="n">
        <v>24</v>
      </c>
      <c r="I388" s="14" t="n">
        <v>54</v>
      </c>
      <c r="J388" s="14" t="n">
        <v>0</v>
      </c>
      <c r="K388" s="14" t="n">
        <v>79</v>
      </c>
      <c r="L388" s="14" t="n">
        <v>0</v>
      </c>
      <c r="M388" s="12"/>
      <c r="N388" s="11"/>
      <c r="O388" s="23"/>
      <c r="P388" s="23"/>
      <c r="Q388" s="23"/>
      <c r="R388" s="23"/>
      <c r="S388" s="23"/>
      <c r="T388" s="23"/>
      <c r="U388" s="23"/>
      <c r="V388" s="23"/>
      <c r="W388" s="23"/>
      <c r="X388" s="23"/>
      <c r="Y388" s="23"/>
      <c r="Z388" s="23"/>
    </row>
    <row r="389" customFormat="false" ht="15.75" hidden="false" customHeight="true" outlineLevel="0" collapsed="false">
      <c r="A389" s="52" t="n">
        <v>46304</v>
      </c>
      <c r="B389" s="14" t="s">
        <v>257</v>
      </c>
      <c r="C389" s="14" t="str">
        <f aca="false" t="array" ref="C389:C389">IF(B389="","",IFERROR(INDEX('CLM &amp; IM Mapping'!$B$2:$B$270,MATCH(TRIM(B389),'CLM &amp; IM Mapping'!$A$2:$A$270,0)),"Not Mapped"))</f>
        <v>Raghavendra Vernekar</v>
      </c>
      <c r="D389" s="14" t="str">
        <f aca="false" t="array" ref="D389:D389">IF(B389="","",IFERROR(INDEX('CLM &amp; IM Mapping'!$C$2:$C$270,MATCH(TRIM(B389),'CLM &amp; IM Mapping'!$A$2:$A$270,0)),"Not Mapped"))</f>
        <v>Prakash BS</v>
      </c>
      <c r="E389" s="14" t="n">
        <v>21</v>
      </c>
      <c r="F389" s="14" t="n">
        <v>5</v>
      </c>
      <c r="G389" s="14" t="n">
        <v>22</v>
      </c>
      <c r="H389" s="14" t="n">
        <v>6</v>
      </c>
      <c r="I389" s="14" t="n">
        <v>24</v>
      </c>
      <c r="J389" s="14" t="n">
        <v>0</v>
      </c>
      <c r="K389" s="14" t="n">
        <v>78</v>
      </c>
      <c r="L389" s="14" t="n">
        <v>77</v>
      </c>
      <c r="M389" s="12" t="s">
        <v>844</v>
      </c>
      <c r="N389" s="11"/>
      <c r="O389" s="23"/>
      <c r="P389" s="23"/>
      <c r="Q389" s="23"/>
      <c r="R389" s="23"/>
      <c r="S389" s="23"/>
      <c r="T389" s="23"/>
      <c r="U389" s="23"/>
      <c r="V389" s="23"/>
      <c r="W389" s="23"/>
      <c r="X389" s="23"/>
      <c r="Y389" s="23"/>
      <c r="Z389" s="23"/>
    </row>
    <row r="390" customFormat="false" ht="15.75" hidden="false" customHeight="true" outlineLevel="0" collapsed="false">
      <c r="A390" s="52" t="n">
        <v>46304</v>
      </c>
      <c r="B390" s="14" t="s">
        <v>458</v>
      </c>
      <c r="C390" s="14" t="str">
        <f aca="false" t="array" ref="C390:C390">IF(B390="","",IFERROR(INDEX('CLM &amp; IM Mapping'!$B$2:$B$270,MATCH(TRIM(B390),'CLM &amp; IM Mapping'!$A$2:$A$270,0)),"Not Mapped"))</f>
        <v>John Britto</v>
      </c>
      <c r="D390" s="14" t="str">
        <f aca="false" t="array" ref="D390:D390">IF(B390="","",IFERROR(INDEX('CLM &amp; IM Mapping'!$C$2:$C$270,MATCH(TRIM(B390),'CLM &amp; IM Mapping'!$A$2:$A$270,0)),"Not Mapped"))</f>
        <v>Aravind S</v>
      </c>
      <c r="E390" s="14" t="n">
        <v>2</v>
      </c>
      <c r="F390" s="14" t="n">
        <v>68</v>
      </c>
      <c r="G390" s="14" t="n">
        <v>3</v>
      </c>
      <c r="H390" s="14" t="n">
        <v>0</v>
      </c>
      <c r="I390" s="14" t="n">
        <v>5</v>
      </c>
      <c r="J390" s="14" t="n">
        <v>0</v>
      </c>
      <c r="K390" s="14" t="n">
        <v>78</v>
      </c>
      <c r="L390" s="14" t="n">
        <v>78</v>
      </c>
      <c r="M390" s="12"/>
      <c r="N390" s="11"/>
      <c r="O390" s="23"/>
      <c r="P390" s="23"/>
      <c r="Q390" s="23"/>
      <c r="R390" s="23"/>
      <c r="S390" s="23"/>
      <c r="T390" s="23"/>
      <c r="U390" s="23"/>
      <c r="V390" s="23"/>
      <c r="W390" s="23"/>
      <c r="X390" s="23"/>
      <c r="Y390" s="23"/>
      <c r="Z390" s="23"/>
    </row>
    <row r="391" customFormat="false" ht="15.75" hidden="false" customHeight="true" outlineLevel="0" collapsed="false">
      <c r="A391" s="52" t="n">
        <v>46304</v>
      </c>
      <c r="B391" s="14" t="s">
        <v>262</v>
      </c>
      <c r="C391" s="14" t="str">
        <f aca="false" t="array" ref="C391:C391">IF(B391="","",IFERROR(INDEX('CLM &amp; IM Mapping'!$B$2:$B$270,MATCH(TRIM(B391),'CLM &amp; IM Mapping'!$A$2:$A$270,0)),"Not Mapped"))</f>
        <v>Majid Kakatikar</v>
      </c>
      <c r="D391" s="14" t="str">
        <f aca="false" t="array" ref="D391:D391">IF(B391="","",IFERROR(INDEX('CLM &amp; IM Mapping'!$C$2:$C$270,MATCH(TRIM(B391),'CLM &amp; IM Mapping'!$A$2:$A$270,0)),"Not Mapped"))</f>
        <v>Kishor K</v>
      </c>
      <c r="E391" s="14" t="n">
        <v>0</v>
      </c>
      <c r="F391" s="14" t="n">
        <v>47</v>
      </c>
      <c r="G391" s="14" t="n">
        <v>1</v>
      </c>
      <c r="H391" s="14" t="n">
        <v>2</v>
      </c>
      <c r="I391" s="14" t="n">
        <v>25</v>
      </c>
      <c r="J391" s="14" t="n">
        <v>2</v>
      </c>
      <c r="K391" s="14" t="n">
        <v>77</v>
      </c>
      <c r="L391" s="14" t="n">
        <v>75</v>
      </c>
      <c r="M391" s="12" t="s">
        <v>828</v>
      </c>
      <c r="N391" s="54" t="n">
        <v>0.666666666666667</v>
      </c>
      <c r="O391" s="23"/>
      <c r="P391" s="23"/>
      <c r="Q391" s="23"/>
      <c r="R391" s="23"/>
      <c r="S391" s="23"/>
      <c r="T391" s="23"/>
      <c r="U391" s="23"/>
      <c r="V391" s="23"/>
      <c r="W391" s="23"/>
      <c r="X391" s="23"/>
      <c r="Y391" s="23"/>
      <c r="Z391" s="23"/>
    </row>
    <row r="392" customFormat="false" ht="15.75" hidden="false" customHeight="true" outlineLevel="0" collapsed="false">
      <c r="A392" s="52" t="n">
        <v>46304</v>
      </c>
      <c r="B392" s="14" t="s">
        <v>92</v>
      </c>
      <c r="C392" s="14" t="str">
        <f aca="false" t="array" ref="C392:C392">IF(B392="","",IFERROR(INDEX('CLM &amp; IM Mapping'!$B$2:$B$270,MATCH(TRIM(B392),'CLM &amp; IM Mapping'!$A$2:$A$270,0)),"Not Mapped"))</f>
        <v>Balaji G</v>
      </c>
      <c r="D392" s="14" t="str">
        <f aca="false" t="array" ref="D392:D392">IF(B392="","",IFERROR(INDEX('CLM &amp; IM Mapping'!$C$2:$C$270,MATCH(TRIM(B392),'CLM &amp; IM Mapping'!$A$2:$A$270,0)),"Not Mapped"))</f>
        <v>Mohammed Akbar</v>
      </c>
      <c r="E392" s="14" t="n">
        <v>40</v>
      </c>
      <c r="F392" s="14" t="n">
        <v>21</v>
      </c>
      <c r="G392" s="14" t="n">
        <v>2</v>
      </c>
      <c r="H392" s="14" t="n">
        <v>3</v>
      </c>
      <c r="I392" s="14" t="n">
        <v>2</v>
      </c>
      <c r="J392" s="14" t="n">
        <v>8</v>
      </c>
      <c r="K392" s="14" t="n">
        <v>76</v>
      </c>
      <c r="L392" s="14" t="n">
        <v>75</v>
      </c>
      <c r="M392" s="12"/>
      <c r="N392" s="11"/>
      <c r="O392" s="23"/>
      <c r="P392" s="23"/>
      <c r="Q392" s="23"/>
      <c r="R392" s="23"/>
      <c r="S392" s="23"/>
      <c r="T392" s="23"/>
      <c r="U392" s="23"/>
      <c r="V392" s="23"/>
      <c r="W392" s="23"/>
      <c r="X392" s="23"/>
      <c r="Y392" s="23"/>
      <c r="Z392" s="23"/>
    </row>
    <row r="393" customFormat="false" ht="15.75" hidden="false" customHeight="true" outlineLevel="0" collapsed="false">
      <c r="A393" s="52" t="n">
        <v>46304</v>
      </c>
      <c r="B393" s="14" t="s">
        <v>402</v>
      </c>
      <c r="C393" s="14" t="str">
        <f aca="false" t="array" ref="C393:C393">IF(B393="","",IFERROR(INDEX('CLM &amp; IM Mapping'!$B$2:$B$270,MATCH(TRIM(B393),'CLM &amp; IM Mapping'!$A$2:$A$270,0)),"Not Mapped"))</f>
        <v>Narasimhamurthy R</v>
      </c>
      <c r="D393" s="14" t="str">
        <f aca="false" t="array" ref="D393:D393">IF(B393="","",IFERROR(INDEX('CLM &amp; IM Mapping'!$C$2:$C$270,MATCH(TRIM(B393),'CLM &amp; IM Mapping'!$A$2:$A$270,0)),"Not Mapped"))</f>
        <v>Kishor K</v>
      </c>
      <c r="E393" s="14" t="n">
        <v>0</v>
      </c>
      <c r="F393" s="14" t="n">
        <v>1</v>
      </c>
      <c r="G393" s="14" t="n">
        <v>0</v>
      </c>
      <c r="H393" s="14" t="n">
        <v>17</v>
      </c>
      <c r="I393" s="14" t="n">
        <v>54</v>
      </c>
      <c r="J393" s="14" t="n">
        <v>1</v>
      </c>
      <c r="K393" s="14" t="n">
        <v>73</v>
      </c>
      <c r="L393" s="14" t="n">
        <v>72</v>
      </c>
      <c r="M393" s="12" t="s">
        <v>828</v>
      </c>
      <c r="N393" s="54" t="n">
        <v>0.666666666666667</v>
      </c>
      <c r="O393" s="23"/>
      <c r="P393" s="23"/>
      <c r="Q393" s="23"/>
      <c r="R393" s="23"/>
      <c r="S393" s="23"/>
      <c r="T393" s="23"/>
      <c r="U393" s="23"/>
      <c r="V393" s="23"/>
      <c r="W393" s="23"/>
      <c r="X393" s="23"/>
      <c r="Y393" s="23"/>
      <c r="Z393" s="23"/>
    </row>
    <row r="394" customFormat="false" ht="15.75" hidden="false" customHeight="true" outlineLevel="0" collapsed="false">
      <c r="A394" s="52" t="n">
        <v>46304</v>
      </c>
      <c r="B394" s="14" t="s">
        <v>373</v>
      </c>
      <c r="C394" s="14" t="str">
        <f aca="false" t="array" ref="C394:C394">IF(B394="","",IFERROR(INDEX('CLM &amp; IM Mapping'!$B$2:$B$270,MATCH(TRIM(B394),'CLM &amp; IM Mapping'!$A$2:$A$270,0)),"Not Mapped"))</f>
        <v>Majid Kakatikar</v>
      </c>
      <c r="D394" s="14" t="str">
        <f aca="false" t="array" ref="D394:D394">IF(B394="","",IFERROR(INDEX('CLM &amp; IM Mapping'!$C$2:$C$270,MATCH(TRIM(B394),'CLM &amp; IM Mapping'!$A$2:$A$270,0)),"Not Mapped"))</f>
        <v>Kishor K</v>
      </c>
      <c r="E394" s="14" t="n">
        <v>0</v>
      </c>
      <c r="F394" s="14" t="n">
        <v>25</v>
      </c>
      <c r="G394" s="14" t="n">
        <v>46</v>
      </c>
      <c r="H394" s="14" t="n">
        <v>0</v>
      </c>
      <c r="I394" s="14" t="n">
        <v>0</v>
      </c>
      <c r="J394" s="14" t="n">
        <v>0</v>
      </c>
      <c r="K394" s="14" t="n">
        <v>71</v>
      </c>
      <c r="L394" s="14" t="n">
        <v>37</v>
      </c>
      <c r="M394" s="12" t="s">
        <v>828</v>
      </c>
      <c r="N394" s="54" t="n">
        <v>0.666666666666667</v>
      </c>
      <c r="O394" s="23"/>
      <c r="P394" s="23"/>
      <c r="Q394" s="23"/>
      <c r="R394" s="23"/>
      <c r="S394" s="23"/>
      <c r="T394" s="23"/>
      <c r="U394" s="23"/>
      <c r="V394" s="23"/>
      <c r="W394" s="23"/>
      <c r="X394" s="23"/>
      <c r="Y394" s="23"/>
      <c r="Z394" s="23"/>
    </row>
    <row r="395" customFormat="false" ht="15.75" hidden="false" customHeight="true" outlineLevel="0" collapsed="false">
      <c r="A395" s="52" t="n">
        <v>46304</v>
      </c>
      <c r="B395" s="14" t="s">
        <v>532</v>
      </c>
      <c r="C395" s="14" t="str">
        <f aca="false" t="array" ref="C395:C395">IF(B395="","",IFERROR(INDEX('CLM &amp; IM Mapping'!$B$2:$B$270,MATCH(TRIM(B395),'CLM &amp; IM Mapping'!$A$2:$A$270,0)),"Not Mapped"))</f>
        <v>Arun Raj</v>
      </c>
      <c r="D395" s="14" t="str">
        <f aca="false" t="array" ref="D395:D395">IF(B395="","",IFERROR(INDEX('CLM &amp; IM Mapping'!$C$2:$C$270,MATCH(TRIM(B395),'CLM &amp; IM Mapping'!$A$2:$A$270,0)),"Not Mapped"))</f>
        <v>Simon Manoharan</v>
      </c>
      <c r="E395" s="14" t="n">
        <v>0</v>
      </c>
      <c r="F395" s="14" t="n">
        <v>0</v>
      </c>
      <c r="G395" s="14" t="n">
        <v>0</v>
      </c>
      <c r="H395" s="14" t="n">
        <v>58</v>
      </c>
      <c r="I395" s="14" t="n">
        <v>11</v>
      </c>
      <c r="J395" s="14" t="n">
        <v>0</v>
      </c>
      <c r="K395" s="14" t="n">
        <v>69</v>
      </c>
      <c r="L395" s="14" t="n">
        <v>0</v>
      </c>
      <c r="M395" s="12"/>
      <c r="N395" s="11"/>
      <c r="O395" s="23"/>
      <c r="P395" s="23"/>
      <c r="Q395" s="23"/>
      <c r="R395" s="23"/>
      <c r="S395" s="23"/>
      <c r="T395" s="23"/>
      <c r="U395" s="23"/>
      <c r="V395" s="23"/>
      <c r="W395" s="23"/>
      <c r="X395" s="23"/>
      <c r="Y395" s="23"/>
      <c r="Z395" s="23"/>
    </row>
    <row r="396" customFormat="false" ht="15.75" hidden="false" customHeight="true" outlineLevel="0" collapsed="false">
      <c r="A396" s="52" t="n">
        <v>46304</v>
      </c>
      <c r="B396" s="14" t="s">
        <v>483</v>
      </c>
      <c r="C396" s="14" t="str">
        <f aca="false" t="array" ref="C396:C396">IF(B396="","",IFERROR(INDEX('CLM &amp; IM Mapping'!$B$2:$B$270,MATCH(TRIM(B396),'CLM &amp; IM Mapping'!$A$2:$A$270,0)),"Not Mapped"))</f>
        <v>Sundaresh S</v>
      </c>
      <c r="D396" s="14" t="str">
        <f aca="false" t="array" ref="D396:D396">IF(B396="","",IFERROR(INDEX('CLM &amp; IM Mapping'!$C$2:$C$270,MATCH(TRIM(B396),'CLM &amp; IM Mapping'!$A$2:$A$270,0)),"Not Mapped"))</f>
        <v>Un Mapped</v>
      </c>
      <c r="E396" s="14" t="n">
        <v>0</v>
      </c>
      <c r="F396" s="14" t="n">
        <v>6</v>
      </c>
      <c r="G396" s="14" t="n">
        <v>0</v>
      </c>
      <c r="H396" s="14" t="n">
        <v>22</v>
      </c>
      <c r="I396" s="14" t="n">
        <v>4</v>
      </c>
      <c r="J396" s="14" t="n">
        <v>36</v>
      </c>
      <c r="K396" s="14" t="n">
        <v>68</v>
      </c>
      <c r="L396" s="14" t="n">
        <v>66</v>
      </c>
      <c r="M396" s="12"/>
      <c r="N396" s="11"/>
      <c r="O396" s="23"/>
      <c r="P396" s="23"/>
      <c r="Q396" s="23"/>
      <c r="R396" s="23"/>
      <c r="S396" s="23"/>
      <c r="T396" s="23"/>
      <c r="U396" s="23"/>
      <c r="V396" s="23"/>
      <c r="W396" s="23"/>
      <c r="X396" s="23"/>
      <c r="Y396" s="23"/>
      <c r="Z396" s="23"/>
    </row>
    <row r="397" customFormat="false" ht="15.75" hidden="false" customHeight="true" outlineLevel="0" collapsed="false">
      <c r="A397" s="52" t="n">
        <v>46304</v>
      </c>
      <c r="B397" s="14" t="s">
        <v>274</v>
      </c>
      <c r="C397" s="14" t="str">
        <f aca="false" t="array" ref="C397:C397">IF(B397="","",IFERROR(INDEX('CLM &amp; IM Mapping'!$B$2:$B$270,MATCH(TRIM(B397),'CLM &amp; IM Mapping'!$A$2:$A$270,0)),"Not Mapped"))</f>
        <v>Vishnu V</v>
      </c>
      <c r="D397" s="14" t="str">
        <f aca="false" t="array" ref="D397:D397">IF(B397="","",IFERROR(INDEX('CLM &amp; IM Mapping'!$C$2:$C$270,MATCH(TRIM(B397),'CLM &amp; IM Mapping'!$A$2:$A$270,0)),"Not Mapped"))</f>
        <v>Arivind S</v>
      </c>
      <c r="E397" s="14" t="n">
        <v>0</v>
      </c>
      <c r="F397" s="14" t="n">
        <v>20</v>
      </c>
      <c r="G397" s="14" t="n">
        <v>0</v>
      </c>
      <c r="H397" s="14" t="n">
        <v>42</v>
      </c>
      <c r="I397" s="14" t="n">
        <v>3</v>
      </c>
      <c r="J397" s="14" t="n">
        <v>1</v>
      </c>
      <c r="K397" s="14" t="n">
        <v>66</v>
      </c>
      <c r="L397" s="14" t="n">
        <v>66</v>
      </c>
      <c r="M397" s="12"/>
      <c r="N397" s="11"/>
      <c r="O397" s="23"/>
      <c r="P397" s="23"/>
      <c r="Q397" s="23"/>
      <c r="R397" s="23"/>
      <c r="S397" s="23"/>
      <c r="T397" s="23"/>
      <c r="U397" s="23"/>
      <c r="V397" s="23"/>
      <c r="W397" s="23"/>
      <c r="X397" s="23"/>
      <c r="Y397" s="23"/>
      <c r="Z397" s="23"/>
    </row>
    <row r="398" customFormat="false" ht="15.75" hidden="false" customHeight="true" outlineLevel="0" collapsed="false">
      <c r="A398" s="52" t="n">
        <v>46304</v>
      </c>
      <c r="B398" s="14" t="s">
        <v>142</v>
      </c>
      <c r="C398" s="14" t="str">
        <f aca="false" t="array" ref="C398:C398">IF(B398="","",IFERROR(INDEX('CLM &amp; IM Mapping'!$B$2:$B$270,MATCH(TRIM(B398),'CLM &amp; IM Mapping'!$A$2:$A$270,0)),"Not Mapped"))</f>
        <v>Sundaresh S</v>
      </c>
      <c r="D398" s="14" t="str">
        <f aca="false" t="array" ref="D398:D398">IF(B398="","",IFERROR(INDEX('CLM &amp; IM Mapping'!$C$2:$C$270,MATCH(TRIM(B398),'CLM &amp; IM Mapping'!$A$2:$A$270,0)),"Not Mapped"))</f>
        <v>Un Mapped</v>
      </c>
      <c r="E398" s="14" t="n">
        <v>0</v>
      </c>
      <c r="F398" s="14" t="n">
        <v>20</v>
      </c>
      <c r="G398" s="14" t="n">
        <v>0</v>
      </c>
      <c r="H398" s="14" t="n">
        <v>28</v>
      </c>
      <c r="I398" s="14" t="n">
        <v>14</v>
      </c>
      <c r="J398" s="14" t="n">
        <v>4</v>
      </c>
      <c r="K398" s="14" t="n">
        <v>66</v>
      </c>
      <c r="L398" s="14" t="n">
        <v>61</v>
      </c>
      <c r="M398" s="12"/>
      <c r="N398" s="11"/>
      <c r="O398" s="23"/>
      <c r="P398" s="23"/>
      <c r="Q398" s="23"/>
      <c r="R398" s="23"/>
      <c r="S398" s="23"/>
      <c r="T398" s="23"/>
      <c r="U398" s="23"/>
      <c r="V398" s="23"/>
      <c r="W398" s="23"/>
      <c r="X398" s="23"/>
      <c r="Y398" s="23"/>
      <c r="Z398" s="23"/>
    </row>
    <row r="399" customFormat="false" ht="15.75" hidden="false" customHeight="true" outlineLevel="0" collapsed="false">
      <c r="A399" s="52" t="n">
        <v>46304</v>
      </c>
      <c r="B399" s="14" t="s">
        <v>68</v>
      </c>
      <c r="C399" s="14" t="str">
        <f aca="false" t="array" ref="C399:C399">IF(B399="","",IFERROR(INDEX('CLM &amp; IM Mapping'!$B$2:$B$270,MATCH(TRIM(B399),'CLM &amp; IM Mapping'!$A$2:$A$270,0)),"Not Mapped"))</f>
        <v>Girish N</v>
      </c>
      <c r="D399" s="14" t="str">
        <f aca="false" t="array" ref="D399:D399">IF(B399="","",IFERROR(INDEX('CLM &amp; IM Mapping'!$C$2:$C$270,MATCH(TRIM(B399),'CLM &amp; IM Mapping'!$A$2:$A$270,0)),"Not Mapped"))</f>
        <v>Un Mapped</v>
      </c>
      <c r="E399" s="14" t="n">
        <v>0</v>
      </c>
      <c r="F399" s="14" t="n">
        <v>11</v>
      </c>
      <c r="G399" s="14" t="n">
        <v>0</v>
      </c>
      <c r="H399" s="14" t="n">
        <v>48</v>
      </c>
      <c r="I399" s="14" t="n">
        <v>1</v>
      </c>
      <c r="J399" s="14" t="n">
        <v>4</v>
      </c>
      <c r="K399" s="14" t="n">
        <v>64</v>
      </c>
      <c r="L399" s="14" t="n">
        <v>64</v>
      </c>
      <c r="M399" s="12"/>
      <c r="N399" s="11"/>
      <c r="O399" s="23"/>
      <c r="P399" s="23"/>
      <c r="Q399" s="23"/>
      <c r="R399" s="23"/>
      <c r="S399" s="23"/>
      <c r="T399" s="23"/>
      <c r="U399" s="23"/>
      <c r="V399" s="23"/>
      <c r="W399" s="23"/>
      <c r="X399" s="23"/>
      <c r="Y399" s="23"/>
      <c r="Z399" s="23"/>
    </row>
    <row r="400" customFormat="false" ht="15.75" hidden="false" customHeight="true" outlineLevel="0" collapsed="false">
      <c r="A400" s="52" t="n">
        <v>46304</v>
      </c>
      <c r="B400" s="14" t="s">
        <v>56</v>
      </c>
      <c r="C400" s="14" t="str">
        <f aca="false" t="array" ref="C400:C400">IF(B400="","",IFERROR(INDEX('CLM &amp; IM Mapping'!$B$2:$B$270,MATCH(TRIM(B400),'CLM &amp; IM Mapping'!$A$2:$A$270,0)),"Not Mapped"))</f>
        <v>Keshav G</v>
      </c>
      <c r="D400" s="14" t="str">
        <f aca="false" t="array" ref="D400:D400">IF(B400="","",IFERROR(INDEX('CLM &amp; IM Mapping'!$C$2:$C$270,MATCH(TRIM(B400),'CLM &amp; IM Mapping'!$A$2:$A$270,0)),"Not Mapped"))</f>
        <v>Un Mapped</v>
      </c>
      <c r="E400" s="14" t="n">
        <v>0</v>
      </c>
      <c r="F400" s="14" t="n">
        <v>23</v>
      </c>
      <c r="G400" s="14" t="n">
        <v>0</v>
      </c>
      <c r="H400" s="14" t="n">
        <v>19</v>
      </c>
      <c r="I400" s="14" t="n">
        <v>21</v>
      </c>
      <c r="J400" s="14" t="n">
        <v>0</v>
      </c>
      <c r="K400" s="14" t="n">
        <v>63</v>
      </c>
      <c r="L400" s="14" t="n">
        <v>63</v>
      </c>
      <c r="M400" s="12"/>
      <c r="N400" s="11"/>
      <c r="O400" s="23"/>
      <c r="P400" s="23"/>
      <c r="Q400" s="23"/>
      <c r="R400" s="23"/>
      <c r="S400" s="23"/>
      <c r="T400" s="23"/>
      <c r="U400" s="23"/>
      <c r="V400" s="23"/>
      <c r="W400" s="23"/>
      <c r="X400" s="23"/>
      <c r="Y400" s="23"/>
      <c r="Z400" s="23"/>
    </row>
    <row r="401" customFormat="false" ht="15.75" hidden="false" customHeight="true" outlineLevel="0" collapsed="false">
      <c r="A401" s="52" t="n">
        <v>46304</v>
      </c>
      <c r="B401" s="14" t="s">
        <v>277</v>
      </c>
      <c r="C401" s="14" t="str">
        <f aca="false" t="array" ref="C401:C401">IF(B401="","",IFERROR(INDEX('CLM &amp; IM Mapping'!$B$2:$B$270,MATCH(TRIM(B401),'CLM &amp; IM Mapping'!$A$2:$A$270,0)),"Not Mapped"))</f>
        <v>Santhosha M</v>
      </c>
      <c r="D401" s="14" t="str">
        <f aca="false" t="array" ref="D401:D401">IF(B401="","",IFERROR(INDEX('CLM &amp; IM Mapping'!$C$2:$C$270,MATCH(TRIM(B401),'CLM &amp; IM Mapping'!$A$2:$A$270,0)),"Not Mapped"))</f>
        <v>Aravind S</v>
      </c>
      <c r="E401" s="14" t="n">
        <v>0</v>
      </c>
      <c r="F401" s="14" t="n">
        <v>60</v>
      </c>
      <c r="G401" s="14" t="n">
        <v>0</v>
      </c>
      <c r="H401" s="14" t="n">
        <v>1</v>
      </c>
      <c r="I401" s="14" t="n">
        <v>0</v>
      </c>
      <c r="J401" s="14" t="n">
        <v>2</v>
      </c>
      <c r="K401" s="14" t="n">
        <v>63</v>
      </c>
      <c r="L401" s="14" t="n">
        <v>63</v>
      </c>
      <c r="M401" s="12"/>
      <c r="N401" s="11"/>
      <c r="O401" s="23"/>
      <c r="P401" s="23"/>
      <c r="Q401" s="23"/>
      <c r="R401" s="23"/>
      <c r="S401" s="23"/>
      <c r="T401" s="23"/>
      <c r="U401" s="23"/>
      <c r="V401" s="23"/>
      <c r="W401" s="23"/>
      <c r="X401" s="23"/>
      <c r="Y401" s="23"/>
      <c r="Z401" s="23"/>
    </row>
    <row r="402" customFormat="false" ht="15.75" hidden="false" customHeight="true" outlineLevel="0" collapsed="false">
      <c r="A402" s="52" t="n">
        <v>46304</v>
      </c>
      <c r="B402" s="14" t="s">
        <v>359</v>
      </c>
      <c r="C402" s="14" t="str">
        <f aca="false" t="array" ref="C402:C402">IF(B402="","",IFERROR(INDEX('CLM &amp; IM Mapping'!$B$2:$B$270,MATCH(TRIM(B402),'CLM &amp; IM Mapping'!$A$2:$A$270,0)),"Not Mapped"))</f>
        <v>Santhosha M</v>
      </c>
      <c r="D402" s="14" t="str">
        <f aca="false" t="array" ref="D402:D402">IF(B402="","",IFERROR(INDEX('CLM &amp; IM Mapping'!$C$2:$C$270,MATCH(TRIM(B402),'CLM &amp; IM Mapping'!$A$2:$A$270,0)),"Not Mapped"))</f>
        <v>Aravind S</v>
      </c>
      <c r="E402" s="14" t="n">
        <v>17</v>
      </c>
      <c r="F402" s="14" t="n">
        <v>37</v>
      </c>
      <c r="G402" s="14" t="n">
        <v>0</v>
      </c>
      <c r="H402" s="14" t="n">
        <v>3</v>
      </c>
      <c r="I402" s="14" t="n">
        <v>2</v>
      </c>
      <c r="J402" s="14" t="n">
        <v>3</v>
      </c>
      <c r="K402" s="14" t="n">
        <v>62</v>
      </c>
      <c r="L402" s="14" t="n">
        <v>38</v>
      </c>
      <c r="M402" s="12"/>
      <c r="N402" s="11"/>
      <c r="O402" s="23"/>
      <c r="P402" s="23"/>
      <c r="Q402" s="23"/>
      <c r="R402" s="23"/>
      <c r="S402" s="23"/>
      <c r="T402" s="23"/>
      <c r="U402" s="23"/>
      <c r="V402" s="23"/>
      <c r="W402" s="23"/>
      <c r="X402" s="23"/>
      <c r="Y402" s="23"/>
      <c r="Z402" s="23"/>
    </row>
    <row r="403" customFormat="false" ht="15.75" hidden="false" customHeight="true" outlineLevel="0" collapsed="false">
      <c r="A403" s="52" t="n">
        <v>46304</v>
      </c>
      <c r="B403" s="14" t="s">
        <v>195</v>
      </c>
      <c r="C403" s="14" t="str">
        <f aca="false" t="array" ref="C403:C403">IF(B403="","",IFERROR(INDEX('CLM &amp; IM Mapping'!$B$2:$B$270,MATCH(TRIM(B403),'CLM &amp; IM Mapping'!$A$2:$A$270,0)),"Not Mapped"))</f>
        <v>Adhavan Subramani</v>
      </c>
      <c r="D403" s="14" t="str">
        <f aca="false" t="array" ref="D403:D403">IF(B403="","",IFERROR(INDEX('CLM &amp; IM Mapping'!$C$2:$C$270,MATCH(TRIM(B403),'CLM &amp; IM Mapping'!$A$2:$A$270,0)),"Not Mapped"))</f>
        <v>Mohammed Akbar</v>
      </c>
      <c r="E403" s="14" t="n">
        <v>2</v>
      </c>
      <c r="F403" s="14" t="n">
        <v>0</v>
      </c>
      <c r="G403" s="14" t="n">
        <v>0</v>
      </c>
      <c r="H403" s="14" t="n">
        <v>43</v>
      </c>
      <c r="I403" s="14" t="n">
        <v>1</v>
      </c>
      <c r="J403" s="14" t="n">
        <v>16</v>
      </c>
      <c r="K403" s="14" t="n">
        <v>62</v>
      </c>
      <c r="L403" s="14" t="n">
        <v>62</v>
      </c>
      <c r="M403" s="12"/>
      <c r="N403" s="11"/>
      <c r="O403" s="23"/>
      <c r="P403" s="23"/>
      <c r="Q403" s="23"/>
      <c r="R403" s="23"/>
      <c r="S403" s="23"/>
      <c r="T403" s="23"/>
      <c r="U403" s="23"/>
      <c r="V403" s="23"/>
      <c r="W403" s="23"/>
      <c r="X403" s="23"/>
      <c r="Y403" s="23"/>
      <c r="Z403" s="23"/>
    </row>
    <row r="404" customFormat="false" ht="15.75" hidden="false" customHeight="true" outlineLevel="0" collapsed="false">
      <c r="A404" s="52" t="n">
        <v>46304</v>
      </c>
      <c r="B404" s="14" t="s">
        <v>175</v>
      </c>
      <c r="C404" s="14" t="str">
        <f aca="false" t="array" ref="C404:C404">IF(B404="","",IFERROR(INDEX('CLM &amp; IM Mapping'!$B$2:$B$270,MATCH(TRIM(B404),'CLM &amp; IM Mapping'!$A$2:$A$270,0)),"Not Mapped"))</f>
        <v>Arun Raj</v>
      </c>
      <c r="D404" s="14" t="str">
        <f aca="false" t="array" ref="D404:D404">IF(B404="","",IFERROR(INDEX('CLM &amp; IM Mapping'!$C$2:$C$270,MATCH(TRIM(B404),'CLM &amp; IM Mapping'!$A$2:$A$270,0)),"Not Mapped"))</f>
        <v>Simon Manoharan</v>
      </c>
      <c r="E404" s="14" t="n">
        <v>0</v>
      </c>
      <c r="F404" s="14" t="n">
        <v>2</v>
      </c>
      <c r="G404" s="14" t="n">
        <v>0</v>
      </c>
      <c r="H404" s="14" t="n">
        <v>50</v>
      </c>
      <c r="I404" s="14" t="n">
        <v>10</v>
      </c>
      <c r="J404" s="14" t="n">
        <v>0</v>
      </c>
      <c r="K404" s="14" t="n">
        <v>62</v>
      </c>
      <c r="L404" s="14" t="n">
        <v>28</v>
      </c>
      <c r="M404" s="12"/>
      <c r="N404" s="11"/>
      <c r="O404" s="23"/>
      <c r="P404" s="23"/>
      <c r="Q404" s="23"/>
      <c r="R404" s="23"/>
      <c r="S404" s="23"/>
      <c r="T404" s="23"/>
      <c r="U404" s="23"/>
      <c r="V404" s="23"/>
      <c r="W404" s="23"/>
      <c r="X404" s="23"/>
      <c r="Y404" s="23"/>
      <c r="Z404" s="23"/>
    </row>
    <row r="405" customFormat="false" ht="15.75" hidden="false" customHeight="true" outlineLevel="0" collapsed="false">
      <c r="A405" s="52" t="n">
        <v>46304</v>
      </c>
      <c r="B405" s="14" t="s">
        <v>508</v>
      </c>
      <c r="C405" s="14" t="str">
        <f aca="false" t="array" ref="C405:C405">IF(B405="","",IFERROR(INDEX('CLM &amp; IM Mapping'!$B$2:$B$270,MATCH(TRIM(B405),'CLM &amp; IM Mapping'!$A$2:$A$270,0)),"Not Mapped"))</f>
        <v>Ravishankar gowda</v>
      </c>
      <c r="D405" s="14" t="str">
        <f aca="false" t="array" ref="D405:D405">IF(B405="","",IFERROR(INDEX('CLM &amp; IM Mapping'!$C$2:$C$270,MATCH(TRIM(B405),'CLM &amp; IM Mapping'!$A$2:$A$270,0)),"Not Mapped"))</f>
        <v>Kishor K</v>
      </c>
      <c r="E405" s="14" t="n">
        <v>7</v>
      </c>
      <c r="F405" s="14" t="n">
        <v>20</v>
      </c>
      <c r="G405" s="14" t="n">
        <v>3</v>
      </c>
      <c r="H405" s="14" t="n">
        <v>13</v>
      </c>
      <c r="I405" s="14" t="n">
        <v>2</v>
      </c>
      <c r="J405" s="14" t="n">
        <v>16</v>
      </c>
      <c r="K405" s="14" t="n">
        <v>61</v>
      </c>
      <c r="L405" s="14" t="n">
        <v>61</v>
      </c>
      <c r="M405" s="12" t="s">
        <v>828</v>
      </c>
      <c r="N405" s="54" t="n">
        <v>0.666666666666667</v>
      </c>
      <c r="O405" s="23"/>
      <c r="P405" s="23"/>
      <c r="Q405" s="23"/>
      <c r="R405" s="23"/>
      <c r="S405" s="23"/>
      <c r="T405" s="23"/>
      <c r="U405" s="23"/>
      <c r="V405" s="23"/>
      <c r="W405" s="23"/>
      <c r="X405" s="23"/>
      <c r="Y405" s="23"/>
      <c r="Z405" s="23"/>
    </row>
    <row r="406" customFormat="false" ht="15.75" hidden="false" customHeight="true" outlineLevel="0" collapsed="false">
      <c r="A406" s="52" t="n">
        <v>46304</v>
      </c>
      <c r="B406" s="14" t="s">
        <v>371</v>
      </c>
      <c r="C406" s="14" t="str">
        <f aca="false" t="array" ref="C406:C406">IF(B406="","",IFERROR(INDEX('CLM &amp; IM Mapping'!$B$2:$B$270,MATCH(TRIM(B406),'CLM &amp; IM Mapping'!$A$2:$A$270,0)),"Not Mapped"))</f>
        <v>Akshay P</v>
      </c>
      <c r="D406" s="14" t="str">
        <f aca="false" t="array" ref="D406:D406">IF(B406="","",IFERROR(INDEX('CLM &amp; IM Mapping'!$C$2:$C$270,MATCH(TRIM(B406),'CLM &amp; IM Mapping'!$A$2:$A$270,0)),"Not Mapped"))</f>
        <v>Srittam Dhal</v>
      </c>
      <c r="E406" s="14" t="n">
        <v>4</v>
      </c>
      <c r="F406" s="14" t="n">
        <v>53</v>
      </c>
      <c r="G406" s="14" t="n">
        <v>0</v>
      </c>
      <c r="H406" s="14" t="n">
        <v>4</v>
      </c>
      <c r="I406" s="14" t="n">
        <v>0</v>
      </c>
      <c r="J406" s="14" t="n">
        <v>0</v>
      </c>
      <c r="K406" s="14" t="n">
        <v>61</v>
      </c>
      <c r="L406" s="14" t="n">
        <v>61</v>
      </c>
      <c r="M406" s="12"/>
      <c r="N406" s="11"/>
      <c r="O406" s="23"/>
      <c r="P406" s="23"/>
      <c r="Q406" s="23"/>
      <c r="R406" s="23"/>
      <c r="S406" s="23"/>
      <c r="T406" s="23"/>
      <c r="U406" s="23"/>
      <c r="V406" s="23"/>
      <c r="W406" s="23"/>
      <c r="X406" s="23"/>
      <c r="Y406" s="23"/>
      <c r="Z406" s="23"/>
    </row>
    <row r="407" customFormat="false" ht="15.75" hidden="false" customHeight="true" outlineLevel="0" collapsed="false">
      <c r="A407" s="52" t="n">
        <v>46304</v>
      </c>
      <c r="B407" s="14" t="s">
        <v>441</v>
      </c>
      <c r="C407" s="14" t="str">
        <f aca="false" t="array" ref="C407:C407">IF(B407="","",IFERROR(INDEX('CLM &amp; IM Mapping'!$B$2:$B$270,MATCH(TRIM(B407),'CLM &amp; IM Mapping'!$A$2:$A$270,0)),"Not Mapped"))</f>
        <v>Vijay M</v>
      </c>
      <c r="D407" s="14" t="str">
        <f aca="false" t="array" ref="D407:D407">IF(B407="","",IFERROR(INDEX('CLM &amp; IM Mapping'!$C$2:$C$270,MATCH(TRIM(B407),'CLM &amp; IM Mapping'!$A$2:$A$270,0)),"Not Mapped"))</f>
        <v>Kantha Kumar</v>
      </c>
      <c r="E407" s="14" t="n">
        <v>6</v>
      </c>
      <c r="F407" s="14" t="n">
        <v>13</v>
      </c>
      <c r="G407" s="14" t="n">
        <v>0</v>
      </c>
      <c r="H407" s="14" t="n">
        <v>15</v>
      </c>
      <c r="I407" s="14" t="n">
        <v>26</v>
      </c>
      <c r="J407" s="14" t="n">
        <v>0</v>
      </c>
      <c r="K407" s="14" t="n">
        <v>60</v>
      </c>
      <c r="L407" s="14" t="n">
        <v>60</v>
      </c>
      <c r="M407" s="12"/>
      <c r="N407" s="11"/>
      <c r="O407" s="23"/>
      <c r="P407" s="23"/>
      <c r="Q407" s="23"/>
      <c r="R407" s="23"/>
      <c r="S407" s="23"/>
      <c r="T407" s="23"/>
      <c r="U407" s="23"/>
      <c r="V407" s="23"/>
      <c r="W407" s="23"/>
      <c r="X407" s="23"/>
      <c r="Y407" s="23"/>
      <c r="Z407" s="23"/>
    </row>
    <row r="408" customFormat="false" ht="15.75" hidden="false" customHeight="true" outlineLevel="0" collapsed="false">
      <c r="A408" s="52" t="n">
        <v>46304</v>
      </c>
      <c r="B408" s="14" t="s">
        <v>433</v>
      </c>
      <c r="C408" s="14" t="str">
        <f aca="false" t="array" ref="C408:C408">IF(B408="","",IFERROR(INDEX('CLM &amp; IM Mapping'!$B$2:$B$270,MATCH(TRIM(B408),'CLM &amp; IM Mapping'!$A$2:$A$270,0)),"Not Mapped"))</f>
        <v>Silambarasan E</v>
      </c>
      <c r="D408" s="14" t="str">
        <f aca="false" t="array" ref="D408:D408">IF(B408="","",IFERROR(INDEX('CLM &amp; IM Mapping'!$C$2:$C$270,MATCH(TRIM(B408),'CLM &amp; IM Mapping'!$A$2:$A$270,0)),"Not Mapped"))</f>
        <v>Arivind S</v>
      </c>
      <c r="E408" s="14" t="n">
        <v>12</v>
      </c>
      <c r="F408" s="14" t="n">
        <v>4</v>
      </c>
      <c r="G408" s="14" t="n">
        <v>8</v>
      </c>
      <c r="H408" s="14" t="n">
        <v>2</v>
      </c>
      <c r="I408" s="14" t="n">
        <v>1</v>
      </c>
      <c r="J408" s="14" t="n">
        <v>33</v>
      </c>
      <c r="K408" s="14" t="n">
        <v>60</v>
      </c>
      <c r="L408" s="14" t="n">
        <v>58</v>
      </c>
      <c r="M408" s="12"/>
      <c r="N408" s="11"/>
      <c r="O408" s="23"/>
      <c r="P408" s="23"/>
      <c r="Q408" s="23"/>
      <c r="R408" s="23"/>
      <c r="S408" s="23"/>
      <c r="T408" s="23"/>
      <c r="U408" s="23"/>
      <c r="V408" s="23"/>
      <c r="W408" s="23"/>
      <c r="X408" s="23"/>
      <c r="Y408" s="23"/>
      <c r="Z408" s="23"/>
    </row>
    <row r="409" customFormat="false" ht="15.75" hidden="false" customHeight="true" outlineLevel="0" collapsed="false">
      <c r="A409" s="52" t="n">
        <v>46304</v>
      </c>
      <c r="B409" s="14" t="s">
        <v>410</v>
      </c>
      <c r="C409" s="14" t="str">
        <f aca="false" t="array" ref="C409:C409">IF(B409="","",IFERROR(INDEX('CLM &amp; IM Mapping'!$B$2:$B$270,MATCH(TRIM(B409),'CLM &amp; IM Mapping'!$A$2:$A$270,0)),"Not Mapped"))</f>
        <v>Akshay P</v>
      </c>
      <c r="D409" s="14" t="str">
        <f aca="false" t="array" ref="D409:D409">IF(B409="","",IFERROR(INDEX('CLM &amp; IM Mapping'!$C$2:$C$270,MATCH(TRIM(B409),'CLM &amp; IM Mapping'!$A$2:$A$270,0)),"Not Mapped"))</f>
        <v>Srittam Dhal</v>
      </c>
      <c r="E409" s="14" t="n">
        <v>0</v>
      </c>
      <c r="F409" s="14" t="n">
        <v>0</v>
      </c>
      <c r="G409" s="14" t="n">
        <v>19</v>
      </c>
      <c r="H409" s="14" t="n">
        <v>37</v>
      </c>
      <c r="I409" s="14" t="n">
        <v>2</v>
      </c>
      <c r="J409" s="14" t="n">
        <v>2</v>
      </c>
      <c r="K409" s="14" t="n">
        <v>60</v>
      </c>
      <c r="L409" s="14" t="n">
        <v>57</v>
      </c>
      <c r="M409" s="12"/>
      <c r="N409" s="11"/>
      <c r="O409" s="23"/>
      <c r="P409" s="23"/>
      <c r="Q409" s="23"/>
      <c r="R409" s="23"/>
      <c r="S409" s="23"/>
      <c r="T409" s="23"/>
      <c r="U409" s="23"/>
      <c r="V409" s="23"/>
      <c r="W409" s="23"/>
      <c r="X409" s="23"/>
      <c r="Y409" s="23"/>
      <c r="Z409" s="23"/>
    </row>
    <row r="410" customFormat="false" ht="15.75" hidden="false" customHeight="true" outlineLevel="0" collapsed="false">
      <c r="A410" s="52" t="n">
        <v>46304</v>
      </c>
      <c r="B410" s="14" t="s">
        <v>478</v>
      </c>
      <c r="C410" s="14" t="str">
        <f aca="false" t="array" ref="C410:C410">IF(B410="","",IFERROR(INDEX('CLM &amp; IM Mapping'!$B$2:$B$270,MATCH(TRIM(B410),'CLM &amp; IM Mapping'!$A$2:$A$270,0)),"Not Mapped"))</f>
        <v>Vishnu V</v>
      </c>
      <c r="D410" s="14" t="str">
        <f aca="false" t="array" ref="D410:D410">IF(B410="","",IFERROR(INDEX('CLM &amp; IM Mapping'!$C$2:$C$270,MATCH(TRIM(B410),'CLM &amp; IM Mapping'!$A$2:$A$270,0)),"Not Mapped"))</f>
        <v>Arivind S</v>
      </c>
      <c r="E410" s="14" t="n">
        <v>1</v>
      </c>
      <c r="F410" s="14" t="n">
        <v>10</v>
      </c>
      <c r="G410" s="14" t="n">
        <v>28</v>
      </c>
      <c r="H410" s="14" t="n">
        <v>11</v>
      </c>
      <c r="I410" s="14" t="n">
        <v>5</v>
      </c>
      <c r="J410" s="14" t="n">
        <v>3</v>
      </c>
      <c r="K410" s="14" t="n">
        <v>58</v>
      </c>
      <c r="L410" s="14" t="n">
        <v>58</v>
      </c>
      <c r="M410" s="12"/>
      <c r="N410" s="11"/>
      <c r="O410" s="23"/>
      <c r="P410" s="23"/>
      <c r="Q410" s="23"/>
      <c r="R410" s="23"/>
      <c r="S410" s="23"/>
      <c r="T410" s="23"/>
      <c r="U410" s="23"/>
      <c r="V410" s="23"/>
      <c r="W410" s="23"/>
      <c r="X410" s="23"/>
      <c r="Y410" s="23"/>
      <c r="Z410" s="23"/>
    </row>
    <row r="411" customFormat="false" ht="15.75" hidden="false" customHeight="true" outlineLevel="0" collapsed="false">
      <c r="A411" s="52" t="n">
        <v>46304</v>
      </c>
      <c r="B411" s="14" t="s">
        <v>329</v>
      </c>
      <c r="C411" s="14" t="str">
        <f aca="false" t="array" ref="C411:C411">IF(B411="","",IFERROR(INDEX('CLM &amp; IM Mapping'!$B$2:$B$270,MATCH(TRIM(B411),'CLM &amp; IM Mapping'!$A$2:$A$270,0)),"Not Mapped"))</f>
        <v>Ashwath S</v>
      </c>
      <c r="D411" s="14" t="str">
        <f aca="false" t="array" ref="D411:D411">IF(B411="","",IFERROR(INDEX('CLM &amp; IM Mapping'!$C$2:$C$270,MATCH(TRIM(B411),'CLM &amp; IM Mapping'!$A$2:$A$270,0)),"Not Mapped"))</f>
        <v>Kantha Kumar</v>
      </c>
      <c r="E411" s="14" t="n">
        <v>2</v>
      </c>
      <c r="F411" s="14" t="n">
        <v>13</v>
      </c>
      <c r="G411" s="14" t="n">
        <v>0</v>
      </c>
      <c r="H411" s="14" t="n">
        <v>25</v>
      </c>
      <c r="I411" s="14" t="n">
        <v>7</v>
      </c>
      <c r="J411" s="14" t="n">
        <v>11</v>
      </c>
      <c r="K411" s="14" t="n">
        <v>58</v>
      </c>
      <c r="L411" s="14" t="n">
        <v>54</v>
      </c>
      <c r="M411" s="12"/>
      <c r="N411" s="11"/>
      <c r="O411" s="23"/>
      <c r="P411" s="23"/>
      <c r="Q411" s="23"/>
      <c r="R411" s="23"/>
      <c r="S411" s="23"/>
      <c r="T411" s="23"/>
      <c r="U411" s="23"/>
      <c r="V411" s="23"/>
      <c r="W411" s="23"/>
      <c r="X411" s="23"/>
      <c r="Y411" s="23"/>
      <c r="Z411" s="23"/>
    </row>
    <row r="412" customFormat="false" ht="15.75" hidden="false" customHeight="true" outlineLevel="0" collapsed="false">
      <c r="A412" s="52" t="n">
        <v>46304</v>
      </c>
      <c r="B412" s="14" t="s">
        <v>527</v>
      </c>
      <c r="C412" s="14" t="str">
        <f aca="false" t="array" ref="C412:C412">IF(B412="","",IFERROR(INDEX('CLM &amp; IM Mapping'!$B$2:$B$270,MATCH(TRIM(B412),'CLM &amp; IM Mapping'!$A$2:$A$270,0)),"Not Mapped"))</f>
        <v>Suhas N</v>
      </c>
      <c r="D412" s="14" t="str">
        <f aca="false" t="array" ref="D412:D412">IF(B412="","",IFERROR(INDEX('CLM &amp; IM Mapping'!$C$2:$C$270,MATCH(TRIM(B412),'CLM &amp; IM Mapping'!$A$2:$A$270,0)),"Not Mapped"))</f>
        <v>Aravind S</v>
      </c>
      <c r="E412" s="14" t="n">
        <v>8</v>
      </c>
      <c r="F412" s="14" t="n">
        <v>8</v>
      </c>
      <c r="G412" s="14" t="n">
        <v>2</v>
      </c>
      <c r="H412" s="14" t="n">
        <v>0</v>
      </c>
      <c r="I412" s="14" t="n">
        <v>10</v>
      </c>
      <c r="J412" s="14" t="n">
        <v>29</v>
      </c>
      <c r="K412" s="14" t="n">
        <v>57</v>
      </c>
      <c r="L412" s="14" t="n">
        <v>54</v>
      </c>
      <c r="M412" s="12"/>
      <c r="N412" s="11"/>
      <c r="O412" s="23"/>
      <c r="P412" s="23"/>
      <c r="Q412" s="23"/>
      <c r="R412" s="23"/>
      <c r="S412" s="23"/>
      <c r="T412" s="23"/>
      <c r="U412" s="23"/>
      <c r="V412" s="23"/>
      <c r="W412" s="23"/>
      <c r="X412" s="23"/>
      <c r="Y412" s="23"/>
      <c r="Z412" s="23"/>
    </row>
    <row r="413" customFormat="false" ht="15.75" hidden="false" customHeight="true" outlineLevel="0" collapsed="false">
      <c r="A413" s="52" t="n">
        <v>46304</v>
      </c>
      <c r="B413" s="14" t="s">
        <v>24</v>
      </c>
      <c r="C413" s="14" t="str">
        <f aca="false" t="array" ref="C413:C413">IF(B413="","",IFERROR(INDEX('CLM &amp; IM Mapping'!$B$2:$B$270,MATCH(TRIM(B413),'CLM &amp; IM Mapping'!$A$2:$A$270,0)),"Not Mapped"))</f>
        <v>Arun Raj</v>
      </c>
      <c r="D413" s="14" t="str">
        <f aca="false" t="array" ref="D413:D413">IF(B413="","",IFERROR(INDEX('CLM &amp; IM Mapping'!$C$2:$C$270,MATCH(TRIM(B413),'CLM &amp; IM Mapping'!$A$2:$A$270,0)),"Not Mapped"))</f>
        <v>Simon Manoharan</v>
      </c>
      <c r="E413" s="14" t="n">
        <v>20</v>
      </c>
      <c r="F413" s="14" t="n">
        <v>16</v>
      </c>
      <c r="G413" s="14" t="n">
        <v>19</v>
      </c>
      <c r="H413" s="14" t="n">
        <v>2</v>
      </c>
      <c r="I413" s="14" t="n">
        <v>0</v>
      </c>
      <c r="J413" s="14" t="n">
        <v>0</v>
      </c>
      <c r="K413" s="14" t="n">
        <v>57</v>
      </c>
      <c r="L413" s="14" t="n">
        <v>57</v>
      </c>
      <c r="M413" s="12"/>
      <c r="N413" s="11"/>
      <c r="O413" s="23"/>
      <c r="P413" s="23"/>
      <c r="Q413" s="23"/>
      <c r="R413" s="23"/>
      <c r="S413" s="23"/>
      <c r="T413" s="23"/>
      <c r="U413" s="23"/>
      <c r="V413" s="23"/>
      <c r="W413" s="23"/>
      <c r="X413" s="23"/>
      <c r="Y413" s="23"/>
      <c r="Z413" s="23"/>
    </row>
    <row r="414" customFormat="false" ht="15.75" hidden="false" customHeight="true" outlineLevel="0" collapsed="false">
      <c r="A414" s="52" t="n">
        <v>46304</v>
      </c>
      <c r="B414" s="14" t="s">
        <v>376</v>
      </c>
      <c r="C414" s="14" t="str">
        <f aca="false" t="array" ref="C414:C414">IF(B414="","",IFERROR(INDEX('CLM &amp; IM Mapping'!$B$2:$B$270,MATCH(TRIM(B414),'CLM &amp; IM Mapping'!$A$2:$A$270,0)),"Not Mapped"))</f>
        <v>Sundaresh S</v>
      </c>
      <c r="D414" s="14" t="str">
        <f aca="false" t="array" ref="D414:D414">IF(B414="","",IFERROR(INDEX('CLM &amp; IM Mapping'!$C$2:$C$270,MATCH(TRIM(B414),'CLM &amp; IM Mapping'!$A$2:$A$270,0)),"Not Mapped"))</f>
        <v>Un Mapped</v>
      </c>
      <c r="E414" s="14" t="n">
        <v>21</v>
      </c>
      <c r="F414" s="14" t="n">
        <v>22</v>
      </c>
      <c r="G414" s="14" t="n">
        <v>0</v>
      </c>
      <c r="H414" s="14" t="n">
        <v>3</v>
      </c>
      <c r="I414" s="14" t="n">
        <v>2</v>
      </c>
      <c r="J414" s="14" t="n">
        <v>8</v>
      </c>
      <c r="K414" s="14" t="n">
        <v>56</v>
      </c>
      <c r="L414" s="14" t="n">
        <v>55</v>
      </c>
      <c r="M414" s="12"/>
      <c r="N414" s="11"/>
      <c r="O414" s="23"/>
      <c r="P414" s="23"/>
      <c r="Q414" s="23"/>
      <c r="R414" s="23"/>
      <c r="S414" s="23"/>
      <c r="T414" s="23"/>
      <c r="U414" s="23"/>
      <c r="V414" s="23"/>
      <c r="W414" s="23"/>
      <c r="X414" s="23"/>
      <c r="Y414" s="23"/>
      <c r="Z414" s="23"/>
    </row>
    <row r="415" customFormat="false" ht="15.75" hidden="false" customHeight="true" outlineLevel="0" collapsed="false">
      <c r="A415" s="52" t="n">
        <v>46304</v>
      </c>
      <c r="B415" s="14" t="s">
        <v>445</v>
      </c>
      <c r="C415" s="14" t="str">
        <f aca="false" t="array" ref="C415:C415">IF(B415="","",IFERROR(INDEX('CLM &amp; IM Mapping'!$B$2:$B$270,MATCH(TRIM(B415),'CLM &amp; IM Mapping'!$A$2:$A$270,0)),"Not Mapped"))</f>
        <v>Sundaresh S</v>
      </c>
      <c r="D415" s="14" t="str">
        <f aca="false" t="array" ref="D415:D415">IF(B415="","",IFERROR(INDEX('CLM &amp; IM Mapping'!$C$2:$C$270,MATCH(TRIM(B415),'CLM &amp; IM Mapping'!$A$2:$A$270,0)),"Not Mapped"))</f>
        <v>Un Mapped</v>
      </c>
      <c r="E415" s="14" t="n">
        <v>1</v>
      </c>
      <c r="F415" s="14" t="n">
        <v>39</v>
      </c>
      <c r="G415" s="14" t="n">
        <v>0</v>
      </c>
      <c r="H415" s="14" t="n">
        <v>4</v>
      </c>
      <c r="I415" s="14" t="n">
        <v>6</v>
      </c>
      <c r="J415" s="14" t="n">
        <v>6</v>
      </c>
      <c r="K415" s="14" t="n">
        <v>56</v>
      </c>
      <c r="L415" s="14" t="n">
        <v>49</v>
      </c>
      <c r="M415" s="12"/>
      <c r="N415" s="11"/>
      <c r="O415" s="23"/>
      <c r="P415" s="23"/>
      <c r="Q415" s="23"/>
      <c r="R415" s="23"/>
      <c r="S415" s="23"/>
      <c r="T415" s="23"/>
      <c r="U415" s="23"/>
      <c r="V415" s="23"/>
      <c r="W415" s="23"/>
      <c r="X415" s="23"/>
      <c r="Y415" s="23"/>
      <c r="Z415" s="23"/>
    </row>
    <row r="416" customFormat="false" ht="15.75" hidden="false" customHeight="true" outlineLevel="0" collapsed="false">
      <c r="A416" s="52" t="n">
        <v>46304</v>
      </c>
      <c r="B416" s="14" t="s">
        <v>123</v>
      </c>
      <c r="C416" s="14" t="str">
        <f aca="false" t="array" ref="C416:C416">IF(B416="","",IFERROR(INDEX('CLM &amp; IM Mapping'!$B$2:$B$270,MATCH(TRIM(B416),'CLM &amp; IM Mapping'!$A$2:$A$270,0)),"Not Mapped"))</f>
        <v>Silambarasan E</v>
      </c>
      <c r="D416" s="14" t="str">
        <f aca="false" t="array" ref="D416:D416">IF(B416="","",IFERROR(INDEX('CLM &amp; IM Mapping'!$C$2:$C$270,MATCH(TRIM(B416),'CLM &amp; IM Mapping'!$A$2:$A$270,0)),"Not Mapped"))</f>
        <v>Arivind S</v>
      </c>
      <c r="E416" s="14" t="n">
        <v>0</v>
      </c>
      <c r="F416" s="14" t="n">
        <v>0</v>
      </c>
      <c r="G416" s="14" t="n">
        <v>0</v>
      </c>
      <c r="H416" s="14" t="n">
        <v>55</v>
      </c>
      <c r="I416" s="14" t="n">
        <v>0</v>
      </c>
      <c r="J416" s="14" t="n">
        <v>0</v>
      </c>
      <c r="K416" s="14" t="n">
        <v>55</v>
      </c>
      <c r="L416" s="14" t="n">
        <v>55</v>
      </c>
      <c r="M416" s="12"/>
      <c r="N416" s="11"/>
      <c r="O416" s="23"/>
      <c r="P416" s="23"/>
      <c r="Q416" s="23"/>
      <c r="R416" s="23"/>
      <c r="S416" s="23"/>
      <c r="T416" s="23"/>
      <c r="U416" s="23"/>
      <c r="V416" s="23"/>
      <c r="W416" s="23"/>
      <c r="X416" s="23"/>
      <c r="Y416" s="23"/>
      <c r="Z416" s="23"/>
    </row>
    <row r="417" customFormat="false" ht="15.75" hidden="false" customHeight="true" outlineLevel="0" collapsed="false">
      <c r="A417" s="52" t="n">
        <v>46304</v>
      </c>
      <c r="B417" s="14" t="s">
        <v>437</v>
      </c>
      <c r="C417" s="14" t="str">
        <f aca="false" t="array" ref="C417:C417">IF(B417="","",IFERROR(INDEX('CLM &amp; IM Mapping'!$B$2:$B$270,MATCH(TRIM(B417),'CLM &amp; IM Mapping'!$A$2:$A$270,0)),"Not Mapped"))</f>
        <v>Balaji G</v>
      </c>
      <c r="D417" s="14" t="str">
        <f aca="false" t="array" ref="D417:D417">IF(B417="","",IFERROR(INDEX('CLM &amp; IM Mapping'!$C$2:$C$270,MATCH(TRIM(B417),'CLM &amp; IM Mapping'!$A$2:$A$270,0)),"Not Mapped"))</f>
        <v>Mohammed Akbar</v>
      </c>
      <c r="E417" s="14" t="n">
        <v>19</v>
      </c>
      <c r="F417" s="14" t="n">
        <v>6</v>
      </c>
      <c r="G417" s="14" t="n">
        <v>9</v>
      </c>
      <c r="H417" s="14" t="n">
        <v>5</v>
      </c>
      <c r="I417" s="14" t="n">
        <v>16</v>
      </c>
      <c r="J417" s="14" t="n">
        <v>0</v>
      </c>
      <c r="K417" s="14" t="n">
        <v>55</v>
      </c>
      <c r="L417" s="14" t="n">
        <v>54</v>
      </c>
      <c r="M417" s="12"/>
      <c r="N417" s="11"/>
      <c r="O417" s="23"/>
      <c r="P417" s="23"/>
      <c r="Q417" s="23"/>
      <c r="R417" s="23"/>
      <c r="S417" s="23"/>
      <c r="T417" s="23"/>
      <c r="U417" s="23"/>
      <c r="V417" s="23"/>
      <c r="W417" s="23"/>
      <c r="X417" s="23"/>
      <c r="Y417" s="23"/>
      <c r="Z417" s="23"/>
    </row>
    <row r="418" customFormat="false" ht="15.75" hidden="false" customHeight="true" outlineLevel="0" collapsed="false">
      <c r="A418" s="52" t="n">
        <v>46304</v>
      </c>
      <c r="B418" s="14" t="s">
        <v>530</v>
      </c>
      <c r="C418" s="14" t="str">
        <f aca="false" t="array" ref="C418:C418">IF(B418="","",IFERROR(INDEX('CLM &amp; IM Mapping'!$B$2:$B$270,MATCH(TRIM(B418),'CLM &amp; IM Mapping'!$A$2:$A$270,0)),"Not Mapped"))</f>
        <v>Balaji G</v>
      </c>
      <c r="D418" s="14" t="str">
        <f aca="false" t="array" ref="D418:D418">IF(B418="","",IFERROR(INDEX('CLM &amp; IM Mapping'!$C$2:$C$270,MATCH(TRIM(B418),'CLM &amp; IM Mapping'!$A$2:$A$270,0)),"Not Mapped"))</f>
        <v>Mohammed Akbar</v>
      </c>
      <c r="E418" s="14" t="n">
        <v>0</v>
      </c>
      <c r="F418" s="14" t="n">
        <v>0</v>
      </c>
      <c r="G418" s="14" t="n">
        <v>0</v>
      </c>
      <c r="H418" s="14" t="n">
        <v>1</v>
      </c>
      <c r="I418" s="14" t="n">
        <v>0</v>
      </c>
      <c r="J418" s="14" t="n">
        <v>52</v>
      </c>
      <c r="K418" s="14" t="n">
        <v>53</v>
      </c>
      <c r="L418" s="14" t="n">
        <v>53</v>
      </c>
      <c r="M418" s="12"/>
      <c r="N418" s="11"/>
      <c r="O418" s="23"/>
      <c r="P418" s="23"/>
      <c r="Q418" s="23"/>
      <c r="R418" s="23"/>
      <c r="S418" s="23"/>
      <c r="T418" s="23"/>
      <c r="U418" s="23"/>
      <c r="V418" s="23"/>
      <c r="W418" s="23"/>
      <c r="X418" s="23"/>
      <c r="Y418" s="23"/>
      <c r="Z418" s="23"/>
    </row>
    <row r="419" customFormat="false" ht="15.75" hidden="false" customHeight="true" outlineLevel="0" collapsed="false">
      <c r="A419" s="52" t="n">
        <v>46304</v>
      </c>
      <c r="B419" s="14" t="s">
        <v>415</v>
      </c>
      <c r="C419" s="14" t="str">
        <f aca="false" t="array" ref="C419:C419">IF(B419="","",IFERROR(INDEX('CLM &amp; IM Mapping'!$B$2:$B$270,MATCH(TRIM(B419),'CLM &amp; IM Mapping'!$A$2:$A$270,0)),"Not Mapped"))</f>
        <v>Vishnu V</v>
      </c>
      <c r="D419" s="14" t="str">
        <f aca="false" t="array" ref="D419:D419">IF(B419="","",IFERROR(INDEX('CLM &amp; IM Mapping'!$C$2:$C$270,MATCH(TRIM(B419),'CLM &amp; IM Mapping'!$A$2:$A$270,0)),"Not Mapped"))</f>
        <v>Arivind S</v>
      </c>
      <c r="E419" s="14" t="n">
        <v>0</v>
      </c>
      <c r="F419" s="14" t="n">
        <v>0</v>
      </c>
      <c r="G419" s="14" t="n">
        <v>4</v>
      </c>
      <c r="H419" s="14" t="n">
        <v>0</v>
      </c>
      <c r="I419" s="14" t="n">
        <v>0</v>
      </c>
      <c r="J419" s="14" t="n">
        <v>49</v>
      </c>
      <c r="K419" s="14" t="n">
        <v>53</v>
      </c>
      <c r="L419" s="14" t="n">
        <v>53</v>
      </c>
      <c r="M419" s="12"/>
      <c r="N419" s="11"/>
      <c r="O419" s="23"/>
      <c r="P419" s="23"/>
      <c r="Q419" s="23"/>
      <c r="R419" s="23"/>
      <c r="S419" s="23"/>
      <c r="T419" s="23"/>
      <c r="U419" s="23"/>
      <c r="V419" s="23"/>
      <c r="W419" s="23"/>
      <c r="X419" s="23"/>
      <c r="Y419" s="23"/>
      <c r="Z419" s="23"/>
    </row>
    <row r="420" customFormat="false" ht="15.75" hidden="false" customHeight="true" outlineLevel="0" collapsed="false">
      <c r="A420" s="52" t="n">
        <v>46304</v>
      </c>
      <c r="B420" s="14" t="s">
        <v>86</v>
      </c>
      <c r="C420" s="14" t="str">
        <f aca="false" t="array" ref="C420:C420">IF(B420="","",IFERROR(INDEX('CLM &amp; IM Mapping'!$B$2:$B$270,MATCH(TRIM(B420),'CLM &amp; IM Mapping'!$A$2:$A$270,0)),"Not Mapped"))</f>
        <v>Raghavendra Vernekar</v>
      </c>
      <c r="D420" s="14" t="str">
        <f aca="false" t="array" ref="D420:D420">IF(B420="","",IFERROR(INDEX('CLM &amp; IM Mapping'!$C$2:$C$270,MATCH(TRIM(B420),'CLM &amp; IM Mapping'!$A$2:$A$270,0)),"Not Mapped"))</f>
        <v>Prakash BS</v>
      </c>
      <c r="E420" s="14" t="n">
        <v>14</v>
      </c>
      <c r="F420" s="14" t="n">
        <v>1</v>
      </c>
      <c r="G420" s="14" t="n">
        <v>0</v>
      </c>
      <c r="H420" s="14" t="n">
        <v>4</v>
      </c>
      <c r="I420" s="14" t="n">
        <v>23</v>
      </c>
      <c r="J420" s="14" t="n">
        <v>11</v>
      </c>
      <c r="K420" s="14" t="n">
        <v>53</v>
      </c>
      <c r="L420" s="14" t="n">
        <v>53</v>
      </c>
      <c r="M420" s="12" t="s">
        <v>844</v>
      </c>
      <c r="N420" s="11"/>
      <c r="O420" s="23"/>
      <c r="P420" s="23"/>
      <c r="Q420" s="23"/>
      <c r="R420" s="23"/>
      <c r="S420" s="23"/>
      <c r="T420" s="23"/>
      <c r="U420" s="23"/>
      <c r="V420" s="23"/>
      <c r="W420" s="23"/>
      <c r="X420" s="23"/>
      <c r="Y420" s="23"/>
      <c r="Z420" s="23"/>
    </row>
    <row r="421" customFormat="false" ht="15.75" hidden="false" customHeight="true" outlineLevel="0" collapsed="false">
      <c r="A421" s="52" t="n">
        <v>46304</v>
      </c>
      <c r="B421" s="14" t="s">
        <v>284</v>
      </c>
      <c r="C421" s="14" t="str">
        <f aca="false" t="array" ref="C421:C421">IF(B421="","",IFERROR(INDEX('CLM &amp; IM Mapping'!$B$2:$B$270,MATCH(TRIM(B421),'CLM &amp; IM Mapping'!$A$2:$A$270,0)),"Not Mapped"))</f>
        <v>Balaji G</v>
      </c>
      <c r="D421" s="14" t="str">
        <f aca="false" t="array" ref="D421:D421">IF(B421="","",IFERROR(INDEX('CLM &amp; IM Mapping'!$C$2:$C$270,MATCH(TRIM(B421),'CLM &amp; IM Mapping'!$A$2:$A$270,0)),"Not Mapped"))</f>
        <v>Mohammed Akbar</v>
      </c>
      <c r="E421" s="14" t="n">
        <v>15</v>
      </c>
      <c r="F421" s="14" t="n">
        <v>2</v>
      </c>
      <c r="G421" s="14" t="n">
        <v>10</v>
      </c>
      <c r="H421" s="14" t="n">
        <v>2</v>
      </c>
      <c r="I421" s="14" t="n">
        <v>5</v>
      </c>
      <c r="J421" s="14" t="n">
        <v>19</v>
      </c>
      <c r="K421" s="14" t="n">
        <v>53</v>
      </c>
      <c r="L421" s="14" t="n">
        <v>53</v>
      </c>
      <c r="M421" s="12"/>
      <c r="N421" s="11"/>
      <c r="O421" s="23"/>
      <c r="P421" s="23"/>
      <c r="Q421" s="23"/>
      <c r="R421" s="23"/>
      <c r="S421" s="23"/>
      <c r="T421" s="23"/>
      <c r="U421" s="23"/>
      <c r="V421" s="23"/>
      <c r="W421" s="23"/>
      <c r="X421" s="23"/>
      <c r="Y421" s="23"/>
      <c r="Z421" s="23"/>
    </row>
    <row r="422" customFormat="false" ht="15.75" hidden="false" customHeight="true" outlineLevel="0" collapsed="false">
      <c r="A422" s="52" t="n">
        <v>46304</v>
      </c>
      <c r="B422" s="14" t="s">
        <v>411</v>
      </c>
      <c r="C422" s="14" t="str">
        <f aca="false" t="array" ref="C422:C422">IF(B422="","",IFERROR(INDEX('CLM &amp; IM Mapping'!$B$2:$B$270,MATCH(TRIM(B422),'CLM &amp; IM Mapping'!$A$2:$A$270,0)),"Not Mapped"))</f>
        <v>Vishnu V</v>
      </c>
      <c r="D422" s="14" t="str">
        <f aca="false" t="array" ref="D422:D422">IF(B422="","",IFERROR(INDEX('CLM &amp; IM Mapping'!$C$2:$C$270,MATCH(TRIM(B422),'CLM &amp; IM Mapping'!$A$2:$A$270,0)),"Not Mapped"))</f>
        <v>Arivind S</v>
      </c>
      <c r="E422" s="14" t="n">
        <v>20</v>
      </c>
      <c r="F422" s="14" t="n">
        <v>17</v>
      </c>
      <c r="G422" s="14" t="n">
        <v>0</v>
      </c>
      <c r="H422" s="14" t="n">
        <v>6</v>
      </c>
      <c r="I422" s="14" t="n">
        <v>5</v>
      </c>
      <c r="J422" s="14" t="n">
        <v>4</v>
      </c>
      <c r="K422" s="14" t="n">
        <v>52</v>
      </c>
      <c r="L422" s="14" t="n">
        <v>51</v>
      </c>
      <c r="M422" s="12"/>
      <c r="N422" s="11"/>
      <c r="O422" s="23"/>
      <c r="P422" s="23"/>
      <c r="Q422" s="23"/>
      <c r="R422" s="23"/>
      <c r="S422" s="23"/>
      <c r="T422" s="23"/>
      <c r="U422" s="23"/>
      <c r="V422" s="23"/>
      <c r="W422" s="23"/>
      <c r="X422" s="23"/>
      <c r="Y422" s="23"/>
      <c r="Z422" s="23"/>
    </row>
    <row r="423" customFormat="false" ht="15.75" hidden="false" customHeight="true" outlineLevel="0" collapsed="false">
      <c r="A423" s="52" t="n">
        <v>46304</v>
      </c>
      <c r="B423" s="14" t="s">
        <v>520</v>
      </c>
      <c r="C423" s="14" t="str">
        <f aca="false" t="array" ref="C423:C423">IF(B423="","",IFERROR(INDEX('CLM &amp; IM Mapping'!$B$2:$B$270,MATCH(TRIM(B423),'CLM &amp; IM Mapping'!$A$2:$A$270,0)),"Not Mapped"))</f>
        <v>John Britto</v>
      </c>
      <c r="D423" s="14" t="str">
        <f aca="false" t="array" ref="D423:D423">IF(B423="","",IFERROR(INDEX('CLM &amp; IM Mapping'!$C$2:$C$270,MATCH(TRIM(B423),'CLM &amp; IM Mapping'!$A$2:$A$270,0)),"Not Mapped"))</f>
        <v>Aravind S</v>
      </c>
      <c r="E423" s="14" t="n">
        <v>2</v>
      </c>
      <c r="F423" s="14" t="n">
        <v>40</v>
      </c>
      <c r="G423" s="14" t="n">
        <v>8</v>
      </c>
      <c r="H423" s="14" t="n">
        <v>2</v>
      </c>
      <c r="I423" s="14" t="n">
        <v>0</v>
      </c>
      <c r="J423" s="14" t="n">
        <v>0</v>
      </c>
      <c r="K423" s="14" t="n">
        <v>52</v>
      </c>
      <c r="L423" s="14" t="n">
        <v>46</v>
      </c>
      <c r="M423" s="12"/>
      <c r="N423" s="11"/>
      <c r="O423" s="23"/>
      <c r="P423" s="23"/>
      <c r="Q423" s="23"/>
      <c r="R423" s="23"/>
      <c r="S423" s="23"/>
      <c r="T423" s="23"/>
      <c r="U423" s="23"/>
      <c r="V423" s="23"/>
      <c r="W423" s="23"/>
      <c r="X423" s="23"/>
      <c r="Y423" s="23"/>
      <c r="Z423" s="23"/>
    </row>
    <row r="424" customFormat="false" ht="15.75" hidden="false" customHeight="true" outlineLevel="0" collapsed="false">
      <c r="A424" s="52" t="n">
        <v>46304</v>
      </c>
      <c r="B424" s="14" t="s">
        <v>334</v>
      </c>
      <c r="C424" s="14" t="str">
        <f aca="false" t="array" ref="C424:C424">IF(B424="","",IFERROR(INDEX('CLM &amp; IM Mapping'!$B$2:$B$270,MATCH(TRIM(B424),'CLM &amp; IM Mapping'!$A$2:$A$270,0)),"Not Mapped"))</f>
        <v>Akshay P</v>
      </c>
      <c r="D424" s="14" t="str">
        <f aca="false" t="array" ref="D424:D424">IF(B424="","",IFERROR(INDEX('CLM &amp; IM Mapping'!$C$2:$C$270,MATCH(TRIM(B424),'CLM &amp; IM Mapping'!$A$2:$A$270,0)),"Not Mapped"))</f>
        <v>Srittam Dhal</v>
      </c>
      <c r="E424" s="14" t="n">
        <v>1</v>
      </c>
      <c r="F424" s="14" t="n">
        <v>25</v>
      </c>
      <c r="G424" s="14" t="n">
        <v>0</v>
      </c>
      <c r="H424" s="14" t="n">
        <v>6</v>
      </c>
      <c r="I424" s="14" t="n">
        <v>2</v>
      </c>
      <c r="J424" s="14" t="n">
        <v>16</v>
      </c>
      <c r="K424" s="14" t="n">
        <v>50</v>
      </c>
      <c r="L424" s="14" t="n">
        <v>50</v>
      </c>
      <c r="M424" s="12"/>
      <c r="N424" s="11"/>
      <c r="O424" s="23"/>
      <c r="P424" s="23"/>
      <c r="Q424" s="23"/>
      <c r="R424" s="23"/>
      <c r="S424" s="23"/>
      <c r="T424" s="23"/>
      <c r="U424" s="23"/>
      <c r="V424" s="23"/>
      <c r="W424" s="23"/>
      <c r="X424" s="23"/>
      <c r="Y424" s="23"/>
      <c r="Z424" s="23"/>
    </row>
    <row r="425" customFormat="false" ht="15.75" hidden="false" customHeight="true" outlineLevel="0" collapsed="false">
      <c r="A425" s="52" t="n">
        <v>46304</v>
      </c>
      <c r="B425" s="14" t="s">
        <v>392</v>
      </c>
      <c r="C425" s="14" t="str">
        <f aca="false" t="array" ref="C425:C425">IF(B425="","",IFERROR(INDEX('CLM &amp; IM Mapping'!$B$2:$B$270,MATCH(TRIM(B425),'CLM &amp; IM Mapping'!$A$2:$A$270,0)),"Not Mapped"))</f>
        <v>Balaji G</v>
      </c>
      <c r="D425" s="14" t="str">
        <f aca="false" t="array" ref="D425:D425">IF(B425="","",IFERROR(INDEX('CLM &amp; IM Mapping'!$C$2:$C$270,MATCH(TRIM(B425),'CLM &amp; IM Mapping'!$A$2:$A$270,0)),"Not Mapped"))</f>
        <v>Mohammed Akbar</v>
      </c>
      <c r="E425" s="14" t="n">
        <v>11</v>
      </c>
      <c r="F425" s="14" t="n">
        <v>1</v>
      </c>
      <c r="G425" s="14" t="n">
        <v>28</v>
      </c>
      <c r="H425" s="14" t="n">
        <v>2</v>
      </c>
      <c r="I425" s="14" t="n">
        <v>3</v>
      </c>
      <c r="J425" s="14" t="n">
        <v>1</v>
      </c>
      <c r="K425" s="14" t="n">
        <v>46</v>
      </c>
      <c r="L425" s="14" t="n">
        <v>46</v>
      </c>
      <c r="M425" s="12"/>
      <c r="N425" s="11"/>
      <c r="O425" s="23"/>
      <c r="P425" s="23"/>
      <c r="Q425" s="23"/>
      <c r="R425" s="23"/>
      <c r="S425" s="23"/>
      <c r="T425" s="23"/>
      <c r="U425" s="23"/>
      <c r="V425" s="23"/>
      <c r="W425" s="23"/>
      <c r="X425" s="23"/>
      <c r="Y425" s="23"/>
      <c r="Z425" s="23"/>
    </row>
    <row r="426" customFormat="false" ht="15.75" hidden="false" customHeight="true" outlineLevel="0" collapsed="false">
      <c r="A426" s="52" t="n">
        <v>46304</v>
      </c>
      <c r="B426" s="14" t="s">
        <v>312</v>
      </c>
      <c r="C426" s="14" t="str">
        <f aca="false" t="array" ref="C426:C426">IF(B426="","",IFERROR(INDEX('CLM &amp; IM Mapping'!$B$2:$B$270,MATCH(TRIM(B426),'CLM &amp; IM Mapping'!$A$2:$A$270,0)),"Not Mapped"))</f>
        <v>Manoj Kj</v>
      </c>
      <c r="D426" s="14" t="str">
        <f aca="false" t="array" ref="D426:D426">IF(B426="","",IFERROR(INDEX('CLM &amp; IM Mapping'!$C$2:$C$270,MATCH(TRIM(B426),'CLM &amp; IM Mapping'!$A$2:$A$270,0)),"Not Mapped"))</f>
        <v>Srittam Dhal</v>
      </c>
      <c r="E426" s="14" t="n">
        <v>0</v>
      </c>
      <c r="F426" s="14" t="n">
        <v>1</v>
      </c>
      <c r="G426" s="14" t="n">
        <v>0</v>
      </c>
      <c r="H426" s="14" t="n">
        <v>15</v>
      </c>
      <c r="I426" s="14" t="n">
        <v>0</v>
      </c>
      <c r="J426" s="14" t="n">
        <v>30</v>
      </c>
      <c r="K426" s="14" t="n">
        <v>46</v>
      </c>
      <c r="L426" s="14" t="n">
        <v>46</v>
      </c>
      <c r="M426" s="12"/>
      <c r="N426" s="11"/>
      <c r="O426" s="23"/>
      <c r="P426" s="23"/>
      <c r="Q426" s="23"/>
      <c r="R426" s="23"/>
      <c r="S426" s="23"/>
      <c r="T426" s="23"/>
      <c r="U426" s="23"/>
      <c r="V426" s="23"/>
      <c r="W426" s="23"/>
      <c r="X426" s="23"/>
      <c r="Y426" s="23"/>
      <c r="Z426" s="23"/>
    </row>
    <row r="427" customFormat="false" ht="15.75" hidden="false" customHeight="true" outlineLevel="0" collapsed="false">
      <c r="A427" s="52" t="n">
        <v>46304</v>
      </c>
      <c r="B427" s="14" t="s">
        <v>481</v>
      </c>
      <c r="C427" s="14" t="str">
        <f aca="false" t="array" ref="C427:C427">IF(B427="","",IFERROR(INDEX('CLM &amp; IM Mapping'!$B$2:$B$270,MATCH(TRIM(B427),'CLM &amp; IM Mapping'!$A$2:$A$270,0)),"Not Mapped"))</f>
        <v>Akshay P</v>
      </c>
      <c r="D427" s="14" t="str">
        <f aca="false" t="array" ref="D427:D427">IF(B427="","",IFERROR(INDEX('CLM &amp; IM Mapping'!$C$2:$C$270,MATCH(TRIM(B427),'CLM &amp; IM Mapping'!$A$2:$A$270,0)),"Not Mapped"))</f>
        <v>Srittam Dhal</v>
      </c>
      <c r="E427" s="14" t="n">
        <v>0</v>
      </c>
      <c r="F427" s="14" t="n">
        <v>7</v>
      </c>
      <c r="G427" s="14" t="n">
        <v>1</v>
      </c>
      <c r="H427" s="14" t="n">
        <v>1</v>
      </c>
      <c r="I427" s="14" t="n">
        <v>11</v>
      </c>
      <c r="J427" s="14" t="n">
        <v>26</v>
      </c>
      <c r="K427" s="14" t="n">
        <v>46</v>
      </c>
      <c r="L427" s="14" t="n">
        <v>46</v>
      </c>
      <c r="M427" s="12"/>
      <c r="N427" s="11"/>
      <c r="O427" s="23"/>
      <c r="P427" s="23"/>
      <c r="Q427" s="23"/>
      <c r="R427" s="23"/>
      <c r="S427" s="23"/>
      <c r="T427" s="23"/>
      <c r="U427" s="23"/>
      <c r="V427" s="23"/>
      <c r="W427" s="23"/>
      <c r="X427" s="23"/>
      <c r="Y427" s="23"/>
      <c r="Z427" s="23"/>
    </row>
    <row r="428" customFormat="false" ht="15.75" hidden="false" customHeight="true" outlineLevel="0" collapsed="false">
      <c r="A428" s="52" t="n">
        <v>46304</v>
      </c>
      <c r="B428" s="14" t="s">
        <v>421</v>
      </c>
      <c r="C428" s="14" t="str">
        <f aca="false" t="array" ref="C428:C428">IF(B428="","",IFERROR(INDEX('CLM &amp; IM Mapping'!$B$2:$B$270,MATCH(TRIM(B428),'CLM &amp; IM Mapping'!$A$2:$A$270,0)),"Not Mapped"))</f>
        <v>Santhosha M</v>
      </c>
      <c r="D428" s="14" t="str">
        <f aca="false" t="array" ref="D428:D428">IF(B428="","",IFERROR(INDEX('CLM &amp; IM Mapping'!$C$2:$C$270,MATCH(TRIM(B428),'CLM &amp; IM Mapping'!$A$2:$A$270,0)),"Not Mapped"))</f>
        <v>Aravind S</v>
      </c>
      <c r="E428" s="14" t="n">
        <v>1</v>
      </c>
      <c r="F428" s="14" t="n">
        <v>21</v>
      </c>
      <c r="G428" s="14" t="n">
        <v>8</v>
      </c>
      <c r="H428" s="14" t="n">
        <v>0</v>
      </c>
      <c r="I428" s="14" t="n">
        <v>15</v>
      </c>
      <c r="J428" s="14" t="n">
        <v>0</v>
      </c>
      <c r="K428" s="14" t="n">
        <v>45</v>
      </c>
      <c r="L428" s="14" t="n">
        <v>38</v>
      </c>
      <c r="M428" s="12"/>
      <c r="N428" s="11"/>
      <c r="O428" s="23"/>
      <c r="P428" s="23"/>
      <c r="Q428" s="23"/>
      <c r="R428" s="23"/>
      <c r="S428" s="23"/>
      <c r="T428" s="23"/>
      <c r="U428" s="23"/>
      <c r="V428" s="23"/>
      <c r="W428" s="23"/>
      <c r="X428" s="23"/>
      <c r="Y428" s="23"/>
      <c r="Z428" s="23"/>
    </row>
    <row r="429" customFormat="false" ht="15.75" hidden="false" customHeight="true" outlineLevel="0" collapsed="false">
      <c r="A429" s="52" t="n">
        <v>46304</v>
      </c>
      <c r="B429" s="14" t="s">
        <v>431</v>
      </c>
      <c r="C429" s="14" t="str">
        <f aca="false" t="array" ref="C429:C429">IF(B429="","",IFERROR(INDEX('CLM &amp; IM Mapping'!$B$2:$B$270,MATCH(TRIM(B429),'CLM &amp; IM Mapping'!$A$2:$A$270,0)),"Not Mapped"))</f>
        <v>Vishnu V</v>
      </c>
      <c r="D429" s="14" t="str">
        <f aca="false" t="array" ref="D429:D429">IF(B429="","",IFERROR(INDEX('CLM &amp; IM Mapping'!$C$2:$C$270,MATCH(TRIM(B429),'CLM &amp; IM Mapping'!$A$2:$A$270,0)),"Not Mapped"))</f>
        <v>Arivind S</v>
      </c>
      <c r="E429" s="14" t="n">
        <v>4</v>
      </c>
      <c r="F429" s="14" t="n">
        <v>17</v>
      </c>
      <c r="G429" s="14" t="n">
        <v>5</v>
      </c>
      <c r="H429" s="14" t="n">
        <v>7</v>
      </c>
      <c r="I429" s="14" t="n">
        <v>0</v>
      </c>
      <c r="J429" s="14" t="n">
        <v>12</v>
      </c>
      <c r="K429" s="14" t="n">
        <v>45</v>
      </c>
      <c r="L429" s="14" t="n">
        <v>45</v>
      </c>
      <c r="M429" s="12"/>
      <c r="N429" s="11"/>
      <c r="O429" s="23"/>
      <c r="P429" s="23"/>
      <c r="Q429" s="23"/>
      <c r="R429" s="23"/>
      <c r="S429" s="23"/>
      <c r="T429" s="23"/>
      <c r="U429" s="23"/>
      <c r="V429" s="23"/>
      <c r="W429" s="23"/>
      <c r="X429" s="23"/>
      <c r="Y429" s="23"/>
      <c r="Z429" s="23"/>
    </row>
    <row r="430" customFormat="false" ht="15.75" hidden="false" customHeight="true" outlineLevel="0" collapsed="false">
      <c r="A430" s="52" t="n">
        <v>46304</v>
      </c>
      <c r="B430" s="14" t="s">
        <v>304</v>
      </c>
      <c r="C430" s="14" t="str">
        <f aca="false" t="array" ref="C430:C430">IF(B430="","",IFERROR(INDEX('CLM &amp; IM Mapping'!$B$2:$B$270,MATCH(TRIM(B430),'CLM &amp; IM Mapping'!$A$2:$A$270,0)),"Not Mapped"))</f>
        <v>John Britto</v>
      </c>
      <c r="D430" s="14" t="str">
        <f aca="false" t="array" ref="D430:D430">IF(B430="","",IFERROR(INDEX('CLM &amp; IM Mapping'!$C$2:$C$270,MATCH(TRIM(B430),'CLM &amp; IM Mapping'!$A$2:$A$270,0)),"Not Mapped"))</f>
        <v>Aravind S</v>
      </c>
      <c r="E430" s="14" t="n">
        <v>12</v>
      </c>
      <c r="F430" s="14" t="n">
        <v>27</v>
      </c>
      <c r="G430" s="14" t="n">
        <v>2</v>
      </c>
      <c r="H430" s="14" t="n">
        <v>4</v>
      </c>
      <c r="I430" s="14" t="n">
        <v>0</v>
      </c>
      <c r="J430" s="14" t="n">
        <v>0</v>
      </c>
      <c r="K430" s="14" t="n">
        <v>45</v>
      </c>
      <c r="L430" s="14" t="n">
        <v>40</v>
      </c>
      <c r="M430" s="12"/>
      <c r="N430" s="11"/>
      <c r="O430" s="23"/>
      <c r="P430" s="23"/>
      <c r="Q430" s="23"/>
      <c r="R430" s="23"/>
      <c r="S430" s="23"/>
      <c r="T430" s="23"/>
      <c r="U430" s="23"/>
      <c r="V430" s="23"/>
      <c r="W430" s="23"/>
      <c r="X430" s="23"/>
      <c r="Y430" s="23"/>
      <c r="Z430" s="23"/>
    </row>
    <row r="431" customFormat="false" ht="15.75" hidden="false" customHeight="true" outlineLevel="0" collapsed="false">
      <c r="A431" s="52" t="n">
        <v>46304</v>
      </c>
      <c r="B431" s="14" t="s">
        <v>333</v>
      </c>
      <c r="C431" s="14" t="str">
        <f aca="false" t="array" ref="C431:C431">IF(B431="","",IFERROR(INDEX('CLM &amp; IM Mapping'!$B$2:$B$270,MATCH(TRIM(B431),'CLM &amp; IM Mapping'!$A$2:$A$270,0)),"Not Mapped"))</f>
        <v>Basil Scariya</v>
      </c>
      <c r="D431" s="14" t="str">
        <f aca="false" t="array" ref="D431:D431">IF(B431="","",IFERROR(INDEX('CLM &amp; IM Mapping'!$C$2:$C$270,MATCH(TRIM(B431),'CLM &amp; IM Mapping'!$A$2:$A$270,0)),"Not Mapped"))</f>
        <v>Prakash BS</v>
      </c>
      <c r="E431" s="14" t="n">
        <v>1</v>
      </c>
      <c r="F431" s="14" t="n">
        <v>2</v>
      </c>
      <c r="G431" s="14" t="n">
        <v>0</v>
      </c>
      <c r="H431" s="14" t="n">
        <v>2</v>
      </c>
      <c r="I431" s="14" t="n">
        <v>0</v>
      </c>
      <c r="J431" s="14" t="n">
        <v>40</v>
      </c>
      <c r="K431" s="14" t="n">
        <v>45</v>
      </c>
      <c r="L431" s="14" t="n">
        <v>43</v>
      </c>
      <c r="M431" s="12" t="s">
        <v>844</v>
      </c>
      <c r="N431" s="11"/>
      <c r="O431" s="23"/>
      <c r="P431" s="23"/>
      <c r="Q431" s="23"/>
      <c r="R431" s="23"/>
      <c r="S431" s="23"/>
      <c r="T431" s="23"/>
      <c r="U431" s="23"/>
      <c r="V431" s="23"/>
      <c r="W431" s="23"/>
      <c r="X431" s="23"/>
      <c r="Y431" s="23"/>
      <c r="Z431" s="23"/>
    </row>
    <row r="432" customFormat="false" ht="15.75" hidden="false" customHeight="true" outlineLevel="0" collapsed="false">
      <c r="A432" s="52" t="n">
        <v>46304</v>
      </c>
      <c r="B432" s="14" t="s">
        <v>412</v>
      </c>
      <c r="C432" s="14" t="str">
        <f aca="false" t="array" ref="C432:C432">IF(B432="","",IFERROR(INDEX('CLM &amp; IM Mapping'!$B$2:$B$270,MATCH(TRIM(B432),'CLM &amp; IM Mapping'!$A$2:$A$270,0)),"Not Mapped"))</f>
        <v>Richard Harris</v>
      </c>
      <c r="D432" s="14" t="str">
        <f aca="false" t="array" ref="D432:D432">IF(B432="","",IFERROR(INDEX('CLM &amp; IM Mapping'!$C$2:$C$270,MATCH(TRIM(B432),'CLM &amp; IM Mapping'!$A$2:$A$270,0)),"Not Mapped"))</f>
        <v>Kantha Kumar</v>
      </c>
      <c r="E432" s="14" t="n">
        <v>18</v>
      </c>
      <c r="F432" s="14" t="n">
        <v>14</v>
      </c>
      <c r="G432" s="14" t="n">
        <v>8</v>
      </c>
      <c r="H432" s="14" t="n">
        <v>0</v>
      </c>
      <c r="I432" s="14" t="n">
        <v>0</v>
      </c>
      <c r="J432" s="14" t="n">
        <v>4</v>
      </c>
      <c r="K432" s="14" t="n">
        <v>44</v>
      </c>
      <c r="L432" s="14" t="n">
        <v>44</v>
      </c>
      <c r="M432" s="12"/>
      <c r="N432" s="11"/>
      <c r="O432" s="23"/>
      <c r="P432" s="23"/>
      <c r="Q432" s="23"/>
      <c r="R432" s="23"/>
      <c r="S432" s="23"/>
      <c r="T432" s="23"/>
      <c r="U432" s="23"/>
      <c r="V432" s="23"/>
      <c r="W432" s="23"/>
      <c r="X432" s="23"/>
      <c r="Y432" s="23"/>
      <c r="Z432" s="23"/>
    </row>
    <row r="433" customFormat="false" ht="15.75" hidden="false" customHeight="true" outlineLevel="0" collapsed="false">
      <c r="A433" s="52" t="n">
        <v>46304</v>
      </c>
      <c r="B433" s="14" t="s">
        <v>364</v>
      </c>
      <c r="C433" s="14" t="str">
        <f aca="false" t="array" ref="C433:C433">IF(B433="","",IFERROR(INDEX('CLM &amp; IM Mapping'!$B$2:$B$270,MATCH(TRIM(B433),'CLM &amp; IM Mapping'!$A$2:$A$270,0)),"Not Mapped"))</f>
        <v>Raghavendra Vernekar</v>
      </c>
      <c r="D433" s="14" t="str">
        <f aca="false" t="array" ref="D433:D433">IF(B433="","",IFERROR(INDEX('CLM &amp; IM Mapping'!$C$2:$C$270,MATCH(TRIM(B433),'CLM &amp; IM Mapping'!$A$2:$A$270,0)),"Not Mapped"))</f>
        <v>Prakash BS</v>
      </c>
      <c r="E433" s="14" t="n">
        <v>29</v>
      </c>
      <c r="F433" s="14" t="n">
        <v>0</v>
      </c>
      <c r="G433" s="14" t="n">
        <v>0</v>
      </c>
      <c r="H433" s="14" t="n">
        <v>7</v>
      </c>
      <c r="I433" s="14" t="n">
        <v>8</v>
      </c>
      <c r="J433" s="14" t="n">
        <v>0</v>
      </c>
      <c r="K433" s="14" t="n">
        <v>44</v>
      </c>
      <c r="L433" s="14" t="n">
        <v>44</v>
      </c>
      <c r="M433" s="12" t="s">
        <v>844</v>
      </c>
      <c r="N433" s="11"/>
      <c r="O433" s="23"/>
      <c r="P433" s="23"/>
      <c r="Q433" s="23"/>
      <c r="R433" s="23"/>
      <c r="S433" s="23"/>
      <c r="T433" s="23"/>
      <c r="U433" s="23"/>
      <c r="V433" s="23"/>
      <c r="W433" s="23"/>
      <c r="X433" s="23"/>
      <c r="Y433" s="23"/>
      <c r="Z433" s="23"/>
    </row>
    <row r="434" customFormat="false" ht="15.75" hidden="false" customHeight="true" outlineLevel="0" collapsed="false">
      <c r="A434" s="52" t="n">
        <v>46304</v>
      </c>
      <c r="B434" s="14" t="s">
        <v>311</v>
      </c>
      <c r="C434" s="14" t="str">
        <f aca="false" t="array" ref="C434:C434">IF(B434="","",IFERROR(INDEX('CLM &amp; IM Mapping'!$B$2:$B$270,MATCH(TRIM(B434),'CLM &amp; IM Mapping'!$A$2:$A$270,0)),"Not Mapped"))</f>
        <v>Manjunatha V</v>
      </c>
      <c r="D434" s="14" t="str">
        <f aca="false" t="array" ref="D434:D434">IF(B434="","",IFERROR(INDEX('CLM &amp; IM Mapping'!$C$2:$C$270,MATCH(TRIM(B434),'CLM &amp; IM Mapping'!$A$2:$A$270,0)),"Not Mapped"))</f>
        <v>Un Mapped</v>
      </c>
      <c r="E434" s="14" t="n">
        <v>12</v>
      </c>
      <c r="F434" s="14" t="n">
        <v>3</v>
      </c>
      <c r="G434" s="14" t="n">
        <v>1</v>
      </c>
      <c r="H434" s="14" t="n">
        <v>11</v>
      </c>
      <c r="I434" s="14" t="n">
        <v>10</v>
      </c>
      <c r="J434" s="14" t="n">
        <v>6</v>
      </c>
      <c r="K434" s="14" t="n">
        <v>43</v>
      </c>
      <c r="L434" s="14" t="n">
        <v>43</v>
      </c>
      <c r="M434" s="12"/>
      <c r="N434" s="11"/>
      <c r="O434" s="23"/>
      <c r="P434" s="23"/>
      <c r="Q434" s="23"/>
      <c r="R434" s="23"/>
      <c r="S434" s="23"/>
      <c r="T434" s="23"/>
      <c r="U434" s="23"/>
      <c r="V434" s="23"/>
      <c r="W434" s="23"/>
      <c r="X434" s="23"/>
      <c r="Y434" s="23"/>
      <c r="Z434" s="23"/>
    </row>
    <row r="435" customFormat="false" ht="15.75" hidden="false" customHeight="true" outlineLevel="0" collapsed="false">
      <c r="A435" s="52" t="n">
        <v>46304</v>
      </c>
      <c r="B435" s="14" t="s">
        <v>345</v>
      </c>
      <c r="C435" s="14" t="str">
        <f aca="false" t="array" ref="C435:C435">IF(B435="","",IFERROR(INDEX('CLM &amp; IM Mapping'!$B$2:$B$270,MATCH(TRIM(B435),'CLM &amp; IM Mapping'!$A$2:$A$270,0)),"Not Mapped"))</f>
        <v>John Britto</v>
      </c>
      <c r="D435" s="14" t="str">
        <f aca="false" t="array" ref="D435:D435">IF(B435="","",IFERROR(INDEX('CLM &amp; IM Mapping'!$C$2:$C$270,MATCH(TRIM(B435),'CLM &amp; IM Mapping'!$A$2:$A$270,0)),"Not Mapped"))</f>
        <v>Aravind S</v>
      </c>
      <c r="E435" s="14" t="n">
        <v>0</v>
      </c>
      <c r="F435" s="14" t="n">
        <v>0</v>
      </c>
      <c r="G435" s="14" t="n">
        <v>0</v>
      </c>
      <c r="H435" s="14" t="n">
        <v>29</v>
      </c>
      <c r="I435" s="14" t="n">
        <v>0</v>
      </c>
      <c r="J435" s="14" t="n">
        <v>14</v>
      </c>
      <c r="K435" s="14" t="n">
        <v>43</v>
      </c>
      <c r="L435" s="14" t="n">
        <v>43</v>
      </c>
      <c r="M435" s="12"/>
      <c r="N435" s="11"/>
      <c r="O435" s="23"/>
      <c r="P435" s="23"/>
      <c r="Q435" s="23"/>
      <c r="R435" s="23"/>
      <c r="S435" s="23"/>
      <c r="T435" s="23"/>
      <c r="U435" s="23"/>
      <c r="V435" s="23"/>
      <c r="W435" s="23"/>
      <c r="X435" s="23"/>
      <c r="Y435" s="23"/>
      <c r="Z435" s="23"/>
    </row>
    <row r="436" customFormat="false" ht="15.75" hidden="false" customHeight="true" outlineLevel="0" collapsed="false">
      <c r="A436" s="52" t="n">
        <v>46304</v>
      </c>
      <c r="B436" s="14" t="s">
        <v>503</v>
      </c>
      <c r="C436" s="14" t="str">
        <f aca="false" t="array" ref="C436:C436">IF(B436="","",IFERROR(INDEX('CLM &amp; IM Mapping'!$B$2:$B$270,MATCH(TRIM(B436),'CLM &amp; IM Mapping'!$A$2:$A$270,0)),"Not Mapped"))</f>
        <v>Santhosha M</v>
      </c>
      <c r="D436" s="14" t="str">
        <f aca="false" t="array" ref="D436:D436">IF(B436="","",IFERROR(INDEX('CLM &amp; IM Mapping'!$C$2:$C$270,MATCH(TRIM(B436),'CLM &amp; IM Mapping'!$A$2:$A$270,0)),"Not Mapped"))</f>
        <v>Aravind S</v>
      </c>
      <c r="E436" s="14" t="n">
        <v>20</v>
      </c>
      <c r="F436" s="14" t="n">
        <v>19</v>
      </c>
      <c r="G436" s="14" t="n">
        <v>1</v>
      </c>
      <c r="H436" s="14" t="n">
        <v>0</v>
      </c>
      <c r="I436" s="14" t="n">
        <v>3</v>
      </c>
      <c r="J436" s="14" t="n">
        <v>0</v>
      </c>
      <c r="K436" s="14" t="n">
        <v>43</v>
      </c>
      <c r="L436" s="14" t="n">
        <v>43</v>
      </c>
      <c r="M436" s="12"/>
      <c r="N436" s="11"/>
      <c r="O436" s="23"/>
      <c r="P436" s="23"/>
      <c r="Q436" s="23"/>
      <c r="R436" s="23"/>
      <c r="S436" s="23"/>
      <c r="T436" s="23"/>
      <c r="U436" s="23"/>
      <c r="V436" s="23"/>
      <c r="W436" s="23"/>
      <c r="X436" s="23"/>
      <c r="Y436" s="23"/>
      <c r="Z436" s="23"/>
    </row>
    <row r="437" customFormat="false" ht="15.75" hidden="false" customHeight="true" outlineLevel="0" collapsed="false">
      <c r="A437" s="52" t="n">
        <v>46304</v>
      </c>
      <c r="B437" s="14" t="s">
        <v>457</v>
      </c>
      <c r="C437" s="14" t="str">
        <f aca="false" t="array" ref="C437:C437">IF(B437="","",IFERROR(INDEX('CLM &amp; IM Mapping'!$B$2:$B$270,MATCH(TRIM(B437),'CLM &amp; IM Mapping'!$A$2:$A$270,0)),"Not Mapped"))</f>
        <v>Saddam Hussain</v>
      </c>
      <c r="D437" s="14" t="str">
        <f aca="false" t="array" ref="D437:D437">IF(B437="","",IFERROR(INDEX('CLM &amp; IM Mapping'!$C$2:$C$270,MATCH(TRIM(B437),'CLM &amp; IM Mapping'!$A$2:$A$270,0)),"Not Mapped"))</f>
        <v>Un Mapped</v>
      </c>
      <c r="E437" s="14" t="n">
        <v>0</v>
      </c>
      <c r="F437" s="14" t="n">
        <v>1</v>
      </c>
      <c r="G437" s="14" t="n">
        <v>0</v>
      </c>
      <c r="H437" s="14" t="n">
        <v>13</v>
      </c>
      <c r="I437" s="14" t="n">
        <v>20</v>
      </c>
      <c r="J437" s="14" t="n">
        <v>8</v>
      </c>
      <c r="K437" s="14" t="n">
        <v>42</v>
      </c>
      <c r="L437" s="14" t="n">
        <v>42</v>
      </c>
      <c r="M437" s="12"/>
      <c r="N437" s="11"/>
      <c r="O437" s="23"/>
      <c r="P437" s="23"/>
      <c r="Q437" s="23"/>
      <c r="R437" s="23"/>
      <c r="S437" s="23"/>
      <c r="T437" s="23"/>
      <c r="U437" s="23"/>
      <c r="V437" s="23"/>
      <c r="W437" s="23"/>
      <c r="X437" s="23"/>
      <c r="Y437" s="23"/>
      <c r="Z437" s="23"/>
    </row>
    <row r="438" customFormat="false" ht="15.75" hidden="false" customHeight="true" outlineLevel="0" collapsed="false">
      <c r="A438" s="52" t="n">
        <v>46304</v>
      </c>
      <c r="B438" s="14" t="s">
        <v>344</v>
      </c>
      <c r="C438" s="14" t="str">
        <f aca="false" t="array" ref="C438:C438">IF(B438="","",IFERROR(INDEX('CLM &amp; IM Mapping'!$B$2:$B$270,MATCH(TRIM(B438),'CLM &amp; IM Mapping'!$A$2:$A$270,0)),"Not Mapped"))</f>
        <v>Arun Raj</v>
      </c>
      <c r="D438" s="14" t="str">
        <f aca="false" t="array" ref="D438:D438">IF(B438="","",IFERROR(INDEX('CLM &amp; IM Mapping'!$C$2:$C$270,MATCH(TRIM(B438),'CLM &amp; IM Mapping'!$A$2:$A$270,0)),"Not Mapped"))</f>
        <v>Simon Manoharan</v>
      </c>
      <c r="E438" s="14" t="n">
        <v>0</v>
      </c>
      <c r="F438" s="14" t="n">
        <v>3</v>
      </c>
      <c r="G438" s="14" t="n">
        <v>0</v>
      </c>
      <c r="H438" s="14" t="n">
        <v>32</v>
      </c>
      <c r="I438" s="14" t="n">
        <v>7</v>
      </c>
      <c r="J438" s="14" t="n">
        <v>0</v>
      </c>
      <c r="K438" s="14" t="n">
        <v>42</v>
      </c>
      <c r="L438" s="14" t="n">
        <v>26</v>
      </c>
      <c r="M438" s="12"/>
      <c r="N438" s="11"/>
      <c r="O438" s="23"/>
      <c r="P438" s="23"/>
      <c r="Q438" s="23"/>
      <c r="R438" s="23"/>
      <c r="S438" s="23"/>
      <c r="T438" s="23"/>
      <c r="U438" s="23"/>
      <c r="V438" s="23"/>
      <c r="W438" s="23"/>
      <c r="X438" s="23"/>
      <c r="Y438" s="23"/>
      <c r="Z438" s="23"/>
    </row>
    <row r="439" customFormat="false" ht="15.75" hidden="false" customHeight="true" outlineLevel="0" collapsed="false">
      <c r="A439" s="52" t="n">
        <v>46304</v>
      </c>
      <c r="B439" s="14" t="s">
        <v>288</v>
      </c>
      <c r="C439" s="14" t="str">
        <f aca="false" t="array" ref="C439:C439">IF(B439="","",IFERROR(INDEX('CLM &amp; IM Mapping'!$B$2:$B$270,MATCH(TRIM(B439),'CLM &amp; IM Mapping'!$A$2:$A$270,0)),"Not Mapped"))</f>
        <v>Arun Raj</v>
      </c>
      <c r="D439" s="14" t="str">
        <f aca="false" t="array" ref="D439:D439">IF(B439="","",IFERROR(INDEX('CLM &amp; IM Mapping'!$C$2:$C$270,MATCH(TRIM(B439),'CLM &amp; IM Mapping'!$A$2:$A$270,0)),"Not Mapped"))</f>
        <v>Simon Manoharan</v>
      </c>
      <c r="E439" s="14" t="n">
        <v>0</v>
      </c>
      <c r="F439" s="14" t="n">
        <v>7</v>
      </c>
      <c r="G439" s="14" t="n">
        <v>0</v>
      </c>
      <c r="H439" s="14" t="n">
        <v>30</v>
      </c>
      <c r="I439" s="14" t="n">
        <v>3</v>
      </c>
      <c r="J439" s="14" t="n">
        <v>0</v>
      </c>
      <c r="K439" s="14" t="n">
        <v>40</v>
      </c>
      <c r="L439" s="14" t="n">
        <v>3</v>
      </c>
      <c r="M439" s="12"/>
      <c r="N439" s="11"/>
      <c r="O439" s="23"/>
      <c r="P439" s="23"/>
      <c r="Q439" s="23"/>
      <c r="R439" s="23"/>
      <c r="S439" s="23"/>
      <c r="T439" s="23"/>
      <c r="U439" s="23"/>
      <c r="V439" s="23"/>
      <c r="W439" s="23"/>
      <c r="X439" s="23"/>
      <c r="Y439" s="23"/>
      <c r="Z439" s="23"/>
    </row>
    <row r="440" customFormat="false" ht="15.75" hidden="false" customHeight="true" outlineLevel="0" collapsed="false">
      <c r="A440" s="52" t="n">
        <v>46304</v>
      </c>
      <c r="B440" s="14" t="s">
        <v>450</v>
      </c>
      <c r="C440" s="14" t="str">
        <f aca="false" t="array" ref="C440:C440">IF(B440="","",IFERROR(INDEX('CLM &amp; IM Mapping'!$B$2:$B$270,MATCH(TRIM(B440),'CLM &amp; IM Mapping'!$A$2:$A$270,0)),"Not Mapped"))</f>
        <v>Santhosha M</v>
      </c>
      <c r="D440" s="14" t="str">
        <f aca="false" t="array" ref="D440:D440">IF(B440="","",IFERROR(INDEX('CLM &amp; IM Mapping'!$C$2:$C$270,MATCH(TRIM(B440),'CLM &amp; IM Mapping'!$A$2:$A$270,0)),"Not Mapped"))</f>
        <v>Aravind S</v>
      </c>
      <c r="E440" s="14" t="n">
        <v>4</v>
      </c>
      <c r="F440" s="14" t="n">
        <v>8</v>
      </c>
      <c r="G440" s="14" t="n">
        <v>0</v>
      </c>
      <c r="H440" s="14" t="n">
        <v>0</v>
      </c>
      <c r="I440" s="14" t="n">
        <v>27</v>
      </c>
      <c r="J440" s="14" t="n">
        <v>0</v>
      </c>
      <c r="K440" s="14" t="n">
        <v>39</v>
      </c>
      <c r="L440" s="14" t="n">
        <v>34</v>
      </c>
      <c r="M440" s="12"/>
      <c r="N440" s="11"/>
      <c r="O440" s="23"/>
      <c r="P440" s="23"/>
      <c r="Q440" s="23"/>
      <c r="R440" s="23"/>
      <c r="S440" s="23"/>
      <c r="T440" s="23"/>
      <c r="U440" s="23"/>
      <c r="V440" s="23"/>
      <c r="W440" s="23"/>
      <c r="X440" s="23"/>
      <c r="Y440" s="23"/>
      <c r="Z440" s="23"/>
    </row>
    <row r="441" customFormat="false" ht="15.75" hidden="false" customHeight="true" outlineLevel="0" collapsed="false">
      <c r="A441" s="52" t="n">
        <v>46304</v>
      </c>
      <c r="B441" s="14" t="s">
        <v>219</v>
      </c>
      <c r="C441" s="14" t="str">
        <f aca="false" t="array" ref="C441:C441">IF(B441="","",IFERROR(INDEX('CLM &amp; IM Mapping'!$B$2:$B$270,MATCH(TRIM(B441),'CLM &amp; IM Mapping'!$A$2:$A$270,0)),"Not Mapped"))</f>
        <v>Arun Raj</v>
      </c>
      <c r="D441" s="14" t="str">
        <f aca="false" t="array" ref="D441:D441">IF(B441="","",IFERROR(INDEX('CLM &amp; IM Mapping'!$C$2:$C$270,MATCH(TRIM(B441),'CLM &amp; IM Mapping'!$A$2:$A$270,0)),"Not Mapped"))</f>
        <v>Simon Manoharan</v>
      </c>
      <c r="E441" s="14" t="n">
        <v>16</v>
      </c>
      <c r="F441" s="14" t="n">
        <v>10</v>
      </c>
      <c r="G441" s="14" t="n">
        <v>5</v>
      </c>
      <c r="H441" s="14" t="n">
        <v>5</v>
      </c>
      <c r="I441" s="14" t="n">
        <v>2</v>
      </c>
      <c r="J441" s="14" t="n">
        <v>0</v>
      </c>
      <c r="K441" s="14" t="n">
        <v>38</v>
      </c>
      <c r="L441" s="14" t="n">
        <v>35</v>
      </c>
      <c r="M441" s="12"/>
      <c r="N441" s="11"/>
      <c r="O441" s="23"/>
      <c r="P441" s="23"/>
      <c r="Q441" s="23"/>
      <c r="R441" s="23"/>
      <c r="S441" s="23"/>
      <c r="T441" s="23"/>
      <c r="U441" s="23"/>
      <c r="V441" s="23"/>
      <c r="W441" s="23"/>
      <c r="X441" s="23"/>
      <c r="Y441" s="23"/>
      <c r="Z441" s="23"/>
    </row>
    <row r="442" customFormat="false" ht="15.75" hidden="false" customHeight="true" outlineLevel="0" collapsed="false">
      <c r="A442" s="52" t="n">
        <v>46304</v>
      </c>
      <c r="B442" s="14" t="s">
        <v>224</v>
      </c>
      <c r="C442" s="14" t="str">
        <f aca="false" t="array" ref="C442:C442">IF(B442="","",IFERROR(INDEX('CLM &amp; IM Mapping'!$B$2:$B$270,MATCH(TRIM(B442),'CLM &amp; IM Mapping'!$A$2:$A$270,0)),"Not Mapped"))</f>
        <v>Vishnu V</v>
      </c>
      <c r="D442" s="14" t="str">
        <f aca="false" t="array" ref="D442:D442">IF(B442="","",IFERROR(INDEX('CLM &amp; IM Mapping'!$C$2:$C$270,MATCH(TRIM(B442),'CLM &amp; IM Mapping'!$A$2:$A$270,0)),"Not Mapped"))</f>
        <v>Arivind S</v>
      </c>
      <c r="E442" s="14" t="n">
        <v>0</v>
      </c>
      <c r="F442" s="14" t="n">
        <v>32</v>
      </c>
      <c r="G442" s="14" t="n">
        <v>0</v>
      </c>
      <c r="H442" s="14" t="n">
        <v>5</v>
      </c>
      <c r="I442" s="14" t="n">
        <v>1</v>
      </c>
      <c r="J442" s="14" t="n">
        <v>0</v>
      </c>
      <c r="K442" s="14" t="n">
        <v>38</v>
      </c>
      <c r="L442" s="14" t="n">
        <v>7</v>
      </c>
      <c r="M442" s="12"/>
      <c r="N442" s="11"/>
      <c r="O442" s="23"/>
      <c r="P442" s="23"/>
      <c r="Q442" s="23"/>
      <c r="R442" s="23"/>
      <c r="S442" s="23"/>
      <c r="T442" s="23"/>
      <c r="U442" s="23"/>
      <c r="V442" s="23"/>
      <c r="W442" s="23"/>
      <c r="X442" s="23"/>
      <c r="Y442" s="23"/>
      <c r="Z442" s="23"/>
    </row>
    <row r="443" customFormat="false" ht="15.75" hidden="false" customHeight="true" outlineLevel="0" collapsed="false">
      <c r="A443" s="52" t="n">
        <v>46304</v>
      </c>
      <c r="B443" s="14" t="s">
        <v>189</v>
      </c>
      <c r="C443" s="14" t="str">
        <f aca="false" t="array" ref="C443:C443">IF(B443="","",IFERROR(INDEX('CLM &amp; IM Mapping'!$B$2:$B$270,MATCH(TRIM(B443),'CLM &amp; IM Mapping'!$A$2:$A$270,0)),"Not Mapped"))</f>
        <v>Girish N</v>
      </c>
      <c r="D443" s="14" t="str">
        <f aca="false" t="array" ref="D443:D443">IF(B443="","",IFERROR(INDEX('CLM &amp; IM Mapping'!$C$2:$C$270,MATCH(TRIM(B443),'CLM &amp; IM Mapping'!$A$2:$A$270,0)),"Not Mapped"))</f>
        <v>Un Mapped</v>
      </c>
      <c r="E443" s="14" t="n">
        <v>0</v>
      </c>
      <c r="F443" s="14" t="n">
        <v>0</v>
      </c>
      <c r="G443" s="14" t="n">
        <v>0</v>
      </c>
      <c r="H443" s="14" t="n">
        <v>36</v>
      </c>
      <c r="I443" s="14" t="n">
        <v>0</v>
      </c>
      <c r="J443" s="14" t="n">
        <v>2</v>
      </c>
      <c r="K443" s="14" t="n">
        <v>38</v>
      </c>
      <c r="L443" s="14" t="n">
        <v>38</v>
      </c>
      <c r="M443" s="12"/>
      <c r="N443" s="11"/>
      <c r="O443" s="23"/>
      <c r="P443" s="23"/>
      <c r="Q443" s="23"/>
      <c r="R443" s="23"/>
      <c r="S443" s="23"/>
      <c r="T443" s="23"/>
      <c r="U443" s="23"/>
      <c r="V443" s="23"/>
      <c r="W443" s="23"/>
      <c r="X443" s="23"/>
      <c r="Y443" s="23"/>
      <c r="Z443" s="23"/>
    </row>
    <row r="444" customFormat="false" ht="15.75" hidden="false" customHeight="true" outlineLevel="0" collapsed="false">
      <c r="A444" s="52" t="n">
        <v>46304</v>
      </c>
      <c r="B444" s="14" t="s">
        <v>490</v>
      </c>
      <c r="C444" s="14" t="str">
        <f aca="false" t="array" ref="C444:C444">IF(B444="","",IFERROR(INDEX('CLM &amp; IM Mapping'!$B$2:$B$270,MATCH(TRIM(B444),'CLM &amp; IM Mapping'!$A$2:$A$270,0)),"Not Mapped"))</f>
        <v>Arun Raj</v>
      </c>
      <c r="D444" s="14" t="str">
        <f aca="false" t="array" ref="D444:D444">IF(B444="","",IFERROR(INDEX('CLM &amp; IM Mapping'!$C$2:$C$270,MATCH(TRIM(B444),'CLM &amp; IM Mapping'!$A$2:$A$270,0)),"Not Mapped"))</f>
        <v>Simon Manoharan</v>
      </c>
      <c r="E444" s="14" t="n">
        <v>0</v>
      </c>
      <c r="F444" s="14" t="n">
        <v>11</v>
      </c>
      <c r="G444" s="14" t="n">
        <v>4</v>
      </c>
      <c r="H444" s="14" t="n">
        <v>5</v>
      </c>
      <c r="I444" s="14" t="n">
        <v>18</v>
      </c>
      <c r="J444" s="14" t="n">
        <v>0</v>
      </c>
      <c r="K444" s="14" t="n">
        <v>38</v>
      </c>
      <c r="L444" s="14" t="n">
        <v>13</v>
      </c>
      <c r="M444" s="12"/>
      <c r="N444" s="11"/>
      <c r="O444" s="23"/>
      <c r="P444" s="23"/>
      <c r="Q444" s="23"/>
      <c r="R444" s="23"/>
      <c r="S444" s="23"/>
      <c r="T444" s="23"/>
      <c r="U444" s="23"/>
      <c r="V444" s="23"/>
      <c r="W444" s="23"/>
      <c r="X444" s="23"/>
      <c r="Y444" s="23"/>
      <c r="Z444" s="23"/>
    </row>
    <row r="445" customFormat="false" ht="15.75" hidden="false" customHeight="true" outlineLevel="0" collapsed="false">
      <c r="A445" s="52" t="n">
        <v>46304</v>
      </c>
      <c r="B445" s="14" t="s">
        <v>200</v>
      </c>
      <c r="C445" s="14" t="str">
        <f aca="false" t="array" ref="C445:C445">IF(B445="","",IFERROR(INDEX('CLM &amp; IM Mapping'!$B$2:$B$270,MATCH(TRIM(B445),'CLM &amp; IM Mapping'!$A$2:$A$270,0)),"Not Mapped"))</f>
        <v>Adhavan Subramani</v>
      </c>
      <c r="D445" s="14" t="str">
        <f aca="false" t="array" ref="D445:D445">IF(B445="","",IFERROR(INDEX('CLM &amp; IM Mapping'!$C$2:$C$270,MATCH(TRIM(B445),'CLM &amp; IM Mapping'!$A$2:$A$270,0)),"Not Mapped"))</f>
        <v>Mohammed Akbar</v>
      </c>
      <c r="E445" s="14" t="n">
        <v>0</v>
      </c>
      <c r="F445" s="14" t="n">
        <v>18</v>
      </c>
      <c r="G445" s="14" t="n">
        <v>0</v>
      </c>
      <c r="H445" s="14" t="n">
        <v>3</v>
      </c>
      <c r="I445" s="14" t="n">
        <v>0</v>
      </c>
      <c r="J445" s="14" t="n">
        <v>16</v>
      </c>
      <c r="K445" s="14" t="n">
        <v>37</v>
      </c>
      <c r="L445" s="14" t="n">
        <v>36</v>
      </c>
      <c r="M445" s="12"/>
      <c r="N445" s="11"/>
      <c r="O445" s="23"/>
      <c r="P445" s="23"/>
      <c r="Q445" s="23"/>
      <c r="R445" s="23"/>
      <c r="S445" s="23"/>
      <c r="T445" s="23"/>
      <c r="U445" s="23"/>
      <c r="V445" s="23"/>
      <c r="W445" s="23"/>
      <c r="X445" s="23"/>
      <c r="Y445" s="23"/>
      <c r="Z445" s="23"/>
    </row>
    <row r="446" customFormat="false" ht="15.75" hidden="false" customHeight="true" outlineLevel="0" collapsed="false">
      <c r="A446" s="52" t="n">
        <v>46304</v>
      </c>
      <c r="B446" s="14" t="s">
        <v>436</v>
      </c>
      <c r="C446" s="14" t="str">
        <f aca="false" t="array" ref="C446:C446">IF(B446="","",IFERROR(INDEX('CLM &amp; IM Mapping'!$B$2:$B$270,MATCH(TRIM(B446),'CLM &amp; IM Mapping'!$A$2:$A$270,0)),"Not Mapped"))</f>
        <v>Narasimhamurthy R</v>
      </c>
      <c r="D446" s="14" t="str">
        <f aca="false" t="array" ref="D446:D446">IF(B446="","",IFERROR(INDEX('CLM &amp; IM Mapping'!$C$2:$C$270,MATCH(TRIM(B446),'CLM &amp; IM Mapping'!$A$2:$A$270,0)),"Not Mapped"))</f>
        <v>Kishor K</v>
      </c>
      <c r="E446" s="14" t="n">
        <v>14</v>
      </c>
      <c r="F446" s="14" t="n">
        <v>0</v>
      </c>
      <c r="G446" s="14" t="n">
        <v>13</v>
      </c>
      <c r="H446" s="14" t="n">
        <v>1</v>
      </c>
      <c r="I446" s="14" t="n">
        <v>9</v>
      </c>
      <c r="J446" s="14" t="n">
        <v>0</v>
      </c>
      <c r="K446" s="14" t="n">
        <v>37</v>
      </c>
      <c r="L446" s="14" t="n">
        <v>37</v>
      </c>
      <c r="M446" s="12" t="s">
        <v>828</v>
      </c>
      <c r="N446" s="54" t="n">
        <v>0.666666666666667</v>
      </c>
      <c r="O446" s="23"/>
      <c r="P446" s="23"/>
      <c r="Q446" s="23"/>
      <c r="R446" s="23"/>
      <c r="S446" s="23"/>
      <c r="T446" s="23"/>
      <c r="U446" s="23"/>
      <c r="V446" s="23"/>
      <c r="W446" s="23"/>
      <c r="X446" s="23"/>
      <c r="Y446" s="23"/>
      <c r="Z446" s="23"/>
    </row>
    <row r="447" customFormat="false" ht="15.75" hidden="false" customHeight="true" outlineLevel="0" collapsed="false">
      <c r="A447" s="52" t="n">
        <v>46304</v>
      </c>
      <c r="B447" s="14" t="s">
        <v>451</v>
      </c>
      <c r="C447" s="14" t="str">
        <f aca="false" t="array" ref="C447:C447">IF(B447="","",IFERROR(INDEX('CLM &amp; IM Mapping'!$B$2:$B$270,MATCH(TRIM(B447),'CLM &amp; IM Mapping'!$A$2:$A$270,0)),"Not Mapped"))</f>
        <v>Ashwath S</v>
      </c>
      <c r="D447" s="14" t="str">
        <f aca="false" t="array" ref="D447:D447">IF(B447="","",IFERROR(INDEX('CLM &amp; IM Mapping'!$C$2:$C$270,MATCH(TRIM(B447),'CLM &amp; IM Mapping'!$A$2:$A$270,0)),"Not Mapped"))</f>
        <v>Kantha Kumar</v>
      </c>
      <c r="E447" s="14" t="n">
        <v>0</v>
      </c>
      <c r="F447" s="14" t="n">
        <v>7</v>
      </c>
      <c r="G447" s="14" t="n">
        <v>0</v>
      </c>
      <c r="H447" s="14" t="n">
        <v>29</v>
      </c>
      <c r="I447" s="14" t="n">
        <v>0</v>
      </c>
      <c r="J447" s="14" t="n">
        <v>0</v>
      </c>
      <c r="K447" s="14" t="n">
        <v>36</v>
      </c>
      <c r="L447" s="14" t="n">
        <v>29</v>
      </c>
      <c r="M447" s="12"/>
      <c r="N447" s="11"/>
      <c r="O447" s="23"/>
      <c r="P447" s="23"/>
      <c r="Q447" s="23"/>
      <c r="R447" s="23"/>
      <c r="S447" s="23"/>
      <c r="T447" s="23"/>
      <c r="U447" s="23"/>
      <c r="V447" s="23"/>
      <c r="W447" s="23"/>
      <c r="X447" s="23"/>
      <c r="Y447" s="23"/>
      <c r="Z447" s="23"/>
    </row>
    <row r="448" customFormat="false" ht="15.75" hidden="false" customHeight="true" outlineLevel="0" collapsed="false">
      <c r="A448" s="52" t="n">
        <v>46304</v>
      </c>
      <c r="B448" s="14" t="s">
        <v>346</v>
      </c>
      <c r="C448" s="14" t="str">
        <f aca="false" t="array" ref="C448:C448">IF(B448="","",IFERROR(INDEX('CLM &amp; IM Mapping'!$B$2:$B$270,MATCH(TRIM(B448),'CLM &amp; IM Mapping'!$A$2:$A$270,0)),"Not Mapped"))</f>
        <v>Saddam Hussain</v>
      </c>
      <c r="D448" s="14" t="str">
        <f aca="false" t="array" ref="D448:D448">IF(B448="","",IFERROR(INDEX('CLM &amp; IM Mapping'!$C$2:$C$270,MATCH(TRIM(B448),'CLM &amp; IM Mapping'!$A$2:$A$270,0)),"Not Mapped"))</f>
        <v>Un Mapped</v>
      </c>
      <c r="E448" s="14" t="n">
        <v>0</v>
      </c>
      <c r="F448" s="14" t="n">
        <v>0</v>
      </c>
      <c r="G448" s="14" t="n">
        <v>0</v>
      </c>
      <c r="H448" s="14" t="n">
        <v>32</v>
      </c>
      <c r="I448" s="14" t="n">
        <v>1</v>
      </c>
      <c r="J448" s="14" t="n">
        <v>2</v>
      </c>
      <c r="K448" s="14" t="n">
        <v>35</v>
      </c>
      <c r="L448" s="14" t="n">
        <v>35</v>
      </c>
      <c r="M448" s="12"/>
      <c r="N448" s="11"/>
      <c r="O448" s="23"/>
      <c r="P448" s="23"/>
      <c r="Q448" s="23"/>
      <c r="R448" s="23"/>
      <c r="S448" s="23"/>
      <c r="T448" s="23"/>
      <c r="U448" s="23"/>
      <c r="V448" s="23"/>
      <c r="W448" s="23"/>
      <c r="X448" s="23"/>
      <c r="Y448" s="23"/>
      <c r="Z448" s="23"/>
    </row>
    <row r="449" customFormat="false" ht="15.75" hidden="false" customHeight="true" outlineLevel="0" collapsed="false">
      <c r="A449" s="52" t="n">
        <v>46304</v>
      </c>
      <c r="B449" s="14" t="s">
        <v>472</v>
      </c>
      <c r="C449" s="14" t="str">
        <f aca="false" t="array" ref="C449:C449">IF(B449="","",IFERROR(INDEX('CLM &amp; IM Mapping'!$B$2:$B$270,MATCH(TRIM(B449),'CLM &amp; IM Mapping'!$A$2:$A$270,0)),"Not Mapped"))</f>
        <v>Bangareppa CS</v>
      </c>
      <c r="D449" s="14" t="str">
        <f aca="false" t="array" ref="D449:D449">IF(B449="","",IFERROR(INDEX('CLM &amp; IM Mapping'!$C$2:$C$270,MATCH(TRIM(B449),'CLM &amp; IM Mapping'!$A$2:$A$270,0)),"Not Mapped"))</f>
        <v>Kishor K</v>
      </c>
      <c r="E449" s="14" t="n">
        <v>0</v>
      </c>
      <c r="F449" s="14" t="n">
        <v>7</v>
      </c>
      <c r="G449" s="14" t="n">
        <v>3</v>
      </c>
      <c r="H449" s="14" t="n">
        <v>9</v>
      </c>
      <c r="I449" s="14" t="n">
        <v>16</v>
      </c>
      <c r="J449" s="14" t="n">
        <v>0</v>
      </c>
      <c r="K449" s="14" t="n">
        <v>35</v>
      </c>
      <c r="L449" s="14" t="n">
        <v>35</v>
      </c>
      <c r="M449" s="12" t="s">
        <v>828</v>
      </c>
      <c r="N449" s="54" t="n">
        <v>0.666666666666667</v>
      </c>
      <c r="O449" s="23"/>
      <c r="P449" s="23"/>
      <c r="Q449" s="23"/>
      <c r="R449" s="23"/>
      <c r="S449" s="23"/>
      <c r="T449" s="23"/>
      <c r="U449" s="23"/>
      <c r="V449" s="23"/>
      <c r="W449" s="23"/>
      <c r="X449" s="23"/>
      <c r="Y449" s="23"/>
      <c r="Z449" s="23"/>
    </row>
    <row r="450" customFormat="false" ht="15.75" hidden="false" customHeight="true" outlineLevel="0" collapsed="false">
      <c r="A450" s="52" t="n">
        <v>46304</v>
      </c>
      <c r="B450" s="14" t="s">
        <v>500</v>
      </c>
      <c r="C450" s="14" t="str">
        <f aca="false" t="array" ref="C450:C450">IF(B450="","",IFERROR(INDEX('CLM &amp; IM Mapping'!$B$2:$B$270,MATCH(TRIM(B450),'CLM &amp; IM Mapping'!$A$2:$A$270,0)),"Not Mapped"))</f>
        <v>Ravishankar gowda</v>
      </c>
      <c r="D450" s="14" t="str">
        <f aca="false" t="array" ref="D450:D450">IF(B450="","",IFERROR(INDEX('CLM &amp; IM Mapping'!$C$2:$C$270,MATCH(TRIM(B450),'CLM &amp; IM Mapping'!$A$2:$A$270,0)),"Not Mapped"))</f>
        <v>Kishor K</v>
      </c>
      <c r="E450" s="14" t="n">
        <v>6</v>
      </c>
      <c r="F450" s="14" t="n">
        <v>10</v>
      </c>
      <c r="G450" s="14" t="n">
        <v>0</v>
      </c>
      <c r="H450" s="14" t="n">
        <v>14</v>
      </c>
      <c r="I450" s="14" t="n">
        <v>5</v>
      </c>
      <c r="J450" s="14" t="n">
        <v>0</v>
      </c>
      <c r="K450" s="14" t="n">
        <v>35</v>
      </c>
      <c r="L450" s="14" t="n">
        <v>33</v>
      </c>
      <c r="M450" s="12" t="s">
        <v>828</v>
      </c>
      <c r="N450" s="54" t="n">
        <v>0.666666666666667</v>
      </c>
      <c r="O450" s="23"/>
      <c r="P450" s="23"/>
      <c r="Q450" s="23"/>
      <c r="R450" s="23"/>
      <c r="S450" s="23"/>
      <c r="T450" s="23"/>
      <c r="U450" s="23"/>
      <c r="V450" s="23"/>
      <c r="W450" s="23"/>
      <c r="X450" s="23"/>
      <c r="Y450" s="23"/>
      <c r="Z450" s="23"/>
    </row>
    <row r="451" customFormat="false" ht="15.75" hidden="false" customHeight="true" outlineLevel="0" collapsed="false">
      <c r="A451" s="52" t="n">
        <v>46304</v>
      </c>
      <c r="B451" s="14" t="s">
        <v>515</v>
      </c>
      <c r="C451" s="14" t="str">
        <f aca="false" t="array" ref="C451:C451">IF(B451="","",IFERROR(INDEX('CLM &amp; IM Mapping'!$B$2:$B$270,MATCH(TRIM(B451),'CLM &amp; IM Mapping'!$A$2:$A$270,0)),"Not Mapped"))</f>
        <v>Balaji G</v>
      </c>
      <c r="D451" s="14" t="str">
        <f aca="false" t="array" ref="D451:D451">IF(B451="","",IFERROR(INDEX('CLM &amp; IM Mapping'!$C$2:$C$270,MATCH(TRIM(B451),'CLM &amp; IM Mapping'!$A$2:$A$270,0)),"Not Mapped"))</f>
        <v>Mohammed Akbar</v>
      </c>
      <c r="E451" s="14" t="n">
        <v>5</v>
      </c>
      <c r="F451" s="14" t="n">
        <v>3</v>
      </c>
      <c r="G451" s="14" t="n">
        <v>9</v>
      </c>
      <c r="H451" s="14" t="n">
        <v>4</v>
      </c>
      <c r="I451" s="14" t="n">
        <v>13</v>
      </c>
      <c r="J451" s="14" t="n">
        <v>0</v>
      </c>
      <c r="K451" s="14" t="n">
        <v>34</v>
      </c>
      <c r="L451" s="14" t="n">
        <v>34</v>
      </c>
      <c r="M451" s="12"/>
      <c r="N451" s="11"/>
      <c r="O451" s="23"/>
      <c r="P451" s="23"/>
      <c r="Q451" s="23"/>
      <c r="R451" s="23"/>
      <c r="S451" s="23"/>
      <c r="T451" s="23"/>
      <c r="U451" s="23"/>
      <c r="V451" s="23"/>
      <c r="W451" s="23"/>
      <c r="X451" s="23"/>
      <c r="Y451" s="23"/>
      <c r="Z451" s="23"/>
    </row>
    <row r="452" customFormat="false" ht="15.75" hidden="false" customHeight="true" outlineLevel="0" collapsed="false">
      <c r="A452" s="52" t="n">
        <v>46304</v>
      </c>
      <c r="B452" s="14" t="s">
        <v>65</v>
      </c>
      <c r="C452" s="14" t="str">
        <f aca="false" t="array" ref="C452:C452">IF(B452="","",IFERROR(INDEX('CLM &amp; IM Mapping'!$B$2:$B$270,MATCH(TRIM(B452),'CLM &amp; IM Mapping'!$A$2:$A$270,0)),"Not Mapped"))</f>
        <v>Adhavan Subramani</v>
      </c>
      <c r="D452" s="14" t="str">
        <f aca="false" t="array" ref="D452:D452">IF(B452="","",IFERROR(INDEX('CLM &amp; IM Mapping'!$C$2:$C$270,MATCH(TRIM(B452),'CLM &amp; IM Mapping'!$A$2:$A$270,0)),"Not Mapped"))</f>
        <v>Mohammed Akbar</v>
      </c>
      <c r="E452" s="14" t="n">
        <v>0</v>
      </c>
      <c r="F452" s="14" t="n">
        <v>2</v>
      </c>
      <c r="G452" s="14" t="n">
        <v>0</v>
      </c>
      <c r="H452" s="14" t="n">
        <v>18</v>
      </c>
      <c r="I452" s="14" t="n">
        <v>13</v>
      </c>
      <c r="J452" s="14" t="n">
        <v>0</v>
      </c>
      <c r="K452" s="14" t="n">
        <v>33</v>
      </c>
      <c r="L452" s="14" t="n">
        <v>33</v>
      </c>
      <c r="M452" s="12"/>
      <c r="N452" s="11"/>
      <c r="O452" s="23"/>
      <c r="P452" s="23"/>
      <c r="Q452" s="23"/>
      <c r="R452" s="23"/>
      <c r="S452" s="23"/>
      <c r="T452" s="23"/>
      <c r="U452" s="23"/>
      <c r="V452" s="23"/>
      <c r="W452" s="23"/>
      <c r="X452" s="23"/>
      <c r="Y452" s="23"/>
      <c r="Z452" s="23"/>
    </row>
    <row r="453" customFormat="false" ht="15.75" hidden="false" customHeight="true" outlineLevel="0" collapsed="false">
      <c r="A453" s="52" t="n">
        <v>46304</v>
      </c>
      <c r="B453" s="14" t="s">
        <v>325</v>
      </c>
      <c r="C453" s="14" t="str">
        <f aca="false" t="array" ref="C453:C453">IF(B453="","",IFERROR(INDEX('CLM &amp; IM Mapping'!$B$2:$B$270,MATCH(TRIM(B453),'CLM &amp; IM Mapping'!$A$2:$A$270,0)),"Not Mapped"))</f>
        <v>Santhosha M</v>
      </c>
      <c r="D453" s="14" t="str">
        <f aca="false" t="array" ref="D453:D453">IF(B453="","",IFERROR(INDEX('CLM &amp; IM Mapping'!$C$2:$C$270,MATCH(TRIM(B453),'CLM &amp; IM Mapping'!$A$2:$A$270,0)),"Not Mapped"))</f>
        <v>Aravind S</v>
      </c>
      <c r="E453" s="14" t="n">
        <v>2</v>
      </c>
      <c r="F453" s="14" t="n">
        <v>21</v>
      </c>
      <c r="G453" s="14" t="n">
        <v>0</v>
      </c>
      <c r="H453" s="14" t="n">
        <v>1</v>
      </c>
      <c r="I453" s="14" t="n">
        <v>9</v>
      </c>
      <c r="J453" s="14" t="n">
        <v>0</v>
      </c>
      <c r="K453" s="14" t="n">
        <v>33</v>
      </c>
      <c r="L453" s="14" t="n">
        <v>24</v>
      </c>
      <c r="M453" s="12"/>
      <c r="N453" s="11"/>
      <c r="O453" s="23"/>
      <c r="P453" s="23"/>
      <c r="Q453" s="23"/>
      <c r="R453" s="23"/>
      <c r="S453" s="23"/>
      <c r="T453" s="23"/>
      <c r="U453" s="23"/>
      <c r="V453" s="23"/>
      <c r="W453" s="23"/>
      <c r="X453" s="23"/>
      <c r="Y453" s="23"/>
      <c r="Z453" s="23"/>
    </row>
    <row r="454" customFormat="false" ht="15.75" hidden="false" customHeight="true" outlineLevel="0" collapsed="false">
      <c r="A454" s="52" t="n">
        <v>46304</v>
      </c>
      <c r="B454" s="14" t="s">
        <v>444</v>
      </c>
      <c r="C454" s="14" t="str">
        <f aca="false" t="array" ref="C454:C454">IF(B454="","",IFERROR(INDEX('CLM &amp; IM Mapping'!$B$2:$B$270,MATCH(TRIM(B454),'CLM &amp; IM Mapping'!$A$2:$A$270,0)),"Not Mapped"))</f>
        <v>Narasimhamurthy R</v>
      </c>
      <c r="D454" s="14" t="str">
        <f aca="false" t="array" ref="D454:D454">IF(B454="","",IFERROR(INDEX('CLM &amp; IM Mapping'!$C$2:$C$270,MATCH(TRIM(B454),'CLM &amp; IM Mapping'!$A$2:$A$270,0)),"Not Mapped"))</f>
        <v>Kishor K</v>
      </c>
      <c r="E454" s="14" t="n">
        <v>0</v>
      </c>
      <c r="F454" s="14" t="n">
        <v>0</v>
      </c>
      <c r="G454" s="14" t="n">
        <v>3</v>
      </c>
      <c r="H454" s="14" t="n">
        <v>30</v>
      </c>
      <c r="I454" s="14" t="n">
        <v>0</v>
      </c>
      <c r="J454" s="14" t="n">
        <v>0</v>
      </c>
      <c r="K454" s="14" t="n">
        <v>33</v>
      </c>
      <c r="L454" s="14" t="n">
        <v>33</v>
      </c>
      <c r="M454" s="12" t="s">
        <v>828</v>
      </c>
      <c r="N454" s="54" t="n">
        <v>0.666666666666667</v>
      </c>
      <c r="O454" s="23"/>
      <c r="P454" s="23"/>
      <c r="Q454" s="23"/>
      <c r="R454" s="23"/>
      <c r="S454" s="23"/>
      <c r="T454" s="23"/>
      <c r="U454" s="23"/>
      <c r="V454" s="23"/>
      <c r="W454" s="23"/>
      <c r="X454" s="23"/>
      <c r="Y454" s="23"/>
      <c r="Z454" s="23"/>
    </row>
    <row r="455" customFormat="false" ht="15.75" hidden="false" customHeight="true" outlineLevel="0" collapsed="false">
      <c r="A455" s="52" t="n">
        <v>46304</v>
      </c>
      <c r="B455" s="14" t="s">
        <v>193</v>
      </c>
      <c r="C455" s="14" t="str">
        <f aca="false" t="array" ref="C455:C455">IF(B455="","",IFERROR(INDEX('CLM &amp; IM Mapping'!$B$2:$B$270,MATCH(TRIM(B455),'CLM &amp; IM Mapping'!$A$2:$A$270,0)),"Not Mapped"))</f>
        <v>Girish N</v>
      </c>
      <c r="D455" s="14" t="str">
        <f aca="false" t="array" ref="D455:D455">IF(B455="","",IFERROR(INDEX('CLM &amp; IM Mapping'!$C$2:$C$270,MATCH(TRIM(B455),'CLM &amp; IM Mapping'!$A$2:$A$270,0)),"Not Mapped"))</f>
        <v>Un Mapped</v>
      </c>
      <c r="E455" s="14" t="n">
        <v>10</v>
      </c>
      <c r="F455" s="14" t="n">
        <v>4</v>
      </c>
      <c r="G455" s="14" t="n">
        <v>16</v>
      </c>
      <c r="H455" s="14" t="n">
        <v>1</v>
      </c>
      <c r="I455" s="14" t="n">
        <v>0</v>
      </c>
      <c r="J455" s="14" t="n">
        <v>1</v>
      </c>
      <c r="K455" s="14" t="n">
        <v>32</v>
      </c>
      <c r="L455" s="14" t="n">
        <v>32</v>
      </c>
      <c r="M455" s="12"/>
      <c r="N455" s="11"/>
      <c r="O455" s="23"/>
      <c r="P455" s="23"/>
      <c r="Q455" s="23"/>
      <c r="R455" s="23"/>
      <c r="S455" s="23"/>
      <c r="T455" s="23"/>
      <c r="U455" s="23"/>
      <c r="V455" s="23"/>
      <c r="W455" s="23"/>
      <c r="X455" s="23"/>
      <c r="Y455" s="23"/>
      <c r="Z455" s="23"/>
    </row>
    <row r="456" customFormat="false" ht="15.75" hidden="false" customHeight="true" outlineLevel="0" collapsed="false">
      <c r="A456" s="52" t="n">
        <v>46304</v>
      </c>
      <c r="B456" s="14" t="s">
        <v>89</v>
      </c>
      <c r="C456" s="14" t="str">
        <f aca="false" t="array" ref="C456:C456">IF(B456="","",IFERROR(INDEX('CLM &amp; IM Mapping'!$B$2:$B$270,MATCH(TRIM(B456),'CLM &amp; IM Mapping'!$A$2:$A$270,0)),"Not Mapped"))</f>
        <v>Raghavendra Vernekar</v>
      </c>
      <c r="D456" s="14" t="str">
        <f aca="false" t="array" ref="D456:D456">IF(B456="","",IFERROR(INDEX('CLM &amp; IM Mapping'!$C$2:$C$270,MATCH(TRIM(B456),'CLM &amp; IM Mapping'!$A$2:$A$270,0)),"Not Mapped"))</f>
        <v>Prakash BS</v>
      </c>
      <c r="E456" s="14" t="n">
        <v>0</v>
      </c>
      <c r="F456" s="14" t="n">
        <v>0</v>
      </c>
      <c r="G456" s="14" t="n">
        <v>0</v>
      </c>
      <c r="H456" s="14" t="n">
        <v>7</v>
      </c>
      <c r="I456" s="14" t="n">
        <v>1</v>
      </c>
      <c r="J456" s="14" t="n">
        <v>24</v>
      </c>
      <c r="K456" s="14" t="n">
        <v>32</v>
      </c>
      <c r="L456" s="14" t="n">
        <v>32</v>
      </c>
      <c r="M456" s="12" t="s">
        <v>844</v>
      </c>
      <c r="N456" s="11"/>
      <c r="O456" s="23"/>
      <c r="P456" s="23"/>
      <c r="Q456" s="23"/>
      <c r="R456" s="23"/>
      <c r="S456" s="23"/>
      <c r="T456" s="23"/>
      <c r="U456" s="23"/>
      <c r="V456" s="23"/>
      <c r="W456" s="23"/>
      <c r="X456" s="23"/>
      <c r="Y456" s="23"/>
      <c r="Z456" s="23"/>
    </row>
    <row r="457" customFormat="false" ht="15.75" hidden="false" customHeight="true" outlineLevel="0" collapsed="false">
      <c r="A457" s="52" t="n">
        <v>46304</v>
      </c>
      <c r="B457" s="14" t="s">
        <v>447</v>
      </c>
      <c r="C457" s="14" t="str">
        <f aca="false" t="array" ref="C457:C457">IF(B457="","",IFERROR(INDEX('CLM &amp; IM Mapping'!$B$2:$B$270,MATCH(TRIM(B457),'CLM &amp; IM Mapping'!$A$2:$A$270,0)),"Not Mapped"))</f>
        <v>John Britto</v>
      </c>
      <c r="D457" s="14" t="str">
        <f aca="false" t="array" ref="D457:D457">IF(B457="","",IFERROR(INDEX('CLM &amp; IM Mapping'!$C$2:$C$270,MATCH(TRIM(B457),'CLM &amp; IM Mapping'!$A$2:$A$270,0)),"Not Mapped"))</f>
        <v>Aravind S</v>
      </c>
      <c r="E457" s="14" t="n">
        <v>1</v>
      </c>
      <c r="F457" s="14" t="n">
        <v>0</v>
      </c>
      <c r="G457" s="14" t="n">
        <v>10</v>
      </c>
      <c r="H457" s="14" t="n">
        <v>0</v>
      </c>
      <c r="I457" s="14" t="n">
        <v>0</v>
      </c>
      <c r="J457" s="14" t="n">
        <v>19</v>
      </c>
      <c r="K457" s="14" t="n">
        <v>30</v>
      </c>
      <c r="L457" s="14" t="n">
        <v>20</v>
      </c>
      <c r="M457" s="12"/>
      <c r="N457" s="11"/>
      <c r="O457" s="23"/>
      <c r="P457" s="23"/>
      <c r="Q457" s="23"/>
      <c r="R457" s="23"/>
      <c r="S457" s="23"/>
      <c r="T457" s="23"/>
      <c r="U457" s="23"/>
      <c r="V457" s="23"/>
      <c r="W457" s="23"/>
      <c r="X457" s="23"/>
      <c r="Y457" s="23"/>
      <c r="Z457" s="23"/>
    </row>
    <row r="458" customFormat="false" ht="15.75" hidden="false" customHeight="true" outlineLevel="0" collapsed="false">
      <c r="A458" s="52" t="n">
        <v>46304</v>
      </c>
      <c r="B458" s="14" t="s">
        <v>425</v>
      </c>
      <c r="C458" s="14" t="str">
        <f aca="false" t="array" ref="C458:C458">IF(B458="","",IFERROR(INDEX('CLM &amp; IM Mapping'!$B$2:$B$270,MATCH(TRIM(B458),'CLM &amp; IM Mapping'!$A$2:$A$270,0)),"Not Mapped"))</f>
        <v>Santhosha M</v>
      </c>
      <c r="D458" s="14" t="str">
        <f aca="false" t="array" ref="D458:D458">IF(B458="","",IFERROR(INDEX('CLM &amp; IM Mapping'!$C$2:$C$270,MATCH(TRIM(B458),'CLM &amp; IM Mapping'!$A$2:$A$270,0)),"Not Mapped"))</f>
        <v>Aravind S</v>
      </c>
      <c r="E458" s="14" t="n">
        <v>0</v>
      </c>
      <c r="F458" s="14" t="n">
        <v>27</v>
      </c>
      <c r="G458" s="14" t="n">
        <v>1</v>
      </c>
      <c r="H458" s="14" t="n">
        <v>2</v>
      </c>
      <c r="I458" s="14" t="n">
        <v>0</v>
      </c>
      <c r="J458" s="14" t="n">
        <v>0</v>
      </c>
      <c r="K458" s="14" t="n">
        <v>30</v>
      </c>
      <c r="L458" s="14" t="n">
        <v>14</v>
      </c>
      <c r="M458" s="12"/>
      <c r="N458" s="11"/>
      <c r="O458" s="23"/>
      <c r="P458" s="23"/>
      <c r="Q458" s="23"/>
      <c r="R458" s="23"/>
      <c r="S458" s="23"/>
      <c r="T458" s="23"/>
      <c r="U458" s="23"/>
      <c r="V458" s="23"/>
      <c r="W458" s="23"/>
      <c r="X458" s="23"/>
      <c r="Y458" s="23"/>
      <c r="Z458" s="23"/>
    </row>
    <row r="459" customFormat="false" ht="15.75" hidden="false" customHeight="true" outlineLevel="0" collapsed="false">
      <c r="A459" s="52" t="n">
        <v>46304</v>
      </c>
      <c r="B459" s="14" t="s">
        <v>296</v>
      </c>
      <c r="C459" s="14" t="str">
        <f aca="false" t="array" ref="C459:C459">IF(B459="","",IFERROR(INDEX('CLM &amp; IM Mapping'!$B$2:$B$270,MATCH(TRIM(B459),'CLM &amp; IM Mapping'!$A$2:$A$270,0)),"Not Mapped"))</f>
        <v>Balaji G</v>
      </c>
      <c r="D459" s="14" t="str">
        <f aca="false" t="array" ref="D459:D459">IF(B459="","",IFERROR(INDEX('CLM &amp; IM Mapping'!$C$2:$C$270,MATCH(TRIM(B459),'CLM &amp; IM Mapping'!$A$2:$A$270,0)),"Not Mapped"))</f>
        <v>Mohammed Akbar</v>
      </c>
      <c r="E459" s="14" t="n">
        <v>0</v>
      </c>
      <c r="F459" s="14" t="n">
        <v>0</v>
      </c>
      <c r="G459" s="14" t="n">
        <v>0</v>
      </c>
      <c r="H459" s="14" t="n">
        <v>2</v>
      </c>
      <c r="I459" s="14" t="n">
        <v>6</v>
      </c>
      <c r="J459" s="14" t="n">
        <v>20</v>
      </c>
      <c r="K459" s="14" t="n">
        <v>28</v>
      </c>
      <c r="L459" s="14" t="n">
        <v>28</v>
      </c>
      <c r="M459" s="12"/>
      <c r="N459" s="11"/>
      <c r="O459" s="23"/>
      <c r="P459" s="23"/>
      <c r="Q459" s="23"/>
      <c r="R459" s="23"/>
      <c r="S459" s="23"/>
      <c r="T459" s="23"/>
      <c r="U459" s="23"/>
      <c r="V459" s="23"/>
      <c r="W459" s="23"/>
      <c r="X459" s="23"/>
      <c r="Y459" s="23"/>
      <c r="Z459" s="23"/>
    </row>
    <row r="460" customFormat="false" ht="15.75" hidden="false" customHeight="true" outlineLevel="0" collapsed="false">
      <c r="A460" s="52" t="n">
        <v>46304</v>
      </c>
      <c r="B460" s="14" t="s">
        <v>97</v>
      </c>
      <c r="C460" s="14" t="str">
        <f aca="false" t="array" ref="C460:C460">IF(B460="","",IFERROR(INDEX('CLM &amp; IM Mapping'!$B$2:$B$270,MATCH(TRIM(B460),'CLM &amp; IM Mapping'!$A$2:$A$270,0)),"Not Mapped"))</f>
        <v>Raghavendra Vernekar</v>
      </c>
      <c r="D460" s="14" t="str">
        <f aca="false" t="array" ref="D460:D460">IF(B460="","",IFERROR(INDEX('CLM &amp; IM Mapping'!$C$2:$C$270,MATCH(TRIM(B460),'CLM &amp; IM Mapping'!$A$2:$A$270,0)),"Not Mapped"))</f>
        <v>Prakash BS</v>
      </c>
      <c r="E460" s="14" t="n">
        <v>0</v>
      </c>
      <c r="F460" s="14" t="n">
        <v>1</v>
      </c>
      <c r="G460" s="14" t="n">
        <v>0</v>
      </c>
      <c r="H460" s="14" t="n">
        <v>23</v>
      </c>
      <c r="I460" s="14" t="n">
        <v>4</v>
      </c>
      <c r="J460" s="14" t="n">
        <v>0</v>
      </c>
      <c r="K460" s="14" t="n">
        <v>28</v>
      </c>
      <c r="L460" s="14" t="n">
        <v>25</v>
      </c>
      <c r="M460" s="12" t="s">
        <v>844</v>
      </c>
      <c r="N460" s="11"/>
      <c r="O460" s="23"/>
      <c r="P460" s="23"/>
      <c r="Q460" s="23"/>
      <c r="R460" s="23"/>
      <c r="S460" s="23"/>
      <c r="T460" s="23"/>
      <c r="U460" s="23"/>
      <c r="V460" s="23"/>
      <c r="W460" s="23"/>
      <c r="X460" s="23"/>
      <c r="Y460" s="23"/>
      <c r="Z460" s="23"/>
    </row>
    <row r="461" customFormat="false" ht="15.75" hidden="false" customHeight="true" outlineLevel="0" collapsed="false">
      <c r="A461" s="52" t="n">
        <v>46304</v>
      </c>
      <c r="B461" s="14" t="s">
        <v>327</v>
      </c>
      <c r="C461" s="14" t="str">
        <f aca="false" t="array" ref="C461:C461">IF(B461="","",IFERROR(INDEX('CLM &amp; IM Mapping'!$B$2:$B$270,MATCH(TRIM(B461),'CLM &amp; IM Mapping'!$A$2:$A$270,0)),"Not Mapped"))</f>
        <v>Suhas N</v>
      </c>
      <c r="D461" s="14" t="str">
        <f aca="false" t="array" ref="D461:D461">IF(B461="","",IFERROR(INDEX('CLM &amp; IM Mapping'!$C$2:$C$270,MATCH(TRIM(B461),'CLM &amp; IM Mapping'!$A$2:$A$270,0)),"Not Mapped"))</f>
        <v>Aravind S</v>
      </c>
      <c r="E461" s="14" t="n">
        <v>0</v>
      </c>
      <c r="F461" s="14" t="n">
        <v>0</v>
      </c>
      <c r="G461" s="14" t="n">
        <v>0</v>
      </c>
      <c r="H461" s="14" t="n">
        <v>7</v>
      </c>
      <c r="I461" s="14" t="n">
        <v>3</v>
      </c>
      <c r="J461" s="14" t="n">
        <v>17</v>
      </c>
      <c r="K461" s="14" t="n">
        <v>27</v>
      </c>
      <c r="L461" s="14" t="n">
        <v>27</v>
      </c>
      <c r="M461" s="12"/>
      <c r="N461" s="11"/>
      <c r="O461" s="23"/>
      <c r="P461" s="23"/>
      <c r="Q461" s="23"/>
      <c r="R461" s="23"/>
      <c r="S461" s="23"/>
      <c r="T461" s="23"/>
      <c r="U461" s="23"/>
      <c r="V461" s="23"/>
      <c r="W461" s="23"/>
      <c r="X461" s="23"/>
      <c r="Y461" s="23"/>
      <c r="Z461" s="23"/>
    </row>
    <row r="462" customFormat="false" ht="15.75" hidden="false" customHeight="true" outlineLevel="0" collapsed="false">
      <c r="A462" s="52" t="n">
        <v>46304</v>
      </c>
      <c r="B462" s="14" t="s">
        <v>454</v>
      </c>
      <c r="C462" s="14" t="str">
        <f aca="false" t="array" ref="C462:C462">IF(B462="","",IFERROR(INDEX('CLM &amp; IM Mapping'!$B$2:$B$270,MATCH(TRIM(B462),'CLM &amp; IM Mapping'!$A$2:$A$270,0)),"Not Mapped"))</f>
        <v>Balaji G</v>
      </c>
      <c r="D462" s="14" t="str">
        <f aca="false" t="array" ref="D462:D462">IF(B462="","",IFERROR(INDEX('CLM &amp; IM Mapping'!$C$2:$C$270,MATCH(TRIM(B462),'CLM &amp; IM Mapping'!$A$2:$A$270,0)),"Not Mapped"))</f>
        <v>Mohammed Akbar</v>
      </c>
      <c r="E462" s="14" t="n">
        <v>8</v>
      </c>
      <c r="F462" s="14" t="n">
        <v>14</v>
      </c>
      <c r="G462" s="14" t="n">
        <v>0</v>
      </c>
      <c r="H462" s="14" t="n">
        <v>0</v>
      </c>
      <c r="I462" s="14" t="n">
        <v>0</v>
      </c>
      <c r="J462" s="14" t="n">
        <v>5</v>
      </c>
      <c r="K462" s="14" t="n">
        <v>27</v>
      </c>
      <c r="L462" s="14" t="n">
        <v>27</v>
      </c>
      <c r="M462" s="12"/>
      <c r="N462" s="11"/>
      <c r="O462" s="23"/>
      <c r="P462" s="23"/>
      <c r="Q462" s="23"/>
      <c r="R462" s="23"/>
      <c r="S462" s="23"/>
      <c r="T462" s="23"/>
      <c r="U462" s="23"/>
      <c r="V462" s="23"/>
      <c r="W462" s="23"/>
      <c r="X462" s="23"/>
      <c r="Y462" s="23"/>
      <c r="Z462" s="23"/>
    </row>
    <row r="463" customFormat="false" ht="15.75" hidden="false" customHeight="true" outlineLevel="0" collapsed="false">
      <c r="A463" s="52" t="n">
        <v>46304</v>
      </c>
      <c r="B463" s="14" t="s">
        <v>339</v>
      </c>
      <c r="C463" s="14" t="str">
        <f aca="false" t="array" ref="C463:C463">IF(B463="","",IFERROR(INDEX('CLM &amp; IM Mapping'!$B$2:$B$270,MATCH(TRIM(B463),'CLM &amp; IM Mapping'!$A$2:$A$270,0)),"Not Mapped"))</f>
        <v>Ravishankar gowda</v>
      </c>
      <c r="D463" s="14" t="str">
        <f aca="false" t="array" ref="D463:D463">IF(B463="","",IFERROR(INDEX('CLM &amp; IM Mapping'!$C$2:$C$270,MATCH(TRIM(B463),'CLM &amp; IM Mapping'!$A$2:$A$270,0)),"Not Mapped"))</f>
        <v>Kishor K</v>
      </c>
      <c r="E463" s="14" t="n">
        <v>0</v>
      </c>
      <c r="F463" s="14" t="n">
        <v>2</v>
      </c>
      <c r="G463" s="14" t="n">
        <v>0</v>
      </c>
      <c r="H463" s="14" t="n">
        <v>1</v>
      </c>
      <c r="I463" s="14" t="n">
        <v>10</v>
      </c>
      <c r="J463" s="14" t="n">
        <v>13</v>
      </c>
      <c r="K463" s="14" t="n">
        <v>26</v>
      </c>
      <c r="L463" s="14" t="n">
        <v>24</v>
      </c>
      <c r="M463" s="12" t="s">
        <v>828</v>
      </c>
      <c r="N463" s="54" t="n">
        <v>0.666666666666667</v>
      </c>
      <c r="O463" s="23"/>
      <c r="P463" s="23"/>
      <c r="Q463" s="23"/>
      <c r="R463" s="23"/>
      <c r="S463" s="23"/>
      <c r="T463" s="23"/>
      <c r="U463" s="23"/>
      <c r="V463" s="23"/>
      <c r="W463" s="23"/>
      <c r="X463" s="23"/>
      <c r="Y463" s="23"/>
      <c r="Z463" s="23"/>
    </row>
    <row r="464" customFormat="false" ht="15.75" hidden="false" customHeight="true" outlineLevel="0" collapsed="false">
      <c r="A464" s="52" t="n">
        <v>46304</v>
      </c>
      <c r="B464" s="14" t="s">
        <v>513</v>
      </c>
      <c r="C464" s="14" t="str">
        <f aca="false" t="array" ref="C464:C464">IF(B464="","",IFERROR(INDEX('CLM &amp; IM Mapping'!$B$2:$B$270,MATCH(TRIM(B464),'CLM &amp; IM Mapping'!$A$2:$A$270,0)),"Not Mapped"))</f>
        <v>Manoj Kj</v>
      </c>
      <c r="D464" s="14" t="str">
        <f aca="false" t="array" ref="D464:D464">IF(B464="","",IFERROR(INDEX('CLM &amp; IM Mapping'!$C$2:$C$270,MATCH(TRIM(B464),'CLM &amp; IM Mapping'!$A$2:$A$270,0)),"Not Mapped"))</f>
        <v>Srittam Dhal</v>
      </c>
      <c r="E464" s="14" t="n">
        <v>0</v>
      </c>
      <c r="F464" s="14" t="n">
        <v>5</v>
      </c>
      <c r="G464" s="14" t="n">
        <v>2</v>
      </c>
      <c r="H464" s="14" t="n">
        <v>2</v>
      </c>
      <c r="I464" s="14" t="n">
        <v>7</v>
      </c>
      <c r="J464" s="14" t="n">
        <v>10</v>
      </c>
      <c r="K464" s="14" t="n">
        <v>26</v>
      </c>
      <c r="L464" s="14" t="n">
        <v>26</v>
      </c>
      <c r="M464" s="12"/>
      <c r="N464" s="11"/>
      <c r="O464" s="23"/>
      <c r="P464" s="23"/>
      <c r="Q464" s="23"/>
      <c r="R464" s="23"/>
      <c r="S464" s="23"/>
      <c r="T464" s="23"/>
      <c r="U464" s="23"/>
      <c r="V464" s="23"/>
      <c r="W464" s="23"/>
      <c r="X464" s="23"/>
      <c r="Y464" s="23"/>
      <c r="Z464" s="23"/>
    </row>
    <row r="465" customFormat="false" ht="15.75" hidden="false" customHeight="true" outlineLevel="0" collapsed="false">
      <c r="A465" s="52" t="n">
        <v>46304</v>
      </c>
      <c r="B465" s="14" t="s">
        <v>357</v>
      </c>
      <c r="C465" s="14" t="str">
        <f aca="false" t="array" ref="C465:C465">IF(B465="","",IFERROR(INDEX('CLM &amp; IM Mapping'!$B$2:$B$270,MATCH(TRIM(B465),'CLM &amp; IM Mapping'!$A$2:$A$270,0)),"Not Mapped"))</f>
        <v>Arun Raj</v>
      </c>
      <c r="D465" s="14" t="str">
        <f aca="false" t="array" ref="D465:D465">IF(B465="","",IFERROR(INDEX('CLM &amp; IM Mapping'!$C$2:$C$270,MATCH(TRIM(B465),'CLM &amp; IM Mapping'!$A$2:$A$270,0)),"Not Mapped"))</f>
        <v>Simon Manoharan</v>
      </c>
      <c r="E465" s="14" t="n">
        <v>0</v>
      </c>
      <c r="F465" s="14" t="n">
        <v>3</v>
      </c>
      <c r="G465" s="14" t="n">
        <v>0</v>
      </c>
      <c r="H465" s="14" t="n">
        <v>21</v>
      </c>
      <c r="I465" s="14" t="n">
        <v>1</v>
      </c>
      <c r="J465" s="14" t="n">
        <v>0</v>
      </c>
      <c r="K465" s="14" t="n">
        <v>25</v>
      </c>
      <c r="L465" s="14" t="n">
        <v>12</v>
      </c>
      <c r="M465" s="12"/>
      <c r="N465" s="11"/>
      <c r="O465" s="23"/>
      <c r="P465" s="23"/>
      <c r="Q465" s="23"/>
      <c r="R465" s="23"/>
      <c r="S465" s="23"/>
      <c r="T465" s="23"/>
      <c r="U465" s="23"/>
      <c r="V465" s="23"/>
      <c r="W465" s="23"/>
      <c r="X465" s="23"/>
      <c r="Y465" s="23"/>
      <c r="Z465" s="23"/>
    </row>
    <row r="466" customFormat="false" ht="15.75" hidden="false" customHeight="true" outlineLevel="0" collapsed="false">
      <c r="A466" s="52" t="n">
        <v>46304</v>
      </c>
      <c r="B466" s="14" t="s">
        <v>111</v>
      </c>
      <c r="C466" s="14" t="str">
        <f aca="false" t="array" ref="C466:C466">IF(B466="","",IFERROR(INDEX('CLM &amp; IM Mapping'!$B$2:$B$270,MATCH(TRIM(B466),'CLM &amp; IM Mapping'!$A$2:$A$270,0)),"Not Mapped"))</f>
        <v>Narasimhamurthy R</v>
      </c>
      <c r="D466" s="14" t="str">
        <f aca="false" t="array" ref="D466:D466">IF(B466="","",IFERROR(INDEX('CLM &amp; IM Mapping'!$C$2:$C$270,MATCH(TRIM(B466),'CLM &amp; IM Mapping'!$A$2:$A$270,0)),"Not Mapped"))</f>
        <v>Kishor K</v>
      </c>
      <c r="E466" s="14" t="n">
        <v>11</v>
      </c>
      <c r="F466" s="14" t="n">
        <v>4</v>
      </c>
      <c r="G466" s="14" t="n">
        <v>0</v>
      </c>
      <c r="H466" s="14" t="n">
        <v>7</v>
      </c>
      <c r="I466" s="14" t="n">
        <v>1</v>
      </c>
      <c r="J466" s="14" t="n">
        <v>1</v>
      </c>
      <c r="K466" s="14" t="n">
        <v>24</v>
      </c>
      <c r="L466" s="14" t="n">
        <v>13</v>
      </c>
      <c r="M466" s="12" t="s">
        <v>828</v>
      </c>
      <c r="N466" s="54" t="n">
        <v>0.666666666666667</v>
      </c>
      <c r="O466" s="23"/>
      <c r="P466" s="23"/>
      <c r="Q466" s="23"/>
      <c r="R466" s="23"/>
      <c r="S466" s="23"/>
      <c r="T466" s="23"/>
      <c r="U466" s="23"/>
      <c r="V466" s="23"/>
      <c r="W466" s="23"/>
      <c r="X466" s="23"/>
      <c r="Y466" s="23"/>
      <c r="Z466" s="23"/>
    </row>
    <row r="467" customFormat="false" ht="15.75" hidden="false" customHeight="true" outlineLevel="0" collapsed="false">
      <c r="A467" s="52" t="n">
        <v>46304</v>
      </c>
      <c r="B467" s="14" t="s">
        <v>408</v>
      </c>
      <c r="C467" s="14" t="str">
        <f aca="false" t="array" ref="C467:C467">IF(B467="","",IFERROR(INDEX('CLM &amp; IM Mapping'!$B$2:$B$270,MATCH(TRIM(B467),'CLM &amp; IM Mapping'!$A$2:$A$270,0)),"Not Mapped"))</f>
        <v>Ravishankar gowda</v>
      </c>
      <c r="D467" s="14" t="str">
        <f aca="false" t="array" ref="D467:D467">IF(B467="","",IFERROR(INDEX('CLM &amp; IM Mapping'!$C$2:$C$270,MATCH(TRIM(B467),'CLM &amp; IM Mapping'!$A$2:$A$270,0)),"Not Mapped"))</f>
        <v>Kishor K</v>
      </c>
      <c r="E467" s="14" t="n">
        <v>12</v>
      </c>
      <c r="F467" s="14" t="n">
        <v>4</v>
      </c>
      <c r="G467" s="14" t="n">
        <v>2</v>
      </c>
      <c r="H467" s="14" t="n">
        <v>1</v>
      </c>
      <c r="I467" s="14" t="n">
        <v>2</v>
      </c>
      <c r="J467" s="14" t="n">
        <v>3</v>
      </c>
      <c r="K467" s="14" t="n">
        <v>24</v>
      </c>
      <c r="L467" s="14" t="n">
        <v>15</v>
      </c>
      <c r="M467" s="12" t="s">
        <v>828</v>
      </c>
      <c r="N467" s="54" t="n">
        <v>0.666666666666667</v>
      </c>
      <c r="O467" s="23"/>
      <c r="P467" s="23"/>
      <c r="Q467" s="23"/>
      <c r="R467" s="23"/>
      <c r="S467" s="23"/>
      <c r="T467" s="23"/>
      <c r="U467" s="23"/>
      <c r="V467" s="23"/>
      <c r="W467" s="23"/>
      <c r="X467" s="23"/>
      <c r="Y467" s="23"/>
      <c r="Z467" s="23"/>
    </row>
    <row r="468" customFormat="false" ht="15.75" hidden="false" customHeight="true" outlineLevel="0" collapsed="false">
      <c r="A468" s="52" t="n">
        <v>46304</v>
      </c>
      <c r="B468" s="14" t="s">
        <v>390</v>
      </c>
      <c r="C468" s="14" t="str">
        <f aca="false" t="array" ref="C468:C468">IF(B468="","",IFERROR(INDEX('CLM &amp; IM Mapping'!$B$2:$B$270,MATCH(TRIM(B468),'CLM &amp; IM Mapping'!$A$2:$A$270,0)),"Not Mapped"))</f>
        <v>Sundaresh S</v>
      </c>
      <c r="D468" s="14" t="str">
        <f aca="false" t="array" ref="D468:D468">IF(B468="","",IFERROR(INDEX('CLM &amp; IM Mapping'!$C$2:$C$270,MATCH(TRIM(B468),'CLM &amp; IM Mapping'!$A$2:$A$270,0)),"Not Mapped"))</f>
        <v>Un Mapped</v>
      </c>
      <c r="E468" s="14" t="n">
        <v>2</v>
      </c>
      <c r="F468" s="14" t="n">
        <v>9</v>
      </c>
      <c r="G468" s="14" t="n">
        <v>2</v>
      </c>
      <c r="H468" s="14" t="n">
        <v>4</v>
      </c>
      <c r="I468" s="14" t="n">
        <v>0</v>
      </c>
      <c r="J468" s="14" t="n">
        <v>7</v>
      </c>
      <c r="K468" s="14" t="n">
        <v>24</v>
      </c>
      <c r="L468" s="14" t="n">
        <v>24</v>
      </c>
      <c r="M468" s="12"/>
      <c r="N468" s="11"/>
      <c r="O468" s="23"/>
      <c r="P468" s="23"/>
      <c r="Q468" s="23"/>
      <c r="R468" s="23"/>
      <c r="S468" s="23"/>
      <c r="T468" s="23"/>
      <c r="U468" s="23"/>
      <c r="V468" s="23"/>
      <c r="W468" s="23"/>
      <c r="X468" s="23"/>
      <c r="Y468" s="23"/>
      <c r="Z468" s="23"/>
    </row>
    <row r="469" customFormat="false" ht="15.75" hidden="false" customHeight="true" outlineLevel="0" collapsed="false">
      <c r="A469" s="52" t="n">
        <v>46304</v>
      </c>
      <c r="B469" s="14" t="s">
        <v>475</v>
      </c>
      <c r="C469" s="14" t="str">
        <f aca="false" t="array" ref="C469:C469">IF(B469="","",IFERROR(INDEX('CLM &amp; IM Mapping'!$B$2:$B$270,MATCH(TRIM(B469),'CLM &amp; IM Mapping'!$A$2:$A$270,0)),"Not Mapped"))</f>
        <v>John Britto</v>
      </c>
      <c r="D469" s="14" t="str">
        <f aca="false" t="array" ref="D469:D469">IF(B469="","",IFERROR(INDEX('CLM &amp; IM Mapping'!$C$2:$C$270,MATCH(TRIM(B469),'CLM &amp; IM Mapping'!$A$2:$A$270,0)),"Not Mapped"))</f>
        <v>Aravind S</v>
      </c>
      <c r="E469" s="14" t="n">
        <v>1</v>
      </c>
      <c r="F469" s="14" t="n">
        <v>19</v>
      </c>
      <c r="G469" s="14" t="n">
        <v>0</v>
      </c>
      <c r="H469" s="14" t="n">
        <v>0</v>
      </c>
      <c r="I469" s="14" t="n">
        <v>1</v>
      </c>
      <c r="J469" s="14" t="n">
        <v>2</v>
      </c>
      <c r="K469" s="14" t="n">
        <v>23</v>
      </c>
      <c r="L469" s="14" t="n">
        <v>22</v>
      </c>
      <c r="M469" s="12"/>
      <c r="N469" s="11"/>
      <c r="O469" s="23"/>
      <c r="P469" s="23"/>
      <c r="Q469" s="23"/>
      <c r="R469" s="23"/>
      <c r="S469" s="23"/>
      <c r="T469" s="23"/>
      <c r="U469" s="23"/>
      <c r="V469" s="23"/>
      <c r="W469" s="23"/>
      <c r="X469" s="23"/>
      <c r="Y469" s="23"/>
      <c r="Z469" s="23"/>
    </row>
    <row r="470" customFormat="false" ht="15.75" hidden="false" customHeight="true" outlineLevel="0" collapsed="false">
      <c r="A470" s="52" t="n">
        <v>46304</v>
      </c>
      <c r="B470" s="14" t="s">
        <v>229</v>
      </c>
      <c r="C470" s="14" t="str">
        <f aca="false" t="array" ref="C470:C470">IF(B470="","",IFERROR(INDEX('CLM &amp; IM Mapping'!$B$2:$B$270,MATCH(TRIM(B470),'CLM &amp; IM Mapping'!$A$2:$A$270,0)),"Not Mapped"))</f>
        <v>Arun Raj</v>
      </c>
      <c r="D470" s="14" t="str">
        <f aca="false" t="array" ref="D470:D470">IF(B470="","",IFERROR(INDEX('CLM &amp; IM Mapping'!$C$2:$C$270,MATCH(TRIM(B470),'CLM &amp; IM Mapping'!$A$2:$A$270,0)),"Not Mapped"))</f>
        <v>Simon Manoharan</v>
      </c>
      <c r="E470" s="14" t="n">
        <v>0</v>
      </c>
      <c r="F470" s="14" t="n">
        <v>7</v>
      </c>
      <c r="G470" s="14" t="n">
        <v>0</v>
      </c>
      <c r="H470" s="14" t="n">
        <v>15</v>
      </c>
      <c r="I470" s="14" t="n">
        <v>1</v>
      </c>
      <c r="J470" s="14" t="n">
        <v>0</v>
      </c>
      <c r="K470" s="14" t="n">
        <v>23</v>
      </c>
      <c r="L470" s="14" t="n">
        <v>14</v>
      </c>
      <c r="M470" s="12"/>
      <c r="N470" s="11"/>
      <c r="O470" s="23"/>
      <c r="P470" s="23"/>
      <c r="Q470" s="23"/>
      <c r="R470" s="23"/>
      <c r="S470" s="23"/>
      <c r="T470" s="23"/>
      <c r="U470" s="23"/>
      <c r="V470" s="23"/>
      <c r="W470" s="23"/>
      <c r="X470" s="23"/>
      <c r="Y470" s="23"/>
      <c r="Z470" s="23"/>
    </row>
    <row r="471" customFormat="false" ht="15.75" hidden="false" customHeight="true" outlineLevel="0" collapsed="false">
      <c r="A471" s="52" t="n">
        <v>46304</v>
      </c>
      <c r="B471" s="14" t="s">
        <v>391</v>
      </c>
      <c r="C471" s="14" t="str">
        <f aca="false" t="array" ref="C471:C471">IF(B471="","",IFERROR(INDEX('CLM &amp; IM Mapping'!$B$2:$B$270,MATCH(TRIM(B471),'CLM &amp; IM Mapping'!$A$2:$A$270,0)),"Not Mapped"))</f>
        <v>John Britto</v>
      </c>
      <c r="D471" s="14" t="str">
        <f aca="false" t="array" ref="D471:D471">IF(B471="","",IFERROR(INDEX('CLM &amp; IM Mapping'!$C$2:$C$270,MATCH(TRIM(B471),'CLM &amp; IM Mapping'!$A$2:$A$270,0)),"Not Mapped"))</f>
        <v>Aravind S</v>
      </c>
      <c r="E471" s="14" t="n">
        <v>0</v>
      </c>
      <c r="F471" s="14" t="n">
        <v>0</v>
      </c>
      <c r="G471" s="14" t="n">
        <v>1</v>
      </c>
      <c r="H471" s="14" t="n">
        <v>0</v>
      </c>
      <c r="I471" s="14" t="n">
        <v>0</v>
      </c>
      <c r="J471" s="14" t="n">
        <v>22</v>
      </c>
      <c r="K471" s="14" t="n">
        <v>23</v>
      </c>
      <c r="L471" s="14" t="n">
        <v>1</v>
      </c>
      <c r="M471" s="12"/>
      <c r="N471" s="11"/>
      <c r="O471" s="23"/>
      <c r="P471" s="23"/>
      <c r="Q471" s="23"/>
      <c r="R471" s="23"/>
      <c r="S471" s="23"/>
      <c r="T471" s="23"/>
      <c r="U471" s="23"/>
      <c r="V471" s="23"/>
      <c r="W471" s="23"/>
      <c r="X471" s="23"/>
      <c r="Y471" s="23"/>
      <c r="Z471" s="23"/>
    </row>
    <row r="472" customFormat="false" ht="15.75" hidden="false" customHeight="true" outlineLevel="0" collapsed="false">
      <c r="A472" s="52" t="n">
        <v>46304</v>
      </c>
      <c r="B472" s="14" t="s">
        <v>245</v>
      </c>
      <c r="C472" s="14" t="str">
        <f aca="false" t="array" ref="C472:C472">IF(B472="","",IFERROR(INDEX('CLM &amp; IM Mapping'!$B$2:$B$270,MATCH(TRIM(B472),'CLM &amp; IM Mapping'!$A$2:$A$270,0)),"Not Mapped"))</f>
        <v>Adhavan Subramani</v>
      </c>
      <c r="D472" s="14" t="str">
        <f aca="false" t="array" ref="D472:D472">IF(B472="","",IFERROR(INDEX('CLM &amp; IM Mapping'!$C$2:$C$270,MATCH(TRIM(B472),'CLM &amp; IM Mapping'!$A$2:$A$270,0)),"Not Mapped"))</f>
        <v>Mohammed Akbar</v>
      </c>
      <c r="E472" s="14" t="n">
        <v>0</v>
      </c>
      <c r="F472" s="14" t="n">
        <v>0</v>
      </c>
      <c r="G472" s="14" t="n">
        <v>0</v>
      </c>
      <c r="H472" s="14" t="n">
        <v>18</v>
      </c>
      <c r="I472" s="14" t="n">
        <v>1</v>
      </c>
      <c r="J472" s="14" t="n">
        <v>2</v>
      </c>
      <c r="K472" s="14" t="n">
        <v>21</v>
      </c>
      <c r="L472" s="14" t="n">
        <v>21</v>
      </c>
      <c r="M472" s="12"/>
      <c r="N472" s="11"/>
      <c r="O472" s="23"/>
      <c r="P472" s="23"/>
      <c r="Q472" s="23"/>
      <c r="R472" s="23"/>
      <c r="S472" s="23"/>
      <c r="T472" s="23"/>
      <c r="U472" s="23"/>
      <c r="V472" s="23"/>
      <c r="W472" s="23"/>
      <c r="X472" s="23"/>
      <c r="Y472" s="23"/>
      <c r="Z472" s="23"/>
    </row>
    <row r="473" customFormat="false" ht="15.75" hidden="false" customHeight="true" outlineLevel="0" collapsed="false">
      <c r="A473" s="52" t="n">
        <v>46304</v>
      </c>
      <c r="B473" s="14" t="s">
        <v>435</v>
      </c>
      <c r="C473" s="14" t="str">
        <f aca="false" t="array" ref="C473:C473">IF(B473="","",IFERROR(INDEX('CLM &amp; IM Mapping'!$B$2:$B$270,MATCH(TRIM(B473),'CLM &amp; IM Mapping'!$A$2:$A$270,0)),"Not Mapped"))</f>
        <v>Balaji G</v>
      </c>
      <c r="D473" s="14" t="str">
        <f aca="false" t="array" ref="D473:D473">IF(B473="","",IFERROR(INDEX('CLM &amp; IM Mapping'!$C$2:$C$270,MATCH(TRIM(B473),'CLM &amp; IM Mapping'!$A$2:$A$270,0)),"Not Mapped"))</f>
        <v>Mohammed Akbar</v>
      </c>
      <c r="E473" s="14" t="n">
        <v>0</v>
      </c>
      <c r="F473" s="14" t="n">
        <v>0</v>
      </c>
      <c r="G473" s="14" t="n">
        <v>10</v>
      </c>
      <c r="H473" s="14" t="n">
        <v>0</v>
      </c>
      <c r="I473" s="14" t="n">
        <v>0</v>
      </c>
      <c r="J473" s="14" t="n">
        <v>10</v>
      </c>
      <c r="K473" s="14" t="n">
        <v>20</v>
      </c>
      <c r="L473" s="14" t="n">
        <v>20</v>
      </c>
      <c r="M473" s="12"/>
      <c r="N473" s="11"/>
      <c r="O473" s="23"/>
      <c r="P473" s="23"/>
      <c r="Q473" s="23"/>
      <c r="R473" s="23"/>
      <c r="S473" s="23"/>
      <c r="T473" s="23"/>
      <c r="U473" s="23"/>
      <c r="V473" s="23"/>
      <c r="W473" s="23"/>
      <c r="X473" s="23"/>
      <c r="Y473" s="23"/>
      <c r="Z473" s="23"/>
    </row>
    <row r="474" customFormat="false" ht="15.75" hidden="false" customHeight="true" outlineLevel="0" collapsed="false">
      <c r="A474" s="52" t="n">
        <v>46304</v>
      </c>
      <c r="B474" s="14" t="s">
        <v>404</v>
      </c>
      <c r="C474" s="14" t="str">
        <f aca="false" t="array" ref="C474:C474">IF(B474="","",IFERROR(INDEX('CLM &amp; IM Mapping'!$B$2:$B$270,MATCH(TRIM(B474),'CLM &amp; IM Mapping'!$A$2:$A$270,0)),"Not Mapped"))</f>
        <v>Arun Raj</v>
      </c>
      <c r="D474" s="14" t="str">
        <f aca="false" t="array" ref="D474:D474">IF(B474="","",IFERROR(INDEX('CLM &amp; IM Mapping'!$C$2:$C$270,MATCH(TRIM(B474),'CLM &amp; IM Mapping'!$A$2:$A$270,0)),"Not Mapped"))</f>
        <v>Simon Manoharan</v>
      </c>
      <c r="E474" s="14" t="n">
        <v>0</v>
      </c>
      <c r="F474" s="14" t="n">
        <v>18</v>
      </c>
      <c r="G474" s="14" t="n">
        <v>0</v>
      </c>
      <c r="H474" s="14" t="n">
        <v>1</v>
      </c>
      <c r="I474" s="14" t="n">
        <v>0</v>
      </c>
      <c r="J474" s="14" t="n">
        <v>0</v>
      </c>
      <c r="K474" s="14" t="n">
        <v>19</v>
      </c>
      <c r="L474" s="14" t="n">
        <v>19</v>
      </c>
      <c r="M474" s="12"/>
      <c r="N474" s="11"/>
      <c r="O474" s="23"/>
      <c r="P474" s="23"/>
      <c r="Q474" s="23"/>
      <c r="R474" s="23"/>
      <c r="S474" s="23"/>
      <c r="T474" s="23"/>
      <c r="U474" s="23"/>
      <c r="V474" s="23"/>
      <c r="W474" s="23"/>
      <c r="X474" s="23"/>
      <c r="Y474" s="23"/>
      <c r="Z474" s="23"/>
    </row>
    <row r="475" customFormat="false" ht="15.75" hidden="false" customHeight="true" outlineLevel="0" collapsed="false">
      <c r="A475" s="52" t="n">
        <v>46304</v>
      </c>
      <c r="B475" s="14" t="s">
        <v>238</v>
      </c>
      <c r="C475" s="14" t="str">
        <f aca="false" t="array" ref="C475:C475">IF(B475="","",IFERROR(INDEX('CLM &amp; IM Mapping'!$B$2:$B$270,MATCH(TRIM(B475),'CLM &amp; IM Mapping'!$A$2:$A$270,0)),"Not Mapped"))</f>
        <v>Suhas N</v>
      </c>
      <c r="D475" s="14" t="str">
        <f aca="false" t="array" ref="D475:D475">IF(B475="","",IFERROR(INDEX('CLM &amp; IM Mapping'!$C$2:$C$270,MATCH(TRIM(B475),'CLM &amp; IM Mapping'!$A$2:$A$270,0)),"Not Mapped"))</f>
        <v>Aravind S</v>
      </c>
      <c r="E475" s="14" t="n">
        <v>1</v>
      </c>
      <c r="F475" s="14" t="n">
        <v>9</v>
      </c>
      <c r="G475" s="14" t="n">
        <v>0</v>
      </c>
      <c r="H475" s="14" t="n">
        <v>0</v>
      </c>
      <c r="I475" s="14" t="n">
        <v>0</v>
      </c>
      <c r="J475" s="14" t="n">
        <v>7</v>
      </c>
      <c r="K475" s="14" t="n">
        <v>17</v>
      </c>
      <c r="L475" s="14" t="n">
        <v>16</v>
      </c>
      <c r="M475" s="12"/>
      <c r="N475" s="11"/>
      <c r="O475" s="23"/>
      <c r="P475" s="23"/>
      <c r="Q475" s="23"/>
      <c r="R475" s="23"/>
      <c r="S475" s="23"/>
      <c r="T475" s="23"/>
      <c r="U475" s="23"/>
      <c r="V475" s="23"/>
      <c r="W475" s="23"/>
      <c r="X475" s="23"/>
      <c r="Y475" s="23"/>
      <c r="Z475" s="23"/>
    </row>
    <row r="476" customFormat="false" ht="15.75" hidden="false" customHeight="true" outlineLevel="0" collapsed="false">
      <c r="A476" s="52" t="n">
        <v>46304</v>
      </c>
      <c r="B476" s="14" t="s">
        <v>474</v>
      </c>
      <c r="C476" s="14" t="str">
        <f aca="false" t="array" ref="C476:C476">IF(B476="","",IFERROR(INDEX('CLM &amp; IM Mapping'!$B$2:$B$270,MATCH(TRIM(B476),'CLM &amp; IM Mapping'!$A$2:$A$270,0)),"Not Mapped"))</f>
        <v>Silambarasan E</v>
      </c>
      <c r="D476" s="14" t="str">
        <f aca="false" t="array" ref="D476:D476">IF(B476="","",IFERROR(INDEX('CLM &amp; IM Mapping'!$C$2:$C$270,MATCH(TRIM(B476),'CLM &amp; IM Mapping'!$A$2:$A$270,0)),"Not Mapped"))</f>
        <v>Arivind S</v>
      </c>
      <c r="E476" s="14" t="n">
        <v>5</v>
      </c>
      <c r="F476" s="14" t="n">
        <v>4</v>
      </c>
      <c r="G476" s="14" t="n">
        <v>0</v>
      </c>
      <c r="H476" s="14" t="n">
        <v>4</v>
      </c>
      <c r="I476" s="14" t="n">
        <v>2</v>
      </c>
      <c r="J476" s="14" t="n">
        <v>0</v>
      </c>
      <c r="K476" s="14" t="n">
        <v>15</v>
      </c>
      <c r="L476" s="14" t="n">
        <v>13</v>
      </c>
      <c r="M476" s="12"/>
      <c r="N476" s="11"/>
      <c r="O476" s="23"/>
      <c r="P476" s="23"/>
      <c r="Q476" s="23"/>
      <c r="R476" s="23"/>
      <c r="S476" s="23"/>
      <c r="T476" s="23"/>
      <c r="U476" s="23"/>
      <c r="V476" s="23"/>
      <c r="W476" s="23"/>
      <c r="X476" s="23"/>
      <c r="Y476" s="23"/>
      <c r="Z476" s="23"/>
    </row>
    <row r="477" customFormat="false" ht="15.75" hidden="false" customHeight="true" outlineLevel="0" collapsed="false">
      <c r="A477" s="52" t="n">
        <v>46304</v>
      </c>
      <c r="B477" s="14" t="s">
        <v>352</v>
      </c>
      <c r="C477" s="14" t="str">
        <f aca="false" t="array" ref="C477:C477">IF(B477="","",IFERROR(INDEX('CLM &amp; IM Mapping'!$B$2:$B$270,MATCH(TRIM(B477),'CLM &amp; IM Mapping'!$A$2:$A$270,0)),"Not Mapped"))</f>
        <v>Raghavendra Vernekar</v>
      </c>
      <c r="D477" s="14" t="str">
        <f aca="false" t="array" ref="D477:D477">IF(B477="","",IFERROR(INDEX('CLM &amp; IM Mapping'!$C$2:$C$270,MATCH(TRIM(B477),'CLM &amp; IM Mapping'!$A$2:$A$270,0)),"Not Mapped"))</f>
        <v>Prakash BS</v>
      </c>
      <c r="E477" s="14" t="n">
        <v>0</v>
      </c>
      <c r="F477" s="14" t="n">
        <v>0</v>
      </c>
      <c r="G477" s="14" t="n">
        <v>0</v>
      </c>
      <c r="H477" s="14" t="n">
        <v>2</v>
      </c>
      <c r="I477" s="14" t="n">
        <v>8</v>
      </c>
      <c r="J477" s="14" t="n">
        <v>5</v>
      </c>
      <c r="K477" s="14" t="n">
        <v>15</v>
      </c>
      <c r="L477" s="14" t="n">
        <v>15</v>
      </c>
      <c r="M477" s="12" t="s">
        <v>844</v>
      </c>
      <c r="N477" s="11"/>
      <c r="O477" s="23"/>
      <c r="P477" s="23"/>
      <c r="Q477" s="23"/>
      <c r="R477" s="23"/>
      <c r="S477" s="23"/>
      <c r="T477" s="23"/>
      <c r="U477" s="23"/>
      <c r="V477" s="23"/>
      <c r="W477" s="23"/>
      <c r="X477" s="23"/>
      <c r="Y477" s="23"/>
      <c r="Z477" s="23"/>
    </row>
    <row r="478" customFormat="false" ht="15.75" hidden="false" customHeight="true" outlineLevel="0" collapsed="false">
      <c r="A478" s="52" t="n">
        <v>46304</v>
      </c>
      <c r="B478" s="14" t="s">
        <v>50</v>
      </c>
      <c r="C478" s="14" t="str">
        <f aca="false" t="array" ref="C478:C478">IF(B478="","",IFERROR(INDEX('CLM &amp; IM Mapping'!$B$2:$B$270,MATCH(TRIM(B478),'CLM &amp; IM Mapping'!$A$2:$A$270,0)),"Not Mapped"))</f>
        <v>Arun Raj</v>
      </c>
      <c r="D478" s="14" t="str">
        <f aca="false" t="array" ref="D478:D478">IF(B478="","",IFERROR(INDEX('CLM &amp; IM Mapping'!$C$2:$C$270,MATCH(TRIM(B478),'CLM &amp; IM Mapping'!$A$2:$A$270,0)),"Not Mapped"))</f>
        <v>Simon Manoharan</v>
      </c>
      <c r="E478" s="14" t="n">
        <v>0</v>
      </c>
      <c r="F478" s="14" t="n">
        <v>0</v>
      </c>
      <c r="G478" s="14" t="n">
        <v>0</v>
      </c>
      <c r="H478" s="14" t="n">
        <v>12</v>
      </c>
      <c r="I478" s="14" t="n">
        <v>3</v>
      </c>
      <c r="J478" s="14" t="n">
        <v>0</v>
      </c>
      <c r="K478" s="14" t="n">
        <v>15</v>
      </c>
      <c r="L478" s="14" t="n">
        <v>15</v>
      </c>
      <c r="M478" s="12"/>
      <c r="N478" s="11"/>
      <c r="O478" s="23"/>
      <c r="P478" s="23"/>
      <c r="Q478" s="23"/>
      <c r="R478" s="23"/>
      <c r="S478" s="23"/>
      <c r="T478" s="23"/>
      <c r="U478" s="23"/>
      <c r="V478" s="23"/>
      <c r="W478" s="23"/>
      <c r="X478" s="23"/>
      <c r="Y478" s="23"/>
      <c r="Z478" s="23"/>
    </row>
    <row r="479" customFormat="false" ht="15.75" hidden="false" customHeight="true" outlineLevel="0" collapsed="false">
      <c r="A479" s="52" t="n">
        <v>46304</v>
      </c>
      <c r="B479" s="14" t="s">
        <v>136</v>
      </c>
      <c r="C479" s="14" t="str">
        <f aca="false" t="array" ref="C479:C479">IF(B479="","",IFERROR(INDEX('CLM &amp; IM Mapping'!$B$2:$B$270,MATCH(TRIM(B479),'CLM &amp; IM Mapping'!$A$2:$A$270,0)),"Not Mapped"))</f>
        <v>Arun Raj</v>
      </c>
      <c r="D479" s="14" t="str">
        <f aca="false" t="array" ref="D479:D479">IF(B479="","",IFERROR(INDEX('CLM &amp; IM Mapping'!$C$2:$C$270,MATCH(TRIM(B479),'CLM &amp; IM Mapping'!$A$2:$A$270,0)),"Not Mapped"))</f>
        <v>Simon Manoharan</v>
      </c>
      <c r="E479" s="14" t="n">
        <v>0</v>
      </c>
      <c r="F479" s="14" t="n">
        <v>2</v>
      </c>
      <c r="G479" s="14" t="n">
        <v>0</v>
      </c>
      <c r="H479" s="14" t="n">
        <v>10</v>
      </c>
      <c r="I479" s="14" t="n">
        <v>3</v>
      </c>
      <c r="J479" s="14" t="n">
        <v>0</v>
      </c>
      <c r="K479" s="14" t="n">
        <v>15</v>
      </c>
      <c r="L479" s="14" t="n">
        <v>15</v>
      </c>
      <c r="M479" s="12"/>
      <c r="N479" s="11"/>
      <c r="O479" s="23"/>
      <c r="P479" s="23"/>
      <c r="Q479" s="23"/>
      <c r="R479" s="23"/>
      <c r="S479" s="23"/>
      <c r="T479" s="23"/>
      <c r="U479" s="23"/>
      <c r="V479" s="23"/>
      <c r="W479" s="23"/>
      <c r="X479" s="23"/>
      <c r="Y479" s="23"/>
      <c r="Z479" s="23"/>
    </row>
    <row r="480" customFormat="false" ht="15.75" hidden="false" customHeight="true" outlineLevel="0" collapsed="false">
      <c r="A480" s="52" t="n">
        <v>46304</v>
      </c>
      <c r="B480" s="14" t="s">
        <v>497</v>
      </c>
      <c r="C480" s="14" t="str">
        <f aca="false" t="array" ref="C480:C480">IF(B480="","",IFERROR(INDEX('CLM &amp; IM Mapping'!$B$2:$B$270,MATCH(TRIM(B480),'CLM &amp; IM Mapping'!$A$2:$A$270,0)),"Not Mapped"))</f>
        <v>Narasimhamurthy R</v>
      </c>
      <c r="D480" s="14" t="str">
        <f aca="false" t="array" ref="D480:D480">IF(B480="","",IFERROR(INDEX('CLM &amp; IM Mapping'!$C$2:$C$270,MATCH(TRIM(B480),'CLM &amp; IM Mapping'!$A$2:$A$270,0)),"Not Mapped"))</f>
        <v>Kishor K</v>
      </c>
      <c r="E480" s="14" t="n">
        <v>0</v>
      </c>
      <c r="F480" s="14" t="n">
        <v>1</v>
      </c>
      <c r="G480" s="14" t="n">
        <v>0</v>
      </c>
      <c r="H480" s="14" t="n">
        <v>0</v>
      </c>
      <c r="I480" s="14" t="n">
        <v>1</v>
      </c>
      <c r="J480" s="14" t="n">
        <v>12</v>
      </c>
      <c r="K480" s="14" t="n">
        <v>14</v>
      </c>
      <c r="L480" s="14" t="n">
        <v>14</v>
      </c>
      <c r="M480" s="12" t="s">
        <v>828</v>
      </c>
      <c r="N480" s="54" t="n">
        <v>0.666666666666667</v>
      </c>
      <c r="O480" s="23"/>
      <c r="P480" s="23"/>
      <c r="Q480" s="23"/>
      <c r="R480" s="23"/>
      <c r="S480" s="23"/>
      <c r="T480" s="23"/>
      <c r="U480" s="23"/>
      <c r="V480" s="23"/>
      <c r="W480" s="23"/>
      <c r="X480" s="23"/>
      <c r="Y480" s="23"/>
      <c r="Z480" s="23"/>
    </row>
    <row r="481" customFormat="false" ht="15.75" hidden="false" customHeight="true" outlineLevel="0" collapsed="false">
      <c r="A481" s="52" t="n">
        <v>46304</v>
      </c>
      <c r="B481" s="14" t="s">
        <v>418</v>
      </c>
      <c r="C481" s="14" t="str">
        <f aca="false" t="array" ref="C481:C481">IF(B481="","",IFERROR(INDEX('CLM &amp; IM Mapping'!$B$2:$B$270,MATCH(TRIM(B481),'CLM &amp; IM Mapping'!$A$2:$A$270,0)),"Not Mapped"))</f>
        <v>Vishnu V</v>
      </c>
      <c r="D481" s="14" t="str">
        <f aca="false" t="array" ref="D481:D481">IF(B481="","",IFERROR(INDEX('CLM &amp; IM Mapping'!$C$2:$C$270,MATCH(TRIM(B481),'CLM &amp; IM Mapping'!$A$2:$A$270,0)),"Not Mapped"))</f>
        <v>Arivind S</v>
      </c>
      <c r="E481" s="14" t="n">
        <v>0</v>
      </c>
      <c r="F481" s="14" t="n">
        <v>0</v>
      </c>
      <c r="G481" s="14" t="n">
        <v>0</v>
      </c>
      <c r="H481" s="14" t="n">
        <v>7</v>
      </c>
      <c r="I481" s="14" t="n">
        <v>4</v>
      </c>
      <c r="J481" s="14" t="n">
        <v>0</v>
      </c>
      <c r="K481" s="14" t="n">
        <v>11</v>
      </c>
      <c r="L481" s="14" t="n">
        <v>11</v>
      </c>
      <c r="M481" s="12"/>
      <c r="N481" s="11"/>
      <c r="O481" s="23"/>
      <c r="P481" s="23"/>
      <c r="Q481" s="23"/>
      <c r="R481" s="23"/>
      <c r="S481" s="23"/>
      <c r="T481" s="23"/>
      <c r="U481" s="23"/>
      <c r="V481" s="23"/>
      <c r="W481" s="23"/>
      <c r="X481" s="23"/>
      <c r="Y481" s="23"/>
      <c r="Z481" s="23"/>
    </row>
    <row r="482" customFormat="false" ht="15.75" hidden="false" customHeight="true" outlineLevel="0" collapsed="false">
      <c r="A482" s="52" t="n">
        <v>46304</v>
      </c>
      <c r="B482" s="14" t="s">
        <v>298</v>
      </c>
      <c r="C482" s="14" t="str">
        <f aca="false" t="array" ref="C482:C482">IF(B482="","",IFERROR(INDEX('CLM &amp; IM Mapping'!$B$2:$B$270,MATCH(TRIM(B482),'CLM &amp; IM Mapping'!$A$2:$A$270,0)),"Not Mapped"))</f>
        <v>Ravishankar gowda</v>
      </c>
      <c r="D482" s="14" t="str">
        <f aca="false" t="array" ref="D482:D482">IF(B482="","",IFERROR(INDEX('CLM &amp; IM Mapping'!$C$2:$C$270,MATCH(TRIM(B482),'CLM &amp; IM Mapping'!$A$2:$A$270,0)),"Not Mapped"))</f>
        <v>Kishor K</v>
      </c>
      <c r="E482" s="14" t="n">
        <v>0</v>
      </c>
      <c r="F482" s="14" t="n">
        <v>1</v>
      </c>
      <c r="G482" s="14" t="n">
        <v>0</v>
      </c>
      <c r="H482" s="14" t="n">
        <v>0</v>
      </c>
      <c r="I482" s="14" t="n">
        <v>5</v>
      </c>
      <c r="J482" s="14" t="n">
        <v>5</v>
      </c>
      <c r="K482" s="14" t="n">
        <v>11</v>
      </c>
      <c r="L482" s="14" t="n">
        <v>11</v>
      </c>
      <c r="M482" s="12" t="s">
        <v>828</v>
      </c>
      <c r="N482" s="54" t="n">
        <v>0.666666666666667</v>
      </c>
      <c r="O482" s="23"/>
      <c r="P482" s="23"/>
      <c r="Q482" s="23"/>
      <c r="R482" s="23"/>
      <c r="S482" s="23"/>
      <c r="T482" s="23"/>
      <c r="U482" s="23"/>
      <c r="V482" s="23"/>
      <c r="W482" s="23"/>
      <c r="X482" s="23"/>
      <c r="Y482" s="23"/>
      <c r="Z482" s="23"/>
    </row>
    <row r="483" customFormat="false" ht="15.75" hidden="false" customHeight="true" outlineLevel="0" collapsed="false">
      <c r="A483" s="52" t="n">
        <v>46304</v>
      </c>
      <c r="B483" s="14" t="s">
        <v>494</v>
      </c>
      <c r="C483" s="14" t="str">
        <f aca="false" t="array" ref="C483:C483">IF(B483="","",IFERROR(INDEX('CLM &amp; IM Mapping'!$B$2:$B$270,MATCH(TRIM(B483),'CLM &amp; IM Mapping'!$A$2:$A$270,0)),"Not Mapped"))</f>
        <v>Arun Raj</v>
      </c>
      <c r="D483" s="14" t="str">
        <f aca="false" t="array" ref="D483:D483">IF(B483="","",IFERROR(INDEX('CLM &amp; IM Mapping'!$C$2:$C$270,MATCH(TRIM(B483),'CLM &amp; IM Mapping'!$A$2:$A$270,0)),"Not Mapped"))</f>
        <v>Simon Manoharan</v>
      </c>
      <c r="E483" s="14" t="n">
        <v>3</v>
      </c>
      <c r="F483" s="14" t="n">
        <v>0</v>
      </c>
      <c r="G483" s="14" t="n">
        <v>4</v>
      </c>
      <c r="H483" s="14" t="n">
        <v>2</v>
      </c>
      <c r="I483" s="14" t="n">
        <v>1</v>
      </c>
      <c r="J483" s="14" t="n">
        <v>0</v>
      </c>
      <c r="K483" s="14" t="n">
        <v>10</v>
      </c>
      <c r="L483" s="14" t="n">
        <v>10</v>
      </c>
      <c r="M483" s="12"/>
      <c r="N483" s="11"/>
      <c r="O483" s="23"/>
      <c r="P483" s="23"/>
      <c r="Q483" s="23"/>
      <c r="R483" s="23"/>
      <c r="S483" s="23"/>
      <c r="T483" s="23"/>
      <c r="U483" s="23"/>
      <c r="V483" s="23"/>
      <c r="W483" s="23"/>
      <c r="X483" s="23"/>
      <c r="Y483" s="23"/>
      <c r="Z483" s="23"/>
    </row>
    <row r="484" customFormat="false" ht="15.75" hidden="false" customHeight="true" outlineLevel="0" collapsed="false">
      <c r="A484" s="52" t="n">
        <v>46304</v>
      </c>
      <c r="B484" s="14" t="s">
        <v>479</v>
      </c>
      <c r="C484" s="14" t="str">
        <f aca="false" t="array" ref="C484:C484">IF(B484="","",IFERROR(INDEX('CLM &amp; IM Mapping'!$B$2:$B$270,MATCH(TRIM(B484),'CLM &amp; IM Mapping'!$A$2:$A$270,0)),"Not Mapped"))</f>
        <v>Arun Raj</v>
      </c>
      <c r="D484" s="14" t="str">
        <f aca="false" t="array" ref="D484:D484">IF(B484="","",IFERROR(INDEX('CLM &amp; IM Mapping'!$C$2:$C$270,MATCH(TRIM(B484),'CLM &amp; IM Mapping'!$A$2:$A$270,0)),"Not Mapped"))</f>
        <v>Simon Manoharan</v>
      </c>
      <c r="E484" s="14" t="n">
        <v>0</v>
      </c>
      <c r="F484" s="14" t="n">
        <v>10</v>
      </c>
      <c r="G484" s="14" t="n">
        <v>0</v>
      </c>
      <c r="H484" s="14" t="n">
        <v>0</v>
      </c>
      <c r="I484" s="14" t="n">
        <v>0</v>
      </c>
      <c r="J484" s="14" t="n">
        <v>0</v>
      </c>
      <c r="K484" s="14" t="n">
        <v>10</v>
      </c>
      <c r="L484" s="14" t="n">
        <v>9</v>
      </c>
      <c r="M484" s="12"/>
      <c r="N484" s="11"/>
      <c r="O484" s="23"/>
      <c r="P484" s="23"/>
      <c r="Q484" s="23"/>
      <c r="R484" s="23"/>
      <c r="S484" s="23"/>
      <c r="T484" s="23"/>
      <c r="U484" s="23"/>
      <c r="V484" s="23"/>
      <c r="W484" s="23"/>
      <c r="X484" s="23"/>
      <c r="Y484" s="23"/>
      <c r="Z484" s="23"/>
    </row>
    <row r="485" customFormat="false" ht="15.75" hidden="false" customHeight="true" outlineLevel="0" collapsed="false">
      <c r="A485" s="52" t="n">
        <v>46304</v>
      </c>
      <c r="B485" s="14" t="s">
        <v>399</v>
      </c>
      <c r="C485" s="14" t="str">
        <f aca="false" t="array" ref="C485:C485">IF(B485="","",IFERROR(INDEX('CLM &amp; IM Mapping'!$B$2:$B$270,MATCH(TRIM(B485),'CLM &amp; IM Mapping'!$A$2:$A$270,0)),"Not Mapped"))</f>
        <v>John Britto</v>
      </c>
      <c r="D485" s="14" t="str">
        <f aca="false" t="array" ref="D485:D485">IF(B485="","",IFERROR(INDEX('CLM &amp; IM Mapping'!$C$2:$C$270,MATCH(TRIM(B485),'CLM &amp; IM Mapping'!$A$2:$A$270,0)),"Not Mapped"))</f>
        <v>Aravind S</v>
      </c>
      <c r="E485" s="14" t="n">
        <v>0</v>
      </c>
      <c r="F485" s="14" t="n">
        <v>0</v>
      </c>
      <c r="G485" s="14" t="n">
        <v>0</v>
      </c>
      <c r="H485" s="14" t="n">
        <v>0</v>
      </c>
      <c r="I485" s="14" t="n">
        <v>0</v>
      </c>
      <c r="J485" s="14" t="n">
        <v>10</v>
      </c>
      <c r="K485" s="14" t="n">
        <v>10</v>
      </c>
      <c r="L485" s="14" t="n">
        <v>10</v>
      </c>
      <c r="M485" s="12"/>
      <c r="N485" s="11"/>
      <c r="O485" s="23"/>
      <c r="P485" s="23"/>
      <c r="Q485" s="23"/>
      <c r="R485" s="23"/>
      <c r="S485" s="23"/>
      <c r="T485" s="23"/>
      <c r="U485" s="23"/>
      <c r="V485" s="23"/>
      <c r="W485" s="23"/>
      <c r="X485" s="23"/>
      <c r="Y485" s="23"/>
      <c r="Z485" s="23"/>
    </row>
    <row r="486" customFormat="false" ht="15.75" hidden="false" customHeight="true" outlineLevel="0" collapsed="false">
      <c r="A486" s="52" t="n">
        <v>46304</v>
      </c>
      <c r="B486" s="14" t="s">
        <v>248</v>
      </c>
      <c r="C486" s="14" t="str">
        <f aca="false" t="array" ref="C486:C486">IF(B486="","",IFERROR(INDEX('CLM &amp; IM Mapping'!$B$2:$B$270,MATCH(TRIM(B486),'CLM &amp; IM Mapping'!$A$2:$A$270,0)),"Not Mapped"))</f>
        <v>Arun Raj</v>
      </c>
      <c r="D486" s="14" t="str">
        <f aca="false" t="array" ref="D486:D486">IF(B486="","",IFERROR(INDEX('CLM &amp; IM Mapping'!$C$2:$C$270,MATCH(TRIM(B486),'CLM &amp; IM Mapping'!$A$2:$A$270,0)),"Not Mapped"))</f>
        <v>Simon Manoharan</v>
      </c>
      <c r="E486" s="14" t="n">
        <v>1</v>
      </c>
      <c r="F486" s="14" t="n">
        <v>2</v>
      </c>
      <c r="G486" s="14" t="n">
        <v>0</v>
      </c>
      <c r="H486" s="14" t="n">
        <v>1</v>
      </c>
      <c r="I486" s="14" t="n">
        <v>5</v>
      </c>
      <c r="J486" s="14" t="n">
        <v>0</v>
      </c>
      <c r="K486" s="14" t="n">
        <v>9</v>
      </c>
      <c r="L486" s="14" t="n">
        <v>8</v>
      </c>
      <c r="M486" s="12"/>
      <c r="N486" s="11"/>
      <c r="O486" s="23"/>
      <c r="P486" s="23"/>
      <c r="Q486" s="23"/>
      <c r="R486" s="23"/>
      <c r="S486" s="23"/>
      <c r="T486" s="23"/>
      <c r="U486" s="23"/>
      <c r="V486" s="23"/>
      <c r="W486" s="23"/>
      <c r="X486" s="23"/>
      <c r="Y486" s="23"/>
      <c r="Z486" s="23"/>
    </row>
    <row r="487" customFormat="false" ht="15.75" hidden="false" customHeight="true" outlineLevel="0" collapsed="false">
      <c r="A487" s="52" t="n">
        <v>46304</v>
      </c>
      <c r="B487" s="14" t="s">
        <v>461</v>
      </c>
      <c r="C487" s="14" t="str">
        <f aca="false" t="array" ref="C487:C487">IF(B487="","",IFERROR(INDEX('CLM &amp; IM Mapping'!$B$2:$B$270,MATCH(TRIM(B487),'CLM &amp; IM Mapping'!$A$2:$A$270,0)),"Not Mapped"))</f>
        <v>Arun Raj</v>
      </c>
      <c r="D487" s="14" t="str">
        <f aca="false" t="array" ref="D487:D487">IF(B487="","",IFERROR(INDEX('CLM &amp; IM Mapping'!$C$2:$C$270,MATCH(TRIM(B487),'CLM &amp; IM Mapping'!$A$2:$A$270,0)),"Not Mapped"))</f>
        <v>Simon Manoharan</v>
      </c>
      <c r="E487" s="14" t="n">
        <v>3</v>
      </c>
      <c r="F487" s="14" t="n">
        <v>1</v>
      </c>
      <c r="G487" s="14" t="n">
        <v>2</v>
      </c>
      <c r="H487" s="14" t="n">
        <v>0</v>
      </c>
      <c r="I487" s="14" t="n">
        <v>0</v>
      </c>
      <c r="J487" s="14" t="n">
        <v>0</v>
      </c>
      <c r="K487" s="14" t="n">
        <v>6</v>
      </c>
      <c r="L487" s="14" t="n">
        <v>6</v>
      </c>
      <c r="M487" s="12"/>
      <c r="N487" s="11"/>
      <c r="O487" s="23"/>
      <c r="P487" s="23"/>
      <c r="Q487" s="23"/>
      <c r="R487" s="23"/>
      <c r="S487" s="23"/>
      <c r="T487" s="23"/>
      <c r="U487" s="23"/>
      <c r="V487" s="23"/>
      <c r="W487" s="23"/>
      <c r="X487" s="23"/>
      <c r="Y487" s="23"/>
      <c r="Z487" s="23"/>
    </row>
    <row r="488" customFormat="false" ht="15.75" hidden="false" customHeight="true" outlineLevel="0" collapsed="false">
      <c r="A488" s="52" t="n">
        <v>46304</v>
      </c>
      <c r="B488" s="14" t="s">
        <v>323</v>
      </c>
      <c r="C488" s="14" t="str">
        <f aca="false" t="array" ref="C488:C488">IF(B488="","",IFERROR(INDEX('CLM &amp; IM Mapping'!$B$2:$B$270,MATCH(TRIM(B488),'CLM &amp; IM Mapping'!$A$2:$A$270,0)),"Not Mapped"))</f>
        <v>Vishnu V</v>
      </c>
      <c r="D488" s="14" t="str">
        <f aca="false" t="array" ref="D488:D488">IF(B488="","",IFERROR(INDEX('CLM &amp; IM Mapping'!$C$2:$C$270,MATCH(TRIM(B488),'CLM &amp; IM Mapping'!$A$2:$A$270,0)),"Not Mapped"))</f>
        <v>Arivind S</v>
      </c>
      <c r="E488" s="14" t="n">
        <v>0</v>
      </c>
      <c r="F488" s="14" t="n">
        <v>0</v>
      </c>
      <c r="G488" s="14" t="n">
        <v>0</v>
      </c>
      <c r="H488" s="14" t="n">
        <v>0</v>
      </c>
      <c r="I488" s="14" t="n">
        <v>6</v>
      </c>
      <c r="J488" s="14" t="n">
        <v>0</v>
      </c>
      <c r="K488" s="14" t="n">
        <v>6</v>
      </c>
      <c r="L488" s="14" t="n">
        <v>6</v>
      </c>
      <c r="M488" s="12"/>
      <c r="N488" s="11"/>
      <c r="O488" s="23"/>
      <c r="P488" s="23"/>
      <c r="Q488" s="23"/>
      <c r="R488" s="23"/>
      <c r="S488" s="23"/>
      <c r="T488" s="23"/>
      <c r="U488" s="23"/>
      <c r="V488" s="23"/>
      <c r="W488" s="23"/>
      <c r="X488" s="23"/>
      <c r="Y488" s="23"/>
      <c r="Z488" s="23"/>
    </row>
    <row r="489" customFormat="false" ht="15.75" hidden="false" customHeight="true" outlineLevel="0" collapsed="false">
      <c r="A489" s="52" t="n">
        <v>46304</v>
      </c>
      <c r="B489" s="14" t="s">
        <v>413</v>
      </c>
      <c r="C489" s="14" t="str">
        <f aca="false" t="array" ref="C489:C489">IF(B489="","",IFERROR(INDEX('CLM &amp; IM Mapping'!$B$2:$B$270,MATCH(TRIM(B489),'CLM &amp; IM Mapping'!$A$2:$A$270,0)),"Not Mapped"))</f>
        <v>Arun Raj</v>
      </c>
      <c r="D489" s="14" t="str">
        <f aca="false" t="array" ref="D489:D489">IF(B489="","",IFERROR(INDEX('CLM &amp; IM Mapping'!$C$2:$C$270,MATCH(TRIM(B489),'CLM &amp; IM Mapping'!$A$2:$A$270,0)),"Not Mapped"))</f>
        <v>Simon Manoharan</v>
      </c>
      <c r="E489" s="14" t="n">
        <v>1</v>
      </c>
      <c r="F489" s="14" t="n">
        <v>4</v>
      </c>
      <c r="G489" s="14" t="n">
        <v>0</v>
      </c>
      <c r="H489" s="14" t="n">
        <v>0</v>
      </c>
      <c r="I489" s="14" t="n">
        <v>0</v>
      </c>
      <c r="J489" s="14" t="n">
        <v>0</v>
      </c>
      <c r="K489" s="14" t="n">
        <v>5</v>
      </c>
      <c r="L489" s="14" t="n">
        <v>1</v>
      </c>
      <c r="M489" s="12"/>
      <c r="N489" s="11"/>
      <c r="O489" s="23"/>
      <c r="P489" s="23"/>
      <c r="Q489" s="23"/>
      <c r="R489" s="23"/>
      <c r="S489" s="23"/>
      <c r="T489" s="23"/>
      <c r="U489" s="23"/>
      <c r="V489" s="23"/>
      <c r="W489" s="23"/>
      <c r="X489" s="23"/>
      <c r="Y489" s="23"/>
      <c r="Z489" s="23"/>
    </row>
    <row r="490" customFormat="false" ht="15.75" hidden="false" customHeight="true" outlineLevel="0" collapsed="false">
      <c r="A490" s="52" t="n">
        <v>46304</v>
      </c>
      <c r="B490" s="14" t="s">
        <v>382</v>
      </c>
      <c r="C490" s="14" t="str">
        <f aca="false" t="array" ref="C490:C490">IF(B490="","",IFERROR(INDEX('CLM &amp; IM Mapping'!$B$2:$B$270,MATCH(TRIM(B490),'CLM &amp; IM Mapping'!$A$2:$A$270,0)),"Not Mapped"))</f>
        <v>Arun Raj</v>
      </c>
      <c r="D490" s="14" t="str">
        <f aca="false" t="array" ref="D490:D490">IF(B490="","",IFERROR(INDEX('CLM &amp; IM Mapping'!$C$2:$C$270,MATCH(TRIM(B490),'CLM &amp; IM Mapping'!$A$2:$A$270,0)),"Not Mapped"))</f>
        <v>Simon Manoharan</v>
      </c>
      <c r="E490" s="14" t="n">
        <v>0</v>
      </c>
      <c r="F490" s="14" t="n">
        <v>2</v>
      </c>
      <c r="G490" s="14" t="n">
        <v>0</v>
      </c>
      <c r="H490" s="14" t="n">
        <v>2</v>
      </c>
      <c r="I490" s="14" t="n">
        <v>1</v>
      </c>
      <c r="J490" s="14" t="n">
        <v>0</v>
      </c>
      <c r="K490" s="14" t="n">
        <v>5</v>
      </c>
      <c r="L490" s="14" t="n">
        <v>4</v>
      </c>
      <c r="M490" s="12"/>
      <c r="N490" s="11"/>
      <c r="O490" s="23"/>
      <c r="P490" s="23"/>
      <c r="Q490" s="23"/>
      <c r="R490" s="23"/>
      <c r="S490" s="23"/>
      <c r="T490" s="23"/>
      <c r="U490" s="23"/>
      <c r="V490" s="23"/>
      <c r="W490" s="23"/>
      <c r="X490" s="23"/>
      <c r="Y490" s="23"/>
      <c r="Z490" s="23"/>
    </row>
    <row r="491" customFormat="false" ht="15.75" hidden="false" customHeight="true" outlineLevel="0" collapsed="false">
      <c r="A491" s="52" t="n">
        <v>46304</v>
      </c>
      <c r="B491" s="14" t="s">
        <v>29</v>
      </c>
      <c r="C491" s="14" t="str">
        <f aca="false" t="array" ref="C491:C491">IF(B491="","",IFERROR(INDEX('CLM &amp; IM Mapping'!$B$2:$B$270,MATCH(TRIM(B491),'CLM &amp; IM Mapping'!$A$2:$A$270,0)),"Not Mapped"))</f>
        <v>Arun Raj</v>
      </c>
      <c r="D491" s="14" t="str">
        <f aca="false" t="array" ref="D491:D491">IF(B491="","",IFERROR(INDEX('CLM &amp; IM Mapping'!$C$2:$C$270,MATCH(TRIM(B491),'CLM &amp; IM Mapping'!$A$2:$A$270,0)),"Not Mapped"))</f>
        <v>Simon Manoharan</v>
      </c>
      <c r="E491" s="14" t="n">
        <v>1</v>
      </c>
      <c r="F491" s="14" t="n">
        <v>1</v>
      </c>
      <c r="G491" s="14" t="n">
        <v>0</v>
      </c>
      <c r="H491" s="14" t="n">
        <v>1</v>
      </c>
      <c r="I491" s="14" t="n">
        <v>1</v>
      </c>
      <c r="J491" s="14" t="n">
        <v>0</v>
      </c>
      <c r="K491" s="14" t="n">
        <v>4</v>
      </c>
      <c r="L491" s="14" t="n">
        <v>2</v>
      </c>
      <c r="M491" s="12"/>
      <c r="N491" s="11"/>
      <c r="O491" s="23"/>
      <c r="P491" s="23"/>
      <c r="Q491" s="23"/>
      <c r="R491" s="23"/>
      <c r="S491" s="23"/>
      <c r="T491" s="23"/>
      <c r="U491" s="23"/>
      <c r="V491" s="23"/>
      <c r="W491" s="23"/>
      <c r="X491" s="23"/>
      <c r="Y491" s="23"/>
      <c r="Z491" s="23"/>
    </row>
    <row r="492" customFormat="false" ht="15.75" hidden="false" customHeight="true" outlineLevel="0" collapsed="false">
      <c r="A492" s="52" t="n">
        <v>46304</v>
      </c>
      <c r="B492" s="14" t="s">
        <v>348</v>
      </c>
      <c r="C492" s="14" t="str">
        <f aca="false" t="array" ref="C492:C492">IF(B492="","",IFERROR(INDEX('CLM &amp; IM Mapping'!$B$2:$B$270,MATCH(TRIM(B492),'CLM &amp; IM Mapping'!$A$2:$A$270,0)),"Not Mapped"))</f>
        <v>Arun Raj</v>
      </c>
      <c r="D492" s="14" t="str">
        <f aca="false" t="array" ref="D492:D492">IF(B492="","",IFERROR(INDEX('CLM &amp; IM Mapping'!$C$2:$C$270,MATCH(TRIM(B492),'CLM &amp; IM Mapping'!$A$2:$A$270,0)),"Not Mapped"))</f>
        <v>Simon Manoharan</v>
      </c>
      <c r="E492" s="14" t="n">
        <v>0</v>
      </c>
      <c r="F492" s="14" t="n">
        <v>1</v>
      </c>
      <c r="G492" s="14" t="n">
        <v>0</v>
      </c>
      <c r="H492" s="14" t="n">
        <v>1</v>
      </c>
      <c r="I492" s="14" t="n">
        <v>1</v>
      </c>
      <c r="J492" s="14" t="n">
        <v>0</v>
      </c>
      <c r="K492" s="14" t="n">
        <v>3</v>
      </c>
      <c r="L492" s="14" t="n">
        <v>3</v>
      </c>
      <c r="M492" s="12"/>
      <c r="N492" s="11"/>
      <c r="O492" s="23"/>
      <c r="P492" s="23"/>
      <c r="Q492" s="23"/>
      <c r="R492" s="23"/>
      <c r="S492" s="23"/>
      <c r="T492" s="23"/>
      <c r="U492" s="23"/>
      <c r="V492" s="23"/>
      <c r="W492" s="23"/>
      <c r="X492" s="23"/>
      <c r="Y492" s="23"/>
      <c r="Z492" s="23"/>
    </row>
    <row r="493" customFormat="false" ht="15.75" hidden="false" customHeight="true" outlineLevel="0" collapsed="false">
      <c r="A493" s="52" t="n">
        <v>46304</v>
      </c>
      <c r="B493" s="14" t="s">
        <v>439</v>
      </c>
      <c r="C493" s="14" t="str">
        <f aca="false" t="array" ref="C493:C493">IF(B493="","",IFERROR(INDEX('CLM &amp; IM Mapping'!$B$2:$B$270,MATCH(TRIM(B493),'CLM &amp; IM Mapping'!$A$2:$A$270,0)),"Not Mapped"))</f>
        <v>Vishnu V</v>
      </c>
      <c r="D493" s="14" t="str">
        <f aca="false" t="array" ref="D493:D493">IF(B493="","",IFERROR(INDEX('CLM &amp; IM Mapping'!$C$2:$C$270,MATCH(TRIM(B493),'CLM &amp; IM Mapping'!$A$2:$A$270,0)),"Not Mapped"))</f>
        <v>Arivind S</v>
      </c>
      <c r="E493" s="14" t="n">
        <v>0</v>
      </c>
      <c r="F493" s="14" t="n">
        <v>0</v>
      </c>
      <c r="G493" s="14" t="n">
        <v>1</v>
      </c>
      <c r="H493" s="14" t="n">
        <v>0</v>
      </c>
      <c r="I493" s="14" t="n">
        <v>0</v>
      </c>
      <c r="J493" s="14" t="n">
        <v>0</v>
      </c>
      <c r="K493" s="14" t="n">
        <v>1</v>
      </c>
      <c r="L493" s="14" t="n">
        <v>1</v>
      </c>
      <c r="M493" s="12"/>
      <c r="N493" s="11"/>
      <c r="O493" s="23"/>
      <c r="P493" s="23"/>
      <c r="Q493" s="23"/>
      <c r="R493" s="23"/>
      <c r="S493" s="23"/>
      <c r="T493" s="23"/>
      <c r="U493" s="23"/>
      <c r="V493" s="23"/>
      <c r="W493" s="23"/>
      <c r="X493" s="23"/>
      <c r="Y493" s="23"/>
      <c r="Z493" s="23"/>
    </row>
    <row r="494" customFormat="false" ht="15.75" hidden="false" customHeight="true" outlineLevel="0" collapsed="false">
      <c r="A494" s="52" t="n">
        <v>46304</v>
      </c>
      <c r="B494" s="14" t="s">
        <v>388</v>
      </c>
      <c r="C494" s="14" t="str">
        <f aca="false" t="array" ref="C494:C494">IF(B494="","",IFERROR(INDEX('CLM &amp; IM Mapping'!$B$2:$B$270,MATCH(TRIM(B494),'CLM &amp; IM Mapping'!$A$2:$A$270,0)),"Not Mapped"))</f>
        <v>Arun Raj</v>
      </c>
      <c r="D494" s="14" t="str">
        <f aca="false" t="array" ref="D494:D494">IF(B494="","",IFERROR(INDEX('CLM &amp; IM Mapping'!$C$2:$C$270,MATCH(TRIM(B494),'CLM &amp; IM Mapping'!$A$2:$A$270,0)),"Not Mapped"))</f>
        <v>Simon Manoharan</v>
      </c>
      <c r="E494" s="14" t="n">
        <v>0</v>
      </c>
      <c r="F494" s="14" t="n">
        <v>1</v>
      </c>
      <c r="G494" s="14" t="n">
        <v>0</v>
      </c>
      <c r="H494" s="14" t="n">
        <v>0</v>
      </c>
      <c r="I494" s="14" t="n">
        <v>0</v>
      </c>
      <c r="J494" s="14" t="n">
        <v>0</v>
      </c>
      <c r="K494" s="14" t="n">
        <v>1</v>
      </c>
      <c r="L494" s="14" t="n">
        <v>1</v>
      </c>
      <c r="M494" s="12"/>
      <c r="N494" s="11"/>
      <c r="O494" s="23"/>
      <c r="P494" s="23"/>
      <c r="Q494" s="23"/>
      <c r="R494" s="23"/>
      <c r="S494" s="23"/>
      <c r="T494" s="23"/>
      <c r="U494" s="23"/>
      <c r="V494" s="23"/>
      <c r="W494" s="23"/>
      <c r="X494" s="23"/>
      <c r="Y494" s="23"/>
      <c r="Z494" s="23"/>
    </row>
    <row r="495" customFormat="false" ht="15.75" hidden="false" customHeight="true" outlineLevel="0" collapsed="false">
      <c r="A495" s="52" t="n">
        <v>46304</v>
      </c>
      <c r="B495" s="14" t="s">
        <v>378</v>
      </c>
      <c r="C495" s="14" t="str">
        <f aca="false" t="array" ref="C495:C495">IF(B495="","",IFERROR(INDEX('CLM &amp; IM Mapping'!$B$2:$B$270,MATCH(TRIM(B495),'CLM &amp; IM Mapping'!$A$2:$A$270,0)),"Not Mapped"))</f>
        <v>Vishnu V</v>
      </c>
      <c r="D495" s="14" t="str">
        <f aca="false" t="array" ref="D495:D495">IF(B495="","",IFERROR(INDEX('CLM &amp; IM Mapping'!$C$2:$C$270,MATCH(TRIM(B495),'CLM &amp; IM Mapping'!$A$2:$A$270,0)),"Not Mapped"))</f>
        <v>Arivind S</v>
      </c>
      <c r="E495" s="14" t="n">
        <v>0</v>
      </c>
      <c r="F495" s="14" t="n">
        <v>0</v>
      </c>
      <c r="G495" s="14" t="n">
        <v>1</v>
      </c>
      <c r="H495" s="14" t="n">
        <v>0</v>
      </c>
      <c r="I495" s="14" t="n">
        <v>0</v>
      </c>
      <c r="J495" s="14" t="n">
        <v>0</v>
      </c>
      <c r="K495" s="14" t="n">
        <v>1</v>
      </c>
      <c r="L495" s="14" t="n">
        <v>1</v>
      </c>
      <c r="M495" s="12"/>
      <c r="N495" s="11"/>
      <c r="O495" s="23"/>
      <c r="P495" s="23"/>
      <c r="Q495" s="23"/>
      <c r="R495" s="23"/>
      <c r="S495" s="23"/>
      <c r="T495" s="23"/>
      <c r="U495" s="23"/>
      <c r="V495" s="23"/>
      <c r="W495" s="23"/>
      <c r="X495" s="23"/>
      <c r="Y495" s="23"/>
      <c r="Z495" s="23"/>
    </row>
    <row r="496" customFormat="false" ht="15.75" hidden="false" customHeight="true" outlineLevel="0" collapsed="false">
      <c r="A496" s="52" t="n">
        <v>46304</v>
      </c>
      <c r="B496" s="14" t="s">
        <v>395</v>
      </c>
      <c r="C496" s="14" t="str">
        <f aca="false" t="array" ref="C496:C496">IF(B496="","",IFERROR(INDEX('CLM &amp; IM Mapping'!$B$2:$B$270,MATCH(TRIM(B496),'CLM &amp; IM Mapping'!$A$2:$A$270,0)),"Not Mapped"))</f>
        <v>Bangareppa CS</v>
      </c>
      <c r="D496" s="14" t="str">
        <f aca="false" t="array" ref="D496:D496">IF(B496="","",IFERROR(INDEX('CLM &amp; IM Mapping'!$C$2:$C$270,MATCH(TRIM(B496),'CLM &amp; IM Mapping'!$A$2:$A$270,0)),"Not Mapped"))</f>
        <v>Kishor K</v>
      </c>
      <c r="E496" s="14" t="n">
        <v>0</v>
      </c>
      <c r="F496" s="14" t="n">
        <v>0</v>
      </c>
      <c r="G496" s="14" t="n">
        <v>0</v>
      </c>
      <c r="H496" s="14" t="n">
        <v>0</v>
      </c>
      <c r="I496" s="14" t="n">
        <v>0</v>
      </c>
      <c r="J496" s="14" t="n">
        <v>1</v>
      </c>
      <c r="K496" s="14" t="n">
        <v>1</v>
      </c>
      <c r="L496" s="14" t="n">
        <v>1</v>
      </c>
      <c r="M496" s="12" t="s">
        <v>828</v>
      </c>
      <c r="N496" s="54" t="n">
        <v>0.666666666666667</v>
      </c>
      <c r="O496" s="23"/>
      <c r="P496" s="23"/>
      <c r="Q496" s="23"/>
      <c r="R496" s="23"/>
      <c r="S496" s="23"/>
      <c r="T496" s="23"/>
      <c r="U496" s="23"/>
      <c r="V496" s="23"/>
      <c r="W496" s="23"/>
      <c r="X496" s="23"/>
      <c r="Y496" s="23"/>
      <c r="Z496" s="23"/>
    </row>
    <row r="497" customFormat="false" ht="15.75" hidden="false" customHeight="true" outlineLevel="0" collapsed="false">
      <c r="A497" s="52" t="n">
        <v>46304</v>
      </c>
      <c r="B497" s="14" t="s">
        <v>386</v>
      </c>
      <c r="C497" s="14" t="str">
        <f aca="false" t="array" ref="C497:C497">IF(B497="","",IFERROR(INDEX('CLM &amp; IM Mapping'!$B$2:$B$270,MATCH(TRIM(B497),'CLM &amp; IM Mapping'!$A$2:$A$270,0)),"Not Mapped"))</f>
        <v>Arun Raj</v>
      </c>
      <c r="D497" s="14" t="str">
        <f aca="false" t="array" ref="D497:D497">IF(B497="","",IFERROR(INDEX('CLM &amp; IM Mapping'!$C$2:$C$270,MATCH(TRIM(B497),'CLM &amp; IM Mapping'!$A$2:$A$270,0)),"Not Mapped"))</f>
        <v>Simon Manoharan</v>
      </c>
      <c r="E497" s="14" t="n">
        <v>0</v>
      </c>
      <c r="F497" s="14" t="n">
        <v>0</v>
      </c>
      <c r="G497" s="14" t="n">
        <v>0</v>
      </c>
      <c r="H497" s="14" t="n">
        <v>0</v>
      </c>
      <c r="I497" s="14" t="n">
        <v>0</v>
      </c>
      <c r="J497" s="14" t="n">
        <v>0</v>
      </c>
      <c r="K497" s="14" t="n">
        <v>0</v>
      </c>
      <c r="L497" s="14" t="n">
        <v>0</v>
      </c>
      <c r="M497" s="12"/>
      <c r="N497" s="11"/>
      <c r="O497" s="23"/>
      <c r="P497" s="23"/>
      <c r="Q497" s="23"/>
      <c r="R497" s="23"/>
      <c r="S497" s="23"/>
      <c r="T497" s="23"/>
      <c r="U497" s="23"/>
      <c r="V497" s="23"/>
      <c r="W497" s="23"/>
      <c r="X497" s="23"/>
      <c r="Y497" s="23"/>
      <c r="Z497" s="23"/>
    </row>
    <row r="498" customFormat="false" ht="15.75" hidden="false" customHeight="true" outlineLevel="0" collapsed="false">
      <c r="A498" s="52" t="n">
        <v>46304</v>
      </c>
      <c r="B498" s="14" t="s">
        <v>564</v>
      </c>
      <c r="C498" s="14" t="str">
        <f aca="false" t="array" ref="C498:C498">IF(B498="","",IFERROR(INDEX('CLM &amp; IM Mapping'!$B$2:$B$270,MATCH(TRIM(B498),'CLM &amp; IM Mapping'!$A$2:$A$270,0)),"Not Mapped"))</f>
        <v>Basil Scariya</v>
      </c>
      <c r="D498" s="14" t="str">
        <f aca="false" t="array" ref="D498:D498">IF(B498="","",IFERROR(INDEX('CLM &amp; IM Mapping'!$C$2:$C$270,MATCH(TRIM(B498),'CLM &amp; IM Mapping'!$A$2:$A$270,0)),"Not Mapped"))</f>
        <v>Prakash BS</v>
      </c>
      <c r="E498" s="14" t="n">
        <v>0</v>
      </c>
      <c r="F498" s="14" t="n">
        <v>0</v>
      </c>
      <c r="G498" s="14" t="n">
        <v>0</v>
      </c>
      <c r="H498" s="14" t="n">
        <v>0</v>
      </c>
      <c r="I498" s="14" t="n">
        <v>0</v>
      </c>
      <c r="J498" s="14" t="n">
        <v>0</v>
      </c>
      <c r="K498" s="14" t="n">
        <v>0</v>
      </c>
      <c r="L498" s="14" t="n">
        <v>0</v>
      </c>
      <c r="M498" s="12" t="s">
        <v>844</v>
      </c>
      <c r="N498" s="11"/>
      <c r="O498" s="23"/>
      <c r="P498" s="23"/>
      <c r="Q498" s="23"/>
      <c r="R498" s="23"/>
      <c r="S498" s="23"/>
      <c r="T498" s="23"/>
      <c r="U498" s="23"/>
      <c r="V498" s="23"/>
      <c r="W498" s="23"/>
      <c r="X498" s="23"/>
      <c r="Y498" s="23"/>
      <c r="Z498" s="23"/>
    </row>
    <row r="499" customFormat="false" ht="15.75" hidden="false" customHeight="true" outlineLevel="0" collapsed="false">
      <c r="A499" s="52" t="n">
        <v>46304</v>
      </c>
      <c r="B499" s="14" t="s">
        <v>272</v>
      </c>
      <c r="C499" s="14" t="str">
        <f aca="false" t="array" ref="C499:C499">IF(B499="","",IFERROR(INDEX('CLM &amp; IM Mapping'!$B$2:$B$270,MATCH(TRIM(B499),'CLM &amp; IM Mapping'!$A$2:$A$270,0)),"Not Mapped"))</f>
        <v>Arun Raj</v>
      </c>
      <c r="D499" s="14" t="str">
        <f aca="false" t="array" ref="D499:D499">IF(B499="","",IFERROR(INDEX('CLM &amp; IM Mapping'!$C$2:$C$270,MATCH(TRIM(B499),'CLM &amp; IM Mapping'!$A$2:$A$270,0)),"Not Mapped"))</f>
        <v>Simon Manoharan</v>
      </c>
      <c r="E499" s="14" t="n">
        <v>0</v>
      </c>
      <c r="F499" s="14" t="n">
        <v>0</v>
      </c>
      <c r="G499" s="14" t="n">
        <v>0</v>
      </c>
      <c r="H499" s="14" t="n">
        <v>0</v>
      </c>
      <c r="I499" s="14" t="n">
        <v>0</v>
      </c>
      <c r="J499" s="14" t="n">
        <v>0</v>
      </c>
      <c r="K499" s="14" t="n">
        <v>0</v>
      </c>
      <c r="L499" s="14" t="n">
        <v>0</v>
      </c>
      <c r="M499" s="12"/>
      <c r="N499" s="11"/>
      <c r="O499" s="23"/>
      <c r="P499" s="23"/>
      <c r="Q499" s="23"/>
      <c r="R499" s="23"/>
      <c r="S499" s="23"/>
      <c r="T499" s="23"/>
      <c r="U499" s="23"/>
      <c r="V499" s="23"/>
      <c r="W499" s="23"/>
      <c r="X499" s="23"/>
      <c r="Y499" s="23"/>
      <c r="Z499" s="23"/>
    </row>
    <row r="500" customFormat="false" ht="15.75" hidden="false" customHeight="true" outlineLevel="0" collapsed="false">
      <c r="A500" s="52" t="n">
        <v>46304</v>
      </c>
      <c r="B500" s="14" t="s">
        <v>355</v>
      </c>
      <c r="C500" s="14" t="str">
        <f aca="false" t="array" ref="C500:C500">IF(B500="","",IFERROR(INDEX('CLM &amp; IM Mapping'!$B$2:$B$270,MATCH(TRIM(B500),'CLM &amp; IM Mapping'!$A$2:$A$270,0)),"Not Mapped"))</f>
        <v>Arun Raj</v>
      </c>
      <c r="D500" s="14" t="str">
        <f aca="false" t="array" ref="D500:D500">IF(B500="","",IFERROR(INDEX('CLM &amp; IM Mapping'!$C$2:$C$270,MATCH(TRIM(B500),'CLM &amp; IM Mapping'!$A$2:$A$270,0)),"Not Mapped"))</f>
        <v>Simon Manoharan</v>
      </c>
      <c r="E500" s="14" t="n">
        <v>0</v>
      </c>
      <c r="F500" s="14" t="n">
        <v>0</v>
      </c>
      <c r="G500" s="14" t="n">
        <v>0</v>
      </c>
      <c r="H500" s="14" t="n">
        <v>0</v>
      </c>
      <c r="I500" s="14" t="n">
        <v>0</v>
      </c>
      <c r="J500" s="14" t="n">
        <v>0</v>
      </c>
      <c r="K500" s="14" t="n">
        <v>0</v>
      </c>
      <c r="L500" s="14" t="n">
        <v>0</v>
      </c>
      <c r="M500" s="12"/>
      <c r="N500" s="11"/>
      <c r="O500" s="23"/>
      <c r="P500" s="23"/>
      <c r="Q500" s="23"/>
      <c r="R500" s="23"/>
      <c r="S500" s="23"/>
      <c r="T500" s="23"/>
      <c r="U500" s="23"/>
      <c r="V500" s="23"/>
      <c r="W500" s="23"/>
      <c r="X500" s="23"/>
      <c r="Y500" s="23"/>
      <c r="Z500" s="23"/>
    </row>
    <row r="501" customFormat="false" ht="15.75" hidden="false" customHeight="true" outlineLevel="0" collapsed="false">
      <c r="A501" s="52" t="n">
        <v>46304</v>
      </c>
      <c r="B501" s="14" t="s">
        <v>231</v>
      </c>
      <c r="C501" s="14" t="str">
        <f aca="false" t="array" ref="C501:C501">IF(B501="","",IFERROR(INDEX('CLM &amp; IM Mapping'!$B$2:$B$270,MATCH(TRIM(B501),'CLM &amp; IM Mapping'!$A$2:$A$270,0)),"Not Mapped"))</f>
        <v>Arun Raj</v>
      </c>
      <c r="D501" s="14" t="str">
        <f aca="false" t="array" ref="D501:D501">IF(B501="","",IFERROR(INDEX('CLM &amp; IM Mapping'!$C$2:$C$270,MATCH(TRIM(B501),'CLM &amp; IM Mapping'!$A$2:$A$270,0)),"Not Mapped"))</f>
        <v>Simon Manoharan</v>
      </c>
      <c r="E501" s="14" t="n">
        <v>0</v>
      </c>
      <c r="F501" s="14" t="n">
        <v>0</v>
      </c>
      <c r="G501" s="14" t="n">
        <v>0</v>
      </c>
      <c r="H501" s="14" t="n">
        <v>0</v>
      </c>
      <c r="I501" s="14" t="n">
        <v>0</v>
      </c>
      <c r="J501" s="14" t="n">
        <v>0</v>
      </c>
      <c r="K501" s="14" t="n">
        <v>0</v>
      </c>
      <c r="L501" s="14" t="n">
        <v>0</v>
      </c>
      <c r="M501" s="12"/>
      <c r="N501" s="11"/>
      <c r="O501" s="23"/>
      <c r="P501" s="23"/>
      <c r="Q501" s="23"/>
      <c r="R501" s="23"/>
      <c r="S501" s="23"/>
      <c r="T501" s="23"/>
      <c r="U501" s="23"/>
      <c r="V501" s="23"/>
      <c r="W501" s="23"/>
      <c r="X501" s="23"/>
      <c r="Y501" s="23"/>
      <c r="Z501" s="23"/>
    </row>
    <row r="502" customFormat="false" ht="15.75" hidden="false" customHeight="true" outlineLevel="0" collapsed="false">
      <c r="A502" s="52" t="n">
        <v>46304</v>
      </c>
      <c r="B502" s="14" t="s">
        <v>368</v>
      </c>
      <c r="C502" s="14" t="str">
        <f aca="false" t="array" ref="C502:C502">IF(B502="","",IFERROR(INDEX('CLM &amp; IM Mapping'!$B$2:$B$270,MATCH(TRIM(B502),'CLM &amp; IM Mapping'!$A$2:$A$270,0)),"Not Mapped"))</f>
        <v>Arun Raj</v>
      </c>
      <c r="D502" s="14" t="str">
        <f aca="false" t="array" ref="D502:D502">IF(B502="","",IFERROR(INDEX('CLM &amp; IM Mapping'!$C$2:$C$270,MATCH(TRIM(B502),'CLM &amp; IM Mapping'!$A$2:$A$270,0)),"Not Mapped"))</f>
        <v>Simon Manoharan</v>
      </c>
      <c r="E502" s="14" t="n">
        <v>0</v>
      </c>
      <c r="F502" s="14" t="n">
        <v>0</v>
      </c>
      <c r="G502" s="14" t="n">
        <v>0</v>
      </c>
      <c r="H502" s="14" t="n">
        <v>0</v>
      </c>
      <c r="I502" s="14" t="n">
        <v>0</v>
      </c>
      <c r="J502" s="14" t="n">
        <v>0</v>
      </c>
      <c r="K502" s="14" t="n">
        <v>0</v>
      </c>
      <c r="L502" s="14" t="n">
        <v>0</v>
      </c>
      <c r="M502" s="12"/>
      <c r="N502" s="11"/>
      <c r="O502" s="23"/>
      <c r="P502" s="23"/>
      <c r="Q502" s="23"/>
      <c r="R502" s="23"/>
      <c r="S502" s="23"/>
      <c r="T502" s="23"/>
      <c r="U502" s="23"/>
      <c r="V502" s="23"/>
      <c r="W502" s="23"/>
      <c r="X502" s="23"/>
      <c r="Y502" s="23"/>
      <c r="Z502" s="23"/>
    </row>
    <row r="503" customFormat="false" ht="15.75" hidden="false" customHeight="true" outlineLevel="0" collapsed="false">
      <c r="A503" s="52" t="n">
        <v>46304</v>
      </c>
      <c r="B503" s="14" t="s">
        <v>452</v>
      </c>
      <c r="C503" s="14" t="str">
        <f aca="false" t="array" ref="C503:C503">IF(B503="","",IFERROR(INDEX('CLM &amp; IM Mapping'!$B$2:$B$270,MATCH(TRIM(B503),'CLM &amp; IM Mapping'!$A$2:$A$270,0)),"Not Mapped"))</f>
        <v>Vishnu V</v>
      </c>
      <c r="D503" s="14" t="str">
        <f aca="false" t="array" ref="D503:D503">IF(B503="","",IFERROR(INDEX('CLM &amp; IM Mapping'!$C$2:$C$270,MATCH(TRIM(B503),'CLM &amp; IM Mapping'!$A$2:$A$270,0)),"Not Mapped"))</f>
        <v>Arivind S</v>
      </c>
      <c r="E503" s="14" t="n">
        <v>0</v>
      </c>
      <c r="F503" s="14" t="n">
        <v>0</v>
      </c>
      <c r="G503" s="14" t="n">
        <v>0</v>
      </c>
      <c r="H503" s="14" t="n">
        <v>0</v>
      </c>
      <c r="I503" s="14" t="n">
        <v>0</v>
      </c>
      <c r="J503" s="14" t="n">
        <v>0</v>
      </c>
      <c r="K503" s="14" t="n">
        <v>0</v>
      </c>
      <c r="L503" s="14" t="n">
        <v>0</v>
      </c>
      <c r="M503" s="12"/>
      <c r="N503" s="11"/>
      <c r="O503" s="23"/>
      <c r="P503" s="23"/>
      <c r="Q503" s="23"/>
      <c r="R503" s="23"/>
      <c r="S503" s="23"/>
      <c r="T503" s="23"/>
      <c r="U503" s="23"/>
      <c r="V503" s="23"/>
      <c r="W503" s="23"/>
      <c r="X503" s="23"/>
      <c r="Y503" s="23"/>
      <c r="Z503" s="23"/>
    </row>
    <row r="504" customFormat="false" ht="15.75" hidden="false" customHeight="true" outlineLevel="0" collapsed="false">
      <c r="A504" s="52" t="n">
        <v>46305</v>
      </c>
      <c r="B504" s="14" t="s">
        <v>222</v>
      </c>
      <c r="C504" s="14" t="str">
        <f aca="false" t="array" ref="C504:C504">IF(B504="","",IFERROR(INDEX('CLM &amp; IM Mapping'!$B$2:$B$270,MATCH(TRIM(B504),'CLM &amp; IM Mapping'!$A$2:$A$270,0)),"Not Mapped"))</f>
        <v>Vishnu V</v>
      </c>
      <c r="D504" s="14" t="str">
        <f aca="false" t="array" ref="D504:D504">IF(B504="","",IFERROR(INDEX('CLM &amp; IM Mapping'!$C$2:$C$270,MATCH(TRIM(B504),'CLM &amp; IM Mapping'!$A$2:$A$270,0)),"Not Mapped"))</f>
        <v>Arivind S</v>
      </c>
      <c r="E504" s="14" t="n">
        <v>104</v>
      </c>
      <c r="F504" s="14" t="n">
        <v>1729</v>
      </c>
      <c r="G504" s="14" t="n">
        <v>34</v>
      </c>
      <c r="H504" s="14" t="n">
        <v>10</v>
      </c>
      <c r="I504" s="14" t="n">
        <v>0</v>
      </c>
      <c r="J504" s="14" t="n">
        <v>37</v>
      </c>
      <c r="K504" s="14" t="n">
        <v>1914</v>
      </c>
      <c r="L504" s="14" t="n">
        <v>67</v>
      </c>
      <c r="M504" s="12"/>
      <c r="N504" s="11"/>
      <c r="O504" s="23"/>
      <c r="P504" s="23"/>
      <c r="Q504" s="23"/>
      <c r="R504" s="23"/>
      <c r="S504" s="23"/>
      <c r="T504" s="23"/>
      <c r="U504" s="23"/>
      <c r="V504" s="23"/>
      <c r="W504" s="23"/>
      <c r="X504" s="23"/>
      <c r="Y504" s="23"/>
      <c r="Z504" s="23"/>
    </row>
    <row r="505" customFormat="false" ht="15.75" hidden="false" customHeight="true" outlineLevel="0" collapsed="false">
      <c r="A505" s="52" t="n">
        <v>46305</v>
      </c>
      <c r="B505" s="14" t="s">
        <v>38</v>
      </c>
      <c r="C505" s="14" t="str">
        <f aca="false" t="array" ref="C505:C505">IF(B505="","",IFERROR(INDEX('CLM &amp; IM Mapping'!$B$2:$B$270,MATCH(TRIM(B505),'CLM &amp; IM Mapping'!$A$2:$A$270,0)),"Not Mapped"))</f>
        <v>Vijay M</v>
      </c>
      <c r="D505" s="14" t="str">
        <f aca="false" t="array" ref="D505:D505">IF(B505="","",IFERROR(INDEX('CLM &amp; IM Mapping'!$C$2:$C$270,MATCH(TRIM(B505),'CLM &amp; IM Mapping'!$A$2:$A$270,0)),"Not Mapped"))</f>
        <v>Kantha Kumar</v>
      </c>
      <c r="E505" s="14" t="n">
        <v>0</v>
      </c>
      <c r="F505" s="14" t="n">
        <v>14</v>
      </c>
      <c r="G505" s="14" t="n">
        <v>0</v>
      </c>
      <c r="H505" s="14" t="n">
        <v>97</v>
      </c>
      <c r="I505" s="14" t="n">
        <v>1160</v>
      </c>
      <c r="J505" s="14" t="n">
        <v>5</v>
      </c>
      <c r="K505" s="14" t="n">
        <v>1276</v>
      </c>
      <c r="L505" s="14" t="n">
        <v>482</v>
      </c>
      <c r="M505" s="12"/>
      <c r="N505" s="11"/>
      <c r="O505" s="23"/>
      <c r="P505" s="23"/>
      <c r="Q505" s="23"/>
      <c r="R505" s="23"/>
      <c r="S505" s="23"/>
      <c r="T505" s="23"/>
      <c r="U505" s="23"/>
      <c r="V505" s="23"/>
      <c r="W505" s="23"/>
      <c r="X505" s="23"/>
      <c r="Y505" s="23"/>
      <c r="Z505" s="23"/>
    </row>
    <row r="506" customFormat="false" ht="15.75" hidden="false" customHeight="true" outlineLevel="0" collapsed="false">
      <c r="A506" s="52" t="n">
        <v>46305</v>
      </c>
      <c r="B506" s="14" t="s">
        <v>83</v>
      </c>
      <c r="C506" s="14" t="str">
        <f aca="false" t="array" ref="C506:C506">IF(B506="","",IFERROR(INDEX('CLM &amp; IM Mapping'!$B$2:$B$270,MATCH(TRIM(B506),'CLM &amp; IM Mapping'!$A$2:$A$270,0)),"Not Mapped"))</f>
        <v>Keshav G</v>
      </c>
      <c r="D506" s="14" t="str">
        <f aca="false" t="array" ref="D506:D506">IF(B506="","",IFERROR(INDEX('CLM &amp; IM Mapping'!$C$2:$C$270,MATCH(TRIM(B506),'CLM &amp; IM Mapping'!$A$2:$A$270,0)),"Not Mapped"))</f>
        <v>Mohammed Akbar</v>
      </c>
      <c r="E506" s="14" t="n">
        <v>16</v>
      </c>
      <c r="F506" s="14" t="n">
        <v>265</v>
      </c>
      <c r="G506" s="14" t="n">
        <v>262</v>
      </c>
      <c r="H506" s="14" t="n">
        <v>160</v>
      </c>
      <c r="I506" s="14" t="n">
        <v>134</v>
      </c>
      <c r="J506" s="14" t="n">
        <v>0</v>
      </c>
      <c r="K506" s="14" t="n">
        <v>837</v>
      </c>
      <c r="L506" s="14" t="n">
        <v>301</v>
      </c>
      <c r="M506" s="12"/>
      <c r="N506" s="11"/>
      <c r="O506" s="23"/>
      <c r="P506" s="23"/>
      <c r="Q506" s="23"/>
      <c r="R506" s="23"/>
      <c r="S506" s="23"/>
      <c r="T506" s="23"/>
      <c r="U506" s="23"/>
      <c r="V506" s="23"/>
      <c r="W506" s="23"/>
      <c r="X506" s="23"/>
      <c r="Y506" s="23"/>
      <c r="Z506" s="23"/>
    </row>
    <row r="507" customFormat="false" ht="15.75" hidden="false" customHeight="true" outlineLevel="0" collapsed="false">
      <c r="A507" s="52" t="n">
        <v>46305</v>
      </c>
      <c r="B507" s="14" t="s">
        <v>184</v>
      </c>
      <c r="C507" s="14" t="str">
        <f aca="false" t="array" ref="C507:C507">IF(B507="","",IFERROR(INDEX('CLM &amp; IM Mapping'!$B$2:$B$270,MATCH(TRIM(B507),'CLM &amp; IM Mapping'!$A$2:$A$270,0)),"Not Mapped"))</f>
        <v>Richard Harris</v>
      </c>
      <c r="D507" s="14" t="str">
        <f aca="false" t="array" ref="D507:D507">IF(B507="","",IFERROR(INDEX('CLM &amp; IM Mapping'!$C$2:$C$270,MATCH(TRIM(B507),'CLM &amp; IM Mapping'!$A$2:$A$270,0)),"Not Mapped"))</f>
        <v>Kantha Kumar</v>
      </c>
      <c r="E507" s="14" t="n">
        <v>0</v>
      </c>
      <c r="F507" s="14" t="n">
        <v>98</v>
      </c>
      <c r="G507" s="14" t="n">
        <v>0</v>
      </c>
      <c r="H507" s="14" t="n">
        <v>484</v>
      </c>
      <c r="I507" s="14" t="n">
        <v>131</v>
      </c>
      <c r="J507" s="14" t="n">
        <v>50</v>
      </c>
      <c r="K507" s="14" t="n">
        <v>763</v>
      </c>
      <c r="L507" s="14" t="n">
        <v>311</v>
      </c>
      <c r="M507" s="12"/>
      <c r="N507" s="11"/>
      <c r="O507" s="23"/>
      <c r="P507" s="23"/>
      <c r="Q507" s="23"/>
      <c r="R507" s="23"/>
      <c r="S507" s="23"/>
      <c r="T507" s="23"/>
      <c r="U507" s="23"/>
      <c r="V507" s="23"/>
      <c r="W507" s="23"/>
      <c r="X507" s="23"/>
      <c r="Y507" s="23"/>
      <c r="Z507" s="23"/>
    </row>
    <row r="508" customFormat="false" ht="15.75" hidden="false" customHeight="true" outlineLevel="0" collapsed="false">
      <c r="A508" s="52" t="n">
        <v>46305</v>
      </c>
      <c r="B508" s="14" t="s">
        <v>405</v>
      </c>
      <c r="C508" s="14" t="str">
        <f aca="false" t="array" ref="C508:C508">IF(B508="","",IFERROR(INDEX('CLM &amp; IM Mapping'!$B$2:$B$270,MATCH(TRIM(B508),'CLM &amp; IM Mapping'!$A$2:$A$270,0)),"Not Mapped"))</f>
        <v>Adhavan Subramani</v>
      </c>
      <c r="D508" s="14" t="str">
        <f aca="false" t="array" ref="D508:D508">IF(B508="","",IFERROR(INDEX('CLM &amp; IM Mapping'!$C$2:$C$270,MATCH(TRIM(B508),'CLM &amp; IM Mapping'!$A$2:$A$270,0)),"Not Mapped"))</f>
        <v>Mohammed Akbar</v>
      </c>
      <c r="E508" s="14" t="n">
        <v>60</v>
      </c>
      <c r="F508" s="14" t="n">
        <v>89</v>
      </c>
      <c r="G508" s="14" t="n">
        <v>0</v>
      </c>
      <c r="H508" s="14" t="n">
        <v>132</v>
      </c>
      <c r="I508" s="14" t="n">
        <v>168</v>
      </c>
      <c r="J508" s="14" t="n">
        <v>152</v>
      </c>
      <c r="K508" s="14" t="n">
        <v>601</v>
      </c>
      <c r="L508" s="14" t="n">
        <v>338</v>
      </c>
      <c r="M508" s="12"/>
      <c r="N508" s="11"/>
      <c r="O508" s="23"/>
      <c r="P508" s="23"/>
      <c r="Q508" s="23"/>
      <c r="R508" s="23"/>
      <c r="S508" s="23"/>
      <c r="T508" s="23"/>
      <c r="U508" s="23"/>
      <c r="V508" s="23"/>
      <c r="W508" s="23"/>
      <c r="X508" s="23"/>
      <c r="Y508" s="23"/>
      <c r="Z508" s="23"/>
    </row>
    <row r="509" customFormat="false" ht="15.75" hidden="false" customHeight="true" outlineLevel="0" collapsed="false">
      <c r="A509" s="52" t="n">
        <v>46305</v>
      </c>
      <c r="B509" s="14" t="s">
        <v>254</v>
      </c>
      <c r="C509" s="14" t="str">
        <f aca="false" t="array" ref="C509:C509">IF(B509="","",IFERROR(INDEX('CLM &amp; IM Mapping'!$B$2:$B$270,MATCH(TRIM(B509),'CLM &amp; IM Mapping'!$A$2:$A$270,0)),"Not Mapped"))</f>
        <v>Basil Scariya</v>
      </c>
      <c r="D509" s="14" t="str">
        <f aca="false" t="array" ref="D509:D509">IF(B509="","",IFERROR(INDEX('CLM &amp; IM Mapping'!$C$2:$C$270,MATCH(TRIM(B509),'CLM &amp; IM Mapping'!$A$2:$A$270,0)),"Not Mapped"))</f>
        <v>Prakash BS</v>
      </c>
      <c r="E509" s="14" t="n">
        <v>12</v>
      </c>
      <c r="F509" s="14" t="n">
        <v>337</v>
      </c>
      <c r="G509" s="14" t="n">
        <v>6</v>
      </c>
      <c r="H509" s="14" t="n">
        <v>10</v>
      </c>
      <c r="I509" s="14" t="n">
        <v>25</v>
      </c>
      <c r="J509" s="14" t="n">
        <v>141</v>
      </c>
      <c r="K509" s="14" t="n">
        <v>531</v>
      </c>
      <c r="L509" s="14" t="n">
        <v>257</v>
      </c>
      <c r="M509" s="12"/>
      <c r="N509" s="11"/>
      <c r="O509" s="23"/>
      <c r="P509" s="23"/>
      <c r="Q509" s="23"/>
      <c r="R509" s="23"/>
      <c r="S509" s="23"/>
      <c r="T509" s="23"/>
      <c r="U509" s="23"/>
      <c r="V509" s="23"/>
      <c r="W509" s="23"/>
      <c r="X509" s="23"/>
      <c r="Y509" s="23"/>
      <c r="Z509" s="23"/>
    </row>
    <row r="510" customFormat="false" ht="15.75" hidden="false" customHeight="true" outlineLevel="0" collapsed="false">
      <c r="A510" s="52" t="n">
        <v>46305</v>
      </c>
      <c r="B510" s="14" t="s">
        <v>59</v>
      </c>
      <c r="C510" s="14" t="str">
        <f aca="false" t="array" ref="C510:C510">IF(B510="","",IFERROR(INDEX('CLM &amp; IM Mapping'!$B$2:$B$270,MATCH(TRIM(B510),'CLM &amp; IM Mapping'!$A$2:$A$270,0)),"Not Mapped"))</f>
        <v>Saddam Hussain</v>
      </c>
      <c r="D510" s="14" t="str">
        <f aca="false" t="array" ref="D510:D510">IF(B510="","",IFERROR(INDEX('CLM &amp; IM Mapping'!$C$2:$C$270,MATCH(TRIM(B510),'CLM &amp; IM Mapping'!$A$2:$A$270,0)),"Not Mapped"))</f>
        <v>Un Mapped</v>
      </c>
      <c r="E510" s="14" t="n">
        <v>0</v>
      </c>
      <c r="F510" s="14" t="n">
        <v>68</v>
      </c>
      <c r="G510" s="14" t="n">
        <v>22</v>
      </c>
      <c r="H510" s="14" t="n">
        <v>26</v>
      </c>
      <c r="I510" s="14" t="n">
        <v>374</v>
      </c>
      <c r="J510" s="14" t="n">
        <v>16</v>
      </c>
      <c r="K510" s="14" t="n">
        <v>506</v>
      </c>
      <c r="L510" s="14" t="n">
        <v>324</v>
      </c>
      <c r="M510" s="12"/>
      <c r="N510" s="11"/>
      <c r="O510" s="23"/>
      <c r="P510" s="23"/>
      <c r="Q510" s="23"/>
      <c r="R510" s="23"/>
      <c r="S510" s="23"/>
      <c r="T510" s="23"/>
      <c r="U510" s="23"/>
      <c r="V510" s="23"/>
      <c r="W510" s="23"/>
      <c r="X510" s="23"/>
      <c r="Y510" s="23"/>
      <c r="Z510" s="23"/>
    </row>
    <row r="511" customFormat="false" ht="15.75" hidden="false" customHeight="true" outlineLevel="0" collapsed="false">
      <c r="A511" s="52" t="n">
        <v>46305</v>
      </c>
      <c r="B511" s="14" t="s">
        <v>505</v>
      </c>
      <c r="C511" s="14" t="str">
        <f aca="false" t="array" ref="C511:C511">IF(B511="","",IFERROR(INDEX('CLM &amp; IM Mapping'!$B$2:$B$270,MATCH(TRIM(B511),'CLM &amp; IM Mapping'!$A$2:$A$270,0)),"Not Mapped"))</f>
        <v>Basil Scariya</v>
      </c>
      <c r="D511" s="14" t="str">
        <f aca="false" t="array" ref="D511:D511">IF(B511="","",IFERROR(INDEX('CLM &amp; IM Mapping'!$C$2:$C$270,MATCH(TRIM(B511),'CLM &amp; IM Mapping'!$A$2:$A$270,0)),"Not Mapped"))</f>
        <v>Prakash BS</v>
      </c>
      <c r="E511" s="14" t="n">
        <v>3</v>
      </c>
      <c r="F511" s="14" t="n">
        <v>79</v>
      </c>
      <c r="G511" s="14" t="n">
        <v>3</v>
      </c>
      <c r="H511" s="14" t="n">
        <v>162</v>
      </c>
      <c r="I511" s="14" t="n">
        <v>144</v>
      </c>
      <c r="J511" s="14" t="n">
        <v>15</v>
      </c>
      <c r="K511" s="14" t="n">
        <v>406</v>
      </c>
      <c r="L511" s="14" t="n">
        <v>388</v>
      </c>
      <c r="M511" s="12"/>
      <c r="N511" s="11"/>
      <c r="O511" s="23"/>
      <c r="P511" s="23"/>
      <c r="Q511" s="23"/>
      <c r="R511" s="23"/>
      <c r="S511" s="23"/>
      <c r="T511" s="23"/>
      <c r="U511" s="23"/>
      <c r="V511" s="23"/>
      <c r="W511" s="23"/>
      <c r="X511" s="23"/>
      <c r="Y511" s="23"/>
      <c r="Z511" s="23"/>
    </row>
    <row r="512" customFormat="false" ht="15.75" hidden="false" customHeight="true" outlineLevel="0" collapsed="false">
      <c r="A512" s="52" t="n">
        <v>46305</v>
      </c>
      <c r="B512" s="14" t="s">
        <v>496</v>
      </c>
      <c r="C512" s="14" t="str">
        <f aca="false" t="array" ref="C512:C512">IF(B512="","",IFERROR(INDEX('CLM &amp; IM Mapping'!$B$2:$B$270,MATCH(TRIM(B512),'CLM &amp; IM Mapping'!$A$2:$A$270,0)),"Not Mapped"))</f>
        <v>Keshav G</v>
      </c>
      <c r="D512" s="14" t="str">
        <f aca="false" t="array" ref="D512:D512">IF(B512="","",IFERROR(INDEX('CLM &amp; IM Mapping'!$C$2:$C$270,MATCH(TRIM(B512),'CLM &amp; IM Mapping'!$A$2:$A$270,0)),"Not Mapped"))</f>
        <v>Un Mapped</v>
      </c>
      <c r="E512" s="14" t="n">
        <v>17</v>
      </c>
      <c r="F512" s="14" t="n">
        <v>137</v>
      </c>
      <c r="G512" s="14" t="n">
        <v>32</v>
      </c>
      <c r="H512" s="14" t="n">
        <v>148</v>
      </c>
      <c r="I512" s="14" t="n">
        <v>49</v>
      </c>
      <c r="J512" s="14" t="n">
        <v>0</v>
      </c>
      <c r="K512" s="14" t="n">
        <v>383</v>
      </c>
      <c r="L512" s="14" t="n">
        <v>167</v>
      </c>
      <c r="M512" s="12"/>
      <c r="N512" s="11"/>
      <c r="O512" s="23"/>
      <c r="P512" s="23"/>
      <c r="Q512" s="23"/>
      <c r="R512" s="23"/>
      <c r="S512" s="23"/>
      <c r="T512" s="23"/>
      <c r="U512" s="23"/>
      <c r="V512" s="23"/>
      <c r="W512" s="23"/>
      <c r="X512" s="23"/>
      <c r="Y512" s="23"/>
      <c r="Z512" s="23"/>
    </row>
    <row r="513" customFormat="false" ht="15.75" hidden="false" customHeight="true" outlineLevel="0" collapsed="false">
      <c r="A513" s="52" t="n">
        <v>46305</v>
      </c>
      <c r="B513" s="14" t="s">
        <v>384</v>
      </c>
      <c r="C513" s="14" t="str">
        <f aca="false" t="array" ref="C513:C513">IF(B513="","",IFERROR(INDEX('CLM &amp; IM Mapping'!$B$2:$B$270,MATCH(TRIM(B513),'CLM &amp; IM Mapping'!$A$2:$A$270,0)),"Not Mapped"))</f>
        <v>Saddam Hussain</v>
      </c>
      <c r="D513" s="14" t="str">
        <f aca="false" t="array" ref="D513:D513">IF(B513="","",IFERROR(INDEX('CLM &amp; IM Mapping'!$C$2:$C$270,MATCH(TRIM(B513),'CLM &amp; IM Mapping'!$A$2:$A$270,0)),"Not Mapped"))</f>
        <v>Un Mapped</v>
      </c>
      <c r="E513" s="14" t="n">
        <v>87</v>
      </c>
      <c r="F513" s="14" t="n">
        <v>203</v>
      </c>
      <c r="G513" s="14" t="n">
        <v>18</v>
      </c>
      <c r="H513" s="14" t="n">
        <v>0</v>
      </c>
      <c r="I513" s="14" t="n">
        <v>25</v>
      </c>
      <c r="J513" s="14" t="n">
        <v>19</v>
      </c>
      <c r="K513" s="14" t="n">
        <v>352</v>
      </c>
      <c r="L513" s="14" t="n">
        <v>231</v>
      </c>
      <c r="M513" s="12"/>
      <c r="N513" s="11"/>
      <c r="O513" s="23"/>
      <c r="P513" s="23"/>
      <c r="Q513" s="23"/>
      <c r="R513" s="23"/>
      <c r="S513" s="23"/>
      <c r="T513" s="23"/>
      <c r="U513" s="23"/>
      <c r="V513" s="23"/>
      <c r="W513" s="23"/>
      <c r="X513" s="23"/>
      <c r="Y513" s="23"/>
      <c r="Z513" s="23"/>
    </row>
    <row r="514" customFormat="false" ht="15.75" hidden="false" customHeight="true" outlineLevel="0" collapsed="false">
      <c r="A514" s="52" t="n">
        <v>46305</v>
      </c>
      <c r="B514" s="14" t="s">
        <v>70</v>
      </c>
      <c r="C514" s="14" t="str">
        <f aca="false" t="array" ref="C514:C514">IF(B514="","",IFERROR(INDEX('CLM &amp; IM Mapping'!$B$2:$B$270,MATCH(TRIM(B514),'CLM &amp; IM Mapping'!$A$2:$A$270,0)),"Not Mapped"))</f>
        <v>Rizwan Ahmed</v>
      </c>
      <c r="D514" s="14" t="str">
        <f aca="false" t="array" ref="D514:D514">IF(B514="","",IFERROR(INDEX('CLM &amp; IM Mapping'!$C$2:$C$270,MATCH(TRIM(B514),'CLM &amp; IM Mapping'!$A$2:$A$270,0)),"Not Mapped"))</f>
        <v>Un Mapped</v>
      </c>
      <c r="E514" s="14" t="n">
        <v>0</v>
      </c>
      <c r="F514" s="14" t="n">
        <v>63</v>
      </c>
      <c r="G514" s="14" t="n">
        <v>0</v>
      </c>
      <c r="H514" s="14" t="n">
        <v>194</v>
      </c>
      <c r="I514" s="14" t="n">
        <v>70</v>
      </c>
      <c r="J514" s="14" t="n">
        <v>22</v>
      </c>
      <c r="K514" s="14" t="n">
        <v>349</v>
      </c>
      <c r="L514" s="14" t="n">
        <v>194</v>
      </c>
      <c r="M514" s="12"/>
      <c r="N514" s="11"/>
      <c r="O514" s="23"/>
      <c r="P514" s="23"/>
      <c r="Q514" s="23"/>
      <c r="R514" s="23"/>
      <c r="S514" s="23"/>
      <c r="T514" s="23"/>
      <c r="U514" s="23"/>
      <c r="V514" s="23"/>
      <c r="W514" s="23"/>
      <c r="X514" s="23"/>
      <c r="Y514" s="23"/>
      <c r="Z514" s="23"/>
    </row>
    <row r="515" customFormat="false" ht="15.75" hidden="false" customHeight="true" outlineLevel="0" collapsed="false">
      <c r="A515" s="52" t="n">
        <v>46305</v>
      </c>
      <c r="B515" s="14" t="s">
        <v>265</v>
      </c>
      <c r="C515" s="14" t="str">
        <f aca="false" t="array" ref="C515:C515">IF(B515="","",IFERROR(INDEX('CLM &amp; IM Mapping'!$B$2:$B$270,MATCH(TRIM(B515),'CLM &amp; IM Mapping'!$A$2:$A$270,0)),"Not Mapped"))</f>
        <v>Adhavan Subramani</v>
      </c>
      <c r="D515" s="14" t="str">
        <f aca="false" t="array" ref="D515:D515">IF(B515="","",IFERROR(INDEX('CLM &amp; IM Mapping'!$C$2:$C$270,MATCH(TRIM(B515),'CLM &amp; IM Mapping'!$A$2:$A$270,0)),"Not Mapped"))</f>
        <v>Mohammed Akbar</v>
      </c>
      <c r="E515" s="14" t="n">
        <v>0</v>
      </c>
      <c r="F515" s="14" t="n">
        <v>32</v>
      </c>
      <c r="G515" s="14" t="n">
        <v>6</v>
      </c>
      <c r="H515" s="14" t="n">
        <v>245</v>
      </c>
      <c r="I515" s="14" t="n">
        <v>35</v>
      </c>
      <c r="J515" s="14" t="n">
        <v>29</v>
      </c>
      <c r="K515" s="14" t="n">
        <v>347</v>
      </c>
      <c r="L515" s="14" t="n">
        <v>248</v>
      </c>
      <c r="M515" s="12"/>
      <c r="N515" s="11"/>
      <c r="O515" s="23"/>
      <c r="P515" s="23"/>
      <c r="Q515" s="23"/>
      <c r="R515" s="23"/>
      <c r="S515" s="23"/>
      <c r="T515" s="23"/>
      <c r="U515" s="23"/>
      <c r="V515" s="23"/>
      <c r="W515" s="23"/>
      <c r="X515" s="23"/>
      <c r="Y515" s="23"/>
      <c r="Z515" s="23"/>
    </row>
    <row r="516" customFormat="false" ht="15.75" hidden="false" customHeight="true" outlineLevel="0" collapsed="false">
      <c r="A516" s="52" t="n">
        <v>46305</v>
      </c>
      <c r="B516" s="14" t="s">
        <v>378</v>
      </c>
      <c r="C516" s="14" t="str">
        <f aca="false" t="array" ref="C516:C516">IF(B516="","",IFERROR(INDEX('CLM &amp; IM Mapping'!$B$2:$B$270,MATCH(TRIM(B516),'CLM &amp; IM Mapping'!$A$2:$A$270,0)),"Not Mapped"))</f>
        <v>Vishnu V</v>
      </c>
      <c r="D516" s="14" t="str">
        <f aca="false" t="array" ref="D516:D516">IF(B516="","",IFERROR(INDEX('CLM &amp; IM Mapping'!$C$2:$C$270,MATCH(TRIM(B516),'CLM &amp; IM Mapping'!$A$2:$A$270,0)),"Not Mapped"))</f>
        <v>Arivind S</v>
      </c>
      <c r="E516" s="14" t="n">
        <v>0</v>
      </c>
      <c r="F516" s="14" t="n">
        <v>342</v>
      </c>
      <c r="G516" s="14" t="n">
        <v>1</v>
      </c>
      <c r="H516" s="14" t="n">
        <v>1</v>
      </c>
      <c r="I516" s="14" t="n">
        <v>0</v>
      </c>
      <c r="J516" s="14" t="n">
        <v>0</v>
      </c>
      <c r="K516" s="14" t="n">
        <v>344</v>
      </c>
      <c r="L516" s="14" t="n">
        <v>344</v>
      </c>
      <c r="M516" s="12"/>
      <c r="N516" s="11"/>
      <c r="O516" s="23"/>
      <c r="P516" s="23"/>
      <c r="Q516" s="23"/>
      <c r="R516" s="23"/>
      <c r="S516" s="23"/>
      <c r="T516" s="23"/>
      <c r="U516" s="23"/>
      <c r="V516" s="23"/>
      <c r="W516" s="23"/>
      <c r="X516" s="23"/>
      <c r="Y516" s="23"/>
      <c r="Z516" s="23"/>
    </row>
    <row r="517" customFormat="false" ht="15.75" hidden="false" customHeight="true" outlineLevel="0" collapsed="false">
      <c r="A517" s="52" t="n">
        <v>46305</v>
      </c>
      <c r="B517" s="14" t="s">
        <v>521</v>
      </c>
      <c r="C517" s="14" t="str">
        <f aca="false" t="array" ref="C517:C517">IF(B517="","",IFERROR(INDEX('CLM &amp; IM Mapping'!$B$2:$B$270,MATCH(TRIM(B517),'CLM &amp; IM Mapping'!$A$2:$A$270,0)),"Not Mapped"))</f>
        <v>Mohaideen DH</v>
      </c>
      <c r="D517" s="14" t="str">
        <f aca="false" t="array" ref="D517:D517">IF(B517="","",IFERROR(INDEX('CLM &amp; IM Mapping'!$C$2:$C$270,MATCH(TRIM(B517),'CLM &amp; IM Mapping'!$A$2:$A$270,0)),"Not Mapped"))</f>
        <v>Mohammed Akbar</v>
      </c>
      <c r="E517" s="14" t="n">
        <v>33</v>
      </c>
      <c r="F517" s="14" t="n">
        <v>160</v>
      </c>
      <c r="G517" s="14" t="n">
        <v>59</v>
      </c>
      <c r="H517" s="14" t="n">
        <v>0</v>
      </c>
      <c r="I517" s="14" t="n">
        <v>2</v>
      </c>
      <c r="J517" s="14" t="n">
        <v>80</v>
      </c>
      <c r="K517" s="14" t="n">
        <v>334</v>
      </c>
      <c r="L517" s="14" t="n">
        <v>334</v>
      </c>
      <c r="M517" s="12"/>
      <c r="N517" s="11"/>
      <c r="O517" s="23"/>
      <c r="P517" s="23"/>
      <c r="Q517" s="23"/>
      <c r="R517" s="23"/>
      <c r="S517" s="23"/>
      <c r="T517" s="23"/>
      <c r="U517" s="23"/>
      <c r="V517" s="23"/>
      <c r="W517" s="23"/>
      <c r="X517" s="23"/>
      <c r="Y517" s="23"/>
      <c r="Z517" s="23"/>
    </row>
    <row r="518" customFormat="false" ht="15.75" hidden="false" customHeight="true" outlineLevel="0" collapsed="false">
      <c r="A518" s="52" t="n">
        <v>46305</v>
      </c>
      <c r="B518" s="14" t="s">
        <v>186</v>
      </c>
      <c r="C518" s="14" t="str">
        <f aca="false" t="array" ref="C518:C518">IF(B518="","",IFERROR(INDEX('CLM &amp; IM Mapping'!$B$2:$B$270,MATCH(TRIM(B518),'CLM &amp; IM Mapping'!$A$2:$A$270,0)),"Not Mapped"))</f>
        <v>Silambarasan E</v>
      </c>
      <c r="D518" s="14" t="str">
        <f aca="false" t="array" ref="D518:D518">IF(B518="","",IFERROR(INDEX('CLM &amp; IM Mapping'!$C$2:$C$270,MATCH(TRIM(B518),'CLM &amp; IM Mapping'!$A$2:$A$270,0)),"Not Mapped"))</f>
        <v>Arivind S</v>
      </c>
      <c r="E518" s="14" t="n">
        <v>0</v>
      </c>
      <c r="F518" s="14" t="n">
        <v>135</v>
      </c>
      <c r="G518" s="14" t="n">
        <v>3</v>
      </c>
      <c r="H518" s="14" t="n">
        <v>116</v>
      </c>
      <c r="I518" s="14" t="n">
        <v>63</v>
      </c>
      <c r="J518" s="14" t="n">
        <v>11</v>
      </c>
      <c r="K518" s="14" t="n">
        <v>328</v>
      </c>
      <c r="L518" s="14" t="n">
        <v>227</v>
      </c>
      <c r="M518" s="12"/>
      <c r="N518" s="11"/>
      <c r="O518" s="23"/>
      <c r="P518" s="23"/>
      <c r="Q518" s="23"/>
      <c r="R518" s="23"/>
      <c r="S518" s="23"/>
      <c r="T518" s="23"/>
      <c r="U518" s="23"/>
      <c r="V518" s="23"/>
      <c r="W518" s="23"/>
      <c r="X518" s="23"/>
      <c r="Y518" s="23"/>
      <c r="Z518" s="23"/>
    </row>
    <row r="519" customFormat="false" ht="15.75" hidden="false" customHeight="true" outlineLevel="0" collapsed="false">
      <c r="A519" s="52" t="n">
        <v>46305</v>
      </c>
      <c r="B519" s="14" t="s">
        <v>150</v>
      </c>
      <c r="C519" s="14" t="str">
        <f aca="false" t="array" ref="C519:C519">IF(B519="","",IFERROR(INDEX('CLM &amp; IM Mapping'!$B$2:$B$270,MATCH(TRIM(B519),'CLM &amp; IM Mapping'!$A$2:$A$270,0)),"Not Mapped"))</f>
        <v>Akshay P</v>
      </c>
      <c r="D519" s="14" t="str">
        <f aca="false" t="array" ref="D519:D519">IF(B519="","",IFERROR(INDEX('CLM &amp; IM Mapping'!$C$2:$C$270,MATCH(TRIM(B519),'CLM &amp; IM Mapping'!$A$2:$A$270,0)),"Not Mapped"))</f>
        <v>Srittam Dhal</v>
      </c>
      <c r="E519" s="14" t="n">
        <v>1</v>
      </c>
      <c r="F519" s="14" t="n">
        <v>39</v>
      </c>
      <c r="G519" s="14" t="n">
        <v>0</v>
      </c>
      <c r="H519" s="14" t="n">
        <v>96</v>
      </c>
      <c r="I519" s="14" t="n">
        <v>149</v>
      </c>
      <c r="J519" s="14" t="n">
        <v>23</v>
      </c>
      <c r="K519" s="14" t="n">
        <v>308</v>
      </c>
      <c r="L519" s="14" t="n">
        <v>157</v>
      </c>
      <c r="M519" s="12"/>
      <c r="N519" s="11"/>
      <c r="O519" s="23"/>
      <c r="P519" s="23"/>
      <c r="Q519" s="23"/>
      <c r="R519" s="23"/>
      <c r="S519" s="23"/>
      <c r="T519" s="23"/>
      <c r="U519" s="23"/>
      <c r="V519" s="23"/>
      <c r="W519" s="23"/>
      <c r="X519" s="23"/>
      <c r="Y519" s="23"/>
      <c r="Z519" s="23"/>
    </row>
    <row r="520" customFormat="false" ht="15.75" hidden="false" customHeight="true" outlineLevel="0" collapsed="false">
      <c r="A520" s="52" t="n">
        <v>46305</v>
      </c>
      <c r="B520" s="14" t="s">
        <v>123</v>
      </c>
      <c r="C520" s="14" t="str">
        <f aca="false" t="array" ref="C520:C520">IF(B520="","",IFERROR(INDEX('CLM &amp; IM Mapping'!$B$2:$B$270,MATCH(TRIM(B520),'CLM &amp; IM Mapping'!$A$2:$A$270,0)),"Not Mapped"))</f>
        <v>Silambarasan E</v>
      </c>
      <c r="D520" s="14" t="str">
        <f aca="false" t="array" ref="D520:D520">IF(B520="","",IFERROR(INDEX('CLM &amp; IM Mapping'!$C$2:$C$270,MATCH(TRIM(B520),'CLM &amp; IM Mapping'!$A$2:$A$270,0)),"Not Mapped"))</f>
        <v>Arivind S</v>
      </c>
      <c r="E520" s="14" t="n">
        <v>38</v>
      </c>
      <c r="F520" s="14" t="n">
        <v>76</v>
      </c>
      <c r="G520" s="14" t="n">
        <v>2</v>
      </c>
      <c r="H520" s="14" t="n">
        <v>69</v>
      </c>
      <c r="I520" s="14" t="n">
        <v>51</v>
      </c>
      <c r="J520" s="14" t="n">
        <v>71</v>
      </c>
      <c r="K520" s="14" t="n">
        <v>307</v>
      </c>
      <c r="L520" s="14" t="n">
        <v>307</v>
      </c>
      <c r="M520" s="12"/>
      <c r="N520" s="11"/>
      <c r="O520" s="23"/>
      <c r="P520" s="23"/>
      <c r="Q520" s="23"/>
      <c r="R520" s="23"/>
      <c r="S520" s="23"/>
      <c r="T520" s="23"/>
      <c r="U520" s="23"/>
      <c r="V520" s="23"/>
      <c r="W520" s="23"/>
      <c r="X520" s="23"/>
      <c r="Y520" s="23"/>
      <c r="Z520" s="23"/>
    </row>
    <row r="521" customFormat="false" ht="15.75" hidden="false" customHeight="true" outlineLevel="0" collapsed="false">
      <c r="A521" s="52" t="n">
        <v>46305</v>
      </c>
      <c r="B521" s="14" t="s">
        <v>512</v>
      </c>
      <c r="C521" s="14" t="str">
        <f aca="false" t="array" ref="C521:C521">IF(B521="","",IFERROR(INDEX('CLM &amp; IM Mapping'!$B$2:$B$270,MATCH(TRIM(B521),'CLM &amp; IM Mapping'!$A$2:$A$270,0)),"Not Mapped"))</f>
        <v>Saddam Hussain</v>
      </c>
      <c r="D521" s="14" t="str">
        <f aca="false" t="array" ref="D521:D521">IF(B521="","",IFERROR(INDEX('CLM &amp; IM Mapping'!$C$2:$C$270,MATCH(TRIM(B521),'CLM &amp; IM Mapping'!$A$2:$A$270,0)),"Not Mapped"))</f>
        <v>Un Mapped</v>
      </c>
      <c r="E521" s="14" t="n">
        <v>0</v>
      </c>
      <c r="F521" s="14" t="n">
        <v>64</v>
      </c>
      <c r="G521" s="14" t="n">
        <v>5</v>
      </c>
      <c r="H521" s="14" t="n">
        <v>125</v>
      </c>
      <c r="I521" s="14" t="n">
        <v>90</v>
      </c>
      <c r="J521" s="14" t="n">
        <v>16</v>
      </c>
      <c r="K521" s="14" t="n">
        <v>300</v>
      </c>
      <c r="L521" s="14" t="n">
        <v>236</v>
      </c>
      <c r="M521" s="12"/>
      <c r="N521" s="11"/>
      <c r="O521" s="23"/>
      <c r="P521" s="23"/>
      <c r="Q521" s="23"/>
      <c r="R521" s="23"/>
      <c r="S521" s="23"/>
      <c r="T521" s="23"/>
      <c r="U521" s="23"/>
      <c r="V521" s="23"/>
      <c r="W521" s="23"/>
      <c r="X521" s="23"/>
      <c r="Y521" s="23"/>
      <c r="Z521" s="23"/>
    </row>
    <row r="522" customFormat="false" ht="15.75" hidden="false" customHeight="true" outlineLevel="0" collapsed="false">
      <c r="A522" s="52" t="n">
        <v>46305</v>
      </c>
      <c r="B522" s="14" t="s">
        <v>213</v>
      </c>
      <c r="C522" s="14" t="str">
        <f aca="false" t="array" ref="C522:C522">IF(B522="","",IFERROR(INDEX('CLM &amp; IM Mapping'!$B$2:$B$270,MATCH(TRIM(B522),'CLM &amp; IM Mapping'!$A$2:$A$270,0)),"Not Mapped"))</f>
        <v>Bangareppa CS</v>
      </c>
      <c r="D522" s="14" t="str">
        <f aca="false" t="array" ref="D522:D522">IF(B522="","",IFERROR(INDEX('CLM &amp; IM Mapping'!$C$2:$C$270,MATCH(TRIM(B522),'CLM &amp; IM Mapping'!$A$2:$A$270,0)),"Not Mapped"))</f>
        <v>Kishor K</v>
      </c>
      <c r="E522" s="14" t="n">
        <v>4</v>
      </c>
      <c r="F522" s="14" t="n">
        <v>185</v>
      </c>
      <c r="G522" s="14" t="n">
        <v>0</v>
      </c>
      <c r="H522" s="14" t="n">
        <v>1</v>
      </c>
      <c r="I522" s="14" t="n">
        <v>80</v>
      </c>
      <c r="J522" s="14" t="n">
        <v>27</v>
      </c>
      <c r="K522" s="14" t="n">
        <v>297</v>
      </c>
      <c r="L522" s="14" t="n">
        <v>111</v>
      </c>
      <c r="M522" s="12"/>
      <c r="N522" s="11"/>
      <c r="O522" s="23"/>
      <c r="P522" s="23"/>
      <c r="Q522" s="23"/>
      <c r="R522" s="23"/>
      <c r="S522" s="23"/>
      <c r="T522" s="23"/>
      <c r="U522" s="23"/>
      <c r="V522" s="23"/>
      <c r="W522" s="23"/>
      <c r="X522" s="23"/>
      <c r="Y522" s="23"/>
      <c r="Z522" s="23"/>
    </row>
    <row r="523" customFormat="false" ht="15.75" hidden="false" customHeight="true" outlineLevel="0" collapsed="false">
      <c r="A523" s="52" t="n">
        <v>46305</v>
      </c>
      <c r="B523" s="14" t="s">
        <v>144</v>
      </c>
      <c r="C523" s="14" t="str">
        <f aca="false" t="array" ref="C523:C523">IF(B523="","",IFERROR(INDEX('CLM &amp; IM Mapping'!$B$2:$B$270,MATCH(TRIM(B523),'CLM &amp; IM Mapping'!$A$2:$A$270,0)),"Not Mapped"))</f>
        <v>Mohaideen DH</v>
      </c>
      <c r="D523" s="14" t="str">
        <f aca="false" t="array" ref="D523:D523">IF(B523="","",IFERROR(INDEX('CLM &amp; IM Mapping'!$C$2:$C$270,MATCH(TRIM(B523),'CLM &amp; IM Mapping'!$A$2:$A$270,0)),"Not Mapped"))</f>
        <v>Mohammed Akbar</v>
      </c>
      <c r="E523" s="14" t="n">
        <v>0</v>
      </c>
      <c r="F523" s="14" t="n">
        <v>1</v>
      </c>
      <c r="G523" s="14" t="n">
        <v>0</v>
      </c>
      <c r="H523" s="14" t="n">
        <v>215</v>
      </c>
      <c r="I523" s="14" t="n">
        <v>38</v>
      </c>
      <c r="J523" s="14" t="n">
        <v>34</v>
      </c>
      <c r="K523" s="14" t="n">
        <v>288</v>
      </c>
      <c r="L523" s="14" t="n">
        <v>106</v>
      </c>
      <c r="M523" s="12"/>
      <c r="N523" s="11"/>
      <c r="O523" s="23"/>
      <c r="P523" s="23"/>
      <c r="Q523" s="23"/>
      <c r="R523" s="23"/>
      <c r="S523" s="23"/>
      <c r="T523" s="23"/>
      <c r="U523" s="23"/>
      <c r="V523" s="23"/>
      <c r="W523" s="23"/>
      <c r="X523" s="23"/>
      <c r="Y523" s="23"/>
      <c r="Z523" s="23"/>
    </row>
    <row r="524" customFormat="false" ht="15.75" hidden="false" customHeight="true" outlineLevel="0" collapsed="false">
      <c r="A524" s="52" t="n">
        <v>46305</v>
      </c>
      <c r="B524" s="14" t="s">
        <v>165</v>
      </c>
      <c r="C524" s="14" t="str">
        <f aca="false" t="array" ref="C524:C524">IF(B524="","",IFERROR(INDEX('CLM &amp; IM Mapping'!$B$2:$B$270,MATCH(TRIM(B524),'CLM &amp; IM Mapping'!$A$2:$A$270,0)),"Not Mapped"))</f>
        <v>Akshay P</v>
      </c>
      <c r="D524" s="14" t="str">
        <f aca="false" t="array" ref="D524:D524">IF(B524="","",IFERROR(INDEX('CLM &amp; IM Mapping'!$C$2:$C$270,MATCH(TRIM(B524),'CLM &amp; IM Mapping'!$A$2:$A$270,0)),"Not Mapped"))</f>
        <v>Srittam Dhal</v>
      </c>
      <c r="E524" s="14" t="n">
        <v>0</v>
      </c>
      <c r="F524" s="14" t="n">
        <v>56</v>
      </c>
      <c r="G524" s="14" t="n">
        <v>0</v>
      </c>
      <c r="H524" s="14" t="n">
        <v>147</v>
      </c>
      <c r="I524" s="14" t="n">
        <v>35</v>
      </c>
      <c r="J524" s="14" t="n">
        <v>46</v>
      </c>
      <c r="K524" s="14" t="n">
        <v>284</v>
      </c>
      <c r="L524" s="14" t="n">
        <v>218</v>
      </c>
      <c r="M524" s="12"/>
      <c r="N524" s="11"/>
      <c r="O524" s="23"/>
      <c r="P524" s="23"/>
      <c r="Q524" s="23"/>
      <c r="R524" s="23"/>
      <c r="S524" s="23"/>
      <c r="T524" s="23"/>
      <c r="U524" s="23"/>
      <c r="V524" s="23"/>
      <c r="W524" s="23"/>
      <c r="X524" s="23"/>
      <c r="Y524" s="23"/>
      <c r="Z524" s="23"/>
    </row>
    <row r="525" customFormat="false" ht="15.75" hidden="false" customHeight="true" outlineLevel="0" collapsed="false">
      <c r="A525" s="52" t="n">
        <v>46305</v>
      </c>
      <c r="B525" s="14" t="s">
        <v>80</v>
      </c>
      <c r="C525" s="14" t="str">
        <f aca="false" t="array" ref="C525:C525">IF(B525="","",IFERROR(INDEX('CLM &amp; IM Mapping'!$B$2:$B$270,MATCH(TRIM(B525),'CLM &amp; IM Mapping'!$A$2:$A$270,0)),"Not Mapped"))</f>
        <v>Sundaresh S</v>
      </c>
      <c r="D525" s="14" t="str">
        <f aca="false" t="array" ref="D525:D525">IF(B525="","",IFERROR(INDEX('CLM &amp; IM Mapping'!$C$2:$C$270,MATCH(TRIM(B525),'CLM &amp; IM Mapping'!$A$2:$A$270,0)),"Not Mapped"))</f>
        <v>Un Mapped</v>
      </c>
      <c r="E525" s="14" t="n">
        <v>24</v>
      </c>
      <c r="F525" s="14" t="n">
        <v>107</v>
      </c>
      <c r="G525" s="14" t="n">
        <v>0</v>
      </c>
      <c r="H525" s="14" t="n">
        <v>2</v>
      </c>
      <c r="I525" s="14" t="n">
        <v>30</v>
      </c>
      <c r="J525" s="14" t="n">
        <v>116</v>
      </c>
      <c r="K525" s="14" t="n">
        <v>279</v>
      </c>
      <c r="L525" s="14" t="n">
        <v>272</v>
      </c>
      <c r="M525" s="12"/>
      <c r="N525" s="11"/>
      <c r="O525" s="23"/>
      <c r="P525" s="23"/>
      <c r="Q525" s="23"/>
      <c r="R525" s="23"/>
      <c r="S525" s="23"/>
      <c r="T525" s="23"/>
      <c r="U525" s="23"/>
      <c r="V525" s="23"/>
      <c r="W525" s="23"/>
      <c r="X525" s="23"/>
      <c r="Y525" s="23"/>
      <c r="Z525" s="23"/>
    </row>
    <row r="526" customFormat="false" ht="15.75" hidden="false" customHeight="true" outlineLevel="0" collapsed="false">
      <c r="A526" s="52" t="n">
        <v>46305</v>
      </c>
      <c r="B526" s="14" t="s">
        <v>47</v>
      </c>
      <c r="C526" s="14" t="str">
        <f aca="false" t="array" ref="C526:C526">IF(B526="","",IFERROR(INDEX('CLM &amp; IM Mapping'!$B$2:$B$270,MATCH(TRIM(B526),'CLM &amp; IM Mapping'!$A$2:$A$270,0)),"Not Mapped"))</f>
        <v>Saddam Hussain</v>
      </c>
      <c r="D526" s="14" t="str">
        <f aca="false" t="array" ref="D526:D526">IF(B526="","",IFERROR(INDEX('CLM &amp; IM Mapping'!$C$2:$C$270,MATCH(TRIM(B526),'CLM &amp; IM Mapping'!$A$2:$A$270,0)),"Not Mapped"))</f>
        <v>Un Mapped</v>
      </c>
      <c r="E526" s="14" t="n">
        <v>0</v>
      </c>
      <c r="F526" s="14" t="n">
        <v>19</v>
      </c>
      <c r="G526" s="14" t="n">
        <v>0</v>
      </c>
      <c r="H526" s="14" t="n">
        <v>74</v>
      </c>
      <c r="I526" s="14" t="n">
        <v>173</v>
      </c>
      <c r="J526" s="14" t="n">
        <v>8</v>
      </c>
      <c r="K526" s="14" t="n">
        <v>274</v>
      </c>
      <c r="L526" s="14" t="n">
        <v>270</v>
      </c>
      <c r="M526" s="12"/>
      <c r="N526" s="11"/>
      <c r="O526" s="23"/>
      <c r="P526" s="23"/>
      <c r="Q526" s="23"/>
      <c r="R526" s="23"/>
      <c r="S526" s="23"/>
      <c r="T526" s="23"/>
      <c r="U526" s="23"/>
      <c r="V526" s="23"/>
      <c r="W526" s="23"/>
      <c r="X526" s="23"/>
      <c r="Y526" s="23"/>
      <c r="Z526" s="23"/>
    </row>
    <row r="527" customFormat="false" ht="15.75" hidden="false" customHeight="true" outlineLevel="0" collapsed="false">
      <c r="A527" s="52" t="n">
        <v>46305</v>
      </c>
      <c r="B527" s="14" t="s">
        <v>271</v>
      </c>
      <c r="C527" s="14" t="str">
        <f aca="false" t="array" ref="C527:C527">IF(B527="","",IFERROR(INDEX('CLM &amp; IM Mapping'!$B$2:$B$270,MATCH(TRIM(B527),'CLM &amp; IM Mapping'!$A$2:$A$270,0)),"Not Mapped"))</f>
        <v>Rizwan Ahmed</v>
      </c>
      <c r="D527" s="14" t="str">
        <f aca="false" t="array" ref="D527:D527">IF(B527="","",IFERROR(INDEX('CLM &amp; IM Mapping'!$C$2:$C$270,MATCH(TRIM(B527),'CLM &amp; IM Mapping'!$A$2:$A$270,0)),"Not Mapped"))</f>
        <v>Prakash BS</v>
      </c>
      <c r="E527" s="14" t="n">
        <v>59</v>
      </c>
      <c r="F527" s="14" t="n">
        <v>57</v>
      </c>
      <c r="G527" s="14" t="n">
        <v>24</v>
      </c>
      <c r="H527" s="14" t="n">
        <v>85</v>
      </c>
      <c r="I527" s="14" t="n">
        <v>7</v>
      </c>
      <c r="J527" s="14" t="n">
        <v>39</v>
      </c>
      <c r="K527" s="14" t="n">
        <v>271</v>
      </c>
      <c r="L527" s="14" t="n">
        <v>266</v>
      </c>
      <c r="M527" s="12"/>
      <c r="N527" s="11"/>
      <c r="O527" s="23"/>
      <c r="P527" s="23"/>
      <c r="Q527" s="23"/>
      <c r="R527" s="23"/>
      <c r="S527" s="23"/>
      <c r="T527" s="23"/>
      <c r="U527" s="23"/>
      <c r="V527" s="23"/>
      <c r="W527" s="23"/>
      <c r="X527" s="23"/>
      <c r="Y527" s="23"/>
      <c r="Z527" s="23"/>
    </row>
    <row r="528" customFormat="false" ht="15.75" hidden="false" customHeight="true" outlineLevel="0" collapsed="false">
      <c r="A528" s="52" t="n">
        <v>46305</v>
      </c>
      <c r="B528" s="14" t="s">
        <v>305</v>
      </c>
      <c r="C528" s="14" t="str">
        <f aca="false" t="array" ref="C528:C528">IF(B528="","",IFERROR(INDEX('CLM &amp; IM Mapping'!$B$2:$B$270,MATCH(TRIM(B528),'CLM &amp; IM Mapping'!$A$2:$A$270,0)),"Not Mapped"))</f>
        <v>Manjunatha V</v>
      </c>
      <c r="D528" s="14" t="str">
        <f aca="false" t="array" ref="D528:D528">IF(B528="","",IFERROR(INDEX('CLM &amp; IM Mapping'!$C$2:$C$270,MATCH(TRIM(B528),'CLM &amp; IM Mapping'!$A$2:$A$270,0)),"Not Mapped"))</f>
        <v>Un Mapped</v>
      </c>
      <c r="E528" s="14" t="n">
        <v>22</v>
      </c>
      <c r="F528" s="14" t="n">
        <v>109</v>
      </c>
      <c r="G528" s="14" t="n">
        <v>13</v>
      </c>
      <c r="H528" s="14" t="n">
        <v>35</v>
      </c>
      <c r="I528" s="14" t="n">
        <v>60</v>
      </c>
      <c r="J528" s="14" t="n">
        <v>29</v>
      </c>
      <c r="K528" s="14" t="n">
        <v>268</v>
      </c>
      <c r="L528" s="14" t="n">
        <v>237</v>
      </c>
      <c r="M528" s="12"/>
      <c r="N528" s="11"/>
      <c r="O528" s="23"/>
      <c r="P528" s="23"/>
      <c r="Q528" s="23"/>
      <c r="R528" s="23"/>
      <c r="S528" s="23"/>
      <c r="T528" s="23"/>
      <c r="U528" s="23"/>
      <c r="V528" s="23"/>
      <c r="W528" s="23"/>
      <c r="X528" s="23"/>
      <c r="Y528" s="23"/>
      <c r="Z528" s="23"/>
    </row>
    <row r="529" customFormat="false" ht="15.75" hidden="false" customHeight="true" outlineLevel="0" collapsed="false">
      <c r="A529" s="52" t="n">
        <v>46305</v>
      </c>
      <c r="B529" s="14" t="s">
        <v>218</v>
      </c>
      <c r="C529" s="14" t="str">
        <f aca="false" t="array" ref="C529:C529">IF(B529="","",IFERROR(INDEX('CLM &amp; IM Mapping'!$B$2:$B$270,MATCH(TRIM(B529),'CLM &amp; IM Mapping'!$A$2:$A$270,0)),"Not Mapped"))</f>
        <v>Ashwath S</v>
      </c>
      <c r="D529" s="14" t="str">
        <f aca="false" t="array" ref="D529:D529">IF(B529="","",IFERROR(INDEX('CLM &amp; IM Mapping'!$C$2:$C$270,MATCH(TRIM(B529),'CLM &amp; IM Mapping'!$A$2:$A$270,0)),"Not Mapped"))</f>
        <v>Kantha Kumar</v>
      </c>
      <c r="E529" s="14" t="n">
        <v>10</v>
      </c>
      <c r="F529" s="14" t="n">
        <v>136</v>
      </c>
      <c r="G529" s="14" t="n">
        <v>64</v>
      </c>
      <c r="H529" s="14" t="n">
        <v>14</v>
      </c>
      <c r="I529" s="14" t="n">
        <v>36</v>
      </c>
      <c r="J529" s="14" t="n">
        <v>8</v>
      </c>
      <c r="K529" s="14" t="n">
        <v>268</v>
      </c>
      <c r="L529" s="14" t="n">
        <v>249</v>
      </c>
      <c r="M529" s="12"/>
      <c r="N529" s="11"/>
      <c r="O529" s="23"/>
      <c r="P529" s="23"/>
      <c r="Q529" s="23"/>
      <c r="R529" s="23"/>
      <c r="S529" s="23"/>
      <c r="T529" s="23"/>
      <c r="U529" s="23"/>
      <c r="V529" s="23"/>
      <c r="W529" s="23"/>
      <c r="X529" s="23"/>
      <c r="Y529" s="23"/>
      <c r="Z529" s="23"/>
    </row>
    <row r="530" customFormat="false" ht="15.75" hidden="false" customHeight="true" outlineLevel="0" collapsed="false">
      <c r="A530" s="52" t="n">
        <v>46305</v>
      </c>
      <c r="B530" s="14" t="s">
        <v>181</v>
      </c>
      <c r="C530" s="14" t="str">
        <f aca="false" t="array" ref="C530:C530">IF(B530="","",IFERROR(INDEX('CLM &amp; IM Mapping'!$B$2:$B$270,MATCH(TRIM(B530),'CLM &amp; IM Mapping'!$A$2:$A$270,0)),"Not Mapped"))</f>
        <v>Silambarasan E</v>
      </c>
      <c r="D530" s="14" t="str">
        <f aca="false" t="array" ref="D530:D530">IF(B530="","",IFERROR(INDEX('CLM &amp; IM Mapping'!$C$2:$C$270,MATCH(TRIM(B530),'CLM &amp; IM Mapping'!$A$2:$A$270,0)),"Not Mapped"))</f>
        <v>Arivind S</v>
      </c>
      <c r="E530" s="14" t="n">
        <v>0</v>
      </c>
      <c r="F530" s="14" t="n">
        <v>78</v>
      </c>
      <c r="G530" s="14" t="n">
        <v>0</v>
      </c>
      <c r="H530" s="14" t="n">
        <v>160</v>
      </c>
      <c r="I530" s="14" t="n">
        <v>26</v>
      </c>
      <c r="J530" s="14" t="n">
        <v>1</v>
      </c>
      <c r="K530" s="14" t="n">
        <v>265</v>
      </c>
      <c r="L530" s="14" t="n">
        <v>132</v>
      </c>
      <c r="M530" s="12"/>
      <c r="N530" s="11"/>
      <c r="O530" s="23"/>
      <c r="P530" s="23"/>
      <c r="Q530" s="23"/>
      <c r="R530" s="23"/>
      <c r="S530" s="23"/>
      <c r="T530" s="23"/>
      <c r="U530" s="23"/>
      <c r="V530" s="23"/>
      <c r="W530" s="23"/>
      <c r="X530" s="23"/>
      <c r="Y530" s="23"/>
      <c r="Z530" s="23"/>
    </row>
    <row r="531" customFormat="false" ht="15.75" hidden="false" customHeight="true" outlineLevel="0" collapsed="false">
      <c r="A531" s="52" t="n">
        <v>46305</v>
      </c>
      <c r="B531" s="14" t="s">
        <v>281</v>
      </c>
      <c r="C531" s="14" t="str">
        <f aca="false" t="array" ref="C531:C531">IF(B531="","",IFERROR(INDEX('CLM &amp; IM Mapping'!$B$2:$B$270,MATCH(TRIM(B531),'CLM &amp; IM Mapping'!$A$2:$A$270,0)),"Not Mapped"))</f>
        <v>Balaji G</v>
      </c>
      <c r="D531" s="14" t="str">
        <f aca="false" t="array" ref="D531:D531">IF(B531="","",IFERROR(INDEX('CLM &amp; IM Mapping'!$C$2:$C$270,MATCH(TRIM(B531),'CLM &amp; IM Mapping'!$A$2:$A$270,0)),"Not Mapped"))</f>
        <v>Mohammed Akbar</v>
      </c>
      <c r="E531" s="14" t="n">
        <v>4</v>
      </c>
      <c r="F531" s="14" t="n">
        <v>69</v>
      </c>
      <c r="G531" s="14" t="n">
        <v>0</v>
      </c>
      <c r="H531" s="14" t="n">
        <v>93</v>
      </c>
      <c r="I531" s="14" t="n">
        <v>21</v>
      </c>
      <c r="J531" s="14" t="n">
        <v>77</v>
      </c>
      <c r="K531" s="14" t="n">
        <v>264</v>
      </c>
      <c r="L531" s="14" t="n">
        <v>247</v>
      </c>
      <c r="M531" s="12"/>
      <c r="N531" s="11"/>
      <c r="O531" s="23"/>
      <c r="P531" s="23"/>
      <c r="Q531" s="23"/>
      <c r="R531" s="23"/>
      <c r="S531" s="23"/>
      <c r="T531" s="23"/>
      <c r="U531" s="23"/>
      <c r="V531" s="23"/>
      <c r="W531" s="23"/>
      <c r="X531" s="23"/>
      <c r="Y531" s="23"/>
      <c r="Z531" s="23"/>
    </row>
    <row r="532" customFormat="false" ht="15.75" hidden="false" customHeight="true" outlineLevel="0" collapsed="false">
      <c r="A532" s="52" t="n">
        <v>46305</v>
      </c>
      <c r="B532" s="14" t="s">
        <v>331</v>
      </c>
      <c r="C532" s="14" t="str">
        <f aca="false" t="array" ref="C532:C532">IF(B532="","",IFERROR(INDEX('CLM &amp; IM Mapping'!$B$2:$B$270,MATCH(TRIM(B532),'CLM &amp; IM Mapping'!$A$2:$A$270,0)),"Not Mapped"))</f>
        <v>Vijay M</v>
      </c>
      <c r="D532" s="14" t="str">
        <f aca="false" t="array" ref="D532:D532">IF(B532="","",IFERROR(INDEX('CLM &amp; IM Mapping'!$C$2:$C$270,MATCH(TRIM(B532),'CLM &amp; IM Mapping'!$A$2:$A$270,0)),"Not Mapped"))</f>
        <v>Kantha Kumar</v>
      </c>
      <c r="E532" s="14" t="n">
        <v>27</v>
      </c>
      <c r="F532" s="14" t="n">
        <v>14</v>
      </c>
      <c r="G532" s="14" t="n">
        <v>1</v>
      </c>
      <c r="H532" s="14" t="n">
        <v>12</v>
      </c>
      <c r="I532" s="14" t="n">
        <v>178</v>
      </c>
      <c r="J532" s="14" t="n">
        <v>25</v>
      </c>
      <c r="K532" s="14" t="n">
        <v>257</v>
      </c>
      <c r="L532" s="14" t="n">
        <v>212</v>
      </c>
      <c r="M532" s="12"/>
      <c r="N532" s="11"/>
      <c r="O532" s="23"/>
      <c r="P532" s="23"/>
      <c r="Q532" s="23"/>
      <c r="R532" s="23"/>
      <c r="S532" s="23"/>
      <c r="T532" s="23"/>
      <c r="U532" s="23"/>
      <c r="V532" s="23"/>
      <c r="W532" s="23"/>
      <c r="X532" s="23"/>
      <c r="Y532" s="23"/>
      <c r="Z532" s="23"/>
    </row>
    <row r="533" customFormat="false" ht="15.75" hidden="false" customHeight="true" outlineLevel="0" collapsed="false">
      <c r="A533" s="52" t="n">
        <v>46305</v>
      </c>
      <c r="B533" s="14" t="s">
        <v>524</v>
      </c>
      <c r="C533" s="14" t="str">
        <f aca="false" t="array" ref="C533:C533">IF(B533="","",IFERROR(INDEX('CLM &amp; IM Mapping'!$B$2:$B$270,MATCH(TRIM(B533),'CLM &amp; IM Mapping'!$A$2:$A$270,0)),"Not Mapped"))</f>
        <v>Balaji G</v>
      </c>
      <c r="D533" s="14" t="str">
        <f aca="false" t="array" ref="D533:D533">IF(B533="","",IFERROR(INDEX('CLM &amp; IM Mapping'!$C$2:$C$270,MATCH(TRIM(B533),'CLM &amp; IM Mapping'!$A$2:$A$270,0)),"Not Mapped"))</f>
        <v>Mohammed Akbar</v>
      </c>
      <c r="E533" s="14" t="n">
        <v>20</v>
      </c>
      <c r="F533" s="14" t="n">
        <v>137</v>
      </c>
      <c r="G533" s="14" t="n">
        <v>70</v>
      </c>
      <c r="H533" s="14" t="n">
        <v>3</v>
      </c>
      <c r="I533" s="14" t="n">
        <v>18</v>
      </c>
      <c r="J533" s="14" t="n">
        <v>7</v>
      </c>
      <c r="K533" s="14" t="n">
        <v>255</v>
      </c>
      <c r="L533" s="14" t="n">
        <v>225</v>
      </c>
      <c r="M533" s="12"/>
      <c r="N533" s="11"/>
      <c r="O533" s="23"/>
      <c r="P533" s="23"/>
      <c r="Q533" s="23"/>
      <c r="R533" s="23"/>
      <c r="S533" s="23"/>
      <c r="T533" s="23"/>
      <c r="U533" s="23"/>
      <c r="V533" s="23"/>
      <c r="W533" s="23"/>
      <c r="X533" s="23"/>
      <c r="Y533" s="23"/>
      <c r="Z533" s="23"/>
    </row>
    <row r="534" customFormat="false" ht="15.75" hidden="false" customHeight="true" outlineLevel="0" collapsed="false">
      <c r="A534" s="52" t="n">
        <v>46305</v>
      </c>
      <c r="B534" s="14" t="s">
        <v>398</v>
      </c>
      <c r="C534" s="14" t="str">
        <f aca="false" t="array" ref="C534:C534">IF(B534="","",IFERROR(INDEX('CLM &amp; IM Mapping'!$B$2:$B$270,MATCH(TRIM(B534),'CLM &amp; IM Mapping'!$A$2:$A$270,0)),"Not Mapped"))</f>
        <v>Raghavendra Vernekar</v>
      </c>
      <c r="D534" s="14" t="str">
        <f aca="false" t="array" ref="D534:D534">IF(B534="","",IFERROR(INDEX('CLM &amp; IM Mapping'!$C$2:$C$270,MATCH(TRIM(B534),'CLM &amp; IM Mapping'!$A$2:$A$270,0)),"Not Mapped"))</f>
        <v>Prakash BS</v>
      </c>
      <c r="E534" s="14" t="n">
        <v>37</v>
      </c>
      <c r="F534" s="14" t="n">
        <v>80</v>
      </c>
      <c r="G534" s="14" t="n">
        <v>46</v>
      </c>
      <c r="H534" s="14" t="n">
        <v>6</v>
      </c>
      <c r="I534" s="14" t="n">
        <v>13</v>
      </c>
      <c r="J534" s="14" t="n">
        <v>67</v>
      </c>
      <c r="K534" s="14" t="n">
        <v>249</v>
      </c>
      <c r="L534" s="14" t="n">
        <v>182</v>
      </c>
      <c r="M534" s="12"/>
      <c r="N534" s="11"/>
      <c r="O534" s="23"/>
      <c r="P534" s="23"/>
      <c r="Q534" s="23"/>
      <c r="R534" s="23"/>
      <c r="S534" s="23"/>
      <c r="T534" s="23"/>
      <c r="U534" s="23"/>
      <c r="V534" s="23"/>
      <c r="W534" s="23"/>
      <c r="X534" s="23"/>
      <c r="Y534" s="23"/>
      <c r="Z534" s="23"/>
    </row>
    <row r="535" customFormat="false" ht="15.75" hidden="false" customHeight="true" outlineLevel="0" collapsed="false">
      <c r="A535" s="52" t="n">
        <v>46305</v>
      </c>
      <c r="B535" s="14" t="s">
        <v>491</v>
      </c>
      <c r="C535" s="14" t="str">
        <f aca="false" t="array" ref="C535:C535">IF(B535="","",IFERROR(INDEX('CLM &amp; IM Mapping'!$B$2:$B$270,MATCH(TRIM(B535),'CLM &amp; IM Mapping'!$A$2:$A$270,0)),"Not Mapped"))</f>
        <v>Manjunatha V</v>
      </c>
      <c r="D535" s="14" t="str">
        <f aca="false" t="array" ref="D535:D535">IF(B535="","",IFERROR(INDEX('CLM &amp; IM Mapping'!$C$2:$C$270,MATCH(TRIM(B535),'CLM &amp; IM Mapping'!$A$2:$A$270,0)),"Not Mapped"))</f>
        <v>Un Mapped</v>
      </c>
      <c r="E535" s="14" t="n">
        <v>11</v>
      </c>
      <c r="F535" s="14" t="n">
        <v>96</v>
      </c>
      <c r="G535" s="14" t="n">
        <v>7</v>
      </c>
      <c r="H535" s="14" t="n">
        <v>55</v>
      </c>
      <c r="I535" s="14" t="n">
        <v>10</v>
      </c>
      <c r="J535" s="14" t="n">
        <v>67</v>
      </c>
      <c r="K535" s="14" t="n">
        <v>246</v>
      </c>
      <c r="L535" s="14" t="n">
        <v>227</v>
      </c>
      <c r="M535" s="12"/>
      <c r="N535" s="11"/>
      <c r="O535" s="23"/>
      <c r="P535" s="23"/>
      <c r="Q535" s="23"/>
      <c r="R535" s="23"/>
      <c r="S535" s="23"/>
      <c r="T535" s="23"/>
      <c r="U535" s="23"/>
      <c r="V535" s="23"/>
      <c r="W535" s="23"/>
      <c r="X535" s="23"/>
      <c r="Y535" s="23"/>
      <c r="Z535" s="23"/>
    </row>
    <row r="536" customFormat="false" ht="15.75" hidden="false" customHeight="true" outlineLevel="0" collapsed="false">
      <c r="A536" s="52" t="n">
        <v>46305</v>
      </c>
      <c r="B536" s="14" t="s">
        <v>460</v>
      </c>
      <c r="C536" s="14" t="str">
        <f aca="false" t="array" ref="C536:C536">IF(B536="","",IFERROR(INDEX('CLM &amp; IM Mapping'!$B$2:$B$270,MATCH(TRIM(B536),'CLM &amp; IM Mapping'!$A$2:$A$270,0)),"Not Mapped"))</f>
        <v>Vijay M</v>
      </c>
      <c r="D536" s="14" t="str">
        <f aca="false" t="array" ref="D536:D536">IF(B536="","",IFERROR(INDEX('CLM &amp; IM Mapping'!$C$2:$C$270,MATCH(TRIM(B536),'CLM &amp; IM Mapping'!$A$2:$A$270,0)),"Not Mapped"))</f>
        <v>Kantha Kumar</v>
      </c>
      <c r="E536" s="14" t="n">
        <v>0</v>
      </c>
      <c r="F536" s="14" t="n">
        <v>41</v>
      </c>
      <c r="G536" s="14" t="n">
        <v>10</v>
      </c>
      <c r="H536" s="14" t="n">
        <v>123</v>
      </c>
      <c r="I536" s="14" t="n">
        <v>36</v>
      </c>
      <c r="J536" s="14" t="n">
        <v>35</v>
      </c>
      <c r="K536" s="14" t="n">
        <v>245</v>
      </c>
      <c r="L536" s="14" t="n">
        <v>182</v>
      </c>
      <c r="M536" s="12"/>
      <c r="N536" s="11"/>
      <c r="O536" s="23"/>
      <c r="P536" s="23"/>
      <c r="Q536" s="23"/>
      <c r="R536" s="23"/>
      <c r="S536" s="23"/>
      <c r="T536" s="23"/>
      <c r="U536" s="23"/>
      <c r="V536" s="23"/>
      <c r="W536" s="23"/>
      <c r="X536" s="23"/>
      <c r="Y536" s="23"/>
      <c r="Z536" s="23"/>
    </row>
    <row r="537" customFormat="false" ht="15.75" hidden="false" customHeight="true" outlineLevel="0" collapsed="false">
      <c r="A537" s="52" t="n">
        <v>46305</v>
      </c>
      <c r="B537" s="14" t="s">
        <v>153</v>
      </c>
      <c r="C537" s="14" t="str">
        <f aca="false" t="array" ref="C537:C537">IF(B537="","",IFERROR(INDEX('CLM &amp; IM Mapping'!$B$2:$B$270,MATCH(TRIM(B537),'CLM &amp; IM Mapping'!$A$2:$A$270,0)),"Not Mapped"))</f>
        <v>Ashwath S</v>
      </c>
      <c r="D537" s="14" t="str">
        <f aca="false" t="array" ref="D537:D537">IF(B537="","",IFERROR(INDEX('CLM &amp; IM Mapping'!$C$2:$C$270,MATCH(TRIM(B537),'CLM &amp; IM Mapping'!$A$2:$A$270,0)),"Not Mapped"))</f>
        <v>Kantha Kumar</v>
      </c>
      <c r="E537" s="14" t="n">
        <v>0</v>
      </c>
      <c r="F537" s="14" t="n">
        <v>60</v>
      </c>
      <c r="G537" s="14" t="n">
        <v>4</v>
      </c>
      <c r="H537" s="14" t="n">
        <v>78</v>
      </c>
      <c r="I537" s="14" t="n">
        <v>102</v>
      </c>
      <c r="J537" s="14" t="n">
        <v>0</v>
      </c>
      <c r="K537" s="14" t="n">
        <v>244</v>
      </c>
      <c r="L537" s="14" t="n">
        <v>224</v>
      </c>
      <c r="M537" s="12"/>
      <c r="N537" s="11"/>
      <c r="O537" s="23"/>
      <c r="P537" s="23"/>
      <c r="Q537" s="23"/>
      <c r="R537" s="23"/>
      <c r="S537" s="23"/>
      <c r="T537" s="23"/>
      <c r="U537" s="23"/>
      <c r="V537" s="23"/>
      <c r="W537" s="23"/>
      <c r="X537" s="23"/>
      <c r="Y537" s="23"/>
      <c r="Z537" s="23"/>
    </row>
    <row r="538" customFormat="false" ht="15.75" hidden="false" customHeight="true" outlineLevel="0" collapsed="false">
      <c r="A538" s="52" t="n">
        <v>46305</v>
      </c>
      <c r="B538" s="14" t="s">
        <v>528</v>
      </c>
      <c r="C538" s="14" t="str">
        <f aca="false" t="array" ref="C538:C538">IF(B538="","",IFERROR(INDEX('CLM &amp; IM Mapping'!$B$2:$B$270,MATCH(TRIM(B538),'CLM &amp; IM Mapping'!$A$2:$A$270,0)),"Not Mapped"))</f>
        <v>Saddam Hussain</v>
      </c>
      <c r="D538" s="14" t="str">
        <f aca="false" t="array" ref="D538:D538">IF(B538="","",IFERROR(INDEX('CLM &amp; IM Mapping'!$C$2:$C$270,MATCH(TRIM(B538),'CLM &amp; IM Mapping'!$A$2:$A$270,0)),"Not Mapped"))</f>
        <v>Un Mapped</v>
      </c>
      <c r="E538" s="14" t="n">
        <v>7</v>
      </c>
      <c r="F538" s="14" t="n">
        <v>135</v>
      </c>
      <c r="G538" s="14" t="n">
        <v>13</v>
      </c>
      <c r="H538" s="14" t="n">
        <v>22</v>
      </c>
      <c r="I538" s="14" t="n">
        <v>62</v>
      </c>
      <c r="J538" s="14" t="n">
        <v>4</v>
      </c>
      <c r="K538" s="14" t="n">
        <v>243</v>
      </c>
      <c r="L538" s="14" t="n">
        <v>105</v>
      </c>
      <c r="M538" s="12"/>
      <c r="N538" s="11"/>
      <c r="O538" s="23"/>
      <c r="P538" s="23"/>
      <c r="Q538" s="23"/>
      <c r="R538" s="23"/>
      <c r="S538" s="23"/>
      <c r="T538" s="23"/>
      <c r="U538" s="23"/>
      <c r="V538" s="23"/>
      <c r="W538" s="23"/>
      <c r="X538" s="23"/>
      <c r="Y538" s="23"/>
      <c r="Z538" s="23"/>
    </row>
    <row r="539" customFormat="false" ht="15.75" hidden="false" customHeight="true" outlineLevel="0" collapsed="false">
      <c r="A539" s="52" t="n">
        <v>46305</v>
      </c>
      <c r="B539" s="14" t="s">
        <v>381</v>
      </c>
      <c r="C539" s="14" t="str">
        <f aca="false" t="array" ref="C539:C539">IF(B539="","",IFERROR(INDEX('CLM &amp; IM Mapping'!$B$2:$B$270,MATCH(TRIM(B539),'CLM &amp; IM Mapping'!$A$2:$A$270,0)),"Not Mapped"))</f>
        <v>Balaji G</v>
      </c>
      <c r="D539" s="14" t="str">
        <f aca="false" t="array" ref="D539:D539">IF(B539="","",IFERROR(INDEX('CLM &amp; IM Mapping'!$C$2:$C$270,MATCH(TRIM(B539),'CLM &amp; IM Mapping'!$A$2:$A$270,0)),"Not Mapped"))</f>
        <v>Mohammed Akbar</v>
      </c>
      <c r="E539" s="14" t="n">
        <v>29</v>
      </c>
      <c r="F539" s="14" t="n">
        <v>42</v>
      </c>
      <c r="G539" s="14" t="n">
        <v>115</v>
      </c>
      <c r="H539" s="14" t="n">
        <v>42</v>
      </c>
      <c r="I539" s="14" t="n">
        <v>0</v>
      </c>
      <c r="J539" s="14" t="n">
        <v>14</v>
      </c>
      <c r="K539" s="14" t="n">
        <v>242</v>
      </c>
      <c r="L539" s="14" t="n">
        <v>239</v>
      </c>
      <c r="M539" s="12"/>
      <c r="N539" s="11"/>
      <c r="O539" s="23"/>
      <c r="P539" s="23"/>
      <c r="Q539" s="23"/>
      <c r="R539" s="23"/>
      <c r="S539" s="23"/>
      <c r="T539" s="23"/>
      <c r="U539" s="23"/>
      <c r="V539" s="23"/>
      <c r="W539" s="23"/>
      <c r="X539" s="23"/>
      <c r="Y539" s="23"/>
      <c r="Z539" s="23"/>
    </row>
    <row r="540" customFormat="false" ht="15.75" hidden="false" customHeight="true" outlineLevel="0" collapsed="false">
      <c r="A540" s="52" t="n">
        <v>46305</v>
      </c>
      <c r="B540" s="14" t="s">
        <v>100</v>
      </c>
      <c r="C540" s="14" t="str">
        <f aca="false" t="array" ref="C540:C540">IF(B540="","",IFERROR(INDEX('CLM &amp; IM Mapping'!$B$2:$B$270,MATCH(TRIM(B540),'CLM &amp; IM Mapping'!$A$2:$A$270,0)),"Not Mapped"))</f>
        <v>Sundaresh S</v>
      </c>
      <c r="D540" s="14" t="str">
        <f aca="false" t="array" ref="D540:D540">IF(B540="","",IFERROR(INDEX('CLM &amp; IM Mapping'!$C$2:$C$270,MATCH(TRIM(B540),'CLM &amp; IM Mapping'!$A$2:$A$270,0)),"Not Mapped"))</f>
        <v>Un Mapped</v>
      </c>
      <c r="E540" s="14" t="n">
        <v>47</v>
      </c>
      <c r="F540" s="14" t="n">
        <v>94</v>
      </c>
      <c r="G540" s="14" t="n">
        <v>40</v>
      </c>
      <c r="H540" s="14" t="n">
        <v>5</v>
      </c>
      <c r="I540" s="14" t="n">
        <v>53</v>
      </c>
      <c r="J540" s="14" t="n">
        <v>0</v>
      </c>
      <c r="K540" s="14" t="n">
        <v>239</v>
      </c>
      <c r="L540" s="14" t="n">
        <v>209</v>
      </c>
      <c r="M540" s="12"/>
      <c r="N540" s="11"/>
      <c r="O540" s="23"/>
      <c r="P540" s="23"/>
      <c r="Q540" s="23"/>
      <c r="R540" s="23"/>
      <c r="S540" s="23"/>
      <c r="T540" s="23"/>
      <c r="U540" s="23"/>
      <c r="V540" s="23"/>
      <c r="W540" s="23"/>
      <c r="X540" s="23"/>
      <c r="Y540" s="23"/>
      <c r="Z540" s="23"/>
    </row>
    <row r="541" customFormat="false" ht="15.75" hidden="false" customHeight="true" outlineLevel="0" collapsed="false">
      <c r="A541" s="52" t="n">
        <v>46305</v>
      </c>
      <c r="B541" s="14" t="s">
        <v>379</v>
      </c>
      <c r="C541" s="14" t="str">
        <f aca="false" t="array" ref="C541:C541">IF(B541="","",IFERROR(INDEX('CLM &amp; IM Mapping'!$B$2:$B$270,MATCH(TRIM(B541),'CLM &amp; IM Mapping'!$A$2:$A$270,0)),"Not Mapped"))</f>
        <v>Richard Harris</v>
      </c>
      <c r="D541" s="14" t="str">
        <f aca="false" t="array" ref="D541:D541">IF(B541="","",IFERROR(INDEX('CLM &amp; IM Mapping'!$C$2:$C$270,MATCH(TRIM(B541),'CLM &amp; IM Mapping'!$A$2:$A$270,0)),"Not Mapped"))</f>
        <v>Kantha Kumar</v>
      </c>
      <c r="E541" s="14" t="n">
        <v>0</v>
      </c>
      <c r="F541" s="14" t="n">
        <v>38</v>
      </c>
      <c r="G541" s="14" t="n">
        <v>0</v>
      </c>
      <c r="H541" s="14" t="n">
        <v>166</v>
      </c>
      <c r="I541" s="14" t="n">
        <v>35</v>
      </c>
      <c r="J541" s="14" t="n">
        <v>0</v>
      </c>
      <c r="K541" s="14" t="n">
        <v>239</v>
      </c>
      <c r="L541" s="14" t="n">
        <v>95</v>
      </c>
      <c r="M541" s="12"/>
      <c r="N541" s="11"/>
      <c r="O541" s="23"/>
      <c r="P541" s="23"/>
      <c r="Q541" s="23"/>
      <c r="R541" s="23"/>
      <c r="S541" s="23"/>
      <c r="T541" s="23"/>
      <c r="U541" s="23"/>
      <c r="V541" s="23"/>
      <c r="W541" s="23"/>
      <c r="X541" s="23"/>
      <c r="Y541" s="23"/>
      <c r="Z541" s="23"/>
    </row>
    <row r="542" customFormat="false" ht="15.75" hidden="false" customHeight="true" outlineLevel="0" collapsed="false">
      <c r="A542" s="52" t="n">
        <v>46305</v>
      </c>
      <c r="B542" s="14" t="s">
        <v>322</v>
      </c>
      <c r="C542" s="14" t="str">
        <f aca="false" t="array" ref="C542:C542">IF(B542="","",IFERROR(INDEX('CLM &amp; IM Mapping'!$B$2:$B$270,MATCH(TRIM(B542),'CLM &amp; IM Mapping'!$A$2:$A$270,0)),"Not Mapped"))</f>
        <v>Ashwath S</v>
      </c>
      <c r="D542" s="14" t="str">
        <f aca="false" t="array" ref="D542:D542">IF(B542="","",IFERROR(INDEX('CLM &amp; IM Mapping'!$C$2:$C$270,MATCH(TRIM(B542),'CLM &amp; IM Mapping'!$A$2:$A$270,0)),"Not Mapped"))</f>
        <v>Kantha Kumar</v>
      </c>
      <c r="E542" s="14" t="n">
        <v>0</v>
      </c>
      <c r="F542" s="14" t="n">
        <v>22</v>
      </c>
      <c r="G542" s="14" t="n">
        <v>0</v>
      </c>
      <c r="H542" s="14" t="n">
        <v>83</v>
      </c>
      <c r="I542" s="14" t="n">
        <v>125</v>
      </c>
      <c r="J542" s="14" t="n">
        <v>7</v>
      </c>
      <c r="K542" s="14" t="n">
        <v>237</v>
      </c>
      <c r="L542" s="14" t="n">
        <v>207</v>
      </c>
      <c r="M542" s="12"/>
      <c r="N542" s="11"/>
      <c r="O542" s="23"/>
      <c r="P542" s="23"/>
      <c r="Q542" s="23"/>
      <c r="R542" s="23"/>
      <c r="S542" s="23"/>
      <c r="T542" s="23"/>
      <c r="U542" s="23"/>
      <c r="V542" s="23"/>
      <c r="W542" s="23"/>
      <c r="X542" s="23"/>
      <c r="Y542" s="23"/>
      <c r="Z542" s="23"/>
    </row>
    <row r="543" customFormat="false" ht="15.75" hidden="false" customHeight="true" outlineLevel="0" collapsed="false">
      <c r="A543" s="52" t="n">
        <v>46305</v>
      </c>
      <c r="B543" s="14" t="s">
        <v>290</v>
      </c>
      <c r="C543" s="14" t="str">
        <f aca="false" t="array" ref="C543:C543">IF(B543="","",IFERROR(INDEX('CLM &amp; IM Mapping'!$B$2:$B$270,MATCH(TRIM(B543),'CLM &amp; IM Mapping'!$A$2:$A$270,0)),"Not Mapped"))</f>
        <v>Akshay P</v>
      </c>
      <c r="D543" s="14" t="str">
        <f aca="false" t="array" ref="D543:D543">IF(B543="","",IFERROR(INDEX('CLM &amp; IM Mapping'!$C$2:$C$270,MATCH(TRIM(B543),'CLM &amp; IM Mapping'!$A$2:$A$270,0)),"Not Mapped"))</f>
        <v>Srittam Dhal</v>
      </c>
      <c r="E543" s="14" t="n">
        <v>7</v>
      </c>
      <c r="F543" s="14" t="n">
        <v>137</v>
      </c>
      <c r="G543" s="14" t="n">
        <v>0</v>
      </c>
      <c r="H543" s="14" t="n">
        <v>23</v>
      </c>
      <c r="I543" s="14" t="n">
        <v>17</v>
      </c>
      <c r="J543" s="14" t="n">
        <v>45</v>
      </c>
      <c r="K543" s="14" t="n">
        <v>229</v>
      </c>
      <c r="L543" s="14" t="n">
        <v>194</v>
      </c>
      <c r="M543" s="12"/>
      <c r="N543" s="11"/>
      <c r="O543" s="23"/>
      <c r="P543" s="23"/>
      <c r="Q543" s="23"/>
      <c r="R543" s="23"/>
      <c r="S543" s="23"/>
      <c r="T543" s="23"/>
      <c r="U543" s="23"/>
      <c r="V543" s="23"/>
      <c r="W543" s="23"/>
      <c r="X543" s="23"/>
      <c r="Y543" s="23"/>
      <c r="Z543" s="23"/>
    </row>
    <row r="544" customFormat="false" ht="15.75" hidden="false" customHeight="true" outlineLevel="0" collapsed="false">
      <c r="A544" s="52" t="n">
        <v>46305</v>
      </c>
      <c r="B544" s="14" t="s">
        <v>342</v>
      </c>
      <c r="C544" s="14" t="str">
        <f aca="false" t="array" ref="C544:C544">IF(B544="","",IFERROR(INDEX('CLM &amp; IM Mapping'!$B$2:$B$270,MATCH(TRIM(B544),'CLM &amp; IM Mapping'!$A$2:$A$270,0)),"Not Mapped"))</f>
        <v>Saddam Hussain</v>
      </c>
      <c r="D544" s="14" t="str">
        <f aca="false" t="array" ref="D544:D544">IF(B544="","",IFERROR(INDEX('CLM &amp; IM Mapping'!$C$2:$C$270,MATCH(TRIM(B544),'CLM &amp; IM Mapping'!$A$2:$A$270,0)),"Not Mapped"))</f>
        <v>Un Mapped</v>
      </c>
      <c r="E544" s="14" t="n">
        <v>39</v>
      </c>
      <c r="F544" s="14" t="n">
        <v>71</v>
      </c>
      <c r="G544" s="14" t="n">
        <v>70</v>
      </c>
      <c r="H544" s="14" t="n">
        <v>3</v>
      </c>
      <c r="I544" s="14" t="n">
        <v>45</v>
      </c>
      <c r="J544" s="14" t="n">
        <v>0</v>
      </c>
      <c r="K544" s="14" t="n">
        <v>228</v>
      </c>
      <c r="L544" s="14" t="n">
        <v>156</v>
      </c>
      <c r="M544" s="12"/>
      <c r="N544" s="11"/>
      <c r="O544" s="23"/>
      <c r="P544" s="23"/>
      <c r="Q544" s="23"/>
      <c r="R544" s="23"/>
      <c r="S544" s="23"/>
      <c r="T544" s="23"/>
      <c r="U544" s="23"/>
      <c r="V544" s="23"/>
      <c r="W544" s="23"/>
      <c r="X544" s="23"/>
      <c r="Y544" s="23"/>
      <c r="Z544" s="23"/>
    </row>
    <row r="545" customFormat="false" ht="15.75" hidden="false" customHeight="true" outlineLevel="0" collapsed="false">
      <c r="A545" s="52" t="n">
        <v>46305</v>
      </c>
      <c r="B545" s="14" t="s">
        <v>257</v>
      </c>
      <c r="C545" s="14" t="str">
        <f aca="false" t="array" ref="C545:C545">IF(B545="","",IFERROR(INDEX('CLM &amp; IM Mapping'!$B$2:$B$270,MATCH(TRIM(B545),'CLM &amp; IM Mapping'!$A$2:$A$270,0)),"Not Mapped"))</f>
        <v>Raghavendra Vernekar</v>
      </c>
      <c r="D545" s="14" t="str">
        <f aca="false" t="array" ref="D545:D545">IF(B545="","",IFERROR(INDEX('CLM &amp; IM Mapping'!$C$2:$C$270,MATCH(TRIM(B545),'CLM &amp; IM Mapping'!$A$2:$A$270,0)),"Not Mapped"))</f>
        <v>Prakash BS</v>
      </c>
      <c r="E545" s="14" t="n">
        <v>13</v>
      </c>
      <c r="F545" s="14" t="n">
        <v>34</v>
      </c>
      <c r="G545" s="14" t="n">
        <v>19</v>
      </c>
      <c r="H545" s="14" t="n">
        <v>60</v>
      </c>
      <c r="I545" s="14" t="n">
        <v>86</v>
      </c>
      <c r="J545" s="14" t="n">
        <v>10</v>
      </c>
      <c r="K545" s="14" t="n">
        <v>222</v>
      </c>
      <c r="L545" s="14" t="n">
        <v>221</v>
      </c>
      <c r="M545" s="12"/>
      <c r="N545" s="11"/>
      <c r="O545" s="23"/>
      <c r="P545" s="23"/>
      <c r="Q545" s="23"/>
      <c r="R545" s="23"/>
      <c r="S545" s="23"/>
      <c r="T545" s="23"/>
      <c r="U545" s="23"/>
      <c r="V545" s="23"/>
      <c r="W545" s="23"/>
      <c r="X545" s="23"/>
      <c r="Y545" s="23"/>
      <c r="Z545" s="23"/>
    </row>
    <row r="546" customFormat="false" ht="15.75" hidden="false" customHeight="true" outlineLevel="0" collapsed="false">
      <c r="A546" s="52" t="n">
        <v>46305</v>
      </c>
      <c r="B546" s="14" t="s">
        <v>233</v>
      </c>
      <c r="C546" s="14" t="str">
        <f aca="false" t="array" ref="C546:C546">IF(B546="","",IFERROR(INDEX('CLM &amp; IM Mapping'!$B$2:$B$270,MATCH(TRIM(B546),'CLM &amp; IM Mapping'!$A$2:$A$270,0)),"Not Mapped"))</f>
        <v>Suhas N</v>
      </c>
      <c r="D546" s="14" t="str">
        <f aca="false" t="array" ref="D546:D546">IF(B546="","",IFERROR(INDEX('CLM &amp; IM Mapping'!$C$2:$C$270,MATCH(TRIM(B546),'CLM &amp; IM Mapping'!$A$2:$A$270,0)),"Not Mapped"))</f>
        <v>Aravind S</v>
      </c>
      <c r="E546" s="14" t="n">
        <v>0</v>
      </c>
      <c r="F546" s="14" t="n">
        <v>118</v>
      </c>
      <c r="G546" s="14" t="n">
        <v>0</v>
      </c>
      <c r="H546" s="14" t="n">
        <v>27</v>
      </c>
      <c r="I546" s="14" t="n">
        <v>9</v>
      </c>
      <c r="J546" s="14" t="n">
        <v>66</v>
      </c>
      <c r="K546" s="14" t="n">
        <v>220</v>
      </c>
      <c r="L546" s="14" t="n">
        <v>179</v>
      </c>
      <c r="M546" s="12"/>
      <c r="N546" s="11"/>
      <c r="O546" s="23"/>
      <c r="P546" s="23"/>
      <c r="Q546" s="23"/>
      <c r="R546" s="23"/>
      <c r="S546" s="23"/>
      <c r="T546" s="23"/>
      <c r="U546" s="23"/>
      <c r="V546" s="23"/>
      <c r="W546" s="23"/>
      <c r="X546" s="23"/>
      <c r="Y546" s="23"/>
      <c r="Z546" s="23"/>
    </row>
    <row r="547" customFormat="false" ht="15.75" hidden="false" customHeight="true" outlineLevel="0" collapsed="false">
      <c r="A547" s="52" t="n">
        <v>46305</v>
      </c>
      <c r="B547" s="14" t="s">
        <v>320</v>
      </c>
      <c r="C547" s="14" t="str">
        <f aca="false" t="array" ref="C547:C547">IF(B547="","",IFERROR(INDEX('CLM &amp; IM Mapping'!$B$2:$B$270,MATCH(TRIM(B547),'CLM &amp; IM Mapping'!$A$2:$A$270,0)),"Not Mapped"))</f>
        <v>Ashwath S</v>
      </c>
      <c r="D547" s="14" t="str">
        <f aca="false" t="array" ref="D547:D547">IF(B547="","",IFERROR(INDEX('CLM &amp; IM Mapping'!$C$2:$C$270,MATCH(TRIM(B547),'CLM &amp; IM Mapping'!$A$2:$A$270,0)),"Not Mapped"))</f>
        <v>Kantha Kumar</v>
      </c>
      <c r="E547" s="14" t="n">
        <v>56</v>
      </c>
      <c r="F547" s="14" t="n">
        <v>59</v>
      </c>
      <c r="G547" s="14" t="n">
        <v>47</v>
      </c>
      <c r="H547" s="14" t="n">
        <v>12</v>
      </c>
      <c r="I547" s="14" t="n">
        <v>44</v>
      </c>
      <c r="J547" s="14" t="n">
        <v>1</v>
      </c>
      <c r="K547" s="14" t="n">
        <v>219</v>
      </c>
      <c r="L547" s="14" t="n">
        <v>217</v>
      </c>
      <c r="M547" s="12"/>
      <c r="N547" s="11"/>
      <c r="O547" s="23"/>
      <c r="P547" s="23"/>
      <c r="Q547" s="23"/>
      <c r="R547" s="23"/>
      <c r="S547" s="23"/>
      <c r="T547" s="23"/>
      <c r="U547" s="23"/>
      <c r="V547" s="23"/>
      <c r="W547" s="23"/>
      <c r="X547" s="23"/>
      <c r="Y547" s="23"/>
      <c r="Z547" s="23"/>
    </row>
    <row r="548" customFormat="false" ht="15.75" hidden="false" customHeight="true" outlineLevel="0" collapsed="false">
      <c r="A548" s="52" t="n">
        <v>46305</v>
      </c>
      <c r="B548" s="14" t="s">
        <v>510</v>
      </c>
      <c r="C548" s="14" t="str">
        <f aca="false" t="array" ref="C548:C548">IF(B548="","",IFERROR(INDEX('CLM &amp; IM Mapping'!$B$2:$B$270,MATCH(TRIM(B548),'CLM &amp; IM Mapping'!$A$2:$A$270,0)),"Not Mapped"))</f>
        <v>Manjunatha V</v>
      </c>
      <c r="D548" s="14" t="str">
        <f aca="false" t="array" ref="D548:D548">IF(B548="","",IFERROR(INDEX('CLM &amp; IM Mapping'!$C$2:$C$270,MATCH(TRIM(B548),'CLM &amp; IM Mapping'!$A$2:$A$270,0)),"Not Mapped"))</f>
        <v>Un Mapped</v>
      </c>
      <c r="E548" s="14" t="n">
        <v>22</v>
      </c>
      <c r="F548" s="14" t="n">
        <v>116</v>
      </c>
      <c r="G548" s="14" t="n">
        <v>2</v>
      </c>
      <c r="H548" s="14" t="n">
        <v>5</v>
      </c>
      <c r="I548" s="14" t="n">
        <v>58</v>
      </c>
      <c r="J548" s="14" t="n">
        <v>15</v>
      </c>
      <c r="K548" s="14" t="n">
        <v>218</v>
      </c>
      <c r="L548" s="14" t="n">
        <v>200</v>
      </c>
      <c r="M548" s="12"/>
      <c r="N548" s="11"/>
      <c r="O548" s="23"/>
      <c r="P548" s="23"/>
      <c r="Q548" s="23"/>
      <c r="R548" s="23"/>
      <c r="S548" s="23"/>
      <c r="T548" s="23"/>
      <c r="U548" s="23"/>
      <c r="V548" s="23"/>
      <c r="W548" s="23"/>
      <c r="X548" s="23"/>
      <c r="Y548" s="23"/>
      <c r="Z548" s="23"/>
    </row>
    <row r="549" customFormat="false" ht="15.75" hidden="false" customHeight="true" outlineLevel="0" collapsed="false">
      <c r="A549" s="52" t="n">
        <v>46305</v>
      </c>
      <c r="B549" s="14" t="s">
        <v>525</v>
      </c>
      <c r="C549" s="14" t="str">
        <f aca="false" t="array" ref="C549:C549">IF(B549="","",IFERROR(INDEX('CLM &amp; IM Mapping'!$B$2:$B$270,MATCH(TRIM(B549),'CLM &amp; IM Mapping'!$A$2:$A$270,0)),"Not Mapped"))</f>
        <v>Saddam Hussain</v>
      </c>
      <c r="D549" s="14" t="str">
        <f aca="false" t="array" ref="D549:D549">IF(B549="","",IFERROR(INDEX('CLM &amp; IM Mapping'!$C$2:$C$270,MATCH(TRIM(B549),'CLM &amp; IM Mapping'!$A$2:$A$270,0)),"Not Mapped"))</f>
        <v>Un Mapped</v>
      </c>
      <c r="E549" s="14" t="n">
        <v>15</v>
      </c>
      <c r="F549" s="14" t="n">
        <v>95</v>
      </c>
      <c r="G549" s="14" t="n">
        <v>42</v>
      </c>
      <c r="H549" s="14" t="n">
        <v>5</v>
      </c>
      <c r="I549" s="14" t="n">
        <v>3</v>
      </c>
      <c r="J549" s="14" t="n">
        <v>58</v>
      </c>
      <c r="K549" s="14" t="n">
        <v>218</v>
      </c>
      <c r="L549" s="14" t="n">
        <v>218</v>
      </c>
      <c r="M549" s="12"/>
      <c r="N549" s="11"/>
      <c r="O549" s="23"/>
      <c r="P549" s="23"/>
      <c r="Q549" s="23"/>
      <c r="R549" s="23"/>
      <c r="S549" s="23"/>
      <c r="T549" s="23"/>
      <c r="U549" s="23"/>
      <c r="V549" s="23"/>
      <c r="W549" s="23"/>
      <c r="X549" s="23"/>
      <c r="Y549" s="23"/>
      <c r="Z549" s="23"/>
    </row>
    <row r="550" customFormat="false" ht="15.75" hidden="false" customHeight="true" outlineLevel="0" collapsed="false">
      <c r="A550" s="52" t="n">
        <v>46305</v>
      </c>
      <c r="B550" s="14" t="s">
        <v>168</v>
      </c>
      <c r="C550" s="14" t="str">
        <f aca="false" t="array" ref="C550:C550">IF(B550="","",IFERROR(INDEX('CLM &amp; IM Mapping'!$B$2:$B$270,MATCH(TRIM(B550),'CLM &amp; IM Mapping'!$A$2:$A$270,0)),"Not Mapped"))</f>
        <v>Vijay M</v>
      </c>
      <c r="D550" s="14" t="str">
        <f aca="false" t="array" ref="D550:D550">IF(B550="","",IFERROR(INDEX('CLM &amp; IM Mapping'!$C$2:$C$270,MATCH(TRIM(B550),'CLM &amp; IM Mapping'!$A$2:$A$270,0)),"Not Mapped"))</f>
        <v>Kantha Kumar</v>
      </c>
      <c r="E550" s="14" t="n">
        <v>1</v>
      </c>
      <c r="F550" s="14" t="n">
        <v>30</v>
      </c>
      <c r="G550" s="14" t="n">
        <v>2</v>
      </c>
      <c r="H550" s="14" t="n">
        <v>146</v>
      </c>
      <c r="I550" s="14" t="n">
        <v>9</v>
      </c>
      <c r="J550" s="14" t="n">
        <v>27</v>
      </c>
      <c r="K550" s="14" t="n">
        <v>215</v>
      </c>
      <c r="L550" s="14" t="n">
        <v>165</v>
      </c>
      <c r="M550" s="12"/>
      <c r="N550" s="11"/>
      <c r="O550" s="23"/>
      <c r="P550" s="23"/>
      <c r="Q550" s="23"/>
      <c r="R550" s="23"/>
      <c r="S550" s="23"/>
      <c r="T550" s="23"/>
      <c r="U550" s="23"/>
      <c r="V550" s="23"/>
      <c r="W550" s="23"/>
      <c r="X550" s="23"/>
      <c r="Y550" s="23"/>
      <c r="Z550" s="23"/>
    </row>
    <row r="551" customFormat="false" ht="15.75" hidden="false" customHeight="true" outlineLevel="0" collapsed="false">
      <c r="A551" s="52" t="n">
        <v>46305</v>
      </c>
      <c r="B551" s="14" t="s">
        <v>250</v>
      </c>
      <c r="C551" s="14" t="str">
        <f aca="false" t="array" ref="C551:C551">IF(B551="","",IFERROR(INDEX('CLM &amp; IM Mapping'!$B$2:$B$270,MATCH(TRIM(B551),'CLM &amp; IM Mapping'!$A$2:$A$270,0)),"Not Mapped"))</f>
        <v>Akshay P</v>
      </c>
      <c r="D551" s="14" t="str">
        <f aca="false" t="array" ref="D551:D551">IF(B551="","",IFERROR(INDEX('CLM &amp; IM Mapping'!$C$2:$C$270,MATCH(TRIM(B551),'CLM &amp; IM Mapping'!$A$2:$A$270,0)),"Not Mapped"))</f>
        <v>Srittam Dhal</v>
      </c>
      <c r="E551" s="14" t="n">
        <v>17</v>
      </c>
      <c r="F551" s="14" t="n">
        <v>91</v>
      </c>
      <c r="G551" s="14" t="n">
        <v>35</v>
      </c>
      <c r="H551" s="14" t="n">
        <v>10</v>
      </c>
      <c r="I551" s="14" t="n">
        <v>50</v>
      </c>
      <c r="J551" s="14" t="n">
        <v>12</v>
      </c>
      <c r="K551" s="14" t="n">
        <v>215</v>
      </c>
      <c r="L551" s="14" t="n">
        <v>215</v>
      </c>
      <c r="M551" s="12"/>
      <c r="N551" s="11"/>
      <c r="O551" s="23"/>
      <c r="P551" s="23"/>
      <c r="Q551" s="23"/>
      <c r="R551" s="23"/>
      <c r="S551" s="23"/>
      <c r="T551" s="23"/>
      <c r="U551" s="23"/>
      <c r="V551" s="23"/>
      <c r="W551" s="23"/>
      <c r="X551" s="23"/>
      <c r="Y551" s="23"/>
      <c r="Z551" s="23"/>
    </row>
    <row r="552" customFormat="false" ht="15.75" hidden="false" customHeight="true" outlineLevel="0" collapsed="false">
      <c r="A552" s="52" t="n">
        <v>46305</v>
      </c>
      <c r="B552" s="14" t="s">
        <v>44</v>
      </c>
      <c r="C552" s="14" t="str">
        <f aca="false" t="array" ref="C552:C552">IF(B552="","",IFERROR(INDEX('CLM &amp; IM Mapping'!$B$2:$B$270,MATCH(TRIM(B552),'CLM &amp; IM Mapping'!$A$2:$A$270,0)),"Not Mapped"))</f>
        <v>Rizwan Ahmed</v>
      </c>
      <c r="D552" s="14" t="str">
        <f aca="false" t="array" ref="D552:D552">IF(B552="","",IFERROR(INDEX('CLM &amp; IM Mapping'!$C$2:$C$270,MATCH(TRIM(B552),'CLM &amp; IM Mapping'!$A$2:$A$270,0)),"Not Mapped"))</f>
        <v>Un Mapped</v>
      </c>
      <c r="E552" s="14" t="n">
        <v>0</v>
      </c>
      <c r="F552" s="14" t="n">
        <v>19</v>
      </c>
      <c r="G552" s="14" t="n">
        <v>0</v>
      </c>
      <c r="H552" s="14" t="n">
        <v>58</v>
      </c>
      <c r="I552" s="14" t="n">
        <v>118</v>
      </c>
      <c r="J552" s="14" t="n">
        <v>13</v>
      </c>
      <c r="K552" s="14" t="n">
        <v>208</v>
      </c>
      <c r="L552" s="14" t="n">
        <v>208</v>
      </c>
      <c r="M552" s="12"/>
      <c r="N552" s="11"/>
      <c r="O552" s="23"/>
      <c r="P552" s="23"/>
      <c r="Q552" s="23"/>
      <c r="R552" s="23"/>
      <c r="S552" s="23"/>
      <c r="T552" s="23"/>
      <c r="U552" s="23"/>
      <c r="V552" s="23"/>
      <c r="W552" s="23"/>
      <c r="X552" s="23"/>
      <c r="Y552" s="23"/>
      <c r="Z552" s="23"/>
    </row>
    <row r="553" customFormat="false" ht="15.75" hidden="false" customHeight="true" outlineLevel="0" collapsed="false">
      <c r="A553" s="52" t="n">
        <v>46305</v>
      </c>
      <c r="B553" s="14" t="s">
        <v>188</v>
      </c>
      <c r="C553" s="14" t="str">
        <f aca="false" t="array" ref="C553:C553">IF(B553="","",IFERROR(INDEX('CLM &amp; IM Mapping'!$B$2:$B$270,MATCH(TRIM(B553),'CLM &amp; IM Mapping'!$A$2:$A$270,0)),"Not Mapped"))</f>
        <v>Richard Harris</v>
      </c>
      <c r="D553" s="14" t="str">
        <f aca="false" t="array" ref="D553:D553">IF(B553="","",IFERROR(INDEX('CLM &amp; IM Mapping'!$C$2:$C$270,MATCH(TRIM(B553),'CLM &amp; IM Mapping'!$A$2:$A$270,0)),"Not Mapped"))</f>
        <v>Kantha Kumar</v>
      </c>
      <c r="E553" s="14" t="n">
        <v>12</v>
      </c>
      <c r="F553" s="14" t="n">
        <v>45</v>
      </c>
      <c r="G553" s="14" t="n">
        <v>101</v>
      </c>
      <c r="H553" s="14" t="n">
        <v>13</v>
      </c>
      <c r="I553" s="14" t="n">
        <v>0</v>
      </c>
      <c r="J553" s="14" t="n">
        <v>36</v>
      </c>
      <c r="K553" s="14" t="n">
        <v>207</v>
      </c>
      <c r="L553" s="14" t="n">
        <v>203</v>
      </c>
      <c r="M553" s="12"/>
      <c r="N553" s="11"/>
      <c r="O553" s="23"/>
      <c r="P553" s="23"/>
      <c r="Q553" s="23"/>
      <c r="R553" s="23"/>
      <c r="S553" s="23"/>
      <c r="T553" s="23"/>
      <c r="U553" s="23"/>
      <c r="V553" s="23"/>
      <c r="W553" s="23"/>
      <c r="X553" s="23"/>
      <c r="Y553" s="23"/>
      <c r="Z553" s="23"/>
    </row>
    <row r="554" customFormat="false" ht="15.75" hidden="false" customHeight="true" outlineLevel="0" collapsed="false">
      <c r="A554" s="52" t="n">
        <v>46305</v>
      </c>
      <c r="B554" s="14" t="s">
        <v>86</v>
      </c>
      <c r="C554" s="14" t="str">
        <f aca="false" t="array" ref="C554:C554">IF(B554="","",IFERROR(INDEX('CLM &amp; IM Mapping'!$B$2:$B$270,MATCH(TRIM(B554),'CLM &amp; IM Mapping'!$A$2:$A$270,0)),"Not Mapped"))</f>
        <v>Raghavendra Vernekar</v>
      </c>
      <c r="D554" s="14" t="str">
        <f aca="false" t="array" ref="D554:D554">IF(B554="","",IFERROR(INDEX('CLM &amp; IM Mapping'!$C$2:$C$270,MATCH(TRIM(B554),'CLM &amp; IM Mapping'!$A$2:$A$270,0)),"Not Mapped"))</f>
        <v>Prakash BS</v>
      </c>
      <c r="E554" s="14" t="n">
        <v>11</v>
      </c>
      <c r="F554" s="14" t="n">
        <v>35</v>
      </c>
      <c r="G554" s="14" t="n">
        <v>0</v>
      </c>
      <c r="H554" s="14" t="n">
        <v>32</v>
      </c>
      <c r="I554" s="14" t="n">
        <v>112</v>
      </c>
      <c r="J554" s="14" t="n">
        <v>15</v>
      </c>
      <c r="K554" s="14" t="n">
        <v>205</v>
      </c>
      <c r="L554" s="14" t="n">
        <v>205</v>
      </c>
      <c r="M554" s="12"/>
      <c r="N554" s="11"/>
      <c r="O554" s="23"/>
      <c r="P554" s="23"/>
      <c r="Q554" s="23"/>
      <c r="R554" s="23"/>
      <c r="S554" s="23"/>
      <c r="T554" s="23"/>
      <c r="U554" s="23"/>
      <c r="V554" s="23"/>
      <c r="W554" s="23"/>
      <c r="X554" s="23"/>
      <c r="Y554" s="23"/>
      <c r="Z554" s="23"/>
    </row>
    <row r="555" customFormat="false" ht="15.75" hidden="false" customHeight="true" outlineLevel="0" collapsed="false">
      <c r="A555" s="52" t="n">
        <v>46305</v>
      </c>
      <c r="B555" s="14" t="s">
        <v>440</v>
      </c>
      <c r="C555" s="14" t="str">
        <f aca="false" t="array" ref="C555:C555">IF(B555="","",IFERROR(INDEX('CLM &amp; IM Mapping'!$B$2:$B$270,MATCH(TRIM(B555),'CLM &amp; IM Mapping'!$A$2:$A$270,0)),"Not Mapped"))</f>
        <v>Bangareppa CS</v>
      </c>
      <c r="D555" s="14" t="str">
        <f aca="false" t="array" ref="D555:D555">IF(B555="","",IFERROR(INDEX('CLM &amp; IM Mapping'!$C$2:$C$270,MATCH(TRIM(B555),'CLM &amp; IM Mapping'!$A$2:$A$270,0)),"Not Mapped"))</f>
        <v>Kishor K</v>
      </c>
      <c r="E555" s="14" t="n">
        <v>0</v>
      </c>
      <c r="F555" s="14" t="n">
        <v>7</v>
      </c>
      <c r="G555" s="14" t="n">
        <v>0</v>
      </c>
      <c r="H555" s="14" t="n">
        <v>0</v>
      </c>
      <c r="I555" s="14" t="n">
        <v>0</v>
      </c>
      <c r="J555" s="14" t="n">
        <v>197</v>
      </c>
      <c r="K555" s="14" t="n">
        <v>204</v>
      </c>
      <c r="L555" s="14" t="n">
        <v>198</v>
      </c>
      <c r="M555" s="12"/>
      <c r="N555" s="11"/>
      <c r="O555" s="23"/>
      <c r="P555" s="23"/>
      <c r="Q555" s="23"/>
      <c r="R555" s="23"/>
      <c r="S555" s="23"/>
      <c r="T555" s="23"/>
      <c r="U555" s="23"/>
      <c r="V555" s="23"/>
      <c r="W555" s="23"/>
      <c r="X555" s="23"/>
      <c r="Y555" s="23"/>
      <c r="Z555" s="23"/>
    </row>
    <row r="556" customFormat="false" ht="15.75" hidden="false" customHeight="true" outlineLevel="0" collapsed="false">
      <c r="A556" s="52" t="n">
        <v>46305</v>
      </c>
      <c r="B556" s="14" t="s">
        <v>517</v>
      </c>
      <c r="C556" s="14" t="str">
        <f aca="false" t="array" ref="C556:C556">IF(B556="","",IFERROR(INDEX('CLM &amp; IM Mapping'!$B$2:$B$270,MATCH(TRIM(B556),'CLM &amp; IM Mapping'!$A$2:$A$270,0)),"Not Mapped"))</f>
        <v>Manoj Kj</v>
      </c>
      <c r="D556" s="14" t="str">
        <f aca="false" t="array" ref="D556:D556">IF(B556="","",IFERROR(INDEX('CLM &amp; IM Mapping'!$C$2:$C$270,MATCH(TRIM(B556),'CLM &amp; IM Mapping'!$A$2:$A$270,0)),"Not Mapped"))</f>
        <v>Srittam Dhal</v>
      </c>
      <c r="E556" s="14" t="n">
        <v>2</v>
      </c>
      <c r="F556" s="14" t="n">
        <v>72</v>
      </c>
      <c r="G556" s="14" t="n">
        <v>0</v>
      </c>
      <c r="H556" s="14" t="n">
        <v>81</v>
      </c>
      <c r="I556" s="14" t="n">
        <v>38</v>
      </c>
      <c r="J556" s="14" t="n">
        <v>11</v>
      </c>
      <c r="K556" s="14" t="n">
        <v>204</v>
      </c>
      <c r="L556" s="14" t="n">
        <v>177</v>
      </c>
      <c r="M556" s="12"/>
      <c r="N556" s="11"/>
      <c r="O556" s="23"/>
      <c r="P556" s="23"/>
      <c r="Q556" s="23"/>
      <c r="R556" s="23"/>
      <c r="S556" s="23"/>
      <c r="T556" s="23"/>
      <c r="U556" s="23"/>
      <c r="V556" s="23"/>
      <c r="W556" s="23"/>
      <c r="X556" s="23"/>
      <c r="Y556" s="23"/>
      <c r="Z556" s="23"/>
    </row>
    <row r="557" customFormat="false" ht="15.75" hidden="false" customHeight="true" outlineLevel="0" collapsed="false">
      <c r="A557" s="52" t="n">
        <v>46305</v>
      </c>
      <c r="B557" s="14" t="s">
        <v>147</v>
      </c>
      <c r="C557" s="14" t="str">
        <f aca="false" t="array" ref="C557:C557">IF(B557="","",IFERROR(INDEX('CLM &amp; IM Mapping'!$B$2:$B$270,MATCH(TRIM(B557),'CLM &amp; IM Mapping'!$A$2:$A$270,0)),"Not Mapped"))</f>
        <v>Manjunatha V</v>
      </c>
      <c r="D557" s="14" t="str">
        <f aca="false" t="array" ref="D557:D557">IF(B557="","",IFERROR(INDEX('CLM &amp; IM Mapping'!$C$2:$C$270,MATCH(TRIM(B557),'CLM &amp; IM Mapping'!$A$2:$A$270,0)),"Not Mapped"))</f>
        <v>Un Mapped</v>
      </c>
      <c r="E557" s="14" t="n">
        <v>18</v>
      </c>
      <c r="F557" s="14" t="n">
        <v>71</v>
      </c>
      <c r="G557" s="14" t="n">
        <v>2</v>
      </c>
      <c r="H557" s="14" t="n">
        <v>33</v>
      </c>
      <c r="I557" s="14" t="n">
        <v>40</v>
      </c>
      <c r="J557" s="14" t="n">
        <v>32</v>
      </c>
      <c r="K557" s="14" t="n">
        <v>196</v>
      </c>
      <c r="L557" s="14" t="n">
        <v>190</v>
      </c>
      <c r="M557" s="12"/>
      <c r="N557" s="11"/>
      <c r="O557" s="23"/>
      <c r="P557" s="23"/>
      <c r="Q557" s="23"/>
      <c r="R557" s="23"/>
      <c r="S557" s="23"/>
      <c r="T557" s="23"/>
      <c r="U557" s="23"/>
      <c r="V557" s="23"/>
      <c r="W557" s="23"/>
      <c r="X557" s="23"/>
      <c r="Y557" s="23"/>
      <c r="Z557" s="23"/>
    </row>
    <row r="558" customFormat="false" ht="15.75" hidden="false" customHeight="true" outlineLevel="0" collapsed="false">
      <c r="A558" s="52" t="n">
        <v>46305</v>
      </c>
      <c r="B558" s="14" t="s">
        <v>396</v>
      </c>
      <c r="C558" s="14" t="str">
        <f aca="false" t="array" ref="C558:C558">IF(B558="","",IFERROR(INDEX('CLM &amp; IM Mapping'!$B$2:$B$270,MATCH(TRIM(B558),'CLM &amp; IM Mapping'!$A$2:$A$270,0)),"Not Mapped"))</f>
        <v>Ravishankar gowda</v>
      </c>
      <c r="D558" s="14" t="str">
        <f aca="false" t="array" ref="D558:D558">IF(B558="","",IFERROR(INDEX('CLM &amp; IM Mapping'!$C$2:$C$270,MATCH(TRIM(B558),'CLM &amp; IM Mapping'!$A$2:$A$270,0)),"Not Mapped"))</f>
        <v>Kishor K</v>
      </c>
      <c r="E558" s="14" t="n">
        <v>42</v>
      </c>
      <c r="F558" s="14" t="n">
        <v>74</v>
      </c>
      <c r="G558" s="14" t="n">
        <v>11</v>
      </c>
      <c r="H558" s="14" t="n">
        <v>26</v>
      </c>
      <c r="I558" s="14" t="n">
        <v>4</v>
      </c>
      <c r="J558" s="14" t="n">
        <v>39</v>
      </c>
      <c r="K558" s="14" t="n">
        <v>196</v>
      </c>
      <c r="L558" s="14" t="n">
        <v>196</v>
      </c>
      <c r="M558" s="12"/>
      <c r="N558" s="11"/>
      <c r="O558" s="23"/>
      <c r="P558" s="23"/>
      <c r="Q558" s="23"/>
      <c r="R558" s="23"/>
      <c r="S558" s="23"/>
      <c r="T558" s="23"/>
      <c r="U558" s="23"/>
      <c r="V558" s="23"/>
      <c r="W558" s="23"/>
      <c r="X558" s="23"/>
      <c r="Y558" s="23"/>
      <c r="Z558" s="23"/>
    </row>
    <row r="559" customFormat="false" ht="15.75" hidden="false" customHeight="true" outlineLevel="0" collapsed="false">
      <c r="A559" s="52" t="n">
        <v>46305</v>
      </c>
      <c r="B559" s="14" t="s">
        <v>488</v>
      </c>
      <c r="C559" s="14" t="str">
        <f aca="false" t="array" ref="C559:C559">IF(B559="","",IFERROR(INDEX('CLM &amp; IM Mapping'!$B$2:$B$270,MATCH(TRIM(B559),'CLM &amp; IM Mapping'!$A$2:$A$270,0)),"Not Mapped"))</f>
        <v>Sundaresh S</v>
      </c>
      <c r="D559" s="14" t="str">
        <f aca="false" t="array" ref="D559:D559">IF(B559="","",IFERROR(INDEX('CLM &amp; IM Mapping'!$C$2:$C$270,MATCH(TRIM(B559),'CLM &amp; IM Mapping'!$A$2:$A$270,0)),"Not Mapped"))</f>
        <v>Un Mapped</v>
      </c>
      <c r="E559" s="14" t="n">
        <v>24</v>
      </c>
      <c r="F559" s="14" t="n">
        <v>78</v>
      </c>
      <c r="G559" s="14" t="n">
        <v>5</v>
      </c>
      <c r="H559" s="14" t="n">
        <v>72</v>
      </c>
      <c r="I559" s="14" t="n">
        <v>1</v>
      </c>
      <c r="J559" s="14" t="n">
        <v>14</v>
      </c>
      <c r="K559" s="14" t="n">
        <v>194</v>
      </c>
      <c r="L559" s="14" t="n">
        <v>154</v>
      </c>
      <c r="M559" s="12"/>
      <c r="N559" s="11"/>
      <c r="O559" s="23"/>
      <c r="P559" s="23"/>
      <c r="Q559" s="23"/>
      <c r="R559" s="23"/>
      <c r="S559" s="23"/>
      <c r="T559" s="23"/>
      <c r="U559" s="23"/>
      <c r="V559" s="23"/>
      <c r="W559" s="23"/>
      <c r="X559" s="23"/>
      <c r="Y559" s="23"/>
      <c r="Z559" s="23"/>
    </row>
    <row r="560" customFormat="false" ht="15.75" hidden="false" customHeight="true" outlineLevel="0" collapsed="false">
      <c r="A560" s="52" t="n">
        <v>46305</v>
      </c>
      <c r="B560" s="14" t="s">
        <v>527</v>
      </c>
      <c r="C560" s="14" t="str">
        <f aca="false" t="array" ref="C560:C560">IF(B560="","",IFERROR(INDEX('CLM &amp; IM Mapping'!$B$2:$B$270,MATCH(TRIM(B560),'CLM &amp; IM Mapping'!$A$2:$A$270,0)),"Not Mapped"))</f>
        <v>Suhas N</v>
      </c>
      <c r="D560" s="14" t="str">
        <f aca="false" t="array" ref="D560:D560">IF(B560="","",IFERROR(INDEX('CLM &amp; IM Mapping'!$C$2:$C$270,MATCH(TRIM(B560),'CLM &amp; IM Mapping'!$A$2:$A$270,0)),"Not Mapped"))</f>
        <v>Aravind S</v>
      </c>
      <c r="E560" s="14" t="n">
        <v>8</v>
      </c>
      <c r="F560" s="14" t="n">
        <v>79</v>
      </c>
      <c r="G560" s="14" t="n">
        <v>12</v>
      </c>
      <c r="H560" s="14" t="n">
        <v>23</v>
      </c>
      <c r="I560" s="14" t="n">
        <v>18</v>
      </c>
      <c r="J560" s="14" t="n">
        <v>43</v>
      </c>
      <c r="K560" s="14" t="n">
        <v>183</v>
      </c>
      <c r="L560" s="14" t="n">
        <v>180</v>
      </c>
      <c r="M560" s="12"/>
      <c r="N560" s="11"/>
      <c r="O560" s="23"/>
      <c r="P560" s="23"/>
      <c r="Q560" s="23"/>
      <c r="R560" s="23"/>
      <c r="S560" s="23"/>
      <c r="T560" s="23"/>
      <c r="U560" s="23"/>
      <c r="V560" s="23"/>
      <c r="W560" s="23"/>
      <c r="X560" s="23"/>
      <c r="Y560" s="23"/>
      <c r="Z560" s="23"/>
    </row>
    <row r="561" customFormat="false" ht="15.75" hidden="false" customHeight="true" outlineLevel="0" collapsed="false">
      <c r="A561" s="52" t="n">
        <v>46305</v>
      </c>
      <c r="B561" s="14" t="s">
        <v>242</v>
      </c>
      <c r="C561" s="14" t="str">
        <f aca="false" t="array" ref="C561:C561">IF(B561="","",IFERROR(INDEX('CLM &amp; IM Mapping'!$B$2:$B$270,MATCH(TRIM(B561),'CLM &amp; IM Mapping'!$A$2:$A$270,0)),"Not Mapped"))</f>
        <v>Suhas N</v>
      </c>
      <c r="D561" s="14" t="str">
        <f aca="false" t="array" ref="D561:D561">IF(B561="","",IFERROR(INDEX('CLM &amp; IM Mapping'!$C$2:$C$270,MATCH(TRIM(B561),'CLM &amp; IM Mapping'!$A$2:$A$270,0)),"Not Mapped"))</f>
        <v>Aravind S</v>
      </c>
      <c r="E561" s="14" t="n">
        <v>1</v>
      </c>
      <c r="F561" s="14" t="n">
        <v>2</v>
      </c>
      <c r="G561" s="14" t="n">
        <v>0</v>
      </c>
      <c r="H561" s="14" t="n">
        <v>77</v>
      </c>
      <c r="I561" s="14" t="n">
        <v>57</v>
      </c>
      <c r="J561" s="14" t="n">
        <v>44</v>
      </c>
      <c r="K561" s="14" t="n">
        <v>181</v>
      </c>
      <c r="L561" s="14" t="n">
        <v>154</v>
      </c>
      <c r="M561" s="12"/>
      <c r="N561" s="11"/>
      <c r="O561" s="23"/>
      <c r="P561" s="23"/>
      <c r="Q561" s="23"/>
      <c r="R561" s="23"/>
      <c r="S561" s="23"/>
      <c r="T561" s="23"/>
      <c r="U561" s="23"/>
      <c r="V561" s="23"/>
      <c r="W561" s="23"/>
      <c r="X561" s="23"/>
      <c r="Y561" s="23"/>
      <c r="Z561" s="23"/>
    </row>
    <row r="562" customFormat="false" ht="15.75" hidden="false" customHeight="true" outlineLevel="0" collapsed="false">
      <c r="A562" s="52" t="n">
        <v>46305</v>
      </c>
      <c r="B562" s="14" t="s">
        <v>159</v>
      </c>
      <c r="C562" s="14" t="str">
        <f aca="false" t="array" ref="C562:C562">IF(B562="","",IFERROR(INDEX('CLM &amp; IM Mapping'!$B$2:$B$270,MATCH(TRIM(B562),'CLM &amp; IM Mapping'!$A$2:$A$270,0)),"Not Mapped"))</f>
        <v>Rizwan Ahmed</v>
      </c>
      <c r="D562" s="14" t="str">
        <f aca="false" t="array" ref="D562:D562">IF(B562="","",IFERROR(INDEX('CLM &amp; IM Mapping'!$C$2:$C$270,MATCH(TRIM(B562),'CLM &amp; IM Mapping'!$A$2:$A$270,0)),"Not Mapped"))</f>
        <v>Un Mapped</v>
      </c>
      <c r="E562" s="14" t="n">
        <v>8</v>
      </c>
      <c r="F562" s="14" t="n">
        <v>18</v>
      </c>
      <c r="G562" s="14" t="n">
        <v>64</v>
      </c>
      <c r="H562" s="14" t="n">
        <v>7</v>
      </c>
      <c r="I562" s="14" t="n">
        <v>11</v>
      </c>
      <c r="J562" s="14" t="n">
        <v>68</v>
      </c>
      <c r="K562" s="14" t="n">
        <v>176</v>
      </c>
      <c r="L562" s="14" t="n">
        <v>176</v>
      </c>
      <c r="M562" s="12"/>
      <c r="N562" s="11"/>
      <c r="O562" s="23"/>
      <c r="P562" s="23"/>
      <c r="Q562" s="23"/>
      <c r="R562" s="23"/>
      <c r="S562" s="23"/>
      <c r="T562" s="23"/>
      <c r="U562" s="23"/>
      <c r="V562" s="23"/>
      <c r="W562" s="23"/>
      <c r="X562" s="23"/>
      <c r="Y562" s="23"/>
      <c r="Z562" s="23"/>
    </row>
    <row r="563" customFormat="false" ht="15.75" hidden="false" customHeight="true" outlineLevel="0" collapsed="false">
      <c r="A563" s="52" t="n">
        <v>46305</v>
      </c>
      <c r="B563" s="14" t="s">
        <v>178</v>
      </c>
      <c r="C563" s="14" t="str">
        <f aca="false" t="array" ref="C563:C563">IF(B563="","",IFERROR(INDEX('CLM &amp; IM Mapping'!$B$2:$B$270,MATCH(TRIM(B563),'CLM &amp; IM Mapping'!$A$2:$A$270,0)),"Not Mapped"))</f>
        <v>Balaji G</v>
      </c>
      <c r="D563" s="14" t="str">
        <f aca="false" t="array" ref="D563:D563">IF(B563="","",IFERROR(INDEX('CLM &amp; IM Mapping'!$C$2:$C$270,MATCH(TRIM(B563),'CLM &amp; IM Mapping'!$A$2:$A$270,0)),"Not Mapped"))</f>
        <v>Mohammed Akbar</v>
      </c>
      <c r="E563" s="14" t="n">
        <v>7</v>
      </c>
      <c r="F563" s="14" t="n">
        <v>101</v>
      </c>
      <c r="G563" s="14" t="n">
        <v>0</v>
      </c>
      <c r="H563" s="14" t="n">
        <v>53</v>
      </c>
      <c r="I563" s="14" t="n">
        <v>14</v>
      </c>
      <c r="J563" s="14" t="n">
        <v>0</v>
      </c>
      <c r="K563" s="14" t="n">
        <v>175</v>
      </c>
      <c r="L563" s="14" t="n">
        <v>175</v>
      </c>
      <c r="M563" s="12"/>
      <c r="N563" s="11"/>
      <c r="O563" s="23"/>
      <c r="P563" s="23"/>
      <c r="Q563" s="23"/>
      <c r="R563" s="23"/>
      <c r="S563" s="23"/>
      <c r="T563" s="23"/>
      <c r="U563" s="23"/>
      <c r="V563" s="23"/>
      <c r="W563" s="23"/>
      <c r="X563" s="23"/>
      <c r="Y563" s="23"/>
      <c r="Z563" s="23"/>
    </row>
    <row r="564" customFormat="false" ht="15.75" hidden="false" customHeight="true" outlineLevel="0" collapsed="false">
      <c r="A564" s="52" t="n">
        <v>46305</v>
      </c>
      <c r="B564" s="14" t="s">
        <v>198</v>
      </c>
      <c r="C564" s="14" t="str">
        <f aca="false" t="array" ref="C564:C564">IF(B564="","",IFERROR(INDEX('CLM &amp; IM Mapping'!$B$2:$B$270,MATCH(TRIM(B564),'CLM &amp; IM Mapping'!$A$2:$A$270,0)),"Not Mapped"))</f>
        <v>Manjunatha V</v>
      </c>
      <c r="D564" s="14" t="str">
        <f aca="false" t="array" ref="D564:D564">IF(B564="","",IFERROR(INDEX('CLM &amp; IM Mapping'!$C$2:$C$270,MATCH(TRIM(B564),'CLM &amp; IM Mapping'!$A$2:$A$270,0)),"Not Mapped"))</f>
        <v>Un Mapped</v>
      </c>
      <c r="E564" s="14" t="n">
        <v>34</v>
      </c>
      <c r="F564" s="14" t="n">
        <v>85</v>
      </c>
      <c r="G564" s="14" t="n">
        <v>12</v>
      </c>
      <c r="H564" s="14" t="n">
        <v>1</v>
      </c>
      <c r="I564" s="14" t="n">
        <v>11</v>
      </c>
      <c r="J564" s="14" t="n">
        <v>30</v>
      </c>
      <c r="K564" s="14" t="n">
        <v>173</v>
      </c>
      <c r="L564" s="14" t="n">
        <v>168</v>
      </c>
      <c r="M564" s="12"/>
      <c r="N564" s="11"/>
      <c r="O564" s="23"/>
      <c r="P564" s="23"/>
      <c r="Q564" s="23"/>
      <c r="R564" s="23"/>
      <c r="S564" s="23"/>
      <c r="T564" s="23"/>
      <c r="U564" s="23"/>
      <c r="V564" s="23"/>
      <c r="W564" s="23"/>
      <c r="X564" s="23"/>
      <c r="Y564" s="23"/>
      <c r="Z564" s="23"/>
    </row>
    <row r="565" customFormat="false" ht="15.75" hidden="false" customHeight="true" outlineLevel="0" collapsed="false">
      <c r="A565" s="52" t="n">
        <v>46305</v>
      </c>
      <c r="B565" s="14" t="s">
        <v>241</v>
      </c>
      <c r="C565" s="14" t="str">
        <f aca="false" t="array" ref="C565:C565">IF(B565="","",IFERROR(INDEX('CLM &amp; IM Mapping'!$B$2:$B$270,MATCH(TRIM(B565),'CLM &amp; IM Mapping'!$A$2:$A$270,0)),"Not Mapped"))</f>
        <v>Sundaresh S</v>
      </c>
      <c r="D565" s="14" t="str">
        <f aca="false" t="array" ref="D565:D565">IF(B565="","",IFERROR(INDEX('CLM &amp; IM Mapping'!$C$2:$C$270,MATCH(TRIM(B565),'CLM &amp; IM Mapping'!$A$2:$A$270,0)),"Not Mapped"))</f>
        <v>Un Mapped</v>
      </c>
      <c r="E565" s="14" t="n">
        <v>0</v>
      </c>
      <c r="F565" s="14" t="n">
        <v>0</v>
      </c>
      <c r="G565" s="14" t="n">
        <v>0</v>
      </c>
      <c r="H565" s="14" t="n">
        <v>23</v>
      </c>
      <c r="I565" s="14" t="n">
        <v>131</v>
      </c>
      <c r="J565" s="14" t="n">
        <v>13</v>
      </c>
      <c r="K565" s="14" t="n">
        <v>167</v>
      </c>
      <c r="L565" s="14" t="n">
        <v>167</v>
      </c>
      <c r="M565" s="12"/>
      <c r="N565" s="11"/>
      <c r="O565" s="23"/>
      <c r="P565" s="23"/>
      <c r="Q565" s="23"/>
      <c r="R565" s="23"/>
      <c r="S565" s="23"/>
      <c r="T565" s="23"/>
      <c r="U565" s="23"/>
      <c r="V565" s="23"/>
      <c r="W565" s="23"/>
      <c r="X565" s="23"/>
      <c r="Y565" s="23"/>
      <c r="Z565" s="23"/>
    </row>
    <row r="566" customFormat="false" ht="15.75" hidden="false" customHeight="true" outlineLevel="0" collapsed="false">
      <c r="A566" s="52" t="n">
        <v>46305</v>
      </c>
      <c r="B566" s="14" t="s">
        <v>327</v>
      </c>
      <c r="C566" s="14" t="str">
        <f aca="false" t="array" ref="C566:C566">IF(B566="","",IFERROR(INDEX('CLM &amp; IM Mapping'!$B$2:$B$270,MATCH(TRIM(B566),'CLM &amp; IM Mapping'!$A$2:$A$270,0)),"Not Mapped"))</f>
        <v>Suhas N</v>
      </c>
      <c r="D566" s="14" t="str">
        <f aca="false" t="array" ref="D566:D566">IF(B566="","",IFERROR(INDEX('CLM &amp; IM Mapping'!$C$2:$C$270,MATCH(TRIM(B566),'CLM &amp; IM Mapping'!$A$2:$A$270,0)),"Not Mapped"))</f>
        <v>Aravind S</v>
      </c>
      <c r="E566" s="14" t="n">
        <v>4</v>
      </c>
      <c r="F566" s="14" t="n">
        <v>119</v>
      </c>
      <c r="G566" s="14" t="n">
        <v>4</v>
      </c>
      <c r="H566" s="14" t="n">
        <v>9</v>
      </c>
      <c r="I566" s="14" t="n">
        <v>7</v>
      </c>
      <c r="J566" s="14" t="n">
        <v>24</v>
      </c>
      <c r="K566" s="14" t="n">
        <v>167</v>
      </c>
      <c r="L566" s="14" t="n">
        <v>167</v>
      </c>
      <c r="M566" s="12"/>
      <c r="N566" s="11"/>
      <c r="O566" s="23"/>
      <c r="P566" s="23"/>
      <c r="Q566" s="23"/>
      <c r="R566" s="23"/>
      <c r="S566" s="23"/>
      <c r="T566" s="23"/>
      <c r="U566" s="23"/>
      <c r="V566" s="23"/>
      <c r="W566" s="23"/>
      <c r="X566" s="23"/>
      <c r="Y566" s="23"/>
      <c r="Z566" s="23"/>
    </row>
    <row r="567" customFormat="false" ht="15.75" hidden="false" customHeight="true" outlineLevel="0" collapsed="false">
      <c r="A567" s="52" t="n">
        <v>46305</v>
      </c>
      <c r="B567" s="14" t="s">
        <v>205</v>
      </c>
      <c r="C567" s="14" t="str">
        <f aca="false" t="array" ref="C567:C567">IF(B567="","",IFERROR(INDEX('CLM &amp; IM Mapping'!$B$2:$B$270,MATCH(TRIM(B567),'CLM &amp; IM Mapping'!$A$2:$A$270,0)),"Not Mapped"))</f>
        <v>Akshay P</v>
      </c>
      <c r="D567" s="14" t="str">
        <f aca="false" t="array" ref="D567:D567">IF(B567="","",IFERROR(INDEX('CLM &amp; IM Mapping'!$C$2:$C$270,MATCH(TRIM(B567),'CLM &amp; IM Mapping'!$A$2:$A$270,0)),"Not Mapped"))</f>
        <v>Srittam Dhal</v>
      </c>
      <c r="E567" s="14" t="n">
        <v>0</v>
      </c>
      <c r="F567" s="14" t="n">
        <v>34</v>
      </c>
      <c r="G567" s="14" t="n">
        <v>6</v>
      </c>
      <c r="H567" s="14" t="n">
        <v>50</v>
      </c>
      <c r="I567" s="14" t="n">
        <v>16</v>
      </c>
      <c r="J567" s="14" t="n">
        <v>58</v>
      </c>
      <c r="K567" s="14" t="n">
        <v>164</v>
      </c>
      <c r="L567" s="14" t="n">
        <v>150</v>
      </c>
      <c r="M567" s="12"/>
      <c r="N567" s="11"/>
      <c r="O567" s="23"/>
      <c r="P567" s="23"/>
      <c r="Q567" s="23"/>
      <c r="R567" s="23"/>
      <c r="S567" s="23"/>
      <c r="T567" s="23"/>
      <c r="U567" s="23"/>
      <c r="V567" s="23"/>
      <c r="W567" s="23"/>
      <c r="X567" s="23"/>
      <c r="Y567" s="23"/>
      <c r="Z567" s="23"/>
    </row>
    <row r="568" customFormat="false" ht="15.75" hidden="false" customHeight="true" outlineLevel="0" collapsed="false">
      <c r="A568" s="52" t="n">
        <v>46305</v>
      </c>
      <c r="B568" s="14" t="s">
        <v>422</v>
      </c>
      <c r="C568" s="14" t="str">
        <f aca="false" t="array" ref="C568:C568">IF(B568="","",IFERROR(INDEX('CLM &amp; IM Mapping'!$B$2:$B$270,MATCH(TRIM(B568),'CLM &amp; IM Mapping'!$A$2:$A$270,0)),"Not Mapped"))</f>
        <v>Manjunatha V</v>
      </c>
      <c r="D568" s="14" t="str">
        <f aca="false" t="array" ref="D568:D568">IF(B568="","",IFERROR(INDEX('CLM &amp; IM Mapping'!$C$2:$C$270,MATCH(TRIM(B568),'CLM &amp; IM Mapping'!$A$2:$A$270,0)),"Not Mapped"))</f>
        <v>Un Mapped</v>
      </c>
      <c r="E568" s="14" t="n">
        <v>17</v>
      </c>
      <c r="F568" s="14" t="n">
        <v>1</v>
      </c>
      <c r="G568" s="14" t="n">
        <v>56</v>
      </c>
      <c r="H568" s="14" t="n">
        <v>1</v>
      </c>
      <c r="I568" s="14" t="n">
        <v>0</v>
      </c>
      <c r="J568" s="14" t="n">
        <v>88</v>
      </c>
      <c r="K568" s="14" t="n">
        <v>163</v>
      </c>
      <c r="L568" s="14" t="n">
        <v>162</v>
      </c>
      <c r="M568" s="12"/>
      <c r="N568" s="11"/>
      <c r="O568" s="23"/>
      <c r="P568" s="23"/>
      <c r="Q568" s="23"/>
      <c r="R568" s="23"/>
      <c r="S568" s="23"/>
      <c r="T568" s="23"/>
      <c r="U568" s="23"/>
      <c r="V568" s="23"/>
      <c r="W568" s="23"/>
      <c r="X568" s="23"/>
      <c r="Y568" s="23"/>
      <c r="Z568" s="23"/>
    </row>
    <row r="569" customFormat="false" ht="15.75" hidden="false" customHeight="true" outlineLevel="0" collapsed="false">
      <c r="A569" s="52" t="n">
        <v>46305</v>
      </c>
      <c r="B569" s="14" t="s">
        <v>375</v>
      </c>
      <c r="C569" s="14" t="str">
        <f aca="false" t="array" ref="C569:C569">IF(B569="","",IFERROR(INDEX('CLM &amp; IM Mapping'!$B$2:$B$270,MATCH(TRIM(B569),'CLM &amp; IM Mapping'!$A$2:$A$270,0)),"Not Mapped"))</f>
        <v>Saddam Hussain</v>
      </c>
      <c r="D569" s="14" t="str">
        <f aca="false" t="array" ref="D569:D569">IF(B569="","",IFERROR(INDEX('CLM &amp; IM Mapping'!$C$2:$C$270,MATCH(TRIM(B569),'CLM &amp; IM Mapping'!$A$2:$A$270,0)),"Not Mapped"))</f>
        <v>Un Mapped</v>
      </c>
      <c r="E569" s="14" t="n">
        <v>5</v>
      </c>
      <c r="F569" s="14" t="n">
        <v>68</v>
      </c>
      <c r="G569" s="14" t="n">
        <v>0</v>
      </c>
      <c r="H569" s="14" t="n">
        <v>25</v>
      </c>
      <c r="I569" s="14" t="n">
        <v>15</v>
      </c>
      <c r="J569" s="14" t="n">
        <v>49</v>
      </c>
      <c r="K569" s="14" t="n">
        <v>162</v>
      </c>
      <c r="L569" s="14" t="n">
        <v>125</v>
      </c>
      <c r="M569" s="12"/>
      <c r="N569" s="11"/>
      <c r="O569" s="23"/>
      <c r="P569" s="23"/>
      <c r="Q569" s="23"/>
      <c r="R569" s="23"/>
      <c r="S569" s="23"/>
      <c r="T569" s="23"/>
      <c r="U569" s="23"/>
      <c r="V569" s="23"/>
      <c r="W569" s="23"/>
      <c r="X569" s="23"/>
      <c r="Y569" s="23"/>
      <c r="Z569" s="23"/>
    </row>
    <row r="570" customFormat="false" ht="15.75" hidden="false" customHeight="true" outlineLevel="0" collapsed="false">
      <c r="A570" s="52" t="n">
        <v>46305</v>
      </c>
      <c r="B570" s="14" t="s">
        <v>429</v>
      </c>
      <c r="C570" s="14" t="str">
        <f aca="false" t="array" ref="C570:C570">IF(B570="","",IFERROR(INDEX('CLM &amp; IM Mapping'!$B$2:$B$270,MATCH(TRIM(B570),'CLM &amp; IM Mapping'!$A$2:$A$270,0)),"Not Mapped"))</f>
        <v>Manjunatha V</v>
      </c>
      <c r="D570" s="14" t="str">
        <f aca="false" t="array" ref="D570:D570">IF(B570="","",IFERROR(INDEX('CLM &amp; IM Mapping'!$C$2:$C$270,MATCH(TRIM(B570),'CLM &amp; IM Mapping'!$A$2:$A$270,0)),"Not Mapped"))</f>
        <v>Un Mapped</v>
      </c>
      <c r="E570" s="14" t="n">
        <v>16</v>
      </c>
      <c r="F570" s="14" t="n">
        <v>67</v>
      </c>
      <c r="G570" s="14" t="n">
        <v>1</v>
      </c>
      <c r="H570" s="14" t="n">
        <v>38</v>
      </c>
      <c r="I570" s="14" t="n">
        <v>13</v>
      </c>
      <c r="J570" s="14" t="n">
        <v>22</v>
      </c>
      <c r="K570" s="14" t="n">
        <v>157</v>
      </c>
      <c r="L570" s="14" t="n">
        <v>157</v>
      </c>
      <c r="M570" s="12"/>
      <c r="N570" s="11"/>
      <c r="O570" s="23"/>
      <c r="P570" s="23"/>
      <c r="Q570" s="23"/>
      <c r="R570" s="23"/>
      <c r="S570" s="23"/>
      <c r="T570" s="23"/>
      <c r="U570" s="23"/>
      <c r="V570" s="23"/>
      <c r="W570" s="23"/>
      <c r="X570" s="23"/>
      <c r="Y570" s="23"/>
      <c r="Z570" s="23"/>
    </row>
    <row r="571" customFormat="false" ht="15.75" hidden="false" customHeight="true" outlineLevel="0" collapsed="false">
      <c r="A571" s="52" t="n">
        <v>46305</v>
      </c>
      <c r="B571" s="14" t="s">
        <v>279</v>
      </c>
      <c r="C571" s="14" t="str">
        <f aca="false" t="array" ref="C571:C571">IF(B571="","",IFERROR(INDEX('CLM &amp; IM Mapping'!$B$2:$B$270,MATCH(TRIM(B571),'CLM &amp; IM Mapping'!$A$2:$A$270,0)),"Not Mapped"))</f>
        <v>Rizwan Ahmed</v>
      </c>
      <c r="D571" s="14" t="str">
        <f aca="false" t="array" ref="D571:D571">IF(B571="","",IFERROR(INDEX('CLM &amp; IM Mapping'!$C$2:$C$270,MATCH(TRIM(B571),'CLM &amp; IM Mapping'!$A$2:$A$270,0)),"Not Mapped"))</f>
        <v>Un Mapped</v>
      </c>
      <c r="E571" s="14" t="n">
        <v>37</v>
      </c>
      <c r="F571" s="14" t="n">
        <v>19</v>
      </c>
      <c r="G571" s="14" t="n">
        <v>8</v>
      </c>
      <c r="H571" s="14" t="n">
        <v>29</v>
      </c>
      <c r="I571" s="14" t="n">
        <v>54</v>
      </c>
      <c r="J571" s="14" t="n">
        <v>10</v>
      </c>
      <c r="K571" s="14" t="n">
        <v>157</v>
      </c>
      <c r="L571" s="14" t="n">
        <v>147</v>
      </c>
      <c r="M571" s="12"/>
      <c r="N571" s="11"/>
      <c r="O571" s="23"/>
      <c r="P571" s="23"/>
      <c r="Q571" s="23"/>
      <c r="R571" s="23"/>
      <c r="S571" s="23"/>
      <c r="T571" s="23"/>
      <c r="U571" s="23"/>
      <c r="V571" s="23"/>
      <c r="W571" s="23"/>
      <c r="X571" s="23"/>
      <c r="Y571" s="23"/>
      <c r="Z571" s="23"/>
    </row>
    <row r="572" customFormat="false" ht="15.75" hidden="false" customHeight="true" outlineLevel="0" collapsed="false">
      <c r="A572" s="52" t="n">
        <v>46305</v>
      </c>
      <c r="B572" s="14" t="s">
        <v>294</v>
      </c>
      <c r="C572" s="14" t="str">
        <f aca="false" t="array" ref="C572:C572">IF(B572="","",IFERROR(INDEX('CLM &amp; IM Mapping'!$B$2:$B$270,MATCH(TRIM(B572),'CLM &amp; IM Mapping'!$A$2:$A$270,0)),"Not Mapped"))</f>
        <v>Manoj Kj</v>
      </c>
      <c r="D572" s="14" t="str">
        <f aca="false" t="array" ref="D572:D572">IF(B572="","",IFERROR(INDEX('CLM &amp; IM Mapping'!$C$2:$C$270,MATCH(TRIM(B572),'CLM &amp; IM Mapping'!$A$2:$A$270,0)),"Not Mapped"))</f>
        <v>Srittam Dhal</v>
      </c>
      <c r="E572" s="14" t="n">
        <v>0</v>
      </c>
      <c r="F572" s="14" t="n">
        <v>63</v>
      </c>
      <c r="G572" s="14" t="n">
        <v>0</v>
      </c>
      <c r="H572" s="14" t="n">
        <v>21</v>
      </c>
      <c r="I572" s="14" t="n">
        <v>19</v>
      </c>
      <c r="J572" s="14" t="n">
        <v>52</v>
      </c>
      <c r="K572" s="14" t="n">
        <v>155</v>
      </c>
      <c r="L572" s="14" t="n">
        <v>155</v>
      </c>
      <c r="M572" s="12"/>
      <c r="N572" s="11"/>
      <c r="O572" s="23"/>
      <c r="P572" s="23"/>
      <c r="Q572" s="23"/>
      <c r="R572" s="23"/>
      <c r="S572" s="23"/>
      <c r="T572" s="23"/>
      <c r="U572" s="23"/>
      <c r="V572" s="23"/>
      <c r="W572" s="23"/>
      <c r="X572" s="23"/>
      <c r="Y572" s="23"/>
      <c r="Z572" s="23"/>
    </row>
    <row r="573" customFormat="false" ht="15.75" hidden="false" customHeight="true" outlineLevel="0" collapsed="false">
      <c r="A573" s="52" t="n">
        <v>46305</v>
      </c>
      <c r="B573" s="14" t="s">
        <v>183</v>
      </c>
      <c r="C573" s="14" t="str">
        <f aca="false" t="array" ref="C573:C573">IF(B573="","",IFERROR(INDEX('CLM &amp; IM Mapping'!$B$2:$B$270,MATCH(TRIM(B573),'CLM &amp; IM Mapping'!$A$2:$A$270,0)),"Not Mapped"))</f>
        <v>Saddam Hussain</v>
      </c>
      <c r="D573" s="14" t="str">
        <f aca="false" t="array" ref="D573:D573">IF(B573="","",IFERROR(INDEX('CLM &amp; IM Mapping'!$C$2:$C$270,MATCH(TRIM(B573),'CLM &amp; IM Mapping'!$A$2:$A$270,0)),"Not Mapped"))</f>
        <v>Un Mapped</v>
      </c>
      <c r="E573" s="14" t="n">
        <v>102</v>
      </c>
      <c r="F573" s="14" t="n">
        <v>30</v>
      </c>
      <c r="G573" s="14" t="n">
        <v>5</v>
      </c>
      <c r="H573" s="14" t="n">
        <v>12</v>
      </c>
      <c r="I573" s="14" t="n">
        <v>2</v>
      </c>
      <c r="J573" s="14" t="n">
        <v>1</v>
      </c>
      <c r="K573" s="14" t="n">
        <v>152</v>
      </c>
      <c r="L573" s="14" t="n">
        <v>111</v>
      </c>
      <c r="M573" s="12"/>
      <c r="N573" s="11"/>
      <c r="O573" s="23"/>
      <c r="P573" s="23"/>
      <c r="Q573" s="23"/>
      <c r="R573" s="23"/>
      <c r="S573" s="23"/>
      <c r="T573" s="23"/>
      <c r="U573" s="23"/>
      <c r="V573" s="23"/>
      <c r="W573" s="23"/>
      <c r="X573" s="23"/>
      <c r="Y573" s="23"/>
      <c r="Z573" s="23"/>
    </row>
    <row r="574" customFormat="false" ht="15.75" hidden="false" customHeight="true" outlineLevel="0" collapsed="false">
      <c r="A574" s="52" t="n">
        <v>46305</v>
      </c>
      <c r="B574" s="14" t="s">
        <v>397</v>
      </c>
      <c r="C574" s="14" t="str">
        <f aca="false" t="array" ref="C574:C574">IF(B574="","",IFERROR(INDEX('CLM &amp; IM Mapping'!$B$2:$B$270,MATCH(TRIM(B574),'CLM &amp; IM Mapping'!$A$2:$A$270,0)),"Not Mapped"))</f>
        <v>Akshay P</v>
      </c>
      <c r="D574" s="14" t="str">
        <f aca="false" t="array" ref="D574:D574">IF(B574="","",IFERROR(INDEX('CLM &amp; IM Mapping'!$C$2:$C$270,MATCH(TRIM(B574),'CLM &amp; IM Mapping'!$A$2:$A$270,0)),"Not Mapped"))</f>
        <v>Srittam Dhal</v>
      </c>
      <c r="E574" s="14" t="n">
        <v>40</v>
      </c>
      <c r="F574" s="14" t="n">
        <v>37</v>
      </c>
      <c r="G574" s="14" t="n">
        <v>23</v>
      </c>
      <c r="H574" s="14" t="n">
        <v>20</v>
      </c>
      <c r="I574" s="14" t="n">
        <v>12</v>
      </c>
      <c r="J574" s="14" t="n">
        <v>20</v>
      </c>
      <c r="K574" s="14" t="n">
        <v>152</v>
      </c>
      <c r="L574" s="14" t="n">
        <v>81</v>
      </c>
      <c r="M574" s="12"/>
      <c r="N574" s="11"/>
      <c r="O574" s="23"/>
      <c r="P574" s="23"/>
      <c r="Q574" s="23"/>
      <c r="R574" s="23"/>
      <c r="S574" s="23"/>
      <c r="T574" s="23"/>
      <c r="U574" s="23"/>
      <c r="V574" s="23"/>
      <c r="W574" s="23"/>
      <c r="X574" s="23"/>
      <c r="Y574" s="23"/>
      <c r="Z574" s="23"/>
    </row>
    <row r="575" customFormat="false" ht="15.75" hidden="false" customHeight="true" outlineLevel="0" collapsed="false">
      <c r="A575" s="52" t="n">
        <v>46305</v>
      </c>
      <c r="B575" s="14" t="s">
        <v>474</v>
      </c>
      <c r="C575" s="14" t="str">
        <f aca="false" t="array" ref="C575:C575">IF(B575="","",IFERROR(INDEX('CLM &amp; IM Mapping'!$B$2:$B$270,MATCH(TRIM(B575),'CLM &amp; IM Mapping'!$A$2:$A$270,0)),"Not Mapped"))</f>
        <v>Silambarasan E</v>
      </c>
      <c r="D575" s="14" t="str">
        <f aca="false" t="array" ref="D575:D575">IF(B575="","",IFERROR(INDEX('CLM &amp; IM Mapping'!$C$2:$C$270,MATCH(TRIM(B575),'CLM &amp; IM Mapping'!$A$2:$A$270,0)),"Not Mapped"))</f>
        <v>Arivind S</v>
      </c>
      <c r="E575" s="14" t="n">
        <v>6</v>
      </c>
      <c r="F575" s="14" t="n">
        <v>49</v>
      </c>
      <c r="G575" s="14" t="n">
        <v>54</v>
      </c>
      <c r="H575" s="14" t="n">
        <v>36</v>
      </c>
      <c r="I575" s="14" t="n">
        <v>6</v>
      </c>
      <c r="J575" s="14" t="n">
        <v>0</v>
      </c>
      <c r="K575" s="14" t="n">
        <v>151</v>
      </c>
      <c r="L575" s="14" t="n">
        <v>149</v>
      </c>
      <c r="M575" s="12"/>
      <c r="N575" s="11"/>
      <c r="O575" s="23"/>
      <c r="P575" s="23"/>
      <c r="Q575" s="23"/>
      <c r="R575" s="23"/>
      <c r="S575" s="23"/>
      <c r="T575" s="23"/>
      <c r="U575" s="23"/>
      <c r="V575" s="23"/>
      <c r="W575" s="23"/>
      <c r="X575" s="23"/>
      <c r="Y575" s="23"/>
      <c r="Z575" s="23"/>
    </row>
    <row r="576" customFormat="false" ht="15.75" hidden="false" customHeight="true" outlineLevel="0" collapsed="false">
      <c r="A576" s="52" t="n">
        <v>46305</v>
      </c>
      <c r="B576" s="14" t="s">
        <v>173</v>
      </c>
      <c r="C576" s="14" t="str">
        <f aca="false" t="array" ref="C576:C576">IF(B576="","",IFERROR(INDEX('CLM &amp; IM Mapping'!$B$2:$B$270,MATCH(TRIM(B576),'CLM &amp; IM Mapping'!$A$2:$A$270,0)),"Not Mapped"))</f>
        <v>Akshay P</v>
      </c>
      <c r="D576" s="14" t="str">
        <f aca="false" t="array" ref="D576:D576">IF(B576="","",IFERROR(INDEX('CLM &amp; IM Mapping'!$C$2:$C$270,MATCH(TRIM(B576),'CLM &amp; IM Mapping'!$A$2:$A$270,0)),"Not Mapped"))</f>
        <v>Srittam Dhal</v>
      </c>
      <c r="E576" s="14" t="n">
        <v>20</v>
      </c>
      <c r="F576" s="14" t="n">
        <v>89</v>
      </c>
      <c r="G576" s="14" t="n">
        <v>15</v>
      </c>
      <c r="H576" s="14" t="n">
        <v>0</v>
      </c>
      <c r="I576" s="14" t="n">
        <v>2</v>
      </c>
      <c r="J576" s="14" t="n">
        <v>24</v>
      </c>
      <c r="K576" s="14" t="n">
        <v>150</v>
      </c>
      <c r="L576" s="14" t="n">
        <v>140</v>
      </c>
      <c r="M576" s="12"/>
      <c r="N576" s="11"/>
      <c r="O576" s="23"/>
      <c r="P576" s="23"/>
      <c r="Q576" s="23"/>
      <c r="R576" s="23"/>
      <c r="S576" s="23"/>
      <c r="T576" s="23"/>
      <c r="U576" s="23"/>
      <c r="V576" s="23"/>
      <c r="W576" s="23"/>
      <c r="X576" s="23"/>
      <c r="Y576" s="23"/>
      <c r="Z576" s="23"/>
    </row>
    <row r="577" customFormat="false" ht="15.75" hidden="false" customHeight="true" outlineLevel="0" collapsed="false">
      <c r="A577" s="52" t="n">
        <v>46305</v>
      </c>
      <c r="B577" s="14" t="s">
        <v>407</v>
      </c>
      <c r="C577" s="14" t="str">
        <f aca="false" t="array" ref="C577:C577">IF(B577="","",IFERROR(INDEX('CLM &amp; IM Mapping'!$B$2:$B$270,MATCH(TRIM(B577),'CLM &amp; IM Mapping'!$A$2:$A$270,0)),"Not Mapped"))</f>
        <v>Rizwan Ahmed</v>
      </c>
      <c r="D577" s="14" t="str">
        <f aca="false" t="array" ref="D577:D577">IF(B577="","",IFERROR(INDEX('CLM &amp; IM Mapping'!$C$2:$C$270,MATCH(TRIM(B577),'CLM &amp; IM Mapping'!$A$2:$A$270,0)),"Not Mapped"))</f>
        <v>Un Mapped</v>
      </c>
      <c r="E577" s="14" t="n">
        <v>1</v>
      </c>
      <c r="F577" s="14" t="n">
        <v>14</v>
      </c>
      <c r="G577" s="14" t="n">
        <v>1</v>
      </c>
      <c r="H577" s="14" t="n">
        <v>31</v>
      </c>
      <c r="I577" s="14" t="n">
        <v>80</v>
      </c>
      <c r="J577" s="14" t="n">
        <v>23</v>
      </c>
      <c r="K577" s="14" t="n">
        <v>150</v>
      </c>
      <c r="L577" s="14" t="n">
        <v>141</v>
      </c>
      <c r="M577" s="12"/>
      <c r="N577" s="11"/>
      <c r="O577" s="23"/>
      <c r="P577" s="23"/>
      <c r="Q577" s="23"/>
      <c r="R577" s="23"/>
      <c r="S577" s="23"/>
      <c r="T577" s="23"/>
      <c r="U577" s="23"/>
      <c r="V577" s="23"/>
      <c r="W577" s="23"/>
      <c r="X577" s="23"/>
      <c r="Y577" s="23"/>
      <c r="Z577" s="23"/>
    </row>
    <row r="578" customFormat="false" ht="15.75" hidden="false" customHeight="true" outlineLevel="0" collapsed="false">
      <c r="A578" s="52" t="n">
        <v>46305</v>
      </c>
      <c r="B578" s="14" t="s">
        <v>296</v>
      </c>
      <c r="C578" s="14" t="str">
        <f aca="false" t="array" ref="C578:C578">IF(B578="","",IFERROR(INDEX('CLM &amp; IM Mapping'!$B$2:$B$270,MATCH(TRIM(B578),'CLM &amp; IM Mapping'!$A$2:$A$270,0)),"Not Mapped"))</f>
        <v>Balaji G</v>
      </c>
      <c r="D578" s="14" t="str">
        <f aca="false" t="array" ref="D578:D578">IF(B578="","",IFERROR(INDEX('CLM &amp; IM Mapping'!$C$2:$C$270,MATCH(TRIM(B578),'CLM &amp; IM Mapping'!$A$2:$A$270,0)),"Not Mapped"))</f>
        <v>Mohammed Akbar</v>
      </c>
      <c r="E578" s="14" t="n">
        <v>21</v>
      </c>
      <c r="F578" s="14" t="n">
        <v>20</v>
      </c>
      <c r="G578" s="14" t="n">
        <v>0</v>
      </c>
      <c r="H578" s="14" t="n">
        <v>4</v>
      </c>
      <c r="I578" s="14" t="n">
        <v>56</v>
      </c>
      <c r="J578" s="14" t="n">
        <v>48</v>
      </c>
      <c r="K578" s="14" t="n">
        <v>149</v>
      </c>
      <c r="L578" s="14" t="n">
        <v>148</v>
      </c>
      <c r="M578" s="12"/>
      <c r="N578" s="11"/>
      <c r="O578" s="23"/>
      <c r="P578" s="23"/>
      <c r="Q578" s="23"/>
      <c r="R578" s="23"/>
      <c r="S578" s="23"/>
      <c r="T578" s="23"/>
      <c r="U578" s="23"/>
      <c r="V578" s="23"/>
      <c r="W578" s="23"/>
      <c r="X578" s="23"/>
      <c r="Y578" s="23"/>
      <c r="Z578" s="23"/>
    </row>
    <row r="579" customFormat="false" ht="15.75" hidden="false" customHeight="true" outlineLevel="0" collapsed="false">
      <c r="A579" s="52" t="n">
        <v>46305</v>
      </c>
      <c r="B579" s="14" t="s">
        <v>208</v>
      </c>
      <c r="C579" s="14" t="str">
        <f aca="false" t="array" ref="C579:C579">IF(B579="","",IFERROR(INDEX('CLM &amp; IM Mapping'!$B$2:$B$270,MATCH(TRIM(B579),'CLM &amp; IM Mapping'!$A$2:$A$270,0)),"Not Mapped"))</f>
        <v>Silambarasan E</v>
      </c>
      <c r="D579" s="14" t="str">
        <f aca="false" t="array" ref="D579:D579">IF(B579="","",IFERROR(INDEX('CLM &amp; IM Mapping'!$C$2:$C$270,MATCH(TRIM(B579),'CLM &amp; IM Mapping'!$A$2:$A$270,0)),"Not Mapped"))</f>
        <v>Arivind S</v>
      </c>
      <c r="E579" s="14" t="n">
        <v>0</v>
      </c>
      <c r="F579" s="14" t="n">
        <v>48</v>
      </c>
      <c r="G579" s="14" t="n">
        <v>0</v>
      </c>
      <c r="H579" s="14" t="n">
        <v>47</v>
      </c>
      <c r="I579" s="14" t="n">
        <v>24</v>
      </c>
      <c r="J579" s="14" t="n">
        <v>29</v>
      </c>
      <c r="K579" s="14" t="n">
        <v>148</v>
      </c>
      <c r="L579" s="14" t="n">
        <v>142</v>
      </c>
      <c r="M579" s="12"/>
      <c r="N579" s="11"/>
      <c r="O579" s="23"/>
      <c r="P579" s="23"/>
      <c r="Q579" s="23"/>
      <c r="R579" s="23"/>
      <c r="S579" s="23"/>
      <c r="T579" s="23"/>
      <c r="U579" s="23"/>
      <c r="V579" s="23"/>
      <c r="W579" s="23"/>
      <c r="X579" s="23"/>
      <c r="Y579" s="23"/>
      <c r="Z579" s="23"/>
    </row>
    <row r="580" customFormat="false" ht="15.75" hidden="false" customHeight="true" outlineLevel="0" collapsed="false">
      <c r="A580" s="52" t="n">
        <v>46305</v>
      </c>
      <c r="B580" s="14" t="s">
        <v>493</v>
      </c>
      <c r="C580" s="14" t="str">
        <f aca="false" t="array" ref="C580:C580">IF(B580="","",IFERROR(INDEX('CLM &amp; IM Mapping'!$B$2:$B$270,MATCH(TRIM(B580),'CLM &amp; IM Mapping'!$A$2:$A$270,0)),"Not Mapped"))</f>
        <v>Santhosha M</v>
      </c>
      <c r="D580" s="14" t="str">
        <f aca="false" t="array" ref="D580:D580">IF(B580="","",IFERROR(INDEX('CLM &amp; IM Mapping'!$C$2:$C$270,MATCH(TRIM(B580),'CLM &amp; IM Mapping'!$A$2:$A$270,0)),"Not Mapped"))</f>
        <v>Aravind S</v>
      </c>
      <c r="E580" s="14" t="n">
        <v>0</v>
      </c>
      <c r="F580" s="14" t="n">
        <v>122</v>
      </c>
      <c r="G580" s="14" t="n">
        <v>0</v>
      </c>
      <c r="H580" s="14" t="n">
        <v>5</v>
      </c>
      <c r="I580" s="14" t="n">
        <v>4</v>
      </c>
      <c r="J580" s="14" t="n">
        <v>16</v>
      </c>
      <c r="K580" s="14" t="n">
        <v>147</v>
      </c>
      <c r="L580" s="14" t="n">
        <v>90</v>
      </c>
      <c r="M580" s="12"/>
      <c r="N580" s="11"/>
      <c r="O580" s="23"/>
      <c r="P580" s="23"/>
      <c r="Q580" s="23"/>
      <c r="R580" s="23"/>
      <c r="S580" s="23"/>
      <c r="T580" s="23"/>
      <c r="U580" s="23"/>
      <c r="V580" s="23"/>
      <c r="W580" s="23"/>
      <c r="X580" s="23"/>
      <c r="Y580" s="23"/>
      <c r="Z580" s="23"/>
    </row>
    <row r="581" customFormat="false" ht="15.75" hidden="false" customHeight="true" outlineLevel="0" collapsed="false">
      <c r="A581" s="52" t="n">
        <v>46305</v>
      </c>
      <c r="B581" s="14" t="s">
        <v>156</v>
      </c>
      <c r="C581" s="14" t="str">
        <f aca="false" t="array" ref="C581:C581">IF(B581="","",IFERROR(INDEX('CLM &amp; IM Mapping'!$B$2:$B$270,MATCH(TRIM(B581),'CLM &amp; IM Mapping'!$A$2:$A$270,0)),"Not Mapped"))</f>
        <v>Manoj Kj</v>
      </c>
      <c r="D581" s="14" t="str">
        <f aca="false" t="array" ref="D581:D581">IF(B581="","",IFERROR(INDEX('CLM &amp; IM Mapping'!$C$2:$C$270,MATCH(TRIM(B581),'CLM &amp; IM Mapping'!$A$2:$A$270,0)),"Not Mapped"))</f>
        <v>Srittam Dhal</v>
      </c>
      <c r="E581" s="14" t="n">
        <v>29</v>
      </c>
      <c r="F581" s="14" t="n">
        <v>31</v>
      </c>
      <c r="G581" s="14" t="n">
        <v>0</v>
      </c>
      <c r="H581" s="14" t="n">
        <v>68</v>
      </c>
      <c r="I581" s="14" t="n">
        <v>0</v>
      </c>
      <c r="J581" s="14" t="n">
        <v>18</v>
      </c>
      <c r="K581" s="14" t="n">
        <v>146</v>
      </c>
      <c r="L581" s="14" t="n">
        <v>130</v>
      </c>
      <c r="M581" s="12"/>
      <c r="N581" s="11"/>
      <c r="O581" s="23"/>
      <c r="P581" s="23"/>
      <c r="Q581" s="23"/>
      <c r="R581" s="23"/>
      <c r="S581" s="23"/>
      <c r="T581" s="23"/>
      <c r="U581" s="23"/>
      <c r="V581" s="23"/>
      <c r="W581" s="23"/>
      <c r="X581" s="23"/>
      <c r="Y581" s="23"/>
      <c r="Z581" s="23"/>
    </row>
    <row r="582" customFormat="false" ht="15.75" hidden="false" customHeight="true" outlineLevel="0" collapsed="false">
      <c r="A582" s="52" t="n">
        <v>46305</v>
      </c>
      <c r="B582" s="14" t="s">
        <v>68</v>
      </c>
      <c r="C582" s="14" t="str">
        <f aca="false" t="array" ref="C582:C582">IF(B582="","",IFERROR(INDEX('CLM &amp; IM Mapping'!$B$2:$B$270,MATCH(TRIM(B582),'CLM &amp; IM Mapping'!$A$2:$A$270,0)),"Not Mapped"))</f>
        <v>Girish N</v>
      </c>
      <c r="D582" s="14" t="str">
        <f aca="false" t="array" ref="D582:D582">IF(B582="","",IFERROR(INDEX('CLM &amp; IM Mapping'!$C$2:$C$270,MATCH(TRIM(B582),'CLM &amp; IM Mapping'!$A$2:$A$270,0)),"Not Mapped"))</f>
        <v>Un Mapped</v>
      </c>
      <c r="E582" s="14" t="n">
        <v>0</v>
      </c>
      <c r="F582" s="14" t="n">
        <v>22</v>
      </c>
      <c r="G582" s="14" t="n">
        <v>0</v>
      </c>
      <c r="H582" s="14" t="n">
        <v>110</v>
      </c>
      <c r="I582" s="14" t="n">
        <v>8</v>
      </c>
      <c r="J582" s="14" t="n">
        <v>1</v>
      </c>
      <c r="K582" s="14" t="n">
        <v>141</v>
      </c>
      <c r="L582" s="14" t="n">
        <v>141</v>
      </c>
      <c r="M582" s="12"/>
      <c r="N582" s="11"/>
      <c r="O582" s="23"/>
      <c r="P582" s="23"/>
      <c r="Q582" s="23"/>
      <c r="R582" s="23"/>
      <c r="S582" s="23"/>
      <c r="T582" s="23"/>
      <c r="U582" s="23"/>
      <c r="V582" s="23"/>
      <c r="W582" s="23"/>
      <c r="X582" s="23"/>
      <c r="Y582" s="23"/>
      <c r="Z582" s="23"/>
    </row>
    <row r="583" customFormat="false" ht="15.75" hidden="false" customHeight="true" outlineLevel="0" collapsed="false">
      <c r="A583" s="52" t="n">
        <v>46305</v>
      </c>
      <c r="B583" s="14" t="s">
        <v>41</v>
      </c>
      <c r="C583" s="14" t="str">
        <f aca="false" t="array" ref="C583:C583">IF(B583="","",IFERROR(INDEX('CLM &amp; IM Mapping'!$B$2:$B$270,MATCH(TRIM(B583),'CLM &amp; IM Mapping'!$A$2:$A$270,0)),"Not Mapped"))</f>
        <v>Rizwan Ahmed</v>
      </c>
      <c r="D583" s="14" t="str">
        <f aca="false" t="array" ref="D583:D583">IF(B583="","",IFERROR(INDEX('CLM &amp; IM Mapping'!$C$2:$C$270,MATCH(TRIM(B583),'CLM &amp; IM Mapping'!$A$2:$A$270,0)),"Not Mapped"))</f>
        <v>Un Mapped</v>
      </c>
      <c r="E583" s="14" t="n">
        <v>10</v>
      </c>
      <c r="F583" s="14" t="n">
        <v>20</v>
      </c>
      <c r="G583" s="14" t="n">
        <v>0</v>
      </c>
      <c r="H583" s="14" t="n">
        <v>57</v>
      </c>
      <c r="I583" s="14" t="n">
        <v>2</v>
      </c>
      <c r="J583" s="14" t="n">
        <v>52</v>
      </c>
      <c r="K583" s="14" t="n">
        <v>141</v>
      </c>
      <c r="L583" s="14" t="n">
        <v>141</v>
      </c>
      <c r="M583" s="12"/>
      <c r="N583" s="11"/>
      <c r="O583" s="23"/>
      <c r="P583" s="23"/>
      <c r="Q583" s="23"/>
      <c r="R583" s="23"/>
      <c r="S583" s="23"/>
      <c r="T583" s="23"/>
      <c r="U583" s="23"/>
      <c r="V583" s="23"/>
      <c r="W583" s="23"/>
      <c r="X583" s="23"/>
      <c r="Y583" s="23"/>
      <c r="Z583" s="23"/>
    </row>
    <row r="584" customFormat="false" ht="15.75" hidden="false" customHeight="true" outlineLevel="0" collapsed="false">
      <c r="A584" s="52" t="n">
        <v>46305</v>
      </c>
      <c r="B584" s="14" t="s">
        <v>508</v>
      </c>
      <c r="C584" s="14" t="str">
        <f aca="false" t="array" ref="C584:C584">IF(B584="","",IFERROR(INDEX('CLM &amp; IM Mapping'!$B$2:$B$270,MATCH(TRIM(B584),'CLM &amp; IM Mapping'!$A$2:$A$270,0)),"Not Mapped"))</f>
        <v>Ravishankar gowda</v>
      </c>
      <c r="D584" s="14" t="str">
        <f aca="false" t="array" ref="D584:D584">IF(B584="","",IFERROR(INDEX('CLM &amp; IM Mapping'!$C$2:$C$270,MATCH(TRIM(B584),'CLM &amp; IM Mapping'!$A$2:$A$270,0)),"Not Mapped"))</f>
        <v>Kishor K</v>
      </c>
      <c r="E584" s="14" t="n">
        <v>0</v>
      </c>
      <c r="F584" s="14" t="n">
        <v>47</v>
      </c>
      <c r="G584" s="14" t="n">
        <v>13</v>
      </c>
      <c r="H584" s="14" t="n">
        <v>14</v>
      </c>
      <c r="I584" s="14" t="n">
        <v>21</v>
      </c>
      <c r="J584" s="14" t="n">
        <v>45</v>
      </c>
      <c r="K584" s="14" t="n">
        <v>140</v>
      </c>
      <c r="L584" s="14" t="n">
        <v>140</v>
      </c>
      <c r="M584" s="12"/>
      <c r="N584" s="11"/>
      <c r="O584" s="23"/>
      <c r="P584" s="23"/>
      <c r="Q584" s="23"/>
      <c r="R584" s="23"/>
      <c r="S584" s="23"/>
      <c r="T584" s="23"/>
      <c r="U584" s="23"/>
      <c r="V584" s="23"/>
      <c r="W584" s="23"/>
      <c r="X584" s="23"/>
      <c r="Y584" s="23"/>
      <c r="Z584" s="23"/>
    </row>
    <row r="585" customFormat="false" ht="15.75" hidden="false" customHeight="true" outlineLevel="0" collapsed="false">
      <c r="A585" s="52" t="n">
        <v>46305</v>
      </c>
      <c r="B585" s="14" t="s">
        <v>300</v>
      </c>
      <c r="C585" s="14" t="str">
        <f aca="false" t="array" ref="C585:C585">IF(B585="","",IFERROR(INDEX('CLM &amp; IM Mapping'!$B$2:$B$270,MATCH(TRIM(B585),'CLM &amp; IM Mapping'!$A$2:$A$270,0)),"Not Mapped"))</f>
        <v>Bangareppa CS</v>
      </c>
      <c r="D585" s="14" t="str">
        <f aca="false" t="array" ref="D585:D585">IF(B585="","",IFERROR(INDEX('CLM &amp; IM Mapping'!$C$2:$C$270,MATCH(TRIM(B585),'CLM &amp; IM Mapping'!$A$2:$A$270,0)),"Not Mapped"))</f>
        <v>Kishor K</v>
      </c>
      <c r="E585" s="14" t="n">
        <v>16</v>
      </c>
      <c r="F585" s="14" t="n">
        <v>37</v>
      </c>
      <c r="G585" s="14" t="n">
        <v>48</v>
      </c>
      <c r="H585" s="14" t="n">
        <v>4</v>
      </c>
      <c r="I585" s="14" t="n">
        <v>16</v>
      </c>
      <c r="J585" s="14" t="n">
        <v>18</v>
      </c>
      <c r="K585" s="14" t="n">
        <v>139</v>
      </c>
      <c r="L585" s="14" t="n">
        <v>118</v>
      </c>
      <c r="M585" s="12"/>
      <c r="N585" s="11"/>
      <c r="O585" s="23"/>
      <c r="P585" s="23"/>
      <c r="Q585" s="23"/>
      <c r="R585" s="23"/>
      <c r="S585" s="23"/>
      <c r="T585" s="23"/>
      <c r="U585" s="23"/>
      <c r="V585" s="23"/>
      <c r="W585" s="23"/>
      <c r="X585" s="23"/>
      <c r="Y585" s="23"/>
      <c r="Z585" s="23"/>
    </row>
    <row r="586" customFormat="false" ht="15.75" hidden="false" customHeight="true" outlineLevel="0" collapsed="false">
      <c r="A586" s="52" t="n">
        <v>46305</v>
      </c>
      <c r="B586" s="14" t="s">
        <v>319</v>
      </c>
      <c r="C586" s="14" t="str">
        <f aca="false" t="array" ref="C586:C586">IF(B586="","",IFERROR(INDEX('CLM &amp; IM Mapping'!$B$2:$B$270,MATCH(TRIM(B586),'CLM &amp; IM Mapping'!$A$2:$A$270,0)),"Not Mapped"))</f>
        <v>John Britto</v>
      </c>
      <c r="D586" s="14" t="str">
        <f aca="false" t="array" ref="D586:D586">IF(B586="","",IFERROR(INDEX('CLM &amp; IM Mapping'!$C$2:$C$270,MATCH(TRIM(B586),'CLM &amp; IM Mapping'!$A$2:$A$270,0)),"Not Mapped"))</f>
        <v>Aravind S</v>
      </c>
      <c r="E586" s="14" t="n">
        <v>0</v>
      </c>
      <c r="F586" s="14" t="n">
        <v>53</v>
      </c>
      <c r="G586" s="14" t="n">
        <v>0</v>
      </c>
      <c r="H586" s="14" t="n">
        <v>12</v>
      </c>
      <c r="I586" s="14" t="n">
        <v>42</v>
      </c>
      <c r="J586" s="14" t="n">
        <v>30</v>
      </c>
      <c r="K586" s="14" t="n">
        <v>137</v>
      </c>
      <c r="L586" s="14" t="n">
        <v>122</v>
      </c>
      <c r="M586" s="12"/>
      <c r="N586" s="11"/>
      <c r="O586" s="23"/>
      <c r="P586" s="23"/>
      <c r="Q586" s="23"/>
      <c r="R586" s="23"/>
      <c r="S586" s="23"/>
      <c r="T586" s="23"/>
      <c r="U586" s="23"/>
      <c r="V586" s="23"/>
      <c r="W586" s="23"/>
      <c r="X586" s="23"/>
      <c r="Y586" s="23"/>
      <c r="Z586" s="23"/>
    </row>
    <row r="587" customFormat="false" ht="15.75" hidden="false" customHeight="true" outlineLevel="0" collapsed="false">
      <c r="A587" s="52" t="n">
        <v>46305</v>
      </c>
      <c r="B587" s="14" t="s">
        <v>309</v>
      </c>
      <c r="C587" s="14" t="str">
        <f aca="false" t="array" ref="C587:C587">IF(B587="","",IFERROR(INDEX('CLM &amp; IM Mapping'!$B$2:$B$270,MATCH(TRIM(B587),'CLM &amp; IM Mapping'!$A$2:$A$270,0)),"Not Mapped"))</f>
        <v>Ashwath S</v>
      </c>
      <c r="D587" s="14" t="str">
        <f aca="false" t="array" ref="D587:D587">IF(B587="","",IFERROR(INDEX('CLM &amp; IM Mapping'!$C$2:$C$270,MATCH(TRIM(B587),'CLM &amp; IM Mapping'!$A$2:$A$270,0)),"Not Mapped"))</f>
        <v>Kantha Kumar</v>
      </c>
      <c r="E587" s="14" t="n">
        <v>0</v>
      </c>
      <c r="F587" s="14" t="n">
        <v>14</v>
      </c>
      <c r="G587" s="14" t="n">
        <v>89</v>
      </c>
      <c r="H587" s="14" t="n">
        <v>5</v>
      </c>
      <c r="I587" s="14" t="n">
        <v>1</v>
      </c>
      <c r="J587" s="14" t="n">
        <v>26</v>
      </c>
      <c r="K587" s="14" t="n">
        <v>135</v>
      </c>
      <c r="L587" s="14" t="n">
        <v>121</v>
      </c>
      <c r="M587" s="12"/>
      <c r="N587" s="11"/>
      <c r="O587" s="23"/>
      <c r="P587" s="23"/>
      <c r="Q587" s="23"/>
      <c r="R587" s="23"/>
      <c r="S587" s="23"/>
      <c r="T587" s="23"/>
      <c r="U587" s="23"/>
      <c r="V587" s="23"/>
      <c r="W587" s="23"/>
      <c r="X587" s="23"/>
      <c r="Y587" s="23"/>
      <c r="Z587" s="23"/>
    </row>
    <row r="588" customFormat="false" ht="15.75" hidden="false" customHeight="true" outlineLevel="0" collapsed="false">
      <c r="A588" s="52" t="n">
        <v>46305</v>
      </c>
      <c r="B588" s="14" t="s">
        <v>412</v>
      </c>
      <c r="C588" s="14" t="str">
        <f aca="false" t="array" ref="C588:C588">IF(B588="","",IFERROR(INDEX('CLM &amp; IM Mapping'!$B$2:$B$270,MATCH(TRIM(B588),'CLM &amp; IM Mapping'!$A$2:$A$270,0)),"Not Mapped"))</f>
        <v>Richard Harris</v>
      </c>
      <c r="D588" s="14" t="str">
        <f aca="false" t="array" ref="D588:D588">IF(B588="","",IFERROR(INDEX('CLM &amp; IM Mapping'!$C$2:$C$270,MATCH(TRIM(B588),'CLM &amp; IM Mapping'!$A$2:$A$270,0)),"Not Mapped"))</f>
        <v>Kantha Kumar</v>
      </c>
      <c r="E588" s="14" t="n">
        <v>17</v>
      </c>
      <c r="F588" s="14" t="n">
        <v>63</v>
      </c>
      <c r="G588" s="14" t="n">
        <v>17</v>
      </c>
      <c r="H588" s="14" t="n">
        <v>11</v>
      </c>
      <c r="I588" s="14" t="n">
        <v>3</v>
      </c>
      <c r="J588" s="14" t="n">
        <v>15</v>
      </c>
      <c r="K588" s="14" t="n">
        <v>126</v>
      </c>
      <c r="L588" s="14" t="n">
        <v>126</v>
      </c>
      <c r="M588" s="12"/>
      <c r="N588" s="11"/>
      <c r="O588" s="23"/>
      <c r="P588" s="23"/>
      <c r="Q588" s="23"/>
      <c r="R588" s="23"/>
      <c r="S588" s="23"/>
      <c r="T588" s="23"/>
      <c r="U588" s="23"/>
      <c r="V588" s="23"/>
      <c r="W588" s="23"/>
      <c r="X588" s="23"/>
      <c r="Y588" s="23"/>
      <c r="Z588" s="23"/>
    </row>
    <row r="589" customFormat="false" ht="15.75" hidden="false" customHeight="true" outlineLevel="0" collapsed="false">
      <c r="A589" s="52" t="n">
        <v>46305</v>
      </c>
      <c r="B589" s="14" t="s">
        <v>134</v>
      </c>
      <c r="C589" s="14" t="str">
        <f aca="false" t="array" ref="C589:C589">IF(B589="","",IFERROR(INDEX('CLM &amp; IM Mapping'!$B$2:$B$270,MATCH(TRIM(B589),'CLM &amp; IM Mapping'!$A$2:$A$270,0)),"Not Mapped"))</f>
        <v>Raghavendra Vernekar</v>
      </c>
      <c r="D589" s="14" t="str">
        <f aca="false" t="array" ref="D589:D589">IF(B589="","",IFERROR(INDEX('CLM &amp; IM Mapping'!$C$2:$C$270,MATCH(TRIM(B589),'CLM &amp; IM Mapping'!$A$2:$A$270,0)),"Not Mapped"))</f>
        <v>Prakash BS</v>
      </c>
      <c r="E589" s="14" t="n">
        <v>0</v>
      </c>
      <c r="F589" s="14" t="n">
        <v>5</v>
      </c>
      <c r="G589" s="14" t="n">
        <v>23</v>
      </c>
      <c r="H589" s="14" t="n">
        <v>63</v>
      </c>
      <c r="I589" s="14" t="n">
        <v>22</v>
      </c>
      <c r="J589" s="14" t="n">
        <v>12</v>
      </c>
      <c r="K589" s="14" t="n">
        <v>125</v>
      </c>
      <c r="L589" s="14" t="n">
        <v>91</v>
      </c>
      <c r="M589" s="12"/>
      <c r="N589" s="11"/>
      <c r="O589" s="23"/>
      <c r="P589" s="23"/>
      <c r="Q589" s="23"/>
      <c r="R589" s="23"/>
      <c r="S589" s="23"/>
      <c r="T589" s="23"/>
      <c r="U589" s="23"/>
      <c r="V589" s="23"/>
      <c r="W589" s="23"/>
      <c r="X589" s="23"/>
      <c r="Y589" s="23"/>
      <c r="Z589" s="23"/>
    </row>
    <row r="590" customFormat="false" ht="15.75" hidden="false" customHeight="true" outlineLevel="0" collapsed="false">
      <c r="A590" s="52" t="n">
        <v>46305</v>
      </c>
      <c r="B590" s="14" t="s">
        <v>317</v>
      </c>
      <c r="C590" s="14" t="str">
        <f aca="false" t="array" ref="C590:C590">IF(B590="","",IFERROR(INDEX('CLM &amp; IM Mapping'!$B$2:$B$270,MATCH(TRIM(B590),'CLM &amp; IM Mapping'!$A$2:$A$270,0)),"Not Mapped"))</f>
        <v>Akshay P</v>
      </c>
      <c r="D590" s="14" t="str">
        <f aca="false" t="array" ref="D590:D590">IF(B590="","",IFERROR(INDEX('CLM &amp; IM Mapping'!$C$2:$C$270,MATCH(TRIM(B590),'CLM &amp; IM Mapping'!$A$2:$A$270,0)),"Not Mapped"))</f>
        <v>Srittam Dhal</v>
      </c>
      <c r="E590" s="14" t="n">
        <v>4</v>
      </c>
      <c r="F590" s="14" t="n">
        <v>47</v>
      </c>
      <c r="G590" s="14" t="n">
        <v>3</v>
      </c>
      <c r="H590" s="14" t="n">
        <v>61</v>
      </c>
      <c r="I590" s="14" t="n">
        <v>0</v>
      </c>
      <c r="J590" s="14" t="n">
        <v>10</v>
      </c>
      <c r="K590" s="14" t="n">
        <v>125</v>
      </c>
      <c r="L590" s="14" t="n">
        <v>96</v>
      </c>
      <c r="M590" s="12"/>
      <c r="N590" s="11"/>
      <c r="O590" s="23"/>
      <c r="P590" s="23"/>
      <c r="Q590" s="23"/>
      <c r="R590" s="23"/>
      <c r="S590" s="23"/>
      <c r="T590" s="23"/>
      <c r="U590" s="23"/>
      <c r="V590" s="23"/>
      <c r="W590" s="23"/>
      <c r="X590" s="23"/>
      <c r="Y590" s="23"/>
      <c r="Z590" s="23"/>
    </row>
    <row r="591" customFormat="false" ht="15.75" hidden="false" customHeight="true" outlineLevel="0" collapsed="false">
      <c r="A591" s="52" t="n">
        <v>46305</v>
      </c>
      <c r="B591" s="14" t="s">
        <v>465</v>
      </c>
      <c r="C591" s="14" t="str">
        <f aca="false" t="array" ref="C591:C591">IF(B591="","",IFERROR(INDEX('CLM &amp; IM Mapping'!$B$2:$B$270,MATCH(TRIM(B591),'CLM &amp; IM Mapping'!$A$2:$A$270,0)),"Not Mapped"))</f>
        <v>Suhas N</v>
      </c>
      <c r="D591" s="14" t="str">
        <f aca="false" t="array" ref="D591:D591">IF(B591="","",IFERROR(INDEX('CLM &amp; IM Mapping'!$C$2:$C$270,MATCH(TRIM(B591),'CLM &amp; IM Mapping'!$A$2:$A$270,0)),"Not Mapped"))</f>
        <v>Aravind S</v>
      </c>
      <c r="E591" s="14" t="n">
        <v>0</v>
      </c>
      <c r="F591" s="14" t="n">
        <v>8</v>
      </c>
      <c r="G591" s="14" t="n">
        <v>0</v>
      </c>
      <c r="H591" s="14" t="n">
        <v>47</v>
      </c>
      <c r="I591" s="14" t="n">
        <v>65</v>
      </c>
      <c r="J591" s="14" t="n">
        <v>2</v>
      </c>
      <c r="K591" s="14" t="n">
        <v>122</v>
      </c>
      <c r="L591" s="14" t="n">
        <v>122</v>
      </c>
      <c r="M591" s="12"/>
      <c r="N591" s="11"/>
      <c r="O591" s="23"/>
      <c r="P591" s="23"/>
      <c r="Q591" s="23"/>
      <c r="R591" s="23"/>
      <c r="S591" s="23"/>
      <c r="T591" s="23"/>
      <c r="U591" s="23"/>
      <c r="V591" s="23"/>
      <c r="W591" s="23"/>
      <c r="X591" s="23"/>
      <c r="Y591" s="23"/>
      <c r="Z591" s="23"/>
    </row>
    <row r="592" customFormat="false" ht="15.75" hidden="false" customHeight="true" outlineLevel="0" collapsed="false">
      <c r="A592" s="52" t="n">
        <v>46305</v>
      </c>
      <c r="B592" s="14" t="s">
        <v>526</v>
      </c>
      <c r="C592" s="14" t="str">
        <f aca="false" t="array" ref="C592:C592">IF(B592="","",IFERROR(INDEX('CLM &amp; IM Mapping'!$B$2:$B$270,MATCH(TRIM(B592),'CLM &amp; IM Mapping'!$A$2:$A$270,0)),"Not Mapped"))</f>
        <v>Sundaresh S</v>
      </c>
      <c r="D592" s="14" t="str">
        <f aca="false" t="array" ref="D592:D592">IF(B592="","",IFERROR(INDEX('CLM &amp; IM Mapping'!$C$2:$C$270,MATCH(TRIM(B592),'CLM &amp; IM Mapping'!$A$2:$A$270,0)),"Not Mapped"))</f>
        <v>Un Mapped</v>
      </c>
      <c r="E592" s="14" t="n">
        <v>16</v>
      </c>
      <c r="F592" s="14" t="n">
        <v>11</v>
      </c>
      <c r="G592" s="14" t="n">
        <v>0</v>
      </c>
      <c r="H592" s="14" t="n">
        <v>1</v>
      </c>
      <c r="I592" s="14" t="n">
        <v>12</v>
      </c>
      <c r="J592" s="14" t="n">
        <v>82</v>
      </c>
      <c r="K592" s="14" t="n">
        <v>122</v>
      </c>
      <c r="L592" s="14" t="n">
        <v>119</v>
      </c>
      <c r="M592" s="12"/>
      <c r="N592" s="11"/>
      <c r="O592" s="23"/>
      <c r="P592" s="23"/>
      <c r="Q592" s="23"/>
      <c r="R592" s="23"/>
      <c r="S592" s="23"/>
      <c r="T592" s="23"/>
      <c r="U592" s="23"/>
      <c r="V592" s="23"/>
      <c r="W592" s="23"/>
      <c r="X592" s="23"/>
      <c r="Y592" s="23"/>
      <c r="Z592" s="23"/>
    </row>
    <row r="593" customFormat="false" ht="15.75" hidden="false" customHeight="true" outlineLevel="0" collapsed="false">
      <c r="A593" s="52" t="n">
        <v>46305</v>
      </c>
      <c r="B593" s="14" t="s">
        <v>126</v>
      </c>
      <c r="C593" s="14" t="str">
        <f aca="false" t="array" ref="C593:C593">IF(B593="","",IFERROR(INDEX('CLM &amp; IM Mapping'!$B$2:$B$270,MATCH(TRIM(B593),'CLM &amp; IM Mapping'!$A$2:$A$270,0)),"Not Mapped"))</f>
        <v>Girish N</v>
      </c>
      <c r="D593" s="14" t="str">
        <f aca="false" t="array" ref="D593:D593">IF(B593="","",IFERROR(INDEX('CLM &amp; IM Mapping'!$C$2:$C$270,MATCH(TRIM(B593),'CLM &amp; IM Mapping'!$A$2:$A$270,0)),"Not Mapped"))</f>
        <v>Un Mapped</v>
      </c>
      <c r="E593" s="14" t="n">
        <v>0</v>
      </c>
      <c r="F593" s="14" t="n">
        <v>25</v>
      </c>
      <c r="G593" s="14" t="n">
        <v>0</v>
      </c>
      <c r="H593" s="14" t="n">
        <v>13</v>
      </c>
      <c r="I593" s="14" t="n">
        <v>2</v>
      </c>
      <c r="J593" s="14" t="n">
        <v>81</v>
      </c>
      <c r="K593" s="14" t="n">
        <v>121</v>
      </c>
      <c r="L593" s="14" t="n">
        <v>121</v>
      </c>
      <c r="M593" s="12"/>
      <c r="N593" s="11"/>
      <c r="O593" s="23"/>
      <c r="P593" s="23"/>
      <c r="Q593" s="23"/>
      <c r="R593" s="23"/>
      <c r="S593" s="23"/>
      <c r="T593" s="23"/>
      <c r="U593" s="23"/>
      <c r="V593" s="23"/>
      <c r="W593" s="23"/>
      <c r="X593" s="23"/>
      <c r="Y593" s="23"/>
      <c r="Z593" s="23"/>
    </row>
    <row r="594" customFormat="false" ht="15.75" hidden="false" customHeight="true" outlineLevel="0" collapsed="false">
      <c r="A594" s="52" t="n">
        <v>46305</v>
      </c>
      <c r="B594" s="14" t="s">
        <v>262</v>
      </c>
      <c r="C594" s="14" t="str">
        <f aca="false" t="array" ref="C594:C594">IF(B594="","",IFERROR(INDEX('CLM &amp; IM Mapping'!$B$2:$B$270,MATCH(TRIM(B594),'CLM &amp; IM Mapping'!$A$2:$A$270,0)),"Not Mapped"))</f>
        <v>Majid Kakatikar</v>
      </c>
      <c r="D594" s="14" t="str">
        <f aca="false" t="array" ref="D594:D594">IF(B594="","",IFERROR(INDEX('CLM &amp; IM Mapping'!$C$2:$C$270,MATCH(TRIM(B594),'CLM &amp; IM Mapping'!$A$2:$A$270,0)),"Not Mapped"))</f>
        <v>Kishor K</v>
      </c>
      <c r="E594" s="14" t="n">
        <v>7</v>
      </c>
      <c r="F594" s="14" t="n">
        <v>78</v>
      </c>
      <c r="G594" s="14" t="n">
        <v>3</v>
      </c>
      <c r="H594" s="14" t="n">
        <v>0</v>
      </c>
      <c r="I594" s="14" t="n">
        <v>29</v>
      </c>
      <c r="J594" s="14" t="n">
        <v>3</v>
      </c>
      <c r="K594" s="14" t="n">
        <v>120</v>
      </c>
      <c r="L594" s="14" t="n">
        <v>109</v>
      </c>
      <c r="M594" s="12"/>
      <c r="N594" s="11"/>
      <c r="O594" s="23"/>
      <c r="P594" s="23"/>
      <c r="Q594" s="23"/>
      <c r="R594" s="23"/>
      <c r="S594" s="23"/>
      <c r="T594" s="23"/>
      <c r="U594" s="23"/>
      <c r="V594" s="23"/>
      <c r="W594" s="23"/>
      <c r="X594" s="23"/>
      <c r="Y594" s="23"/>
      <c r="Z594" s="23"/>
    </row>
    <row r="595" customFormat="false" ht="15.75" hidden="false" customHeight="true" outlineLevel="0" collapsed="false">
      <c r="A595" s="52" t="n">
        <v>46305</v>
      </c>
      <c r="B595" s="14" t="s">
        <v>423</v>
      </c>
      <c r="C595" s="14" t="str">
        <f aca="false" t="array" ref="C595:C595">IF(B595="","",IFERROR(INDEX('CLM &amp; IM Mapping'!$B$2:$B$270,MATCH(TRIM(B595),'CLM &amp; IM Mapping'!$A$2:$A$270,0)),"Not Mapped"))</f>
        <v>Ashwath S</v>
      </c>
      <c r="D595" s="14" t="str">
        <f aca="false" t="array" ref="D595:D595">IF(B595="","",IFERROR(INDEX('CLM &amp; IM Mapping'!$C$2:$C$270,MATCH(TRIM(B595),'CLM &amp; IM Mapping'!$A$2:$A$270,0)),"Not Mapped"))</f>
        <v>Kantha Kumar</v>
      </c>
      <c r="E595" s="14" t="n">
        <v>0</v>
      </c>
      <c r="F595" s="14" t="n">
        <v>6</v>
      </c>
      <c r="G595" s="14" t="n">
        <v>0</v>
      </c>
      <c r="H595" s="14" t="n">
        <v>20</v>
      </c>
      <c r="I595" s="14" t="n">
        <v>29</v>
      </c>
      <c r="J595" s="14" t="n">
        <v>62</v>
      </c>
      <c r="K595" s="14" t="n">
        <v>117</v>
      </c>
      <c r="L595" s="14" t="n">
        <v>116</v>
      </c>
      <c r="M595" s="12"/>
      <c r="N595" s="11"/>
      <c r="O595" s="23"/>
      <c r="P595" s="23"/>
      <c r="Q595" s="23"/>
      <c r="R595" s="23"/>
      <c r="S595" s="23"/>
      <c r="T595" s="23"/>
      <c r="U595" s="23"/>
      <c r="V595" s="23"/>
      <c r="W595" s="23"/>
      <c r="X595" s="23"/>
      <c r="Y595" s="23"/>
      <c r="Z595" s="23"/>
    </row>
    <row r="596" customFormat="false" ht="15.75" hidden="false" customHeight="true" outlineLevel="0" collapsed="false">
      <c r="A596" s="52" t="n">
        <v>46305</v>
      </c>
      <c r="B596" s="14" t="s">
        <v>162</v>
      </c>
      <c r="C596" s="14" t="str">
        <f aca="false" t="array" ref="C596:C596">IF(B596="","",IFERROR(INDEX('CLM &amp; IM Mapping'!$B$2:$B$270,MATCH(TRIM(B596),'CLM &amp; IM Mapping'!$A$2:$A$270,0)),"Not Mapped"))</f>
        <v>Ashwath S</v>
      </c>
      <c r="D596" s="14" t="str">
        <f aca="false" t="array" ref="D596:D596">IF(B596="","",IFERROR(INDEX('CLM &amp; IM Mapping'!$C$2:$C$270,MATCH(TRIM(B596),'CLM &amp; IM Mapping'!$A$2:$A$270,0)),"Not Mapped"))</f>
        <v>Kantha Kumar</v>
      </c>
      <c r="E596" s="14" t="n">
        <v>22</v>
      </c>
      <c r="F596" s="14" t="n">
        <v>17</v>
      </c>
      <c r="G596" s="14" t="n">
        <v>12</v>
      </c>
      <c r="H596" s="14" t="n">
        <v>49</v>
      </c>
      <c r="I596" s="14" t="n">
        <v>16</v>
      </c>
      <c r="J596" s="14" t="n">
        <v>0</v>
      </c>
      <c r="K596" s="14" t="n">
        <v>116</v>
      </c>
      <c r="L596" s="14" t="n">
        <v>110</v>
      </c>
      <c r="M596" s="12"/>
      <c r="N596" s="11"/>
      <c r="O596" s="23"/>
      <c r="P596" s="23"/>
      <c r="Q596" s="23"/>
      <c r="R596" s="23"/>
      <c r="S596" s="23"/>
      <c r="T596" s="23"/>
      <c r="U596" s="23"/>
      <c r="V596" s="23"/>
      <c r="W596" s="23"/>
      <c r="X596" s="23"/>
      <c r="Y596" s="23"/>
      <c r="Z596" s="23"/>
    </row>
    <row r="597" customFormat="false" ht="15.75" hidden="false" customHeight="true" outlineLevel="0" collapsed="false">
      <c r="A597" s="52" t="n">
        <v>46305</v>
      </c>
      <c r="B597" s="14" t="s">
        <v>238</v>
      </c>
      <c r="C597" s="14" t="str">
        <f aca="false" t="array" ref="C597:C597">IF(B597="","",IFERROR(INDEX('CLM &amp; IM Mapping'!$B$2:$B$270,MATCH(TRIM(B597),'CLM &amp; IM Mapping'!$A$2:$A$270,0)),"Not Mapped"))</f>
        <v>Suhas N</v>
      </c>
      <c r="D597" s="14" t="str">
        <f aca="false" t="array" ref="D597:D597">IF(B597="","",IFERROR(INDEX('CLM &amp; IM Mapping'!$C$2:$C$270,MATCH(TRIM(B597),'CLM &amp; IM Mapping'!$A$2:$A$270,0)),"Not Mapped"))</f>
        <v>Aravind S</v>
      </c>
      <c r="E597" s="14" t="n">
        <v>16</v>
      </c>
      <c r="F597" s="14" t="n">
        <v>56</v>
      </c>
      <c r="G597" s="14" t="n">
        <v>19</v>
      </c>
      <c r="H597" s="14" t="n">
        <v>3</v>
      </c>
      <c r="I597" s="14" t="n">
        <v>0</v>
      </c>
      <c r="J597" s="14" t="n">
        <v>22</v>
      </c>
      <c r="K597" s="14" t="n">
        <v>116</v>
      </c>
      <c r="L597" s="14" t="n">
        <v>115</v>
      </c>
      <c r="M597" s="12"/>
      <c r="N597" s="11"/>
      <c r="O597" s="23"/>
      <c r="P597" s="23"/>
      <c r="Q597" s="23"/>
      <c r="R597" s="23"/>
      <c r="S597" s="23"/>
      <c r="T597" s="23"/>
      <c r="U597" s="23"/>
      <c r="V597" s="23"/>
      <c r="W597" s="23"/>
      <c r="X597" s="23"/>
      <c r="Y597" s="23"/>
      <c r="Z597" s="23"/>
    </row>
    <row r="598" customFormat="false" ht="15.75" hidden="false" customHeight="true" outlineLevel="0" collapsed="false">
      <c r="A598" s="52" t="n">
        <v>46305</v>
      </c>
      <c r="B598" s="14" t="s">
        <v>463</v>
      </c>
      <c r="C598" s="14" t="str">
        <f aca="false" t="array" ref="C598:C598">IF(B598="","",IFERROR(INDEX('CLM &amp; IM Mapping'!$B$2:$B$270,MATCH(TRIM(B598),'CLM &amp; IM Mapping'!$A$2:$A$270,0)),"Not Mapped"))</f>
        <v>Ashwath S</v>
      </c>
      <c r="D598" s="14" t="str">
        <f aca="false" t="array" ref="D598:D598">IF(B598="","",IFERROR(INDEX('CLM &amp; IM Mapping'!$C$2:$C$270,MATCH(TRIM(B598),'CLM &amp; IM Mapping'!$A$2:$A$270,0)),"Not Mapped"))</f>
        <v>Kantha Kumar</v>
      </c>
      <c r="E598" s="14" t="n">
        <v>2</v>
      </c>
      <c r="F598" s="14" t="n">
        <v>38</v>
      </c>
      <c r="G598" s="14" t="n">
        <v>0</v>
      </c>
      <c r="H598" s="14" t="n">
        <v>29</v>
      </c>
      <c r="I598" s="14" t="n">
        <v>14</v>
      </c>
      <c r="J598" s="14" t="n">
        <v>32</v>
      </c>
      <c r="K598" s="14" t="n">
        <v>115</v>
      </c>
      <c r="L598" s="14" t="n">
        <v>93</v>
      </c>
      <c r="M598" s="12"/>
      <c r="N598" s="11"/>
      <c r="O598" s="23"/>
      <c r="P598" s="23"/>
      <c r="Q598" s="23"/>
      <c r="R598" s="23"/>
      <c r="S598" s="23"/>
      <c r="T598" s="23"/>
      <c r="U598" s="23"/>
      <c r="V598" s="23"/>
      <c r="W598" s="23"/>
      <c r="X598" s="23"/>
      <c r="Y598" s="23"/>
      <c r="Z598" s="23"/>
    </row>
    <row r="599" customFormat="false" ht="15.75" hidden="false" customHeight="true" outlineLevel="0" collapsed="false">
      <c r="A599" s="52" t="n">
        <v>46305</v>
      </c>
      <c r="B599" s="14" t="s">
        <v>364</v>
      </c>
      <c r="C599" s="14" t="str">
        <f aca="false" t="array" ref="C599:C599">IF(B599="","",IFERROR(INDEX('CLM &amp; IM Mapping'!$B$2:$B$270,MATCH(TRIM(B599),'CLM &amp; IM Mapping'!$A$2:$A$270,0)),"Not Mapped"))</f>
        <v>Raghavendra Vernekar</v>
      </c>
      <c r="D599" s="14" t="str">
        <f aca="false" t="array" ref="D599:D599">IF(B599="","",IFERROR(INDEX('CLM &amp; IM Mapping'!$C$2:$C$270,MATCH(TRIM(B599),'CLM &amp; IM Mapping'!$A$2:$A$270,0)),"Not Mapped"))</f>
        <v>Prakash BS</v>
      </c>
      <c r="E599" s="14" t="n">
        <v>43</v>
      </c>
      <c r="F599" s="14" t="n">
        <v>11</v>
      </c>
      <c r="G599" s="14" t="n">
        <v>37</v>
      </c>
      <c r="H599" s="14" t="n">
        <v>4</v>
      </c>
      <c r="I599" s="14" t="n">
        <v>16</v>
      </c>
      <c r="J599" s="14" t="n">
        <v>2</v>
      </c>
      <c r="K599" s="14" t="n">
        <v>113</v>
      </c>
      <c r="L599" s="14" t="n">
        <v>113</v>
      </c>
      <c r="M599" s="12"/>
      <c r="N599" s="11"/>
      <c r="O599" s="23"/>
      <c r="P599" s="23"/>
      <c r="Q599" s="23"/>
      <c r="R599" s="23"/>
      <c r="S599" s="23"/>
      <c r="T599" s="23"/>
      <c r="U599" s="23"/>
      <c r="V599" s="23"/>
      <c r="W599" s="23"/>
      <c r="X599" s="23"/>
      <c r="Y599" s="23"/>
      <c r="Z599" s="23"/>
    </row>
    <row r="600" customFormat="false" ht="15.75" hidden="false" customHeight="true" outlineLevel="0" collapsed="false">
      <c r="A600" s="52" t="n">
        <v>46305</v>
      </c>
      <c r="B600" s="14" t="s">
        <v>376</v>
      </c>
      <c r="C600" s="14" t="str">
        <f aca="false" t="array" ref="C600:C600">IF(B600="","",IFERROR(INDEX('CLM &amp; IM Mapping'!$B$2:$B$270,MATCH(TRIM(B600),'CLM &amp; IM Mapping'!$A$2:$A$270,0)),"Not Mapped"))</f>
        <v>Sundaresh S</v>
      </c>
      <c r="D600" s="14" t="str">
        <f aca="false" t="array" ref="D600:D600">IF(B600="","",IFERROR(INDEX('CLM &amp; IM Mapping'!$C$2:$C$270,MATCH(TRIM(B600),'CLM &amp; IM Mapping'!$A$2:$A$270,0)),"Not Mapped"))</f>
        <v>Un Mapped</v>
      </c>
      <c r="E600" s="14" t="n">
        <v>41</v>
      </c>
      <c r="F600" s="14" t="n">
        <v>51</v>
      </c>
      <c r="G600" s="14" t="n">
        <v>0</v>
      </c>
      <c r="H600" s="14" t="n">
        <v>8</v>
      </c>
      <c r="I600" s="14" t="n">
        <v>2</v>
      </c>
      <c r="J600" s="14" t="n">
        <v>7</v>
      </c>
      <c r="K600" s="14" t="n">
        <v>109</v>
      </c>
      <c r="L600" s="14" t="n">
        <v>107</v>
      </c>
      <c r="M600" s="12"/>
      <c r="N600" s="11"/>
      <c r="O600" s="23"/>
      <c r="P600" s="23"/>
      <c r="Q600" s="23"/>
      <c r="R600" s="23"/>
      <c r="S600" s="23"/>
      <c r="T600" s="23"/>
      <c r="U600" s="23"/>
      <c r="V600" s="23"/>
      <c r="W600" s="23"/>
      <c r="X600" s="23"/>
      <c r="Y600" s="23"/>
      <c r="Z600" s="23"/>
    </row>
    <row r="601" customFormat="false" ht="15.75" hidden="false" customHeight="true" outlineLevel="0" collapsed="false">
      <c r="A601" s="52" t="n">
        <v>46305</v>
      </c>
      <c r="B601" s="14" t="s">
        <v>120</v>
      </c>
      <c r="C601" s="14" t="str">
        <f aca="false" t="array" ref="C601:C601">IF(B601="","",IFERROR(INDEX('CLM &amp; IM Mapping'!$B$2:$B$270,MATCH(TRIM(B601),'CLM &amp; IM Mapping'!$A$2:$A$270,0)),"Not Mapped"))</f>
        <v>Balaji G</v>
      </c>
      <c r="D601" s="14" t="str">
        <f aca="false" t="array" ref="D601:D601">IF(B601="","",IFERROR(INDEX('CLM &amp; IM Mapping'!$C$2:$C$270,MATCH(TRIM(B601),'CLM &amp; IM Mapping'!$A$2:$A$270,0)),"Not Mapped"))</f>
        <v>Mohammed Akbar</v>
      </c>
      <c r="E601" s="14" t="n">
        <v>25</v>
      </c>
      <c r="F601" s="14" t="n">
        <v>7</v>
      </c>
      <c r="G601" s="14" t="n">
        <v>65</v>
      </c>
      <c r="H601" s="14" t="n">
        <v>2</v>
      </c>
      <c r="I601" s="14" t="n">
        <v>0</v>
      </c>
      <c r="J601" s="14" t="n">
        <v>10</v>
      </c>
      <c r="K601" s="14" t="n">
        <v>109</v>
      </c>
      <c r="L601" s="14" t="n">
        <v>106</v>
      </c>
      <c r="M601" s="12"/>
      <c r="N601" s="11"/>
      <c r="O601" s="23"/>
      <c r="P601" s="23"/>
      <c r="Q601" s="23"/>
      <c r="R601" s="23"/>
      <c r="S601" s="23"/>
      <c r="T601" s="23"/>
      <c r="U601" s="23"/>
      <c r="V601" s="23"/>
      <c r="W601" s="23"/>
      <c r="X601" s="23"/>
      <c r="Y601" s="23"/>
      <c r="Z601" s="23"/>
    </row>
    <row r="602" customFormat="false" ht="15.75" hidden="false" customHeight="true" outlineLevel="0" collapsed="false">
      <c r="A602" s="52" t="n">
        <v>46305</v>
      </c>
      <c r="B602" s="14" t="s">
        <v>420</v>
      </c>
      <c r="C602" s="14" t="str">
        <f aca="false" t="array" ref="C602:C602">IF(B602="","",IFERROR(INDEX('CLM &amp; IM Mapping'!$B$2:$B$270,MATCH(TRIM(B602),'CLM &amp; IM Mapping'!$A$2:$A$270,0)),"Not Mapped"))</f>
        <v>Ravishankar gowda</v>
      </c>
      <c r="D602" s="14" t="str">
        <f aca="false" t="array" ref="D602:D602">IF(B602="","",IFERROR(INDEX('CLM &amp; IM Mapping'!$C$2:$C$270,MATCH(TRIM(B602),'CLM &amp; IM Mapping'!$A$2:$A$270,0)),"Not Mapped"))</f>
        <v>Kishor K</v>
      </c>
      <c r="E602" s="14" t="n">
        <v>5</v>
      </c>
      <c r="F602" s="14" t="n">
        <v>9</v>
      </c>
      <c r="G602" s="14" t="n">
        <v>0</v>
      </c>
      <c r="H602" s="14" t="n">
        <v>37</v>
      </c>
      <c r="I602" s="14" t="n">
        <v>26</v>
      </c>
      <c r="J602" s="14" t="n">
        <v>29</v>
      </c>
      <c r="K602" s="14" t="n">
        <v>106</v>
      </c>
      <c r="L602" s="14" t="n">
        <v>101</v>
      </c>
      <c r="M602" s="12"/>
      <c r="N602" s="11"/>
      <c r="O602" s="23"/>
      <c r="P602" s="23"/>
      <c r="Q602" s="23"/>
      <c r="R602" s="23"/>
      <c r="S602" s="23"/>
      <c r="T602" s="23"/>
      <c r="U602" s="23"/>
      <c r="V602" s="23"/>
      <c r="W602" s="23"/>
      <c r="X602" s="23"/>
      <c r="Y602" s="23"/>
      <c r="Z602" s="23"/>
    </row>
    <row r="603" customFormat="false" ht="15.75" hidden="false" customHeight="true" outlineLevel="0" collapsed="false">
      <c r="A603" s="52" t="n">
        <v>46305</v>
      </c>
      <c r="B603" s="14" t="s">
        <v>62</v>
      </c>
      <c r="C603" s="14" t="str">
        <f aca="false" t="array" ref="C603:C603">IF(B603="","",IFERROR(INDEX('CLM &amp; IM Mapping'!$B$2:$B$270,MATCH(TRIM(B603),'CLM &amp; IM Mapping'!$A$2:$A$270,0)),"Not Mapped"))</f>
        <v>Basil Scariya</v>
      </c>
      <c r="D603" s="14" t="str">
        <f aca="false" t="array" ref="D603:D603">IF(B603="","",IFERROR(INDEX('CLM &amp; IM Mapping'!$C$2:$C$270,MATCH(TRIM(B603),'CLM &amp; IM Mapping'!$A$2:$A$270,0)),"Not Mapped"))</f>
        <v>Prakash BS</v>
      </c>
      <c r="E603" s="14" t="n">
        <v>0</v>
      </c>
      <c r="F603" s="14" t="n">
        <v>41</v>
      </c>
      <c r="G603" s="14" t="n">
        <v>0</v>
      </c>
      <c r="H603" s="14" t="n">
        <v>33</v>
      </c>
      <c r="I603" s="14" t="n">
        <v>13</v>
      </c>
      <c r="J603" s="14" t="n">
        <v>18</v>
      </c>
      <c r="K603" s="14" t="n">
        <v>105</v>
      </c>
      <c r="L603" s="14" t="n">
        <v>96</v>
      </c>
      <c r="M603" s="12"/>
      <c r="N603" s="11"/>
      <c r="O603" s="23"/>
      <c r="P603" s="23"/>
      <c r="Q603" s="23"/>
      <c r="R603" s="23"/>
      <c r="S603" s="23"/>
      <c r="T603" s="23"/>
      <c r="U603" s="23"/>
      <c r="V603" s="23"/>
      <c r="W603" s="23"/>
      <c r="X603" s="23"/>
      <c r="Y603" s="23"/>
      <c r="Z603" s="23"/>
    </row>
    <row r="604" customFormat="false" ht="15.75" hidden="false" customHeight="true" outlineLevel="0" collapsed="false">
      <c r="A604" s="52" t="n">
        <v>46305</v>
      </c>
      <c r="B604" s="14" t="s">
        <v>73</v>
      </c>
      <c r="C604" s="14" t="str">
        <f aca="false" t="array" ref="C604:C604">IF(B604="","",IFERROR(INDEX('CLM &amp; IM Mapping'!$B$2:$B$270,MATCH(TRIM(B604),'CLM &amp; IM Mapping'!$A$2:$A$270,0)),"Not Mapped"))</f>
        <v>Narasimhamurthy R</v>
      </c>
      <c r="D604" s="14" t="str">
        <f aca="false" t="array" ref="D604:D604">IF(B604="","",IFERROR(INDEX('CLM &amp; IM Mapping'!$C$2:$C$270,MATCH(TRIM(B604),'CLM &amp; IM Mapping'!$A$2:$A$270,0)),"Not Mapped"))</f>
        <v>Kishor K</v>
      </c>
      <c r="E604" s="14" t="n">
        <v>15</v>
      </c>
      <c r="F604" s="14" t="n">
        <v>7</v>
      </c>
      <c r="G604" s="14" t="n">
        <v>0</v>
      </c>
      <c r="H604" s="14" t="n">
        <v>9</v>
      </c>
      <c r="I604" s="14" t="n">
        <v>24</v>
      </c>
      <c r="J604" s="14" t="n">
        <v>48</v>
      </c>
      <c r="K604" s="14" t="n">
        <v>103</v>
      </c>
      <c r="L604" s="14" t="n">
        <v>103</v>
      </c>
      <c r="M604" s="12"/>
      <c r="N604" s="11"/>
      <c r="O604" s="23"/>
      <c r="P604" s="23"/>
      <c r="Q604" s="23"/>
      <c r="R604" s="23"/>
      <c r="S604" s="23"/>
      <c r="T604" s="23"/>
      <c r="U604" s="23"/>
      <c r="V604" s="23"/>
      <c r="W604" s="23"/>
      <c r="X604" s="23"/>
      <c r="Y604" s="23"/>
      <c r="Z604" s="23"/>
    </row>
    <row r="605" customFormat="false" ht="15.75" hidden="false" customHeight="true" outlineLevel="0" collapsed="false">
      <c r="A605" s="52" t="n">
        <v>46305</v>
      </c>
      <c r="B605" s="14" t="s">
        <v>441</v>
      </c>
      <c r="C605" s="14" t="str">
        <f aca="false" t="array" ref="C605:C605">IF(B605="","",IFERROR(INDEX('CLM &amp; IM Mapping'!$B$2:$B$270,MATCH(TRIM(B605),'CLM &amp; IM Mapping'!$A$2:$A$270,0)),"Not Mapped"))</f>
        <v>Vijay M</v>
      </c>
      <c r="D605" s="14" t="str">
        <f aca="false" t="array" ref="D605:D605">IF(B605="","",IFERROR(INDEX('CLM &amp; IM Mapping'!$C$2:$C$270,MATCH(TRIM(B605),'CLM &amp; IM Mapping'!$A$2:$A$270,0)),"Not Mapped"))</f>
        <v>Kantha Kumar</v>
      </c>
      <c r="E605" s="14" t="n">
        <v>28</v>
      </c>
      <c r="F605" s="14" t="n">
        <v>29</v>
      </c>
      <c r="G605" s="14" t="n">
        <v>1</v>
      </c>
      <c r="H605" s="14" t="n">
        <v>10</v>
      </c>
      <c r="I605" s="14" t="n">
        <v>6</v>
      </c>
      <c r="J605" s="14" t="n">
        <v>28</v>
      </c>
      <c r="K605" s="14" t="n">
        <v>102</v>
      </c>
      <c r="L605" s="14" t="n">
        <v>94</v>
      </c>
      <c r="M605" s="12"/>
      <c r="N605" s="11"/>
      <c r="O605" s="23"/>
      <c r="P605" s="23"/>
      <c r="Q605" s="23"/>
      <c r="R605" s="23"/>
      <c r="S605" s="23"/>
      <c r="T605" s="23"/>
      <c r="U605" s="23"/>
      <c r="V605" s="23"/>
      <c r="W605" s="23"/>
      <c r="X605" s="23"/>
      <c r="Y605" s="23"/>
      <c r="Z605" s="23"/>
    </row>
    <row r="606" customFormat="false" ht="15.75" hidden="false" customHeight="true" outlineLevel="0" collapsed="false">
      <c r="A606" s="52" t="n">
        <v>46305</v>
      </c>
      <c r="B606" s="14" t="s">
        <v>447</v>
      </c>
      <c r="C606" s="14" t="str">
        <f aca="false" t="array" ref="C606:C606">IF(B606="","",IFERROR(INDEX('CLM &amp; IM Mapping'!$B$2:$B$270,MATCH(TRIM(B606),'CLM &amp; IM Mapping'!$A$2:$A$270,0)),"Not Mapped"))</f>
        <v>John Britto</v>
      </c>
      <c r="D606" s="14" t="str">
        <f aca="false" t="array" ref="D606:D606">IF(B606="","",IFERROR(INDEX('CLM &amp; IM Mapping'!$C$2:$C$270,MATCH(TRIM(B606),'CLM &amp; IM Mapping'!$A$2:$A$270,0)),"Not Mapped"))</f>
        <v>Aravind S</v>
      </c>
      <c r="E606" s="14" t="n">
        <v>1</v>
      </c>
      <c r="F606" s="14" t="n">
        <v>101</v>
      </c>
      <c r="G606" s="14" t="n">
        <v>0</v>
      </c>
      <c r="H606" s="14" t="n">
        <v>0</v>
      </c>
      <c r="I606" s="14" t="n">
        <v>0</v>
      </c>
      <c r="J606" s="14" t="n">
        <v>0</v>
      </c>
      <c r="K606" s="14" t="n">
        <v>102</v>
      </c>
      <c r="L606" s="14" t="n">
        <v>102</v>
      </c>
      <c r="M606" s="12"/>
      <c r="N606" s="11"/>
      <c r="O606" s="23"/>
      <c r="P606" s="23"/>
      <c r="Q606" s="23"/>
      <c r="R606" s="23"/>
      <c r="S606" s="23"/>
      <c r="T606" s="23"/>
      <c r="U606" s="23"/>
      <c r="V606" s="23"/>
      <c r="W606" s="23"/>
      <c r="X606" s="23"/>
      <c r="Y606" s="23"/>
      <c r="Z606" s="23"/>
    </row>
    <row r="607" customFormat="false" ht="15.75" hidden="false" customHeight="true" outlineLevel="0" collapsed="false">
      <c r="A607" s="52" t="n">
        <v>46305</v>
      </c>
      <c r="B607" s="14" t="s">
        <v>468</v>
      </c>
      <c r="C607" s="14" t="str">
        <f aca="false" t="array" ref="C607:C607">IF(B607="","",IFERROR(INDEX('CLM &amp; IM Mapping'!$B$2:$B$270,MATCH(TRIM(B607),'CLM &amp; IM Mapping'!$A$2:$A$270,0)),"Not Mapped"))</f>
        <v>Suhas N</v>
      </c>
      <c r="D607" s="14" t="str">
        <f aca="false" t="array" ref="D607:D607">IF(B607="","",IFERROR(INDEX('CLM &amp; IM Mapping'!$C$2:$C$270,MATCH(TRIM(B607),'CLM &amp; IM Mapping'!$A$2:$A$270,0)),"Not Mapped"))</f>
        <v>Aravind S</v>
      </c>
      <c r="E607" s="14" t="n">
        <v>3</v>
      </c>
      <c r="F607" s="14" t="n">
        <v>36</v>
      </c>
      <c r="G607" s="14" t="n">
        <v>0</v>
      </c>
      <c r="H607" s="14" t="n">
        <v>10</v>
      </c>
      <c r="I607" s="14" t="n">
        <v>30</v>
      </c>
      <c r="J607" s="14" t="n">
        <v>22</v>
      </c>
      <c r="K607" s="14" t="n">
        <v>101</v>
      </c>
      <c r="L607" s="14" t="n">
        <v>100</v>
      </c>
      <c r="M607" s="12"/>
      <c r="N607" s="11"/>
      <c r="O607" s="23"/>
      <c r="P607" s="23"/>
      <c r="Q607" s="23"/>
      <c r="R607" s="23"/>
      <c r="S607" s="23"/>
      <c r="T607" s="23"/>
      <c r="U607" s="23"/>
      <c r="V607" s="23"/>
      <c r="W607" s="23"/>
      <c r="X607" s="23"/>
      <c r="Y607" s="23"/>
      <c r="Z607" s="23"/>
    </row>
    <row r="608" customFormat="false" ht="15.75" hidden="false" customHeight="true" outlineLevel="0" collapsed="false">
      <c r="A608" s="52" t="n">
        <v>46305</v>
      </c>
      <c r="B608" s="14" t="s">
        <v>451</v>
      </c>
      <c r="C608" s="14" t="str">
        <f aca="false" t="array" ref="C608:C608">IF(B608="","",IFERROR(INDEX('CLM &amp; IM Mapping'!$B$2:$B$270,MATCH(TRIM(B608),'CLM &amp; IM Mapping'!$A$2:$A$270,0)),"Not Mapped"))</f>
        <v>Ashwath S</v>
      </c>
      <c r="D608" s="14" t="str">
        <f aca="false" t="array" ref="D608:D608">IF(B608="","",IFERROR(INDEX('CLM &amp; IM Mapping'!$C$2:$C$270,MATCH(TRIM(B608),'CLM &amp; IM Mapping'!$A$2:$A$270,0)),"Not Mapped"))</f>
        <v>Kantha Kumar</v>
      </c>
      <c r="E608" s="14" t="n">
        <v>0</v>
      </c>
      <c r="F608" s="14" t="n">
        <v>36</v>
      </c>
      <c r="G608" s="14" t="n">
        <v>0</v>
      </c>
      <c r="H608" s="14" t="n">
        <v>40</v>
      </c>
      <c r="I608" s="14" t="n">
        <v>2</v>
      </c>
      <c r="J608" s="14" t="n">
        <v>23</v>
      </c>
      <c r="K608" s="14" t="n">
        <v>101</v>
      </c>
      <c r="L608" s="14" t="n">
        <v>94</v>
      </c>
      <c r="M608" s="12"/>
      <c r="N608" s="11"/>
      <c r="O608" s="23"/>
      <c r="P608" s="23"/>
      <c r="Q608" s="23"/>
      <c r="R608" s="23"/>
      <c r="S608" s="23"/>
      <c r="T608" s="23"/>
      <c r="U608" s="23"/>
      <c r="V608" s="23"/>
      <c r="W608" s="23"/>
      <c r="X608" s="23"/>
      <c r="Y608" s="23"/>
      <c r="Z608" s="23"/>
    </row>
    <row r="609" customFormat="false" ht="15.75" hidden="false" customHeight="true" outlineLevel="0" collapsed="false">
      <c r="A609" s="52" t="n">
        <v>46305</v>
      </c>
      <c r="B609" s="14" t="s">
        <v>486</v>
      </c>
      <c r="C609" s="14" t="str">
        <f aca="false" t="array" ref="C609:C609">IF(B609="","",IFERROR(INDEX('CLM &amp; IM Mapping'!$B$2:$B$270,MATCH(TRIM(B609),'CLM &amp; IM Mapping'!$A$2:$A$270,0)),"Not Mapped"))</f>
        <v>Balaji G</v>
      </c>
      <c r="D609" s="14" t="str">
        <f aca="false" t="array" ref="D609:D609">IF(B609="","",IFERROR(INDEX('CLM &amp; IM Mapping'!$C$2:$C$270,MATCH(TRIM(B609),'CLM &amp; IM Mapping'!$A$2:$A$270,0)),"Not Mapped"))</f>
        <v>Mohammed Akbar</v>
      </c>
      <c r="E609" s="14" t="n">
        <v>0</v>
      </c>
      <c r="F609" s="14" t="n">
        <v>1</v>
      </c>
      <c r="G609" s="14" t="n">
        <v>0</v>
      </c>
      <c r="H609" s="14" t="n">
        <v>55</v>
      </c>
      <c r="I609" s="14" t="n">
        <v>1</v>
      </c>
      <c r="J609" s="14" t="n">
        <v>44</v>
      </c>
      <c r="K609" s="14" t="n">
        <v>101</v>
      </c>
      <c r="L609" s="14" t="n">
        <v>101</v>
      </c>
      <c r="M609" s="12"/>
      <c r="N609" s="11"/>
      <c r="O609" s="23"/>
      <c r="P609" s="23"/>
      <c r="Q609" s="23"/>
      <c r="R609" s="23"/>
      <c r="S609" s="23"/>
      <c r="T609" s="23"/>
      <c r="U609" s="23"/>
      <c r="V609" s="23"/>
      <c r="W609" s="23"/>
      <c r="X609" s="23"/>
      <c r="Y609" s="23"/>
      <c r="Z609" s="23"/>
    </row>
    <row r="610" customFormat="false" ht="15.75" hidden="false" customHeight="true" outlineLevel="0" collapsed="false">
      <c r="A610" s="52" t="n">
        <v>46305</v>
      </c>
      <c r="B610" s="14" t="s">
        <v>530</v>
      </c>
      <c r="C610" s="14" t="str">
        <f aca="false" t="array" ref="C610:C610">IF(B610="","",IFERROR(INDEX('CLM &amp; IM Mapping'!$B$2:$B$270,MATCH(TRIM(B610),'CLM &amp; IM Mapping'!$A$2:$A$270,0)),"Not Mapped"))</f>
        <v>Balaji G</v>
      </c>
      <c r="D610" s="14" t="str">
        <f aca="false" t="array" ref="D610:D610">IF(B610="","",IFERROR(INDEX('CLM &amp; IM Mapping'!$C$2:$C$270,MATCH(TRIM(B610),'CLM &amp; IM Mapping'!$A$2:$A$270,0)),"Not Mapped"))</f>
        <v>Mohammed Akbar</v>
      </c>
      <c r="E610" s="14" t="n">
        <v>0</v>
      </c>
      <c r="F610" s="14" t="n">
        <v>0</v>
      </c>
      <c r="G610" s="14" t="n">
        <v>0</v>
      </c>
      <c r="H610" s="14" t="n">
        <v>11</v>
      </c>
      <c r="I610" s="14" t="n">
        <v>3</v>
      </c>
      <c r="J610" s="14" t="n">
        <v>85</v>
      </c>
      <c r="K610" s="14" t="n">
        <v>99</v>
      </c>
      <c r="L610" s="14" t="n">
        <v>99</v>
      </c>
      <c r="M610" s="12"/>
      <c r="N610" s="11"/>
      <c r="O610" s="23"/>
      <c r="P610" s="23"/>
      <c r="Q610" s="23"/>
      <c r="R610" s="23"/>
      <c r="S610" s="23"/>
      <c r="T610" s="23"/>
      <c r="U610" s="23"/>
      <c r="V610" s="23"/>
      <c r="W610" s="23"/>
      <c r="X610" s="23"/>
      <c r="Y610" s="23"/>
      <c r="Z610" s="23"/>
    </row>
    <row r="611" customFormat="false" ht="15.75" hidden="false" customHeight="true" outlineLevel="0" collapsed="false">
      <c r="A611" s="52" t="n">
        <v>46305</v>
      </c>
      <c r="B611" s="14" t="s">
        <v>466</v>
      </c>
      <c r="C611" s="14" t="str">
        <f aca="false" t="array" ref="C611:C611">IF(B611="","",IFERROR(INDEX('CLM &amp; IM Mapping'!$B$2:$B$270,MATCH(TRIM(B611),'CLM &amp; IM Mapping'!$A$2:$A$270,0)),"Not Mapped"))</f>
        <v>Vishnu V</v>
      </c>
      <c r="D611" s="14" t="str">
        <f aca="false" t="array" ref="D611:D611">IF(B611="","",IFERROR(INDEX('CLM &amp; IM Mapping'!$C$2:$C$270,MATCH(TRIM(B611),'CLM &amp; IM Mapping'!$A$2:$A$270,0)),"Not Mapped"))</f>
        <v>Arivind S</v>
      </c>
      <c r="E611" s="14" t="n">
        <v>11</v>
      </c>
      <c r="F611" s="14" t="n">
        <v>72</v>
      </c>
      <c r="G611" s="14" t="n">
        <v>10</v>
      </c>
      <c r="H611" s="14" t="n">
        <v>2</v>
      </c>
      <c r="I611" s="14" t="n">
        <v>4</v>
      </c>
      <c r="J611" s="14" t="n">
        <v>0</v>
      </c>
      <c r="K611" s="14" t="n">
        <v>99</v>
      </c>
      <c r="L611" s="14" t="n">
        <v>45</v>
      </c>
      <c r="M611" s="12"/>
      <c r="N611" s="11"/>
      <c r="O611" s="23"/>
      <c r="P611" s="23"/>
      <c r="Q611" s="23"/>
      <c r="R611" s="23"/>
      <c r="S611" s="23"/>
      <c r="T611" s="23"/>
      <c r="U611" s="23"/>
      <c r="V611" s="23"/>
      <c r="W611" s="23"/>
      <c r="X611" s="23"/>
      <c r="Y611" s="23"/>
      <c r="Z611" s="23"/>
    </row>
    <row r="612" customFormat="false" ht="15.75" hidden="false" customHeight="true" outlineLevel="0" collapsed="false">
      <c r="A612" s="52" t="n">
        <v>46305</v>
      </c>
      <c r="B612" s="14" t="s">
        <v>475</v>
      </c>
      <c r="C612" s="14" t="str">
        <f aca="false" t="array" ref="C612:C612">IF(B612="","",IFERROR(INDEX('CLM &amp; IM Mapping'!$B$2:$B$270,MATCH(TRIM(B612),'CLM &amp; IM Mapping'!$A$2:$A$270,0)),"Not Mapped"))</f>
        <v>John Britto</v>
      </c>
      <c r="D612" s="14" t="str">
        <f aca="false" t="array" ref="D612:D612">IF(B612="","",IFERROR(INDEX('CLM &amp; IM Mapping'!$C$2:$C$270,MATCH(TRIM(B612),'CLM &amp; IM Mapping'!$A$2:$A$270,0)),"Not Mapped"))</f>
        <v>Aravind S</v>
      </c>
      <c r="E612" s="14" t="n">
        <v>1</v>
      </c>
      <c r="F612" s="14" t="n">
        <v>24</v>
      </c>
      <c r="G612" s="14" t="n">
        <v>0</v>
      </c>
      <c r="H612" s="14" t="n">
        <v>10</v>
      </c>
      <c r="I612" s="14" t="n">
        <v>6</v>
      </c>
      <c r="J612" s="14" t="n">
        <v>56</v>
      </c>
      <c r="K612" s="14" t="n">
        <v>97</v>
      </c>
      <c r="L612" s="14" t="n">
        <v>96</v>
      </c>
      <c r="M612" s="12"/>
      <c r="N612" s="11"/>
      <c r="O612" s="23"/>
      <c r="P612" s="23"/>
      <c r="Q612" s="23"/>
      <c r="R612" s="23"/>
      <c r="S612" s="23"/>
      <c r="T612" s="23"/>
      <c r="U612" s="23"/>
      <c r="V612" s="23"/>
      <c r="W612" s="23"/>
      <c r="X612" s="23"/>
      <c r="Y612" s="23"/>
      <c r="Z612" s="23"/>
    </row>
    <row r="613" customFormat="false" ht="15.75" hidden="false" customHeight="true" outlineLevel="0" collapsed="false">
      <c r="A613" s="52" t="n">
        <v>46305</v>
      </c>
      <c r="B613" s="14" t="s">
        <v>235</v>
      </c>
      <c r="C613" s="14" t="str">
        <f aca="false" t="array" ref="C613:C613">IF(B613="","",IFERROR(INDEX('CLM &amp; IM Mapping'!$B$2:$B$270,MATCH(TRIM(B613),'CLM &amp; IM Mapping'!$A$2:$A$270,0)),"Not Mapped"))</f>
        <v>Akshay P</v>
      </c>
      <c r="D613" s="14" t="str">
        <f aca="false" t="array" ref="D613:D613">IF(B613="","",IFERROR(INDEX('CLM &amp; IM Mapping'!$C$2:$C$270,MATCH(TRIM(B613),'CLM &amp; IM Mapping'!$A$2:$A$270,0)),"Not Mapped"))</f>
        <v>Srittam Dhal</v>
      </c>
      <c r="E613" s="14" t="n">
        <v>0</v>
      </c>
      <c r="F613" s="14" t="n">
        <v>9</v>
      </c>
      <c r="G613" s="14" t="n">
        <v>0</v>
      </c>
      <c r="H613" s="14" t="n">
        <v>33</v>
      </c>
      <c r="I613" s="14" t="n">
        <v>47</v>
      </c>
      <c r="J613" s="14" t="n">
        <v>8</v>
      </c>
      <c r="K613" s="14" t="n">
        <v>97</v>
      </c>
      <c r="L613" s="14" t="n">
        <v>96</v>
      </c>
      <c r="M613" s="12"/>
      <c r="N613" s="11"/>
      <c r="O613" s="23"/>
      <c r="P613" s="23"/>
      <c r="Q613" s="23"/>
      <c r="R613" s="23"/>
      <c r="S613" s="23"/>
      <c r="T613" s="23"/>
      <c r="U613" s="23"/>
      <c r="V613" s="23"/>
      <c r="W613" s="23"/>
      <c r="X613" s="23"/>
      <c r="Y613" s="23"/>
      <c r="Z613" s="23"/>
    </row>
    <row r="614" customFormat="false" ht="15.75" hidden="false" customHeight="true" outlineLevel="0" collapsed="false">
      <c r="A614" s="52" t="n">
        <v>46305</v>
      </c>
      <c r="B614" s="14" t="s">
        <v>523</v>
      </c>
      <c r="C614" s="14" t="str">
        <f aca="false" t="array" ref="C614:C614">IF(B614="","",IFERROR(INDEX('CLM &amp; IM Mapping'!$B$2:$B$270,MATCH(TRIM(B614),'CLM &amp; IM Mapping'!$A$2:$A$270,0)),"Not Mapped"))</f>
        <v>Sundaresh S</v>
      </c>
      <c r="D614" s="14" t="str">
        <f aca="false" t="array" ref="D614:D614">IF(B614="","",IFERROR(INDEX('CLM &amp; IM Mapping'!$C$2:$C$270,MATCH(TRIM(B614),'CLM &amp; IM Mapping'!$A$2:$A$270,0)),"Not Mapped"))</f>
        <v>Un Mapped</v>
      </c>
      <c r="E614" s="14" t="n">
        <v>0</v>
      </c>
      <c r="F614" s="14" t="n">
        <v>44</v>
      </c>
      <c r="G614" s="14" t="n">
        <v>1</v>
      </c>
      <c r="H614" s="14" t="n">
        <v>27</v>
      </c>
      <c r="I614" s="14" t="n">
        <v>17</v>
      </c>
      <c r="J614" s="14" t="n">
        <v>8</v>
      </c>
      <c r="K614" s="14" t="n">
        <v>97</v>
      </c>
      <c r="L614" s="14" t="n">
        <v>96</v>
      </c>
      <c r="M614" s="12"/>
      <c r="N614" s="11"/>
      <c r="O614" s="23"/>
      <c r="P614" s="23"/>
      <c r="Q614" s="23"/>
      <c r="R614" s="23"/>
      <c r="S614" s="23"/>
      <c r="T614" s="23"/>
      <c r="U614" s="23"/>
      <c r="V614" s="23"/>
      <c r="W614" s="23"/>
      <c r="X614" s="23"/>
      <c r="Y614" s="23"/>
      <c r="Z614" s="23"/>
    </row>
    <row r="615" customFormat="false" ht="15.75" hidden="false" customHeight="true" outlineLevel="0" collapsed="false">
      <c r="A615" s="52" t="n">
        <v>46305</v>
      </c>
      <c r="B615" s="14" t="s">
        <v>311</v>
      </c>
      <c r="C615" s="14" t="str">
        <f aca="false" t="array" ref="C615:C615">IF(B615="","",IFERROR(INDEX('CLM &amp; IM Mapping'!$B$2:$B$270,MATCH(TRIM(B615),'CLM &amp; IM Mapping'!$A$2:$A$270,0)),"Not Mapped"))</f>
        <v>Manjunatha V</v>
      </c>
      <c r="D615" s="14" t="str">
        <f aca="false" t="array" ref="D615:D615">IF(B615="","",IFERROR(INDEX('CLM &amp; IM Mapping'!$C$2:$C$270,MATCH(TRIM(B615),'CLM &amp; IM Mapping'!$A$2:$A$270,0)),"Not Mapped"))</f>
        <v>Un Mapped</v>
      </c>
      <c r="E615" s="14" t="n">
        <v>40</v>
      </c>
      <c r="F615" s="14" t="n">
        <v>8</v>
      </c>
      <c r="G615" s="14" t="n">
        <v>20</v>
      </c>
      <c r="H615" s="14" t="n">
        <v>2</v>
      </c>
      <c r="I615" s="14" t="n">
        <v>19</v>
      </c>
      <c r="J615" s="14" t="n">
        <v>7</v>
      </c>
      <c r="K615" s="14" t="n">
        <v>96</v>
      </c>
      <c r="L615" s="14" t="n">
        <v>96</v>
      </c>
      <c r="M615" s="12"/>
      <c r="N615" s="11"/>
      <c r="O615" s="23"/>
      <c r="P615" s="23"/>
      <c r="Q615" s="23"/>
      <c r="R615" s="23"/>
      <c r="S615" s="23"/>
      <c r="T615" s="23"/>
      <c r="U615" s="23"/>
      <c r="V615" s="23"/>
      <c r="W615" s="23"/>
      <c r="X615" s="23"/>
      <c r="Y615" s="23"/>
      <c r="Z615" s="23"/>
    </row>
    <row r="616" customFormat="false" ht="15.75" hidden="false" customHeight="true" outlineLevel="0" collapsed="false">
      <c r="A616" s="52" t="n">
        <v>46305</v>
      </c>
      <c r="B616" s="14" t="s">
        <v>118</v>
      </c>
      <c r="C616" s="14" t="str">
        <f aca="false" t="array" ref="C616:C616">IF(B616="","",IFERROR(INDEX('CLM &amp; IM Mapping'!$B$2:$B$270,MATCH(TRIM(B616),'CLM &amp; IM Mapping'!$A$2:$A$270,0)),"Not Mapped"))</f>
        <v>Adhavan Subramani</v>
      </c>
      <c r="D616" s="14" t="str">
        <f aca="false" t="array" ref="D616:D616">IF(B616="","",IFERROR(INDEX('CLM &amp; IM Mapping'!$C$2:$C$270,MATCH(TRIM(B616),'CLM &amp; IM Mapping'!$A$2:$A$270,0)),"Not Mapped"))</f>
        <v>Mohammed Akbar</v>
      </c>
      <c r="E616" s="14" t="n">
        <v>0</v>
      </c>
      <c r="F616" s="14" t="n">
        <v>18</v>
      </c>
      <c r="G616" s="14" t="n">
        <v>0</v>
      </c>
      <c r="H616" s="14" t="n">
        <v>34</v>
      </c>
      <c r="I616" s="14" t="n">
        <v>43</v>
      </c>
      <c r="J616" s="14" t="n">
        <v>0</v>
      </c>
      <c r="K616" s="14" t="n">
        <v>95</v>
      </c>
      <c r="L616" s="14" t="n">
        <v>93</v>
      </c>
      <c r="M616" s="12"/>
      <c r="N616" s="11"/>
      <c r="O616" s="23"/>
      <c r="P616" s="23"/>
      <c r="Q616" s="23"/>
      <c r="R616" s="23"/>
      <c r="S616" s="23"/>
      <c r="T616" s="23"/>
      <c r="U616" s="23"/>
      <c r="V616" s="23"/>
      <c r="W616" s="23"/>
      <c r="X616" s="23"/>
      <c r="Y616" s="23"/>
      <c r="Z616" s="23"/>
    </row>
    <row r="617" customFormat="false" ht="15.75" hidden="false" customHeight="true" outlineLevel="0" collapsed="false">
      <c r="A617" s="52" t="n">
        <v>46305</v>
      </c>
      <c r="B617" s="14" t="s">
        <v>132</v>
      </c>
      <c r="C617" s="14" t="str">
        <f aca="false" t="array" ref="C617:C617">IF(B617="","",IFERROR(INDEX('CLM &amp; IM Mapping'!$B$2:$B$270,MATCH(TRIM(B617),'CLM &amp; IM Mapping'!$A$2:$A$270,0)),"Not Mapped"))</f>
        <v>Saddam Hussain</v>
      </c>
      <c r="D617" s="14" t="str">
        <f aca="false" t="array" ref="D617:D617">IF(B617="","",IFERROR(INDEX('CLM &amp; IM Mapping'!$C$2:$C$270,MATCH(TRIM(B617),'CLM &amp; IM Mapping'!$A$2:$A$270,0)),"Not Mapped"))</f>
        <v>Un Mapped</v>
      </c>
      <c r="E617" s="14" t="n">
        <v>0</v>
      </c>
      <c r="F617" s="14" t="n">
        <v>4</v>
      </c>
      <c r="G617" s="14" t="n">
        <v>0</v>
      </c>
      <c r="H617" s="14" t="n">
        <v>22</v>
      </c>
      <c r="I617" s="14" t="n">
        <v>67</v>
      </c>
      <c r="J617" s="14" t="n">
        <v>2</v>
      </c>
      <c r="K617" s="14" t="n">
        <v>95</v>
      </c>
      <c r="L617" s="14" t="n">
        <v>94</v>
      </c>
      <c r="M617" s="12"/>
      <c r="N617" s="11"/>
      <c r="O617" s="23"/>
      <c r="P617" s="23"/>
      <c r="Q617" s="23"/>
      <c r="R617" s="23"/>
      <c r="S617" s="23"/>
      <c r="T617" s="23"/>
      <c r="U617" s="23"/>
      <c r="V617" s="23"/>
      <c r="W617" s="23"/>
      <c r="X617" s="23"/>
      <c r="Y617" s="23"/>
      <c r="Z617" s="23"/>
    </row>
    <row r="618" customFormat="false" ht="15.75" hidden="false" customHeight="true" outlineLevel="0" collapsed="false">
      <c r="A618" s="52" t="n">
        <v>46305</v>
      </c>
      <c r="B618" s="14" t="s">
        <v>455</v>
      </c>
      <c r="C618" s="14" t="str">
        <f aca="false" t="array" ref="C618:C618">IF(B618="","",IFERROR(INDEX('CLM &amp; IM Mapping'!$B$2:$B$270,MATCH(TRIM(B618),'CLM &amp; IM Mapping'!$A$2:$A$270,0)),"Not Mapped"))</f>
        <v>Rizwan Ahmed</v>
      </c>
      <c r="D618" s="14" t="str">
        <f aca="false" t="array" ref="D618:D618">IF(B618="","",IFERROR(INDEX('CLM &amp; IM Mapping'!$C$2:$C$270,MATCH(TRIM(B618),'CLM &amp; IM Mapping'!$A$2:$A$270,0)),"Not Mapped"))</f>
        <v>Un Mapped</v>
      </c>
      <c r="E618" s="14" t="n">
        <v>4</v>
      </c>
      <c r="F618" s="14" t="n">
        <v>19</v>
      </c>
      <c r="G618" s="14" t="n">
        <v>0</v>
      </c>
      <c r="H618" s="14" t="n">
        <v>29</v>
      </c>
      <c r="I618" s="14" t="n">
        <v>0</v>
      </c>
      <c r="J618" s="14" t="n">
        <v>43</v>
      </c>
      <c r="K618" s="14" t="n">
        <v>95</v>
      </c>
      <c r="L618" s="14" t="n">
        <v>90</v>
      </c>
      <c r="M618" s="12"/>
      <c r="N618" s="11"/>
      <c r="O618" s="23"/>
      <c r="P618" s="23"/>
      <c r="Q618" s="23"/>
      <c r="R618" s="23"/>
      <c r="S618" s="23"/>
      <c r="T618" s="23"/>
      <c r="U618" s="23"/>
      <c r="V618" s="23"/>
      <c r="W618" s="23"/>
      <c r="X618" s="23"/>
      <c r="Y618" s="23"/>
      <c r="Z618" s="23"/>
    </row>
    <row r="619" customFormat="false" ht="15.75" hidden="false" customHeight="true" outlineLevel="0" collapsed="false">
      <c r="A619" s="52" t="n">
        <v>46305</v>
      </c>
      <c r="B619" s="14" t="s">
        <v>361</v>
      </c>
      <c r="C619" s="14" t="str">
        <f aca="false" t="array" ref="C619:C619">IF(B619="","",IFERROR(INDEX('CLM &amp; IM Mapping'!$B$2:$B$270,MATCH(TRIM(B619),'CLM &amp; IM Mapping'!$A$2:$A$270,0)),"Not Mapped"))</f>
        <v>Santhosha M</v>
      </c>
      <c r="D619" s="14" t="str">
        <f aca="false" t="array" ref="D619:D619">IF(B619="","",IFERROR(INDEX('CLM &amp; IM Mapping'!$C$2:$C$270,MATCH(TRIM(B619),'CLM &amp; IM Mapping'!$A$2:$A$270,0)),"Not Mapped"))</f>
        <v>Aravind S</v>
      </c>
      <c r="E619" s="14" t="n">
        <v>34</v>
      </c>
      <c r="F619" s="14" t="n">
        <v>33</v>
      </c>
      <c r="G619" s="14" t="n">
        <v>0</v>
      </c>
      <c r="H619" s="14" t="n">
        <v>20</v>
      </c>
      <c r="I619" s="14" t="n">
        <v>6</v>
      </c>
      <c r="J619" s="14" t="n">
        <v>0</v>
      </c>
      <c r="K619" s="14" t="n">
        <v>93</v>
      </c>
      <c r="L619" s="14" t="n">
        <v>77</v>
      </c>
      <c r="M619" s="12"/>
      <c r="N619" s="11"/>
      <c r="O619" s="23"/>
      <c r="P619" s="23"/>
      <c r="Q619" s="23"/>
      <c r="R619" s="23"/>
      <c r="S619" s="23"/>
      <c r="T619" s="23"/>
      <c r="U619" s="23"/>
      <c r="V619" s="23"/>
      <c r="W619" s="23"/>
      <c r="X619" s="23"/>
      <c r="Y619" s="23"/>
      <c r="Z619" s="23"/>
    </row>
    <row r="620" customFormat="false" ht="15.75" hidden="false" customHeight="true" outlineLevel="0" collapsed="false">
      <c r="A620" s="52" t="n">
        <v>46305</v>
      </c>
      <c r="B620" s="14" t="s">
        <v>426</v>
      </c>
      <c r="C620" s="14" t="str">
        <f aca="false" t="array" ref="C620:C620">IF(B620="","",IFERROR(INDEX('CLM &amp; IM Mapping'!$B$2:$B$270,MATCH(TRIM(B620),'CLM &amp; IM Mapping'!$A$2:$A$270,0)),"Not Mapped"))</f>
        <v>Silambarasan E</v>
      </c>
      <c r="D620" s="14" t="str">
        <f aca="false" t="array" ref="D620:D620">IF(B620="","",IFERROR(INDEX('CLM &amp; IM Mapping'!$C$2:$C$270,MATCH(TRIM(B620),'CLM &amp; IM Mapping'!$A$2:$A$270,0)),"Not Mapped"))</f>
        <v>Arivind S</v>
      </c>
      <c r="E620" s="14" t="n">
        <v>31</v>
      </c>
      <c r="F620" s="14" t="n">
        <v>26</v>
      </c>
      <c r="G620" s="14" t="n">
        <v>3</v>
      </c>
      <c r="H620" s="14" t="n">
        <v>17</v>
      </c>
      <c r="I620" s="14" t="n">
        <v>2</v>
      </c>
      <c r="J620" s="14" t="n">
        <v>13</v>
      </c>
      <c r="K620" s="14" t="n">
        <v>92</v>
      </c>
      <c r="L620" s="14" t="n">
        <v>83</v>
      </c>
      <c r="M620" s="12"/>
      <c r="N620" s="11"/>
      <c r="O620" s="23"/>
      <c r="P620" s="23"/>
      <c r="Q620" s="23"/>
      <c r="R620" s="23"/>
      <c r="S620" s="23"/>
      <c r="T620" s="23"/>
      <c r="U620" s="23"/>
      <c r="V620" s="23"/>
      <c r="W620" s="23"/>
      <c r="X620" s="23"/>
      <c r="Y620" s="23"/>
      <c r="Z620" s="23"/>
    </row>
    <row r="621" customFormat="false" ht="15.75" hidden="false" customHeight="true" outlineLevel="0" collapsed="false">
      <c r="A621" s="52" t="n">
        <v>46305</v>
      </c>
      <c r="B621" s="14" t="s">
        <v>292</v>
      </c>
      <c r="C621" s="14" t="str">
        <f aca="false" t="array" ref="C621:C621">IF(B621="","",IFERROR(INDEX('CLM &amp; IM Mapping'!$B$2:$B$270,MATCH(TRIM(B621),'CLM &amp; IM Mapping'!$A$2:$A$270,0)),"Not Mapped"))</f>
        <v>Mohaideen DH</v>
      </c>
      <c r="D621" s="14" t="str">
        <f aca="false" t="array" ref="D621:D621">IF(B621="","",IFERROR(INDEX('CLM &amp; IM Mapping'!$C$2:$C$270,MATCH(TRIM(B621),'CLM &amp; IM Mapping'!$A$2:$A$270,0)),"Not Mapped"))</f>
        <v>Mohammed Akbar</v>
      </c>
      <c r="E621" s="14" t="n">
        <v>25</v>
      </c>
      <c r="F621" s="14" t="n">
        <v>0</v>
      </c>
      <c r="G621" s="14" t="n">
        <v>0</v>
      </c>
      <c r="H621" s="14" t="n">
        <v>16</v>
      </c>
      <c r="I621" s="14" t="n">
        <v>10</v>
      </c>
      <c r="J621" s="14" t="n">
        <v>40</v>
      </c>
      <c r="K621" s="14" t="n">
        <v>91</v>
      </c>
      <c r="L621" s="14" t="n">
        <v>91</v>
      </c>
      <c r="M621" s="12"/>
      <c r="N621" s="11"/>
      <c r="O621" s="23"/>
      <c r="P621" s="23"/>
      <c r="Q621" s="23"/>
      <c r="R621" s="23"/>
      <c r="S621" s="23"/>
      <c r="T621" s="23"/>
      <c r="U621" s="23"/>
      <c r="V621" s="23"/>
      <c r="W621" s="23"/>
      <c r="X621" s="23"/>
      <c r="Y621" s="23"/>
      <c r="Z621" s="23"/>
    </row>
    <row r="622" customFormat="false" ht="15.75" hidden="false" customHeight="true" outlineLevel="0" collapsed="false">
      <c r="A622" s="52" t="n">
        <v>46305</v>
      </c>
      <c r="B622" s="14" t="s">
        <v>443</v>
      </c>
      <c r="C622" s="14" t="str">
        <f aca="false" t="array" ref="C622:C622">IF(B622="","",IFERROR(INDEX('CLM &amp; IM Mapping'!$B$2:$B$270,MATCH(TRIM(B622),'CLM &amp; IM Mapping'!$A$2:$A$270,0)),"Not Mapped"))</f>
        <v>Manoj Kj</v>
      </c>
      <c r="D622" s="14" t="str">
        <f aca="false" t="array" ref="D622:D622">IF(B622="","",IFERROR(INDEX('CLM &amp; IM Mapping'!$C$2:$C$270,MATCH(TRIM(B622),'CLM &amp; IM Mapping'!$A$2:$A$270,0)),"Not Mapped"))</f>
        <v>Srittam Dhal</v>
      </c>
      <c r="E622" s="14" t="n">
        <v>5</v>
      </c>
      <c r="F622" s="14" t="n">
        <v>31</v>
      </c>
      <c r="G622" s="14" t="n">
        <v>11</v>
      </c>
      <c r="H622" s="14" t="n">
        <v>35</v>
      </c>
      <c r="I622" s="14" t="n">
        <v>8</v>
      </c>
      <c r="J622" s="14" t="n">
        <v>0</v>
      </c>
      <c r="K622" s="14" t="n">
        <v>90</v>
      </c>
      <c r="L622" s="14" t="n">
        <v>90</v>
      </c>
      <c r="M622" s="12"/>
      <c r="N622" s="11"/>
      <c r="O622" s="23"/>
      <c r="P622" s="23"/>
      <c r="Q622" s="23"/>
      <c r="R622" s="23"/>
      <c r="S622" s="23"/>
      <c r="T622" s="23"/>
      <c r="U622" s="23"/>
      <c r="V622" s="23"/>
      <c r="W622" s="23"/>
      <c r="X622" s="23"/>
      <c r="Y622" s="23"/>
      <c r="Z622" s="23"/>
    </row>
    <row r="623" customFormat="false" ht="15.75" hidden="false" customHeight="true" outlineLevel="0" collapsed="false">
      <c r="A623" s="52" t="n">
        <v>46305</v>
      </c>
      <c r="B623" s="14" t="s">
        <v>312</v>
      </c>
      <c r="C623" s="14" t="str">
        <f aca="false" t="array" ref="C623:C623">IF(B623="","",IFERROR(INDEX('CLM &amp; IM Mapping'!$B$2:$B$270,MATCH(TRIM(B623),'CLM &amp; IM Mapping'!$A$2:$A$270,0)),"Not Mapped"))</f>
        <v>Manoj Kj</v>
      </c>
      <c r="D623" s="14" t="str">
        <f aca="false" t="array" ref="D623:D623">IF(B623="","",IFERROR(INDEX('CLM &amp; IM Mapping'!$C$2:$C$270,MATCH(TRIM(B623),'CLM &amp; IM Mapping'!$A$2:$A$270,0)),"Not Mapped"))</f>
        <v>Srittam Dhal</v>
      </c>
      <c r="E623" s="14" t="n">
        <v>0</v>
      </c>
      <c r="F623" s="14" t="n">
        <v>1</v>
      </c>
      <c r="G623" s="14" t="n">
        <v>0</v>
      </c>
      <c r="H623" s="14" t="n">
        <v>19</v>
      </c>
      <c r="I623" s="14" t="n">
        <v>6</v>
      </c>
      <c r="J623" s="14" t="n">
        <v>64</v>
      </c>
      <c r="K623" s="14" t="n">
        <v>90</v>
      </c>
      <c r="L623" s="14" t="n">
        <v>87</v>
      </c>
      <c r="M623" s="12"/>
      <c r="N623" s="11"/>
      <c r="O623" s="23"/>
      <c r="P623" s="23"/>
      <c r="Q623" s="23"/>
      <c r="R623" s="23"/>
      <c r="S623" s="23"/>
      <c r="T623" s="23"/>
      <c r="U623" s="23"/>
      <c r="V623" s="23"/>
      <c r="W623" s="23"/>
      <c r="X623" s="23"/>
      <c r="Y623" s="23"/>
      <c r="Z623" s="23"/>
    </row>
    <row r="624" customFormat="false" ht="15.75" hidden="false" customHeight="true" outlineLevel="0" collapsed="false">
      <c r="A624" s="52" t="n">
        <v>46305</v>
      </c>
      <c r="B624" s="14" t="s">
        <v>483</v>
      </c>
      <c r="C624" s="14" t="str">
        <f aca="false" t="array" ref="C624:C624">IF(B624="","",IFERROR(INDEX('CLM &amp; IM Mapping'!$B$2:$B$270,MATCH(TRIM(B624),'CLM &amp; IM Mapping'!$A$2:$A$270,0)),"Not Mapped"))</f>
        <v>Sundaresh S</v>
      </c>
      <c r="D624" s="14" t="str">
        <f aca="false" t="array" ref="D624:D624">IF(B624="","",IFERROR(INDEX('CLM &amp; IM Mapping'!$C$2:$C$270,MATCH(TRIM(B624),'CLM &amp; IM Mapping'!$A$2:$A$270,0)),"Not Mapped"))</f>
        <v>Un Mapped</v>
      </c>
      <c r="E624" s="14" t="n">
        <v>7</v>
      </c>
      <c r="F624" s="14" t="n">
        <v>68</v>
      </c>
      <c r="G624" s="14" t="n">
        <v>0</v>
      </c>
      <c r="H624" s="14" t="n">
        <v>13</v>
      </c>
      <c r="I624" s="14" t="n">
        <v>0</v>
      </c>
      <c r="J624" s="14" t="n">
        <v>0</v>
      </c>
      <c r="K624" s="14" t="n">
        <v>88</v>
      </c>
      <c r="L624" s="14" t="n">
        <v>87</v>
      </c>
      <c r="M624" s="12"/>
      <c r="N624" s="11"/>
      <c r="O624" s="23"/>
      <c r="P624" s="23"/>
      <c r="Q624" s="23"/>
      <c r="R624" s="23"/>
      <c r="S624" s="23"/>
      <c r="T624" s="23"/>
      <c r="U624" s="23"/>
      <c r="V624" s="23"/>
      <c r="W624" s="23"/>
      <c r="X624" s="23"/>
      <c r="Y624" s="23"/>
      <c r="Z624" s="23"/>
    </row>
    <row r="625" customFormat="false" ht="15.75" hidden="false" customHeight="true" outlineLevel="0" collapsed="false">
      <c r="A625" s="52" t="n">
        <v>46305</v>
      </c>
      <c r="B625" s="14" t="s">
        <v>408</v>
      </c>
      <c r="C625" s="14" t="str">
        <f aca="false" t="array" ref="C625:C625">IF(B625="","",IFERROR(INDEX('CLM &amp; IM Mapping'!$B$2:$B$270,MATCH(TRIM(B625),'CLM &amp; IM Mapping'!$A$2:$A$270,0)),"Not Mapped"))</f>
        <v>Ravishankar gowda</v>
      </c>
      <c r="D625" s="14" t="str">
        <f aca="false" t="array" ref="D625:D625">IF(B625="","",IFERROR(INDEX('CLM &amp; IM Mapping'!$C$2:$C$270,MATCH(TRIM(B625),'CLM &amp; IM Mapping'!$A$2:$A$270,0)),"Not Mapped"))</f>
        <v>Kishor K</v>
      </c>
      <c r="E625" s="14" t="n">
        <v>6</v>
      </c>
      <c r="F625" s="14" t="n">
        <v>10</v>
      </c>
      <c r="G625" s="14" t="n">
        <v>2</v>
      </c>
      <c r="H625" s="14" t="n">
        <v>40</v>
      </c>
      <c r="I625" s="14" t="n">
        <v>6</v>
      </c>
      <c r="J625" s="14" t="n">
        <v>23</v>
      </c>
      <c r="K625" s="14" t="n">
        <v>87</v>
      </c>
      <c r="L625" s="14" t="n">
        <v>77</v>
      </c>
      <c r="M625" s="12"/>
      <c r="N625" s="11"/>
      <c r="O625" s="23"/>
      <c r="P625" s="23"/>
      <c r="Q625" s="23"/>
      <c r="R625" s="23"/>
      <c r="S625" s="23"/>
      <c r="T625" s="23"/>
      <c r="U625" s="23"/>
      <c r="V625" s="23"/>
      <c r="W625" s="23"/>
      <c r="X625" s="23"/>
      <c r="Y625" s="23"/>
      <c r="Z625" s="23"/>
    </row>
    <row r="626" customFormat="false" ht="15.75" hidden="false" customHeight="true" outlineLevel="0" collapsed="false">
      <c r="A626" s="52" t="n">
        <v>46305</v>
      </c>
      <c r="B626" s="14" t="s">
        <v>142</v>
      </c>
      <c r="C626" s="14" t="str">
        <f aca="false" t="array" ref="C626:C626">IF(B626="","",IFERROR(INDEX('CLM &amp; IM Mapping'!$B$2:$B$270,MATCH(TRIM(B626),'CLM &amp; IM Mapping'!$A$2:$A$270,0)),"Not Mapped"))</f>
        <v>Sundaresh S</v>
      </c>
      <c r="D626" s="14" t="str">
        <f aca="false" t="array" ref="D626:D626">IF(B626="","",IFERROR(INDEX('CLM &amp; IM Mapping'!$C$2:$C$270,MATCH(TRIM(B626),'CLM &amp; IM Mapping'!$A$2:$A$270,0)),"Not Mapped"))</f>
        <v>Un Mapped</v>
      </c>
      <c r="E626" s="14" t="n">
        <v>0</v>
      </c>
      <c r="F626" s="14" t="n">
        <v>31</v>
      </c>
      <c r="G626" s="14" t="n">
        <v>0</v>
      </c>
      <c r="H626" s="14" t="n">
        <v>36</v>
      </c>
      <c r="I626" s="14" t="n">
        <v>0</v>
      </c>
      <c r="J626" s="14" t="n">
        <v>19</v>
      </c>
      <c r="K626" s="14" t="n">
        <v>86</v>
      </c>
      <c r="L626" s="14" t="n">
        <v>83</v>
      </c>
      <c r="M626" s="12"/>
      <c r="N626" s="11"/>
      <c r="O626" s="23"/>
      <c r="P626" s="23"/>
      <c r="Q626" s="23"/>
      <c r="R626" s="23"/>
      <c r="S626" s="23"/>
      <c r="T626" s="23"/>
      <c r="U626" s="23"/>
      <c r="V626" s="23"/>
      <c r="W626" s="23"/>
      <c r="X626" s="23"/>
      <c r="Y626" s="23"/>
      <c r="Z626" s="23"/>
    </row>
    <row r="627" customFormat="false" ht="15.75" hidden="false" customHeight="true" outlineLevel="0" collapsed="false">
      <c r="A627" s="52" t="n">
        <v>46305</v>
      </c>
      <c r="B627" s="14" t="s">
        <v>449</v>
      </c>
      <c r="C627" s="14" t="str">
        <f aca="false" t="array" ref="C627:C627">IF(B627="","",IFERROR(INDEX('CLM &amp; IM Mapping'!$B$2:$B$270,MATCH(TRIM(B627),'CLM &amp; IM Mapping'!$A$2:$A$270,0)),"Not Mapped"))</f>
        <v>Manjunatha V</v>
      </c>
      <c r="D627" s="14" t="str">
        <f aca="false" t="array" ref="D627:D627">IF(B627="","",IFERROR(INDEX('CLM &amp; IM Mapping'!$C$2:$C$270,MATCH(TRIM(B627),'CLM &amp; IM Mapping'!$A$2:$A$270,0)),"Not Mapped"))</f>
        <v>Un Mapped</v>
      </c>
      <c r="E627" s="14" t="n">
        <v>22</v>
      </c>
      <c r="F627" s="14" t="n">
        <v>6</v>
      </c>
      <c r="G627" s="14" t="n">
        <v>15</v>
      </c>
      <c r="H627" s="14" t="n">
        <v>12</v>
      </c>
      <c r="I627" s="14" t="n">
        <v>0</v>
      </c>
      <c r="J627" s="14" t="n">
        <v>30</v>
      </c>
      <c r="K627" s="14" t="n">
        <v>85</v>
      </c>
      <c r="L627" s="14" t="n">
        <v>79</v>
      </c>
      <c r="M627" s="12"/>
      <c r="N627" s="11"/>
      <c r="O627" s="23"/>
      <c r="P627" s="23"/>
      <c r="Q627" s="23"/>
      <c r="R627" s="23"/>
      <c r="S627" s="23"/>
      <c r="T627" s="23"/>
      <c r="U627" s="23"/>
      <c r="V627" s="23"/>
      <c r="W627" s="23"/>
      <c r="X627" s="23"/>
      <c r="Y627" s="23"/>
      <c r="Z627" s="23"/>
    </row>
    <row r="628" customFormat="false" ht="15.75" hidden="false" customHeight="true" outlineLevel="0" collapsed="false">
      <c r="A628" s="52" t="n">
        <v>46305</v>
      </c>
      <c r="B628" s="14" t="s">
        <v>411</v>
      </c>
      <c r="C628" s="14" t="str">
        <f aca="false" t="array" ref="C628:C628">IF(B628="","",IFERROR(INDEX('CLM &amp; IM Mapping'!$B$2:$B$270,MATCH(TRIM(B628),'CLM &amp; IM Mapping'!$A$2:$A$270,0)),"Not Mapped"))</f>
        <v>Vishnu V</v>
      </c>
      <c r="D628" s="14" t="str">
        <f aca="false" t="array" ref="D628:D628">IF(B628="","",IFERROR(INDEX('CLM &amp; IM Mapping'!$C$2:$C$270,MATCH(TRIM(B628),'CLM &amp; IM Mapping'!$A$2:$A$270,0)),"Not Mapped"))</f>
        <v>Arivind S</v>
      </c>
      <c r="E628" s="14" t="n">
        <v>22</v>
      </c>
      <c r="F628" s="14" t="n">
        <v>38</v>
      </c>
      <c r="G628" s="14" t="n">
        <v>0</v>
      </c>
      <c r="H628" s="14" t="n">
        <v>10</v>
      </c>
      <c r="I628" s="14" t="n">
        <v>9</v>
      </c>
      <c r="J628" s="14" t="n">
        <v>6</v>
      </c>
      <c r="K628" s="14" t="n">
        <v>85</v>
      </c>
      <c r="L628" s="14" t="n">
        <v>84</v>
      </c>
      <c r="M628" s="12"/>
      <c r="N628" s="11"/>
      <c r="O628" s="23"/>
      <c r="P628" s="23"/>
      <c r="Q628" s="23"/>
      <c r="R628" s="23"/>
      <c r="S628" s="23"/>
      <c r="T628" s="23"/>
      <c r="U628" s="23"/>
      <c r="V628" s="23"/>
      <c r="W628" s="23"/>
      <c r="X628" s="23"/>
      <c r="Y628" s="23"/>
      <c r="Z628" s="23"/>
    </row>
    <row r="629" customFormat="false" ht="15.75" hidden="false" customHeight="true" outlineLevel="0" collapsed="false">
      <c r="A629" s="52" t="n">
        <v>46305</v>
      </c>
      <c r="B629" s="14" t="s">
        <v>105</v>
      </c>
      <c r="C629" s="14" t="str">
        <f aca="false" t="array" ref="C629:C629">IF(B629="","",IFERROR(INDEX('CLM &amp; IM Mapping'!$B$2:$B$270,MATCH(TRIM(B629),'CLM &amp; IM Mapping'!$A$2:$A$270,0)),"Not Mapped"))</f>
        <v>Suhas N</v>
      </c>
      <c r="D629" s="14" t="str">
        <f aca="false" t="array" ref="D629:D629">IF(B629="","",IFERROR(INDEX('CLM &amp; IM Mapping'!$C$2:$C$270,MATCH(TRIM(B629),'CLM &amp; IM Mapping'!$A$2:$A$270,0)),"Not Mapped"))</f>
        <v>Aravind S</v>
      </c>
      <c r="E629" s="14" t="n">
        <v>0</v>
      </c>
      <c r="F629" s="14" t="n">
        <v>54</v>
      </c>
      <c r="G629" s="14" t="n">
        <v>0</v>
      </c>
      <c r="H629" s="14" t="n">
        <v>19</v>
      </c>
      <c r="I629" s="14" t="n">
        <v>11</v>
      </c>
      <c r="J629" s="14" t="n">
        <v>0</v>
      </c>
      <c r="K629" s="14" t="n">
        <v>84</v>
      </c>
      <c r="L629" s="14" t="n">
        <v>84</v>
      </c>
      <c r="M629" s="12"/>
      <c r="N629" s="11"/>
      <c r="O629" s="23"/>
      <c r="P629" s="23"/>
      <c r="Q629" s="23"/>
      <c r="R629" s="23"/>
      <c r="S629" s="23"/>
      <c r="T629" s="23"/>
      <c r="U629" s="23"/>
      <c r="V629" s="23"/>
      <c r="W629" s="23"/>
      <c r="X629" s="23"/>
      <c r="Y629" s="23"/>
      <c r="Z629" s="23"/>
    </row>
    <row r="630" customFormat="false" ht="15.75" hidden="false" customHeight="true" outlineLevel="0" collapsed="false">
      <c r="A630" s="52" t="n">
        <v>46305</v>
      </c>
      <c r="B630" s="14" t="s">
        <v>445</v>
      </c>
      <c r="C630" s="14" t="str">
        <f aca="false" t="array" ref="C630:C630">IF(B630="","",IFERROR(INDEX('CLM &amp; IM Mapping'!$B$2:$B$270,MATCH(TRIM(B630),'CLM &amp; IM Mapping'!$A$2:$A$270,0)),"Not Mapped"))</f>
        <v>Sundaresh S</v>
      </c>
      <c r="D630" s="14" t="str">
        <f aca="false" t="array" ref="D630:D630">IF(B630="","",IFERROR(INDEX('CLM &amp; IM Mapping'!$C$2:$C$270,MATCH(TRIM(B630),'CLM &amp; IM Mapping'!$A$2:$A$270,0)),"Not Mapped"))</f>
        <v>Un Mapped</v>
      </c>
      <c r="E630" s="14" t="n">
        <v>3</v>
      </c>
      <c r="F630" s="14" t="n">
        <v>46</v>
      </c>
      <c r="G630" s="14" t="n">
        <v>0</v>
      </c>
      <c r="H630" s="14" t="n">
        <v>4</v>
      </c>
      <c r="I630" s="14" t="n">
        <v>1</v>
      </c>
      <c r="J630" s="14" t="n">
        <v>30</v>
      </c>
      <c r="K630" s="14" t="n">
        <v>84</v>
      </c>
      <c r="L630" s="14" t="n">
        <v>77</v>
      </c>
      <c r="M630" s="12"/>
      <c r="N630" s="11"/>
      <c r="O630" s="23"/>
      <c r="P630" s="23"/>
      <c r="Q630" s="23"/>
      <c r="R630" s="23"/>
      <c r="S630" s="23"/>
      <c r="T630" s="23"/>
      <c r="U630" s="23"/>
      <c r="V630" s="23"/>
      <c r="W630" s="23"/>
      <c r="X630" s="23"/>
      <c r="Y630" s="23"/>
      <c r="Z630" s="23"/>
    </row>
    <row r="631" customFormat="false" ht="15.75" hidden="false" customHeight="true" outlineLevel="0" collapsed="false">
      <c r="A631" s="52" t="n">
        <v>46305</v>
      </c>
      <c r="B631" s="14" t="s">
        <v>532</v>
      </c>
      <c r="C631" s="14" t="str">
        <f aca="false" t="array" ref="C631:C631">IF(B631="","",IFERROR(INDEX('CLM &amp; IM Mapping'!$B$2:$B$270,MATCH(TRIM(B631),'CLM &amp; IM Mapping'!$A$2:$A$270,0)),"Not Mapped"))</f>
        <v>Arun Raj</v>
      </c>
      <c r="D631" s="14" t="str">
        <f aca="false" t="array" ref="D631:D631">IF(B631="","",IFERROR(INDEX('CLM &amp; IM Mapping'!$C$2:$C$270,MATCH(TRIM(B631),'CLM &amp; IM Mapping'!$A$2:$A$270,0)),"Not Mapped"))</f>
        <v>Simon Manoharan</v>
      </c>
      <c r="E631" s="14" t="n">
        <v>8</v>
      </c>
      <c r="F631" s="14" t="n">
        <v>19</v>
      </c>
      <c r="G631" s="14" t="n">
        <v>0</v>
      </c>
      <c r="H631" s="14" t="n">
        <v>56</v>
      </c>
      <c r="I631" s="14" t="n">
        <v>0</v>
      </c>
      <c r="J631" s="14" t="n">
        <v>1</v>
      </c>
      <c r="K631" s="14" t="n">
        <v>84</v>
      </c>
      <c r="L631" s="14" t="n">
        <v>48</v>
      </c>
      <c r="M631" s="12"/>
      <c r="N631" s="11"/>
      <c r="O631" s="23"/>
      <c r="P631" s="23"/>
      <c r="Q631" s="23"/>
      <c r="R631" s="23"/>
      <c r="S631" s="23"/>
      <c r="T631" s="23"/>
      <c r="U631" s="23"/>
      <c r="V631" s="23"/>
      <c r="W631" s="23"/>
      <c r="X631" s="23"/>
      <c r="Y631" s="23"/>
      <c r="Z631" s="23"/>
    </row>
    <row r="632" customFormat="false" ht="15.75" hidden="false" customHeight="true" outlineLevel="0" collapsed="false">
      <c r="A632" s="52" t="n">
        <v>46305</v>
      </c>
      <c r="B632" s="14" t="s">
        <v>373</v>
      </c>
      <c r="C632" s="14" t="str">
        <f aca="false" t="array" ref="C632:C632">IF(B632="","",IFERROR(INDEX('CLM &amp; IM Mapping'!$B$2:$B$270,MATCH(TRIM(B632),'CLM &amp; IM Mapping'!$A$2:$A$270,0)),"Not Mapped"))</f>
        <v>Majid Kakatikar</v>
      </c>
      <c r="D632" s="14" t="str">
        <f aca="false" t="array" ref="D632:D632">IF(B632="","",IFERROR(INDEX('CLM &amp; IM Mapping'!$C$2:$C$270,MATCH(TRIM(B632),'CLM &amp; IM Mapping'!$A$2:$A$270,0)),"Not Mapped"))</f>
        <v>Kishor K</v>
      </c>
      <c r="E632" s="14" t="n">
        <v>0</v>
      </c>
      <c r="F632" s="14" t="n">
        <v>29</v>
      </c>
      <c r="G632" s="14" t="n">
        <v>46</v>
      </c>
      <c r="H632" s="14" t="n">
        <v>0</v>
      </c>
      <c r="I632" s="14" t="n">
        <v>0</v>
      </c>
      <c r="J632" s="14" t="n">
        <v>9</v>
      </c>
      <c r="K632" s="14" t="n">
        <v>84</v>
      </c>
      <c r="L632" s="14" t="n">
        <v>32</v>
      </c>
      <c r="M632" s="12"/>
      <c r="N632" s="11"/>
      <c r="O632" s="23"/>
      <c r="P632" s="23"/>
      <c r="Q632" s="23"/>
      <c r="R632" s="23"/>
      <c r="S632" s="23"/>
      <c r="T632" s="23"/>
      <c r="U632" s="23"/>
      <c r="V632" s="23"/>
      <c r="W632" s="23"/>
      <c r="X632" s="23"/>
      <c r="Y632" s="23"/>
      <c r="Z632" s="23"/>
    </row>
    <row r="633" customFormat="false" ht="15.75" hidden="false" customHeight="true" outlineLevel="0" collapsed="false">
      <c r="A633" s="52" t="n">
        <v>46305</v>
      </c>
      <c r="B633" s="14" t="s">
        <v>492</v>
      </c>
      <c r="C633" s="14" t="str">
        <f aca="false" t="array" ref="C633:C633">IF(B633="","",IFERROR(INDEX('CLM &amp; IM Mapping'!$B$2:$B$270,MATCH(TRIM(B633),'CLM &amp; IM Mapping'!$A$2:$A$270,0)),"Not Mapped"))</f>
        <v>Balaji G</v>
      </c>
      <c r="D633" s="14" t="str">
        <f aca="false" t="array" ref="D633:D633">IF(B633="","",IFERROR(INDEX('CLM &amp; IM Mapping'!$C$2:$C$270,MATCH(TRIM(B633),'CLM &amp; IM Mapping'!$A$2:$A$270,0)),"Not Mapped"))</f>
        <v>Mohammed Akbar</v>
      </c>
      <c r="E633" s="14" t="n">
        <v>25</v>
      </c>
      <c r="F633" s="14" t="n">
        <v>57</v>
      </c>
      <c r="G633" s="14" t="n">
        <v>1</v>
      </c>
      <c r="H633" s="14" t="n">
        <v>0</v>
      </c>
      <c r="I633" s="14" t="n">
        <v>1</v>
      </c>
      <c r="J633" s="14" t="n">
        <v>0</v>
      </c>
      <c r="K633" s="14" t="n">
        <v>84</v>
      </c>
      <c r="L633" s="14" t="n">
        <v>81</v>
      </c>
      <c r="M633" s="12"/>
      <c r="N633" s="11"/>
      <c r="O633" s="23"/>
      <c r="P633" s="23"/>
      <c r="Q633" s="23"/>
      <c r="R633" s="23"/>
      <c r="S633" s="23"/>
      <c r="T633" s="23"/>
      <c r="U633" s="23"/>
      <c r="V633" s="23"/>
      <c r="W633" s="23"/>
      <c r="X633" s="23"/>
      <c r="Y633" s="23"/>
      <c r="Z633" s="23"/>
    </row>
    <row r="634" customFormat="false" ht="15.75" hidden="false" customHeight="true" outlineLevel="0" collapsed="false">
      <c r="A634" s="52" t="n">
        <v>46305</v>
      </c>
      <c r="B634" s="14" t="s">
        <v>425</v>
      </c>
      <c r="C634" s="14" t="str">
        <f aca="false" t="array" ref="C634:C634">IF(B634="","",IFERROR(INDEX('CLM &amp; IM Mapping'!$B$2:$B$270,MATCH(TRIM(B634),'CLM &amp; IM Mapping'!$A$2:$A$270,0)),"Not Mapped"))</f>
        <v>Santhosha M</v>
      </c>
      <c r="D634" s="14" t="str">
        <f aca="false" t="array" ref="D634:D634">IF(B634="","",IFERROR(INDEX('CLM &amp; IM Mapping'!$C$2:$C$270,MATCH(TRIM(B634),'CLM &amp; IM Mapping'!$A$2:$A$270,0)),"Not Mapped"))</f>
        <v>Aravind S</v>
      </c>
      <c r="E634" s="14" t="n">
        <v>3</v>
      </c>
      <c r="F634" s="14" t="n">
        <v>72</v>
      </c>
      <c r="G634" s="14" t="n">
        <v>2</v>
      </c>
      <c r="H634" s="14" t="n">
        <v>0</v>
      </c>
      <c r="I634" s="14" t="n">
        <v>3</v>
      </c>
      <c r="J634" s="14" t="n">
        <v>3</v>
      </c>
      <c r="K634" s="14" t="n">
        <v>83</v>
      </c>
      <c r="L634" s="14" t="n">
        <v>61</v>
      </c>
      <c r="M634" s="12"/>
      <c r="N634" s="11"/>
      <c r="O634" s="23"/>
      <c r="P634" s="23"/>
      <c r="Q634" s="23"/>
      <c r="R634" s="23"/>
      <c r="S634" s="23"/>
      <c r="T634" s="23"/>
      <c r="U634" s="23"/>
      <c r="V634" s="23"/>
      <c r="W634" s="23"/>
      <c r="X634" s="23"/>
      <c r="Y634" s="23"/>
      <c r="Z634" s="23"/>
    </row>
    <row r="635" customFormat="false" ht="15.75" hidden="false" customHeight="true" outlineLevel="0" collapsed="false">
      <c r="A635" s="52" t="n">
        <v>46305</v>
      </c>
      <c r="B635" s="14" t="s">
        <v>226</v>
      </c>
      <c r="C635" s="14" t="str">
        <f aca="false" t="array" ref="C635:C635">IF(B635="","",IFERROR(INDEX('CLM &amp; IM Mapping'!$B$2:$B$270,MATCH(TRIM(B635),'CLM &amp; IM Mapping'!$A$2:$A$270,0)),"Not Mapped"))</f>
        <v>Manoj Kj</v>
      </c>
      <c r="D635" s="14" t="str">
        <f aca="false" t="array" ref="D635:D635">IF(B635="","",IFERROR(INDEX('CLM &amp; IM Mapping'!$C$2:$C$270,MATCH(TRIM(B635),'CLM &amp; IM Mapping'!$A$2:$A$270,0)),"Not Mapped"))</f>
        <v>Srittam Dhal</v>
      </c>
      <c r="E635" s="14" t="n">
        <v>0</v>
      </c>
      <c r="F635" s="14" t="n">
        <v>1</v>
      </c>
      <c r="G635" s="14" t="n">
        <v>0</v>
      </c>
      <c r="H635" s="14" t="n">
        <v>24</v>
      </c>
      <c r="I635" s="14" t="n">
        <v>54</v>
      </c>
      <c r="J635" s="14" t="n">
        <v>0</v>
      </c>
      <c r="K635" s="14" t="n">
        <v>79</v>
      </c>
      <c r="L635" s="14" t="n">
        <v>0</v>
      </c>
      <c r="M635" s="12"/>
      <c r="N635" s="11"/>
      <c r="O635" s="23"/>
      <c r="P635" s="23"/>
      <c r="Q635" s="23"/>
      <c r="R635" s="23"/>
      <c r="S635" s="23"/>
      <c r="T635" s="23"/>
      <c r="U635" s="23"/>
      <c r="V635" s="23"/>
      <c r="W635" s="23"/>
      <c r="X635" s="23"/>
      <c r="Y635" s="23"/>
      <c r="Z635" s="23"/>
    </row>
    <row r="636" customFormat="false" ht="15.75" hidden="false" customHeight="true" outlineLevel="0" collapsed="false">
      <c r="A636" s="52" t="n">
        <v>46305</v>
      </c>
      <c r="B636" s="14" t="s">
        <v>139</v>
      </c>
      <c r="C636" s="14" t="str">
        <f aca="false" t="array" ref="C636:C636">IF(B636="","",IFERROR(INDEX('CLM &amp; IM Mapping'!$B$2:$B$270,MATCH(TRIM(B636),'CLM &amp; IM Mapping'!$A$2:$A$270,0)),"Not Mapped"))</f>
        <v>Mohaideen DH</v>
      </c>
      <c r="D636" s="14" t="str">
        <f aca="false" t="array" ref="D636:D636">IF(B636="","",IFERROR(INDEX('CLM &amp; IM Mapping'!$C$2:$C$270,MATCH(TRIM(B636),'CLM &amp; IM Mapping'!$A$2:$A$270,0)),"Not Mapped"))</f>
        <v>Mohammed Akbar</v>
      </c>
      <c r="E636" s="14" t="n">
        <v>0</v>
      </c>
      <c r="F636" s="14" t="n">
        <v>1</v>
      </c>
      <c r="G636" s="14" t="n">
        <v>0</v>
      </c>
      <c r="H636" s="14" t="n">
        <v>22</v>
      </c>
      <c r="I636" s="14" t="n">
        <v>18</v>
      </c>
      <c r="J636" s="14" t="n">
        <v>38</v>
      </c>
      <c r="K636" s="14" t="n">
        <v>79</v>
      </c>
      <c r="L636" s="14" t="n">
        <v>79</v>
      </c>
      <c r="M636" s="12"/>
      <c r="N636" s="11"/>
      <c r="O636" s="23"/>
      <c r="P636" s="23"/>
      <c r="Q636" s="23"/>
      <c r="R636" s="23"/>
      <c r="S636" s="23"/>
      <c r="T636" s="23"/>
      <c r="U636" s="23"/>
      <c r="V636" s="23"/>
      <c r="W636" s="23"/>
      <c r="X636" s="23"/>
      <c r="Y636" s="23"/>
      <c r="Z636" s="23"/>
    </row>
    <row r="637" customFormat="false" ht="15.75" hidden="false" customHeight="true" outlineLevel="0" collapsed="false">
      <c r="A637" s="52" t="n">
        <v>46305</v>
      </c>
      <c r="B637" s="14" t="s">
        <v>53</v>
      </c>
      <c r="C637" s="14" t="str">
        <f aca="false" t="array" ref="C637:C637">IF(B637="","",IFERROR(INDEX('CLM &amp; IM Mapping'!$B$2:$B$270,MATCH(TRIM(B637),'CLM &amp; IM Mapping'!$A$2:$A$270,0)),"Not Mapped"))</f>
        <v>Richard Harris</v>
      </c>
      <c r="D637" s="14" t="str">
        <f aca="false" t="array" ref="D637:D637">IF(B637="","",IFERROR(INDEX('CLM &amp; IM Mapping'!$C$2:$C$270,MATCH(TRIM(B637),'CLM &amp; IM Mapping'!$A$2:$A$270,0)),"Not Mapped"))</f>
        <v>Kantha Kumar</v>
      </c>
      <c r="E637" s="14" t="n">
        <v>0</v>
      </c>
      <c r="F637" s="14" t="n">
        <v>9</v>
      </c>
      <c r="G637" s="14" t="n">
        <v>0</v>
      </c>
      <c r="H637" s="14" t="n">
        <v>67</v>
      </c>
      <c r="I637" s="14" t="n">
        <v>0</v>
      </c>
      <c r="J637" s="14" t="n">
        <v>0</v>
      </c>
      <c r="K637" s="14" t="n">
        <v>76</v>
      </c>
      <c r="L637" s="14" t="n">
        <v>59</v>
      </c>
      <c r="M637" s="12"/>
      <c r="N637" s="11"/>
      <c r="O637" s="23"/>
      <c r="P637" s="23"/>
      <c r="Q637" s="23"/>
      <c r="R637" s="23"/>
      <c r="S637" s="23"/>
      <c r="T637" s="23"/>
      <c r="U637" s="23"/>
      <c r="V637" s="23"/>
      <c r="W637" s="23"/>
      <c r="X637" s="23"/>
      <c r="Y637" s="23"/>
      <c r="Z637" s="23"/>
    </row>
    <row r="638" customFormat="false" ht="15.75" hidden="false" customHeight="true" outlineLevel="0" collapsed="false">
      <c r="A638" s="52" t="n">
        <v>46305</v>
      </c>
      <c r="B638" s="14" t="s">
        <v>287</v>
      </c>
      <c r="C638" s="14" t="str">
        <f aca="false" t="array" ref="C638:C638">IF(B638="","",IFERROR(INDEX('CLM &amp; IM Mapping'!$B$2:$B$270,MATCH(TRIM(B638),'CLM &amp; IM Mapping'!$A$2:$A$270,0)),"Not Mapped"))</f>
        <v>Sundaresh S</v>
      </c>
      <c r="D638" s="14" t="str">
        <f aca="false" t="array" ref="D638:D638">IF(B638="","",IFERROR(INDEX('CLM &amp; IM Mapping'!$C$2:$C$270,MATCH(TRIM(B638),'CLM &amp; IM Mapping'!$A$2:$A$270,0)),"Not Mapped"))</f>
        <v>Un Mapped</v>
      </c>
      <c r="E638" s="14" t="n">
        <v>0</v>
      </c>
      <c r="F638" s="14" t="n">
        <v>11</v>
      </c>
      <c r="G638" s="14" t="n">
        <v>1</v>
      </c>
      <c r="H638" s="14" t="n">
        <v>29</v>
      </c>
      <c r="I638" s="14" t="n">
        <v>25</v>
      </c>
      <c r="J638" s="14" t="n">
        <v>9</v>
      </c>
      <c r="K638" s="14" t="n">
        <v>75</v>
      </c>
      <c r="L638" s="14" t="n">
        <v>74</v>
      </c>
      <c r="M638" s="12"/>
      <c r="N638" s="11"/>
      <c r="O638" s="23"/>
      <c r="P638" s="23"/>
      <c r="Q638" s="23"/>
      <c r="R638" s="23"/>
      <c r="S638" s="23"/>
      <c r="T638" s="23"/>
      <c r="U638" s="23"/>
      <c r="V638" s="23"/>
      <c r="W638" s="23"/>
      <c r="X638" s="23"/>
      <c r="Y638" s="23"/>
      <c r="Z638" s="23"/>
    </row>
    <row r="639" customFormat="false" ht="15.75" hidden="false" customHeight="true" outlineLevel="0" collapsed="false">
      <c r="A639" s="52" t="n">
        <v>46305</v>
      </c>
      <c r="B639" s="14" t="s">
        <v>472</v>
      </c>
      <c r="C639" s="14" t="str">
        <f aca="false" t="array" ref="C639:C639">IF(B639="","",IFERROR(INDEX('CLM &amp; IM Mapping'!$B$2:$B$270,MATCH(TRIM(B639),'CLM &amp; IM Mapping'!$A$2:$A$270,0)),"Not Mapped"))</f>
        <v>Bangareppa CS</v>
      </c>
      <c r="D639" s="14" t="str">
        <f aca="false" t="array" ref="D639:D639">IF(B639="","",IFERROR(INDEX('CLM &amp; IM Mapping'!$C$2:$C$270,MATCH(TRIM(B639),'CLM &amp; IM Mapping'!$A$2:$A$270,0)),"Not Mapped"))</f>
        <v>Kishor K</v>
      </c>
      <c r="E639" s="14" t="n">
        <v>12</v>
      </c>
      <c r="F639" s="14" t="n">
        <v>13</v>
      </c>
      <c r="G639" s="14" t="n">
        <v>27</v>
      </c>
      <c r="H639" s="14" t="n">
        <v>12</v>
      </c>
      <c r="I639" s="14" t="n">
        <v>11</v>
      </c>
      <c r="J639" s="14" t="n">
        <v>0</v>
      </c>
      <c r="K639" s="14" t="n">
        <v>75</v>
      </c>
      <c r="L639" s="14" t="n">
        <v>74</v>
      </c>
      <c r="M639" s="12"/>
      <c r="N639" s="11"/>
      <c r="O639" s="23"/>
      <c r="P639" s="23"/>
      <c r="Q639" s="23"/>
      <c r="R639" s="23"/>
      <c r="S639" s="23"/>
      <c r="T639" s="23"/>
      <c r="U639" s="23"/>
      <c r="V639" s="23"/>
      <c r="W639" s="23"/>
      <c r="X639" s="23"/>
      <c r="Y639" s="23"/>
      <c r="Z639" s="23"/>
    </row>
    <row r="640" customFormat="false" ht="15.75" hidden="false" customHeight="true" outlineLevel="0" collapsed="false">
      <c r="A640" s="52" t="n">
        <v>46305</v>
      </c>
      <c r="B640" s="14" t="s">
        <v>56</v>
      </c>
      <c r="C640" s="14" t="str">
        <f aca="false" t="array" ref="C640:C640">IF(B640="","",IFERROR(INDEX('CLM &amp; IM Mapping'!$B$2:$B$270,MATCH(TRIM(B640),'CLM &amp; IM Mapping'!$A$2:$A$270,0)),"Not Mapped"))</f>
        <v>Keshav G</v>
      </c>
      <c r="D640" s="14" t="str">
        <f aca="false" t="array" ref="D640:D640">IF(B640="","",IFERROR(INDEX('CLM &amp; IM Mapping'!$C$2:$C$270,MATCH(TRIM(B640),'CLM &amp; IM Mapping'!$A$2:$A$270,0)),"Not Mapped"))</f>
        <v>Un Mapped</v>
      </c>
      <c r="E640" s="14" t="n">
        <v>0</v>
      </c>
      <c r="F640" s="14" t="n">
        <v>13</v>
      </c>
      <c r="G640" s="14" t="n">
        <v>0</v>
      </c>
      <c r="H640" s="14" t="n">
        <v>21</v>
      </c>
      <c r="I640" s="14" t="n">
        <v>30</v>
      </c>
      <c r="J640" s="14" t="n">
        <v>9</v>
      </c>
      <c r="K640" s="14" t="n">
        <v>73</v>
      </c>
      <c r="L640" s="14" t="n">
        <v>60</v>
      </c>
      <c r="M640" s="12"/>
      <c r="N640" s="11"/>
      <c r="O640" s="23"/>
      <c r="P640" s="23"/>
      <c r="Q640" s="23"/>
      <c r="R640" s="23"/>
      <c r="S640" s="23"/>
      <c r="T640" s="23"/>
      <c r="U640" s="23"/>
      <c r="V640" s="23"/>
      <c r="W640" s="23"/>
      <c r="X640" s="23"/>
      <c r="Y640" s="23"/>
      <c r="Z640" s="23"/>
    </row>
    <row r="641" customFormat="false" ht="15.75" hidden="false" customHeight="true" outlineLevel="0" collapsed="false">
      <c r="A641" s="52" t="n">
        <v>46305</v>
      </c>
      <c r="B641" s="14" t="s">
        <v>507</v>
      </c>
      <c r="C641" s="14" t="str">
        <f aca="false" t="array" ref="C641:C641">IF(B641="","",IFERROR(INDEX('CLM &amp; IM Mapping'!$B$2:$B$270,MATCH(TRIM(B641),'CLM &amp; IM Mapping'!$A$2:$A$270,0)),"Not Mapped"))</f>
        <v>Raghavendra Vernekar</v>
      </c>
      <c r="D641" s="14" t="str">
        <f aca="false" t="array" ref="D641:D641">IF(B641="","",IFERROR(INDEX('CLM &amp; IM Mapping'!$C$2:$C$270,MATCH(TRIM(B641),'CLM &amp; IM Mapping'!$A$2:$A$270,0)),"Not Mapped"))</f>
        <v>Prakash BS</v>
      </c>
      <c r="E641" s="14" t="n">
        <v>25</v>
      </c>
      <c r="F641" s="14" t="n">
        <v>27</v>
      </c>
      <c r="G641" s="14" t="n">
        <v>0</v>
      </c>
      <c r="H641" s="14" t="n">
        <v>4</v>
      </c>
      <c r="I641" s="14" t="n">
        <v>17</v>
      </c>
      <c r="J641" s="14" t="n">
        <v>0</v>
      </c>
      <c r="K641" s="14" t="n">
        <v>73</v>
      </c>
      <c r="L641" s="14" t="n">
        <v>71</v>
      </c>
      <c r="M641" s="12"/>
      <c r="N641" s="11"/>
      <c r="O641" s="23"/>
      <c r="P641" s="23"/>
      <c r="Q641" s="23"/>
      <c r="R641" s="23"/>
      <c r="S641" s="23"/>
      <c r="T641" s="23"/>
      <c r="U641" s="23"/>
      <c r="V641" s="23"/>
      <c r="W641" s="23"/>
      <c r="X641" s="23"/>
      <c r="Y641" s="23"/>
      <c r="Z641" s="23"/>
    </row>
    <row r="642" customFormat="false" ht="15.75" hidden="false" customHeight="true" outlineLevel="0" collapsed="false">
      <c r="A642" s="52" t="n">
        <v>46305</v>
      </c>
      <c r="B642" s="14" t="s">
        <v>371</v>
      </c>
      <c r="C642" s="14" t="str">
        <f aca="false" t="array" ref="C642:C642">IF(B642="","",IFERROR(INDEX('CLM &amp; IM Mapping'!$B$2:$B$270,MATCH(TRIM(B642),'CLM &amp; IM Mapping'!$A$2:$A$270,0)),"Not Mapped"))</f>
        <v>Akshay P</v>
      </c>
      <c r="D642" s="14" t="str">
        <f aca="false" t="array" ref="D642:D642">IF(B642="","",IFERROR(INDEX('CLM &amp; IM Mapping'!$C$2:$C$270,MATCH(TRIM(B642),'CLM &amp; IM Mapping'!$A$2:$A$270,0)),"Not Mapped"))</f>
        <v>Srittam Dhal</v>
      </c>
      <c r="E642" s="14" t="n">
        <v>0</v>
      </c>
      <c r="F642" s="14" t="n">
        <v>0</v>
      </c>
      <c r="G642" s="14" t="n">
        <v>0</v>
      </c>
      <c r="H642" s="14" t="n">
        <v>10</v>
      </c>
      <c r="I642" s="14" t="n">
        <v>0</v>
      </c>
      <c r="J642" s="14" t="n">
        <v>62</v>
      </c>
      <c r="K642" s="14" t="n">
        <v>72</v>
      </c>
      <c r="L642" s="14" t="n">
        <v>72</v>
      </c>
      <c r="M642" s="12"/>
      <c r="N642" s="11"/>
      <c r="O642" s="23"/>
      <c r="P642" s="23"/>
      <c r="Q642" s="23"/>
      <c r="R642" s="23"/>
      <c r="S642" s="23"/>
      <c r="T642" s="23"/>
      <c r="U642" s="23"/>
      <c r="V642" s="23"/>
      <c r="W642" s="23"/>
      <c r="X642" s="23"/>
      <c r="Y642" s="23"/>
      <c r="Z642" s="23"/>
    </row>
    <row r="643" customFormat="false" ht="15.75" hidden="false" customHeight="true" outlineLevel="0" collapsed="false">
      <c r="A643" s="52" t="n">
        <v>46305</v>
      </c>
      <c r="B643" s="14" t="s">
        <v>193</v>
      </c>
      <c r="C643" s="14" t="str">
        <f aca="false" t="array" ref="C643:C643">IF(B643="","",IFERROR(INDEX('CLM &amp; IM Mapping'!$B$2:$B$270,MATCH(TRIM(B643),'CLM &amp; IM Mapping'!$A$2:$A$270,0)),"Not Mapped"))</f>
        <v>Girish N</v>
      </c>
      <c r="D643" s="14" t="str">
        <f aca="false" t="array" ref="D643:D643">IF(B643="","",IFERROR(INDEX('CLM &amp; IM Mapping'!$C$2:$C$270,MATCH(TRIM(B643),'CLM &amp; IM Mapping'!$A$2:$A$270,0)),"Not Mapped"))</f>
        <v>Un Mapped</v>
      </c>
      <c r="E643" s="14" t="n">
        <v>0</v>
      </c>
      <c r="F643" s="14" t="n">
        <v>0</v>
      </c>
      <c r="G643" s="14" t="n">
        <v>0</v>
      </c>
      <c r="H643" s="14" t="n">
        <v>51</v>
      </c>
      <c r="I643" s="14" t="n">
        <v>9</v>
      </c>
      <c r="J643" s="14" t="n">
        <v>10</v>
      </c>
      <c r="K643" s="14" t="n">
        <v>70</v>
      </c>
      <c r="L643" s="14" t="n">
        <v>70</v>
      </c>
      <c r="M643" s="12"/>
      <c r="N643" s="11"/>
      <c r="O643" s="23"/>
      <c r="P643" s="23"/>
      <c r="Q643" s="23"/>
      <c r="R643" s="23"/>
      <c r="S643" s="23"/>
      <c r="T643" s="23"/>
      <c r="U643" s="23"/>
      <c r="V643" s="23"/>
      <c r="W643" s="23"/>
      <c r="X643" s="23"/>
      <c r="Y643" s="23"/>
      <c r="Z643" s="23"/>
    </row>
    <row r="644" customFormat="false" ht="15.75" hidden="false" customHeight="true" outlineLevel="0" collapsed="false">
      <c r="A644" s="52" t="n">
        <v>46305</v>
      </c>
      <c r="B644" s="14" t="s">
        <v>304</v>
      </c>
      <c r="C644" s="14" t="str">
        <f aca="false" t="array" ref="C644:C644">IF(B644="","",IFERROR(INDEX('CLM &amp; IM Mapping'!$B$2:$B$270,MATCH(TRIM(B644),'CLM &amp; IM Mapping'!$A$2:$A$270,0)),"Not Mapped"))</f>
        <v>John Britto</v>
      </c>
      <c r="D644" s="14" t="str">
        <f aca="false" t="array" ref="D644:D644">IF(B644="","",IFERROR(INDEX('CLM &amp; IM Mapping'!$C$2:$C$270,MATCH(TRIM(B644),'CLM &amp; IM Mapping'!$A$2:$A$270,0)),"Not Mapped"))</f>
        <v>Aravind S</v>
      </c>
      <c r="E644" s="14" t="n">
        <v>1</v>
      </c>
      <c r="F644" s="14" t="n">
        <v>67</v>
      </c>
      <c r="G644" s="14" t="n">
        <v>0</v>
      </c>
      <c r="H644" s="14" t="n">
        <v>0</v>
      </c>
      <c r="I644" s="14" t="n">
        <v>0</v>
      </c>
      <c r="J644" s="14" t="n">
        <v>0</v>
      </c>
      <c r="K644" s="14" t="n">
        <v>68</v>
      </c>
      <c r="L644" s="14" t="n">
        <v>56</v>
      </c>
      <c r="M644" s="12"/>
      <c r="N644" s="11"/>
      <c r="O644" s="23"/>
      <c r="P644" s="23"/>
      <c r="Q644" s="23"/>
      <c r="R644" s="23"/>
      <c r="S644" s="23"/>
      <c r="T644" s="23"/>
      <c r="U644" s="23"/>
      <c r="V644" s="23"/>
      <c r="W644" s="23"/>
      <c r="X644" s="23"/>
      <c r="Y644" s="23"/>
      <c r="Z644" s="23"/>
    </row>
    <row r="645" customFormat="false" ht="15.75" hidden="false" customHeight="true" outlineLevel="0" collapsed="false">
      <c r="A645" s="52" t="n">
        <v>46305</v>
      </c>
      <c r="B645" s="14" t="s">
        <v>433</v>
      </c>
      <c r="C645" s="14" t="str">
        <f aca="false" t="array" ref="C645:C645">IF(B645="","",IFERROR(INDEX('CLM &amp; IM Mapping'!$B$2:$B$270,MATCH(TRIM(B645),'CLM &amp; IM Mapping'!$A$2:$A$270,0)),"Not Mapped"))</f>
        <v>Silambarasan E</v>
      </c>
      <c r="D645" s="14" t="str">
        <f aca="false" t="array" ref="D645:D645">IF(B645="","",IFERROR(INDEX('CLM &amp; IM Mapping'!$C$2:$C$270,MATCH(TRIM(B645),'CLM &amp; IM Mapping'!$A$2:$A$270,0)),"Not Mapped"))</f>
        <v>Arivind S</v>
      </c>
      <c r="E645" s="14" t="n">
        <v>13</v>
      </c>
      <c r="F645" s="14" t="n">
        <v>2</v>
      </c>
      <c r="G645" s="14" t="n">
        <v>33</v>
      </c>
      <c r="H645" s="14" t="n">
        <v>0</v>
      </c>
      <c r="I645" s="14" t="n">
        <v>2</v>
      </c>
      <c r="J645" s="14" t="n">
        <v>17</v>
      </c>
      <c r="K645" s="14" t="n">
        <v>67</v>
      </c>
      <c r="L645" s="14" t="n">
        <v>65</v>
      </c>
      <c r="M645" s="12"/>
      <c r="N645" s="11"/>
      <c r="O645" s="23"/>
      <c r="P645" s="23"/>
      <c r="Q645" s="23"/>
      <c r="R645" s="23"/>
      <c r="S645" s="23"/>
      <c r="T645" s="23"/>
      <c r="U645" s="23"/>
      <c r="V645" s="23"/>
      <c r="W645" s="23"/>
      <c r="X645" s="23"/>
      <c r="Y645" s="23"/>
      <c r="Z645" s="23"/>
    </row>
    <row r="646" customFormat="false" ht="15.75" hidden="false" customHeight="true" outlineLevel="0" collapsed="false">
      <c r="A646" s="52" t="n">
        <v>46305</v>
      </c>
      <c r="B646" s="14" t="s">
        <v>498</v>
      </c>
      <c r="C646" s="14" t="str">
        <f aca="false" t="array" ref="C646:C646">IF(B646="","",IFERROR(INDEX('CLM &amp; IM Mapping'!$B$2:$B$270,MATCH(TRIM(B646),'CLM &amp; IM Mapping'!$A$2:$A$270,0)),"Not Mapped"))</f>
        <v>Adhavan Subramani</v>
      </c>
      <c r="D646" s="14" t="str">
        <f aca="false" t="array" ref="D646:D646">IF(B646="","",IFERROR(INDEX('CLM &amp; IM Mapping'!$C$2:$C$270,MATCH(TRIM(B646),'CLM &amp; IM Mapping'!$A$2:$A$270,0)),"Not Mapped"))</f>
        <v>Mohammed Akbar</v>
      </c>
      <c r="E646" s="14" t="n">
        <v>0</v>
      </c>
      <c r="F646" s="14" t="n">
        <v>6</v>
      </c>
      <c r="G646" s="14" t="n">
        <v>0</v>
      </c>
      <c r="H646" s="14" t="n">
        <v>12</v>
      </c>
      <c r="I646" s="14" t="n">
        <v>2</v>
      </c>
      <c r="J646" s="14" t="n">
        <v>47</v>
      </c>
      <c r="K646" s="14" t="n">
        <v>67</v>
      </c>
      <c r="L646" s="14" t="n">
        <v>62</v>
      </c>
      <c r="M646" s="12"/>
      <c r="N646" s="11"/>
      <c r="O646" s="23"/>
      <c r="P646" s="23"/>
      <c r="Q646" s="23"/>
      <c r="R646" s="23"/>
      <c r="S646" s="23"/>
      <c r="T646" s="23"/>
      <c r="U646" s="23"/>
      <c r="V646" s="23"/>
      <c r="W646" s="23"/>
      <c r="X646" s="23"/>
      <c r="Y646" s="23"/>
      <c r="Z646" s="23"/>
    </row>
    <row r="647" customFormat="false" ht="15.75" hidden="false" customHeight="true" outlineLevel="0" collapsed="false">
      <c r="A647" s="52" t="n">
        <v>46305</v>
      </c>
      <c r="B647" s="14" t="s">
        <v>314</v>
      </c>
      <c r="C647" s="14" t="str">
        <f aca="false" t="array" ref="C647:C647">IF(B647="","",IFERROR(INDEX('CLM &amp; IM Mapping'!$B$2:$B$270,MATCH(TRIM(B647),'CLM &amp; IM Mapping'!$A$2:$A$270,0)),"Not Mapped"))</f>
        <v>Basil Scariya</v>
      </c>
      <c r="D647" s="14" t="str">
        <f aca="false" t="array" ref="D647:D647">IF(B647="","",IFERROR(INDEX('CLM &amp; IM Mapping'!$C$2:$C$270,MATCH(TRIM(B647),'CLM &amp; IM Mapping'!$A$2:$A$270,0)),"Not Mapped"))</f>
        <v>Prakash BS</v>
      </c>
      <c r="E647" s="14" t="n">
        <v>0</v>
      </c>
      <c r="F647" s="14" t="n">
        <v>6</v>
      </c>
      <c r="G647" s="14" t="n">
        <v>0</v>
      </c>
      <c r="H647" s="14" t="n">
        <v>50</v>
      </c>
      <c r="I647" s="14" t="n">
        <v>0</v>
      </c>
      <c r="J647" s="14" t="n">
        <v>8</v>
      </c>
      <c r="K647" s="14" t="n">
        <v>64</v>
      </c>
      <c r="L647" s="14" t="n">
        <v>54</v>
      </c>
      <c r="M647" s="12"/>
      <c r="N647" s="11"/>
      <c r="O647" s="23"/>
      <c r="P647" s="23"/>
      <c r="Q647" s="23"/>
      <c r="R647" s="23"/>
      <c r="S647" s="23"/>
      <c r="T647" s="23"/>
      <c r="U647" s="23"/>
      <c r="V647" s="23"/>
      <c r="W647" s="23"/>
      <c r="X647" s="23"/>
      <c r="Y647" s="23"/>
      <c r="Z647" s="23"/>
    </row>
    <row r="648" customFormat="false" ht="15.75" hidden="false" customHeight="true" outlineLevel="0" collapsed="false">
      <c r="A648" s="52" t="n">
        <v>46305</v>
      </c>
      <c r="B648" s="14" t="s">
        <v>103</v>
      </c>
      <c r="C648" s="14" t="str">
        <f aca="false" t="array" ref="C648:C648">IF(B648="","",IFERROR(INDEX('CLM &amp; IM Mapping'!$B$2:$B$270,MATCH(TRIM(B648),'CLM &amp; IM Mapping'!$A$2:$A$270,0)),"Not Mapped"))</f>
        <v>Girish N</v>
      </c>
      <c r="D648" s="14" t="str">
        <f aca="false" t="array" ref="D648:D648">IF(B648="","",IFERROR(INDEX('CLM &amp; IM Mapping'!$C$2:$C$270,MATCH(TRIM(B648),'CLM &amp; IM Mapping'!$A$2:$A$270,0)),"Not Mapped"))</f>
        <v>Un Mapped</v>
      </c>
      <c r="E648" s="14" t="n">
        <v>7</v>
      </c>
      <c r="F648" s="14" t="n">
        <v>16</v>
      </c>
      <c r="G648" s="14" t="n">
        <v>0</v>
      </c>
      <c r="H648" s="14" t="n">
        <v>13</v>
      </c>
      <c r="I648" s="14" t="n">
        <v>2</v>
      </c>
      <c r="J648" s="14" t="n">
        <v>26</v>
      </c>
      <c r="K648" s="14" t="n">
        <v>64</v>
      </c>
      <c r="L648" s="14" t="n">
        <v>63</v>
      </c>
      <c r="M648" s="12"/>
      <c r="N648" s="11"/>
      <c r="O648" s="23"/>
      <c r="P648" s="23"/>
      <c r="Q648" s="23"/>
      <c r="R648" s="23"/>
      <c r="S648" s="23"/>
      <c r="T648" s="23"/>
      <c r="U648" s="23"/>
      <c r="V648" s="23"/>
      <c r="W648" s="23"/>
      <c r="X648" s="23"/>
      <c r="Y648" s="23"/>
      <c r="Z648" s="23"/>
    </row>
    <row r="649" customFormat="false" ht="15.75" hidden="false" customHeight="true" outlineLevel="0" collapsed="false">
      <c r="A649" s="52" t="n">
        <v>46305</v>
      </c>
      <c r="B649" s="14" t="s">
        <v>329</v>
      </c>
      <c r="C649" s="14" t="str">
        <f aca="false" t="array" ref="C649:C649">IF(B649="","",IFERROR(INDEX('CLM &amp; IM Mapping'!$B$2:$B$270,MATCH(TRIM(B649),'CLM &amp; IM Mapping'!$A$2:$A$270,0)),"Not Mapped"))</f>
        <v>Ashwath S</v>
      </c>
      <c r="D649" s="14" t="str">
        <f aca="false" t="array" ref="D649:D649">IF(B649="","",IFERROR(INDEX('CLM &amp; IM Mapping'!$C$2:$C$270,MATCH(TRIM(B649),'CLM &amp; IM Mapping'!$A$2:$A$270,0)),"Not Mapped"))</f>
        <v>Kantha Kumar</v>
      </c>
      <c r="E649" s="14" t="n">
        <v>10</v>
      </c>
      <c r="F649" s="14" t="n">
        <v>25</v>
      </c>
      <c r="G649" s="14" t="n">
        <v>2</v>
      </c>
      <c r="H649" s="14" t="n">
        <v>9</v>
      </c>
      <c r="I649" s="14" t="n">
        <v>3</v>
      </c>
      <c r="J649" s="14" t="n">
        <v>14</v>
      </c>
      <c r="K649" s="14" t="n">
        <v>63</v>
      </c>
      <c r="L649" s="14" t="n">
        <v>59</v>
      </c>
      <c r="M649" s="12"/>
      <c r="N649" s="11"/>
      <c r="O649" s="23"/>
      <c r="P649" s="23"/>
      <c r="Q649" s="23"/>
      <c r="R649" s="23"/>
      <c r="S649" s="23"/>
      <c r="T649" s="23"/>
      <c r="U649" s="23"/>
      <c r="V649" s="23"/>
      <c r="W649" s="23"/>
      <c r="X649" s="23"/>
      <c r="Y649" s="23"/>
      <c r="Z649" s="23"/>
    </row>
    <row r="650" customFormat="false" ht="15.75" hidden="false" customHeight="true" outlineLevel="0" collapsed="false">
      <c r="A650" s="52" t="n">
        <v>46305</v>
      </c>
      <c r="B650" s="14" t="s">
        <v>410</v>
      </c>
      <c r="C650" s="14" t="str">
        <f aca="false" t="array" ref="C650:C650">IF(B650="","",IFERROR(INDEX('CLM &amp; IM Mapping'!$B$2:$B$270,MATCH(TRIM(B650),'CLM &amp; IM Mapping'!$A$2:$A$270,0)),"Not Mapped"))</f>
        <v>Akshay P</v>
      </c>
      <c r="D650" s="14" t="str">
        <f aca="false" t="array" ref="D650:D650">IF(B650="","",IFERROR(INDEX('CLM &amp; IM Mapping'!$C$2:$C$270,MATCH(TRIM(B650),'CLM &amp; IM Mapping'!$A$2:$A$270,0)),"Not Mapped"))</f>
        <v>Srittam Dhal</v>
      </c>
      <c r="E650" s="14" t="n">
        <v>0</v>
      </c>
      <c r="F650" s="14" t="n">
        <v>8</v>
      </c>
      <c r="G650" s="14" t="n">
        <v>16</v>
      </c>
      <c r="H650" s="14" t="n">
        <v>22</v>
      </c>
      <c r="I650" s="14" t="n">
        <v>3</v>
      </c>
      <c r="J650" s="14" t="n">
        <v>14</v>
      </c>
      <c r="K650" s="14" t="n">
        <v>63</v>
      </c>
      <c r="L650" s="14" t="n">
        <v>63</v>
      </c>
      <c r="M650" s="12"/>
      <c r="N650" s="11"/>
      <c r="O650" s="23"/>
      <c r="P650" s="23"/>
      <c r="Q650" s="23"/>
      <c r="R650" s="23"/>
      <c r="S650" s="23"/>
      <c r="T650" s="23"/>
      <c r="U650" s="23"/>
      <c r="V650" s="23"/>
      <c r="W650" s="23"/>
      <c r="X650" s="23"/>
      <c r="Y650" s="23"/>
      <c r="Z650" s="23"/>
    </row>
    <row r="651" customFormat="false" ht="15.75" hidden="false" customHeight="true" outlineLevel="0" collapsed="false">
      <c r="A651" s="52" t="n">
        <v>46305</v>
      </c>
      <c r="B651" s="14" t="s">
        <v>484</v>
      </c>
      <c r="C651" s="14" t="str">
        <f aca="false" t="array" ref="C651:C651">IF(B651="","",IFERROR(INDEX('CLM &amp; IM Mapping'!$B$2:$B$270,MATCH(TRIM(B651),'CLM &amp; IM Mapping'!$A$2:$A$270,0)),"Not Mapped"))</f>
        <v>Raghavendra Vernekar</v>
      </c>
      <c r="D651" s="14" t="str">
        <f aca="false" t="array" ref="D651:D651">IF(B651="","",IFERROR(INDEX('CLM &amp; IM Mapping'!$C$2:$C$270,MATCH(TRIM(B651),'CLM &amp; IM Mapping'!$A$2:$A$270,0)),"Not Mapped"))</f>
        <v>Prakash BS</v>
      </c>
      <c r="E651" s="14" t="n">
        <v>4</v>
      </c>
      <c r="F651" s="14" t="n">
        <v>51</v>
      </c>
      <c r="G651" s="14" t="n">
        <v>0</v>
      </c>
      <c r="H651" s="14" t="n">
        <v>5</v>
      </c>
      <c r="I651" s="14" t="n">
        <v>0</v>
      </c>
      <c r="J651" s="14" t="n">
        <v>2</v>
      </c>
      <c r="K651" s="14" t="n">
        <v>62</v>
      </c>
      <c r="L651" s="14" t="n">
        <v>62</v>
      </c>
      <c r="M651" s="12"/>
      <c r="N651" s="11"/>
      <c r="O651" s="23"/>
      <c r="P651" s="23"/>
      <c r="Q651" s="23"/>
      <c r="R651" s="23"/>
      <c r="S651" s="23"/>
      <c r="T651" s="23"/>
      <c r="U651" s="23"/>
      <c r="V651" s="23"/>
      <c r="W651" s="23"/>
      <c r="X651" s="23"/>
      <c r="Y651" s="23"/>
      <c r="Z651" s="23"/>
    </row>
    <row r="652" customFormat="false" ht="15.75" hidden="false" customHeight="true" outlineLevel="0" collapsed="false">
      <c r="A652" s="52" t="n">
        <v>46305</v>
      </c>
      <c r="B652" s="14" t="s">
        <v>337</v>
      </c>
      <c r="C652" s="14" t="str">
        <f aca="false" t="array" ref="C652:C652">IF(B652="","",IFERROR(INDEX('CLM &amp; IM Mapping'!$B$2:$B$270,MATCH(TRIM(B652),'CLM &amp; IM Mapping'!$A$2:$A$270,0)),"Not Mapped"))</f>
        <v>Akshay P</v>
      </c>
      <c r="D652" s="14" t="str">
        <f aca="false" t="array" ref="D652:D652">IF(B652="","",IFERROR(INDEX('CLM &amp; IM Mapping'!$C$2:$C$270,MATCH(TRIM(B652),'CLM &amp; IM Mapping'!$A$2:$A$270,0)),"Not Mapped"))</f>
        <v>Srittam Dhal</v>
      </c>
      <c r="E652" s="14" t="n">
        <v>0</v>
      </c>
      <c r="F652" s="14" t="n">
        <v>22</v>
      </c>
      <c r="G652" s="14" t="n">
        <v>0</v>
      </c>
      <c r="H652" s="14" t="n">
        <v>29</v>
      </c>
      <c r="I652" s="14" t="n">
        <v>11</v>
      </c>
      <c r="J652" s="14" t="n">
        <v>0</v>
      </c>
      <c r="K652" s="14" t="n">
        <v>62</v>
      </c>
      <c r="L652" s="14" t="n">
        <v>62</v>
      </c>
      <c r="M652" s="12"/>
      <c r="N652" s="11"/>
      <c r="O652" s="23"/>
      <c r="P652" s="23"/>
      <c r="Q652" s="23"/>
      <c r="R652" s="23"/>
      <c r="S652" s="23"/>
      <c r="T652" s="23"/>
      <c r="U652" s="23"/>
      <c r="V652" s="23"/>
      <c r="W652" s="23"/>
      <c r="X652" s="23"/>
      <c r="Y652" s="23"/>
      <c r="Z652" s="23"/>
    </row>
    <row r="653" customFormat="false" ht="15.75" hidden="false" customHeight="true" outlineLevel="0" collapsed="false">
      <c r="A653" s="52" t="n">
        <v>46305</v>
      </c>
      <c r="B653" s="14" t="s">
        <v>195</v>
      </c>
      <c r="C653" s="14" t="str">
        <f aca="false" t="array" ref="C653:C653">IF(B653="","",IFERROR(INDEX('CLM &amp; IM Mapping'!$B$2:$B$270,MATCH(TRIM(B653),'CLM &amp; IM Mapping'!$A$2:$A$270,0)),"Not Mapped"))</f>
        <v>Adhavan Subramani</v>
      </c>
      <c r="D653" s="14" t="str">
        <f aca="false" t="array" ref="D653:D653">IF(B653="","",IFERROR(INDEX('CLM &amp; IM Mapping'!$C$2:$C$270,MATCH(TRIM(B653),'CLM &amp; IM Mapping'!$A$2:$A$270,0)),"Not Mapped"))</f>
        <v>Mohammed Akbar</v>
      </c>
      <c r="E653" s="14" t="n">
        <v>0</v>
      </c>
      <c r="F653" s="14" t="n">
        <v>0</v>
      </c>
      <c r="G653" s="14" t="n">
        <v>0</v>
      </c>
      <c r="H653" s="14" t="n">
        <v>51</v>
      </c>
      <c r="I653" s="14" t="n">
        <v>1</v>
      </c>
      <c r="J653" s="14" t="n">
        <v>10</v>
      </c>
      <c r="K653" s="14" t="n">
        <v>62</v>
      </c>
      <c r="L653" s="14" t="n">
        <v>62</v>
      </c>
      <c r="M653" s="12"/>
      <c r="N653" s="11"/>
      <c r="O653" s="23"/>
      <c r="P653" s="23"/>
      <c r="Q653" s="23"/>
      <c r="R653" s="23"/>
      <c r="S653" s="23"/>
      <c r="T653" s="23"/>
      <c r="U653" s="23"/>
      <c r="V653" s="23"/>
      <c r="W653" s="23"/>
      <c r="X653" s="23"/>
      <c r="Y653" s="23"/>
      <c r="Z653" s="23"/>
    </row>
    <row r="654" customFormat="false" ht="15.75" hidden="false" customHeight="true" outlineLevel="0" collapsed="false">
      <c r="A654" s="52" t="n">
        <v>46305</v>
      </c>
      <c r="B654" s="14" t="s">
        <v>291</v>
      </c>
      <c r="C654" s="14" t="str">
        <f aca="false" t="array" ref="C654:C654">IF(B654="","",IFERROR(INDEX('CLM &amp; IM Mapping'!$B$2:$B$270,MATCH(TRIM(B654),'CLM &amp; IM Mapping'!$A$2:$A$270,0)),"Not Mapped"))</f>
        <v>Ashwath S</v>
      </c>
      <c r="D654" s="14" t="str">
        <f aca="false" t="array" ref="D654:D654">IF(B654="","",IFERROR(INDEX('CLM &amp; IM Mapping'!$C$2:$C$270,MATCH(TRIM(B654),'CLM &amp; IM Mapping'!$A$2:$A$270,0)),"Not Mapped"))</f>
        <v>Kantha Kumar</v>
      </c>
      <c r="E654" s="14" t="n">
        <v>36</v>
      </c>
      <c r="F654" s="14" t="n">
        <v>2</v>
      </c>
      <c r="G654" s="14" t="n">
        <v>0</v>
      </c>
      <c r="H654" s="14" t="n">
        <v>5</v>
      </c>
      <c r="I654" s="14" t="n">
        <v>3</v>
      </c>
      <c r="J654" s="14" t="n">
        <v>16</v>
      </c>
      <c r="K654" s="14" t="n">
        <v>62</v>
      </c>
      <c r="L654" s="14" t="n">
        <v>62</v>
      </c>
      <c r="M654" s="12"/>
      <c r="N654" s="11"/>
      <c r="O654" s="23"/>
      <c r="P654" s="23"/>
      <c r="Q654" s="23"/>
      <c r="R654" s="23"/>
      <c r="S654" s="23"/>
      <c r="T654" s="23"/>
      <c r="U654" s="23"/>
      <c r="V654" s="23"/>
      <c r="W654" s="23"/>
      <c r="X654" s="23"/>
      <c r="Y654" s="23"/>
      <c r="Z654" s="23"/>
    </row>
    <row r="655" customFormat="false" ht="15.75" hidden="false" customHeight="true" outlineLevel="0" collapsed="false">
      <c r="A655" s="52" t="n">
        <v>46305</v>
      </c>
      <c r="B655" s="14" t="s">
        <v>435</v>
      </c>
      <c r="C655" s="14" t="str">
        <f aca="false" t="array" ref="C655:C655">IF(B655="","",IFERROR(INDEX('CLM &amp; IM Mapping'!$B$2:$B$270,MATCH(TRIM(B655),'CLM &amp; IM Mapping'!$A$2:$A$270,0)),"Not Mapped"))</f>
        <v>Balaji G</v>
      </c>
      <c r="D655" s="14" t="str">
        <f aca="false" t="array" ref="D655:D655">IF(B655="","",IFERROR(INDEX('CLM &amp; IM Mapping'!$C$2:$C$270,MATCH(TRIM(B655),'CLM &amp; IM Mapping'!$A$2:$A$270,0)),"Not Mapped"))</f>
        <v>Mohammed Akbar</v>
      </c>
      <c r="E655" s="14" t="n">
        <v>2</v>
      </c>
      <c r="F655" s="14" t="n">
        <v>19</v>
      </c>
      <c r="G655" s="14" t="n">
        <v>3</v>
      </c>
      <c r="H655" s="14" t="n">
        <v>0</v>
      </c>
      <c r="I655" s="14" t="n">
        <v>0</v>
      </c>
      <c r="J655" s="14" t="n">
        <v>36</v>
      </c>
      <c r="K655" s="14" t="n">
        <v>60</v>
      </c>
      <c r="L655" s="14" t="n">
        <v>60</v>
      </c>
      <c r="M655" s="12"/>
      <c r="N655" s="11"/>
      <c r="O655" s="23"/>
      <c r="P655" s="23"/>
      <c r="Q655" s="23"/>
      <c r="R655" s="23"/>
      <c r="S655" s="23"/>
      <c r="T655" s="23"/>
      <c r="U655" s="23"/>
      <c r="V655" s="23"/>
      <c r="W655" s="23"/>
      <c r="X655" s="23"/>
      <c r="Y655" s="23"/>
      <c r="Z655" s="23"/>
    </row>
    <row r="656" customFormat="false" ht="15.75" hidden="false" customHeight="true" outlineLevel="0" collapsed="false">
      <c r="A656" s="52" t="n">
        <v>46305</v>
      </c>
      <c r="B656" s="14" t="s">
        <v>252</v>
      </c>
      <c r="C656" s="14" t="str">
        <f aca="false" t="array" ref="C656:C656">IF(B656="","",IFERROR(INDEX('CLM &amp; IM Mapping'!$B$2:$B$270,MATCH(TRIM(B656),'CLM &amp; IM Mapping'!$A$2:$A$270,0)),"Not Mapped"))</f>
        <v>Vishnu V</v>
      </c>
      <c r="D656" s="14" t="str">
        <f aca="false" t="array" ref="D656:D656">IF(B656="","",IFERROR(INDEX('CLM &amp; IM Mapping'!$C$2:$C$270,MATCH(TRIM(B656),'CLM &amp; IM Mapping'!$A$2:$A$270,0)),"Not Mapped"))</f>
        <v>Arivind S</v>
      </c>
      <c r="E656" s="14" t="n">
        <v>1</v>
      </c>
      <c r="F656" s="14" t="n">
        <v>17</v>
      </c>
      <c r="G656" s="14" t="n">
        <v>0</v>
      </c>
      <c r="H656" s="14" t="n">
        <v>40</v>
      </c>
      <c r="I656" s="14" t="n">
        <v>0</v>
      </c>
      <c r="J656" s="14" t="n">
        <v>1</v>
      </c>
      <c r="K656" s="14" t="n">
        <v>59</v>
      </c>
      <c r="L656" s="14" t="n">
        <v>59</v>
      </c>
      <c r="M656" s="12"/>
      <c r="N656" s="11"/>
      <c r="O656" s="23"/>
      <c r="P656" s="23"/>
      <c r="Q656" s="23"/>
      <c r="R656" s="23"/>
      <c r="S656" s="23"/>
      <c r="T656" s="23"/>
      <c r="U656" s="23"/>
      <c r="V656" s="23"/>
      <c r="W656" s="23"/>
      <c r="X656" s="23"/>
      <c r="Y656" s="23"/>
      <c r="Z656" s="23"/>
    </row>
    <row r="657" customFormat="false" ht="15.75" hidden="false" customHeight="true" outlineLevel="0" collapsed="false">
      <c r="A657" s="52" t="n">
        <v>46305</v>
      </c>
      <c r="B657" s="14" t="s">
        <v>392</v>
      </c>
      <c r="C657" s="14" t="str">
        <f aca="false" t="array" ref="C657:C657">IF(B657="","",IFERROR(INDEX('CLM &amp; IM Mapping'!$B$2:$B$270,MATCH(TRIM(B657),'CLM &amp; IM Mapping'!$A$2:$A$270,0)),"Not Mapped"))</f>
        <v>Balaji G</v>
      </c>
      <c r="D657" s="14" t="str">
        <f aca="false" t="array" ref="D657:D657">IF(B657="","",IFERROR(INDEX('CLM &amp; IM Mapping'!$C$2:$C$270,MATCH(TRIM(B657),'CLM &amp; IM Mapping'!$A$2:$A$270,0)),"Not Mapped"))</f>
        <v>Mohammed Akbar</v>
      </c>
      <c r="E657" s="14" t="n">
        <v>0</v>
      </c>
      <c r="F657" s="14" t="n">
        <v>3</v>
      </c>
      <c r="G657" s="14" t="n">
        <v>31</v>
      </c>
      <c r="H657" s="14" t="n">
        <v>8</v>
      </c>
      <c r="I657" s="14" t="n">
        <v>16</v>
      </c>
      <c r="J657" s="14" t="n">
        <v>0</v>
      </c>
      <c r="K657" s="14" t="n">
        <v>58</v>
      </c>
      <c r="L657" s="14" t="n">
        <v>58</v>
      </c>
      <c r="M657" s="12"/>
      <c r="N657" s="11"/>
      <c r="O657" s="23"/>
      <c r="P657" s="23"/>
      <c r="Q657" s="23"/>
      <c r="R657" s="23"/>
      <c r="S657" s="23"/>
      <c r="T657" s="23"/>
      <c r="U657" s="23"/>
      <c r="V657" s="23"/>
      <c r="W657" s="23"/>
      <c r="X657" s="23"/>
      <c r="Y657" s="23"/>
      <c r="Z657" s="23"/>
    </row>
    <row r="658" customFormat="false" ht="15.75" hidden="false" customHeight="true" outlineLevel="0" collapsed="false">
      <c r="A658" s="52" t="n">
        <v>46305</v>
      </c>
      <c r="B658" s="14" t="s">
        <v>259</v>
      </c>
      <c r="C658" s="14" t="str">
        <f aca="false" t="array" ref="C658:C658">IF(B658="","",IFERROR(INDEX('CLM &amp; IM Mapping'!$B$2:$B$270,MATCH(TRIM(B658),'CLM &amp; IM Mapping'!$A$2:$A$270,0)),"Not Mapped"))</f>
        <v>Raghavendra Vernekar</v>
      </c>
      <c r="D658" s="14" t="str">
        <f aca="false" t="array" ref="D658:D658">IF(B658="","",IFERROR(INDEX('CLM &amp; IM Mapping'!$C$2:$C$270,MATCH(TRIM(B658),'CLM &amp; IM Mapping'!$A$2:$A$270,0)),"Not Mapped"))</f>
        <v>Prakash BS</v>
      </c>
      <c r="E658" s="14" t="n">
        <v>0</v>
      </c>
      <c r="F658" s="14" t="n">
        <v>2</v>
      </c>
      <c r="G658" s="14" t="n">
        <v>0</v>
      </c>
      <c r="H658" s="14" t="n">
        <v>17</v>
      </c>
      <c r="I658" s="14" t="n">
        <v>32</v>
      </c>
      <c r="J658" s="14" t="n">
        <v>6</v>
      </c>
      <c r="K658" s="14" t="n">
        <v>57</v>
      </c>
      <c r="L658" s="14" t="n">
        <v>57</v>
      </c>
      <c r="M658" s="12"/>
      <c r="N658" s="11"/>
      <c r="O658" s="23"/>
      <c r="P658" s="23"/>
      <c r="Q658" s="23"/>
      <c r="R658" s="23"/>
      <c r="S658" s="23"/>
      <c r="T658" s="23"/>
      <c r="U658" s="23"/>
      <c r="V658" s="23"/>
      <c r="W658" s="23"/>
      <c r="X658" s="23"/>
      <c r="Y658" s="23"/>
      <c r="Z658" s="23"/>
    </row>
    <row r="659" customFormat="false" ht="15.75" hidden="false" customHeight="true" outlineLevel="0" collapsed="false">
      <c r="A659" s="52" t="n">
        <v>46305</v>
      </c>
      <c r="B659" s="14" t="s">
        <v>344</v>
      </c>
      <c r="C659" s="14" t="str">
        <f aca="false" t="array" ref="C659:C659">IF(B659="","",IFERROR(INDEX('CLM &amp; IM Mapping'!$B$2:$B$270,MATCH(TRIM(B659),'CLM &amp; IM Mapping'!$A$2:$A$270,0)),"Not Mapped"))</f>
        <v>Arun Raj</v>
      </c>
      <c r="D659" s="14" t="str">
        <f aca="false" t="array" ref="D659:D659">IF(B659="","",IFERROR(INDEX('CLM &amp; IM Mapping'!$C$2:$C$270,MATCH(TRIM(B659),'CLM &amp; IM Mapping'!$A$2:$A$270,0)),"Not Mapped"))</f>
        <v>Simon Manoharan</v>
      </c>
      <c r="E659" s="14" t="n">
        <v>0</v>
      </c>
      <c r="F659" s="14" t="n">
        <v>6</v>
      </c>
      <c r="G659" s="14" t="n">
        <v>0</v>
      </c>
      <c r="H659" s="14" t="n">
        <v>44</v>
      </c>
      <c r="I659" s="14" t="n">
        <v>7</v>
      </c>
      <c r="J659" s="14" t="n">
        <v>0</v>
      </c>
      <c r="K659" s="14" t="n">
        <v>57</v>
      </c>
      <c r="L659" s="14" t="n">
        <v>27</v>
      </c>
      <c r="M659" s="12"/>
      <c r="N659" s="11"/>
      <c r="O659" s="23"/>
      <c r="P659" s="23"/>
      <c r="Q659" s="23"/>
      <c r="R659" s="23"/>
      <c r="S659" s="23"/>
      <c r="T659" s="23"/>
      <c r="U659" s="23"/>
      <c r="V659" s="23"/>
      <c r="W659" s="23"/>
      <c r="X659" s="23"/>
      <c r="Y659" s="23"/>
      <c r="Z659" s="23"/>
    </row>
    <row r="660" customFormat="false" ht="15.75" hidden="false" customHeight="true" outlineLevel="0" collapsed="false">
      <c r="A660" s="52" t="n">
        <v>46305</v>
      </c>
      <c r="B660" s="14" t="s">
        <v>350</v>
      </c>
      <c r="C660" s="14" t="str">
        <f aca="false" t="array" ref="C660:C660">IF(B660="","",IFERROR(INDEX('CLM &amp; IM Mapping'!$B$2:$B$270,MATCH(TRIM(B660),'CLM &amp; IM Mapping'!$A$2:$A$270,0)),"Not Mapped"))</f>
        <v>Vishnu V</v>
      </c>
      <c r="D660" s="14" t="str">
        <f aca="false" t="array" ref="D660:D660">IF(B660="","",IFERROR(INDEX('CLM &amp; IM Mapping'!$C$2:$C$270,MATCH(TRIM(B660),'CLM &amp; IM Mapping'!$A$2:$A$270,0)),"Not Mapped"))</f>
        <v>Arivind S</v>
      </c>
      <c r="E660" s="14" t="n">
        <v>0</v>
      </c>
      <c r="F660" s="14" t="n">
        <v>0</v>
      </c>
      <c r="G660" s="14" t="n">
        <v>40</v>
      </c>
      <c r="H660" s="14" t="n">
        <v>6</v>
      </c>
      <c r="I660" s="14" t="n">
        <v>1</v>
      </c>
      <c r="J660" s="14" t="n">
        <v>9</v>
      </c>
      <c r="K660" s="14" t="n">
        <v>56</v>
      </c>
      <c r="L660" s="14" t="n">
        <v>21</v>
      </c>
      <c r="M660" s="12"/>
      <c r="N660" s="11"/>
      <c r="O660" s="23"/>
      <c r="P660" s="23"/>
      <c r="Q660" s="23"/>
      <c r="R660" s="23"/>
      <c r="S660" s="23"/>
      <c r="T660" s="23"/>
      <c r="U660" s="23"/>
      <c r="V660" s="23"/>
      <c r="W660" s="23"/>
      <c r="X660" s="23"/>
      <c r="Y660" s="23"/>
      <c r="Z660" s="23"/>
    </row>
    <row r="661" customFormat="false" ht="15.75" hidden="false" customHeight="true" outlineLevel="0" collapsed="false">
      <c r="A661" s="52" t="n">
        <v>46305</v>
      </c>
      <c r="B661" s="14" t="s">
        <v>400</v>
      </c>
      <c r="C661" s="14" t="str">
        <f aca="false" t="array" ref="C661:C661">IF(B661="","",IFERROR(INDEX('CLM &amp; IM Mapping'!$B$2:$B$270,MATCH(TRIM(B661),'CLM &amp; IM Mapping'!$A$2:$A$270,0)),"Not Mapped"))</f>
        <v>Bangareppa CS</v>
      </c>
      <c r="D661" s="14" t="str">
        <f aca="false" t="array" ref="D661:D661">IF(B661="","",IFERROR(INDEX('CLM &amp; IM Mapping'!$C$2:$C$270,MATCH(TRIM(B661),'CLM &amp; IM Mapping'!$A$2:$A$270,0)),"Not Mapped"))</f>
        <v>Kishor K</v>
      </c>
      <c r="E661" s="14" t="n">
        <v>0</v>
      </c>
      <c r="F661" s="14" t="n">
        <v>14</v>
      </c>
      <c r="G661" s="14" t="n">
        <v>0</v>
      </c>
      <c r="H661" s="14" t="n">
        <v>22</v>
      </c>
      <c r="I661" s="14" t="n">
        <v>19</v>
      </c>
      <c r="J661" s="14" t="n">
        <v>0</v>
      </c>
      <c r="K661" s="14" t="n">
        <v>55</v>
      </c>
      <c r="L661" s="14" t="n">
        <v>55</v>
      </c>
      <c r="M661" s="12"/>
      <c r="N661" s="11"/>
      <c r="O661" s="23"/>
      <c r="P661" s="23"/>
      <c r="Q661" s="23"/>
      <c r="R661" s="23"/>
      <c r="S661" s="23"/>
      <c r="T661" s="23"/>
      <c r="U661" s="23"/>
      <c r="V661" s="23"/>
      <c r="W661" s="23"/>
      <c r="X661" s="23"/>
      <c r="Y661" s="23"/>
      <c r="Z661" s="23"/>
    </row>
    <row r="662" customFormat="false" ht="15.75" hidden="false" customHeight="true" outlineLevel="0" collapsed="false">
      <c r="A662" s="52" t="n">
        <v>46305</v>
      </c>
      <c r="B662" s="14" t="s">
        <v>421</v>
      </c>
      <c r="C662" s="14" t="str">
        <f aca="false" t="array" ref="C662:C662">IF(B662="","",IFERROR(INDEX('CLM &amp; IM Mapping'!$B$2:$B$270,MATCH(TRIM(B662),'CLM &amp; IM Mapping'!$A$2:$A$270,0)),"Not Mapped"))</f>
        <v>Santhosha M</v>
      </c>
      <c r="D662" s="14" t="str">
        <f aca="false" t="array" ref="D662:D662">IF(B662="","",IFERROR(INDEX('CLM &amp; IM Mapping'!$C$2:$C$270,MATCH(TRIM(B662),'CLM &amp; IM Mapping'!$A$2:$A$270,0)),"Not Mapped"))</f>
        <v>Aravind S</v>
      </c>
      <c r="E662" s="14" t="n">
        <v>1</v>
      </c>
      <c r="F662" s="14" t="n">
        <v>24</v>
      </c>
      <c r="G662" s="14" t="n">
        <v>0</v>
      </c>
      <c r="H662" s="14" t="n">
        <v>8</v>
      </c>
      <c r="I662" s="14" t="n">
        <v>22</v>
      </c>
      <c r="J662" s="14" t="n">
        <v>0</v>
      </c>
      <c r="K662" s="14" t="n">
        <v>55</v>
      </c>
      <c r="L662" s="14" t="n">
        <v>50</v>
      </c>
      <c r="M662" s="12"/>
      <c r="N662" s="11"/>
      <c r="O662" s="23"/>
      <c r="P662" s="23"/>
      <c r="Q662" s="23"/>
      <c r="R662" s="23"/>
      <c r="S662" s="23"/>
      <c r="T662" s="23"/>
      <c r="U662" s="23"/>
      <c r="V662" s="23"/>
      <c r="W662" s="23"/>
      <c r="X662" s="23"/>
      <c r="Y662" s="23"/>
      <c r="Z662" s="23"/>
    </row>
    <row r="663" customFormat="false" ht="15.75" hidden="false" customHeight="true" outlineLevel="0" collapsed="false">
      <c r="A663" s="52" t="n">
        <v>46305</v>
      </c>
      <c r="B663" s="14" t="s">
        <v>94</v>
      </c>
      <c r="C663" s="14" t="str">
        <f aca="false" t="array" ref="C663:C663">IF(B663="","",IFERROR(INDEX('CLM &amp; IM Mapping'!$B$2:$B$270,MATCH(TRIM(B663),'CLM &amp; IM Mapping'!$A$2:$A$270,0)),"Not Mapped"))</f>
        <v>Ashwath S</v>
      </c>
      <c r="D663" s="14" t="str">
        <f aca="false" t="array" ref="D663:D663">IF(B663="","",IFERROR(INDEX('CLM &amp; IM Mapping'!$C$2:$C$270,MATCH(TRIM(B663),'CLM &amp; IM Mapping'!$A$2:$A$270,0)),"Not Mapped"))</f>
        <v>Kantha Kumar</v>
      </c>
      <c r="E663" s="14" t="n">
        <v>14</v>
      </c>
      <c r="F663" s="14" t="n">
        <v>8</v>
      </c>
      <c r="G663" s="14" t="n">
        <v>31</v>
      </c>
      <c r="H663" s="14" t="n">
        <v>2</v>
      </c>
      <c r="I663" s="14" t="n">
        <v>0</v>
      </c>
      <c r="J663" s="14" t="n">
        <v>0</v>
      </c>
      <c r="K663" s="14" t="n">
        <v>55</v>
      </c>
      <c r="L663" s="14" t="n">
        <v>54</v>
      </c>
      <c r="M663" s="12"/>
      <c r="N663" s="11"/>
      <c r="O663" s="23"/>
      <c r="P663" s="23"/>
      <c r="Q663" s="23"/>
      <c r="R663" s="23"/>
      <c r="S663" s="23"/>
      <c r="T663" s="23"/>
      <c r="U663" s="23"/>
      <c r="V663" s="23"/>
      <c r="W663" s="23"/>
      <c r="X663" s="23"/>
      <c r="Y663" s="23"/>
      <c r="Z663" s="23"/>
    </row>
    <row r="664" customFormat="false" ht="15.75" hidden="false" customHeight="true" outlineLevel="0" collapsed="false">
      <c r="A664" s="52" t="n">
        <v>46305</v>
      </c>
      <c r="B664" s="14" t="s">
        <v>346</v>
      </c>
      <c r="C664" s="14" t="str">
        <f aca="false" t="array" ref="C664:C664">IF(B664="","",IFERROR(INDEX('CLM &amp; IM Mapping'!$B$2:$B$270,MATCH(TRIM(B664),'CLM &amp; IM Mapping'!$A$2:$A$270,0)),"Not Mapped"))</f>
        <v>Saddam Hussain</v>
      </c>
      <c r="D664" s="14" t="str">
        <f aca="false" t="array" ref="D664:D664">IF(B664="","",IFERROR(INDEX('CLM &amp; IM Mapping'!$C$2:$C$270,MATCH(TRIM(B664),'CLM &amp; IM Mapping'!$A$2:$A$270,0)),"Not Mapped"))</f>
        <v>Un Mapped</v>
      </c>
      <c r="E664" s="14" t="n">
        <v>0</v>
      </c>
      <c r="F664" s="14" t="n">
        <v>12</v>
      </c>
      <c r="G664" s="14" t="n">
        <v>0</v>
      </c>
      <c r="H664" s="14" t="n">
        <v>13</v>
      </c>
      <c r="I664" s="14" t="n">
        <v>10</v>
      </c>
      <c r="J664" s="14" t="n">
        <v>19</v>
      </c>
      <c r="K664" s="14" t="n">
        <v>54</v>
      </c>
      <c r="L664" s="14" t="n">
        <v>54</v>
      </c>
      <c r="M664" s="12"/>
      <c r="N664" s="11"/>
      <c r="O664" s="23"/>
      <c r="P664" s="23"/>
      <c r="Q664" s="23"/>
      <c r="R664" s="23"/>
      <c r="S664" s="23"/>
      <c r="T664" s="23"/>
      <c r="U664" s="23"/>
      <c r="V664" s="23"/>
      <c r="W664" s="23"/>
      <c r="X664" s="23"/>
      <c r="Y664" s="23"/>
      <c r="Z664" s="23"/>
    </row>
    <row r="665" customFormat="false" ht="15.75" hidden="false" customHeight="true" outlineLevel="0" collapsed="false">
      <c r="A665" s="52" t="n">
        <v>46305</v>
      </c>
      <c r="B665" s="14" t="s">
        <v>76</v>
      </c>
      <c r="C665" s="14" t="str">
        <f aca="false" t="array" ref="C665:C665">IF(B665="","",IFERROR(INDEX('CLM &amp; IM Mapping'!$B$2:$B$270,MATCH(TRIM(B665),'CLM &amp; IM Mapping'!$A$2:$A$270,0)),"Not Mapped"))</f>
        <v>Silambarasan E</v>
      </c>
      <c r="D665" s="14" t="str">
        <f aca="false" t="array" ref="D665:D665">IF(B665="","",IFERROR(INDEX('CLM &amp; IM Mapping'!$C$2:$C$270,MATCH(TRIM(B665),'CLM &amp; IM Mapping'!$A$2:$A$270,0)),"Not Mapped"))</f>
        <v>Arivind S</v>
      </c>
      <c r="E665" s="14" t="n">
        <v>3</v>
      </c>
      <c r="F665" s="14" t="n">
        <v>14</v>
      </c>
      <c r="G665" s="14" t="n">
        <v>11</v>
      </c>
      <c r="H665" s="14" t="n">
        <v>5</v>
      </c>
      <c r="I665" s="14" t="n">
        <v>0</v>
      </c>
      <c r="J665" s="14" t="n">
        <v>20</v>
      </c>
      <c r="K665" s="14" t="n">
        <v>53</v>
      </c>
      <c r="L665" s="14" t="n">
        <v>52</v>
      </c>
      <c r="M665" s="12"/>
      <c r="N665" s="11"/>
      <c r="O665" s="23"/>
      <c r="P665" s="23"/>
      <c r="Q665" s="23"/>
      <c r="R665" s="23"/>
      <c r="S665" s="23"/>
      <c r="T665" s="23"/>
      <c r="U665" s="23"/>
      <c r="V665" s="23"/>
      <c r="W665" s="23"/>
      <c r="X665" s="23"/>
      <c r="Y665" s="23"/>
      <c r="Z665" s="23"/>
    </row>
    <row r="666" customFormat="false" ht="15.75" hidden="false" customHeight="true" outlineLevel="0" collapsed="false">
      <c r="A666" s="52" t="n">
        <v>46305</v>
      </c>
      <c r="B666" s="14" t="s">
        <v>203</v>
      </c>
      <c r="C666" s="14" t="str">
        <f aca="false" t="array" ref="C666:C666">IF(B666="","",IFERROR(INDEX('CLM &amp; IM Mapping'!$B$2:$B$270,MATCH(TRIM(B666),'CLM &amp; IM Mapping'!$A$2:$A$270,0)),"Not Mapped"))</f>
        <v>Suhas N</v>
      </c>
      <c r="D666" s="14" t="str">
        <f aca="false" t="array" ref="D666:D666">IF(B666="","",IFERROR(INDEX('CLM &amp; IM Mapping'!$C$2:$C$270,MATCH(TRIM(B666),'CLM &amp; IM Mapping'!$A$2:$A$270,0)),"Not Mapped"))</f>
        <v>Aravind S</v>
      </c>
      <c r="E666" s="14" t="n">
        <v>7</v>
      </c>
      <c r="F666" s="14" t="n">
        <v>20</v>
      </c>
      <c r="G666" s="14" t="n">
        <v>11</v>
      </c>
      <c r="H666" s="14" t="n">
        <v>3</v>
      </c>
      <c r="I666" s="14" t="n">
        <v>8</v>
      </c>
      <c r="J666" s="14" t="n">
        <v>3</v>
      </c>
      <c r="K666" s="14" t="n">
        <v>52</v>
      </c>
      <c r="L666" s="14" t="n">
        <v>50</v>
      </c>
      <c r="M666" s="12"/>
      <c r="N666" s="11"/>
      <c r="O666" s="23"/>
      <c r="P666" s="23"/>
      <c r="Q666" s="23"/>
      <c r="R666" s="23"/>
      <c r="S666" s="23"/>
      <c r="T666" s="23"/>
      <c r="U666" s="23"/>
      <c r="V666" s="23"/>
      <c r="W666" s="23"/>
      <c r="X666" s="23"/>
      <c r="Y666" s="23"/>
      <c r="Z666" s="23"/>
    </row>
    <row r="667" customFormat="false" ht="15.75" hidden="false" customHeight="true" outlineLevel="0" collapsed="false">
      <c r="A667" s="52" t="n">
        <v>46305</v>
      </c>
      <c r="B667" s="14" t="s">
        <v>111</v>
      </c>
      <c r="C667" s="14" t="str">
        <f aca="false" t="array" ref="C667:C667">IF(B667="","",IFERROR(INDEX('CLM &amp; IM Mapping'!$B$2:$B$270,MATCH(TRIM(B667),'CLM &amp; IM Mapping'!$A$2:$A$270,0)),"Not Mapped"))</f>
        <v>Narasimhamurthy R</v>
      </c>
      <c r="D667" s="14" t="str">
        <f aca="false" t="array" ref="D667:D667">IF(B667="","",IFERROR(INDEX('CLM &amp; IM Mapping'!$C$2:$C$270,MATCH(TRIM(B667),'CLM &amp; IM Mapping'!$A$2:$A$270,0)),"Not Mapped"))</f>
        <v>Kishor K</v>
      </c>
      <c r="E667" s="14" t="n">
        <v>13</v>
      </c>
      <c r="F667" s="14" t="n">
        <v>0</v>
      </c>
      <c r="G667" s="14" t="n">
        <v>0</v>
      </c>
      <c r="H667" s="14" t="n">
        <v>20</v>
      </c>
      <c r="I667" s="14" t="n">
        <v>13</v>
      </c>
      <c r="J667" s="14" t="n">
        <v>6</v>
      </c>
      <c r="K667" s="14" t="n">
        <v>52</v>
      </c>
      <c r="L667" s="14" t="n">
        <v>41</v>
      </c>
      <c r="M667" s="12"/>
      <c r="N667" s="11"/>
      <c r="O667" s="23"/>
      <c r="P667" s="23"/>
      <c r="Q667" s="23"/>
      <c r="R667" s="23"/>
      <c r="S667" s="23"/>
      <c r="T667" s="23"/>
      <c r="U667" s="23"/>
      <c r="V667" s="23"/>
      <c r="W667" s="23"/>
      <c r="X667" s="23"/>
      <c r="Y667" s="23"/>
      <c r="Z667" s="23"/>
    </row>
    <row r="668" customFormat="false" ht="15.75" hidden="false" customHeight="true" outlineLevel="0" collapsed="false">
      <c r="A668" s="52" t="n">
        <v>46305</v>
      </c>
      <c r="B668" s="14" t="s">
        <v>267</v>
      </c>
      <c r="C668" s="14" t="str">
        <f aca="false" t="array" ref="C668:C668">IF(B668="","",IFERROR(INDEX('CLM &amp; IM Mapping'!$B$2:$B$270,MATCH(TRIM(B668),'CLM &amp; IM Mapping'!$A$2:$A$270,0)),"Not Mapped"))</f>
        <v>Balaji G</v>
      </c>
      <c r="D668" s="14" t="str">
        <f aca="false" t="array" ref="D668:D668">IF(B668="","",IFERROR(INDEX('CLM &amp; IM Mapping'!$C$2:$C$270,MATCH(TRIM(B668),'CLM &amp; IM Mapping'!$A$2:$A$270,0)),"Not Mapped"))</f>
        <v>Mohammed Akbar</v>
      </c>
      <c r="E668" s="14" t="n">
        <v>0</v>
      </c>
      <c r="F668" s="14" t="n">
        <v>1</v>
      </c>
      <c r="G668" s="14" t="n">
        <v>0</v>
      </c>
      <c r="H668" s="14" t="n">
        <v>15</v>
      </c>
      <c r="I668" s="14" t="n">
        <v>8</v>
      </c>
      <c r="J668" s="14" t="n">
        <v>27</v>
      </c>
      <c r="K668" s="14" t="n">
        <v>51</v>
      </c>
      <c r="L668" s="14" t="n">
        <v>51</v>
      </c>
      <c r="M668" s="12"/>
      <c r="N668" s="11"/>
      <c r="O668" s="23"/>
      <c r="P668" s="23"/>
      <c r="Q668" s="23"/>
      <c r="R668" s="23"/>
      <c r="S668" s="23"/>
      <c r="T668" s="23"/>
      <c r="U668" s="23"/>
      <c r="V668" s="23"/>
      <c r="W668" s="23"/>
      <c r="X668" s="23"/>
      <c r="Y668" s="23"/>
      <c r="Z668" s="23"/>
    </row>
    <row r="669" customFormat="false" ht="15.75" hidden="false" customHeight="true" outlineLevel="0" collapsed="false">
      <c r="A669" s="52" t="n">
        <v>46305</v>
      </c>
      <c r="B669" s="14" t="s">
        <v>334</v>
      </c>
      <c r="C669" s="14" t="str">
        <f aca="false" t="array" ref="C669:C669">IF(B669="","",IFERROR(INDEX('CLM &amp; IM Mapping'!$B$2:$B$270,MATCH(TRIM(B669),'CLM &amp; IM Mapping'!$A$2:$A$270,0)),"Not Mapped"))</f>
        <v>Akshay P</v>
      </c>
      <c r="D669" s="14" t="str">
        <f aca="false" t="array" ref="D669:D669">IF(B669="","",IFERROR(INDEX('CLM &amp; IM Mapping'!$C$2:$C$270,MATCH(TRIM(B669),'CLM &amp; IM Mapping'!$A$2:$A$270,0)),"Not Mapped"))</f>
        <v>Srittam Dhal</v>
      </c>
      <c r="E669" s="14" t="n">
        <v>0</v>
      </c>
      <c r="F669" s="14" t="n">
        <v>44</v>
      </c>
      <c r="G669" s="14" t="n">
        <v>0</v>
      </c>
      <c r="H669" s="14" t="n">
        <v>4</v>
      </c>
      <c r="I669" s="14" t="n">
        <v>1</v>
      </c>
      <c r="J669" s="14" t="n">
        <v>2</v>
      </c>
      <c r="K669" s="14" t="n">
        <v>51</v>
      </c>
      <c r="L669" s="14" t="n">
        <v>51</v>
      </c>
      <c r="M669" s="12"/>
      <c r="N669" s="11"/>
      <c r="O669" s="23"/>
      <c r="P669" s="23"/>
      <c r="Q669" s="23"/>
      <c r="R669" s="23"/>
      <c r="S669" s="23"/>
      <c r="T669" s="23"/>
      <c r="U669" s="23"/>
      <c r="V669" s="23"/>
      <c r="W669" s="23"/>
      <c r="X669" s="23"/>
      <c r="Y669" s="23"/>
      <c r="Z669" s="23"/>
    </row>
    <row r="670" customFormat="false" ht="15.75" hidden="false" customHeight="true" outlineLevel="0" collapsed="false">
      <c r="A670" s="52" t="n">
        <v>46305</v>
      </c>
      <c r="B670" s="14" t="s">
        <v>89</v>
      </c>
      <c r="C670" s="14" t="str">
        <f aca="false" t="array" ref="C670:C670">IF(B670="","",IFERROR(INDEX('CLM &amp; IM Mapping'!$B$2:$B$270,MATCH(TRIM(B670),'CLM &amp; IM Mapping'!$A$2:$A$270,0)),"Not Mapped"))</f>
        <v>Raghavendra Vernekar</v>
      </c>
      <c r="D670" s="14" t="str">
        <f aca="false" t="array" ref="D670:D670">IF(B670="","",IFERROR(INDEX('CLM &amp; IM Mapping'!$C$2:$C$270,MATCH(TRIM(B670),'CLM &amp; IM Mapping'!$A$2:$A$270,0)),"Not Mapped"))</f>
        <v>Prakash BS</v>
      </c>
      <c r="E670" s="14" t="n">
        <v>0</v>
      </c>
      <c r="F670" s="14" t="n">
        <v>2</v>
      </c>
      <c r="G670" s="14" t="n">
        <v>0</v>
      </c>
      <c r="H670" s="14" t="n">
        <v>6</v>
      </c>
      <c r="I670" s="14" t="n">
        <v>2</v>
      </c>
      <c r="J670" s="14" t="n">
        <v>40</v>
      </c>
      <c r="K670" s="14" t="n">
        <v>50</v>
      </c>
      <c r="L670" s="14" t="n">
        <v>50</v>
      </c>
      <c r="M670" s="12"/>
      <c r="N670" s="11"/>
      <c r="O670" s="23"/>
      <c r="P670" s="23"/>
      <c r="Q670" s="23"/>
      <c r="R670" s="23"/>
      <c r="S670" s="23"/>
      <c r="T670" s="23"/>
      <c r="U670" s="23"/>
      <c r="V670" s="23"/>
      <c r="W670" s="23"/>
      <c r="X670" s="23"/>
      <c r="Y670" s="23"/>
      <c r="Z670" s="23"/>
    </row>
    <row r="671" customFormat="false" ht="15.75" hidden="false" customHeight="true" outlineLevel="0" collapsed="false">
      <c r="A671" s="52" t="n">
        <v>46305</v>
      </c>
      <c r="B671" s="14" t="s">
        <v>362</v>
      </c>
      <c r="C671" s="14" t="str">
        <f aca="false" t="array" ref="C671:C671">IF(B671="","",IFERROR(INDEX('CLM &amp; IM Mapping'!$B$2:$B$270,MATCH(TRIM(B671),'CLM &amp; IM Mapping'!$A$2:$A$270,0)),"Not Mapped"))</f>
        <v>Ashwath S</v>
      </c>
      <c r="D671" s="14" t="str">
        <f aca="false" t="array" ref="D671:D671">IF(B671="","",IFERROR(INDEX('CLM &amp; IM Mapping'!$C$2:$C$270,MATCH(TRIM(B671),'CLM &amp; IM Mapping'!$A$2:$A$270,0)),"Not Mapped"))</f>
        <v>Kantha Kumar</v>
      </c>
      <c r="E671" s="14" t="n">
        <v>14</v>
      </c>
      <c r="F671" s="14" t="n">
        <v>0</v>
      </c>
      <c r="G671" s="14" t="n">
        <v>14</v>
      </c>
      <c r="H671" s="14" t="n">
        <v>0</v>
      </c>
      <c r="I671" s="14" t="n">
        <v>0</v>
      </c>
      <c r="J671" s="14" t="n">
        <v>22</v>
      </c>
      <c r="K671" s="14" t="n">
        <v>50</v>
      </c>
      <c r="L671" s="14" t="n">
        <v>50</v>
      </c>
      <c r="M671" s="12"/>
      <c r="N671" s="11"/>
      <c r="O671" s="23"/>
      <c r="P671" s="23"/>
      <c r="Q671" s="23"/>
      <c r="R671" s="23"/>
      <c r="S671" s="23"/>
      <c r="T671" s="23"/>
      <c r="U671" s="23"/>
      <c r="V671" s="23"/>
      <c r="W671" s="23"/>
      <c r="X671" s="23"/>
      <c r="Y671" s="23"/>
      <c r="Z671" s="23"/>
    </row>
    <row r="672" customFormat="false" ht="15.75" hidden="false" customHeight="true" outlineLevel="0" collapsed="false">
      <c r="A672" s="52" t="n">
        <v>46305</v>
      </c>
      <c r="B672" s="14" t="s">
        <v>390</v>
      </c>
      <c r="C672" s="14" t="str">
        <f aca="false" t="array" ref="C672:C672">IF(B672="","",IFERROR(INDEX('CLM &amp; IM Mapping'!$B$2:$B$270,MATCH(TRIM(B672),'CLM &amp; IM Mapping'!$A$2:$A$270,0)),"Not Mapped"))</f>
        <v>Sundaresh S</v>
      </c>
      <c r="D672" s="14" t="str">
        <f aca="false" t="array" ref="D672:D672">IF(B672="","",IFERROR(INDEX('CLM &amp; IM Mapping'!$C$2:$C$270,MATCH(TRIM(B672),'CLM &amp; IM Mapping'!$A$2:$A$270,0)),"Not Mapped"))</f>
        <v>Un Mapped</v>
      </c>
      <c r="E672" s="14" t="n">
        <v>7</v>
      </c>
      <c r="F672" s="14" t="n">
        <v>23</v>
      </c>
      <c r="G672" s="14" t="n">
        <v>0</v>
      </c>
      <c r="H672" s="14" t="n">
        <v>8</v>
      </c>
      <c r="I672" s="14" t="n">
        <v>0</v>
      </c>
      <c r="J672" s="14" t="n">
        <v>12</v>
      </c>
      <c r="K672" s="14" t="n">
        <v>50</v>
      </c>
      <c r="L672" s="14" t="n">
        <v>49</v>
      </c>
      <c r="M672" s="12"/>
      <c r="N672" s="11"/>
      <c r="O672" s="23"/>
      <c r="P672" s="23"/>
      <c r="Q672" s="23"/>
      <c r="R672" s="23"/>
      <c r="S672" s="23"/>
      <c r="T672" s="23"/>
      <c r="U672" s="23"/>
      <c r="V672" s="23"/>
      <c r="W672" s="23"/>
      <c r="X672" s="23"/>
      <c r="Y672" s="23"/>
      <c r="Z672" s="23"/>
    </row>
    <row r="673" customFormat="false" ht="15.75" hidden="false" customHeight="true" outlineLevel="0" collapsed="false">
      <c r="A673" s="52" t="n">
        <v>46305</v>
      </c>
      <c r="B673" s="14" t="s">
        <v>200</v>
      </c>
      <c r="C673" s="14" t="str">
        <f aca="false" t="array" ref="C673:C673">IF(B673="","",IFERROR(INDEX('CLM &amp; IM Mapping'!$B$2:$B$270,MATCH(TRIM(B673),'CLM &amp; IM Mapping'!$A$2:$A$270,0)),"Not Mapped"))</f>
        <v>Adhavan Subramani</v>
      </c>
      <c r="D673" s="14" t="str">
        <f aca="false" t="array" ref="D673:D673">IF(B673="","",IFERROR(INDEX('CLM &amp; IM Mapping'!$C$2:$C$270,MATCH(TRIM(B673),'CLM &amp; IM Mapping'!$A$2:$A$270,0)),"Not Mapped"))</f>
        <v>Mohammed Akbar</v>
      </c>
      <c r="E673" s="14" t="n">
        <v>0</v>
      </c>
      <c r="F673" s="14" t="n">
        <v>19</v>
      </c>
      <c r="G673" s="14" t="n">
        <v>0</v>
      </c>
      <c r="H673" s="14" t="n">
        <v>9</v>
      </c>
      <c r="I673" s="14" t="n">
        <v>0</v>
      </c>
      <c r="J673" s="14" t="n">
        <v>22</v>
      </c>
      <c r="K673" s="14" t="n">
        <v>50</v>
      </c>
      <c r="L673" s="14" t="n">
        <v>50</v>
      </c>
      <c r="M673" s="12"/>
      <c r="N673" s="11"/>
      <c r="O673" s="23"/>
      <c r="P673" s="23"/>
      <c r="Q673" s="23"/>
      <c r="R673" s="23"/>
      <c r="S673" s="23"/>
      <c r="T673" s="23"/>
      <c r="U673" s="23"/>
      <c r="V673" s="23"/>
      <c r="W673" s="23"/>
      <c r="X673" s="23"/>
      <c r="Y673" s="23"/>
      <c r="Z673" s="23"/>
    </row>
    <row r="674" customFormat="false" ht="15.75" hidden="false" customHeight="true" outlineLevel="0" collapsed="false">
      <c r="A674" s="52" t="n">
        <v>46305</v>
      </c>
      <c r="B674" s="14" t="s">
        <v>274</v>
      </c>
      <c r="C674" s="14" t="str">
        <f aca="false" t="array" ref="C674:C674">IF(B674="","",IFERROR(INDEX('CLM &amp; IM Mapping'!$B$2:$B$270,MATCH(TRIM(B674),'CLM &amp; IM Mapping'!$A$2:$A$270,0)),"Not Mapped"))</f>
        <v>Vishnu V</v>
      </c>
      <c r="D674" s="14" t="str">
        <f aca="false" t="array" ref="D674:D674">IF(B674="","",IFERROR(INDEX('CLM &amp; IM Mapping'!$C$2:$C$270,MATCH(TRIM(B674),'CLM &amp; IM Mapping'!$A$2:$A$270,0)),"Not Mapped"))</f>
        <v>Arivind S</v>
      </c>
      <c r="E674" s="14" t="n">
        <v>1</v>
      </c>
      <c r="F674" s="14" t="n">
        <v>16</v>
      </c>
      <c r="G674" s="14" t="n">
        <v>0</v>
      </c>
      <c r="H674" s="14" t="n">
        <v>25</v>
      </c>
      <c r="I674" s="14" t="n">
        <v>1</v>
      </c>
      <c r="J674" s="14" t="n">
        <v>7</v>
      </c>
      <c r="K674" s="14" t="n">
        <v>50</v>
      </c>
      <c r="L674" s="14" t="n">
        <v>50</v>
      </c>
      <c r="M674" s="12"/>
      <c r="N674" s="11"/>
      <c r="O674" s="23"/>
      <c r="P674" s="23"/>
      <c r="Q674" s="23"/>
      <c r="R674" s="23"/>
      <c r="S674" s="23"/>
      <c r="T674" s="23"/>
      <c r="U674" s="23"/>
      <c r="V674" s="23"/>
      <c r="W674" s="23"/>
      <c r="X674" s="23"/>
      <c r="Y674" s="23"/>
      <c r="Z674" s="23"/>
    </row>
    <row r="675" customFormat="false" ht="15.75" hidden="false" customHeight="true" outlineLevel="0" collapsed="false">
      <c r="A675" s="52" t="n">
        <v>46305</v>
      </c>
      <c r="B675" s="14" t="s">
        <v>516</v>
      </c>
      <c r="C675" s="14" t="str">
        <f aca="false" t="array" ref="C675:C675">IF(B675="","",IFERROR(INDEX('CLM &amp; IM Mapping'!$B$2:$B$270,MATCH(TRIM(B675),'CLM &amp; IM Mapping'!$A$2:$A$270,0)),"Not Mapped"))</f>
        <v>Sundaresh S</v>
      </c>
      <c r="D675" s="14" t="str">
        <f aca="false" t="array" ref="D675:D675">IF(B675="","",IFERROR(INDEX('CLM &amp; IM Mapping'!$C$2:$C$270,MATCH(TRIM(B675),'CLM &amp; IM Mapping'!$A$2:$A$270,0)),"Not Mapped"))</f>
        <v>Un Mapped</v>
      </c>
      <c r="E675" s="14" t="n">
        <v>1</v>
      </c>
      <c r="F675" s="14" t="n">
        <v>0</v>
      </c>
      <c r="G675" s="14" t="n">
        <v>0</v>
      </c>
      <c r="H675" s="14" t="n">
        <v>18</v>
      </c>
      <c r="I675" s="14" t="n">
        <v>30</v>
      </c>
      <c r="J675" s="14" t="n">
        <v>0</v>
      </c>
      <c r="K675" s="14" t="n">
        <v>49</v>
      </c>
      <c r="L675" s="14" t="n">
        <v>48</v>
      </c>
      <c r="M675" s="12"/>
      <c r="N675" s="11"/>
      <c r="O675" s="23"/>
      <c r="P675" s="23"/>
      <c r="Q675" s="23"/>
      <c r="R675" s="23"/>
      <c r="S675" s="23"/>
      <c r="T675" s="23"/>
      <c r="U675" s="23"/>
      <c r="V675" s="23"/>
      <c r="W675" s="23"/>
      <c r="X675" s="23"/>
      <c r="Y675" s="23"/>
      <c r="Z675" s="23"/>
    </row>
    <row r="676" customFormat="false" ht="15.75" hidden="false" customHeight="true" outlineLevel="0" collapsed="false">
      <c r="A676" s="52" t="n">
        <v>46305</v>
      </c>
      <c r="B676" s="14" t="s">
        <v>333</v>
      </c>
      <c r="C676" s="14" t="str">
        <f aca="false" t="array" ref="C676:C676">IF(B676="","",IFERROR(INDEX('CLM &amp; IM Mapping'!$B$2:$B$270,MATCH(TRIM(B676),'CLM &amp; IM Mapping'!$A$2:$A$270,0)),"Not Mapped"))</f>
        <v>Basil Scariya</v>
      </c>
      <c r="D676" s="14" t="str">
        <f aca="false" t="array" ref="D676:D676">IF(B676="","",IFERROR(INDEX('CLM &amp; IM Mapping'!$C$2:$C$270,MATCH(TRIM(B676),'CLM &amp; IM Mapping'!$A$2:$A$270,0)),"Not Mapped"))</f>
        <v>Prakash BS</v>
      </c>
      <c r="E676" s="14" t="n">
        <v>0</v>
      </c>
      <c r="F676" s="14" t="n">
        <v>2</v>
      </c>
      <c r="G676" s="14" t="n">
        <v>2</v>
      </c>
      <c r="H676" s="14" t="n">
        <v>2</v>
      </c>
      <c r="I676" s="14" t="n">
        <v>0</v>
      </c>
      <c r="J676" s="14" t="n">
        <v>43</v>
      </c>
      <c r="K676" s="14" t="n">
        <v>49</v>
      </c>
      <c r="L676" s="14" t="n">
        <v>47</v>
      </c>
      <c r="M676" s="12"/>
      <c r="N676" s="11"/>
      <c r="O676" s="23"/>
      <c r="P676" s="23"/>
      <c r="Q676" s="23"/>
      <c r="R676" s="23"/>
      <c r="S676" s="23"/>
      <c r="T676" s="23"/>
      <c r="U676" s="23"/>
      <c r="V676" s="23"/>
      <c r="W676" s="23"/>
      <c r="X676" s="23"/>
      <c r="Y676" s="23"/>
      <c r="Z676" s="23"/>
    </row>
    <row r="677" customFormat="false" ht="15.75" hidden="false" customHeight="true" outlineLevel="0" collapsed="false">
      <c r="A677" s="52" t="n">
        <v>46305</v>
      </c>
      <c r="B677" s="14" t="s">
        <v>24</v>
      </c>
      <c r="C677" s="14" t="str">
        <f aca="false" t="array" ref="C677:C677">IF(B677="","",IFERROR(INDEX('CLM &amp; IM Mapping'!$B$2:$B$270,MATCH(TRIM(B677),'CLM &amp; IM Mapping'!$A$2:$A$270,0)),"Not Mapped"))</f>
        <v>Arun Raj</v>
      </c>
      <c r="D677" s="14" t="str">
        <f aca="false" t="array" ref="D677:D677">IF(B677="","",IFERROR(INDEX('CLM &amp; IM Mapping'!$C$2:$C$270,MATCH(TRIM(B677),'CLM &amp; IM Mapping'!$A$2:$A$270,0)),"Not Mapped"))</f>
        <v>Simon Manoharan</v>
      </c>
      <c r="E677" s="14" t="n">
        <v>0</v>
      </c>
      <c r="F677" s="14" t="n">
        <v>20</v>
      </c>
      <c r="G677" s="14" t="n">
        <v>14</v>
      </c>
      <c r="H677" s="14" t="n">
        <v>11</v>
      </c>
      <c r="I677" s="14" t="n">
        <v>3</v>
      </c>
      <c r="J677" s="14" t="n">
        <v>0</v>
      </c>
      <c r="K677" s="14" t="n">
        <v>48</v>
      </c>
      <c r="L677" s="14" t="n">
        <v>48</v>
      </c>
      <c r="M677" s="12"/>
      <c r="N677" s="11"/>
      <c r="O677" s="23"/>
      <c r="P677" s="23"/>
      <c r="Q677" s="23"/>
      <c r="R677" s="23"/>
      <c r="S677" s="23"/>
      <c r="T677" s="23"/>
      <c r="U677" s="23"/>
      <c r="V677" s="23"/>
      <c r="W677" s="23"/>
      <c r="X677" s="23"/>
      <c r="Y677" s="23"/>
      <c r="Z677" s="23"/>
    </row>
    <row r="678" customFormat="false" ht="15.75" hidden="false" customHeight="true" outlineLevel="0" collapsed="false">
      <c r="A678" s="52" t="n">
        <v>46305</v>
      </c>
      <c r="B678" s="14" t="s">
        <v>416</v>
      </c>
      <c r="C678" s="14" t="str">
        <f aca="false" t="array" ref="C678:C678">IF(B678="","",IFERROR(INDEX('CLM &amp; IM Mapping'!$B$2:$B$270,MATCH(TRIM(B678),'CLM &amp; IM Mapping'!$A$2:$A$270,0)),"Not Mapped"))</f>
        <v>Girish N</v>
      </c>
      <c r="D678" s="14" t="str">
        <f aca="false" t="array" ref="D678:D678">IF(B678="","",IFERROR(INDEX('CLM &amp; IM Mapping'!$C$2:$C$270,MATCH(TRIM(B678),'CLM &amp; IM Mapping'!$A$2:$A$270,0)),"Not Mapped"))</f>
        <v>Un Mapped</v>
      </c>
      <c r="E678" s="14" t="n">
        <v>3</v>
      </c>
      <c r="F678" s="14" t="n">
        <v>23</v>
      </c>
      <c r="G678" s="14" t="n">
        <v>1</v>
      </c>
      <c r="H678" s="14" t="n">
        <v>16</v>
      </c>
      <c r="I678" s="14" t="n">
        <v>5</v>
      </c>
      <c r="J678" s="14" t="n">
        <v>0</v>
      </c>
      <c r="K678" s="14" t="n">
        <v>48</v>
      </c>
      <c r="L678" s="14" t="n">
        <v>48</v>
      </c>
      <c r="M678" s="12"/>
      <c r="N678" s="11"/>
      <c r="O678" s="23"/>
      <c r="P678" s="23"/>
      <c r="Q678" s="23"/>
      <c r="R678" s="23"/>
      <c r="S678" s="23"/>
      <c r="T678" s="23"/>
      <c r="U678" s="23"/>
      <c r="V678" s="23"/>
      <c r="W678" s="23"/>
      <c r="X678" s="23"/>
      <c r="Y678" s="23"/>
      <c r="Z678" s="23"/>
    </row>
    <row r="679" customFormat="false" ht="15.75" hidden="false" customHeight="true" outlineLevel="0" collapsed="false">
      <c r="A679" s="52" t="n">
        <v>46305</v>
      </c>
      <c r="B679" s="14" t="s">
        <v>359</v>
      </c>
      <c r="C679" s="14" t="str">
        <f aca="false" t="array" ref="C679:C679">IF(B679="","",IFERROR(INDEX('CLM &amp; IM Mapping'!$B$2:$B$270,MATCH(TRIM(B679),'CLM &amp; IM Mapping'!$A$2:$A$270,0)),"Not Mapped"))</f>
        <v>Santhosha M</v>
      </c>
      <c r="D679" s="14" t="str">
        <f aca="false" t="array" ref="D679:D679">IF(B679="","",IFERROR(INDEX('CLM &amp; IM Mapping'!$C$2:$C$270,MATCH(TRIM(B679),'CLM &amp; IM Mapping'!$A$2:$A$270,0)),"Not Mapped"))</f>
        <v>Aravind S</v>
      </c>
      <c r="E679" s="14" t="n">
        <v>13</v>
      </c>
      <c r="F679" s="14" t="n">
        <v>27</v>
      </c>
      <c r="G679" s="14" t="n">
        <v>0</v>
      </c>
      <c r="H679" s="14" t="n">
        <v>5</v>
      </c>
      <c r="I679" s="14" t="n">
        <v>3</v>
      </c>
      <c r="J679" s="14" t="n">
        <v>0</v>
      </c>
      <c r="K679" s="14" t="n">
        <v>48</v>
      </c>
      <c r="L679" s="14" t="n">
        <v>12</v>
      </c>
      <c r="M679" s="12"/>
      <c r="N679" s="11"/>
      <c r="O679" s="23"/>
      <c r="P679" s="23"/>
      <c r="Q679" s="23"/>
      <c r="R679" s="23"/>
      <c r="S679" s="23"/>
      <c r="T679" s="23"/>
      <c r="U679" s="23"/>
      <c r="V679" s="23"/>
      <c r="W679" s="23"/>
      <c r="X679" s="23"/>
      <c r="Y679" s="23"/>
      <c r="Z679" s="23"/>
    </row>
    <row r="680" customFormat="false" ht="15.75" hidden="false" customHeight="true" outlineLevel="0" collapsed="false">
      <c r="A680" s="52" t="n">
        <v>46305</v>
      </c>
      <c r="B680" s="14" t="s">
        <v>288</v>
      </c>
      <c r="C680" s="14" t="str">
        <f aca="false" t="array" ref="C680:C680">IF(B680="","",IFERROR(INDEX('CLM &amp; IM Mapping'!$B$2:$B$270,MATCH(TRIM(B680),'CLM &amp; IM Mapping'!$A$2:$A$270,0)),"Not Mapped"))</f>
        <v>Arun Raj</v>
      </c>
      <c r="D680" s="14" t="str">
        <f aca="false" t="array" ref="D680:D680">IF(B680="","",IFERROR(INDEX('CLM &amp; IM Mapping'!$C$2:$C$270,MATCH(TRIM(B680),'CLM &amp; IM Mapping'!$A$2:$A$270,0)),"Not Mapped"))</f>
        <v>Simon Manoharan</v>
      </c>
      <c r="E680" s="14" t="n">
        <v>0</v>
      </c>
      <c r="F680" s="14" t="n">
        <v>14</v>
      </c>
      <c r="G680" s="14" t="n">
        <v>0</v>
      </c>
      <c r="H680" s="14" t="n">
        <v>30</v>
      </c>
      <c r="I680" s="14" t="n">
        <v>3</v>
      </c>
      <c r="J680" s="14" t="n">
        <v>0</v>
      </c>
      <c r="K680" s="14" t="n">
        <v>47</v>
      </c>
      <c r="L680" s="14" t="n">
        <v>10</v>
      </c>
      <c r="M680" s="12"/>
      <c r="N680" s="11"/>
      <c r="O680" s="23"/>
      <c r="P680" s="23"/>
      <c r="Q680" s="23"/>
      <c r="R680" s="23"/>
      <c r="S680" s="23"/>
      <c r="T680" s="23"/>
      <c r="U680" s="23"/>
      <c r="V680" s="23"/>
      <c r="W680" s="23"/>
      <c r="X680" s="23"/>
      <c r="Y680" s="23"/>
      <c r="Z680" s="23"/>
    </row>
    <row r="681" customFormat="false" ht="15.75" hidden="false" customHeight="true" outlineLevel="0" collapsed="false">
      <c r="A681" s="52" t="n">
        <v>46305</v>
      </c>
      <c r="B681" s="14" t="s">
        <v>403</v>
      </c>
      <c r="C681" s="14" t="str">
        <f aca="false" t="array" ref="C681:C681">IF(B681="","",IFERROR(INDEX('CLM &amp; IM Mapping'!$B$2:$B$270,MATCH(TRIM(B681),'CLM &amp; IM Mapping'!$A$2:$A$270,0)),"Not Mapped"))</f>
        <v>Narasimhamurthy R</v>
      </c>
      <c r="D681" s="14" t="str">
        <f aca="false" t="array" ref="D681:D681">IF(B681="","",IFERROR(INDEX('CLM &amp; IM Mapping'!$C$2:$C$270,MATCH(TRIM(B681),'CLM &amp; IM Mapping'!$A$2:$A$270,0)),"Not Mapped"))</f>
        <v>Kishor K</v>
      </c>
      <c r="E681" s="14" t="n">
        <v>3</v>
      </c>
      <c r="F681" s="14" t="n">
        <v>3</v>
      </c>
      <c r="G681" s="14" t="n">
        <v>2</v>
      </c>
      <c r="H681" s="14" t="n">
        <v>13</v>
      </c>
      <c r="I681" s="14" t="n">
        <v>14</v>
      </c>
      <c r="J681" s="14" t="n">
        <v>11</v>
      </c>
      <c r="K681" s="14" t="n">
        <v>46</v>
      </c>
      <c r="L681" s="14" t="n">
        <v>46</v>
      </c>
      <c r="M681" s="12"/>
      <c r="N681" s="11"/>
      <c r="O681" s="23"/>
      <c r="P681" s="23"/>
      <c r="Q681" s="23"/>
      <c r="R681" s="23"/>
      <c r="S681" s="23"/>
      <c r="T681" s="23"/>
      <c r="U681" s="23"/>
      <c r="V681" s="23"/>
      <c r="W681" s="23"/>
      <c r="X681" s="23"/>
      <c r="Y681" s="23"/>
      <c r="Z681" s="23"/>
    </row>
    <row r="682" customFormat="false" ht="15.75" hidden="false" customHeight="true" outlineLevel="0" collapsed="false">
      <c r="A682" s="52" t="n">
        <v>46305</v>
      </c>
      <c r="B682" s="14" t="s">
        <v>518</v>
      </c>
      <c r="C682" s="14" t="str">
        <f aca="false" t="array" ref="C682:C682">IF(B682="","",IFERROR(INDEX('CLM &amp; IM Mapping'!$B$2:$B$270,MATCH(TRIM(B682),'CLM &amp; IM Mapping'!$A$2:$A$270,0)),"Not Mapped"))</f>
        <v>Basil Scariya</v>
      </c>
      <c r="D682" s="14" t="str">
        <f aca="false" t="array" ref="D682:D682">IF(B682="","",IFERROR(INDEX('CLM &amp; IM Mapping'!$C$2:$C$270,MATCH(TRIM(B682),'CLM &amp; IM Mapping'!$A$2:$A$270,0)),"Not Mapped"))</f>
        <v>Prakash BS</v>
      </c>
      <c r="E682" s="14" t="n">
        <v>0</v>
      </c>
      <c r="F682" s="14" t="n">
        <v>5</v>
      </c>
      <c r="G682" s="14" t="n">
        <v>0</v>
      </c>
      <c r="H682" s="14" t="n">
        <v>22</v>
      </c>
      <c r="I682" s="14" t="n">
        <v>19</v>
      </c>
      <c r="J682" s="14" t="n">
        <v>0</v>
      </c>
      <c r="K682" s="14" t="n">
        <v>46</v>
      </c>
      <c r="L682" s="14" t="n">
        <v>46</v>
      </c>
      <c r="M682" s="12"/>
      <c r="N682" s="11"/>
      <c r="O682" s="23"/>
      <c r="P682" s="23"/>
      <c r="Q682" s="23"/>
      <c r="R682" s="23"/>
      <c r="S682" s="23"/>
      <c r="T682" s="23"/>
      <c r="U682" s="23"/>
      <c r="V682" s="23"/>
      <c r="W682" s="23"/>
      <c r="X682" s="23"/>
      <c r="Y682" s="23"/>
      <c r="Z682" s="23"/>
    </row>
    <row r="683" customFormat="false" ht="15.75" hidden="false" customHeight="true" outlineLevel="0" collapsed="false">
      <c r="A683" s="52" t="n">
        <v>46305</v>
      </c>
      <c r="B683" s="14" t="s">
        <v>171</v>
      </c>
      <c r="C683" s="14" t="str">
        <f aca="false" t="array" ref="C683:C683">IF(B683="","",IFERROR(INDEX('CLM &amp; IM Mapping'!$B$2:$B$270,MATCH(TRIM(B683),'CLM &amp; IM Mapping'!$A$2:$A$270,0)),"Not Mapped"))</f>
        <v>Ashwath S</v>
      </c>
      <c r="D683" s="14" t="str">
        <f aca="false" t="array" ref="D683:D683">IF(B683="","",IFERROR(INDEX('CLM &amp; IM Mapping'!$C$2:$C$270,MATCH(TRIM(B683),'CLM &amp; IM Mapping'!$A$2:$A$270,0)),"Not Mapped"))</f>
        <v>Kantha Kumar</v>
      </c>
      <c r="E683" s="14" t="n">
        <v>2</v>
      </c>
      <c r="F683" s="14" t="n">
        <v>6</v>
      </c>
      <c r="G683" s="14" t="n">
        <v>0</v>
      </c>
      <c r="H683" s="14" t="n">
        <v>3</v>
      </c>
      <c r="I683" s="14" t="n">
        <v>31</v>
      </c>
      <c r="J683" s="14" t="n">
        <v>2</v>
      </c>
      <c r="K683" s="14" t="n">
        <v>44</v>
      </c>
      <c r="L683" s="14" t="n">
        <v>44</v>
      </c>
      <c r="M683" s="12"/>
      <c r="N683" s="11"/>
      <c r="O683" s="23"/>
      <c r="P683" s="23"/>
      <c r="Q683" s="23"/>
      <c r="R683" s="23"/>
      <c r="S683" s="23"/>
      <c r="T683" s="23"/>
      <c r="U683" s="23"/>
      <c r="V683" s="23"/>
      <c r="W683" s="23"/>
      <c r="X683" s="23"/>
      <c r="Y683" s="23"/>
      <c r="Z683" s="23"/>
    </row>
    <row r="684" customFormat="false" ht="15.75" hidden="false" customHeight="true" outlineLevel="0" collapsed="false">
      <c r="A684" s="52" t="n">
        <v>46305</v>
      </c>
      <c r="B684" s="14" t="s">
        <v>513</v>
      </c>
      <c r="C684" s="14" t="str">
        <f aca="false" t="array" ref="C684:C684">IF(B684="","",IFERROR(INDEX('CLM &amp; IM Mapping'!$B$2:$B$270,MATCH(TRIM(B684),'CLM &amp; IM Mapping'!$A$2:$A$270,0)),"Not Mapped"))</f>
        <v>Manoj Kj</v>
      </c>
      <c r="D684" s="14" t="str">
        <f aca="false" t="array" ref="D684:D684">IF(B684="","",IFERROR(INDEX('CLM &amp; IM Mapping'!$C$2:$C$270,MATCH(TRIM(B684),'CLM &amp; IM Mapping'!$A$2:$A$270,0)),"Not Mapped"))</f>
        <v>Srittam Dhal</v>
      </c>
      <c r="E684" s="14" t="n">
        <v>1</v>
      </c>
      <c r="F684" s="14" t="n">
        <v>21</v>
      </c>
      <c r="G684" s="14" t="n">
        <v>16</v>
      </c>
      <c r="H684" s="14" t="n">
        <v>0</v>
      </c>
      <c r="I684" s="14" t="n">
        <v>0</v>
      </c>
      <c r="J684" s="14" t="n">
        <v>6</v>
      </c>
      <c r="K684" s="14" t="n">
        <v>44</v>
      </c>
      <c r="L684" s="14" t="n">
        <v>44</v>
      </c>
      <c r="M684" s="12"/>
      <c r="N684" s="11"/>
      <c r="O684" s="23"/>
      <c r="P684" s="23"/>
      <c r="Q684" s="23"/>
      <c r="R684" s="23"/>
      <c r="S684" s="23"/>
      <c r="T684" s="23"/>
      <c r="U684" s="23"/>
      <c r="V684" s="23"/>
      <c r="W684" s="23"/>
      <c r="X684" s="23"/>
      <c r="Y684" s="23"/>
      <c r="Z684" s="23"/>
    </row>
    <row r="685" customFormat="false" ht="15.75" hidden="false" customHeight="true" outlineLevel="0" collapsed="false">
      <c r="A685" s="52" t="n">
        <v>46305</v>
      </c>
      <c r="B685" s="14" t="s">
        <v>470</v>
      </c>
      <c r="C685" s="14" t="str">
        <f aca="false" t="array" ref="C685:C685">IF(B685="","",IFERROR(INDEX('CLM &amp; IM Mapping'!$B$2:$B$270,MATCH(TRIM(B685),'CLM &amp; IM Mapping'!$A$2:$A$270,0)),"Not Mapped"))</f>
        <v>Vishnu V</v>
      </c>
      <c r="D685" s="14" t="str">
        <f aca="false" t="array" ref="D685:D685">IF(B685="","",IFERROR(INDEX('CLM &amp; IM Mapping'!$C$2:$C$270,MATCH(TRIM(B685),'CLM &amp; IM Mapping'!$A$2:$A$270,0)),"Not Mapped"))</f>
        <v>Arivind S</v>
      </c>
      <c r="E685" s="14" t="n">
        <v>0</v>
      </c>
      <c r="F685" s="14" t="n">
        <v>23</v>
      </c>
      <c r="G685" s="14" t="n">
        <v>3</v>
      </c>
      <c r="H685" s="14" t="n">
        <v>13</v>
      </c>
      <c r="I685" s="14" t="n">
        <v>0</v>
      </c>
      <c r="J685" s="14" t="n">
        <v>5</v>
      </c>
      <c r="K685" s="14" t="n">
        <v>44</v>
      </c>
      <c r="L685" s="14" t="n">
        <v>44</v>
      </c>
      <c r="M685" s="12"/>
      <c r="N685" s="11"/>
      <c r="O685" s="23"/>
      <c r="P685" s="23"/>
      <c r="Q685" s="23"/>
      <c r="R685" s="23"/>
      <c r="S685" s="23"/>
      <c r="T685" s="23"/>
      <c r="U685" s="23"/>
      <c r="V685" s="23"/>
      <c r="W685" s="23"/>
      <c r="X685" s="23"/>
      <c r="Y685" s="23"/>
      <c r="Z685" s="23"/>
    </row>
    <row r="686" customFormat="false" ht="15.75" hidden="false" customHeight="true" outlineLevel="0" collapsed="false">
      <c r="A686" s="52" t="n">
        <v>46305</v>
      </c>
      <c r="B686" s="14" t="s">
        <v>129</v>
      </c>
      <c r="C686" s="14" t="str">
        <f aca="false" t="array" ref="C686:C686">IF(B686="","",IFERROR(INDEX('CLM &amp; IM Mapping'!$B$2:$B$270,MATCH(TRIM(B686),'CLM &amp; IM Mapping'!$A$2:$A$270,0)),"Not Mapped"))</f>
        <v>Ashwath S</v>
      </c>
      <c r="D686" s="14" t="str">
        <f aca="false" t="array" ref="D686:D686">IF(B686="","",IFERROR(INDEX('CLM &amp; IM Mapping'!$C$2:$C$270,MATCH(TRIM(B686),'CLM &amp; IM Mapping'!$A$2:$A$270,0)),"Not Mapped"))</f>
        <v>Kantha Kumar</v>
      </c>
      <c r="E686" s="14" t="n">
        <v>4</v>
      </c>
      <c r="F686" s="14" t="n">
        <v>34</v>
      </c>
      <c r="G686" s="14" t="n">
        <v>0</v>
      </c>
      <c r="H686" s="14" t="n">
        <v>0</v>
      </c>
      <c r="I686" s="14" t="n">
        <v>2</v>
      </c>
      <c r="J686" s="14" t="n">
        <v>4</v>
      </c>
      <c r="K686" s="14" t="n">
        <v>44</v>
      </c>
      <c r="L686" s="14" t="n">
        <v>34</v>
      </c>
      <c r="M686" s="12"/>
      <c r="N686" s="11"/>
      <c r="O686" s="23"/>
      <c r="P686" s="23"/>
      <c r="Q686" s="23"/>
      <c r="R686" s="23"/>
      <c r="S686" s="23"/>
      <c r="T686" s="23"/>
      <c r="U686" s="23"/>
      <c r="V686" s="23"/>
      <c r="W686" s="23"/>
      <c r="X686" s="23"/>
      <c r="Y686" s="23"/>
      <c r="Z686" s="23"/>
    </row>
    <row r="687" customFormat="false" ht="15.75" hidden="false" customHeight="true" outlineLevel="0" collapsed="false">
      <c r="A687" s="52" t="n">
        <v>46305</v>
      </c>
      <c r="B687" s="14" t="s">
        <v>490</v>
      </c>
      <c r="C687" s="14" t="str">
        <f aca="false" t="array" ref="C687:C687">IF(B687="","",IFERROR(INDEX('CLM &amp; IM Mapping'!$B$2:$B$270,MATCH(TRIM(B687),'CLM &amp; IM Mapping'!$A$2:$A$270,0)),"Not Mapped"))</f>
        <v>Arun Raj</v>
      </c>
      <c r="D687" s="14" t="str">
        <f aca="false" t="array" ref="D687:D687">IF(B687="","",IFERROR(INDEX('CLM &amp; IM Mapping'!$C$2:$C$270,MATCH(TRIM(B687),'CLM &amp; IM Mapping'!$A$2:$A$270,0)),"Not Mapped"))</f>
        <v>Simon Manoharan</v>
      </c>
      <c r="E687" s="14" t="n">
        <v>0</v>
      </c>
      <c r="F687" s="14" t="n">
        <v>10</v>
      </c>
      <c r="G687" s="14" t="n">
        <v>14</v>
      </c>
      <c r="H687" s="14" t="n">
        <v>3</v>
      </c>
      <c r="I687" s="14" t="n">
        <v>17</v>
      </c>
      <c r="J687" s="14" t="n">
        <v>0</v>
      </c>
      <c r="K687" s="14" t="n">
        <v>44</v>
      </c>
      <c r="L687" s="14" t="n">
        <v>23</v>
      </c>
      <c r="M687" s="12"/>
      <c r="N687" s="11"/>
      <c r="O687" s="23"/>
      <c r="P687" s="23"/>
      <c r="Q687" s="23"/>
      <c r="R687" s="23"/>
      <c r="S687" s="23"/>
      <c r="T687" s="23"/>
      <c r="U687" s="23"/>
      <c r="V687" s="23"/>
      <c r="W687" s="23"/>
      <c r="X687" s="23"/>
      <c r="Y687" s="23"/>
      <c r="Z687" s="23"/>
    </row>
    <row r="688" customFormat="false" ht="15.75" hidden="false" customHeight="true" outlineLevel="0" collapsed="false">
      <c r="A688" s="52" t="n">
        <v>46305</v>
      </c>
      <c r="B688" s="14" t="s">
        <v>402</v>
      </c>
      <c r="C688" s="14" t="str">
        <f aca="false" t="array" ref="C688:C688">IF(B688="","",IFERROR(INDEX('CLM &amp; IM Mapping'!$B$2:$B$270,MATCH(TRIM(B688),'CLM &amp; IM Mapping'!$A$2:$A$270,0)),"Not Mapped"))</f>
        <v>Narasimhamurthy R</v>
      </c>
      <c r="D688" s="14" t="str">
        <f aca="false" t="array" ref="D688:D688">IF(B688="","",IFERROR(INDEX('CLM &amp; IM Mapping'!$C$2:$C$270,MATCH(TRIM(B688),'CLM &amp; IM Mapping'!$A$2:$A$270,0)),"Not Mapped"))</f>
        <v>Kishor K</v>
      </c>
      <c r="E688" s="14" t="n">
        <v>5</v>
      </c>
      <c r="F688" s="14" t="n">
        <v>9</v>
      </c>
      <c r="G688" s="14" t="n">
        <v>6</v>
      </c>
      <c r="H688" s="14" t="n">
        <v>4</v>
      </c>
      <c r="I688" s="14" t="n">
        <v>0</v>
      </c>
      <c r="J688" s="14" t="n">
        <v>19</v>
      </c>
      <c r="K688" s="14" t="n">
        <v>43</v>
      </c>
      <c r="L688" s="14" t="n">
        <v>42</v>
      </c>
      <c r="M688" s="12"/>
      <c r="N688" s="11"/>
      <c r="O688" s="23"/>
      <c r="P688" s="23"/>
      <c r="Q688" s="23"/>
      <c r="R688" s="23"/>
      <c r="S688" s="23"/>
      <c r="T688" s="23"/>
      <c r="U688" s="23"/>
      <c r="V688" s="23"/>
      <c r="W688" s="23"/>
      <c r="X688" s="23"/>
      <c r="Y688" s="23"/>
      <c r="Z688" s="23"/>
    </row>
    <row r="689" customFormat="false" ht="15.75" hidden="false" customHeight="true" outlineLevel="0" collapsed="false">
      <c r="A689" s="52" t="n">
        <v>46305</v>
      </c>
      <c r="B689" s="14" t="s">
        <v>345</v>
      </c>
      <c r="C689" s="14" t="str">
        <f aca="false" t="array" ref="C689:C689">IF(B689="","",IFERROR(INDEX('CLM &amp; IM Mapping'!$B$2:$B$270,MATCH(TRIM(B689),'CLM &amp; IM Mapping'!$A$2:$A$270,0)),"Not Mapped"))</f>
        <v>John Britto</v>
      </c>
      <c r="D689" s="14" t="str">
        <f aca="false" t="array" ref="D689:D689">IF(B689="","",IFERROR(INDEX('CLM &amp; IM Mapping'!$C$2:$C$270,MATCH(TRIM(B689),'CLM &amp; IM Mapping'!$A$2:$A$270,0)),"Not Mapped"))</f>
        <v>Aravind S</v>
      </c>
      <c r="E689" s="14" t="n">
        <v>1</v>
      </c>
      <c r="F689" s="14" t="n">
        <v>27</v>
      </c>
      <c r="G689" s="14" t="n">
        <v>0</v>
      </c>
      <c r="H689" s="14" t="n">
        <v>3</v>
      </c>
      <c r="I689" s="14" t="n">
        <v>4</v>
      </c>
      <c r="J689" s="14" t="n">
        <v>7</v>
      </c>
      <c r="K689" s="14" t="n">
        <v>42</v>
      </c>
      <c r="L689" s="14" t="n">
        <v>42</v>
      </c>
      <c r="M689" s="12"/>
      <c r="N689" s="11"/>
      <c r="O689" s="23"/>
      <c r="P689" s="23"/>
      <c r="Q689" s="23"/>
      <c r="R689" s="23"/>
      <c r="S689" s="23"/>
      <c r="T689" s="23"/>
      <c r="U689" s="23"/>
      <c r="V689" s="23"/>
      <c r="W689" s="23"/>
      <c r="X689" s="23"/>
      <c r="Y689" s="23"/>
      <c r="Z689" s="23"/>
    </row>
    <row r="690" customFormat="false" ht="15.75" hidden="false" customHeight="true" outlineLevel="0" collapsed="false">
      <c r="A690" s="52" t="n">
        <v>46305</v>
      </c>
      <c r="B690" s="14" t="s">
        <v>97</v>
      </c>
      <c r="C690" s="14" t="str">
        <f aca="false" t="array" ref="C690:C690">IF(B690="","",IFERROR(INDEX('CLM &amp; IM Mapping'!$B$2:$B$270,MATCH(TRIM(B690),'CLM &amp; IM Mapping'!$A$2:$A$270,0)),"Not Mapped"))</f>
        <v>Raghavendra Vernekar</v>
      </c>
      <c r="D690" s="14" t="str">
        <f aca="false" t="array" ref="D690:D690">IF(B690="","",IFERROR(INDEX('CLM &amp; IM Mapping'!$C$2:$C$270,MATCH(TRIM(B690),'CLM &amp; IM Mapping'!$A$2:$A$270,0)),"Not Mapped"))</f>
        <v>Prakash BS</v>
      </c>
      <c r="E690" s="14" t="n">
        <v>0</v>
      </c>
      <c r="F690" s="14" t="n">
        <v>1</v>
      </c>
      <c r="G690" s="14" t="n">
        <v>0</v>
      </c>
      <c r="H690" s="14" t="n">
        <v>34</v>
      </c>
      <c r="I690" s="14" t="n">
        <v>6</v>
      </c>
      <c r="J690" s="14" t="n">
        <v>0</v>
      </c>
      <c r="K690" s="14" t="n">
        <v>41</v>
      </c>
      <c r="L690" s="14" t="n">
        <v>38</v>
      </c>
      <c r="M690" s="12"/>
      <c r="N690" s="11"/>
      <c r="O690" s="23"/>
      <c r="P690" s="23"/>
      <c r="Q690" s="23"/>
      <c r="R690" s="23"/>
      <c r="S690" s="23"/>
      <c r="T690" s="23"/>
      <c r="U690" s="23"/>
      <c r="V690" s="23"/>
      <c r="W690" s="23"/>
      <c r="X690" s="23"/>
      <c r="Y690" s="23"/>
      <c r="Z690" s="23"/>
    </row>
    <row r="691" customFormat="false" ht="15.75" hidden="false" customHeight="true" outlineLevel="0" collapsed="false">
      <c r="A691" s="52" t="n">
        <v>46305</v>
      </c>
      <c r="B691" s="14" t="s">
        <v>437</v>
      </c>
      <c r="C691" s="14" t="str">
        <f aca="false" t="array" ref="C691:C691">IF(B691="","",IFERROR(INDEX('CLM &amp; IM Mapping'!$B$2:$B$270,MATCH(TRIM(B691),'CLM &amp; IM Mapping'!$A$2:$A$270,0)),"Not Mapped"))</f>
        <v>Balaji G</v>
      </c>
      <c r="D691" s="14" t="str">
        <f aca="false" t="array" ref="D691:D691">IF(B691="","",IFERROR(INDEX('CLM &amp; IM Mapping'!$C$2:$C$270,MATCH(TRIM(B691),'CLM &amp; IM Mapping'!$A$2:$A$270,0)),"Not Mapped"))</f>
        <v>Mohammed Akbar</v>
      </c>
      <c r="E691" s="14" t="n">
        <v>7</v>
      </c>
      <c r="F691" s="14" t="n">
        <v>4</v>
      </c>
      <c r="G691" s="14" t="n">
        <v>15</v>
      </c>
      <c r="H691" s="14" t="n">
        <v>10</v>
      </c>
      <c r="I691" s="14" t="n">
        <v>5</v>
      </c>
      <c r="J691" s="14" t="n">
        <v>0</v>
      </c>
      <c r="K691" s="14" t="n">
        <v>41</v>
      </c>
      <c r="L691" s="14" t="n">
        <v>40</v>
      </c>
      <c r="M691" s="12"/>
      <c r="N691" s="11"/>
      <c r="O691" s="23"/>
      <c r="P691" s="23"/>
      <c r="Q691" s="23"/>
      <c r="R691" s="23"/>
      <c r="S691" s="23"/>
      <c r="T691" s="23"/>
      <c r="U691" s="23"/>
      <c r="V691" s="23"/>
      <c r="W691" s="23"/>
      <c r="X691" s="23"/>
      <c r="Y691" s="23"/>
      <c r="Z691" s="23"/>
    </row>
    <row r="692" customFormat="false" ht="15.75" hidden="false" customHeight="true" outlineLevel="0" collapsed="false">
      <c r="A692" s="52" t="n">
        <v>46305</v>
      </c>
      <c r="B692" s="14" t="s">
        <v>298</v>
      </c>
      <c r="C692" s="14" t="str">
        <f aca="false" t="array" ref="C692:C692">IF(B692="","",IFERROR(INDEX('CLM &amp; IM Mapping'!$B$2:$B$270,MATCH(TRIM(B692),'CLM &amp; IM Mapping'!$A$2:$A$270,0)),"Not Mapped"))</f>
        <v>Ravishankar gowda</v>
      </c>
      <c r="D692" s="14" t="str">
        <f aca="false" t="array" ref="D692:D692">IF(B692="","",IFERROR(INDEX('CLM &amp; IM Mapping'!$C$2:$C$270,MATCH(TRIM(B692),'CLM &amp; IM Mapping'!$A$2:$A$270,0)),"Not Mapped"))</f>
        <v>Kishor K</v>
      </c>
      <c r="E692" s="14" t="n">
        <v>2</v>
      </c>
      <c r="F692" s="14" t="n">
        <v>0</v>
      </c>
      <c r="G692" s="14" t="n">
        <v>1</v>
      </c>
      <c r="H692" s="14" t="n">
        <v>0</v>
      </c>
      <c r="I692" s="14" t="n">
        <v>2</v>
      </c>
      <c r="J692" s="14" t="n">
        <v>36</v>
      </c>
      <c r="K692" s="14" t="n">
        <v>41</v>
      </c>
      <c r="L692" s="14" t="n">
        <v>41</v>
      </c>
      <c r="M692" s="12"/>
      <c r="N692" s="11"/>
      <c r="O692" s="23"/>
      <c r="P692" s="23"/>
      <c r="Q692" s="23"/>
      <c r="R692" s="23"/>
      <c r="S692" s="23"/>
      <c r="T692" s="23"/>
      <c r="U692" s="23"/>
      <c r="V692" s="23"/>
      <c r="W692" s="23"/>
      <c r="X692" s="23"/>
      <c r="Y692" s="23"/>
      <c r="Z692" s="23"/>
    </row>
    <row r="693" customFormat="false" ht="15.75" hidden="false" customHeight="true" outlineLevel="0" collapsed="false">
      <c r="A693" s="52" t="n">
        <v>46305</v>
      </c>
      <c r="B693" s="14" t="s">
        <v>114</v>
      </c>
      <c r="C693" s="14" t="str">
        <f aca="false" t="array" ref="C693:C693">IF(B693="","",IFERROR(INDEX('CLM &amp; IM Mapping'!$B$2:$B$270,MATCH(TRIM(B693),'CLM &amp; IM Mapping'!$A$2:$A$270,0)),"Not Mapped"))</f>
        <v>Adhavan Subramani</v>
      </c>
      <c r="D693" s="14" t="str">
        <f aca="false" t="array" ref="D693:D693">IF(B693="","",IFERROR(INDEX('CLM &amp; IM Mapping'!$C$2:$C$270,MATCH(TRIM(B693),'CLM &amp; IM Mapping'!$A$2:$A$270,0)),"Not Mapped"))</f>
        <v>Mohammed Akbar</v>
      </c>
      <c r="E693" s="14" t="n">
        <v>6</v>
      </c>
      <c r="F693" s="14" t="n">
        <v>3</v>
      </c>
      <c r="G693" s="14" t="n">
        <v>2</v>
      </c>
      <c r="H693" s="14" t="n">
        <v>6</v>
      </c>
      <c r="I693" s="14" t="n">
        <v>8</v>
      </c>
      <c r="J693" s="14" t="n">
        <v>16</v>
      </c>
      <c r="K693" s="14" t="n">
        <v>41</v>
      </c>
      <c r="L693" s="14" t="n">
        <v>41</v>
      </c>
      <c r="M693" s="12"/>
      <c r="N693" s="11"/>
      <c r="O693" s="23"/>
      <c r="P693" s="23"/>
      <c r="Q693" s="23"/>
      <c r="R693" s="23"/>
      <c r="S693" s="23"/>
      <c r="T693" s="23"/>
      <c r="U693" s="23"/>
      <c r="V693" s="23"/>
      <c r="W693" s="23"/>
      <c r="X693" s="23"/>
      <c r="Y693" s="23"/>
      <c r="Z693" s="23"/>
    </row>
    <row r="694" customFormat="false" ht="15.75" hidden="false" customHeight="true" outlineLevel="0" collapsed="false">
      <c r="A694" s="52" t="n">
        <v>46305</v>
      </c>
      <c r="B694" s="14" t="s">
        <v>503</v>
      </c>
      <c r="C694" s="14" t="str">
        <f aca="false" t="array" ref="C694:C694">IF(B694="","",IFERROR(INDEX('CLM &amp; IM Mapping'!$B$2:$B$270,MATCH(TRIM(B694),'CLM &amp; IM Mapping'!$A$2:$A$270,0)),"Not Mapped"))</f>
        <v>Santhosha M</v>
      </c>
      <c r="D694" s="14" t="str">
        <f aca="false" t="array" ref="D694:D694">IF(B694="","",IFERROR(INDEX('CLM &amp; IM Mapping'!$C$2:$C$270,MATCH(TRIM(B694),'CLM &amp; IM Mapping'!$A$2:$A$270,0)),"Not Mapped"))</f>
        <v>Aravind S</v>
      </c>
      <c r="E694" s="14" t="n">
        <v>24</v>
      </c>
      <c r="F694" s="14" t="n">
        <v>9</v>
      </c>
      <c r="G694" s="14" t="n">
        <v>6</v>
      </c>
      <c r="H694" s="14" t="n">
        <v>0</v>
      </c>
      <c r="I694" s="14" t="n">
        <v>0</v>
      </c>
      <c r="J694" s="14" t="n">
        <v>1</v>
      </c>
      <c r="K694" s="14" t="n">
        <v>40</v>
      </c>
      <c r="L694" s="14" t="n">
        <v>40</v>
      </c>
      <c r="M694" s="12"/>
      <c r="N694" s="11"/>
      <c r="O694" s="23"/>
      <c r="P694" s="23"/>
      <c r="Q694" s="23"/>
      <c r="R694" s="23"/>
      <c r="S694" s="23"/>
      <c r="T694" s="23"/>
      <c r="U694" s="23"/>
      <c r="V694" s="23"/>
      <c r="W694" s="23"/>
      <c r="X694" s="23"/>
      <c r="Y694" s="23"/>
      <c r="Z694" s="23"/>
    </row>
    <row r="695" customFormat="false" ht="15.75" hidden="false" customHeight="true" outlineLevel="0" collapsed="false">
      <c r="A695" s="52" t="n">
        <v>46305</v>
      </c>
      <c r="B695" s="14" t="s">
        <v>92</v>
      </c>
      <c r="C695" s="14" t="str">
        <f aca="false" t="array" ref="C695:C695">IF(B695="","",IFERROR(INDEX('CLM &amp; IM Mapping'!$B$2:$B$270,MATCH(TRIM(B695),'CLM &amp; IM Mapping'!$A$2:$A$270,0)),"Not Mapped"))</f>
        <v>Balaji G</v>
      </c>
      <c r="D695" s="14" t="str">
        <f aca="false" t="array" ref="D695:D695">IF(B695="","",IFERROR(INDEX('CLM &amp; IM Mapping'!$C$2:$C$270,MATCH(TRIM(B695),'CLM &amp; IM Mapping'!$A$2:$A$270,0)),"Not Mapped"))</f>
        <v>Mohammed Akbar</v>
      </c>
      <c r="E695" s="14" t="n">
        <v>5</v>
      </c>
      <c r="F695" s="14" t="n">
        <v>11</v>
      </c>
      <c r="G695" s="14" t="n">
        <v>18</v>
      </c>
      <c r="H695" s="14" t="n">
        <v>0</v>
      </c>
      <c r="I695" s="14" t="n">
        <v>6</v>
      </c>
      <c r="J695" s="14" t="n">
        <v>0</v>
      </c>
      <c r="K695" s="14" t="n">
        <v>40</v>
      </c>
      <c r="L695" s="14" t="n">
        <v>39</v>
      </c>
      <c r="M695" s="12"/>
      <c r="N695" s="11"/>
      <c r="O695" s="23"/>
      <c r="P695" s="23"/>
      <c r="Q695" s="23"/>
      <c r="R695" s="23"/>
      <c r="S695" s="23"/>
      <c r="T695" s="23"/>
      <c r="U695" s="23"/>
      <c r="V695" s="23"/>
      <c r="W695" s="23"/>
      <c r="X695" s="23"/>
      <c r="Y695" s="23"/>
      <c r="Z695" s="23"/>
    </row>
    <row r="696" customFormat="false" ht="15.75" hidden="false" customHeight="true" outlineLevel="0" collapsed="false">
      <c r="A696" s="52" t="n">
        <v>46305</v>
      </c>
      <c r="B696" s="14" t="s">
        <v>224</v>
      </c>
      <c r="C696" s="14" t="str">
        <f aca="false" t="array" ref="C696:C696">IF(B696="","",IFERROR(INDEX('CLM &amp; IM Mapping'!$B$2:$B$270,MATCH(TRIM(B696),'CLM &amp; IM Mapping'!$A$2:$A$270,0)),"Not Mapped"))</f>
        <v>Vishnu V</v>
      </c>
      <c r="D696" s="14" t="str">
        <f aca="false" t="array" ref="D696:D696">IF(B696="","",IFERROR(INDEX('CLM &amp; IM Mapping'!$C$2:$C$270,MATCH(TRIM(B696),'CLM &amp; IM Mapping'!$A$2:$A$270,0)),"Not Mapped"))</f>
        <v>Arivind S</v>
      </c>
      <c r="E696" s="14" t="n">
        <v>0</v>
      </c>
      <c r="F696" s="14" t="n">
        <v>9</v>
      </c>
      <c r="G696" s="14" t="n">
        <v>0</v>
      </c>
      <c r="H696" s="14" t="n">
        <v>5</v>
      </c>
      <c r="I696" s="14" t="n">
        <v>1</v>
      </c>
      <c r="J696" s="14" t="n">
        <v>23</v>
      </c>
      <c r="K696" s="14" t="n">
        <v>38</v>
      </c>
      <c r="L696" s="14" t="n">
        <v>24</v>
      </c>
      <c r="M696" s="12"/>
      <c r="N696" s="11"/>
      <c r="O696" s="23"/>
      <c r="P696" s="23"/>
      <c r="Q696" s="23"/>
      <c r="R696" s="23"/>
      <c r="S696" s="23"/>
      <c r="T696" s="23"/>
      <c r="U696" s="23"/>
      <c r="V696" s="23"/>
      <c r="W696" s="23"/>
      <c r="X696" s="23"/>
      <c r="Y696" s="23"/>
      <c r="Z696" s="23"/>
    </row>
    <row r="697" customFormat="false" ht="15.75" hidden="false" customHeight="true" outlineLevel="0" collapsed="false">
      <c r="A697" s="52" t="n">
        <v>46305</v>
      </c>
      <c r="B697" s="14" t="s">
        <v>339</v>
      </c>
      <c r="C697" s="14" t="str">
        <f aca="false" t="array" ref="C697:C697">IF(B697="","",IFERROR(INDEX('CLM &amp; IM Mapping'!$B$2:$B$270,MATCH(TRIM(B697),'CLM &amp; IM Mapping'!$A$2:$A$270,0)),"Not Mapped"))</f>
        <v>Ravishankar gowda</v>
      </c>
      <c r="D697" s="14" t="str">
        <f aca="false" t="array" ref="D697:D697">IF(B697="","",IFERROR(INDEX('CLM &amp; IM Mapping'!$C$2:$C$270,MATCH(TRIM(B697),'CLM &amp; IM Mapping'!$A$2:$A$270,0)),"Not Mapped"))</f>
        <v>Kishor K</v>
      </c>
      <c r="E697" s="14" t="n">
        <v>0</v>
      </c>
      <c r="F697" s="14" t="n">
        <v>4</v>
      </c>
      <c r="G697" s="14" t="n">
        <v>0</v>
      </c>
      <c r="H697" s="14" t="n">
        <v>4</v>
      </c>
      <c r="I697" s="14" t="n">
        <v>5</v>
      </c>
      <c r="J697" s="14" t="n">
        <v>25</v>
      </c>
      <c r="K697" s="14" t="n">
        <v>38</v>
      </c>
      <c r="L697" s="14" t="n">
        <v>36</v>
      </c>
      <c r="M697" s="12"/>
      <c r="N697" s="11"/>
      <c r="O697" s="23"/>
      <c r="P697" s="23"/>
      <c r="Q697" s="23"/>
      <c r="R697" s="23"/>
      <c r="S697" s="23"/>
      <c r="T697" s="23"/>
      <c r="U697" s="23"/>
      <c r="V697" s="23"/>
      <c r="W697" s="23"/>
      <c r="X697" s="23"/>
      <c r="Y697" s="23"/>
      <c r="Z697" s="23"/>
    </row>
    <row r="698" customFormat="false" ht="15.75" hidden="false" customHeight="true" outlineLevel="0" collapsed="false">
      <c r="A698" s="52" t="n">
        <v>46305</v>
      </c>
      <c r="B698" s="14" t="s">
        <v>227</v>
      </c>
      <c r="C698" s="14" t="str">
        <f aca="false" t="array" ref="C698:C698">IF(B698="","",IFERROR(INDEX('CLM &amp; IM Mapping'!$B$2:$B$270,MATCH(TRIM(B698),'CLM &amp; IM Mapping'!$A$2:$A$270,0)),"Not Mapped"))</f>
        <v>Vijay M</v>
      </c>
      <c r="D698" s="14" t="str">
        <f aca="false" t="array" ref="D698:D698">IF(B698="","",IFERROR(INDEX('CLM &amp; IM Mapping'!$C$2:$C$270,MATCH(TRIM(B698),'CLM &amp; IM Mapping'!$A$2:$A$270,0)),"Not Mapped"))</f>
        <v>Kantha Kumar</v>
      </c>
      <c r="E698" s="14" t="n">
        <v>1</v>
      </c>
      <c r="F698" s="14" t="n">
        <v>6</v>
      </c>
      <c r="G698" s="14" t="n">
        <v>0</v>
      </c>
      <c r="H698" s="14" t="n">
        <v>29</v>
      </c>
      <c r="I698" s="14" t="n">
        <v>0</v>
      </c>
      <c r="J698" s="14" t="n">
        <v>2</v>
      </c>
      <c r="K698" s="14" t="n">
        <v>38</v>
      </c>
      <c r="L698" s="14" t="n">
        <v>37</v>
      </c>
      <c r="M698" s="12"/>
      <c r="N698" s="11"/>
      <c r="O698" s="23"/>
      <c r="P698" s="23"/>
      <c r="Q698" s="23"/>
      <c r="R698" s="23"/>
      <c r="S698" s="23"/>
      <c r="T698" s="23"/>
      <c r="U698" s="23"/>
      <c r="V698" s="23"/>
      <c r="W698" s="23"/>
      <c r="X698" s="23"/>
      <c r="Y698" s="23"/>
      <c r="Z698" s="23"/>
    </row>
    <row r="699" customFormat="false" ht="15.75" hidden="false" customHeight="true" outlineLevel="0" collapsed="false">
      <c r="A699" s="52" t="n">
        <v>46305</v>
      </c>
      <c r="B699" s="14" t="s">
        <v>444</v>
      </c>
      <c r="C699" s="14" t="str">
        <f aca="false" t="array" ref="C699:C699">IF(B699="","",IFERROR(INDEX('CLM &amp; IM Mapping'!$B$2:$B$270,MATCH(TRIM(B699),'CLM &amp; IM Mapping'!$A$2:$A$270,0)),"Not Mapped"))</f>
        <v>Narasimhamurthy R</v>
      </c>
      <c r="D699" s="14" t="str">
        <f aca="false" t="array" ref="D699:D699">IF(B699="","",IFERROR(INDEX('CLM &amp; IM Mapping'!$C$2:$C$270,MATCH(TRIM(B699),'CLM &amp; IM Mapping'!$A$2:$A$270,0)),"Not Mapped"))</f>
        <v>Kishor K</v>
      </c>
      <c r="E699" s="14" t="n">
        <v>0</v>
      </c>
      <c r="F699" s="14" t="n">
        <v>2</v>
      </c>
      <c r="G699" s="14" t="n">
        <v>4</v>
      </c>
      <c r="H699" s="14" t="n">
        <v>21</v>
      </c>
      <c r="I699" s="14" t="n">
        <v>1</v>
      </c>
      <c r="J699" s="14" t="n">
        <v>9</v>
      </c>
      <c r="K699" s="14" t="n">
        <v>37</v>
      </c>
      <c r="L699" s="14" t="n">
        <v>37</v>
      </c>
      <c r="M699" s="12"/>
      <c r="N699" s="11"/>
      <c r="O699" s="23"/>
      <c r="P699" s="23"/>
      <c r="Q699" s="23"/>
      <c r="R699" s="23"/>
      <c r="S699" s="23"/>
      <c r="T699" s="23"/>
      <c r="U699" s="23"/>
      <c r="V699" s="23"/>
      <c r="W699" s="23"/>
      <c r="X699" s="23"/>
      <c r="Y699" s="23"/>
      <c r="Z699" s="23"/>
    </row>
    <row r="700" customFormat="false" ht="15.75" hidden="false" customHeight="true" outlineLevel="0" collapsed="false">
      <c r="A700" s="52" t="n">
        <v>46305</v>
      </c>
      <c r="B700" s="14" t="s">
        <v>520</v>
      </c>
      <c r="C700" s="14" t="str">
        <f aca="false" t="array" ref="C700:C700">IF(B700="","",IFERROR(INDEX('CLM &amp; IM Mapping'!$B$2:$B$270,MATCH(TRIM(B700),'CLM &amp; IM Mapping'!$A$2:$A$270,0)),"Not Mapped"))</f>
        <v>John Britto</v>
      </c>
      <c r="D700" s="14" t="str">
        <f aca="false" t="array" ref="D700:D700">IF(B700="","",IFERROR(INDEX('CLM &amp; IM Mapping'!$C$2:$C$270,MATCH(TRIM(B700),'CLM &amp; IM Mapping'!$A$2:$A$270,0)),"Not Mapped"))</f>
        <v>Aravind S</v>
      </c>
      <c r="E700" s="14" t="n">
        <v>1</v>
      </c>
      <c r="F700" s="14" t="n">
        <v>32</v>
      </c>
      <c r="G700" s="14" t="n">
        <v>1</v>
      </c>
      <c r="H700" s="14" t="n">
        <v>2</v>
      </c>
      <c r="I700" s="14" t="n">
        <v>0</v>
      </c>
      <c r="J700" s="14" t="n">
        <v>0</v>
      </c>
      <c r="K700" s="14" t="n">
        <v>36</v>
      </c>
      <c r="L700" s="14" t="n">
        <v>33</v>
      </c>
      <c r="M700" s="12"/>
      <c r="N700" s="11"/>
      <c r="O700" s="23"/>
      <c r="P700" s="23"/>
      <c r="Q700" s="23"/>
      <c r="R700" s="23"/>
      <c r="S700" s="23"/>
      <c r="T700" s="23"/>
      <c r="U700" s="23"/>
      <c r="V700" s="23"/>
      <c r="W700" s="23"/>
      <c r="X700" s="23"/>
      <c r="Y700" s="23"/>
      <c r="Z700" s="23"/>
    </row>
    <row r="701" customFormat="false" ht="15.75" hidden="false" customHeight="true" outlineLevel="0" collapsed="false">
      <c r="A701" s="52" t="n">
        <v>46305</v>
      </c>
      <c r="B701" s="14" t="s">
        <v>454</v>
      </c>
      <c r="C701" s="14" t="str">
        <f aca="false" t="array" ref="C701:C701">IF(B701="","",IFERROR(INDEX('CLM &amp; IM Mapping'!$B$2:$B$270,MATCH(TRIM(B701),'CLM &amp; IM Mapping'!$A$2:$A$270,0)),"Not Mapped"))</f>
        <v>Balaji G</v>
      </c>
      <c r="D701" s="14" t="str">
        <f aca="false" t="array" ref="D701:D701">IF(B701="","",IFERROR(INDEX('CLM &amp; IM Mapping'!$C$2:$C$270,MATCH(TRIM(B701),'CLM &amp; IM Mapping'!$A$2:$A$270,0)),"Not Mapped"))</f>
        <v>Mohammed Akbar</v>
      </c>
      <c r="E701" s="14" t="n">
        <v>23</v>
      </c>
      <c r="F701" s="14" t="n">
        <v>10</v>
      </c>
      <c r="G701" s="14" t="n">
        <v>2</v>
      </c>
      <c r="H701" s="14" t="n">
        <v>0</v>
      </c>
      <c r="I701" s="14" t="n">
        <v>0</v>
      </c>
      <c r="J701" s="14" t="n">
        <v>0</v>
      </c>
      <c r="K701" s="14" t="n">
        <v>35</v>
      </c>
      <c r="L701" s="14" t="n">
        <v>35</v>
      </c>
      <c r="M701" s="12"/>
      <c r="N701" s="11"/>
      <c r="O701" s="23"/>
      <c r="P701" s="23"/>
      <c r="Q701" s="23"/>
      <c r="R701" s="23"/>
      <c r="S701" s="23"/>
      <c r="T701" s="23"/>
      <c r="U701" s="23"/>
      <c r="V701" s="23"/>
      <c r="W701" s="23"/>
      <c r="X701" s="23"/>
      <c r="Y701" s="23"/>
      <c r="Z701" s="23"/>
    </row>
    <row r="702" customFormat="false" ht="15.75" hidden="false" customHeight="true" outlineLevel="0" collapsed="false">
      <c r="A702" s="52" t="n">
        <v>46305</v>
      </c>
      <c r="B702" s="14" t="s">
        <v>216</v>
      </c>
      <c r="C702" s="14" t="str">
        <f aca="false" t="array" ref="C702:C702">IF(B702="","",IFERROR(INDEX('CLM &amp; IM Mapping'!$B$2:$B$270,MATCH(TRIM(B702),'CLM &amp; IM Mapping'!$A$2:$A$270,0)),"Not Mapped"))</f>
        <v>Silambarasan E</v>
      </c>
      <c r="D702" s="14" t="str">
        <f aca="false" t="array" ref="D702:D702">IF(B702="","",IFERROR(INDEX('CLM &amp; IM Mapping'!$C$2:$C$270,MATCH(TRIM(B702),'CLM &amp; IM Mapping'!$A$2:$A$270,0)),"Not Mapped"))</f>
        <v>Arivind S</v>
      </c>
      <c r="E702" s="14" t="n">
        <v>12</v>
      </c>
      <c r="F702" s="14" t="n">
        <v>0</v>
      </c>
      <c r="G702" s="14" t="n">
        <v>21</v>
      </c>
      <c r="H702" s="14" t="n">
        <v>0</v>
      </c>
      <c r="I702" s="14" t="n">
        <v>0</v>
      </c>
      <c r="J702" s="14" t="n">
        <v>2</v>
      </c>
      <c r="K702" s="14" t="n">
        <v>35</v>
      </c>
      <c r="L702" s="14" t="n">
        <v>35</v>
      </c>
      <c r="M702" s="12"/>
      <c r="N702" s="11"/>
      <c r="O702" s="23"/>
      <c r="P702" s="23"/>
      <c r="Q702" s="23"/>
      <c r="R702" s="23"/>
      <c r="S702" s="23"/>
      <c r="T702" s="23"/>
      <c r="U702" s="23"/>
      <c r="V702" s="23"/>
      <c r="W702" s="23"/>
      <c r="X702" s="23"/>
      <c r="Y702" s="23"/>
      <c r="Z702" s="23"/>
    </row>
    <row r="703" customFormat="false" ht="15.75" hidden="false" customHeight="true" outlineLevel="0" collapsed="false">
      <c r="A703" s="52" t="n">
        <v>46305</v>
      </c>
      <c r="B703" s="14" t="s">
        <v>458</v>
      </c>
      <c r="C703" s="14" t="str">
        <f aca="false" t="array" ref="C703:C703">IF(B703="","",IFERROR(INDEX('CLM &amp; IM Mapping'!$B$2:$B$270,MATCH(TRIM(B703),'CLM &amp; IM Mapping'!$A$2:$A$270,0)),"Not Mapped"))</f>
        <v>John Britto</v>
      </c>
      <c r="D703" s="14" t="str">
        <f aca="false" t="array" ref="D703:D703">IF(B703="","",IFERROR(INDEX('CLM &amp; IM Mapping'!$C$2:$C$270,MATCH(TRIM(B703),'CLM &amp; IM Mapping'!$A$2:$A$270,0)),"Not Mapped"))</f>
        <v>Aravind S</v>
      </c>
      <c r="E703" s="14" t="n">
        <v>1</v>
      </c>
      <c r="F703" s="14" t="n">
        <v>18</v>
      </c>
      <c r="G703" s="14" t="n">
        <v>3</v>
      </c>
      <c r="H703" s="14" t="n">
        <v>0</v>
      </c>
      <c r="I703" s="14" t="n">
        <v>0</v>
      </c>
      <c r="J703" s="14" t="n">
        <v>10</v>
      </c>
      <c r="K703" s="14" t="n">
        <v>32</v>
      </c>
      <c r="L703" s="14" t="n">
        <v>32</v>
      </c>
      <c r="M703" s="12"/>
      <c r="N703" s="11"/>
      <c r="O703" s="23"/>
      <c r="P703" s="23"/>
      <c r="Q703" s="23"/>
      <c r="R703" s="23"/>
      <c r="S703" s="23"/>
      <c r="T703" s="23"/>
      <c r="U703" s="23"/>
      <c r="V703" s="23"/>
      <c r="W703" s="23"/>
      <c r="X703" s="23"/>
      <c r="Y703" s="23"/>
      <c r="Z703" s="23"/>
    </row>
    <row r="704" customFormat="false" ht="15.75" hidden="false" customHeight="true" outlineLevel="0" collapsed="false">
      <c r="A704" s="52" t="n">
        <v>46305</v>
      </c>
      <c r="B704" s="14" t="s">
        <v>316</v>
      </c>
      <c r="C704" s="14" t="str">
        <f aca="false" t="array" ref="C704:C704">IF(B704="","",IFERROR(INDEX('CLM &amp; IM Mapping'!$B$2:$B$270,MATCH(TRIM(B704),'CLM &amp; IM Mapping'!$A$2:$A$270,0)),"Not Mapped"))</f>
        <v>Vishnu V</v>
      </c>
      <c r="D704" s="14" t="str">
        <f aca="false" t="array" ref="D704:D704">IF(B704="","",IFERROR(INDEX('CLM &amp; IM Mapping'!$C$2:$C$270,MATCH(TRIM(B704),'CLM &amp; IM Mapping'!$A$2:$A$270,0)),"Not Mapped"))</f>
        <v>Arivind S</v>
      </c>
      <c r="E704" s="14" t="n">
        <v>0</v>
      </c>
      <c r="F704" s="14" t="n">
        <v>19</v>
      </c>
      <c r="G704" s="14" t="n">
        <v>11</v>
      </c>
      <c r="H704" s="14" t="n">
        <v>1</v>
      </c>
      <c r="I704" s="14" t="n">
        <v>0</v>
      </c>
      <c r="J704" s="14" t="n">
        <v>0</v>
      </c>
      <c r="K704" s="14" t="n">
        <v>31</v>
      </c>
      <c r="L704" s="14" t="n">
        <v>31</v>
      </c>
      <c r="M704" s="12"/>
      <c r="N704" s="11"/>
    </row>
    <row r="705" customFormat="false" ht="15.75" hidden="false" customHeight="true" outlineLevel="0" collapsed="false">
      <c r="A705" s="52" t="n">
        <v>46305</v>
      </c>
      <c r="B705" s="14" t="s">
        <v>473</v>
      </c>
      <c r="C705" s="14" t="str">
        <f aca="false" t="array" ref="C705:C705">IF(B705="","",IFERROR(INDEX('CLM &amp; IM Mapping'!$B$2:$B$270,MATCH(TRIM(B705),'CLM &amp; IM Mapping'!$A$2:$A$270,0)),"Not Mapped"))</f>
        <v>Raghavendra Vernekar</v>
      </c>
      <c r="D705" s="14" t="str">
        <f aca="false" t="array" ref="D705:D705">IF(B705="","",IFERROR(INDEX('CLM &amp; IM Mapping'!$C$2:$C$270,MATCH(TRIM(B705),'CLM &amp; IM Mapping'!$A$2:$A$270,0)),"Not Mapped"))</f>
        <v>Prakash BS</v>
      </c>
      <c r="E705" s="14" t="n">
        <v>0</v>
      </c>
      <c r="F705" s="14" t="n">
        <v>2</v>
      </c>
      <c r="G705" s="14" t="n">
        <v>0</v>
      </c>
      <c r="H705" s="14" t="n">
        <v>1</v>
      </c>
      <c r="I705" s="14" t="n">
        <v>0</v>
      </c>
      <c r="J705" s="14" t="n">
        <v>28</v>
      </c>
      <c r="K705" s="14" t="n">
        <v>31</v>
      </c>
      <c r="L705" s="14" t="n">
        <v>29</v>
      </c>
      <c r="M705" s="12"/>
      <c r="N705" s="11"/>
    </row>
    <row r="706" customFormat="false" ht="15.75" hidden="false" customHeight="true" outlineLevel="0" collapsed="false">
      <c r="A706" s="52" t="n">
        <v>46305</v>
      </c>
      <c r="B706" s="14" t="s">
        <v>325</v>
      </c>
      <c r="C706" s="14" t="str">
        <f aca="false" t="array" ref="C706:C706">IF(B706="","",IFERROR(INDEX('CLM &amp; IM Mapping'!$B$2:$B$270,MATCH(TRIM(B706),'CLM &amp; IM Mapping'!$A$2:$A$270,0)),"Not Mapped"))</f>
        <v>Santhosha M</v>
      </c>
      <c r="D706" s="14" t="str">
        <f aca="false" t="array" ref="D706:D706">IF(B706="","",IFERROR(INDEX('CLM &amp; IM Mapping'!$C$2:$C$270,MATCH(TRIM(B706),'CLM &amp; IM Mapping'!$A$2:$A$270,0)),"Not Mapped"))</f>
        <v>Aravind S</v>
      </c>
      <c r="E706" s="14" t="n">
        <v>2</v>
      </c>
      <c r="F706" s="14" t="n">
        <v>26</v>
      </c>
      <c r="G706" s="14" t="n">
        <v>0</v>
      </c>
      <c r="H706" s="14" t="n">
        <v>2</v>
      </c>
      <c r="I706" s="14" t="n">
        <v>0</v>
      </c>
      <c r="J706" s="14" t="n">
        <v>1</v>
      </c>
      <c r="K706" s="14" t="n">
        <v>31</v>
      </c>
      <c r="L706" s="14" t="n">
        <v>22</v>
      </c>
      <c r="M706" s="12"/>
      <c r="N706" s="11"/>
    </row>
    <row r="707" customFormat="false" ht="15.75" hidden="false" customHeight="true" outlineLevel="0" collapsed="false">
      <c r="A707" s="52" t="n">
        <v>46305</v>
      </c>
      <c r="B707" s="14" t="s">
        <v>323</v>
      </c>
      <c r="C707" s="14" t="str">
        <f aca="false" t="array" ref="C707:C707">IF(B707="","",IFERROR(INDEX('CLM &amp; IM Mapping'!$B$2:$B$270,MATCH(TRIM(B707),'CLM &amp; IM Mapping'!$A$2:$A$270,0)),"Not Mapped"))</f>
        <v>Vishnu V</v>
      </c>
      <c r="D707" s="14" t="str">
        <f aca="false" t="array" ref="D707:D707">IF(B707="","",IFERROR(INDEX('CLM &amp; IM Mapping'!$C$2:$C$270,MATCH(TRIM(B707),'CLM &amp; IM Mapping'!$A$2:$A$270,0)),"Not Mapped"))</f>
        <v>Arivind S</v>
      </c>
      <c r="E707" s="14" t="n">
        <v>2</v>
      </c>
      <c r="F707" s="14" t="n">
        <v>16</v>
      </c>
      <c r="G707" s="14" t="n">
        <v>11</v>
      </c>
      <c r="H707" s="14" t="n">
        <v>1</v>
      </c>
      <c r="I707" s="14" t="n">
        <v>0</v>
      </c>
      <c r="J707" s="14" t="n">
        <v>0</v>
      </c>
      <c r="K707" s="14" t="n">
        <v>30</v>
      </c>
      <c r="L707" s="14" t="n">
        <v>30</v>
      </c>
      <c r="M707" s="12"/>
      <c r="N707" s="11"/>
    </row>
    <row r="708" customFormat="false" ht="15.75" hidden="false" customHeight="true" outlineLevel="0" collapsed="false">
      <c r="A708" s="52" t="n">
        <v>46305</v>
      </c>
      <c r="B708" s="14" t="s">
        <v>391</v>
      </c>
      <c r="C708" s="14" t="str">
        <f aca="false" t="array" ref="C708:C708">IF(B708="","",IFERROR(INDEX('CLM &amp; IM Mapping'!$B$2:$B$270,MATCH(TRIM(B708),'CLM &amp; IM Mapping'!$A$2:$A$270,0)),"Not Mapped"))</f>
        <v>John Britto</v>
      </c>
      <c r="D708" s="14" t="str">
        <f aca="false" t="array" ref="D708:D708">IF(B708="","",IFERROR(INDEX('CLM &amp; IM Mapping'!$C$2:$C$270,MATCH(TRIM(B708),'CLM &amp; IM Mapping'!$A$2:$A$270,0)),"Not Mapped"))</f>
        <v>Aravind S</v>
      </c>
      <c r="E708" s="14" t="n">
        <v>1</v>
      </c>
      <c r="F708" s="14" t="n">
        <v>0</v>
      </c>
      <c r="G708" s="14" t="n">
        <v>1</v>
      </c>
      <c r="H708" s="14" t="n">
        <v>0</v>
      </c>
      <c r="I708" s="14" t="n">
        <v>0</v>
      </c>
      <c r="J708" s="14" t="n">
        <v>27</v>
      </c>
      <c r="K708" s="14" t="n">
        <v>29</v>
      </c>
      <c r="L708" s="14" t="n">
        <v>7</v>
      </c>
      <c r="M708" s="12"/>
      <c r="N708" s="11"/>
    </row>
    <row r="709" customFormat="false" ht="15.75" hidden="false" customHeight="true" outlineLevel="0" collapsed="false">
      <c r="A709" s="52" t="n">
        <v>46305</v>
      </c>
      <c r="B709" s="14" t="s">
        <v>395</v>
      </c>
      <c r="C709" s="14" t="str">
        <f aca="false" t="array" ref="C709:C709">IF(B709="","",IFERROR(INDEX('CLM &amp; IM Mapping'!$B$2:$B$270,MATCH(TRIM(B709),'CLM &amp; IM Mapping'!$A$2:$A$270,0)),"Not Mapped"))</f>
        <v>Bangareppa CS</v>
      </c>
      <c r="D709" s="14" t="str">
        <f aca="false" t="array" ref="D709:D709">IF(B709="","",IFERROR(INDEX('CLM &amp; IM Mapping'!$C$2:$C$270,MATCH(TRIM(B709),'CLM &amp; IM Mapping'!$A$2:$A$270,0)),"Not Mapped"))</f>
        <v>Kishor K</v>
      </c>
      <c r="E709" s="14" t="n">
        <v>0</v>
      </c>
      <c r="F709" s="14" t="n">
        <v>1</v>
      </c>
      <c r="G709" s="14" t="n">
        <v>1</v>
      </c>
      <c r="H709" s="14" t="n">
        <v>0</v>
      </c>
      <c r="I709" s="14" t="n">
        <v>0</v>
      </c>
      <c r="J709" s="14" t="n">
        <v>27</v>
      </c>
      <c r="K709" s="14" t="n">
        <v>29</v>
      </c>
      <c r="L709" s="14" t="n">
        <v>29</v>
      </c>
      <c r="M709" s="12"/>
      <c r="N709" s="11"/>
    </row>
    <row r="710" customFormat="false" ht="15.75" hidden="false" customHeight="true" outlineLevel="0" collapsed="false">
      <c r="A710" s="52" t="n">
        <v>46305</v>
      </c>
      <c r="B710" s="14" t="s">
        <v>175</v>
      </c>
      <c r="C710" s="14" t="str">
        <f aca="false" t="array" ref="C710:C710">IF(B710="","",IFERROR(INDEX('CLM &amp; IM Mapping'!$B$2:$B$270,MATCH(TRIM(B710),'CLM &amp; IM Mapping'!$A$2:$A$270,0)),"Not Mapped"))</f>
        <v>Arun Raj</v>
      </c>
      <c r="D710" s="14" t="str">
        <f aca="false" t="array" ref="D710:D710">IF(B710="","",IFERROR(INDEX('CLM &amp; IM Mapping'!$C$2:$C$270,MATCH(TRIM(B710),'CLM &amp; IM Mapping'!$A$2:$A$270,0)),"Not Mapped"))</f>
        <v>Simon Manoharan</v>
      </c>
      <c r="E710" s="14" t="n">
        <v>0</v>
      </c>
      <c r="F710" s="14" t="n">
        <v>7</v>
      </c>
      <c r="G710" s="14" t="n">
        <v>1</v>
      </c>
      <c r="H710" s="14" t="n">
        <v>18</v>
      </c>
      <c r="I710" s="14" t="n">
        <v>2</v>
      </c>
      <c r="J710" s="14" t="n">
        <v>0</v>
      </c>
      <c r="K710" s="14" t="n">
        <v>28</v>
      </c>
      <c r="L710" s="14" t="n">
        <v>14</v>
      </c>
      <c r="M710" s="12"/>
      <c r="N710" s="11"/>
    </row>
    <row r="711" customFormat="false" ht="15.75" hidden="false" customHeight="true" outlineLevel="0" collapsed="false">
      <c r="A711" s="52" t="n">
        <v>46305</v>
      </c>
      <c r="B711" s="14" t="s">
        <v>306</v>
      </c>
      <c r="C711" s="14" t="str">
        <f aca="false" t="array" ref="C711:C711">IF(B711="","",IFERROR(INDEX('CLM &amp; IM Mapping'!$B$2:$B$270,MATCH(TRIM(B711),'CLM &amp; IM Mapping'!$A$2:$A$270,0)),"Not Mapped"))</f>
        <v>Narasimhamurthy R</v>
      </c>
      <c r="D711" s="14" t="str">
        <f aca="false" t="array" ref="D711:D711">IF(B711="","",IFERROR(INDEX('CLM &amp; IM Mapping'!$C$2:$C$270,MATCH(TRIM(B711),'CLM &amp; IM Mapping'!$A$2:$A$270,0)),"Not Mapped"))</f>
        <v>Kishor K</v>
      </c>
      <c r="E711" s="14" t="n">
        <v>0</v>
      </c>
      <c r="F711" s="14" t="n">
        <v>9</v>
      </c>
      <c r="G711" s="14" t="n">
        <v>0</v>
      </c>
      <c r="H711" s="14" t="n">
        <v>11</v>
      </c>
      <c r="I711" s="14" t="n">
        <v>7</v>
      </c>
      <c r="J711" s="14" t="n">
        <v>0</v>
      </c>
      <c r="K711" s="14" t="n">
        <v>27</v>
      </c>
      <c r="L711" s="14" t="n">
        <v>27</v>
      </c>
      <c r="M711" s="12"/>
      <c r="N711" s="11"/>
    </row>
    <row r="712" customFormat="false" ht="15.75" hidden="false" customHeight="true" outlineLevel="0" collapsed="false">
      <c r="A712" s="52" t="n">
        <v>46305</v>
      </c>
      <c r="B712" s="14" t="s">
        <v>404</v>
      </c>
      <c r="C712" s="14" t="str">
        <f aca="false" t="array" ref="C712:C712">IF(B712="","",IFERROR(INDEX('CLM &amp; IM Mapping'!$B$2:$B$270,MATCH(TRIM(B712),'CLM &amp; IM Mapping'!$A$2:$A$270,0)),"Not Mapped"))</f>
        <v>Arun Raj</v>
      </c>
      <c r="D712" s="14" t="str">
        <f aca="false" t="array" ref="D712:D712">IF(B712="","",IFERROR(INDEX('CLM &amp; IM Mapping'!$C$2:$C$270,MATCH(TRIM(B712),'CLM &amp; IM Mapping'!$A$2:$A$270,0)),"Not Mapped"))</f>
        <v>Simon Manoharan</v>
      </c>
      <c r="E712" s="14" t="n">
        <v>0</v>
      </c>
      <c r="F712" s="14" t="n">
        <v>24</v>
      </c>
      <c r="G712" s="14" t="n">
        <v>0</v>
      </c>
      <c r="H712" s="14" t="n">
        <v>3</v>
      </c>
      <c r="I712" s="14" t="n">
        <v>0</v>
      </c>
      <c r="J712" s="14" t="n">
        <v>0</v>
      </c>
      <c r="K712" s="14" t="n">
        <v>27</v>
      </c>
      <c r="L712" s="14" t="n">
        <v>27</v>
      </c>
      <c r="M712" s="12"/>
      <c r="N712" s="11"/>
    </row>
    <row r="713" customFormat="false" ht="15.75" hidden="false" customHeight="true" outlineLevel="0" collapsed="false">
      <c r="A713" s="52" t="n">
        <v>46305</v>
      </c>
      <c r="B713" s="14" t="s">
        <v>457</v>
      </c>
      <c r="C713" s="14" t="str">
        <f aca="false" t="array" ref="C713:C713">IF(B713="","",IFERROR(INDEX('CLM &amp; IM Mapping'!$B$2:$B$270,MATCH(TRIM(B713),'CLM &amp; IM Mapping'!$A$2:$A$270,0)),"Not Mapped"))</f>
        <v>Saddam Hussain</v>
      </c>
      <c r="D713" s="14" t="str">
        <f aca="false" t="array" ref="D713:D713">IF(B713="","",IFERROR(INDEX('CLM &amp; IM Mapping'!$C$2:$C$270,MATCH(TRIM(B713),'CLM &amp; IM Mapping'!$A$2:$A$270,0)),"Not Mapped"))</f>
        <v>Un Mapped</v>
      </c>
      <c r="E713" s="14" t="n">
        <v>0</v>
      </c>
      <c r="F713" s="14" t="n">
        <v>0</v>
      </c>
      <c r="G713" s="14" t="n">
        <v>0</v>
      </c>
      <c r="H713" s="14" t="n">
        <v>11</v>
      </c>
      <c r="I713" s="14" t="n">
        <v>16</v>
      </c>
      <c r="J713" s="14" t="n">
        <v>0</v>
      </c>
      <c r="K713" s="14" t="n">
        <v>27</v>
      </c>
      <c r="L713" s="14" t="n">
        <v>27</v>
      </c>
      <c r="M713" s="12"/>
      <c r="N713" s="11"/>
    </row>
    <row r="714" customFormat="false" ht="15.75" hidden="false" customHeight="true" outlineLevel="0" collapsed="false">
      <c r="A714" s="52" t="n">
        <v>46305</v>
      </c>
      <c r="B714" s="14" t="s">
        <v>136</v>
      </c>
      <c r="C714" s="14" t="str">
        <f aca="false" t="array" ref="C714:C714">IF(B714="","",IFERROR(INDEX('CLM &amp; IM Mapping'!$B$2:$B$270,MATCH(TRIM(B714),'CLM &amp; IM Mapping'!$A$2:$A$270,0)),"Not Mapped"))</f>
        <v>Arun Raj</v>
      </c>
      <c r="D714" s="14" t="str">
        <f aca="false" t="array" ref="D714:D714">IF(B714="","",IFERROR(INDEX('CLM &amp; IM Mapping'!$C$2:$C$270,MATCH(TRIM(B714),'CLM &amp; IM Mapping'!$A$2:$A$270,0)),"Not Mapped"))</f>
        <v>Simon Manoharan</v>
      </c>
      <c r="E714" s="14" t="n">
        <v>0</v>
      </c>
      <c r="F714" s="14" t="n">
        <v>6</v>
      </c>
      <c r="G714" s="14" t="n">
        <v>0</v>
      </c>
      <c r="H714" s="14" t="n">
        <v>14</v>
      </c>
      <c r="I714" s="14" t="n">
        <v>4</v>
      </c>
      <c r="J714" s="14" t="n">
        <v>0</v>
      </c>
      <c r="K714" s="14" t="n">
        <v>24</v>
      </c>
      <c r="L714" s="14" t="n">
        <v>24</v>
      </c>
      <c r="M714" s="12"/>
      <c r="N714" s="11"/>
    </row>
    <row r="715" customFormat="false" ht="15.75" hidden="false" customHeight="true" outlineLevel="0" collapsed="false">
      <c r="A715" s="52" t="n">
        <v>46305</v>
      </c>
      <c r="B715" s="14" t="s">
        <v>65</v>
      </c>
      <c r="C715" s="14" t="str">
        <f aca="false" t="array" ref="C715:C715">IF(B715="","",IFERROR(INDEX('CLM &amp; IM Mapping'!$B$2:$B$270,MATCH(TRIM(B715),'CLM &amp; IM Mapping'!$A$2:$A$270,0)),"Not Mapped"))</f>
        <v>Adhavan Subramani</v>
      </c>
      <c r="D715" s="14" t="str">
        <f aca="false" t="array" ref="D715:D715">IF(B715="","",IFERROR(INDEX('CLM &amp; IM Mapping'!$C$2:$C$270,MATCH(TRIM(B715),'CLM &amp; IM Mapping'!$A$2:$A$270,0)),"Not Mapped"))</f>
        <v>Mohammed Akbar</v>
      </c>
      <c r="E715" s="14" t="n">
        <v>1</v>
      </c>
      <c r="F715" s="14" t="n">
        <v>10</v>
      </c>
      <c r="G715" s="14" t="n">
        <v>0</v>
      </c>
      <c r="H715" s="14" t="n">
        <v>2</v>
      </c>
      <c r="I715" s="14" t="n">
        <v>0</v>
      </c>
      <c r="J715" s="14" t="n">
        <v>11</v>
      </c>
      <c r="K715" s="14" t="n">
        <v>24</v>
      </c>
      <c r="L715" s="14" t="n">
        <v>24</v>
      </c>
      <c r="M715" s="12"/>
      <c r="N715" s="11"/>
    </row>
    <row r="716" customFormat="false" ht="15.75" hidden="false" customHeight="true" outlineLevel="0" collapsed="false">
      <c r="A716" s="52" t="n">
        <v>46305</v>
      </c>
      <c r="B716" s="14" t="s">
        <v>189</v>
      </c>
      <c r="C716" s="14" t="str">
        <f aca="false" t="array" ref="C716:C716">IF(B716="","",IFERROR(INDEX('CLM &amp; IM Mapping'!$B$2:$B$270,MATCH(TRIM(B716),'CLM &amp; IM Mapping'!$A$2:$A$270,0)),"Not Mapped"))</f>
        <v>Girish N</v>
      </c>
      <c r="D716" s="14" t="str">
        <f aca="false" t="array" ref="D716:D716">IF(B716="","",IFERROR(INDEX('CLM &amp; IM Mapping'!$C$2:$C$270,MATCH(TRIM(B716),'CLM &amp; IM Mapping'!$A$2:$A$270,0)),"Not Mapped"))</f>
        <v>Un Mapped</v>
      </c>
      <c r="E716" s="14" t="n">
        <v>0</v>
      </c>
      <c r="F716" s="14" t="n">
        <v>1</v>
      </c>
      <c r="G716" s="14" t="n">
        <v>0</v>
      </c>
      <c r="H716" s="14" t="n">
        <v>19</v>
      </c>
      <c r="I716" s="14" t="n">
        <v>0</v>
      </c>
      <c r="J716" s="14" t="n">
        <v>3</v>
      </c>
      <c r="K716" s="14" t="n">
        <v>23</v>
      </c>
      <c r="L716" s="14" t="n">
        <v>22</v>
      </c>
      <c r="M716" s="12"/>
      <c r="N716" s="11"/>
    </row>
    <row r="717" customFormat="false" ht="15.75" hidden="false" customHeight="true" outlineLevel="0" collapsed="false">
      <c r="A717" s="52" t="n">
        <v>46305</v>
      </c>
      <c r="B717" s="14" t="s">
        <v>478</v>
      </c>
      <c r="C717" s="14" t="str">
        <f aca="false" t="array" ref="C717:C717">IF(B717="","",IFERROR(INDEX('CLM &amp; IM Mapping'!$B$2:$B$270,MATCH(TRIM(B717),'CLM &amp; IM Mapping'!$A$2:$A$270,0)),"Not Mapped"))</f>
        <v>Vishnu V</v>
      </c>
      <c r="D717" s="14" t="str">
        <f aca="false" t="array" ref="D717:D717">IF(B717="","",IFERROR(INDEX('CLM &amp; IM Mapping'!$C$2:$C$270,MATCH(TRIM(B717),'CLM &amp; IM Mapping'!$A$2:$A$270,0)),"Not Mapped"))</f>
        <v>Arivind S</v>
      </c>
      <c r="E717" s="14" t="n">
        <v>0</v>
      </c>
      <c r="F717" s="14" t="n">
        <v>0</v>
      </c>
      <c r="G717" s="14" t="n">
        <v>0</v>
      </c>
      <c r="H717" s="14" t="n">
        <v>16</v>
      </c>
      <c r="I717" s="14" t="n">
        <v>0</v>
      </c>
      <c r="J717" s="14" t="n">
        <v>4</v>
      </c>
      <c r="K717" s="14" t="n">
        <v>20</v>
      </c>
      <c r="L717" s="14" t="n">
        <v>20</v>
      </c>
      <c r="M717" s="12"/>
      <c r="N717" s="11"/>
    </row>
    <row r="718" customFormat="false" ht="15.75" hidden="false" customHeight="true" outlineLevel="0" collapsed="false">
      <c r="A718" s="52" t="n">
        <v>46305</v>
      </c>
      <c r="B718" s="14" t="s">
        <v>50</v>
      </c>
      <c r="C718" s="14" t="str">
        <f aca="false" t="array" ref="C718:C718">IF(B718="","",IFERROR(INDEX('CLM &amp; IM Mapping'!$B$2:$B$270,MATCH(TRIM(B718),'CLM &amp; IM Mapping'!$A$2:$A$270,0)),"Not Mapped"))</f>
        <v>Arun Raj</v>
      </c>
      <c r="D718" s="14" t="str">
        <f aca="false" t="array" ref="D718:D718">IF(B718="","",IFERROR(INDEX('CLM &amp; IM Mapping'!$C$2:$C$270,MATCH(TRIM(B718),'CLM &amp; IM Mapping'!$A$2:$A$270,0)),"Not Mapped"))</f>
        <v>Simon Manoharan</v>
      </c>
      <c r="E718" s="14" t="n">
        <v>14</v>
      </c>
      <c r="F718" s="14" t="n">
        <v>2</v>
      </c>
      <c r="G718" s="14" t="n">
        <v>3</v>
      </c>
      <c r="H718" s="14" t="n">
        <v>0</v>
      </c>
      <c r="I718" s="14" t="n">
        <v>0</v>
      </c>
      <c r="J718" s="14" t="n">
        <v>0</v>
      </c>
      <c r="K718" s="14" t="n">
        <v>19</v>
      </c>
      <c r="L718" s="14" t="n">
        <v>19</v>
      </c>
      <c r="M718" s="12"/>
      <c r="N718" s="11"/>
    </row>
    <row r="719" customFormat="false" ht="15.75" hidden="false" customHeight="true" outlineLevel="0" collapsed="false">
      <c r="A719" s="52" t="n">
        <v>46305</v>
      </c>
      <c r="B719" s="14" t="s">
        <v>245</v>
      </c>
      <c r="C719" s="14" t="str">
        <f aca="false" t="array" ref="C719:C719">IF(B719="","",IFERROR(INDEX('CLM &amp; IM Mapping'!$B$2:$B$270,MATCH(TRIM(B719),'CLM &amp; IM Mapping'!$A$2:$A$270,0)),"Not Mapped"))</f>
        <v>Adhavan Subramani</v>
      </c>
      <c r="D719" s="14" t="str">
        <f aca="false" t="array" ref="D719:D719">IF(B719="","",IFERROR(INDEX('CLM &amp; IM Mapping'!$C$2:$C$270,MATCH(TRIM(B719),'CLM &amp; IM Mapping'!$A$2:$A$270,0)),"Not Mapped"))</f>
        <v>Mohammed Akbar</v>
      </c>
      <c r="E719" s="14" t="n">
        <v>0</v>
      </c>
      <c r="F719" s="14" t="n">
        <v>0</v>
      </c>
      <c r="G719" s="14" t="n">
        <v>0</v>
      </c>
      <c r="H719" s="14" t="n">
        <v>13</v>
      </c>
      <c r="I719" s="14" t="n">
        <v>2</v>
      </c>
      <c r="J719" s="14" t="n">
        <v>4</v>
      </c>
      <c r="K719" s="14" t="n">
        <v>19</v>
      </c>
      <c r="L719" s="14" t="n">
        <v>19</v>
      </c>
      <c r="M719" s="12"/>
      <c r="N719" s="11"/>
    </row>
    <row r="720" customFormat="false" ht="15.75" hidden="false" customHeight="true" outlineLevel="0" collapsed="false">
      <c r="A720" s="52" t="n">
        <v>46305</v>
      </c>
      <c r="B720" s="14" t="s">
        <v>494</v>
      </c>
      <c r="C720" s="14" t="str">
        <f aca="false" t="array" ref="C720:C720">IF(B720="","",IFERROR(INDEX('CLM &amp; IM Mapping'!$B$2:$B$270,MATCH(TRIM(B720),'CLM &amp; IM Mapping'!$A$2:$A$270,0)),"Not Mapped"))</f>
        <v>Arun Raj</v>
      </c>
      <c r="D720" s="14" t="str">
        <f aca="false" t="array" ref="D720:D720">IF(B720="","",IFERROR(INDEX('CLM &amp; IM Mapping'!$C$2:$C$270,MATCH(TRIM(B720),'CLM &amp; IM Mapping'!$A$2:$A$270,0)),"Not Mapped"))</f>
        <v>Simon Manoharan</v>
      </c>
      <c r="E720" s="14" t="n">
        <v>0</v>
      </c>
      <c r="F720" s="14" t="n">
        <v>3</v>
      </c>
      <c r="G720" s="14" t="n">
        <v>0</v>
      </c>
      <c r="H720" s="14" t="n">
        <v>12</v>
      </c>
      <c r="I720" s="14" t="n">
        <v>4</v>
      </c>
      <c r="J720" s="14" t="n">
        <v>0</v>
      </c>
      <c r="K720" s="14" t="n">
        <v>19</v>
      </c>
      <c r="L720" s="14" t="n">
        <v>19</v>
      </c>
      <c r="M720" s="12"/>
      <c r="N720" s="11"/>
    </row>
    <row r="721" customFormat="false" ht="15.75" hidden="false" customHeight="true" outlineLevel="0" collapsed="false">
      <c r="A721" s="52" t="n">
        <v>46305</v>
      </c>
      <c r="B721" s="14" t="s">
        <v>415</v>
      </c>
      <c r="C721" s="14" t="str">
        <f aca="false" t="array" ref="C721:C721">IF(B721="","",IFERROR(INDEX('CLM &amp; IM Mapping'!$B$2:$B$270,MATCH(TRIM(B721),'CLM &amp; IM Mapping'!$A$2:$A$270,0)),"Not Mapped"))</f>
        <v>Vishnu V</v>
      </c>
      <c r="D721" s="14" t="str">
        <f aca="false" t="array" ref="D721:D721">IF(B721="","",IFERROR(INDEX('CLM &amp; IM Mapping'!$C$2:$C$270,MATCH(TRIM(B721),'CLM &amp; IM Mapping'!$A$2:$A$270,0)),"Not Mapped"))</f>
        <v>Arivind S</v>
      </c>
      <c r="E721" s="14" t="n">
        <v>0</v>
      </c>
      <c r="F721" s="14" t="n">
        <v>5</v>
      </c>
      <c r="G721" s="14" t="n">
        <v>12</v>
      </c>
      <c r="H721" s="14" t="n">
        <v>1</v>
      </c>
      <c r="I721" s="14" t="n">
        <v>0</v>
      </c>
      <c r="J721" s="14" t="n">
        <v>0</v>
      </c>
      <c r="K721" s="14" t="n">
        <v>18</v>
      </c>
      <c r="L721" s="14" t="n">
        <v>18</v>
      </c>
      <c r="M721" s="12"/>
      <c r="N721" s="11"/>
    </row>
    <row r="722" customFormat="false" ht="15.75" hidden="false" customHeight="true" outlineLevel="0" collapsed="false">
      <c r="A722" s="52" t="n">
        <v>46305</v>
      </c>
      <c r="B722" s="14" t="s">
        <v>284</v>
      </c>
      <c r="C722" s="14" t="str">
        <f aca="false" t="array" ref="C722:C722">IF(B722="","",IFERROR(INDEX('CLM &amp; IM Mapping'!$B$2:$B$270,MATCH(TRIM(B722),'CLM &amp; IM Mapping'!$A$2:$A$270,0)),"Not Mapped"))</f>
        <v>Balaji G</v>
      </c>
      <c r="D722" s="14" t="str">
        <f aca="false" t="array" ref="D722:D722">IF(B722="","",IFERROR(INDEX('CLM &amp; IM Mapping'!$C$2:$C$270,MATCH(TRIM(B722),'CLM &amp; IM Mapping'!$A$2:$A$270,0)),"Not Mapped"))</f>
        <v>Mohammed Akbar</v>
      </c>
      <c r="E722" s="14" t="n">
        <v>0</v>
      </c>
      <c r="F722" s="14" t="n">
        <v>0</v>
      </c>
      <c r="G722" s="14" t="n">
        <v>0</v>
      </c>
      <c r="H722" s="14" t="n">
        <v>18</v>
      </c>
      <c r="I722" s="14" t="n">
        <v>0</v>
      </c>
      <c r="J722" s="14" t="n">
        <v>0</v>
      </c>
      <c r="K722" s="14" t="n">
        <v>18</v>
      </c>
      <c r="L722" s="14" t="n">
        <v>18</v>
      </c>
      <c r="M722" s="12"/>
      <c r="N722" s="11"/>
    </row>
    <row r="723" customFormat="false" ht="15.75" hidden="false" customHeight="true" outlineLevel="0" collapsed="false">
      <c r="A723" s="52" t="n">
        <v>46305</v>
      </c>
      <c r="B723" s="14" t="s">
        <v>479</v>
      </c>
      <c r="C723" s="14" t="str">
        <f aca="false" t="array" ref="C723:C723">IF(B723="","",IFERROR(INDEX('CLM &amp; IM Mapping'!$B$2:$B$270,MATCH(TRIM(B723),'CLM &amp; IM Mapping'!$A$2:$A$270,0)),"Not Mapped"))</f>
        <v>Arun Raj</v>
      </c>
      <c r="D723" s="14" t="str">
        <f aca="false" t="array" ref="D723:D723">IF(B723="","",IFERROR(INDEX('CLM &amp; IM Mapping'!$C$2:$C$270,MATCH(TRIM(B723),'CLM &amp; IM Mapping'!$A$2:$A$270,0)),"Not Mapped"))</f>
        <v>Simon Manoharan</v>
      </c>
      <c r="E723" s="14" t="n">
        <v>0</v>
      </c>
      <c r="F723" s="14" t="n">
        <v>17</v>
      </c>
      <c r="G723" s="14" t="n">
        <v>0</v>
      </c>
      <c r="H723" s="14" t="n">
        <v>0</v>
      </c>
      <c r="I723" s="14" t="n">
        <v>0</v>
      </c>
      <c r="J723" s="14" t="n">
        <v>0</v>
      </c>
      <c r="K723" s="14" t="n">
        <v>17</v>
      </c>
      <c r="L723" s="14" t="n">
        <v>16</v>
      </c>
      <c r="M723" s="12"/>
      <c r="N723" s="11"/>
    </row>
    <row r="724" customFormat="false" ht="15.75" hidden="false" customHeight="true" outlineLevel="0" collapsed="false">
      <c r="A724" s="52" t="n">
        <v>46305</v>
      </c>
      <c r="B724" s="14" t="s">
        <v>248</v>
      </c>
      <c r="C724" s="14" t="str">
        <f aca="false" t="array" ref="C724:C724">IF(B724="","",IFERROR(INDEX('CLM &amp; IM Mapping'!$B$2:$B$270,MATCH(TRIM(B724),'CLM &amp; IM Mapping'!$A$2:$A$270,0)),"Not Mapped"))</f>
        <v>Arun Raj</v>
      </c>
      <c r="D724" s="14" t="str">
        <f aca="false" t="array" ref="D724:D724">IF(B724="","",IFERROR(INDEX('CLM &amp; IM Mapping'!$C$2:$C$270,MATCH(TRIM(B724),'CLM &amp; IM Mapping'!$A$2:$A$270,0)),"Not Mapped"))</f>
        <v>Simon Manoharan</v>
      </c>
      <c r="E724" s="14" t="n">
        <v>3</v>
      </c>
      <c r="F724" s="14" t="n">
        <v>7</v>
      </c>
      <c r="G724" s="14" t="n">
        <v>6</v>
      </c>
      <c r="H724" s="14" t="n">
        <v>0</v>
      </c>
      <c r="I724" s="14" t="n">
        <v>1</v>
      </c>
      <c r="J724" s="14" t="n">
        <v>0</v>
      </c>
      <c r="K724" s="14" t="n">
        <v>17</v>
      </c>
      <c r="L724" s="14" t="n">
        <v>16</v>
      </c>
      <c r="M724" s="12"/>
      <c r="N724" s="11"/>
    </row>
    <row r="725" customFormat="false" ht="15.75" hidden="false" customHeight="true" outlineLevel="0" collapsed="false">
      <c r="A725" s="52" t="n">
        <v>46305</v>
      </c>
      <c r="B725" s="14" t="s">
        <v>219</v>
      </c>
      <c r="C725" s="14" t="str">
        <f aca="false" t="array" ref="C725:C725">IF(B725="","",IFERROR(INDEX('CLM &amp; IM Mapping'!$B$2:$B$270,MATCH(TRIM(B725),'CLM &amp; IM Mapping'!$A$2:$A$270,0)),"Not Mapped"))</f>
        <v>Arun Raj</v>
      </c>
      <c r="D725" s="14" t="str">
        <f aca="false" t="array" ref="D725:D725">IF(B725="","",IFERROR(INDEX('CLM &amp; IM Mapping'!$C$2:$C$270,MATCH(TRIM(B725),'CLM &amp; IM Mapping'!$A$2:$A$270,0)),"Not Mapped"))</f>
        <v>Simon Manoharan</v>
      </c>
      <c r="E725" s="14" t="n">
        <v>0</v>
      </c>
      <c r="F725" s="14" t="n">
        <v>7</v>
      </c>
      <c r="G725" s="14" t="n">
        <v>0</v>
      </c>
      <c r="H725" s="14" t="n">
        <v>6</v>
      </c>
      <c r="I725" s="14" t="n">
        <v>4</v>
      </c>
      <c r="J725" s="14" t="n">
        <v>0</v>
      </c>
      <c r="K725" s="14" t="n">
        <v>17</v>
      </c>
      <c r="L725" s="14" t="n">
        <v>15</v>
      </c>
      <c r="M725" s="12"/>
      <c r="N725" s="11"/>
    </row>
    <row r="726" customFormat="false" ht="15.75" hidden="false" customHeight="true" outlineLevel="0" collapsed="false">
      <c r="A726" s="52" t="n">
        <v>46305</v>
      </c>
      <c r="B726" s="14" t="s">
        <v>500</v>
      </c>
      <c r="C726" s="14" t="str">
        <f aca="false" t="array" ref="C726:C726">IF(B726="","",IFERROR(INDEX('CLM &amp; IM Mapping'!$B$2:$B$270,MATCH(TRIM(B726),'CLM &amp; IM Mapping'!$A$2:$A$270,0)),"Not Mapped"))</f>
        <v>Ravishankar gowda</v>
      </c>
      <c r="D726" s="14" t="str">
        <f aca="false" t="array" ref="D726:D726">IF(B726="","",IFERROR(INDEX('CLM &amp; IM Mapping'!$C$2:$C$270,MATCH(TRIM(B726),'CLM &amp; IM Mapping'!$A$2:$A$270,0)),"Not Mapped"))</f>
        <v>Kishor K</v>
      </c>
      <c r="E726" s="14" t="n">
        <v>1</v>
      </c>
      <c r="F726" s="14" t="n">
        <v>4</v>
      </c>
      <c r="G726" s="14" t="n">
        <v>7</v>
      </c>
      <c r="H726" s="14" t="n">
        <v>2</v>
      </c>
      <c r="I726" s="14" t="n">
        <v>0</v>
      </c>
      <c r="J726" s="14" t="n">
        <v>2</v>
      </c>
      <c r="K726" s="14" t="n">
        <v>16</v>
      </c>
      <c r="L726" s="14" t="n">
        <v>13</v>
      </c>
      <c r="M726" s="12"/>
      <c r="N726" s="11"/>
    </row>
    <row r="727" customFormat="false" ht="15.75" hidden="false" customHeight="true" outlineLevel="0" collapsed="false">
      <c r="A727" s="52" t="n">
        <v>46305</v>
      </c>
      <c r="B727" s="14" t="s">
        <v>497</v>
      </c>
      <c r="C727" s="14" t="str">
        <f aca="false" t="array" ref="C727:C727">IF(B727="","",IFERROR(INDEX('CLM &amp; IM Mapping'!$B$2:$B$270,MATCH(TRIM(B727),'CLM &amp; IM Mapping'!$A$2:$A$270,0)),"Not Mapped"))</f>
        <v>Narasimhamurthy R</v>
      </c>
      <c r="D727" s="14" t="str">
        <f aca="false" t="array" ref="D727:D727">IF(B727="","",IFERROR(INDEX('CLM &amp; IM Mapping'!$C$2:$C$270,MATCH(TRIM(B727),'CLM &amp; IM Mapping'!$A$2:$A$270,0)),"Not Mapped"))</f>
        <v>Kishor K</v>
      </c>
      <c r="E727" s="14" t="n">
        <v>0</v>
      </c>
      <c r="F727" s="14" t="n">
        <v>3</v>
      </c>
      <c r="G727" s="14" t="n">
        <v>0</v>
      </c>
      <c r="H727" s="14" t="n">
        <v>1</v>
      </c>
      <c r="I727" s="14" t="n">
        <v>3</v>
      </c>
      <c r="J727" s="14" t="n">
        <v>8</v>
      </c>
      <c r="K727" s="14" t="n">
        <v>15</v>
      </c>
      <c r="L727" s="14" t="n">
        <v>15</v>
      </c>
      <c r="M727" s="12"/>
      <c r="N727" s="11"/>
    </row>
    <row r="728" customFormat="false" ht="15.75" hidden="false" customHeight="true" outlineLevel="0" collapsed="false">
      <c r="A728" s="52" t="n">
        <v>46305</v>
      </c>
      <c r="B728" s="14" t="s">
        <v>352</v>
      </c>
      <c r="C728" s="14" t="str">
        <f aca="false" t="array" ref="C728:C728">IF(B728="","",IFERROR(INDEX('CLM &amp; IM Mapping'!$B$2:$B$270,MATCH(TRIM(B728),'CLM &amp; IM Mapping'!$A$2:$A$270,0)),"Not Mapped"))</f>
        <v>Raghavendra Vernekar</v>
      </c>
      <c r="D728" s="14" t="str">
        <f aca="false" t="array" ref="D728:D728">IF(B728="","",IFERROR(INDEX('CLM &amp; IM Mapping'!$C$2:$C$270,MATCH(TRIM(B728),'CLM &amp; IM Mapping'!$A$2:$A$270,0)),"Not Mapped"))</f>
        <v>Prakash BS</v>
      </c>
      <c r="E728" s="14" t="n">
        <v>0</v>
      </c>
      <c r="F728" s="14" t="n">
        <v>1</v>
      </c>
      <c r="G728" s="14" t="n">
        <v>0</v>
      </c>
      <c r="H728" s="14" t="n">
        <v>0</v>
      </c>
      <c r="I728" s="14" t="n">
        <v>3</v>
      </c>
      <c r="J728" s="14" t="n">
        <v>11</v>
      </c>
      <c r="K728" s="14" t="n">
        <v>15</v>
      </c>
      <c r="L728" s="14" t="n">
        <v>15</v>
      </c>
      <c r="M728" s="12"/>
      <c r="N728" s="11"/>
    </row>
    <row r="729" customFormat="false" ht="15.75" hidden="false" customHeight="true" outlineLevel="0" collapsed="false">
      <c r="A729" s="52" t="n">
        <v>46305</v>
      </c>
      <c r="B729" s="14" t="s">
        <v>413</v>
      </c>
      <c r="C729" s="14" t="str">
        <f aca="false" t="array" ref="C729:C729">IF(B729="","",IFERROR(INDEX('CLM &amp; IM Mapping'!$B$2:$B$270,MATCH(TRIM(B729),'CLM &amp; IM Mapping'!$A$2:$A$270,0)),"Not Mapped"))</f>
        <v>Arun Raj</v>
      </c>
      <c r="D729" s="14" t="str">
        <f aca="false" t="array" ref="D729:D729">IF(B729="","",IFERROR(INDEX('CLM &amp; IM Mapping'!$C$2:$C$270,MATCH(TRIM(B729),'CLM &amp; IM Mapping'!$A$2:$A$270,0)),"Not Mapped"))</f>
        <v>Simon Manoharan</v>
      </c>
      <c r="E729" s="14" t="n">
        <v>1</v>
      </c>
      <c r="F729" s="14" t="n">
        <v>3</v>
      </c>
      <c r="G729" s="14" t="n">
        <v>0</v>
      </c>
      <c r="H729" s="14" t="n">
        <v>9</v>
      </c>
      <c r="I729" s="14" t="n">
        <v>1</v>
      </c>
      <c r="J729" s="14" t="n">
        <v>0</v>
      </c>
      <c r="K729" s="14" t="n">
        <v>14</v>
      </c>
      <c r="L729" s="14" t="n">
        <v>10</v>
      </c>
      <c r="M729" s="12"/>
      <c r="N729" s="11"/>
    </row>
    <row r="730" customFormat="false" ht="15.75" hidden="false" customHeight="true" outlineLevel="0" collapsed="false">
      <c r="A730" s="52" t="n">
        <v>46305</v>
      </c>
      <c r="B730" s="14" t="s">
        <v>450</v>
      </c>
      <c r="C730" s="14" t="str">
        <f aca="false" t="array" ref="C730:C730">IF(B730="","",IFERROR(INDEX('CLM &amp; IM Mapping'!$B$2:$B$270,MATCH(TRIM(B730),'CLM &amp; IM Mapping'!$A$2:$A$270,0)),"Not Mapped"))</f>
        <v>Santhosha M</v>
      </c>
      <c r="D730" s="14" t="str">
        <f aca="false" t="array" ref="D730:D730">IF(B730="","",IFERROR(INDEX('CLM &amp; IM Mapping'!$C$2:$C$270,MATCH(TRIM(B730),'CLM &amp; IM Mapping'!$A$2:$A$270,0)),"Not Mapped"))</f>
        <v>Aravind S</v>
      </c>
      <c r="E730" s="14" t="n">
        <v>2</v>
      </c>
      <c r="F730" s="14" t="n">
        <v>4</v>
      </c>
      <c r="G730" s="14" t="n">
        <v>0</v>
      </c>
      <c r="H730" s="14" t="n">
        <v>8</v>
      </c>
      <c r="I730" s="14" t="n">
        <v>0</v>
      </c>
      <c r="J730" s="14" t="n">
        <v>0</v>
      </c>
      <c r="K730" s="14" t="n">
        <v>14</v>
      </c>
      <c r="L730" s="14" t="n">
        <v>8</v>
      </c>
      <c r="M730" s="12"/>
      <c r="N730" s="11"/>
    </row>
    <row r="731" customFormat="false" ht="15.75" hidden="false" customHeight="true" outlineLevel="0" collapsed="false">
      <c r="A731" s="52" t="n">
        <v>46305</v>
      </c>
      <c r="B731" s="14" t="s">
        <v>461</v>
      </c>
      <c r="C731" s="14" t="str">
        <f aca="false" t="array" ref="C731:C731">IF(B731="","",IFERROR(INDEX('CLM &amp; IM Mapping'!$B$2:$B$270,MATCH(TRIM(B731),'CLM &amp; IM Mapping'!$A$2:$A$270,0)),"Not Mapped"))</f>
        <v>Arun Raj</v>
      </c>
      <c r="D731" s="14" t="str">
        <f aca="false" t="array" ref="D731:D731">IF(B731="","",IFERROR(INDEX('CLM &amp; IM Mapping'!$C$2:$C$270,MATCH(TRIM(B731),'CLM &amp; IM Mapping'!$A$2:$A$270,0)),"Not Mapped"))</f>
        <v>Simon Manoharan</v>
      </c>
      <c r="E731" s="14" t="n">
        <v>0</v>
      </c>
      <c r="F731" s="14" t="n">
        <v>5</v>
      </c>
      <c r="G731" s="14" t="n">
        <v>0</v>
      </c>
      <c r="H731" s="14" t="n">
        <v>5</v>
      </c>
      <c r="I731" s="14" t="n">
        <v>3</v>
      </c>
      <c r="J731" s="14" t="n">
        <v>0</v>
      </c>
      <c r="K731" s="14" t="n">
        <v>13</v>
      </c>
      <c r="L731" s="14" t="n">
        <v>13</v>
      </c>
      <c r="M731" s="12"/>
      <c r="N731" s="11"/>
    </row>
    <row r="732" customFormat="false" ht="15.75" hidden="false" customHeight="true" outlineLevel="0" collapsed="false">
      <c r="A732" s="52" t="n">
        <v>46305</v>
      </c>
      <c r="B732" s="14" t="s">
        <v>515</v>
      </c>
      <c r="C732" s="14" t="str">
        <f aca="false" t="array" ref="C732:C732">IF(B732="","",IFERROR(INDEX('CLM &amp; IM Mapping'!$B$2:$B$270,MATCH(TRIM(B732),'CLM &amp; IM Mapping'!$A$2:$A$270,0)),"Not Mapped"))</f>
        <v>Balaji G</v>
      </c>
      <c r="D732" s="14" t="str">
        <f aca="false" t="array" ref="D732:D732">IF(B732="","",IFERROR(INDEX('CLM &amp; IM Mapping'!$C$2:$C$270,MATCH(TRIM(B732),'CLM &amp; IM Mapping'!$A$2:$A$270,0)),"Not Mapped"))</f>
        <v>Mohammed Akbar</v>
      </c>
      <c r="E732" s="14" t="n">
        <v>3</v>
      </c>
      <c r="F732" s="14" t="n">
        <v>0</v>
      </c>
      <c r="G732" s="14" t="n">
        <v>2</v>
      </c>
      <c r="H732" s="14" t="n">
        <v>4</v>
      </c>
      <c r="I732" s="14" t="n">
        <v>0</v>
      </c>
      <c r="J732" s="14" t="n">
        <v>3</v>
      </c>
      <c r="K732" s="14" t="n">
        <v>12</v>
      </c>
      <c r="L732" s="14" t="n">
        <v>12</v>
      </c>
      <c r="M732" s="12"/>
      <c r="N732" s="11"/>
    </row>
    <row r="733" customFormat="false" ht="15.75" hidden="false" customHeight="true" outlineLevel="0" collapsed="false">
      <c r="A733" s="52" t="n">
        <v>46305</v>
      </c>
      <c r="B733" s="14" t="s">
        <v>277</v>
      </c>
      <c r="C733" s="14" t="str">
        <f aca="false" t="array" ref="C733:C733">IF(B733="","",IFERROR(INDEX('CLM &amp; IM Mapping'!$B$2:$B$270,MATCH(TRIM(B733),'CLM &amp; IM Mapping'!$A$2:$A$270,0)),"Not Mapped"))</f>
        <v>Santhosha M</v>
      </c>
      <c r="D733" s="14" t="str">
        <f aca="false" t="array" ref="D733:D733">IF(B733="","",IFERROR(INDEX('CLM &amp; IM Mapping'!$C$2:$C$270,MATCH(TRIM(B733),'CLM &amp; IM Mapping'!$A$2:$A$270,0)),"Not Mapped"))</f>
        <v>Aravind S</v>
      </c>
      <c r="E733" s="14" t="n">
        <v>0</v>
      </c>
      <c r="F733" s="14" t="n">
        <v>0</v>
      </c>
      <c r="G733" s="14" t="n">
        <v>0</v>
      </c>
      <c r="H733" s="14" t="n">
        <v>1</v>
      </c>
      <c r="I733" s="14" t="n">
        <v>9</v>
      </c>
      <c r="J733" s="14" t="n">
        <v>0</v>
      </c>
      <c r="K733" s="14" t="n">
        <v>10</v>
      </c>
      <c r="L733" s="14" t="n">
        <v>10</v>
      </c>
      <c r="M733" s="12"/>
      <c r="N733" s="11"/>
    </row>
    <row r="734" customFormat="false" ht="15.75" hidden="false" customHeight="true" outlineLevel="0" collapsed="false">
      <c r="A734" s="52" t="n">
        <v>46305</v>
      </c>
      <c r="B734" s="14" t="s">
        <v>418</v>
      </c>
      <c r="C734" s="14" t="str">
        <f aca="false" t="array" ref="C734:C734">IF(B734="","",IFERROR(INDEX('CLM &amp; IM Mapping'!$B$2:$B$270,MATCH(TRIM(B734),'CLM &amp; IM Mapping'!$A$2:$A$270,0)),"Not Mapped"))</f>
        <v>Vishnu V</v>
      </c>
      <c r="D734" s="14" t="str">
        <f aca="false" t="array" ref="D734:D734">IF(B734="","",IFERROR(INDEX('CLM &amp; IM Mapping'!$C$2:$C$270,MATCH(TRIM(B734),'CLM &amp; IM Mapping'!$A$2:$A$270,0)),"Not Mapped"))</f>
        <v>Arivind S</v>
      </c>
      <c r="E734" s="14" t="n">
        <v>0</v>
      </c>
      <c r="F734" s="14" t="n">
        <v>5</v>
      </c>
      <c r="G734" s="14" t="n">
        <v>0</v>
      </c>
      <c r="H734" s="14" t="n">
        <v>4</v>
      </c>
      <c r="I734" s="14" t="n">
        <v>0</v>
      </c>
      <c r="J734" s="14" t="n">
        <v>0</v>
      </c>
      <c r="K734" s="14" t="n">
        <v>9</v>
      </c>
      <c r="L734" s="14" t="n">
        <v>9</v>
      </c>
      <c r="M734" s="12"/>
      <c r="N734" s="11"/>
    </row>
    <row r="735" customFormat="false" ht="15.75" hidden="false" customHeight="true" outlineLevel="0" collapsed="false">
      <c r="A735" s="52" t="n">
        <v>46305</v>
      </c>
      <c r="B735" s="14" t="s">
        <v>231</v>
      </c>
      <c r="C735" s="14" t="str">
        <f aca="false" t="array" ref="C735:C735">IF(B735="","",IFERROR(INDEX('CLM &amp; IM Mapping'!$B$2:$B$270,MATCH(TRIM(B735),'CLM &amp; IM Mapping'!$A$2:$A$270,0)),"Not Mapped"))</f>
        <v>Arun Raj</v>
      </c>
      <c r="D735" s="14" t="str">
        <f aca="false" t="array" ref="D735:D735">IF(B735="","",IFERROR(INDEX('CLM &amp; IM Mapping'!$C$2:$C$270,MATCH(TRIM(B735),'CLM &amp; IM Mapping'!$A$2:$A$270,0)),"Not Mapped"))</f>
        <v>Simon Manoharan</v>
      </c>
      <c r="E735" s="14" t="n">
        <v>0</v>
      </c>
      <c r="F735" s="14" t="n">
        <v>3</v>
      </c>
      <c r="G735" s="14" t="n">
        <v>0</v>
      </c>
      <c r="H735" s="14" t="n">
        <v>5</v>
      </c>
      <c r="I735" s="14" t="n">
        <v>0</v>
      </c>
      <c r="J735" s="14" t="n">
        <v>0</v>
      </c>
      <c r="K735" s="14" t="n">
        <v>8</v>
      </c>
      <c r="L735" s="14" t="n">
        <v>8</v>
      </c>
      <c r="M735" s="12"/>
      <c r="N735" s="11"/>
    </row>
    <row r="736" customFormat="false" ht="15.75" hidden="false" customHeight="true" outlineLevel="0" collapsed="false">
      <c r="A736" s="52" t="n">
        <v>46305</v>
      </c>
      <c r="B736" s="14" t="s">
        <v>357</v>
      </c>
      <c r="C736" s="14" t="str">
        <f aca="false" t="array" ref="C736:C736">IF(B736="","",IFERROR(INDEX('CLM &amp; IM Mapping'!$B$2:$B$270,MATCH(TRIM(B736),'CLM &amp; IM Mapping'!$A$2:$A$270,0)),"Not Mapped"))</f>
        <v>Arun Raj</v>
      </c>
      <c r="D736" s="14" t="str">
        <f aca="false" t="array" ref="D736:D736">IF(B736="","",IFERROR(INDEX('CLM &amp; IM Mapping'!$C$2:$C$270,MATCH(TRIM(B736),'CLM &amp; IM Mapping'!$A$2:$A$270,0)),"Not Mapped"))</f>
        <v>Simon Manoharan</v>
      </c>
      <c r="E736" s="14" t="n">
        <v>0</v>
      </c>
      <c r="F736" s="14" t="n">
        <v>3</v>
      </c>
      <c r="G736" s="14" t="n">
        <v>0</v>
      </c>
      <c r="H736" s="14" t="n">
        <v>3</v>
      </c>
      <c r="I736" s="14" t="n">
        <v>1</v>
      </c>
      <c r="J736" s="14" t="n">
        <v>0</v>
      </c>
      <c r="K736" s="14" t="n">
        <v>7</v>
      </c>
      <c r="L736" s="14" t="n">
        <v>2</v>
      </c>
      <c r="M736" s="12"/>
      <c r="N736" s="11"/>
    </row>
    <row r="737" customFormat="false" ht="15.75" hidden="false" customHeight="true" outlineLevel="0" collapsed="false">
      <c r="A737" s="52" t="n">
        <v>46305</v>
      </c>
      <c r="B737" s="14" t="s">
        <v>436</v>
      </c>
      <c r="C737" s="14" t="str">
        <f aca="false" t="array" ref="C737:C737">IF(B737="","",IFERROR(INDEX('CLM &amp; IM Mapping'!$B$2:$B$270,MATCH(TRIM(B737),'CLM &amp; IM Mapping'!$A$2:$A$270,0)),"Not Mapped"))</f>
        <v>Narasimhamurthy R</v>
      </c>
      <c r="D737" s="14" t="str">
        <f aca="false" t="array" ref="D737:D737">IF(B737="","",IFERROR(INDEX('CLM &amp; IM Mapping'!$C$2:$C$270,MATCH(TRIM(B737),'CLM &amp; IM Mapping'!$A$2:$A$270,0)),"Not Mapped"))</f>
        <v>Kishor K</v>
      </c>
      <c r="E737" s="14" t="n">
        <v>0</v>
      </c>
      <c r="F737" s="14" t="n">
        <v>0</v>
      </c>
      <c r="G737" s="14" t="n">
        <v>0</v>
      </c>
      <c r="H737" s="14" t="n">
        <v>0</v>
      </c>
      <c r="I737" s="14" t="n">
        <v>7</v>
      </c>
      <c r="J737" s="14" t="n">
        <v>0</v>
      </c>
      <c r="K737" s="14" t="n">
        <v>7</v>
      </c>
      <c r="L737" s="14" t="n">
        <v>7</v>
      </c>
      <c r="M737" s="12"/>
      <c r="N737" s="11"/>
    </row>
    <row r="738" customFormat="false" ht="15.75" hidden="false" customHeight="true" outlineLevel="0" collapsed="false">
      <c r="A738" s="52" t="n">
        <v>46305</v>
      </c>
      <c r="B738" s="14" t="s">
        <v>481</v>
      </c>
      <c r="C738" s="14" t="str">
        <f aca="false" t="array" ref="C738:C738">IF(B738="","",IFERROR(INDEX('CLM &amp; IM Mapping'!$B$2:$B$270,MATCH(TRIM(B738),'CLM &amp; IM Mapping'!$A$2:$A$270,0)),"Not Mapped"))</f>
        <v>Akshay P</v>
      </c>
      <c r="D738" s="14" t="str">
        <f aca="false" t="array" ref="D738:D738">IF(B738="","",IFERROR(INDEX('CLM &amp; IM Mapping'!$C$2:$C$270,MATCH(TRIM(B738),'CLM &amp; IM Mapping'!$A$2:$A$270,0)),"Not Mapped"))</f>
        <v>Srittam Dhal</v>
      </c>
      <c r="E738" s="14" t="n">
        <v>0</v>
      </c>
      <c r="F738" s="14" t="n">
        <v>0</v>
      </c>
      <c r="G738" s="14" t="n">
        <v>1</v>
      </c>
      <c r="H738" s="14" t="n">
        <v>1</v>
      </c>
      <c r="I738" s="14" t="n">
        <v>5</v>
      </c>
      <c r="J738" s="14" t="n">
        <v>0</v>
      </c>
      <c r="K738" s="14" t="n">
        <v>7</v>
      </c>
      <c r="L738" s="14" t="n">
        <v>7</v>
      </c>
      <c r="M738" s="12"/>
      <c r="N738" s="11"/>
    </row>
    <row r="739" customFormat="false" ht="15.75" hidden="false" customHeight="true" outlineLevel="0" collapsed="false">
      <c r="A739" s="52" t="n">
        <v>46305</v>
      </c>
      <c r="B739" s="14" t="s">
        <v>29</v>
      </c>
      <c r="C739" s="14" t="str">
        <f aca="false" t="array" ref="C739:C739">IF(B739="","",IFERROR(INDEX('CLM &amp; IM Mapping'!$B$2:$B$270,MATCH(TRIM(B739),'CLM &amp; IM Mapping'!$A$2:$A$270,0)),"Not Mapped"))</f>
        <v>Arun Raj</v>
      </c>
      <c r="D739" s="14" t="str">
        <f aca="false" t="array" ref="D739:D739">IF(B739="","",IFERROR(INDEX('CLM &amp; IM Mapping'!$C$2:$C$270,MATCH(TRIM(B739),'CLM &amp; IM Mapping'!$A$2:$A$270,0)),"Not Mapped"))</f>
        <v>Simon Manoharan</v>
      </c>
      <c r="E739" s="14" t="n">
        <v>1</v>
      </c>
      <c r="F739" s="14" t="n">
        <v>1</v>
      </c>
      <c r="G739" s="14" t="n">
        <v>0</v>
      </c>
      <c r="H739" s="14" t="n">
        <v>2</v>
      </c>
      <c r="I739" s="14" t="n">
        <v>0</v>
      </c>
      <c r="J739" s="14" t="n">
        <v>0</v>
      </c>
      <c r="K739" s="14" t="n">
        <v>4</v>
      </c>
      <c r="L739" s="14" t="n">
        <v>2</v>
      </c>
      <c r="M739" s="12"/>
      <c r="N739" s="11"/>
    </row>
    <row r="740" customFormat="false" ht="15.75" hidden="false" customHeight="true" outlineLevel="0" collapsed="false">
      <c r="A740" s="52" t="n">
        <v>46305</v>
      </c>
      <c r="B740" s="14" t="s">
        <v>229</v>
      </c>
      <c r="C740" s="14" t="str">
        <f aca="false" t="array" ref="C740:C740">IF(B740="","",IFERROR(INDEX('CLM &amp; IM Mapping'!$B$2:$B$270,MATCH(TRIM(B740),'CLM &amp; IM Mapping'!$A$2:$A$270,0)),"Not Mapped"))</f>
        <v>Arun Raj</v>
      </c>
      <c r="D740" s="14" t="str">
        <f aca="false" t="array" ref="D740:D740">IF(B740="","",IFERROR(INDEX('CLM &amp; IM Mapping'!$C$2:$C$270,MATCH(TRIM(B740),'CLM &amp; IM Mapping'!$A$2:$A$270,0)),"Not Mapped"))</f>
        <v>Simon Manoharan</v>
      </c>
      <c r="E740" s="14" t="n">
        <v>0</v>
      </c>
      <c r="F740" s="14" t="n">
        <v>3</v>
      </c>
      <c r="G740" s="14" t="n">
        <v>0</v>
      </c>
      <c r="H740" s="14" t="n">
        <v>0</v>
      </c>
      <c r="I740" s="14" t="n">
        <v>1</v>
      </c>
      <c r="J740" s="14" t="n">
        <v>0</v>
      </c>
      <c r="K740" s="14" t="n">
        <v>4</v>
      </c>
      <c r="L740" s="14" t="n">
        <v>0</v>
      </c>
      <c r="M740" s="12"/>
      <c r="N740" s="11"/>
    </row>
    <row r="741" customFormat="false" ht="15.75" hidden="false" customHeight="true" outlineLevel="0" collapsed="false">
      <c r="A741" s="52" t="n">
        <v>46305</v>
      </c>
      <c r="B741" s="14" t="s">
        <v>382</v>
      </c>
      <c r="C741" s="14" t="str">
        <f aca="false" t="array" ref="C741:C741">IF(B741="","",IFERROR(INDEX('CLM &amp; IM Mapping'!$B$2:$B$270,MATCH(TRIM(B741),'CLM &amp; IM Mapping'!$A$2:$A$270,0)),"Not Mapped"))</f>
        <v>Arun Raj</v>
      </c>
      <c r="D741" s="14" t="str">
        <f aca="false" t="array" ref="D741:D741">IF(B741="","",IFERROR(INDEX('CLM &amp; IM Mapping'!$C$2:$C$270,MATCH(TRIM(B741),'CLM &amp; IM Mapping'!$A$2:$A$270,0)),"Not Mapped"))</f>
        <v>Simon Manoharan</v>
      </c>
      <c r="E741" s="14" t="n">
        <v>0</v>
      </c>
      <c r="F741" s="14" t="n">
        <v>3</v>
      </c>
      <c r="G741" s="14" t="n">
        <v>0</v>
      </c>
      <c r="H741" s="14" t="n">
        <v>0</v>
      </c>
      <c r="I741" s="14" t="n">
        <v>1</v>
      </c>
      <c r="J741" s="14" t="n">
        <v>0</v>
      </c>
      <c r="K741" s="14" t="n">
        <v>4</v>
      </c>
      <c r="L741" s="14" t="n">
        <v>3</v>
      </c>
      <c r="M741" s="12"/>
      <c r="N741" s="11"/>
    </row>
    <row r="742" customFormat="false" ht="15.75" hidden="false" customHeight="true" outlineLevel="0" collapsed="false">
      <c r="A742" s="52" t="n">
        <v>46305</v>
      </c>
      <c r="B742" s="14" t="s">
        <v>388</v>
      </c>
      <c r="C742" s="14" t="str">
        <f aca="false" t="array" ref="C742:C742">IF(B742="","",IFERROR(INDEX('CLM &amp; IM Mapping'!$B$2:$B$270,MATCH(TRIM(B742),'CLM &amp; IM Mapping'!$A$2:$A$270,0)),"Not Mapped"))</f>
        <v>Arun Raj</v>
      </c>
      <c r="D742" s="14" t="str">
        <f aca="false" t="array" ref="D742:D742">IF(B742="","",IFERROR(INDEX('CLM &amp; IM Mapping'!$C$2:$C$270,MATCH(TRIM(B742),'CLM &amp; IM Mapping'!$A$2:$A$270,0)),"Not Mapped"))</f>
        <v>Simon Manoharan</v>
      </c>
      <c r="E742" s="14" t="n">
        <v>0</v>
      </c>
      <c r="F742" s="14" t="n">
        <v>0</v>
      </c>
      <c r="G742" s="14" t="n">
        <v>0</v>
      </c>
      <c r="H742" s="14" t="n">
        <v>3</v>
      </c>
      <c r="I742" s="14" t="n">
        <v>0</v>
      </c>
      <c r="J742" s="14" t="n">
        <v>0</v>
      </c>
      <c r="K742" s="14" t="n">
        <v>3</v>
      </c>
      <c r="L742" s="14" t="n">
        <v>3</v>
      </c>
      <c r="M742" s="12"/>
      <c r="N742" s="11"/>
    </row>
    <row r="743" customFormat="false" ht="15.75" hidden="false" customHeight="true" outlineLevel="0" collapsed="false">
      <c r="A743" s="52" t="n">
        <v>46305</v>
      </c>
      <c r="B743" s="14" t="s">
        <v>427</v>
      </c>
      <c r="C743" s="14" t="str">
        <f aca="false" t="array" ref="C743:C743">IF(B743="","",IFERROR(INDEX('CLM &amp; IM Mapping'!$B$2:$B$270,MATCH(TRIM(B743),'CLM &amp; IM Mapping'!$A$2:$A$270,0)),"Not Mapped"))</f>
        <v>John Britto</v>
      </c>
      <c r="D743" s="14" t="str">
        <f aca="false" t="array" ref="D743:D743">IF(B743="","",IFERROR(INDEX('CLM &amp; IM Mapping'!$C$2:$C$270,MATCH(TRIM(B743),'CLM &amp; IM Mapping'!$A$2:$A$270,0)),"Not Mapped"))</f>
        <v>Aravind S</v>
      </c>
      <c r="E743" s="14" t="n">
        <v>2</v>
      </c>
      <c r="F743" s="14" t="n">
        <v>0</v>
      </c>
      <c r="G743" s="14" t="n">
        <v>0</v>
      </c>
      <c r="H743" s="14" t="n">
        <v>1</v>
      </c>
      <c r="I743" s="14" t="n">
        <v>0</v>
      </c>
      <c r="J743" s="14" t="n">
        <v>0</v>
      </c>
      <c r="K743" s="14" t="n">
        <v>3</v>
      </c>
      <c r="L743" s="14" t="n">
        <v>1</v>
      </c>
      <c r="M743" s="12"/>
      <c r="N743" s="11"/>
    </row>
    <row r="744" customFormat="false" ht="15.75" hidden="false" customHeight="true" outlineLevel="0" collapsed="false">
      <c r="A744" s="52" t="n">
        <v>46305</v>
      </c>
      <c r="B744" s="14" t="s">
        <v>452</v>
      </c>
      <c r="C744" s="14" t="str">
        <f aca="false" t="array" ref="C744:C744">IF(B744="","",IFERROR(INDEX('CLM &amp; IM Mapping'!$B$2:$B$270,MATCH(TRIM(B744),'CLM &amp; IM Mapping'!$A$2:$A$270,0)),"Not Mapped"))</f>
        <v>Vishnu V</v>
      </c>
      <c r="D744" s="14" t="str">
        <f aca="false" t="array" ref="D744:D744">IF(B744="","",IFERROR(INDEX('CLM &amp; IM Mapping'!$C$2:$C$270,MATCH(TRIM(B744),'CLM &amp; IM Mapping'!$A$2:$A$270,0)),"Not Mapped"))</f>
        <v>Arivind S</v>
      </c>
      <c r="E744" s="14" t="n">
        <v>0</v>
      </c>
      <c r="F744" s="14" t="n">
        <v>1</v>
      </c>
      <c r="G744" s="14" t="n">
        <v>0</v>
      </c>
      <c r="H744" s="14" t="n">
        <v>0</v>
      </c>
      <c r="I744" s="14" t="n">
        <v>2</v>
      </c>
      <c r="J744" s="14" t="n">
        <v>0</v>
      </c>
      <c r="K744" s="14" t="n">
        <v>3</v>
      </c>
      <c r="L744" s="14" t="n">
        <v>3</v>
      </c>
      <c r="M744" s="12"/>
      <c r="N744" s="11"/>
    </row>
    <row r="745" customFormat="false" ht="15.75" hidden="false" customHeight="true" outlineLevel="0" collapsed="false">
      <c r="A745" s="52" t="n">
        <v>46305</v>
      </c>
      <c r="B745" s="14" t="s">
        <v>431</v>
      </c>
      <c r="C745" s="14" t="str">
        <f aca="false" t="array" ref="C745:C745">IF(B745="","",IFERROR(INDEX('CLM &amp; IM Mapping'!$B$2:$B$270,MATCH(TRIM(B745),'CLM &amp; IM Mapping'!$A$2:$A$270,0)),"Not Mapped"))</f>
        <v>Vishnu V</v>
      </c>
      <c r="D745" s="14" t="str">
        <f aca="false" t="array" ref="D745:D745">IF(B745="","",IFERROR(INDEX('CLM &amp; IM Mapping'!$C$2:$C$270,MATCH(TRIM(B745),'CLM &amp; IM Mapping'!$A$2:$A$270,0)),"Not Mapped"))</f>
        <v>Arivind S</v>
      </c>
      <c r="E745" s="14" t="n">
        <v>0</v>
      </c>
      <c r="F745" s="14" t="n">
        <v>0</v>
      </c>
      <c r="G745" s="14" t="n">
        <v>2</v>
      </c>
      <c r="H745" s="14" t="n">
        <v>0</v>
      </c>
      <c r="I745" s="14" t="n">
        <v>0</v>
      </c>
      <c r="J745" s="14" t="n">
        <v>0</v>
      </c>
      <c r="K745" s="14" t="n">
        <v>2</v>
      </c>
      <c r="L745" s="14" t="n">
        <v>2</v>
      </c>
      <c r="M745" s="12"/>
      <c r="N745" s="11"/>
    </row>
    <row r="746" customFormat="false" ht="15.75" hidden="false" customHeight="true" outlineLevel="0" collapsed="false">
      <c r="A746" s="52" t="n">
        <v>46305</v>
      </c>
      <c r="B746" s="14" t="s">
        <v>272</v>
      </c>
      <c r="C746" s="14" t="str">
        <f aca="false" t="array" ref="C746:C746">IF(B746="","",IFERROR(INDEX('CLM &amp; IM Mapping'!$B$2:$B$270,MATCH(TRIM(B746),'CLM &amp; IM Mapping'!$A$2:$A$270,0)),"Not Mapped"))</f>
        <v>Arun Raj</v>
      </c>
      <c r="D746" s="14" t="str">
        <f aca="false" t="array" ref="D746:D746">IF(B746="","",IFERROR(INDEX('CLM &amp; IM Mapping'!$C$2:$C$270,MATCH(TRIM(B746),'CLM &amp; IM Mapping'!$A$2:$A$270,0)),"Not Mapped"))</f>
        <v>Simon Manoharan</v>
      </c>
      <c r="E746" s="14" t="n">
        <v>0</v>
      </c>
      <c r="F746" s="14" t="n">
        <v>0</v>
      </c>
      <c r="G746" s="14" t="n">
        <v>0</v>
      </c>
      <c r="H746" s="14" t="n">
        <v>1</v>
      </c>
      <c r="I746" s="14" t="n">
        <v>0</v>
      </c>
      <c r="J746" s="14" t="n">
        <v>0</v>
      </c>
      <c r="K746" s="14" t="n">
        <v>1</v>
      </c>
      <c r="L746" s="14" t="n">
        <v>1</v>
      </c>
      <c r="M746" s="12"/>
      <c r="N746" s="11"/>
    </row>
    <row r="747" customFormat="false" ht="15.75" hidden="false" customHeight="true" outlineLevel="0" collapsed="false">
      <c r="A747" s="52" t="n">
        <v>46305</v>
      </c>
      <c r="B747" s="14" t="s">
        <v>348</v>
      </c>
      <c r="C747" s="14" t="str">
        <f aca="false" t="array" ref="C747:C747">IF(B747="","",IFERROR(INDEX('CLM &amp; IM Mapping'!$B$2:$B$270,MATCH(TRIM(B747),'CLM &amp; IM Mapping'!$A$2:$A$270,0)),"Not Mapped"))</f>
        <v>Arun Raj</v>
      </c>
      <c r="D747" s="14" t="str">
        <f aca="false" t="array" ref="D747:D747">IF(B747="","",IFERROR(INDEX('CLM &amp; IM Mapping'!$C$2:$C$270,MATCH(TRIM(B747),'CLM &amp; IM Mapping'!$A$2:$A$270,0)),"Not Mapped"))</f>
        <v>Simon Manoharan</v>
      </c>
      <c r="E747" s="14" t="n">
        <v>0</v>
      </c>
      <c r="F747" s="14" t="n">
        <v>0</v>
      </c>
      <c r="G747" s="14" t="n">
        <v>0</v>
      </c>
      <c r="H747" s="14" t="n">
        <v>1</v>
      </c>
      <c r="I747" s="14" t="n">
        <v>0</v>
      </c>
      <c r="J747" s="14" t="n">
        <v>0</v>
      </c>
      <c r="K747" s="14" t="n">
        <v>1</v>
      </c>
      <c r="L747" s="14" t="n">
        <v>1</v>
      </c>
      <c r="M747" s="12"/>
      <c r="N747" s="11"/>
    </row>
    <row r="748" customFormat="false" ht="15.75" hidden="false" customHeight="true" outlineLevel="0" collapsed="false">
      <c r="A748" s="52" t="n">
        <v>46305</v>
      </c>
      <c r="B748" s="14" t="s">
        <v>355</v>
      </c>
      <c r="C748" s="14" t="str">
        <f aca="false" t="array" ref="C748:C748">IF(B748="","",IFERROR(INDEX('CLM &amp; IM Mapping'!$B$2:$B$270,MATCH(TRIM(B748),'CLM &amp; IM Mapping'!$A$2:$A$270,0)),"Not Mapped"))</f>
        <v>Arun Raj</v>
      </c>
      <c r="D748" s="14" t="str">
        <f aca="false" t="array" ref="D748:D748">IF(B748="","",IFERROR(INDEX('CLM &amp; IM Mapping'!$C$2:$C$270,MATCH(TRIM(B748),'CLM &amp; IM Mapping'!$A$2:$A$270,0)),"Not Mapped"))</f>
        <v>Simon Manoharan</v>
      </c>
      <c r="E748" s="14" t="n">
        <v>0</v>
      </c>
      <c r="F748" s="14" t="n">
        <v>0</v>
      </c>
      <c r="G748" s="14" t="n">
        <v>0</v>
      </c>
      <c r="H748" s="14" t="n">
        <v>0</v>
      </c>
      <c r="I748" s="14" t="n">
        <v>1</v>
      </c>
      <c r="J748" s="14" t="n">
        <v>0</v>
      </c>
      <c r="K748" s="14" t="n">
        <v>1</v>
      </c>
      <c r="L748" s="14" t="n">
        <v>1</v>
      </c>
      <c r="M748" s="12"/>
      <c r="N748" s="11"/>
    </row>
    <row r="749" customFormat="false" ht="15.75" hidden="false" customHeight="true" outlineLevel="0" collapsed="false">
      <c r="A749" s="52" t="n">
        <v>46305</v>
      </c>
      <c r="B749" s="14" t="s">
        <v>386</v>
      </c>
      <c r="C749" s="14" t="str">
        <f aca="false" t="array" ref="C749:C749">IF(B749="","",IFERROR(INDEX('CLM &amp; IM Mapping'!$B$2:$B$270,MATCH(TRIM(B749),'CLM &amp; IM Mapping'!$A$2:$A$270,0)),"Not Mapped"))</f>
        <v>Arun Raj</v>
      </c>
      <c r="D749" s="14" t="str">
        <f aca="false" t="array" ref="D749:D749">IF(B749="","",IFERROR(INDEX('CLM &amp; IM Mapping'!$C$2:$C$270,MATCH(TRIM(B749),'CLM &amp; IM Mapping'!$A$2:$A$270,0)),"Not Mapped"))</f>
        <v>Simon Manoharan</v>
      </c>
      <c r="E749" s="14" t="n">
        <v>0</v>
      </c>
      <c r="F749" s="14" t="n">
        <v>0</v>
      </c>
      <c r="G749" s="14" t="n">
        <v>0</v>
      </c>
      <c r="H749" s="14" t="n">
        <v>0</v>
      </c>
      <c r="I749" s="14" t="n">
        <v>0</v>
      </c>
      <c r="J749" s="14" t="n">
        <v>0</v>
      </c>
      <c r="K749" s="14" t="n">
        <v>0</v>
      </c>
      <c r="L749" s="14" t="n">
        <v>0</v>
      </c>
      <c r="M749" s="12"/>
      <c r="N749" s="11"/>
    </row>
    <row r="750" customFormat="false" ht="15.75" hidden="false" customHeight="true" outlineLevel="0" collapsed="false">
      <c r="A750" s="52" t="n">
        <v>46305</v>
      </c>
      <c r="B750" s="14" t="s">
        <v>564</v>
      </c>
      <c r="C750" s="14" t="str">
        <f aca="false" t="array" ref="C750:C750">IF(B750="","",IFERROR(INDEX('CLM &amp; IM Mapping'!$B$2:$B$270,MATCH(TRIM(B750),'CLM &amp; IM Mapping'!$A$2:$A$270,0)),"Not Mapped"))</f>
        <v>Basil Scariya</v>
      </c>
      <c r="D750" s="14" t="str">
        <f aca="false" t="array" ref="D750:D750">IF(B750="","",IFERROR(INDEX('CLM &amp; IM Mapping'!$C$2:$C$270,MATCH(TRIM(B750),'CLM &amp; IM Mapping'!$A$2:$A$270,0)),"Not Mapped"))</f>
        <v>Prakash BS</v>
      </c>
      <c r="E750" s="14" t="n">
        <v>0</v>
      </c>
      <c r="F750" s="14" t="n">
        <v>0</v>
      </c>
      <c r="G750" s="14" t="n">
        <v>0</v>
      </c>
      <c r="H750" s="14" t="n">
        <v>0</v>
      </c>
      <c r="I750" s="14" t="n">
        <v>0</v>
      </c>
      <c r="J750" s="14" t="n">
        <v>0</v>
      </c>
      <c r="K750" s="14" t="n">
        <v>0</v>
      </c>
      <c r="L750" s="14" t="n">
        <v>0</v>
      </c>
      <c r="M750" s="12"/>
      <c r="N750" s="11"/>
    </row>
    <row r="751" customFormat="false" ht="15.75" hidden="false" customHeight="true" outlineLevel="0" collapsed="false">
      <c r="A751" s="52" t="n">
        <v>46305</v>
      </c>
      <c r="B751" s="14" t="s">
        <v>293</v>
      </c>
      <c r="C751" s="14" t="str">
        <f aca="false" t="array" ref="C751:C751">IF(B751="","",IFERROR(INDEX('CLM &amp; IM Mapping'!$B$2:$B$270,MATCH(TRIM(B751),'CLM &amp; IM Mapping'!$A$2:$A$270,0)),"Not Mapped"))</f>
        <v>Suhas N</v>
      </c>
      <c r="D751" s="14" t="str">
        <f aca="false" t="array" ref="D751:D751">IF(B751="","",IFERROR(INDEX('CLM &amp; IM Mapping'!$C$2:$C$270,MATCH(TRIM(B751),'CLM &amp; IM Mapping'!$A$2:$A$270,0)),"Not Mapped"))</f>
        <v>Aravind S</v>
      </c>
      <c r="E751" s="14" t="n">
        <v>0</v>
      </c>
      <c r="F751" s="14" t="n">
        <v>0</v>
      </c>
      <c r="G751" s="14" t="n">
        <v>0</v>
      </c>
      <c r="H751" s="14" t="n">
        <v>0</v>
      </c>
      <c r="I751" s="14" t="n">
        <v>0</v>
      </c>
      <c r="J751" s="14" t="n">
        <v>0</v>
      </c>
      <c r="K751" s="14" t="n">
        <v>0</v>
      </c>
      <c r="L751" s="14" t="n">
        <v>0</v>
      </c>
      <c r="M751" s="12"/>
      <c r="N751" s="11"/>
    </row>
    <row r="752" customFormat="false" ht="15.75" hidden="false" customHeight="true" outlineLevel="0" collapsed="false">
      <c r="A752" s="52" t="n">
        <v>46305</v>
      </c>
      <c r="B752" s="14" t="s">
        <v>368</v>
      </c>
      <c r="C752" s="14" t="str">
        <f aca="false" t="array" ref="C752:C752">IF(B752="","",IFERROR(INDEX('CLM &amp; IM Mapping'!$B$2:$B$270,MATCH(TRIM(B752),'CLM &amp; IM Mapping'!$A$2:$A$270,0)),"Not Mapped"))</f>
        <v>Arun Raj</v>
      </c>
      <c r="D752" s="14" t="str">
        <f aca="false" t="array" ref="D752:D752">IF(B752="","",IFERROR(INDEX('CLM &amp; IM Mapping'!$C$2:$C$270,MATCH(TRIM(B752),'CLM &amp; IM Mapping'!$A$2:$A$270,0)),"Not Mapped"))</f>
        <v>Simon Manoharan</v>
      </c>
      <c r="E752" s="14" t="n">
        <v>0</v>
      </c>
      <c r="F752" s="14" t="n">
        <v>0</v>
      </c>
      <c r="G752" s="14" t="n">
        <v>0</v>
      </c>
      <c r="H752" s="14" t="n">
        <v>0</v>
      </c>
      <c r="I752" s="14" t="n">
        <v>0</v>
      </c>
      <c r="J752" s="14" t="n">
        <v>0</v>
      </c>
      <c r="K752" s="14" t="n">
        <v>0</v>
      </c>
      <c r="L752" s="14" t="n">
        <v>0</v>
      </c>
      <c r="M752" s="12"/>
      <c r="N752" s="11"/>
    </row>
    <row r="753" customFormat="false" ht="15.75" hidden="false" customHeight="true" outlineLevel="0" collapsed="false">
      <c r="A753" s="52" t="n">
        <v>46305</v>
      </c>
      <c r="B753" s="14" t="s">
        <v>399</v>
      </c>
      <c r="C753" s="14" t="str">
        <f aca="false" t="array" ref="C753:C753">IF(B753="","",IFERROR(INDEX('CLM &amp; IM Mapping'!$B$2:$B$270,MATCH(TRIM(B753),'CLM &amp; IM Mapping'!$A$2:$A$270,0)),"Not Mapped"))</f>
        <v>John Britto</v>
      </c>
      <c r="D753" s="14" t="str">
        <f aca="false" t="array" ref="D753:D753">IF(B753="","",IFERROR(INDEX('CLM &amp; IM Mapping'!$C$2:$C$270,MATCH(TRIM(B753),'CLM &amp; IM Mapping'!$A$2:$A$270,0)),"Not Mapped"))</f>
        <v>Aravind S</v>
      </c>
      <c r="E753" s="14" t="n">
        <v>0</v>
      </c>
      <c r="F753" s="14" t="n">
        <v>0</v>
      </c>
      <c r="G753" s="14" t="n">
        <v>0</v>
      </c>
      <c r="H753" s="14" t="n">
        <v>0</v>
      </c>
      <c r="I753" s="14" t="n">
        <v>0</v>
      </c>
      <c r="J753" s="14" t="n">
        <v>0</v>
      </c>
      <c r="K753" s="14" t="n">
        <v>0</v>
      </c>
      <c r="L753" s="14" t="n">
        <v>0</v>
      </c>
      <c r="M753" s="12"/>
      <c r="N753" s="11"/>
    </row>
    <row r="754" customFormat="false" ht="15.75" hidden="false" customHeight="true" outlineLevel="0" collapsed="false">
      <c r="A754" s="52" t="n">
        <v>46305</v>
      </c>
      <c r="B754" s="14" t="s">
        <v>439</v>
      </c>
      <c r="C754" s="14" t="str">
        <f aca="false" t="array" ref="C754:C754">IF(B754="","",IFERROR(INDEX('CLM &amp; IM Mapping'!$B$2:$B$270,MATCH(TRIM(B754),'CLM &amp; IM Mapping'!$A$2:$A$270,0)),"Not Mapped"))</f>
        <v>Vishnu V</v>
      </c>
      <c r="D754" s="14" t="str">
        <f aca="false" t="array" ref="D754:D754">IF(B754="","",IFERROR(INDEX('CLM &amp; IM Mapping'!$C$2:$C$270,MATCH(TRIM(B754),'CLM &amp; IM Mapping'!$A$2:$A$270,0)),"Not Mapped"))</f>
        <v>Arivind S</v>
      </c>
      <c r="E754" s="14" t="n">
        <v>0</v>
      </c>
      <c r="F754" s="14" t="n">
        <v>0</v>
      </c>
      <c r="G754" s="14" t="n">
        <v>0</v>
      </c>
      <c r="H754" s="14" t="n">
        <v>0</v>
      </c>
      <c r="I754" s="14" t="n">
        <v>0</v>
      </c>
      <c r="J754" s="14" t="n">
        <v>0</v>
      </c>
      <c r="K754" s="14" t="n">
        <v>0</v>
      </c>
      <c r="L754" s="14" t="n">
        <v>0</v>
      </c>
      <c r="M754" s="12"/>
      <c r="N754" s="11"/>
    </row>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E2:E754">
    <cfRule type="colorScale" priority="2">
      <colorScale>
        <cfvo type="min" val="0"/>
        <cfvo type="percentile" val="50"/>
        <cfvo type="max" val="0"/>
        <color rgb="FF63BE7B"/>
        <color rgb="FFFFEB84"/>
        <color rgb="FFF8696B"/>
      </colorScale>
    </cfRule>
  </conditionalFormatting>
  <conditionalFormatting sqref="F2:F754">
    <cfRule type="colorScale" priority="3">
      <colorScale>
        <cfvo type="min" val="0"/>
        <cfvo type="percentile" val="50"/>
        <cfvo type="max" val="0"/>
        <color rgb="FF63BE7B"/>
        <color rgb="FFFFEB84"/>
        <color rgb="FFF8696B"/>
      </colorScale>
    </cfRule>
  </conditionalFormatting>
  <conditionalFormatting sqref="G2:G754">
    <cfRule type="colorScale" priority="4">
      <colorScale>
        <cfvo type="min" val="0"/>
        <cfvo type="percentile" val="50"/>
        <cfvo type="max" val="0"/>
        <color rgb="FF63BE7B"/>
        <color rgb="FFFFEB84"/>
        <color rgb="FFF8696B"/>
      </colorScale>
    </cfRule>
  </conditionalFormatting>
  <conditionalFormatting sqref="H2:H754">
    <cfRule type="colorScale" priority="5">
      <colorScale>
        <cfvo type="min" val="0"/>
        <cfvo type="percentile" val="50"/>
        <cfvo type="max" val="0"/>
        <color rgb="FF63BE7B"/>
        <color rgb="FFFFEB84"/>
        <color rgb="FFF8696B"/>
      </colorScale>
    </cfRule>
  </conditionalFormatting>
  <conditionalFormatting sqref="I2:I754">
    <cfRule type="colorScale" priority="6">
      <colorScale>
        <cfvo type="min" val="0"/>
        <cfvo type="percentile" val="50"/>
        <cfvo type="max" val="0"/>
        <color rgb="FF63BE7B"/>
        <color rgb="FFFFEB84"/>
        <color rgb="FFF8696B"/>
      </colorScale>
    </cfRule>
  </conditionalFormatting>
  <conditionalFormatting sqref="J2:J754">
    <cfRule type="colorScale" priority="7">
      <colorScale>
        <cfvo type="min" val="0"/>
        <cfvo type="percentile" val="50"/>
        <cfvo type="max" val="0"/>
        <color rgb="FF63BE7B"/>
        <color rgb="FFFFEB84"/>
        <color rgb="FFF8696B"/>
      </colorScale>
    </cfRule>
  </conditionalFormatting>
  <conditionalFormatting sqref="K2:K754">
    <cfRule type="colorScale" priority="8">
      <colorScale>
        <cfvo type="min" val="0"/>
        <cfvo type="percentile" val="50"/>
        <cfvo type="max" val="0"/>
        <color rgb="FF63BE7B"/>
        <color rgb="FFFFEB84"/>
        <color rgb="FFF8696B"/>
      </colorScale>
    </cfRule>
  </conditionalFormatting>
  <conditionalFormatting sqref="L2:L754">
    <cfRule type="colorScale" priority="9">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5.38"/>
    <col collapsed="false" customWidth="true" hidden="false" outlineLevel="0" max="2" min="2" style="0" width="33.13"/>
    <col collapsed="false" customWidth="true" hidden="false" outlineLevel="0" max="3" min="3" style="0" width="20.25"/>
    <col collapsed="false" customWidth="true" hidden="false" outlineLevel="0" max="4" min="4" style="0" width="16.63"/>
    <col collapsed="false" customWidth="true" hidden="false" outlineLevel="0" max="5" min="5" style="0" width="10.25"/>
    <col collapsed="false" customWidth="true" hidden="false" outlineLevel="0" max="6" min="6" style="0" width="9.88"/>
    <col collapsed="false" customWidth="true" hidden="false" outlineLevel="0" max="7" min="7" style="0" width="10.51"/>
    <col collapsed="false" customWidth="true" hidden="false" outlineLevel="0" max="8" min="8" style="0" width="11.5"/>
    <col collapsed="false" customWidth="true" hidden="false" outlineLevel="0" max="9" min="9" style="0" width="11.89"/>
    <col collapsed="false" customWidth="true" hidden="false" outlineLevel="0" max="10" min="10" style="0" width="12.25"/>
    <col collapsed="false" customWidth="true" hidden="false" outlineLevel="0" max="11" min="11" style="0" width="10"/>
    <col collapsed="false" customWidth="true" hidden="false" outlineLevel="0" max="12" min="12" style="0" width="12.25"/>
    <col collapsed="false" customWidth="true" hidden="false" outlineLevel="0" max="14" min="13" style="0" width="29.25"/>
    <col collapsed="false" customWidth="true" hidden="false" outlineLevel="0" max="16" min="15" style="0" width="47.88"/>
  </cols>
  <sheetData>
    <row r="1" customFormat="false" ht="15" hidden="false" customHeight="false" outlineLevel="0" collapsed="false">
      <c r="A1" s="61" t="s">
        <v>845</v>
      </c>
      <c r="B1" s="61" t="s">
        <v>846</v>
      </c>
      <c r="C1" s="61" t="s">
        <v>4</v>
      </c>
      <c r="D1" s="61" t="s">
        <v>5</v>
      </c>
      <c r="E1" s="62" t="s">
        <v>847</v>
      </c>
      <c r="F1" s="62" t="s">
        <v>848</v>
      </c>
      <c r="G1" s="62" t="s">
        <v>849</v>
      </c>
      <c r="H1" s="62" t="s">
        <v>850</v>
      </c>
      <c r="I1" s="62" t="s">
        <v>851</v>
      </c>
      <c r="J1" s="62" t="s">
        <v>852</v>
      </c>
      <c r="K1" s="62" t="s">
        <v>853</v>
      </c>
      <c r="L1" s="62" t="s">
        <v>854</v>
      </c>
      <c r="M1" s="62" t="s">
        <v>855</v>
      </c>
      <c r="N1" s="62" t="s">
        <v>856</v>
      </c>
      <c r="O1" s="63" t="s">
        <v>857</v>
      </c>
      <c r="P1" s="62" t="s">
        <v>858</v>
      </c>
      <c r="Q1" s="64"/>
      <c r="R1" s="64"/>
      <c r="S1" s="64"/>
      <c r="T1" s="64"/>
      <c r="U1" s="64"/>
      <c r="V1" s="64"/>
      <c r="W1" s="64"/>
      <c r="X1" s="64"/>
      <c r="Y1" s="64"/>
      <c r="Z1" s="64"/>
      <c r="AA1" s="64"/>
    </row>
    <row r="2" customFormat="false" ht="25.35" hidden="false" customHeight="false" outlineLevel="0" collapsed="false">
      <c r="A2" s="65" t="n">
        <v>46303</v>
      </c>
      <c r="B2" s="66" t="s">
        <v>76</v>
      </c>
      <c r="C2" s="67" t="str">
        <f aca="false" t="array" ref="C2:C2">IF(B2="","",IFERROR(INDEX('CLM &amp; IM Mapping'!$B$2:$B$270,MATCH(TRIM(B2),'CLM &amp; IM Mapping'!$A$2:$A$270,0)),"Not Mapped"))</f>
        <v>Silambarasan E</v>
      </c>
      <c r="D2" s="67" t="str">
        <f aca="false" t="array" ref="D2:D2">IF(B2="","",IFERROR(INDEX('CLM &amp; IM Mapping'!$C$2:$C$270,MATCH(TRIM(B2),'CLM &amp; IM Mapping'!$A$2:$A$270,0)),"Not Mapped"))</f>
        <v>Arivind S</v>
      </c>
      <c r="E2" s="66" t="n">
        <v>6312</v>
      </c>
      <c r="F2" s="66" t="n">
        <v>0</v>
      </c>
      <c r="G2" s="66" t="n">
        <v>0</v>
      </c>
      <c r="H2" s="66" t="n">
        <v>4620</v>
      </c>
      <c r="I2" s="66" t="n">
        <v>2</v>
      </c>
      <c r="J2" s="66" t="n">
        <v>1563</v>
      </c>
      <c r="K2" s="66" t="n">
        <v>127</v>
      </c>
      <c r="L2" s="66" t="n">
        <v>6312</v>
      </c>
      <c r="M2" s="44"/>
      <c r="N2" s="44" t="s">
        <v>859</v>
      </c>
      <c r="O2" s="68" t="s">
        <v>860</v>
      </c>
      <c r="P2" s="68" t="s">
        <v>861</v>
      </c>
      <c r="Q2" s="64"/>
      <c r="R2" s="64"/>
      <c r="S2" s="64"/>
      <c r="T2" s="64"/>
      <c r="U2" s="64"/>
      <c r="V2" s="64"/>
      <c r="W2" s="64"/>
      <c r="X2" s="64"/>
      <c r="Y2" s="64"/>
      <c r="Z2" s="64"/>
      <c r="AA2" s="64"/>
    </row>
    <row r="3" customFormat="false" ht="25.35" hidden="false" customHeight="false" outlineLevel="0" collapsed="false">
      <c r="A3" s="65" t="n">
        <v>46303</v>
      </c>
      <c r="B3" s="66" t="s">
        <v>29</v>
      </c>
      <c r="C3" s="67" t="str">
        <f aca="false" t="array" ref="C3:C3">IF(B3="","",IFERROR(INDEX('CLM &amp; IM Mapping'!$B$2:$B$270,MATCH(TRIM(B3),'CLM &amp; IM Mapping'!$A$2:$A$270,0)),"Not Mapped"))</f>
        <v>Arun Raj</v>
      </c>
      <c r="D3" s="67" t="str">
        <f aca="false" t="array" ref="D3:D3">IF(B3="","",IFERROR(INDEX('CLM &amp; IM Mapping'!$C$2:$C$270,MATCH(TRIM(B3),'CLM &amp; IM Mapping'!$A$2:$A$270,0)),"Not Mapped"))</f>
        <v>Simon Manoharan</v>
      </c>
      <c r="E3" s="66" t="n">
        <v>8084</v>
      </c>
      <c r="F3" s="66" t="n">
        <v>0</v>
      </c>
      <c r="G3" s="66" t="n">
        <v>2472</v>
      </c>
      <c r="H3" s="66" t="n">
        <v>0</v>
      </c>
      <c r="I3" s="66" t="n">
        <v>0</v>
      </c>
      <c r="J3" s="66" t="n">
        <v>5612</v>
      </c>
      <c r="K3" s="66" t="n">
        <v>0</v>
      </c>
      <c r="L3" s="66" t="n">
        <v>5612</v>
      </c>
      <c r="M3" s="44"/>
      <c r="N3" s="44" t="s">
        <v>862</v>
      </c>
      <c r="O3" s="68" t="s">
        <v>863</v>
      </c>
      <c r="P3" s="68" t="s">
        <v>864</v>
      </c>
      <c r="Q3" s="64"/>
      <c r="R3" s="64"/>
      <c r="S3" s="64"/>
      <c r="T3" s="64"/>
      <c r="U3" s="64"/>
      <c r="V3" s="64"/>
      <c r="W3" s="64"/>
      <c r="X3" s="64"/>
      <c r="Y3" s="64"/>
      <c r="Z3" s="64"/>
      <c r="AA3" s="64"/>
    </row>
    <row r="4" customFormat="false" ht="26.85" hidden="false" customHeight="false" outlineLevel="0" collapsed="false">
      <c r="A4" s="65" t="n">
        <v>46303</v>
      </c>
      <c r="B4" s="66" t="s">
        <v>188</v>
      </c>
      <c r="C4" s="67" t="str">
        <f aca="false" t="array" ref="C4:C4">IF(B4="","",IFERROR(INDEX('CLM &amp; IM Mapping'!$B$2:$B$270,MATCH(TRIM(B4),'CLM &amp; IM Mapping'!$A$2:$A$270,0)),"Not Mapped"))</f>
        <v>Richard Harris</v>
      </c>
      <c r="D4" s="67" t="str">
        <f aca="false" t="array" ref="D4:D4">IF(B4="","",IFERROR(INDEX('CLM &amp; IM Mapping'!$C$2:$C$270,MATCH(TRIM(B4),'CLM &amp; IM Mapping'!$A$2:$A$270,0)),"Not Mapped"))</f>
        <v>Kantha Kumar</v>
      </c>
      <c r="E4" s="66" t="n">
        <v>4764</v>
      </c>
      <c r="F4" s="66" t="n">
        <v>288</v>
      </c>
      <c r="G4" s="66" t="n">
        <v>0</v>
      </c>
      <c r="H4" s="66" t="n">
        <v>3499</v>
      </c>
      <c r="I4" s="66" t="n">
        <v>0</v>
      </c>
      <c r="J4" s="66" t="n">
        <v>692</v>
      </c>
      <c r="K4" s="66" t="n">
        <v>285</v>
      </c>
      <c r="L4" s="66" t="n">
        <v>4476</v>
      </c>
      <c r="M4" s="44"/>
      <c r="N4" s="44" t="s">
        <v>859</v>
      </c>
      <c r="O4" s="20" t="s">
        <v>865</v>
      </c>
      <c r="P4" s="20" t="s">
        <v>866</v>
      </c>
      <c r="Q4" s="64"/>
      <c r="R4" s="64"/>
      <c r="S4" s="64"/>
      <c r="T4" s="64"/>
      <c r="U4" s="64"/>
      <c r="V4" s="64"/>
      <c r="W4" s="64"/>
      <c r="X4" s="64"/>
      <c r="Y4" s="64"/>
      <c r="Z4" s="64"/>
      <c r="AA4" s="64"/>
    </row>
    <row r="5" customFormat="false" ht="15" hidden="false" customHeight="false" outlineLevel="0" collapsed="false">
      <c r="A5" s="65" t="n">
        <v>46303</v>
      </c>
      <c r="B5" s="66" t="s">
        <v>203</v>
      </c>
      <c r="C5" s="67" t="str">
        <f aca="false" t="array" ref="C5:C5">IF(B5="","",IFERROR(INDEX('CLM &amp; IM Mapping'!$B$2:$B$270,MATCH(TRIM(B5),'CLM &amp; IM Mapping'!$A$2:$A$270,0)),"Not Mapped"))</f>
        <v>Suhas N</v>
      </c>
      <c r="D5" s="67" t="str">
        <f aca="false" t="array" ref="D5:D5">IF(B5="","",IFERROR(INDEX('CLM &amp; IM Mapping'!$C$2:$C$270,MATCH(TRIM(B5),'CLM &amp; IM Mapping'!$A$2:$A$270,0)),"Not Mapped"))</f>
        <v>Aravind S</v>
      </c>
      <c r="E5" s="66" t="n">
        <v>7885</v>
      </c>
      <c r="F5" s="66" t="n">
        <v>3469</v>
      </c>
      <c r="G5" s="66" t="n">
        <v>0</v>
      </c>
      <c r="H5" s="66" t="n">
        <v>0</v>
      </c>
      <c r="I5" s="66" t="n">
        <v>4399</v>
      </c>
      <c r="J5" s="66" t="n">
        <v>0</v>
      </c>
      <c r="K5" s="66" t="n">
        <v>17</v>
      </c>
      <c r="L5" s="66" t="n">
        <v>4416</v>
      </c>
      <c r="M5" s="44"/>
      <c r="N5" s="44" t="s">
        <v>867</v>
      </c>
      <c r="O5" s="68" t="s">
        <v>868</v>
      </c>
      <c r="P5" s="68" t="s">
        <v>869</v>
      </c>
      <c r="Q5" s="64"/>
      <c r="R5" s="64"/>
      <c r="S5" s="64"/>
      <c r="T5" s="64"/>
      <c r="U5" s="64"/>
      <c r="V5" s="64"/>
      <c r="W5" s="64"/>
      <c r="X5" s="64"/>
      <c r="Y5" s="64"/>
      <c r="Z5" s="64"/>
      <c r="AA5" s="64"/>
    </row>
    <row r="6" customFormat="false" ht="15" hidden="false" customHeight="false" outlineLevel="0" collapsed="false">
      <c r="A6" s="65" t="n">
        <v>46303</v>
      </c>
      <c r="B6" s="69" t="s">
        <v>183</v>
      </c>
      <c r="C6" s="67" t="str">
        <f aca="false" t="array" ref="C6:C6">IF(B6="","",IFERROR(INDEX('CLM &amp; IM Mapping'!$B$2:$B$270,MATCH(TRIM(B6),'CLM &amp; IM Mapping'!$A$2:$A$270,0)),"Not Mapped"))</f>
        <v>Saddam Hussain</v>
      </c>
      <c r="D6" s="67" t="str">
        <f aca="false" t="array" ref="D6:D6">IF(B6="","",IFERROR(INDEX('CLM &amp; IM Mapping'!$C$2:$C$270,MATCH(TRIM(B6),'CLM &amp; IM Mapping'!$A$2:$A$270,0)),"Not Mapped"))</f>
        <v>Un Mapped</v>
      </c>
      <c r="E6" s="66" t="n">
        <v>4603</v>
      </c>
      <c r="F6" s="66" t="n">
        <v>449</v>
      </c>
      <c r="G6" s="66" t="n">
        <v>0</v>
      </c>
      <c r="H6" s="66" t="n">
        <v>4145</v>
      </c>
      <c r="I6" s="66" t="n">
        <v>0</v>
      </c>
      <c r="J6" s="66" t="n">
        <v>9</v>
      </c>
      <c r="K6" s="66" t="n">
        <v>0</v>
      </c>
      <c r="L6" s="66" t="n">
        <v>4154</v>
      </c>
      <c r="M6" s="44"/>
      <c r="N6" s="44" t="s">
        <v>862</v>
      </c>
      <c r="O6" s="68" t="s">
        <v>870</v>
      </c>
      <c r="P6" s="68" t="s">
        <v>871</v>
      </c>
      <c r="Q6" s="64"/>
      <c r="R6" s="64"/>
      <c r="S6" s="64"/>
      <c r="T6" s="64"/>
      <c r="U6" s="64"/>
      <c r="V6" s="64"/>
      <c r="W6" s="64"/>
      <c r="X6" s="64"/>
      <c r="Y6" s="64"/>
      <c r="Z6" s="64"/>
      <c r="AA6" s="64"/>
    </row>
    <row r="7" customFormat="false" ht="15" hidden="false" customHeight="false" outlineLevel="0" collapsed="false">
      <c r="A7" s="65" t="n">
        <v>46303</v>
      </c>
      <c r="B7" s="66" t="s">
        <v>205</v>
      </c>
      <c r="C7" s="67" t="str">
        <f aca="false" t="array" ref="C7:C7">IF(B7="","",IFERROR(INDEX('CLM &amp; IM Mapping'!$B$2:$B$270,MATCH(TRIM(B7),'CLM &amp; IM Mapping'!$A$2:$A$270,0)),"Not Mapped"))</f>
        <v>Akshay P</v>
      </c>
      <c r="D7" s="67" t="str">
        <f aca="false" t="array" ref="D7:D7">IF(B7="","",IFERROR(INDEX('CLM &amp; IM Mapping'!$C$2:$C$270,MATCH(TRIM(B7),'CLM &amp; IM Mapping'!$A$2:$A$270,0)),"Not Mapped"))</f>
        <v>Srittam Dhal</v>
      </c>
      <c r="E7" s="66" t="n">
        <v>6194</v>
      </c>
      <c r="F7" s="66" t="n">
        <v>0</v>
      </c>
      <c r="G7" s="66" t="n">
        <v>2195</v>
      </c>
      <c r="H7" s="66" t="n">
        <v>3796</v>
      </c>
      <c r="I7" s="66" t="n">
        <v>56</v>
      </c>
      <c r="J7" s="66" t="n">
        <v>114</v>
      </c>
      <c r="K7" s="66" t="n">
        <v>33</v>
      </c>
      <c r="L7" s="66" t="n">
        <v>3999</v>
      </c>
      <c r="M7" s="44"/>
      <c r="N7" s="44" t="s">
        <v>872</v>
      </c>
      <c r="O7" s="70" t="s">
        <v>873</v>
      </c>
      <c r="P7" s="68" t="s">
        <v>864</v>
      </c>
      <c r="Q7" s="64"/>
      <c r="R7" s="64"/>
      <c r="S7" s="64"/>
      <c r="T7" s="64"/>
      <c r="U7" s="64"/>
      <c r="V7" s="64"/>
      <c r="W7" s="64"/>
      <c r="X7" s="64"/>
      <c r="Y7" s="64"/>
      <c r="Z7" s="64"/>
      <c r="AA7" s="64"/>
    </row>
    <row r="8" customFormat="false" ht="25.35" hidden="false" customHeight="false" outlineLevel="0" collapsed="false">
      <c r="A8" s="65" t="n">
        <v>46303</v>
      </c>
      <c r="B8" s="66" t="s">
        <v>123</v>
      </c>
      <c r="C8" s="67" t="str">
        <f aca="false" t="array" ref="C8:C8">IF(B8="","",IFERROR(INDEX('CLM &amp; IM Mapping'!$B$2:$B$270,MATCH(TRIM(B8),'CLM &amp; IM Mapping'!$A$2:$A$270,0)),"Not Mapped"))</f>
        <v>Silambarasan E</v>
      </c>
      <c r="D8" s="67" t="str">
        <f aca="false" t="array" ref="D8:D8">IF(B8="","",IFERROR(INDEX('CLM &amp; IM Mapping'!$C$2:$C$270,MATCH(TRIM(B8),'CLM &amp; IM Mapping'!$A$2:$A$270,0)),"Not Mapped"))</f>
        <v>Arivind S</v>
      </c>
      <c r="E8" s="66" t="n">
        <v>4567</v>
      </c>
      <c r="F8" s="66" t="n">
        <v>116</v>
      </c>
      <c r="G8" s="66" t="n">
        <v>457</v>
      </c>
      <c r="H8" s="66" t="n">
        <v>3530</v>
      </c>
      <c r="I8" s="66" t="n">
        <v>2</v>
      </c>
      <c r="J8" s="66" t="n">
        <v>298</v>
      </c>
      <c r="K8" s="66" t="n">
        <v>164</v>
      </c>
      <c r="L8" s="66" t="n">
        <v>3994</v>
      </c>
      <c r="M8" s="44"/>
      <c r="N8" s="44" t="s">
        <v>874</v>
      </c>
      <c r="O8" s="68" t="s">
        <v>875</v>
      </c>
      <c r="P8" s="68" t="s">
        <v>876</v>
      </c>
      <c r="Q8" s="64"/>
      <c r="R8" s="64"/>
      <c r="S8" s="64"/>
      <c r="T8" s="64"/>
      <c r="U8" s="64"/>
      <c r="V8" s="64"/>
      <c r="W8" s="64"/>
      <c r="X8" s="64"/>
      <c r="Y8" s="64"/>
      <c r="Z8" s="64"/>
      <c r="AA8" s="64"/>
    </row>
    <row r="9" customFormat="false" ht="25.35" hidden="false" customHeight="false" outlineLevel="0" collapsed="false">
      <c r="A9" s="65" t="n">
        <v>46303</v>
      </c>
      <c r="B9" s="67" t="s">
        <v>83</v>
      </c>
      <c r="C9" s="67" t="str">
        <f aca="false" t="array" ref="C9:C9">IF(B9="","",IFERROR(INDEX('CLM &amp; IM Mapping'!$B$2:$B$270,MATCH(TRIM(B9),'CLM &amp; IM Mapping'!$A$2:$A$270,0)),"Not Mapped"))</f>
        <v>Keshav G</v>
      </c>
      <c r="D9" s="67" t="str">
        <f aca="false" t="array" ref="D9:D9">IF(B9="","",IFERROR(INDEX('CLM &amp; IM Mapping'!$C$2:$C$270,MATCH(TRIM(B9),'CLM &amp; IM Mapping'!$A$2:$A$270,0)),"Not Mapped"))</f>
        <v>Mohammed Akbar</v>
      </c>
      <c r="E9" s="66" t="n">
        <v>13848</v>
      </c>
      <c r="F9" s="66" t="n">
        <v>654</v>
      </c>
      <c r="G9" s="66" t="n">
        <v>9543</v>
      </c>
      <c r="H9" s="66" t="n">
        <v>3508</v>
      </c>
      <c r="I9" s="66" t="n">
        <v>0</v>
      </c>
      <c r="J9" s="66" t="n">
        <v>25</v>
      </c>
      <c r="K9" s="66" t="n">
        <v>118</v>
      </c>
      <c r="L9" s="66" t="n">
        <v>3651</v>
      </c>
      <c r="M9" s="44"/>
      <c r="N9" s="44" t="s">
        <v>874</v>
      </c>
      <c r="O9" s="68" t="s">
        <v>877</v>
      </c>
      <c r="P9" s="68" t="s">
        <v>878</v>
      </c>
      <c r="Q9" s="64"/>
      <c r="R9" s="64"/>
      <c r="S9" s="64"/>
      <c r="T9" s="64"/>
      <c r="U9" s="64"/>
      <c r="V9" s="64"/>
      <c r="W9" s="64"/>
      <c r="X9" s="64"/>
      <c r="Y9" s="64"/>
      <c r="Z9" s="64"/>
      <c r="AA9" s="64"/>
    </row>
    <row r="10" customFormat="false" ht="15" hidden="false" customHeight="false" outlineLevel="0" collapsed="false">
      <c r="A10" s="65" t="n">
        <v>46303</v>
      </c>
      <c r="B10" s="66" t="s">
        <v>173</v>
      </c>
      <c r="C10" s="67" t="str">
        <f aca="false" t="array" ref="C10:C10">IF(B10="","",IFERROR(INDEX('CLM &amp; IM Mapping'!$B$2:$B$270,MATCH(TRIM(B10),'CLM &amp; IM Mapping'!$A$2:$A$270,0)),"Not Mapped"))</f>
        <v>Akshay P</v>
      </c>
      <c r="D10" s="67" t="str">
        <f aca="false" t="array" ref="D10:D10">IF(B10="","",IFERROR(INDEX('CLM &amp; IM Mapping'!$C$2:$C$270,MATCH(TRIM(B10),'CLM &amp; IM Mapping'!$A$2:$A$270,0)),"Not Mapped"))</f>
        <v>Srittam Dhal</v>
      </c>
      <c r="E10" s="66" t="n">
        <v>4262</v>
      </c>
      <c r="F10" s="66" t="n">
        <v>985</v>
      </c>
      <c r="G10" s="66" t="n">
        <v>0</v>
      </c>
      <c r="H10" s="66" t="n">
        <v>3277</v>
      </c>
      <c r="I10" s="66" t="n">
        <v>0</v>
      </c>
      <c r="J10" s="66" t="n">
        <v>0</v>
      </c>
      <c r="K10" s="66" t="n">
        <v>0</v>
      </c>
      <c r="L10" s="66" t="n">
        <v>3277</v>
      </c>
      <c r="M10" s="44"/>
      <c r="N10" s="44" t="s">
        <v>862</v>
      </c>
      <c r="O10" s="68" t="s">
        <v>879</v>
      </c>
      <c r="P10" s="68" t="s">
        <v>880</v>
      </c>
      <c r="Q10" s="64"/>
      <c r="R10" s="64"/>
      <c r="S10" s="64"/>
      <c r="T10" s="64"/>
      <c r="U10" s="64"/>
      <c r="V10" s="64"/>
      <c r="W10" s="64"/>
      <c r="X10" s="64"/>
      <c r="Y10" s="64"/>
      <c r="Z10" s="64"/>
      <c r="AA10" s="64"/>
    </row>
    <row r="11" customFormat="false" ht="15" hidden="false" customHeight="false" outlineLevel="0" collapsed="false">
      <c r="A11" s="65" t="n">
        <v>46303</v>
      </c>
      <c r="B11" s="66" t="s">
        <v>254</v>
      </c>
      <c r="C11" s="67" t="str">
        <f aca="false" t="array" ref="C11:C11">IF(B11="","",IFERROR(INDEX('CLM &amp; IM Mapping'!$B$2:$B$270,MATCH(TRIM(B11),'CLM &amp; IM Mapping'!$A$2:$A$270,0)),"Not Mapped"))</f>
        <v>Basil Scariya</v>
      </c>
      <c r="D11" s="67" t="str">
        <f aca="false" t="array" ref="D11:D11">IF(B11="","",IFERROR(INDEX('CLM &amp; IM Mapping'!$C$2:$C$270,MATCH(TRIM(B11),'CLM &amp; IM Mapping'!$A$2:$A$270,0)),"Not Mapped"))</f>
        <v>Prakash BS</v>
      </c>
      <c r="E11" s="66" t="n">
        <v>3326</v>
      </c>
      <c r="F11" s="66" t="n">
        <v>0</v>
      </c>
      <c r="G11" s="66" t="n">
        <v>114</v>
      </c>
      <c r="H11" s="66" t="n">
        <v>3113</v>
      </c>
      <c r="I11" s="66" t="n">
        <v>17</v>
      </c>
      <c r="J11" s="66" t="n">
        <v>32</v>
      </c>
      <c r="K11" s="66" t="n">
        <v>50</v>
      </c>
      <c r="L11" s="66" t="n">
        <v>3212</v>
      </c>
      <c r="M11" s="44"/>
      <c r="N11" s="44" t="s">
        <v>862</v>
      </c>
      <c r="O11" s="71"/>
      <c r="P11" s="67"/>
      <c r="Q11" s="64"/>
      <c r="R11" s="64"/>
      <c r="S11" s="64"/>
      <c r="T11" s="64"/>
      <c r="U11" s="64"/>
      <c r="V11" s="64"/>
      <c r="W11" s="64"/>
      <c r="X11" s="64"/>
      <c r="Y11" s="64"/>
      <c r="Z11" s="64"/>
      <c r="AA11" s="64"/>
    </row>
    <row r="12" customFormat="false" ht="15" hidden="false" customHeight="false" outlineLevel="0" collapsed="false">
      <c r="A12" s="65" t="n">
        <v>46303</v>
      </c>
      <c r="B12" s="66" t="s">
        <v>144</v>
      </c>
      <c r="C12" s="67" t="str">
        <f aca="false" t="array" ref="C12:C12">IF(B12="","",IFERROR(INDEX('CLM &amp; IM Mapping'!$B$2:$B$270,MATCH(TRIM(B12),'CLM &amp; IM Mapping'!$A$2:$A$270,0)),"Not Mapped"))</f>
        <v>Mohaideen DH</v>
      </c>
      <c r="D12" s="67" t="str">
        <f aca="false" t="array" ref="D12:D12">IF(B12="","",IFERROR(INDEX('CLM &amp; IM Mapping'!$C$2:$C$270,MATCH(TRIM(B12),'CLM &amp; IM Mapping'!$A$2:$A$270,0)),"Not Mapped"))</f>
        <v>Mohammed Akbar</v>
      </c>
      <c r="E12" s="66" t="n">
        <v>5117</v>
      </c>
      <c r="F12" s="66" t="n">
        <v>0</v>
      </c>
      <c r="G12" s="66" t="n">
        <v>2425</v>
      </c>
      <c r="H12" s="66" t="n">
        <v>2610</v>
      </c>
      <c r="I12" s="66" t="n">
        <v>0</v>
      </c>
      <c r="J12" s="66" t="n">
        <v>72</v>
      </c>
      <c r="K12" s="66" t="n">
        <v>10</v>
      </c>
      <c r="L12" s="66" t="n">
        <v>2692</v>
      </c>
      <c r="M12" s="44"/>
      <c r="N12" s="44" t="s">
        <v>874</v>
      </c>
      <c r="O12" s="68" t="s">
        <v>881</v>
      </c>
      <c r="P12" s="68" t="s">
        <v>882</v>
      </c>
      <c r="Q12" s="64"/>
      <c r="R12" s="64"/>
      <c r="S12" s="64"/>
      <c r="T12" s="64"/>
      <c r="U12" s="64"/>
      <c r="V12" s="64"/>
      <c r="W12" s="64"/>
      <c r="X12" s="64"/>
      <c r="Y12" s="64"/>
      <c r="Z12" s="64"/>
      <c r="AA12" s="64"/>
    </row>
    <row r="13" customFormat="false" ht="25.35" hidden="false" customHeight="false" outlineLevel="0" collapsed="false">
      <c r="A13" s="65" t="n">
        <v>46303</v>
      </c>
      <c r="B13" s="66" t="s">
        <v>105</v>
      </c>
      <c r="C13" s="67" t="str">
        <f aca="false" t="array" ref="C13:C13">IF(B13="","",IFERROR(INDEX('CLM &amp; IM Mapping'!$B$2:$B$270,MATCH(TRIM(B13),'CLM &amp; IM Mapping'!$A$2:$A$270,0)),"Not Mapped"))</f>
        <v>Suhas N</v>
      </c>
      <c r="D13" s="67" t="str">
        <f aca="false" t="array" ref="D13:D13">IF(B13="","",IFERROR(INDEX('CLM &amp; IM Mapping'!$C$2:$C$270,MATCH(TRIM(B13),'CLM &amp; IM Mapping'!$A$2:$A$270,0)),"Not Mapped"))</f>
        <v>Aravind S</v>
      </c>
      <c r="E13" s="66" t="n">
        <v>10771</v>
      </c>
      <c r="F13" s="66" t="n">
        <v>8221</v>
      </c>
      <c r="G13" s="66" t="n">
        <v>0</v>
      </c>
      <c r="H13" s="66" t="n">
        <v>496</v>
      </c>
      <c r="I13" s="66" t="n">
        <v>2016</v>
      </c>
      <c r="J13" s="66" t="n">
        <v>0</v>
      </c>
      <c r="K13" s="66" t="n">
        <v>38</v>
      </c>
      <c r="L13" s="66" t="n">
        <v>2550</v>
      </c>
      <c r="M13" s="44"/>
      <c r="N13" s="44" t="s">
        <v>883</v>
      </c>
      <c r="O13" s="68" t="s">
        <v>884</v>
      </c>
      <c r="P13" s="68" t="s">
        <v>885</v>
      </c>
      <c r="Q13" s="64"/>
      <c r="R13" s="64"/>
      <c r="S13" s="64"/>
      <c r="T13" s="64"/>
      <c r="U13" s="64"/>
      <c r="V13" s="64"/>
      <c r="W13" s="64"/>
      <c r="X13" s="64"/>
      <c r="Y13" s="64"/>
      <c r="Z13" s="64"/>
      <c r="AA13" s="64"/>
    </row>
    <row r="14" customFormat="false" ht="15" hidden="false" customHeight="false" outlineLevel="0" collapsed="false">
      <c r="A14" s="65" t="n">
        <v>46303</v>
      </c>
      <c r="B14" s="66" t="s">
        <v>518</v>
      </c>
      <c r="C14" s="67" t="str">
        <f aca="false" t="array" ref="C14:C14">IF(B14="","",IFERROR(INDEX('CLM &amp; IM Mapping'!$B$2:$B$270,MATCH(TRIM(B14),'CLM &amp; IM Mapping'!$A$2:$A$270,0)),"Not Mapped"))</f>
        <v>Basil Scariya</v>
      </c>
      <c r="D14" s="67" t="str">
        <f aca="false" t="array" ref="D14:D14">IF(B14="","",IFERROR(INDEX('CLM &amp; IM Mapping'!$C$2:$C$270,MATCH(TRIM(B14),'CLM &amp; IM Mapping'!$A$2:$A$270,0)),"Not Mapped"))</f>
        <v>Prakash BS</v>
      </c>
      <c r="E14" s="66" t="n">
        <v>2464</v>
      </c>
      <c r="F14" s="66" t="n">
        <v>1</v>
      </c>
      <c r="G14" s="66" t="n">
        <v>0</v>
      </c>
      <c r="H14" s="66" t="n">
        <v>2222</v>
      </c>
      <c r="I14" s="66" t="n">
        <v>24</v>
      </c>
      <c r="J14" s="66" t="n">
        <v>217</v>
      </c>
      <c r="K14" s="66" t="n">
        <v>0</v>
      </c>
      <c r="L14" s="66" t="n">
        <v>2463</v>
      </c>
      <c r="M14" s="44"/>
      <c r="N14" s="44" t="s">
        <v>883</v>
      </c>
      <c r="O14" s="71"/>
      <c r="P14" s="67"/>
      <c r="Q14" s="64"/>
      <c r="R14" s="64"/>
      <c r="S14" s="64"/>
      <c r="T14" s="64"/>
      <c r="U14" s="64"/>
      <c r="V14" s="64"/>
      <c r="W14" s="64"/>
      <c r="X14" s="64"/>
      <c r="Y14" s="64"/>
      <c r="Z14" s="64"/>
      <c r="AA14" s="64"/>
    </row>
    <row r="15" customFormat="false" ht="15" hidden="false" customHeight="false" outlineLevel="0" collapsed="false">
      <c r="A15" s="65" t="n">
        <v>46303</v>
      </c>
      <c r="B15" s="66" t="s">
        <v>396</v>
      </c>
      <c r="C15" s="67" t="str">
        <f aca="false" t="array" ref="C15:C15">IF(B15="","",IFERROR(INDEX('CLM &amp; IM Mapping'!$B$2:$B$270,MATCH(TRIM(B15),'CLM &amp; IM Mapping'!$A$2:$A$270,0)),"Not Mapped"))</f>
        <v>Ravishankar gowda</v>
      </c>
      <c r="D15" s="67" t="str">
        <f aca="false" t="array" ref="D15:D15">IF(B15="","",IFERROR(INDEX('CLM &amp; IM Mapping'!$C$2:$C$270,MATCH(TRIM(B15),'CLM &amp; IM Mapping'!$A$2:$A$270,0)),"Not Mapped"))</f>
        <v>Kishor K</v>
      </c>
      <c r="E15" s="66" t="n">
        <v>2432</v>
      </c>
      <c r="F15" s="66" t="n">
        <v>0</v>
      </c>
      <c r="G15" s="66" t="n">
        <v>0</v>
      </c>
      <c r="H15" s="66" t="n">
        <v>2384</v>
      </c>
      <c r="I15" s="66" t="n">
        <v>0</v>
      </c>
      <c r="J15" s="66" t="n">
        <v>0</v>
      </c>
      <c r="K15" s="66" t="n">
        <v>48</v>
      </c>
      <c r="L15" s="66" t="n">
        <v>2432</v>
      </c>
      <c r="M15" s="44"/>
      <c r="N15" s="44" t="s">
        <v>886</v>
      </c>
      <c r="O15" s="68" t="s">
        <v>887</v>
      </c>
      <c r="P15" s="68" t="s">
        <v>888</v>
      </c>
      <c r="Q15" s="64"/>
      <c r="R15" s="64"/>
      <c r="S15" s="64"/>
      <c r="T15" s="64"/>
      <c r="U15" s="64"/>
      <c r="V15" s="64"/>
      <c r="W15" s="64"/>
      <c r="X15" s="64"/>
      <c r="Y15" s="64"/>
      <c r="Z15" s="64"/>
      <c r="AA15" s="64"/>
    </row>
    <row r="16" customFormat="false" ht="25.35" hidden="false" customHeight="false" outlineLevel="0" collapsed="false">
      <c r="A16" s="65" t="n">
        <v>46303</v>
      </c>
      <c r="B16" s="66" t="s">
        <v>208</v>
      </c>
      <c r="C16" s="67" t="str">
        <f aca="false" t="array" ref="C16:C16">IF(B16="","",IFERROR(INDEX('CLM &amp; IM Mapping'!$B$2:$B$270,MATCH(TRIM(B16),'CLM &amp; IM Mapping'!$A$2:$A$270,0)),"Not Mapped"))</f>
        <v>Silambarasan E</v>
      </c>
      <c r="D16" s="67" t="str">
        <f aca="false" t="array" ref="D16:D16">IF(B16="","",IFERROR(INDEX('CLM &amp; IM Mapping'!$C$2:$C$270,MATCH(TRIM(B16),'CLM &amp; IM Mapping'!$A$2:$A$270,0)),"Not Mapped"))</f>
        <v>Arivind S</v>
      </c>
      <c r="E16" s="66" t="n">
        <v>10473</v>
      </c>
      <c r="F16" s="66" t="n">
        <v>4904</v>
      </c>
      <c r="G16" s="66" t="n">
        <v>3220</v>
      </c>
      <c r="H16" s="66" t="n">
        <v>252</v>
      </c>
      <c r="I16" s="66" t="n">
        <v>1583</v>
      </c>
      <c r="J16" s="66" t="n">
        <v>0</v>
      </c>
      <c r="K16" s="66" t="n">
        <v>514</v>
      </c>
      <c r="L16" s="66" t="n">
        <v>2349</v>
      </c>
      <c r="M16" s="44"/>
      <c r="N16" s="44" t="s">
        <v>874</v>
      </c>
      <c r="O16" s="68" t="s">
        <v>889</v>
      </c>
      <c r="P16" s="68" t="s">
        <v>890</v>
      </c>
      <c r="Q16" s="64"/>
      <c r="R16" s="64"/>
      <c r="S16" s="64"/>
      <c r="T16" s="64"/>
      <c r="U16" s="64"/>
      <c r="V16" s="64"/>
      <c r="W16" s="64"/>
      <c r="X16" s="64"/>
      <c r="Y16" s="64"/>
      <c r="Z16" s="64"/>
      <c r="AA16" s="64"/>
    </row>
    <row r="17" customFormat="false" ht="15" hidden="false" customHeight="false" outlineLevel="0" collapsed="false">
      <c r="A17" s="65" t="n">
        <v>46303</v>
      </c>
      <c r="B17" s="66" t="s">
        <v>390</v>
      </c>
      <c r="C17" s="67" t="str">
        <f aca="false" t="array" ref="C17:C17">IF(B17="","",IFERROR(INDEX('CLM &amp; IM Mapping'!$B$2:$B$270,MATCH(TRIM(B17),'CLM &amp; IM Mapping'!$A$2:$A$270,0)),"Not Mapped"))</f>
        <v>Sundaresh S</v>
      </c>
      <c r="D17" s="67" t="str">
        <f aca="false" t="array" ref="D17:D17">IF(B17="","",IFERROR(INDEX('CLM &amp; IM Mapping'!$C$2:$C$270,MATCH(TRIM(B17),'CLM &amp; IM Mapping'!$A$2:$A$270,0)),"Not Mapped"))</f>
        <v>Un Mapped</v>
      </c>
      <c r="E17" s="66" t="n">
        <v>2342</v>
      </c>
      <c r="F17" s="66" t="n">
        <v>0</v>
      </c>
      <c r="G17" s="66" t="n">
        <v>0</v>
      </c>
      <c r="H17" s="66" t="n">
        <v>2305</v>
      </c>
      <c r="I17" s="66" t="n">
        <v>0</v>
      </c>
      <c r="J17" s="66" t="n">
        <v>0</v>
      </c>
      <c r="K17" s="66" t="n">
        <v>37</v>
      </c>
      <c r="L17" s="66" t="n">
        <v>2342</v>
      </c>
      <c r="M17" s="44"/>
      <c r="N17" s="44"/>
      <c r="O17" s="72"/>
      <c r="P17" s="67"/>
      <c r="Q17" s="64"/>
      <c r="R17" s="64"/>
      <c r="S17" s="64"/>
      <c r="T17" s="64"/>
      <c r="U17" s="64"/>
      <c r="V17" s="64"/>
      <c r="W17" s="64"/>
      <c r="X17" s="64"/>
      <c r="Y17" s="64"/>
      <c r="Z17" s="64"/>
      <c r="AA17" s="64"/>
    </row>
    <row r="18" customFormat="false" ht="15" hidden="false" customHeight="false" outlineLevel="0" collapsed="false">
      <c r="A18" s="65" t="n">
        <v>46303</v>
      </c>
      <c r="B18" s="66" t="s">
        <v>242</v>
      </c>
      <c r="C18" s="67" t="str">
        <f aca="false" t="array" ref="C18:C18">IF(B18="","",IFERROR(INDEX('CLM &amp; IM Mapping'!$B$2:$B$270,MATCH(TRIM(B18),'CLM &amp; IM Mapping'!$A$2:$A$270,0)),"Not Mapped"))</f>
        <v>Suhas N</v>
      </c>
      <c r="D18" s="67" t="str">
        <f aca="false" t="array" ref="D18:D18">IF(B18="","",IFERROR(INDEX('CLM &amp; IM Mapping'!$C$2:$C$270,MATCH(TRIM(B18),'CLM &amp; IM Mapping'!$A$2:$A$270,0)),"Not Mapped"))</f>
        <v>Aravind S</v>
      </c>
      <c r="E18" s="66" t="n">
        <v>2175</v>
      </c>
      <c r="F18" s="66" t="n">
        <v>0</v>
      </c>
      <c r="G18" s="66" t="n">
        <v>0</v>
      </c>
      <c r="H18" s="66" t="n">
        <v>0</v>
      </c>
      <c r="I18" s="66" t="n">
        <v>2173</v>
      </c>
      <c r="J18" s="66" t="n">
        <v>0</v>
      </c>
      <c r="K18" s="66" t="n">
        <v>2</v>
      </c>
      <c r="L18" s="66" t="n">
        <v>2175</v>
      </c>
      <c r="M18" s="44"/>
      <c r="N18" s="44" t="s">
        <v>859</v>
      </c>
      <c r="O18" s="71"/>
      <c r="P18" s="68" t="s">
        <v>891</v>
      </c>
      <c r="Q18" s="64"/>
      <c r="R18" s="64"/>
      <c r="S18" s="64"/>
      <c r="T18" s="64"/>
      <c r="U18" s="64"/>
      <c r="V18" s="64"/>
      <c r="W18" s="64"/>
      <c r="X18" s="64"/>
      <c r="Y18" s="64"/>
      <c r="Z18" s="64"/>
      <c r="AA18" s="64"/>
    </row>
    <row r="19" customFormat="false" ht="15" hidden="false" customHeight="false" outlineLevel="0" collapsed="false">
      <c r="A19" s="65" t="n">
        <v>46303</v>
      </c>
      <c r="B19" s="66" t="s">
        <v>523</v>
      </c>
      <c r="C19" s="67" t="str">
        <f aca="false" t="array" ref="C19:C19">IF(B19="","",IFERROR(INDEX('CLM &amp; IM Mapping'!$B$2:$B$270,MATCH(TRIM(B19),'CLM &amp; IM Mapping'!$A$2:$A$270,0)),"Not Mapped"))</f>
        <v>Sundaresh S</v>
      </c>
      <c r="D19" s="67" t="str">
        <f aca="false" t="array" ref="D19:D19">IF(B19="","",IFERROR(INDEX('CLM &amp; IM Mapping'!$C$2:$C$270,MATCH(TRIM(B19),'CLM &amp; IM Mapping'!$A$2:$A$270,0)),"Not Mapped"))</f>
        <v>Un Mapped</v>
      </c>
      <c r="E19" s="66" t="n">
        <v>2148</v>
      </c>
      <c r="F19" s="66" t="n">
        <v>0</v>
      </c>
      <c r="G19" s="66" t="n">
        <v>0</v>
      </c>
      <c r="H19" s="66" t="n">
        <v>2148</v>
      </c>
      <c r="I19" s="66" t="n">
        <v>0</v>
      </c>
      <c r="J19" s="66" t="n">
        <v>0</v>
      </c>
      <c r="K19" s="66" t="n">
        <v>0</v>
      </c>
      <c r="L19" s="66" t="n">
        <v>2148</v>
      </c>
      <c r="M19" s="44"/>
      <c r="N19" s="44"/>
      <c r="O19" s="72"/>
      <c r="P19" s="67"/>
      <c r="Q19" s="64"/>
      <c r="R19" s="64"/>
      <c r="S19" s="64"/>
      <c r="T19" s="64"/>
      <c r="U19" s="64"/>
      <c r="V19" s="64"/>
      <c r="W19" s="64"/>
      <c r="X19" s="64"/>
      <c r="Y19" s="64"/>
      <c r="Z19" s="64"/>
      <c r="AA19" s="64"/>
    </row>
    <row r="20" customFormat="false" ht="15" hidden="false" customHeight="false" outlineLevel="0" collapsed="false">
      <c r="A20" s="65" t="n">
        <v>46303</v>
      </c>
      <c r="B20" s="66" t="s">
        <v>47</v>
      </c>
      <c r="C20" s="67" t="str">
        <f aca="false" t="array" ref="C20:C20">IF(B20="","",IFERROR(INDEX('CLM &amp; IM Mapping'!$B$2:$B$270,MATCH(TRIM(B20),'CLM &amp; IM Mapping'!$A$2:$A$270,0)),"Not Mapped"))</f>
        <v>Saddam Hussain</v>
      </c>
      <c r="D20" s="67" t="str">
        <f aca="false" t="array" ref="D20:D20">IF(B20="","",IFERROR(INDEX('CLM &amp; IM Mapping'!$C$2:$C$270,MATCH(TRIM(B20),'CLM &amp; IM Mapping'!$A$2:$A$270,0)),"Not Mapped"))</f>
        <v>Un Mapped</v>
      </c>
      <c r="E20" s="66" t="n">
        <v>5095</v>
      </c>
      <c r="F20" s="66" t="n">
        <v>0</v>
      </c>
      <c r="G20" s="66" t="n">
        <v>3166</v>
      </c>
      <c r="H20" s="66" t="n">
        <v>1526</v>
      </c>
      <c r="I20" s="66" t="n">
        <v>0</v>
      </c>
      <c r="J20" s="66" t="n">
        <v>203</v>
      </c>
      <c r="K20" s="66" t="n">
        <v>200</v>
      </c>
      <c r="L20" s="66" t="n">
        <v>1929</v>
      </c>
      <c r="M20" s="44"/>
      <c r="N20" s="44"/>
      <c r="O20" s="72"/>
      <c r="P20" s="67"/>
      <c r="Q20" s="64"/>
      <c r="R20" s="64"/>
      <c r="S20" s="64"/>
      <c r="T20" s="64"/>
      <c r="U20" s="64"/>
      <c r="V20" s="64"/>
      <c r="W20" s="64"/>
      <c r="X20" s="64"/>
      <c r="Y20" s="64"/>
      <c r="Z20" s="64"/>
      <c r="AA20" s="64"/>
    </row>
    <row r="21" customFormat="false" ht="15" hidden="false" customHeight="false" outlineLevel="0" collapsed="false">
      <c r="A21" s="65" t="n">
        <v>46303</v>
      </c>
      <c r="B21" s="66" t="s">
        <v>218</v>
      </c>
      <c r="C21" s="67" t="str">
        <f aca="false" t="array" ref="C21:C21">IF(B21="","",IFERROR(INDEX('CLM &amp; IM Mapping'!$B$2:$B$270,MATCH(TRIM(B21),'CLM &amp; IM Mapping'!$A$2:$A$270,0)),"Not Mapped"))</f>
        <v>Ashwath S</v>
      </c>
      <c r="D21" s="67" t="str">
        <f aca="false" t="array" ref="D21:D21">IF(B21="","",IFERROR(INDEX('CLM &amp; IM Mapping'!$C$2:$C$270,MATCH(TRIM(B21),'CLM &amp; IM Mapping'!$A$2:$A$270,0)),"Not Mapped"))</f>
        <v>Kantha Kumar</v>
      </c>
      <c r="E21" s="66" t="n">
        <v>1900</v>
      </c>
      <c r="F21" s="66" t="n">
        <v>0</v>
      </c>
      <c r="G21" s="66" t="n">
        <v>0</v>
      </c>
      <c r="H21" s="66" t="n">
        <v>1900</v>
      </c>
      <c r="I21" s="66" t="n">
        <v>0</v>
      </c>
      <c r="J21" s="66" t="n">
        <v>0</v>
      </c>
      <c r="K21" s="66" t="n">
        <v>0</v>
      </c>
      <c r="L21" s="66" t="n">
        <v>1900</v>
      </c>
      <c r="M21" s="44"/>
      <c r="N21" s="44"/>
      <c r="O21" s="72"/>
      <c r="P21" s="67"/>
      <c r="Q21" s="64"/>
      <c r="R21" s="64"/>
      <c r="S21" s="64"/>
      <c r="T21" s="64"/>
      <c r="U21" s="64"/>
      <c r="V21" s="64"/>
      <c r="W21" s="64"/>
      <c r="X21" s="64"/>
      <c r="Y21" s="64"/>
      <c r="Z21" s="64"/>
      <c r="AA21" s="64"/>
    </row>
    <row r="22" customFormat="false" ht="15" hidden="false" customHeight="false" outlineLevel="0" collapsed="false">
      <c r="A22" s="65" t="n">
        <v>46303</v>
      </c>
      <c r="B22" s="66" t="s">
        <v>265</v>
      </c>
      <c r="C22" s="67" t="str">
        <f aca="false" t="array" ref="C22:C22">IF(B22="","",IFERROR(INDEX('CLM &amp; IM Mapping'!$B$2:$B$270,MATCH(TRIM(B22),'CLM &amp; IM Mapping'!$A$2:$A$270,0)),"Not Mapped"))</f>
        <v>Adhavan Subramani</v>
      </c>
      <c r="D22" s="67" t="str">
        <f aca="false" t="array" ref="D22:D22">IF(B22="","",IFERROR(INDEX('CLM &amp; IM Mapping'!$C$2:$C$270,MATCH(TRIM(B22),'CLM &amp; IM Mapping'!$A$2:$A$270,0)),"Not Mapped"))</f>
        <v>Mohammed Akbar</v>
      </c>
      <c r="E22" s="66" t="n">
        <v>5560</v>
      </c>
      <c r="F22" s="66" t="n">
        <v>3674</v>
      </c>
      <c r="G22" s="66" t="n">
        <v>0</v>
      </c>
      <c r="H22" s="66" t="n">
        <v>0</v>
      </c>
      <c r="I22" s="66" t="n">
        <v>1395</v>
      </c>
      <c r="J22" s="66" t="n">
        <v>73</v>
      </c>
      <c r="K22" s="66" t="n">
        <v>418</v>
      </c>
      <c r="L22" s="66" t="n">
        <v>1886</v>
      </c>
      <c r="M22" s="44"/>
      <c r="N22" s="44" t="s">
        <v>862</v>
      </c>
      <c r="O22" s="68" t="s">
        <v>892</v>
      </c>
      <c r="P22" s="68" t="s">
        <v>893</v>
      </c>
      <c r="Q22" s="64"/>
      <c r="R22" s="64"/>
      <c r="S22" s="64"/>
      <c r="T22" s="64"/>
      <c r="U22" s="64"/>
      <c r="V22" s="64"/>
      <c r="W22" s="64"/>
      <c r="X22" s="64"/>
      <c r="Y22" s="64"/>
      <c r="Z22" s="64"/>
      <c r="AA22" s="64"/>
    </row>
    <row r="23" customFormat="false" ht="15" hidden="false" customHeight="false" outlineLevel="0" collapsed="false">
      <c r="A23" s="65" t="n">
        <v>46303</v>
      </c>
      <c r="B23" s="66" t="s">
        <v>257</v>
      </c>
      <c r="C23" s="67" t="str">
        <f aca="false" t="array" ref="C23:C23">IF(B23="","",IFERROR(INDEX('CLM &amp; IM Mapping'!$B$2:$B$270,MATCH(TRIM(B23),'CLM &amp; IM Mapping'!$A$2:$A$270,0)),"Not Mapped"))</f>
        <v>Raghavendra Vernekar</v>
      </c>
      <c r="D23" s="67" t="str">
        <f aca="false" t="array" ref="D23:D23">IF(B23="","",IFERROR(INDEX('CLM &amp; IM Mapping'!$C$2:$C$270,MATCH(TRIM(B23),'CLM &amp; IM Mapping'!$A$2:$A$270,0)),"Not Mapped"))</f>
        <v>Prakash BS</v>
      </c>
      <c r="E23" s="66" t="n">
        <v>6985</v>
      </c>
      <c r="F23" s="66" t="n">
        <v>1326</v>
      </c>
      <c r="G23" s="66" t="n">
        <v>3794</v>
      </c>
      <c r="H23" s="66" t="n">
        <v>0</v>
      </c>
      <c r="I23" s="66" t="n">
        <v>1865</v>
      </c>
      <c r="J23" s="66" t="n">
        <v>0</v>
      </c>
      <c r="K23" s="66" t="n">
        <v>0</v>
      </c>
      <c r="L23" s="66" t="n">
        <v>1865</v>
      </c>
      <c r="M23" s="44"/>
      <c r="N23" s="44" t="s">
        <v>886</v>
      </c>
      <c r="O23" s="71"/>
      <c r="P23" s="67"/>
      <c r="Q23" s="64"/>
      <c r="R23" s="64"/>
      <c r="S23" s="64"/>
      <c r="T23" s="64"/>
      <c r="U23" s="64"/>
      <c r="V23" s="64"/>
      <c r="W23" s="64"/>
      <c r="X23" s="64"/>
      <c r="Y23" s="64"/>
      <c r="Z23" s="64"/>
      <c r="AA23" s="64"/>
    </row>
    <row r="24" customFormat="false" ht="15" hidden="false" customHeight="false" outlineLevel="0" collapsed="false">
      <c r="A24" s="65" t="n">
        <v>46303</v>
      </c>
      <c r="B24" s="66" t="s">
        <v>80</v>
      </c>
      <c r="C24" s="67" t="str">
        <f aca="false" t="array" ref="C24:C24">IF(B24="","",IFERROR(INDEX('CLM &amp; IM Mapping'!$B$2:$B$270,MATCH(TRIM(B24),'CLM &amp; IM Mapping'!$A$2:$A$270,0)),"Not Mapped"))</f>
        <v>Sundaresh S</v>
      </c>
      <c r="D24" s="67" t="str">
        <f aca="false" t="array" ref="D24:D24">IF(B24="","",IFERROR(INDEX('CLM &amp; IM Mapping'!$C$2:$C$270,MATCH(TRIM(B24),'CLM &amp; IM Mapping'!$A$2:$A$270,0)),"Not Mapped"))</f>
        <v>Un Mapped</v>
      </c>
      <c r="E24" s="66" t="n">
        <v>1863</v>
      </c>
      <c r="F24" s="66" t="n">
        <v>0</v>
      </c>
      <c r="G24" s="66" t="n">
        <v>0</v>
      </c>
      <c r="H24" s="66" t="n">
        <v>1821</v>
      </c>
      <c r="I24" s="66" t="n">
        <v>1</v>
      </c>
      <c r="J24" s="66" t="n">
        <v>0</v>
      </c>
      <c r="K24" s="66" t="n">
        <v>41</v>
      </c>
      <c r="L24" s="66" t="n">
        <v>1863</v>
      </c>
      <c r="M24" s="44"/>
      <c r="N24" s="44"/>
      <c r="O24" s="72"/>
      <c r="P24" s="67"/>
      <c r="Q24" s="64"/>
      <c r="R24" s="64"/>
      <c r="S24" s="64"/>
      <c r="T24" s="64"/>
      <c r="U24" s="64"/>
      <c r="V24" s="64"/>
      <c r="W24" s="64"/>
      <c r="X24" s="64"/>
      <c r="Y24" s="64"/>
      <c r="Z24" s="64"/>
      <c r="AA24" s="64"/>
    </row>
    <row r="25" customFormat="false" ht="15" hidden="false" customHeight="false" outlineLevel="0" collapsed="false">
      <c r="A25" s="65" t="n">
        <v>46303</v>
      </c>
      <c r="B25" s="66" t="s">
        <v>195</v>
      </c>
      <c r="C25" s="67" t="str">
        <f aca="false" t="array" ref="C25:C25">IF(B25="","",IFERROR(INDEX('CLM &amp; IM Mapping'!$B$2:$B$270,MATCH(TRIM(B25),'CLM &amp; IM Mapping'!$A$2:$A$270,0)),"Not Mapped"))</f>
        <v>Adhavan Subramani</v>
      </c>
      <c r="D25" s="67" t="str">
        <f aca="false" t="array" ref="D25:D25">IF(B25="","",IFERROR(INDEX('CLM &amp; IM Mapping'!$C$2:$C$270,MATCH(TRIM(B25),'CLM &amp; IM Mapping'!$A$2:$A$270,0)),"Not Mapped"))</f>
        <v>Mohammed Akbar</v>
      </c>
      <c r="E25" s="66" t="n">
        <v>2503</v>
      </c>
      <c r="F25" s="66" t="n">
        <v>0</v>
      </c>
      <c r="G25" s="66" t="n">
        <v>706</v>
      </c>
      <c r="H25" s="66" t="n">
        <v>1797</v>
      </c>
      <c r="I25" s="66" t="n">
        <v>0</v>
      </c>
      <c r="J25" s="66" t="n">
        <v>0</v>
      </c>
      <c r="K25" s="66" t="n">
        <v>0</v>
      </c>
      <c r="L25" s="66" t="n">
        <v>1797</v>
      </c>
      <c r="M25" s="44"/>
      <c r="N25" s="44" t="s">
        <v>886</v>
      </c>
      <c r="O25" s="68" t="s">
        <v>894</v>
      </c>
      <c r="P25" s="68" t="s">
        <v>893</v>
      </c>
      <c r="Q25" s="64"/>
      <c r="R25" s="64"/>
      <c r="S25" s="64"/>
      <c r="T25" s="64"/>
      <c r="U25" s="64"/>
      <c r="V25" s="64"/>
      <c r="W25" s="64"/>
      <c r="X25" s="64"/>
      <c r="Y25" s="64"/>
      <c r="Z25" s="64"/>
      <c r="AA25" s="64"/>
    </row>
    <row r="26" customFormat="false" ht="15" hidden="false" customHeight="false" outlineLevel="0" collapsed="false">
      <c r="A26" s="65" t="n">
        <v>46303</v>
      </c>
      <c r="B26" s="66" t="s">
        <v>165</v>
      </c>
      <c r="C26" s="67" t="str">
        <f aca="false" t="array" ref="C26:C26">IF(B26="","",IFERROR(INDEX('CLM &amp; IM Mapping'!$B$2:$B$270,MATCH(TRIM(B26),'CLM &amp; IM Mapping'!$A$2:$A$270,0)),"Not Mapped"))</f>
        <v>Akshay P</v>
      </c>
      <c r="D26" s="67" t="str">
        <f aca="false" t="array" ref="D26:D26">IF(B26="","",IFERROR(INDEX('CLM &amp; IM Mapping'!$C$2:$C$270,MATCH(TRIM(B26),'CLM &amp; IM Mapping'!$A$2:$A$270,0)),"Not Mapped"))</f>
        <v>Srittam Dhal</v>
      </c>
      <c r="E26" s="66" t="n">
        <v>6434</v>
      </c>
      <c r="F26" s="66" t="n">
        <v>2129</v>
      </c>
      <c r="G26" s="66" t="n">
        <v>2535</v>
      </c>
      <c r="H26" s="66" t="n">
        <v>0</v>
      </c>
      <c r="I26" s="66" t="n">
        <v>979</v>
      </c>
      <c r="J26" s="66" t="n">
        <v>0</v>
      </c>
      <c r="K26" s="66" t="n">
        <v>791</v>
      </c>
      <c r="L26" s="66" t="n">
        <v>1770</v>
      </c>
      <c r="M26" s="44"/>
      <c r="N26" s="44"/>
      <c r="O26" s="72"/>
      <c r="P26" s="67"/>
      <c r="Q26" s="64"/>
      <c r="R26" s="64"/>
      <c r="S26" s="64"/>
      <c r="T26" s="64"/>
      <c r="U26" s="64"/>
      <c r="V26" s="64"/>
      <c r="W26" s="64"/>
      <c r="X26" s="64"/>
      <c r="Y26" s="64"/>
      <c r="Z26" s="64"/>
      <c r="AA26" s="64"/>
    </row>
    <row r="27" customFormat="false" ht="15" hidden="false" customHeight="false" outlineLevel="0" collapsed="false">
      <c r="A27" s="65" t="n">
        <v>46303</v>
      </c>
      <c r="B27" s="66" t="s">
        <v>455</v>
      </c>
      <c r="C27" s="67" t="str">
        <f aca="false" t="array" ref="C27:C27">IF(B27="","",IFERROR(INDEX('CLM &amp; IM Mapping'!$B$2:$B$270,MATCH(TRIM(B27),'CLM &amp; IM Mapping'!$A$2:$A$270,0)),"Not Mapped"))</f>
        <v>Rizwan Ahmed</v>
      </c>
      <c r="D27" s="67" t="str">
        <f aca="false" t="array" ref="D27:D27">IF(B27="","",IFERROR(INDEX('CLM &amp; IM Mapping'!$C$2:$C$270,MATCH(TRIM(B27),'CLM &amp; IM Mapping'!$A$2:$A$270,0)),"Not Mapped"))</f>
        <v>Un Mapped</v>
      </c>
      <c r="E27" s="66" t="n">
        <v>1715</v>
      </c>
      <c r="F27" s="66" t="n">
        <v>0</v>
      </c>
      <c r="G27" s="66" t="n">
        <v>0</v>
      </c>
      <c r="H27" s="66" t="n">
        <v>1695</v>
      </c>
      <c r="I27" s="66" t="n">
        <v>0</v>
      </c>
      <c r="J27" s="66" t="n">
        <v>20</v>
      </c>
      <c r="K27" s="66" t="n">
        <v>0</v>
      </c>
      <c r="L27" s="66" t="n">
        <v>1715</v>
      </c>
      <c r="M27" s="44"/>
      <c r="N27" s="44"/>
      <c r="O27" s="72"/>
      <c r="P27" s="67"/>
      <c r="Q27" s="64"/>
      <c r="R27" s="64"/>
      <c r="S27" s="64"/>
      <c r="T27" s="64"/>
      <c r="U27" s="64"/>
      <c r="V27" s="64"/>
      <c r="W27" s="64"/>
      <c r="X27" s="64"/>
      <c r="Y27" s="64"/>
      <c r="Z27" s="64"/>
      <c r="AA27" s="64"/>
    </row>
    <row r="28" customFormat="false" ht="15" hidden="false" customHeight="false" outlineLevel="0" collapsed="false">
      <c r="A28" s="65" t="n">
        <v>46303</v>
      </c>
      <c r="B28" s="66" t="s">
        <v>483</v>
      </c>
      <c r="C28" s="67" t="str">
        <f aca="false" t="array" ref="C28:C28">IF(B28="","",IFERROR(INDEX('CLM &amp; IM Mapping'!$B$2:$B$270,MATCH(TRIM(B28),'CLM &amp; IM Mapping'!$A$2:$A$270,0)),"Not Mapped"))</f>
        <v>Sundaresh S</v>
      </c>
      <c r="D28" s="67" t="str">
        <f aca="false" t="array" ref="D28:D28">IF(B28="","",IFERROR(INDEX('CLM &amp; IM Mapping'!$C$2:$C$270,MATCH(TRIM(B28),'CLM &amp; IM Mapping'!$A$2:$A$270,0)),"Not Mapped"))</f>
        <v>Un Mapped</v>
      </c>
      <c r="E28" s="66" t="n">
        <v>1621</v>
      </c>
      <c r="F28" s="66" t="n">
        <v>14</v>
      </c>
      <c r="G28" s="66" t="n">
        <v>0</v>
      </c>
      <c r="H28" s="66" t="n">
        <v>1365</v>
      </c>
      <c r="I28" s="66" t="n">
        <v>0</v>
      </c>
      <c r="J28" s="66" t="n">
        <v>210</v>
      </c>
      <c r="K28" s="66" t="n">
        <v>32</v>
      </c>
      <c r="L28" s="66" t="n">
        <v>1607</v>
      </c>
      <c r="M28" s="44"/>
      <c r="N28" s="44"/>
      <c r="O28" s="72"/>
      <c r="P28" s="67"/>
      <c r="Q28" s="64"/>
      <c r="R28" s="64"/>
      <c r="S28" s="64"/>
      <c r="T28" s="64"/>
      <c r="U28" s="64"/>
      <c r="V28" s="64"/>
      <c r="W28" s="64"/>
      <c r="X28" s="64"/>
      <c r="Y28" s="64"/>
      <c r="Z28" s="64"/>
      <c r="AA28" s="64"/>
    </row>
    <row r="29" customFormat="false" ht="15" hidden="false" customHeight="false" outlineLevel="0" collapsed="false">
      <c r="A29" s="65" t="n">
        <v>46303</v>
      </c>
      <c r="B29" s="66" t="s">
        <v>245</v>
      </c>
      <c r="C29" s="67" t="str">
        <f aca="false" t="array" ref="C29:C29">IF(B29="","",IFERROR(INDEX('CLM &amp; IM Mapping'!$B$2:$B$270,MATCH(TRIM(B29),'CLM &amp; IM Mapping'!$A$2:$A$270,0)),"Not Mapped"))</f>
        <v>Adhavan Subramani</v>
      </c>
      <c r="D29" s="67" t="str">
        <f aca="false" t="array" ref="D29:D29">IF(B29="","",IFERROR(INDEX('CLM &amp; IM Mapping'!$C$2:$C$270,MATCH(TRIM(B29),'CLM &amp; IM Mapping'!$A$2:$A$270,0)),"Not Mapped"))</f>
        <v>Mohammed Akbar</v>
      </c>
      <c r="E29" s="66" t="n">
        <v>9165</v>
      </c>
      <c r="F29" s="66" t="n">
        <v>2359</v>
      </c>
      <c r="G29" s="66" t="n">
        <v>5236</v>
      </c>
      <c r="H29" s="66" t="n">
        <v>0</v>
      </c>
      <c r="I29" s="66" t="n">
        <v>1570</v>
      </c>
      <c r="J29" s="66" t="n">
        <v>0</v>
      </c>
      <c r="K29" s="66" t="n">
        <v>0</v>
      </c>
      <c r="L29" s="66" t="n">
        <v>1570</v>
      </c>
      <c r="M29" s="44"/>
      <c r="N29" s="44" t="s">
        <v>862</v>
      </c>
      <c r="O29" s="20" t="s">
        <v>895</v>
      </c>
      <c r="P29" s="68" t="s">
        <v>896</v>
      </c>
      <c r="Q29" s="64"/>
      <c r="R29" s="64"/>
      <c r="S29" s="64"/>
      <c r="T29" s="64"/>
      <c r="U29" s="64"/>
      <c r="V29" s="64"/>
      <c r="W29" s="64"/>
      <c r="X29" s="64"/>
      <c r="Y29" s="64"/>
      <c r="Z29" s="64"/>
      <c r="AA29" s="64"/>
    </row>
    <row r="30" customFormat="false" ht="15" hidden="false" customHeight="false" outlineLevel="0" collapsed="false">
      <c r="A30" s="65" t="n">
        <v>46303</v>
      </c>
      <c r="B30" s="66" t="s">
        <v>411</v>
      </c>
      <c r="C30" s="67" t="str">
        <f aca="false" t="array" ref="C30:C30">IF(B30="","",IFERROR(INDEX('CLM &amp; IM Mapping'!$B$2:$B$270,MATCH(TRIM(B30),'CLM &amp; IM Mapping'!$A$2:$A$270,0)),"Not Mapped"))</f>
        <v>Vishnu V</v>
      </c>
      <c r="D30" s="67" t="str">
        <f aca="false" t="array" ref="D30:D30">IF(B30="","",IFERROR(INDEX('CLM &amp; IM Mapping'!$C$2:$C$270,MATCH(TRIM(B30),'CLM &amp; IM Mapping'!$A$2:$A$270,0)),"Not Mapped"))</f>
        <v>Arivind S</v>
      </c>
      <c r="E30" s="66" t="n">
        <v>1554</v>
      </c>
      <c r="F30" s="66" t="n">
        <v>0</v>
      </c>
      <c r="G30" s="66" t="n">
        <v>0</v>
      </c>
      <c r="H30" s="66" t="n">
        <v>1554</v>
      </c>
      <c r="I30" s="66" t="n">
        <v>0</v>
      </c>
      <c r="J30" s="66" t="n">
        <v>0</v>
      </c>
      <c r="K30" s="66" t="n">
        <v>0</v>
      </c>
      <c r="L30" s="66" t="n">
        <v>1554</v>
      </c>
      <c r="M30" s="44"/>
      <c r="N30" s="44"/>
      <c r="O30" s="72"/>
      <c r="P30" s="67"/>
      <c r="Q30" s="64"/>
      <c r="R30" s="64"/>
      <c r="S30" s="64"/>
      <c r="T30" s="64"/>
      <c r="U30" s="64"/>
      <c r="V30" s="64"/>
      <c r="W30" s="64"/>
      <c r="X30" s="64"/>
      <c r="Y30" s="64"/>
      <c r="Z30" s="64"/>
      <c r="AA30" s="64"/>
    </row>
    <row r="31" customFormat="false" ht="15" hidden="false" customHeight="false" outlineLevel="0" collapsed="false">
      <c r="A31" s="65" t="n">
        <v>46303</v>
      </c>
      <c r="B31" s="66" t="s">
        <v>355</v>
      </c>
      <c r="C31" s="67" t="str">
        <f aca="false" t="array" ref="C31:C31">IF(B31="","",IFERROR(INDEX('CLM &amp; IM Mapping'!$B$2:$B$270,MATCH(TRIM(B31),'CLM &amp; IM Mapping'!$A$2:$A$270,0)),"Not Mapped"))</f>
        <v>Arun Raj</v>
      </c>
      <c r="D31" s="67" t="str">
        <f aca="false" t="array" ref="D31:D31">IF(B31="","",IFERROR(INDEX('CLM &amp; IM Mapping'!$C$2:$C$270,MATCH(TRIM(B31),'CLM &amp; IM Mapping'!$A$2:$A$270,0)),"Not Mapped"))</f>
        <v>Simon Manoharan</v>
      </c>
      <c r="E31" s="66" t="n">
        <v>1549</v>
      </c>
      <c r="F31" s="66" t="n">
        <v>0</v>
      </c>
      <c r="G31" s="66" t="n">
        <v>0</v>
      </c>
      <c r="H31" s="66" t="n">
        <v>0</v>
      </c>
      <c r="I31" s="66" t="n">
        <v>0</v>
      </c>
      <c r="J31" s="66" t="n">
        <v>1262</v>
      </c>
      <c r="K31" s="66" t="n">
        <v>287</v>
      </c>
      <c r="L31" s="66" t="n">
        <v>1549</v>
      </c>
      <c r="M31" s="44"/>
      <c r="N31" s="44"/>
      <c r="O31" s="72"/>
      <c r="P31" s="67"/>
      <c r="Q31" s="64"/>
      <c r="R31" s="64"/>
      <c r="S31" s="64"/>
      <c r="T31" s="64"/>
      <c r="U31" s="64"/>
      <c r="V31" s="64"/>
      <c r="W31" s="64"/>
      <c r="X31" s="64"/>
      <c r="Y31" s="64"/>
      <c r="Z31" s="64"/>
      <c r="AA31" s="64"/>
    </row>
    <row r="32" customFormat="false" ht="15" hidden="false" customHeight="false" outlineLevel="0" collapsed="false">
      <c r="A32" s="65" t="n">
        <v>46303</v>
      </c>
      <c r="B32" s="66" t="s">
        <v>162</v>
      </c>
      <c r="C32" s="67" t="str">
        <f aca="false" t="array" ref="C32:C32">IF(B32="","",IFERROR(INDEX('CLM &amp; IM Mapping'!$B$2:$B$270,MATCH(TRIM(B32),'CLM &amp; IM Mapping'!$A$2:$A$270,0)),"Not Mapped"))</f>
        <v>Ashwath S</v>
      </c>
      <c r="D32" s="67" t="str">
        <f aca="false" t="array" ref="D32:D32">IF(B32="","",IFERROR(INDEX('CLM &amp; IM Mapping'!$C$2:$C$270,MATCH(TRIM(B32),'CLM &amp; IM Mapping'!$A$2:$A$270,0)),"Not Mapped"))</f>
        <v>Kantha Kumar</v>
      </c>
      <c r="E32" s="66" t="n">
        <v>1541</v>
      </c>
      <c r="F32" s="66" t="n">
        <v>0</v>
      </c>
      <c r="G32" s="66" t="n">
        <v>0</v>
      </c>
      <c r="H32" s="66" t="n">
        <v>1526</v>
      </c>
      <c r="I32" s="66" t="n">
        <v>7</v>
      </c>
      <c r="J32" s="66" t="n">
        <v>8</v>
      </c>
      <c r="K32" s="66" t="n">
        <v>0</v>
      </c>
      <c r="L32" s="66" t="n">
        <v>1541</v>
      </c>
      <c r="M32" s="44"/>
      <c r="N32" s="44"/>
      <c r="O32" s="72"/>
      <c r="P32" s="67"/>
      <c r="Q32" s="64"/>
      <c r="R32" s="64"/>
      <c r="S32" s="64"/>
      <c r="T32" s="64"/>
      <c r="U32" s="64"/>
      <c r="V32" s="64"/>
      <c r="W32" s="64"/>
      <c r="X32" s="64"/>
      <c r="Y32" s="64"/>
      <c r="Z32" s="64"/>
      <c r="AA32" s="64"/>
    </row>
    <row r="33" customFormat="false" ht="15" hidden="false" customHeight="false" outlineLevel="0" collapsed="false">
      <c r="A33" s="65" t="n">
        <v>46303</v>
      </c>
      <c r="B33" s="66" t="s">
        <v>525</v>
      </c>
      <c r="C33" s="67" t="str">
        <f aca="false" t="array" ref="C33:C33">IF(B33="","",IFERROR(INDEX('CLM &amp; IM Mapping'!$B$2:$B$270,MATCH(TRIM(B33),'CLM &amp; IM Mapping'!$A$2:$A$270,0)),"Not Mapped"))</f>
        <v>Saddam Hussain</v>
      </c>
      <c r="D33" s="67" t="str">
        <f aca="false" t="array" ref="D33:D33">IF(B33="","",IFERROR(INDEX('CLM &amp; IM Mapping'!$C$2:$C$270,MATCH(TRIM(B33),'CLM &amp; IM Mapping'!$A$2:$A$270,0)),"Not Mapped"))</f>
        <v>Un Mapped</v>
      </c>
      <c r="E33" s="66" t="n">
        <v>1452</v>
      </c>
      <c r="F33" s="66" t="n">
        <v>0</v>
      </c>
      <c r="G33" s="66" t="n">
        <v>0</v>
      </c>
      <c r="H33" s="66" t="n">
        <v>1452</v>
      </c>
      <c r="I33" s="66" t="n">
        <v>0</v>
      </c>
      <c r="J33" s="66" t="n">
        <v>0</v>
      </c>
      <c r="K33" s="66" t="n">
        <v>0</v>
      </c>
      <c r="L33" s="66" t="n">
        <v>1452</v>
      </c>
      <c r="M33" s="44"/>
      <c r="N33" s="44"/>
      <c r="O33" s="72"/>
      <c r="P33" s="67"/>
      <c r="Q33" s="64"/>
      <c r="R33" s="64"/>
      <c r="S33" s="64"/>
      <c r="T33" s="64"/>
      <c r="U33" s="64"/>
      <c r="V33" s="64"/>
      <c r="W33" s="64"/>
      <c r="X33" s="64"/>
      <c r="Y33" s="64"/>
      <c r="Z33" s="64"/>
      <c r="AA33" s="64"/>
    </row>
    <row r="34" customFormat="false" ht="15" hidden="false" customHeight="false" outlineLevel="0" collapsed="false">
      <c r="A34" s="65" t="n">
        <v>46303</v>
      </c>
      <c r="B34" s="66" t="s">
        <v>111</v>
      </c>
      <c r="C34" s="67" t="str">
        <f aca="false" t="array" ref="C34:C34">IF(B34="","",IFERROR(INDEX('CLM &amp; IM Mapping'!$B$2:$B$270,MATCH(TRIM(B34),'CLM &amp; IM Mapping'!$A$2:$A$270,0)),"Not Mapped"))</f>
        <v>Narasimhamurthy R</v>
      </c>
      <c r="D34" s="67" t="str">
        <f aca="false" t="array" ref="D34:D34">IF(B34="","",IFERROR(INDEX('CLM &amp; IM Mapping'!$C$2:$C$270,MATCH(TRIM(B34),'CLM &amp; IM Mapping'!$A$2:$A$270,0)),"Not Mapped"))</f>
        <v>Kishor K</v>
      </c>
      <c r="E34" s="66" t="n">
        <v>7663</v>
      </c>
      <c r="F34" s="66" t="n">
        <v>6264</v>
      </c>
      <c r="G34" s="66" t="n">
        <v>0</v>
      </c>
      <c r="H34" s="66" t="n">
        <v>0</v>
      </c>
      <c r="I34" s="66" t="n">
        <v>1399</v>
      </c>
      <c r="J34" s="66" t="n">
        <v>0</v>
      </c>
      <c r="K34" s="66" t="n">
        <v>0</v>
      </c>
      <c r="L34" s="66" t="n">
        <v>1399</v>
      </c>
      <c r="M34" s="44"/>
      <c r="N34" s="44" t="s">
        <v>859</v>
      </c>
      <c r="O34" s="68" t="s">
        <v>897</v>
      </c>
      <c r="P34" s="68" t="s">
        <v>898</v>
      </c>
      <c r="Q34" s="64"/>
      <c r="R34" s="64"/>
      <c r="S34" s="64"/>
      <c r="T34" s="64"/>
      <c r="U34" s="64"/>
      <c r="V34" s="64"/>
      <c r="W34" s="64"/>
      <c r="X34" s="64"/>
      <c r="Y34" s="64"/>
      <c r="Z34" s="64"/>
      <c r="AA34" s="64"/>
    </row>
    <row r="35" customFormat="false" ht="15" hidden="false" customHeight="false" outlineLevel="0" collapsed="false">
      <c r="A35" s="65" t="n">
        <v>46303</v>
      </c>
      <c r="B35" s="66" t="s">
        <v>460</v>
      </c>
      <c r="C35" s="67" t="str">
        <f aca="false" t="array" ref="C35:C35">IF(B35="","",IFERROR(INDEX('CLM &amp; IM Mapping'!$B$2:$B$270,MATCH(TRIM(B35),'CLM &amp; IM Mapping'!$A$2:$A$270,0)),"Not Mapped"))</f>
        <v>Vijay M</v>
      </c>
      <c r="D35" s="67" t="str">
        <f aca="false" t="array" ref="D35:D35">IF(B35="","",IFERROR(INDEX('CLM &amp; IM Mapping'!$C$2:$C$270,MATCH(TRIM(B35),'CLM &amp; IM Mapping'!$A$2:$A$270,0)),"Not Mapped"))</f>
        <v>Kantha Kumar</v>
      </c>
      <c r="E35" s="66" t="n">
        <v>7267</v>
      </c>
      <c r="F35" s="66" t="n">
        <v>0</v>
      </c>
      <c r="G35" s="66" t="n">
        <v>6000</v>
      </c>
      <c r="H35" s="66" t="n">
        <v>0</v>
      </c>
      <c r="I35" s="66" t="n">
        <v>519</v>
      </c>
      <c r="J35" s="66" t="n">
        <v>715</v>
      </c>
      <c r="K35" s="66" t="n">
        <v>33</v>
      </c>
      <c r="L35" s="66" t="n">
        <v>1267</v>
      </c>
      <c r="M35" s="44"/>
      <c r="N35" s="44"/>
      <c r="O35" s="72"/>
      <c r="P35" s="67"/>
      <c r="Q35" s="64"/>
      <c r="R35" s="64"/>
      <c r="S35" s="64"/>
      <c r="T35" s="64"/>
      <c r="U35" s="64"/>
      <c r="V35" s="64"/>
      <c r="W35" s="64"/>
      <c r="X35" s="64"/>
      <c r="Y35" s="64"/>
      <c r="Z35" s="64"/>
      <c r="AA35" s="64"/>
    </row>
    <row r="36" customFormat="false" ht="15" hidden="false" customHeight="false" outlineLevel="0" collapsed="false">
      <c r="A36" s="65" t="n">
        <v>46303</v>
      </c>
      <c r="B36" s="66" t="s">
        <v>153</v>
      </c>
      <c r="C36" s="67" t="str">
        <f aca="false" t="array" ref="C36:C36">IF(B36="","",IFERROR(INDEX('CLM &amp; IM Mapping'!$B$2:$B$270,MATCH(TRIM(B36),'CLM &amp; IM Mapping'!$A$2:$A$270,0)),"Not Mapped"))</f>
        <v>Ashwath S</v>
      </c>
      <c r="D36" s="67" t="str">
        <f aca="false" t="array" ref="D36:D36">IF(B36="","",IFERROR(INDEX('CLM &amp; IM Mapping'!$C$2:$C$270,MATCH(TRIM(B36),'CLM &amp; IM Mapping'!$A$2:$A$270,0)),"Not Mapped"))</f>
        <v>Kantha Kumar</v>
      </c>
      <c r="E36" s="66" t="n">
        <v>1262</v>
      </c>
      <c r="F36" s="66" t="n">
        <v>0</v>
      </c>
      <c r="G36" s="66" t="n">
        <v>0</v>
      </c>
      <c r="H36" s="66" t="n">
        <v>1259</v>
      </c>
      <c r="I36" s="66" t="n">
        <v>3</v>
      </c>
      <c r="J36" s="66" t="n">
        <v>0</v>
      </c>
      <c r="K36" s="66" t="n">
        <v>0</v>
      </c>
      <c r="L36" s="66" t="n">
        <v>1262</v>
      </c>
      <c r="M36" s="44"/>
      <c r="N36" s="44"/>
      <c r="O36" s="72"/>
      <c r="P36" s="67"/>
      <c r="Q36" s="64"/>
      <c r="R36" s="64"/>
      <c r="S36" s="64"/>
      <c r="T36" s="64"/>
      <c r="U36" s="64"/>
      <c r="V36" s="64"/>
      <c r="W36" s="64"/>
      <c r="X36" s="64"/>
      <c r="Y36" s="64"/>
      <c r="Z36" s="64"/>
      <c r="AA36" s="64"/>
    </row>
    <row r="37" customFormat="false" ht="15" hidden="false" customHeight="false" outlineLevel="0" collapsed="false">
      <c r="A37" s="65" t="n">
        <v>46303</v>
      </c>
      <c r="B37" s="66" t="s">
        <v>150</v>
      </c>
      <c r="C37" s="67" t="str">
        <f aca="false" t="array" ref="C37:C37">IF(B37="","",IFERROR(INDEX('CLM &amp; IM Mapping'!$B$2:$B$270,MATCH(TRIM(B37),'CLM &amp; IM Mapping'!$A$2:$A$270,0)),"Not Mapped"))</f>
        <v>Akshay P</v>
      </c>
      <c r="D37" s="67" t="str">
        <f aca="false" t="array" ref="D37:D37">IF(B37="","",IFERROR(INDEX('CLM &amp; IM Mapping'!$C$2:$C$270,MATCH(TRIM(B37),'CLM &amp; IM Mapping'!$A$2:$A$270,0)),"Not Mapped"))</f>
        <v>Srittam Dhal</v>
      </c>
      <c r="E37" s="66" t="n">
        <v>6844</v>
      </c>
      <c r="F37" s="66" t="n">
        <v>0</v>
      </c>
      <c r="G37" s="66" t="n">
        <v>5609</v>
      </c>
      <c r="H37" s="66" t="n">
        <v>0</v>
      </c>
      <c r="I37" s="66" t="n">
        <v>950</v>
      </c>
      <c r="J37" s="66" t="n">
        <v>79</v>
      </c>
      <c r="K37" s="66" t="n">
        <v>206</v>
      </c>
      <c r="L37" s="66" t="n">
        <v>1235</v>
      </c>
      <c r="M37" s="44"/>
      <c r="N37" s="44"/>
      <c r="O37" s="72"/>
      <c r="P37" s="67"/>
      <c r="Q37" s="64"/>
      <c r="R37" s="64"/>
      <c r="S37" s="64"/>
      <c r="T37" s="64"/>
      <c r="U37" s="64"/>
      <c r="V37" s="64"/>
      <c r="W37" s="64"/>
      <c r="X37" s="64"/>
      <c r="Y37" s="64"/>
      <c r="Z37" s="64"/>
      <c r="AA37" s="64"/>
    </row>
    <row r="38" customFormat="false" ht="15" hidden="false" customHeight="false" outlineLevel="0" collapsed="false">
      <c r="A38" s="65" t="n">
        <v>46303</v>
      </c>
      <c r="B38" s="66" t="s">
        <v>470</v>
      </c>
      <c r="C38" s="67" t="str">
        <f aca="false" t="array" ref="C38:C38">IF(B38="","",IFERROR(INDEX('CLM &amp; IM Mapping'!$B$2:$B$270,MATCH(TRIM(B38),'CLM &amp; IM Mapping'!$A$2:$A$270,0)),"Not Mapped"))</f>
        <v>Vishnu V</v>
      </c>
      <c r="D38" s="67" t="str">
        <f aca="false" t="array" ref="D38:D38">IF(B38="","",IFERROR(INDEX('CLM &amp; IM Mapping'!$C$2:$C$270,MATCH(TRIM(B38),'CLM &amp; IM Mapping'!$A$2:$A$270,0)),"Not Mapped"))</f>
        <v>Arivind S</v>
      </c>
      <c r="E38" s="66" t="n">
        <v>1212</v>
      </c>
      <c r="F38" s="66" t="n">
        <v>0</v>
      </c>
      <c r="G38" s="66" t="n">
        <v>0</v>
      </c>
      <c r="H38" s="66" t="n">
        <v>1212</v>
      </c>
      <c r="I38" s="66" t="n">
        <v>0</v>
      </c>
      <c r="J38" s="66" t="n">
        <v>0</v>
      </c>
      <c r="K38" s="66" t="n">
        <v>0</v>
      </c>
      <c r="L38" s="66" t="n">
        <v>1212</v>
      </c>
      <c r="M38" s="44"/>
      <c r="N38" s="44"/>
      <c r="O38" s="72"/>
      <c r="P38" s="67"/>
      <c r="Q38" s="64"/>
      <c r="R38" s="64"/>
      <c r="S38" s="64"/>
      <c r="T38" s="64"/>
      <c r="U38" s="64"/>
      <c r="V38" s="64"/>
      <c r="W38" s="64"/>
      <c r="X38" s="64"/>
      <c r="Y38" s="64"/>
      <c r="Z38" s="64"/>
      <c r="AA38" s="64"/>
    </row>
    <row r="39" customFormat="false" ht="15" hidden="false" customHeight="false" outlineLevel="0" collapsed="false">
      <c r="A39" s="65" t="n">
        <v>46303</v>
      </c>
      <c r="B39" s="66" t="s">
        <v>418</v>
      </c>
      <c r="C39" s="67" t="str">
        <f aca="false" t="array" ref="C39:C39">IF(B39="","",IFERROR(INDEX('CLM &amp; IM Mapping'!$B$2:$B$270,MATCH(TRIM(B39),'CLM &amp; IM Mapping'!$A$2:$A$270,0)),"Not Mapped"))</f>
        <v>Vishnu V</v>
      </c>
      <c r="D39" s="67" t="str">
        <f aca="false" t="array" ref="D39:D39">IF(B39="","",IFERROR(INDEX('CLM &amp; IM Mapping'!$C$2:$C$270,MATCH(TRIM(B39),'CLM &amp; IM Mapping'!$A$2:$A$270,0)),"Not Mapped"))</f>
        <v>Arivind S</v>
      </c>
      <c r="E39" s="66" t="n">
        <v>1171</v>
      </c>
      <c r="F39" s="66" t="n">
        <v>0</v>
      </c>
      <c r="G39" s="66" t="n">
        <v>0</v>
      </c>
      <c r="H39" s="66" t="n">
        <v>1171</v>
      </c>
      <c r="I39" s="66" t="n">
        <v>0</v>
      </c>
      <c r="J39" s="66" t="n">
        <v>0</v>
      </c>
      <c r="K39" s="66" t="n">
        <v>0</v>
      </c>
      <c r="L39" s="66" t="n">
        <v>1171</v>
      </c>
      <c r="M39" s="44"/>
      <c r="N39" s="44"/>
      <c r="O39" s="72"/>
      <c r="P39" s="67"/>
      <c r="Q39" s="64"/>
      <c r="R39" s="64"/>
      <c r="S39" s="64"/>
      <c r="T39" s="64"/>
      <c r="U39" s="64"/>
      <c r="V39" s="64"/>
      <c r="W39" s="64"/>
      <c r="X39" s="64"/>
      <c r="Y39" s="64"/>
      <c r="Z39" s="64"/>
      <c r="AA39" s="64"/>
    </row>
    <row r="40" customFormat="false" ht="15" hidden="false" customHeight="false" outlineLevel="0" collapsed="false">
      <c r="A40" s="65" t="n">
        <v>46303</v>
      </c>
      <c r="B40" s="66" t="s">
        <v>181</v>
      </c>
      <c r="C40" s="67" t="str">
        <f aca="false" t="array" ref="C40:C40">IF(B40="","",IFERROR(INDEX('CLM &amp; IM Mapping'!$B$2:$B$270,MATCH(TRIM(B40),'CLM &amp; IM Mapping'!$A$2:$A$270,0)),"Not Mapped"))</f>
        <v>Silambarasan E</v>
      </c>
      <c r="D40" s="67" t="str">
        <f aca="false" t="array" ref="D40:D40">IF(B40="","",IFERROR(INDEX('CLM &amp; IM Mapping'!$C$2:$C$270,MATCH(TRIM(B40),'CLM &amp; IM Mapping'!$A$2:$A$270,0)),"Not Mapped"))</f>
        <v>Arivind S</v>
      </c>
      <c r="E40" s="66" t="n">
        <v>1165</v>
      </c>
      <c r="F40" s="66" t="n">
        <v>0</v>
      </c>
      <c r="G40" s="66" t="n">
        <v>0</v>
      </c>
      <c r="H40" s="66" t="n">
        <v>1020</v>
      </c>
      <c r="I40" s="66" t="n">
        <v>0</v>
      </c>
      <c r="J40" s="66" t="n">
        <v>102</v>
      </c>
      <c r="K40" s="66" t="n">
        <v>43</v>
      </c>
      <c r="L40" s="66" t="n">
        <v>1165</v>
      </c>
      <c r="M40" s="44"/>
      <c r="N40" s="44"/>
      <c r="O40" s="72"/>
      <c r="P40" s="67"/>
      <c r="Q40" s="64"/>
      <c r="R40" s="64"/>
      <c r="S40" s="64"/>
      <c r="T40" s="64"/>
      <c r="U40" s="64"/>
      <c r="V40" s="64"/>
      <c r="W40" s="64"/>
      <c r="X40" s="64"/>
      <c r="Y40" s="64"/>
      <c r="Z40" s="64"/>
      <c r="AA40" s="64"/>
    </row>
    <row r="41" customFormat="false" ht="15" hidden="false" customHeight="false" outlineLevel="0" collapsed="false">
      <c r="A41" s="65" t="n">
        <v>46303</v>
      </c>
      <c r="B41" s="66" t="s">
        <v>147</v>
      </c>
      <c r="C41" s="67" t="str">
        <f aca="false" t="array" ref="C41:C41">IF(B41="","",IFERROR(INDEX('CLM &amp; IM Mapping'!$B$2:$B$270,MATCH(TRIM(B41),'CLM &amp; IM Mapping'!$A$2:$A$270,0)),"Not Mapped"))</f>
        <v>Manjunatha V</v>
      </c>
      <c r="D41" s="67" t="str">
        <f aca="false" t="array" ref="D41:D41">IF(B41="","",IFERROR(INDEX('CLM &amp; IM Mapping'!$C$2:$C$270,MATCH(TRIM(B41),'CLM &amp; IM Mapping'!$A$2:$A$270,0)),"Not Mapped"))</f>
        <v>Un Mapped</v>
      </c>
      <c r="E41" s="66" t="n">
        <v>7293</v>
      </c>
      <c r="F41" s="66" t="n">
        <v>1789</v>
      </c>
      <c r="G41" s="66" t="n">
        <v>4353</v>
      </c>
      <c r="H41" s="66" t="n">
        <v>61</v>
      </c>
      <c r="I41" s="66" t="n">
        <v>809</v>
      </c>
      <c r="J41" s="66" t="n">
        <v>120</v>
      </c>
      <c r="K41" s="66" t="n">
        <v>161</v>
      </c>
      <c r="L41" s="66" t="n">
        <v>1151</v>
      </c>
      <c r="M41" s="44"/>
      <c r="N41" s="44"/>
      <c r="O41" s="72"/>
      <c r="P41" s="67"/>
      <c r="Q41" s="64"/>
      <c r="R41" s="64"/>
      <c r="S41" s="64"/>
      <c r="T41" s="64"/>
      <c r="U41" s="64"/>
      <c r="V41" s="64"/>
      <c r="W41" s="64"/>
      <c r="X41" s="64"/>
      <c r="Y41" s="64"/>
      <c r="Z41" s="64"/>
      <c r="AA41" s="64"/>
    </row>
    <row r="42" customFormat="false" ht="15" hidden="false" customHeight="false" outlineLevel="0" collapsed="false">
      <c r="A42" s="65" t="n">
        <v>46303</v>
      </c>
      <c r="B42" s="66" t="s">
        <v>412</v>
      </c>
      <c r="C42" s="67" t="str">
        <f aca="false" t="array" ref="C42:C42">IF(B42="","",IFERROR(INDEX('CLM &amp; IM Mapping'!$B$2:$B$270,MATCH(TRIM(B42),'CLM &amp; IM Mapping'!$A$2:$A$270,0)),"Not Mapped"))</f>
        <v>Richard Harris</v>
      </c>
      <c r="D42" s="67" t="str">
        <f aca="false" t="array" ref="D42:D42">IF(B42="","",IFERROR(INDEX('CLM &amp; IM Mapping'!$C$2:$C$270,MATCH(TRIM(B42),'CLM &amp; IM Mapping'!$A$2:$A$270,0)),"Not Mapped"))</f>
        <v>Kantha Kumar</v>
      </c>
      <c r="E42" s="66" t="n">
        <v>3250</v>
      </c>
      <c r="F42" s="66" t="n">
        <v>2150</v>
      </c>
      <c r="G42" s="66" t="n">
        <v>15</v>
      </c>
      <c r="H42" s="66" t="n">
        <v>735</v>
      </c>
      <c r="I42" s="66" t="n">
        <v>350</v>
      </c>
      <c r="J42" s="66" t="n">
        <v>0</v>
      </c>
      <c r="K42" s="66" t="n">
        <v>0</v>
      </c>
      <c r="L42" s="66" t="n">
        <v>1085</v>
      </c>
      <c r="M42" s="44"/>
      <c r="N42" s="44"/>
      <c r="O42" s="72"/>
      <c r="P42" s="67"/>
      <c r="Q42" s="64"/>
      <c r="R42" s="64"/>
      <c r="S42" s="64"/>
      <c r="T42" s="64"/>
      <c r="U42" s="64"/>
      <c r="V42" s="64"/>
      <c r="W42" s="64"/>
      <c r="X42" s="64"/>
      <c r="Y42" s="64"/>
      <c r="Z42" s="64"/>
      <c r="AA42" s="64"/>
    </row>
    <row r="43" customFormat="false" ht="15" hidden="false" customHeight="false" outlineLevel="0" collapsed="false">
      <c r="A43" s="65" t="n">
        <v>46303</v>
      </c>
      <c r="B43" s="66" t="s">
        <v>53</v>
      </c>
      <c r="C43" s="67" t="str">
        <f aca="false" t="array" ref="C43:C43">IF(B43="","",IFERROR(INDEX('CLM &amp; IM Mapping'!$B$2:$B$270,MATCH(TRIM(B43),'CLM &amp; IM Mapping'!$A$2:$A$270,0)),"Not Mapped"))</f>
        <v>Richard Harris</v>
      </c>
      <c r="D43" s="67" t="str">
        <f aca="false" t="array" ref="D43:D43">IF(B43="","",IFERROR(INDEX('CLM &amp; IM Mapping'!$C$2:$C$270,MATCH(TRIM(B43),'CLM &amp; IM Mapping'!$A$2:$A$270,0)),"Not Mapped"))</f>
        <v>Kantha Kumar</v>
      </c>
      <c r="E43" s="66" t="n">
        <v>4120</v>
      </c>
      <c r="F43" s="66" t="n">
        <v>0</v>
      </c>
      <c r="G43" s="66" t="n">
        <v>3079</v>
      </c>
      <c r="H43" s="66" t="n">
        <v>0</v>
      </c>
      <c r="I43" s="66" t="n">
        <v>0</v>
      </c>
      <c r="J43" s="66" t="n">
        <v>542</v>
      </c>
      <c r="K43" s="66" t="n">
        <v>499</v>
      </c>
      <c r="L43" s="66" t="n">
        <v>1041</v>
      </c>
      <c r="M43" s="44"/>
      <c r="N43" s="44"/>
      <c r="O43" s="72"/>
      <c r="P43" s="67"/>
      <c r="Q43" s="64"/>
      <c r="R43" s="64"/>
      <c r="S43" s="64"/>
      <c r="T43" s="64"/>
      <c r="U43" s="64"/>
      <c r="V43" s="64"/>
      <c r="W43" s="64"/>
      <c r="X43" s="64"/>
      <c r="Y43" s="64"/>
      <c r="Z43" s="64"/>
      <c r="AA43" s="64"/>
    </row>
    <row r="44" customFormat="false" ht="15" hidden="false" customHeight="false" outlineLevel="0" collapsed="false">
      <c r="A44" s="65" t="n">
        <v>46303</v>
      </c>
      <c r="B44" s="66" t="s">
        <v>304</v>
      </c>
      <c r="C44" s="67" t="str">
        <f aca="false" t="array" ref="C44:C44">IF(B44="","",IFERROR(INDEX('CLM &amp; IM Mapping'!$B$2:$B$270,MATCH(TRIM(B44),'CLM &amp; IM Mapping'!$A$2:$A$270,0)),"Not Mapped"))</f>
        <v>John Britto</v>
      </c>
      <c r="D44" s="67" t="str">
        <f aca="false" t="array" ref="D44:D44">IF(B44="","",IFERROR(INDEX('CLM &amp; IM Mapping'!$C$2:$C$270,MATCH(TRIM(B44),'CLM &amp; IM Mapping'!$A$2:$A$270,0)),"Not Mapped"))</f>
        <v>Aravind S</v>
      </c>
      <c r="E44" s="66" t="n">
        <v>2299</v>
      </c>
      <c r="F44" s="66" t="n">
        <v>0</v>
      </c>
      <c r="G44" s="66" t="n">
        <v>1271</v>
      </c>
      <c r="H44" s="66" t="n">
        <v>1028</v>
      </c>
      <c r="I44" s="66" t="n">
        <v>0</v>
      </c>
      <c r="J44" s="66" t="n">
        <v>0</v>
      </c>
      <c r="K44" s="66" t="n">
        <v>0</v>
      </c>
      <c r="L44" s="66" t="n">
        <v>1028</v>
      </c>
      <c r="M44" s="44"/>
      <c r="N44" s="44"/>
      <c r="O44" s="72"/>
      <c r="P44" s="67"/>
      <c r="Q44" s="64"/>
      <c r="R44" s="64"/>
      <c r="S44" s="64"/>
      <c r="T44" s="64"/>
      <c r="U44" s="64"/>
      <c r="V44" s="64"/>
      <c r="W44" s="64"/>
      <c r="X44" s="64"/>
      <c r="Y44" s="64"/>
      <c r="Z44" s="64"/>
      <c r="AA44" s="64"/>
    </row>
    <row r="45" customFormat="false" ht="15" hidden="false" customHeight="false" outlineLevel="0" collapsed="false">
      <c r="A45" s="65" t="n">
        <v>46303</v>
      </c>
      <c r="B45" s="66" t="s">
        <v>433</v>
      </c>
      <c r="C45" s="67" t="str">
        <f aca="false" t="array" ref="C45:C45">IF(B45="","",IFERROR(INDEX('CLM &amp; IM Mapping'!$B$2:$B$270,MATCH(TRIM(B45),'CLM &amp; IM Mapping'!$A$2:$A$270,0)),"Not Mapped"))</f>
        <v>Silambarasan E</v>
      </c>
      <c r="D45" s="67" t="str">
        <f aca="false" t="array" ref="D45:D45">IF(B45="","",IFERROR(INDEX('CLM &amp; IM Mapping'!$C$2:$C$270,MATCH(TRIM(B45),'CLM &amp; IM Mapping'!$A$2:$A$270,0)),"Not Mapped"))</f>
        <v>Arivind S</v>
      </c>
      <c r="E45" s="66" t="n">
        <v>914</v>
      </c>
      <c r="F45" s="66" t="n">
        <v>0</v>
      </c>
      <c r="G45" s="66" t="n">
        <v>0</v>
      </c>
      <c r="H45" s="66" t="n">
        <v>914</v>
      </c>
      <c r="I45" s="66" t="n">
        <v>0</v>
      </c>
      <c r="J45" s="66" t="n">
        <v>0</v>
      </c>
      <c r="K45" s="66" t="n">
        <v>0</v>
      </c>
      <c r="L45" s="66" t="n">
        <v>914</v>
      </c>
      <c r="M45" s="44"/>
      <c r="N45" s="44"/>
      <c r="O45" s="72"/>
      <c r="P45" s="67"/>
      <c r="Q45" s="64"/>
      <c r="R45" s="64"/>
      <c r="S45" s="64"/>
      <c r="T45" s="64"/>
      <c r="U45" s="64"/>
      <c r="V45" s="64"/>
      <c r="W45" s="64"/>
      <c r="X45" s="64"/>
      <c r="Y45" s="64"/>
      <c r="Z45" s="64"/>
      <c r="AA45" s="64"/>
    </row>
    <row r="46" customFormat="false" ht="15" hidden="false" customHeight="false" outlineLevel="0" collapsed="false">
      <c r="A46" s="65" t="n">
        <v>46303</v>
      </c>
      <c r="B46" s="66" t="s">
        <v>492</v>
      </c>
      <c r="C46" s="67" t="str">
        <f aca="false" t="array" ref="C46:C46">IF(B46="","",IFERROR(INDEX('CLM &amp; IM Mapping'!$B$2:$B$270,MATCH(TRIM(B46),'CLM &amp; IM Mapping'!$A$2:$A$270,0)),"Not Mapped"))</f>
        <v>Balaji G</v>
      </c>
      <c r="D46" s="67" t="str">
        <f aca="false" t="array" ref="D46:D46">IF(B46="","",IFERROR(INDEX('CLM &amp; IM Mapping'!$C$2:$C$270,MATCH(TRIM(B46),'CLM &amp; IM Mapping'!$A$2:$A$270,0)),"Not Mapped"))</f>
        <v>Mohammed Akbar</v>
      </c>
      <c r="E46" s="66" t="n">
        <v>899</v>
      </c>
      <c r="F46" s="66" t="n">
        <v>0</v>
      </c>
      <c r="G46" s="66" t="n">
        <v>0</v>
      </c>
      <c r="H46" s="66" t="n">
        <v>899</v>
      </c>
      <c r="I46" s="66" t="n">
        <v>0</v>
      </c>
      <c r="J46" s="66" t="n">
        <v>0</v>
      </c>
      <c r="K46" s="66" t="n">
        <v>0</v>
      </c>
      <c r="L46" s="66" t="n">
        <v>899</v>
      </c>
      <c r="M46" s="44"/>
      <c r="N46" s="44" t="s">
        <v>859</v>
      </c>
      <c r="O46" s="68" t="s">
        <v>899</v>
      </c>
      <c r="P46" s="68" t="s">
        <v>900</v>
      </c>
      <c r="Q46" s="64"/>
      <c r="R46" s="64"/>
      <c r="S46" s="64"/>
      <c r="T46" s="64"/>
      <c r="U46" s="64"/>
      <c r="V46" s="64"/>
      <c r="W46" s="64"/>
      <c r="X46" s="64"/>
      <c r="Y46" s="64"/>
      <c r="Z46" s="64"/>
      <c r="AA46" s="64"/>
    </row>
    <row r="47" customFormat="false" ht="15" hidden="false" customHeight="false" outlineLevel="0" collapsed="false">
      <c r="A47" s="65" t="n">
        <v>46303</v>
      </c>
      <c r="B47" s="66" t="s">
        <v>24</v>
      </c>
      <c r="C47" s="67" t="str">
        <f aca="false" t="array" ref="C47:C47">IF(B47="","",IFERROR(INDEX('CLM &amp; IM Mapping'!$B$2:$B$270,MATCH(TRIM(B47),'CLM &amp; IM Mapping'!$A$2:$A$270,0)),"Not Mapped"))</f>
        <v>Arun Raj</v>
      </c>
      <c r="D47" s="67" t="str">
        <f aca="false" t="array" ref="D47:D47">IF(B47="","",IFERROR(INDEX('CLM &amp; IM Mapping'!$C$2:$C$270,MATCH(TRIM(B47),'CLM &amp; IM Mapping'!$A$2:$A$270,0)),"Not Mapped"))</f>
        <v>Simon Manoharan</v>
      </c>
      <c r="E47" s="66" t="n">
        <v>4043</v>
      </c>
      <c r="F47" s="66" t="n">
        <v>0</v>
      </c>
      <c r="G47" s="66" t="n">
        <v>956</v>
      </c>
      <c r="H47" s="66" t="n">
        <v>2220</v>
      </c>
      <c r="I47" s="66" t="n">
        <v>0</v>
      </c>
      <c r="J47" s="66" t="n">
        <v>661</v>
      </c>
      <c r="K47" s="66" t="n">
        <v>206</v>
      </c>
      <c r="L47" s="66" t="n">
        <v>867</v>
      </c>
      <c r="M47" s="44"/>
      <c r="N47" s="44"/>
      <c r="O47" s="72"/>
      <c r="P47" s="67"/>
      <c r="Q47" s="64"/>
      <c r="R47" s="64"/>
      <c r="S47" s="64"/>
      <c r="T47" s="64"/>
      <c r="U47" s="64"/>
      <c r="V47" s="64"/>
      <c r="W47" s="64"/>
      <c r="X47" s="64"/>
      <c r="Y47" s="64"/>
      <c r="Z47" s="64"/>
      <c r="AA47" s="64"/>
    </row>
    <row r="48" customFormat="false" ht="15" hidden="false" customHeight="false" outlineLevel="0" collapsed="false">
      <c r="A48" s="65" t="n">
        <v>46303</v>
      </c>
      <c r="B48" s="66" t="s">
        <v>316</v>
      </c>
      <c r="C48" s="67" t="str">
        <f aca="false" t="array" ref="C48:C48">IF(B48="","",IFERROR(INDEX('CLM &amp; IM Mapping'!$B$2:$B$270,MATCH(TRIM(B48),'CLM &amp; IM Mapping'!$A$2:$A$270,0)),"Not Mapped"))</f>
        <v>Vishnu V</v>
      </c>
      <c r="D48" s="67" t="str">
        <f aca="false" t="array" ref="D48:D48">IF(B48="","",IFERROR(INDEX('CLM &amp; IM Mapping'!$C$2:$C$270,MATCH(TRIM(B48),'CLM &amp; IM Mapping'!$A$2:$A$270,0)),"Not Mapped"))</f>
        <v>Arivind S</v>
      </c>
      <c r="E48" s="66" t="n">
        <v>1021</v>
      </c>
      <c r="F48" s="66" t="n">
        <v>157</v>
      </c>
      <c r="G48" s="66" t="n">
        <v>1</v>
      </c>
      <c r="H48" s="66" t="n">
        <v>863</v>
      </c>
      <c r="I48" s="66" t="n">
        <v>0</v>
      </c>
      <c r="J48" s="66" t="n">
        <v>0</v>
      </c>
      <c r="K48" s="66" t="n">
        <v>0</v>
      </c>
      <c r="L48" s="66" t="n">
        <v>863</v>
      </c>
      <c r="M48" s="44"/>
      <c r="N48" s="44"/>
      <c r="O48" s="72"/>
      <c r="P48" s="67"/>
      <c r="Q48" s="64"/>
      <c r="R48" s="64"/>
      <c r="S48" s="64"/>
      <c r="T48" s="64"/>
      <c r="U48" s="64"/>
      <c r="V48" s="64"/>
      <c r="W48" s="64"/>
      <c r="X48" s="64"/>
      <c r="Y48" s="64"/>
      <c r="Z48" s="64"/>
      <c r="AA48" s="64"/>
    </row>
    <row r="49" customFormat="false" ht="25.35" hidden="false" customHeight="false" outlineLevel="0" collapsed="false">
      <c r="A49" s="65" t="n">
        <v>46303</v>
      </c>
      <c r="B49" s="66" t="s">
        <v>498</v>
      </c>
      <c r="C49" s="67" t="str">
        <f aca="false" t="array" ref="C49:C49">IF(B49="","",IFERROR(INDEX('CLM &amp; IM Mapping'!$B$2:$B$270,MATCH(TRIM(B49),'CLM &amp; IM Mapping'!$A$2:$A$270,0)),"Not Mapped"))</f>
        <v>Adhavan Subramani</v>
      </c>
      <c r="D49" s="67" t="str">
        <f aca="false" t="array" ref="D49:D49">IF(B49="","",IFERROR(INDEX('CLM &amp; IM Mapping'!$C$2:$C$270,MATCH(TRIM(B49),'CLM &amp; IM Mapping'!$A$2:$A$270,0)),"Not Mapped"))</f>
        <v>Mohammed Akbar</v>
      </c>
      <c r="E49" s="66" t="n">
        <v>2935</v>
      </c>
      <c r="F49" s="66" t="n">
        <v>0</v>
      </c>
      <c r="G49" s="66" t="n">
        <v>2096</v>
      </c>
      <c r="H49" s="66" t="n">
        <v>808</v>
      </c>
      <c r="I49" s="66" t="n">
        <v>0</v>
      </c>
      <c r="J49" s="66" t="n">
        <v>0</v>
      </c>
      <c r="K49" s="66" t="n">
        <v>31</v>
      </c>
      <c r="L49" s="66" t="n">
        <v>839</v>
      </c>
      <c r="M49" s="44"/>
      <c r="N49" s="44" t="s">
        <v>874</v>
      </c>
      <c r="O49" s="68" t="s">
        <v>901</v>
      </c>
      <c r="P49" s="68" t="s">
        <v>902</v>
      </c>
      <c r="Q49" s="64"/>
      <c r="R49" s="64"/>
      <c r="S49" s="64"/>
      <c r="T49" s="64"/>
      <c r="U49" s="64"/>
      <c r="V49" s="64"/>
      <c r="W49" s="64"/>
      <c r="X49" s="64"/>
      <c r="Y49" s="64"/>
      <c r="Z49" s="64"/>
      <c r="AA49" s="64"/>
    </row>
    <row r="50" customFormat="false" ht="15" hidden="false" customHeight="false" outlineLevel="0" collapsed="false">
      <c r="A50" s="65" t="n">
        <v>46303</v>
      </c>
      <c r="B50" s="66" t="s">
        <v>159</v>
      </c>
      <c r="C50" s="67" t="str">
        <f aca="false" t="array" ref="C50:C50">IF(B50="","",IFERROR(INDEX('CLM &amp; IM Mapping'!$B$2:$B$270,MATCH(TRIM(B50),'CLM &amp; IM Mapping'!$A$2:$A$270,0)),"Not Mapped"))</f>
        <v>Rizwan Ahmed</v>
      </c>
      <c r="D50" s="67" t="str">
        <f aca="false" t="array" ref="D50:D50">IF(B50="","",IFERROR(INDEX('CLM &amp; IM Mapping'!$C$2:$C$270,MATCH(TRIM(B50),'CLM &amp; IM Mapping'!$A$2:$A$270,0)),"Not Mapped"))</f>
        <v>Un Mapped</v>
      </c>
      <c r="E50" s="66" t="n">
        <v>802</v>
      </c>
      <c r="F50" s="66" t="n">
        <v>0</v>
      </c>
      <c r="G50" s="66" t="n">
        <v>0</v>
      </c>
      <c r="H50" s="66" t="n">
        <v>802</v>
      </c>
      <c r="I50" s="66" t="n">
        <v>0</v>
      </c>
      <c r="J50" s="66" t="n">
        <v>0</v>
      </c>
      <c r="K50" s="66" t="n">
        <v>0</v>
      </c>
      <c r="L50" s="66" t="n">
        <v>802</v>
      </c>
      <c r="M50" s="44"/>
      <c r="N50" s="44"/>
      <c r="O50" s="72"/>
      <c r="P50" s="67"/>
      <c r="Q50" s="64"/>
      <c r="R50" s="64"/>
      <c r="S50" s="64"/>
      <c r="T50" s="64"/>
      <c r="U50" s="64"/>
      <c r="V50" s="64"/>
      <c r="W50" s="64"/>
      <c r="X50" s="64"/>
      <c r="Y50" s="64"/>
      <c r="Z50" s="64"/>
      <c r="AA50" s="64"/>
    </row>
    <row r="51" customFormat="false" ht="15" hidden="false" customHeight="false" outlineLevel="0" collapsed="false">
      <c r="A51" s="65" t="n">
        <v>46303</v>
      </c>
      <c r="B51" s="66" t="s">
        <v>306</v>
      </c>
      <c r="C51" s="67" t="str">
        <f aca="false" t="array" ref="C51:C51">IF(B51="","",IFERROR(INDEX('CLM &amp; IM Mapping'!$B$2:$B$270,MATCH(TRIM(B51),'CLM &amp; IM Mapping'!$A$2:$A$270,0)),"Not Mapped"))</f>
        <v>Narasimhamurthy R</v>
      </c>
      <c r="D51" s="67" t="str">
        <f aca="false" t="array" ref="D51:D51">IF(B51="","",IFERROR(INDEX('CLM &amp; IM Mapping'!$C$2:$C$270,MATCH(TRIM(B51),'CLM &amp; IM Mapping'!$A$2:$A$270,0)),"Not Mapped"))</f>
        <v>Kishor K</v>
      </c>
      <c r="E51" s="66" t="n">
        <v>6957</v>
      </c>
      <c r="F51" s="66" t="n">
        <v>6171</v>
      </c>
      <c r="G51" s="66" t="n">
        <v>10</v>
      </c>
      <c r="H51" s="66" t="n">
        <v>3</v>
      </c>
      <c r="I51" s="66" t="n">
        <v>773</v>
      </c>
      <c r="J51" s="66" t="n">
        <v>0</v>
      </c>
      <c r="K51" s="66" t="n">
        <v>0</v>
      </c>
      <c r="L51" s="66" t="n">
        <v>776</v>
      </c>
      <c r="M51" s="44"/>
      <c r="N51" s="44" t="s">
        <v>862</v>
      </c>
      <c r="O51" s="68" t="s">
        <v>903</v>
      </c>
      <c r="P51" s="68" t="s">
        <v>904</v>
      </c>
      <c r="Q51" s="64"/>
      <c r="R51" s="64"/>
      <c r="S51" s="64"/>
      <c r="T51" s="64"/>
      <c r="U51" s="64"/>
      <c r="V51" s="64"/>
      <c r="W51" s="64"/>
      <c r="X51" s="64"/>
      <c r="Y51" s="64"/>
      <c r="Z51" s="64"/>
      <c r="AA51" s="64"/>
    </row>
    <row r="52" customFormat="false" ht="15" hidden="false" customHeight="false" outlineLevel="0" collapsed="false">
      <c r="A52" s="65" t="n">
        <v>46303</v>
      </c>
      <c r="B52" s="66" t="s">
        <v>371</v>
      </c>
      <c r="C52" s="67" t="str">
        <f aca="false" t="array" ref="C52:C52">IF(B52="","",IFERROR(INDEX('CLM &amp; IM Mapping'!$B$2:$B$270,MATCH(TRIM(B52),'CLM &amp; IM Mapping'!$A$2:$A$270,0)),"Not Mapped"))</f>
        <v>Akshay P</v>
      </c>
      <c r="D52" s="67" t="str">
        <f aca="false" t="array" ref="D52:D52">IF(B52="","",IFERROR(INDEX('CLM &amp; IM Mapping'!$C$2:$C$270,MATCH(TRIM(B52),'CLM &amp; IM Mapping'!$A$2:$A$270,0)),"Not Mapped"))</f>
        <v>Srittam Dhal</v>
      </c>
      <c r="E52" s="66" t="n">
        <v>752</v>
      </c>
      <c r="F52" s="66" t="n">
        <v>0</v>
      </c>
      <c r="G52" s="66" t="n">
        <v>0</v>
      </c>
      <c r="H52" s="66" t="n">
        <v>752</v>
      </c>
      <c r="I52" s="66" t="n">
        <v>0</v>
      </c>
      <c r="J52" s="66" t="n">
        <v>0</v>
      </c>
      <c r="K52" s="66" t="n">
        <v>0</v>
      </c>
      <c r="L52" s="66" t="n">
        <v>752</v>
      </c>
      <c r="M52" s="44"/>
      <c r="N52" s="44"/>
      <c r="O52" s="72"/>
      <c r="P52" s="67"/>
      <c r="Q52" s="64"/>
      <c r="R52" s="64"/>
      <c r="S52" s="64"/>
      <c r="T52" s="64"/>
      <c r="U52" s="64"/>
      <c r="V52" s="64"/>
      <c r="W52" s="64"/>
      <c r="X52" s="64"/>
      <c r="Y52" s="64"/>
      <c r="Z52" s="64"/>
      <c r="AA52" s="64"/>
    </row>
    <row r="53" customFormat="false" ht="15" hidden="false" customHeight="false" outlineLevel="0" collapsed="false">
      <c r="A53" s="65" t="n">
        <v>46303</v>
      </c>
      <c r="B53" s="66" t="s">
        <v>50</v>
      </c>
      <c r="C53" s="67" t="str">
        <f aca="false" t="array" ref="C53:C53">IF(B53="","",IFERROR(INDEX('CLM &amp; IM Mapping'!$B$2:$B$270,MATCH(TRIM(B53),'CLM &amp; IM Mapping'!$A$2:$A$270,0)),"Not Mapped"))</f>
        <v>Arun Raj</v>
      </c>
      <c r="D53" s="67" t="str">
        <f aca="false" t="array" ref="D53:D53">IF(B53="","",IFERROR(INDEX('CLM &amp; IM Mapping'!$C$2:$C$270,MATCH(TRIM(B53),'CLM &amp; IM Mapping'!$A$2:$A$270,0)),"Not Mapped"))</f>
        <v>Simon Manoharan</v>
      </c>
      <c r="E53" s="66" t="n">
        <v>4120</v>
      </c>
      <c r="F53" s="66" t="n">
        <v>0</v>
      </c>
      <c r="G53" s="66" t="n">
        <v>1633</v>
      </c>
      <c r="H53" s="66" t="n">
        <v>1827</v>
      </c>
      <c r="I53" s="66" t="n">
        <v>245</v>
      </c>
      <c r="J53" s="66" t="n">
        <v>414</v>
      </c>
      <c r="K53" s="66" t="n">
        <v>1</v>
      </c>
      <c r="L53" s="66" t="n">
        <v>660</v>
      </c>
      <c r="M53" s="44"/>
      <c r="N53" s="44"/>
      <c r="O53" s="72"/>
      <c r="P53" s="67"/>
      <c r="Q53" s="64"/>
      <c r="R53" s="64"/>
      <c r="S53" s="64"/>
      <c r="T53" s="64"/>
      <c r="U53" s="64"/>
      <c r="V53" s="64"/>
      <c r="W53" s="64"/>
      <c r="X53" s="64"/>
      <c r="Y53" s="64"/>
      <c r="Z53" s="64"/>
      <c r="AA53" s="64"/>
    </row>
    <row r="54" customFormat="false" ht="15" hidden="false" customHeight="false" outlineLevel="0" collapsed="false">
      <c r="A54" s="65" t="n">
        <v>46303</v>
      </c>
      <c r="B54" s="66" t="s">
        <v>292</v>
      </c>
      <c r="C54" s="67" t="str">
        <f aca="false" t="array" ref="C54:C54">IF(B54="","",IFERROR(INDEX('CLM &amp; IM Mapping'!$B$2:$B$270,MATCH(TRIM(B54),'CLM &amp; IM Mapping'!$A$2:$A$270,0)),"Not Mapped"))</f>
        <v>Mohaideen DH</v>
      </c>
      <c r="D54" s="67" t="str">
        <f aca="false" t="array" ref="D54:D54">IF(B54="","",IFERROR(INDEX('CLM &amp; IM Mapping'!$C$2:$C$270,MATCH(TRIM(B54),'CLM &amp; IM Mapping'!$A$2:$A$270,0)),"Not Mapped"))</f>
        <v>Mohammed Akbar</v>
      </c>
      <c r="E54" s="66" t="n">
        <v>1909</v>
      </c>
      <c r="F54" s="66" t="n">
        <v>0</v>
      </c>
      <c r="G54" s="66" t="n">
        <v>1249</v>
      </c>
      <c r="H54" s="66" t="n">
        <v>512</v>
      </c>
      <c r="I54" s="66" t="n">
        <v>0</v>
      </c>
      <c r="J54" s="66" t="n">
        <v>148</v>
      </c>
      <c r="K54" s="66" t="n">
        <v>0</v>
      </c>
      <c r="L54" s="66" t="n">
        <v>660</v>
      </c>
      <c r="M54" s="44"/>
      <c r="N54" s="44" t="s">
        <v>859</v>
      </c>
      <c r="O54" s="20" t="s">
        <v>905</v>
      </c>
      <c r="P54" s="68" t="s">
        <v>906</v>
      </c>
      <c r="Q54" s="64"/>
      <c r="R54" s="64"/>
      <c r="S54" s="64"/>
      <c r="T54" s="64"/>
      <c r="U54" s="64"/>
      <c r="V54" s="64"/>
      <c r="W54" s="64"/>
      <c r="X54" s="64"/>
      <c r="Y54" s="64"/>
      <c r="Z54" s="64"/>
      <c r="AA54" s="64"/>
    </row>
    <row r="55" customFormat="false" ht="25.35" hidden="false" customHeight="false" outlineLevel="0" collapsed="false">
      <c r="A55" s="65" t="n">
        <v>46303</v>
      </c>
      <c r="B55" s="66" t="s">
        <v>521</v>
      </c>
      <c r="C55" s="67" t="str">
        <f aca="false" t="array" ref="C55:C55">IF(B55="","",IFERROR(INDEX('CLM &amp; IM Mapping'!$B$2:$B$270,MATCH(TRIM(B55),'CLM &amp; IM Mapping'!$A$2:$A$270,0)),"Not Mapped"))</f>
        <v>Mohaideen DH</v>
      </c>
      <c r="D55" s="67" t="str">
        <f aca="false" t="array" ref="D55:D55">IF(B55="","",IFERROR(INDEX('CLM &amp; IM Mapping'!$C$2:$C$270,MATCH(TRIM(B55),'CLM &amp; IM Mapping'!$A$2:$A$270,0)),"Not Mapped"))</f>
        <v>Mohammed Akbar</v>
      </c>
      <c r="E55" s="66" t="n">
        <v>1053</v>
      </c>
      <c r="F55" s="66" t="n">
        <v>84</v>
      </c>
      <c r="G55" s="66" t="n">
        <v>342</v>
      </c>
      <c r="H55" s="66" t="n">
        <v>395</v>
      </c>
      <c r="I55" s="66" t="n">
        <v>207</v>
      </c>
      <c r="J55" s="66" t="n">
        <v>0</v>
      </c>
      <c r="K55" s="66" t="n">
        <v>25</v>
      </c>
      <c r="L55" s="66" t="n">
        <v>627</v>
      </c>
      <c r="M55" s="44"/>
      <c r="N55" s="44" t="s">
        <v>883</v>
      </c>
      <c r="O55" s="68" t="s">
        <v>907</v>
      </c>
      <c r="P55" s="68" t="s">
        <v>908</v>
      </c>
      <c r="Q55" s="64"/>
      <c r="R55" s="64"/>
      <c r="S55" s="64"/>
      <c r="T55" s="64"/>
      <c r="U55" s="64"/>
      <c r="V55" s="64"/>
      <c r="W55" s="64"/>
      <c r="X55" s="64"/>
      <c r="Y55" s="64"/>
      <c r="Z55" s="64"/>
      <c r="AA55" s="64"/>
    </row>
    <row r="56" customFormat="false" ht="15" hidden="false" customHeight="false" outlineLevel="0" collapsed="false">
      <c r="A56" s="65" t="n">
        <v>46303</v>
      </c>
      <c r="B56" s="66" t="s">
        <v>38</v>
      </c>
      <c r="C56" s="67" t="str">
        <f aca="false" t="array" ref="C56:C56">IF(B56="","",IFERROR(INDEX('CLM &amp; IM Mapping'!$B$2:$B$270,MATCH(TRIM(B56),'CLM &amp; IM Mapping'!$A$2:$A$270,0)),"Not Mapped"))</f>
        <v>Vijay M</v>
      </c>
      <c r="D56" s="67" t="str">
        <f aca="false" t="array" ref="D56:D56">IF(B56="","",IFERROR(INDEX('CLM &amp; IM Mapping'!$C$2:$C$270,MATCH(TRIM(B56),'CLM &amp; IM Mapping'!$A$2:$A$270,0)),"Not Mapped"))</f>
        <v>Kantha Kumar</v>
      </c>
      <c r="E56" s="66" t="n">
        <v>6804</v>
      </c>
      <c r="F56" s="66" t="n">
        <v>0</v>
      </c>
      <c r="G56" s="66" t="n">
        <v>6185</v>
      </c>
      <c r="H56" s="66" t="n">
        <v>0</v>
      </c>
      <c r="I56" s="66" t="n">
        <v>20</v>
      </c>
      <c r="J56" s="66" t="n">
        <v>548</v>
      </c>
      <c r="K56" s="66" t="n">
        <v>51</v>
      </c>
      <c r="L56" s="66" t="n">
        <v>619</v>
      </c>
      <c r="M56" s="44"/>
      <c r="N56" s="44"/>
      <c r="O56" s="72"/>
      <c r="P56" s="67"/>
      <c r="Q56" s="64"/>
      <c r="R56" s="64"/>
      <c r="S56" s="64"/>
      <c r="T56" s="64"/>
      <c r="U56" s="64"/>
      <c r="V56" s="64"/>
      <c r="W56" s="64"/>
      <c r="X56" s="64"/>
      <c r="Y56" s="64"/>
      <c r="Z56" s="64"/>
      <c r="AA56" s="64"/>
    </row>
    <row r="57" customFormat="false" ht="15" hidden="false" customHeight="false" outlineLevel="0" collapsed="false">
      <c r="A57" s="65" t="n">
        <v>46303</v>
      </c>
      <c r="B57" s="66" t="s">
        <v>426</v>
      </c>
      <c r="C57" s="67" t="str">
        <f aca="false" t="array" ref="C57:C57">IF(B57="","",IFERROR(INDEX('CLM &amp; IM Mapping'!$B$2:$B$270,MATCH(TRIM(B57),'CLM &amp; IM Mapping'!$A$2:$A$270,0)),"Not Mapped"))</f>
        <v>Silambarasan E</v>
      </c>
      <c r="D57" s="67" t="str">
        <f aca="false" t="array" ref="D57:D57">IF(B57="","",IFERROR(INDEX('CLM &amp; IM Mapping'!$C$2:$C$270,MATCH(TRIM(B57),'CLM &amp; IM Mapping'!$A$2:$A$270,0)),"Not Mapped"))</f>
        <v>Arivind S</v>
      </c>
      <c r="E57" s="66" t="n">
        <v>7560</v>
      </c>
      <c r="F57" s="66" t="n">
        <v>6957</v>
      </c>
      <c r="G57" s="66" t="n">
        <v>0</v>
      </c>
      <c r="H57" s="66" t="n">
        <v>0</v>
      </c>
      <c r="I57" s="66" t="n">
        <v>584</v>
      </c>
      <c r="J57" s="66" t="n">
        <v>0</v>
      </c>
      <c r="K57" s="66" t="n">
        <v>19</v>
      </c>
      <c r="L57" s="66" t="n">
        <v>603</v>
      </c>
      <c r="M57" s="44"/>
      <c r="N57" s="44"/>
      <c r="O57" s="72"/>
      <c r="P57" s="67"/>
      <c r="Q57" s="64"/>
      <c r="R57" s="64"/>
      <c r="S57" s="64"/>
      <c r="T57" s="64"/>
      <c r="U57" s="64"/>
      <c r="V57" s="64"/>
      <c r="W57" s="64"/>
      <c r="X57" s="64"/>
      <c r="Y57" s="64"/>
      <c r="Z57" s="64"/>
      <c r="AA57" s="64"/>
    </row>
    <row r="58" customFormat="false" ht="15" hidden="false" customHeight="false" outlineLevel="0" collapsed="false">
      <c r="A58" s="65" t="n">
        <v>46303</v>
      </c>
      <c r="B58" s="66" t="s">
        <v>526</v>
      </c>
      <c r="C58" s="67" t="str">
        <f aca="false" t="array" ref="C58:C58">IF(B58="","",IFERROR(INDEX('CLM &amp; IM Mapping'!$B$2:$B$270,MATCH(TRIM(B58),'CLM &amp; IM Mapping'!$A$2:$A$270,0)),"Not Mapped"))</f>
        <v>Sundaresh S</v>
      </c>
      <c r="D58" s="67" t="str">
        <f aca="false" t="array" ref="D58:D58">IF(B58="","",IFERROR(INDEX('CLM &amp; IM Mapping'!$C$2:$C$270,MATCH(TRIM(B58),'CLM &amp; IM Mapping'!$A$2:$A$270,0)),"Not Mapped"))</f>
        <v>Un Mapped</v>
      </c>
      <c r="E58" s="66" t="n">
        <v>876</v>
      </c>
      <c r="F58" s="66" t="n">
        <v>0</v>
      </c>
      <c r="G58" s="66" t="n">
        <v>348</v>
      </c>
      <c r="H58" s="66" t="n">
        <v>528</v>
      </c>
      <c r="I58" s="66" t="n">
        <v>0</v>
      </c>
      <c r="J58" s="66" t="n">
        <v>0</v>
      </c>
      <c r="K58" s="66" t="n">
        <v>0</v>
      </c>
      <c r="L58" s="66" t="n">
        <v>528</v>
      </c>
      <c r="M58" s="44"/>
      <c r="N58" s="44"/>
      <c r="O58" s="72"/>
      <c r="P58" s="67"/>
      <c r="Q58" s="64"/>
      <c r="R58" s="64"/>
      <c r="S58" s="64"/>
      <c r="T58" s="64"/>
      <c r="U58" s="64"/>
      <c r="V58" s="64"/>
      <c r="W58" s="64"/>
      <c r="X58" s="64"/>
      <c r="Y58" s="64"/>
      <c r="Z58" s="64"/>
      <c r="AA58" s="64"/>
    </row>
    <row r="59" customFormat="false" ht="15" hidden="false" customHeight="false" outlineLevel="0" collapsed="false">
      <c r="A59" s="65" t="n">
        <v>46303</v>
      </c>
      <c r="B59" s="66" t="s">
        <v>142</v>
      </c>
      <c r="C59" s="67" t="str">
        <f aca="false" t="array" ref="C59:C59">IF(B59="","",IFERROR(INDEX('CLM &amp; IM Mapping'!$B$2:$B$270,MATCH(TRIM(B59),'CLM &amp; IM Mapping'!$A$2:$A$270,0)),"Not Mapped"))</f>
        <v>Sundaresh S</v>
      </c>
      <c r="D59" s="67" t="str">
        <f aca="false" t="array" ref="D59:D59">IF(B59="","",IFERROR(INDEX('CLM &amp; IM Mapping'!$C$2:$C$270,MATCH(TRIM(B59),'CLM &amp; IM Mapping'!$A$2:$A$270,0)),"Not Mapped"))</f>
        <v>Un Mapped</v>
      </c>
      <c r="E59" s="66" t="n">
        <v>4436</v>
      </c>
      <c r="F59" s="66" t="n">
        <v>86</v>
      </c>
      <c r="G59" s="66" t="n">
        <v>3875</v>
      </c>
      <c r="H59" s="66" t="n">
        <v>0</v>
      </c>
      <c r="I59" s="66" t="n">
        <v>223</v>
      </c>
      <c r="J59" s="66" t="n">
        <v>0</v>
      </c>
      <c r="K59" s="66" t="n">
        <v>252</v>
      </c>
      <c r="L59" s="66" t="n">
        <v>475</v>
      </c>
      <c r="M59" s="44"/>
      <c r="N59" s="44"/>
      <c r="O59" s="72"/>
      <c r="P59" s="67"/>
      <c r="Q59" s="64"/>
      <c r="R59" s="64"/>
      <c r="S59" s="64"/>
      <c r="T59" s="64"/>
      <c r="U59" s="64"/>
      <c r="V59" s="64"/>
      <c r="W59" s="64"/>
      <c r="X59" s="64"/>
      <c r="Y59" s="64"/>
      <c r="Z59" s="64"/>
      <c r="AA59" s="64"/>
    </row>
    <row r="60" customFormat="false" ht="15" hidden="false" customHeight="false" outlineLevel="0" collapsed="false">
      <c r="A60" s="65" t="n">
        <v>46303</v>
      </c>
      <c r="B60" s="66" t="s">
        <v>311</v>
      </c>
      <c r="C60" s="67" t="str">
        <f aca="false" t="array" ref="C60:C60">IF(B60="","",IFERROR(INDEX('CLM &amp; IM Mapping'!$B$2:$B$270,MATCH(TRIM(B60),'CLM &amp; IM Mapping'!$A$2:$A$270,0)),"Not Mapped"))</f>
        <v>Manjunatha V</v>
      </c>
      <c r="D60" s="67" t="str">
        <f aca="false" t="array" ref="D60:D60">IF(B60="","",IFERROR(INDEX('CLM &amp; IM Mapping'!$C$2:$C$270,MATCH(TRIM(B60),'CLM &amp; IM Mapping'!$A$2:$A$270,0)),"Not Mapped"))</f>
        <v>Un Mapped</v>
      </c>
      <c r="E60" s="66" t="n">
        <v>7054</v>
      </c>
      <c r="F60" s="66" t="n">
        <v>573</v>
      </c>
      <c r="G60" s="66" t="n">
        <v>6048</v>
      </c>
      <c r="H60" s="66" t="n">
        <v>0</v>
      </c>
      <c r="I60" s="66" t="n">
        <v>367</v>
      </c>
      <c r="J60" s="66" t="n">
        <v>0</v>
      </c>
      <c r="K60" s="66" t="n">
        <v>66</v>
      </c>
      <c r="L60" s="66" t="n">
        <v>433</v>
      </c>
      <c r="M60" s="44"/>
      <c r="N60" s="44"/>
      <c r="O60" s="72"/>
      <c r="P60" s="67"/>
      <c r="Q60" s="64"/>
      <c r="R60" s="64"/>
      <c r="S60" s="64"/>
      <c r="T60" s="64"/>
      <c r="U60" s="64"/>
      <c r="V60" s="64"/>
      <c r="W60" s="64"/>
      <c r="X60" s="64"/>
      <c r="Y60" s="64"/>
      <c r="Z60" s="64"/>
      <c r="AA60" s="64"/>
    </row>
    <row r="61" customFormat="false" ht="15" hidden="false" customHeight="false" outlineLevel="0" collapsed="false">
      <c r="A61" s="65" t="n">
        <v>46303</v>
      </c>
      <c r="B61" s="66" t="s">
        <v>186</v>
      </c>
      <c r="C61" s="67" t="str">
        <f aca="false" t="array" ref="C61:C61">IF(B61="","",IFERROR(INDEX('CLM &amp; IM Mapping'!$B$2:$B$270,MATCH(TRIM(B61),'CLM &amp; IM Mapping'!$A$2:$A$270,0)),"Not Mapped"))</f>
        <v>Silambarasan E</v>
      </c>
      <c r="D61" s="67" t="str">
        <f aca="false" t="array" ref="D61:D61">IF(B61="","",IFERROR(INDEX('CLM &amp; IM Mapping'!$C$2:$C$270,MATCH(TRIM(B61),'CLM &amp; IM Mapping'!$A$2:$A$270,0)),"Not Mapped"))</f>
        <v>Arivind S</v>
      </c>
      <c r="E61" s="66" t="n">
        <v>1277</v>
      </c>
      <c r="F61" s="66" t="n">
        <v>852</v>
      </c>
      <c r="G61" s="66" t="n">
        <v>0</v>
      </c>
      <c r="H61" s="66" t="n">
        <v>265</v>
      </c>
      <c r="I61" s="66" t="n">
        <v>0</v>
      </c>
      <c r="J61" s="66" t="n">
        <v>12</v>
      </c>
      <c r="K61" s="66" t="n">
        <v>148</v>
      </c>
      <c r="L61" s="66" t="n">
        <v>425</v>
      </c>
      <c r="M61" s="44"/>
      <c r="N61" s="44"/>
      <c r="O61" s="72"/>
      <c r="P61" s="67"/>
      <c r="Q61" s="64"/>
      <c r="R61" s="64"/>
      <c r="S61" s="64"/>
      <c r="T61" s="64"/>
      <c r="U61" s="64"/>
      <c r="V61" s="64"/>
      <c r="W61" s="64"/>
      <c r="X61" s="64"/>
      <c r="Y61" s="64"/>
      <c r="Z61" s="64"/>
      <c r="AA61" s="64"/>
    </row>
    <row r="62" customFormat="false" ht="15" hidden="false" customHeight="false" outlineLevel="0" collapsed="false">
      <c r="A62" s="65" t="n">
        <v>46303</v>
      </c>
      <c r="B62" s="66" t="s">
        <v>189</v>
      </c>
      <c r="C62" s="67" t="str">
        <f aca="false" t="array" ref="C62:C62">IF(B62="","",IFERROR(INDEX('CLM &amp; IM Mapping'!$B$2:$B$270,MATCH(TRIM(B62),'CLM &amp; IM Mapping'!$A$2:$A$270,0)),"Not Mapped"))</f>
        <v>Girish N</v>
      </c>
      <c r="D62" s="67" t="str">
        <f aca="false" t="array" ref="D62:D62">IF(B62="","",IFERROR(INDEX('CLM &amp; IM Mapping'!$C$2:$C$270,MATCH(TRIM(B62),'CLM &amp; IM Mapping'!$A$2:$A$270,0)),"Not Mapped"))</f>
        <v>Un Mapped</v>
      </c>
      <c r="E62" s="66" t="n">
        <v>3429</v>
      </c>
      <c r="F62" s="66" t="n">
        <v>996</v>
      </c>
      <c r="G62" s="66" t="n">
        <v>2035</v>
      </c>
      <c r="H62" s="66" t="n">
        <v>246</v>
      </c>
      <c r="I62" s="66" t="n">
        <v>0</v>
      </c>
      <c r="J62" s="66" t="n">
        <v>152</v>
      </c>
      <c r="K62" s="66" t="n">
        <v>0</v>
      </c>
      <c r="L62" s="66" t="n">
        <v>398</v>
      </c>
      <c r="M62" s="44"/>
      <c r="N62" s="44"/>
      <c r="O62" s="72"/>
      <c r="P62" s="67"/>
      <c r="Q62" s="64"/>
      <c r="R62" s="64"/>
      <c r="S62" s="64"/>
      <c r="T62" s="64"/>
      <c r="U62" s="64"/>
      <c r="V62" s="64"/>
      <c r="W62" s="64"/>
      <c r="X62" s="64"/>
      <c r="Y62" s="64"/>
      <c r="Z62" s="64"/>
      <c r="AA62" s="64"/>
    </row>
    <row r="63" customFormat="false" ht="15" hidden="false" customHeight="false" outlineLevel="0" collapsed="false">
      <c r="A63" s="65" t="n">
        <v>46303</v>
      </c>
      <c r="B63" s="66" t="s">
        <v>281</v>
      </c>
      <c r="C63" s="67" t="str">
        <f aca="false" t="array" ref="C63:C63">IF(B63="","",IFERROR(INDEX('CLM &amp; IM Mapping'!$B$2:$B$270,MATCH(TRIM(B63),'CLM &amp; IM Mapping'!$A$2:$A$270,0)),"Not Mapped"))</f>
        <v>Balaji G</v>
      </c>
      <c r="D63" s="67" t="str">
        <f aca="false" t="array" ref="D63:D63">IF(B63="","",IFERROR(INDEX('CLM &amp; IM Mapping'!$C$2:$C$270,MATCH(TRIM(B63),'CLM &amp; IM Mapping'!$A$2:$A$270,0)),"Not Mapped"))</f>
        <v>Mohammed Akbar</v>
      </c>
      <c r="E63" s="66" t="n">
        <v>371</v>
      </c>
      <c r="F63" s="66" t="n">
        <v>9</v>
      </c>
      <c r="G63" s="66" t="n">
        <v>0</v>
      </c>
      <c r="H63" s="66" t="n">
        <v>362</v>
      </c>
      <c r="I63" s="66" t="n">
        <v>0</v>
      </c>
      <c r="J63" s="66" t="n">
        <v>0</v>
      </c>
      <c r="K63" s="66" t="n">
        <v>0</v>
      </c>
      <c r="L63" s="66" t="n">
        <v>362</v>
      </c>
      <c r="M63" s="44"/>
      <c r="N63" s="44" t="s">
        <v>909</v>
      </c>
      <c r="O63" s="68" t="s">
        <v>723</v>
      </c>
      <c r="P63" s="68" t="s">
        <v>910</v>
      </c>
      <c r="Q63" s="64"/>
      <c r="R63" s="64"/>
      <c r="S63" s="64"/>
      <c r="T63" s="64"/>
      <c r="U63" s="64"/>
      <c r="V63" s="64"/>
      <c r="W63" s="64"/>
      <c r="X63" s="64"/>
      <c r="Y63" s="64"/>
      <c r="Z63" s="64"/>
      <c r="AA63" s="64"/>
    </row>
    <row r="64" customFormat="false" ht="15" hidden="false" customHeight="false" outlineLevel="0" collapsed="false">
      <c r="A64" s="65" t="n">
        <v>46303</v>
      </c>
      <c r="B64" s="66" t="s">
        <v>235</v>
      </c>
      <c r="C64" s="67" t="str">
        <f aca="false" t="array" ref="C64:C64">IF(B64="","",IFERROR(INDEX('CLM &amp; IM Mapping'!$B$2:$B$270,MATCH(TRIM(B64),'CLM &amp; IM Mapping'!$A$2:$A$270,0)),"Not Mapped"))</f>
        <v>Akshay P</v>
      </c>
      <c r="D64" s="67" t="str">
        <f aca="false" t="array" ref="D64:D64">IF(B64="","",IFERROR(INDEX('CLM &amp; IM Mapping'!$C$2:$C$270,MATCH(TRIM(B64),'CLM &amp; IM Mapping'!$A$2:$A$270,0)),"Not Mapped"))</f>
        <v>Srittam Dhal</v>
      </c>
      <c r="E64" s="66" t="n">
        <v>357</v>
      </c>
      <c r="F64" s="66" t="n">
        <v>0</v>
      </c>
      <c r="G64" s="66" t="n">
        <v>0</v>
      </c>
      <c r="H64" s="66" t="n">
        <v>357</v>
      </c>
      <c r="I64" s="66" t="n">
        <v>0</v>
      </c>
      <c r="J64" s="66" t="n">
        <v>0</v>
      </c>
      <c r="K64" s="66" t="n">
        <v>0</v>
      </c>
      <c r="L64" s="66" t="n">
        <v>357</v>
      </c>
      <c r="M64" s="44"/>
      <c r="N64" s="44"/>
      <c r="O64" s="72"/>
      <c r="P64" s="67"/>
      <c r="Q64" s="64"/>
      <c r="R64" s="64"/>
      <c r="S64" s="64"/>
      <c r="T64" s="64"/>
      <c r="U64" s="64"/>
      <c r="V64" s="64"/>
      <c r="W64" s="64"/>
      <c r="X64" s="64"/>
      <c r="Y64" s="64"/>
      <c r="Z64" s="64"/>
      <c r="AA64" s="64"/>
    </row>
    <row r="65" customFormat="false" ht="15" hidden="false" customHeight="false" outlineLevel="0" collapsed="false">
      <c r="A65" s="65" t="n">
        <v>46303</v>
      </c>
      <c r="B65" s="66" t="s">
        <v>70</v>
      </c>
      <c r="C65" s="67" t="str">
        <f aca="false" t="array" ref="C65:C65">IF(B65="","",IFERROR(INDEX('CLM &amp; IM Mapping'!$B$2:$B$270,MATCH(TRIM(B65),'CLM &amp; IM Mapping'!$A$2:$A$270,0)),"Not Mapped"))</f>
        <v>Rizwan Ahmed</v>
      </c>
      <c r="D65" s="67" t="str">
        <f aca="false" t="array" ref="D65:D65">IF(B65="","",IFERROR(INDEX('CLM &amp; IM Mapping'!$C$2:$C$270,MATCH(TRIM(B65),'CLM &amp; IM Mapping'!$A$2:$A$270,0)),"Not Mapped"))</f>
        <v>Un Mapped</v>
      </c>
      <c r="E65" s="66" t="n">
        <v>8633</v>
      </c>
      <c r="F65" s="66" t="n">
        <v>419</v>
      </c>
      <c r="G65" s="66" t="n">
        <v>7872</v>
      </c>
      <c r="H65" s="66" t="n">
        <v>0</v>
      </c>
      <c r="I65" s="66" t="n">
        <v>0</v>
      </c>
      <c r="J65" s="66" t="n">
        <v>342</v>
      </c>
      <c r="K65" s="66" t="n">
        <v>0</v>
      </c>
      <c r="L65" s="66" t="n">
        <v>342</v>
      </c>
      <c r="M65" s="44"/>
      <c r="N65" s="44"/>
      <c r="O65" s="72"/>
      <c r="P65" s="67"/>
      <c r="Q65" s="64"/>
      <c r="R65" s="64"/>
      <c r="S65" s="64"/>
      <c r="T65" s="64"/>
      <c r="U65" s="64"/>
      <c r="V65" s="64"/>
      <c r="W65" s="64"/>
      <c r="X65" s="64"/>
      <c r="Y65" s="64"/>
      <c r="Z65" s="64"/>
      <c r="AA65" s="64"/>
    </row>
    <row r="66" customFormat="false" ht="15" hidden="false" customHeight="false" outlineLevel="0" collapsed="false">
      <c r="A66" s="65" t="n">
        <v>46303</v>
      </c>
      <c r="B66" s="66" t="s">
        <v>382</v>
      </c>
      <c r="C66" s="67" t="str">
        <f aca="false" t="array" ref="C66:C66">IF(B66="","",IFERROR(INDEX('CLM &amp; IM Mapping'!$B$2:$B$270,MATCH(TRIM(B66),'CLM &amp; IM Mapping'!$A$2:$A$270,0)),"Not Mapped"))</f>
        <v>Arun Raj</v>
      </c>
      <c r="D66" s="67" t="str">
        <f aca="false" t="array" ref="D66:D66">IF(B66="","",IFERROR(INDEX('CLM &amp; IM Mapping'!$C$2:$C$270,MATCH(TRIM(B66),'CLM &amp; IM Mapping'!$A$2:$A$270,0)),"Not Mapped"))</f>
        <v>Simon Manoharan</v>
      </c>
      <c r="E66" s="66" t="n">
        <v>320</v>
      </c>
      <c r="F66" s="66" t="n">
        <v>0</v>
      </c>
      <c r="G66" s="66" t="n">
        <v>0</v>
      </c>
      <c r="H66" s="66" t="n">
        <v>11</v>
      </c>
      <c r="I66" s="66" t="n">
        <v>0</v>
      </c>
      <c r="J66" s="66" t="n">
        <v>309</v>
      </c>
      <c r="K66" s="66" t="n">
        <v>0</v>
      </c>
      <c r="L66" s="66" t="n">
        <v>309</v>
      </c>
      <c r="M66" s="44"/>
      <c r="N66" s="44"/>
      <c r="O66" s="72"/>
      <c r="P66" s="67"/>
      <c r="Q66" s="64"/>
      <c r="R66" s="64"/>
      <c r="S66" s="64"/>
      <c r="T66" s="64"/>
      <c r="U66" s="64"/>
      <c r="V66" s="64"/>
      <c r="W66" s="64"/>
      <c r="X66" s="64"/>
      <c r="Y66" s="64"/>
      <c r="Z66" s="64"/>
      <c r="AA66" s="64"/>
    </row>
    <row r="67" customFormat="false" ht="15" hidden="false" customHeight="false" outlineLevel="0" collapsed="false">
      <c r="A67" s="65" t="n">
        <v>46303</v>
      </c>
      <c r="B67" s="66" t="s">
        <v>520</v>
      </c>
      <c r="C67" s="67" t="str">
        <f aca="false" t="array" ref="C67:C67">IF(B67="","",IFERROR(INDEX('CLM &amp; IM Mapping'!$B$2:$B$270,MATCH(TRIM(B67),'CLM &amp; IM Mapping'!$A$2:$A$270,0)),"Not Mapped"))</f>
        <v>John Britto</v>
      </c>
      <c r="D67" s="67" t="str">
        <f aca="false" t="array" ref="D67:D67">IF(B67="","",IFERROR(INDEX('CLM &amp; IM Mapping'!$C$2:$C$270,MATCH(TRIM(B67),'CLM &amp; IM Mapping'!$A$2:$A$270,0)),"Not Mapped"))</f>
        <v>Aravind S</v>
      </c>
      <c r="E67" s="66" t="n">
        <v>285</v>
      </c>
      <c r="F67" s="66" t="n">
        <v>0</v>
      </c>
      <c r="G67" s="66" t="n">
        <v>0</v>
      </c>
      <c r="H67" s="66" t="n">
        <v>285</v>
      </c>
      <c r="I67" s="66" t="n">
        <v>0</v>
      </c>
      <c r="J67" s="66" t="n">
        <v>0</v>
      </c>
      <c r="K67" s="66" t="n">
        <v>0</v>
      </c>
      <c r="L67" s="66" t="n">
        <v>285</v>
      </c>
      <c r="M67" s="44"/>
      <c r="N67" s="44"/>
      <c r="O67" s="72"/>
      <c r="P67" s="67"/>
      <c r="Q67" s="64"/>
      <c r="R67" s="64"/>
      <c r="S67" s="64"/>
      <c r="T67" s="64"/>
      <c r="U67" s="64"/>
      <c r="V67" s="64"/>
      <c r="W67" s="64"/>
      <c r="X67" s="64"/>
      <c r="Y67" s="64"/>
      <c r="Z67" s="64"/>
      <c r="AA67" s="64"/>
    </row>
    <row r="68" customFormat="false" ht="15" hidden="false" customHeight="false" outlineLevel="0" collapsed="false">
      <c r="A68" s="65" t="n">
        <v>46303</v>
      </c>
      <c r="B68" s="66" t="s">
        <v>200</v>
      </c>
      <c r="C68" s="67" t="str">
        <f aca="false" t="array" ref="C68:C68">IF(B68="","",IFERROR(INDEX('CLM &amp; IM Mapping'!$B$2:$B$270,MATCH(TRIM(B68),'CLM &amp; IM Mapping'!$A$2:$A$270,0)),"Not Mapped"))</f>
        <v>Adhavan Subramani</v>
      </c>
      <c r="D68" s="67" t="str">
        <f aca="false" t="array" ref="D68:D68">IF(B68="","",IFERROR(INDEX('CLM &amp; IM Mapping'!$C$2:$C$270,MATCH(TRIM(B68),'CLM &amp; IM Mapping'!$A$2:$A$270,0)),"Not Mapped"))</f>
        <v>Mohammed Akbar</v>
      </c>
      <c r="E68" s="66" t="n">
        <v>1951</v>
      </c>
      <c r="F68" s="66" t="n">
        <v>11</v>
      </c>
      <c r="G68" s="66" t="n">
        <v>1659</v>
      </c>
      <c r="H68" s="66" t="n">
        <v>0</v>
      </c>
      <c r="I68" s="66" t="n">
        <v>66</v>
      </c>
      <c r="J68" s="66" t="n">
        <v>98</v>
      </c>
      <c r="K68" s="66" t="n">
        <v>117</v>
      </c>
      <c r="L68" s="66" t="n">
        <v>281</v>
      </c>
      <c r="M68" s="44"/>
      <c r="N68" s="44" t="s">
        <v>886</v>
      </c>
      <c r="O68" s="68" t="s">
        <v>911</v>
      </c>
      <c r="P68" s="68" t="s">
        <v>910</v>
      </c>
      <c r="Q68" s="64"/>
      <c r="R68" s="64"/>
      <c r="S68" s="64"/>
      <c r="T68" s="64"/>
      <c r="U68" s="64"/>
      <c r="V68" s="64"/>
      <c r="W68" s="64"/>
      <c r="X68" s="64"/>
      <c r="Y68" s="64"/>
      <c r="Z68" s="64"/>
      <c r="AA68" s="64"/>
    </row>
    <row r="69" customFormat="false" ht="15" hidden="false" customHeight="false" outlineLevel="0" collapsed="false">
      <c r="A69" s="65" t="n">
        <v>46303</v>
      </c>
      <c r="B69" s="66" t="s">
        <v>505</v>
      </c>
      <c r="C69" s="67" t="str">
        <f aca="false" t="array" ref="C69:C69">IF(B69="","",IFERROR(INDEX('CLM &amp; IM Mapping'!$B$2:$B$270,MATCH(TRIM(B69),'CLM &amp; IM Mapping'!$A$2:$A$270,0)),"Not Mapped"))</f>
        <v>Basil Scariya</v>
      </c>
      <c r="D69" s="67" t="str">
        <f aca="false" t="array" ref="D69:D69">IF(B69="","",IFERROR(INDEX('CLM &amp; IM Mapping'!$C$2:$C$270,MATCH(TRIM(B69),'CLM &amp; IM Mapping'!$A$2:$A$270,0)),"Not Mapped"))</f>
        <v>Prakash BS</v>
      </c>
      <c r="E69" s="66" t="n">
        <v>265</v>
      </c>
      <c r="F69" s="66" t="n">
        <v>0</v>
      </c>
      <c r="G69" s="66" t="n">
        <v>0</v>
      </c>
      <c r="H69" s="66" t="n">
        <v>265</v>
      </c>
      <c r="I69" s="66" t="n">
        <v>0</v>
      </c>
      <c r="J69" s="66" t="n">
        <v>0</v>
      </c>
      <c r="K69" s="66" t="n">
        <v>0</v>
      </c>
      <c r="L69" s="66" t="n">
        <v>265</v>
      </c>
      <c r="M69" s="44"/>
      <c r="N69" s="44"/>
      <c r="O69" s="72"/>
      <c r="P69" s="67"/>
      <c r="Q69" s="64"/>
      <c r="R69" s="64"/>
      <c r="S69" s="64"/>
      <c r="T69" s="64"/>
      <c r="U69" s="64"/>
      <c r="V69" s="64"/>
      <c r="W69" s="64"/>
      <c r="X69" s="64"/>
      <c r="Y69" s="64"/>
      <c r="Z69" s="64"/>
      <c r="AA69" s="64"/>
    </row>
    <row r="70" customFormat="false" ht="15" hidden="false" customHeight="false" outlineLevel="0" collapsed="false">
      <c r="A70" s="65" t="n">
        <v>46303</v>
      </c>
      <c r="B70" s="66" t="s">
        <v>126</v>
      </c>
      <c r="C70" s="67" t="str">
        <f aca="false" t="array" ref="C70:C70">IF(B70="","",IFERROR(INDEX('CLM &amp; IM Mapping'!$B$2:$B$270,MATCH(TRIM(B70),'CLM &amp; IM Mapping'!$A$2:$A$270,0)),"Not Mapped"))</f>
        <v>Girish N</v>
      </c>
      <c r="D70" s="67" t="str">
        <f aca="false" t="array" ref="D70:D70">IF(B70="","",IFERROR(INDEX('CLM &amp; IM Mapping'!$C$2:$C$270,MATCH(TRIM(B70),'CLM &amp; IM Mapping'!$A$2:$A$270,0)),"Not Mapped"))</f>
        <v>Un Mapped</v>
      </c>
      <c r="E70" s="66" t="n">
        <v>261</v>
      </c>
      <c r="F70" s="66" t="n">
        <v>0</v>
      </c>
      <c r="G70" s="66" t="n">
        <v>0</v>
      </c>
      <c r="H70" s="66" t="n">
        <v>148</v>
      </c>
      <c r="I70" s="66" t="n">
        <v>13</v>
      </c>
      <c r="J70" s="66" t="n">
        <v>100</v>
      </c>
      <c r="K70" s="66" t="n">
        <v>0</v>
      </c>
      <c r="L70" s="66" t="n">
        <v>261</v>
      </c>
      <c r="M70" s="44"/>
      <c r="N70" s="44"/>
      <c r="O70" s="72"/>
      <c r="P70" s="67"/>
      <c r="Q70" s="64"/>
      <c r="R70" s="64"/>
      <c r="S70" s="64"/>
      <c r="T70" s="64"/>
      <c r="U70" s="64"/>
      <c r="V70" s="64"/>
      <c r="W70" s="64"/>
      <c r="X70" s="64"/>
      <c r="Y70" s="64"/>
      <c r="Z70" s="64"/>
      <c r="AA70" s="64"/>
    </row>
    <row r="71" customFormat="false" ht="15" hidden="false" customHeight="false" outlineLevel="0" collapsed="false">
      <c r="A71" s="65" t="n">
        <v>46303</v>
      </c>
      <c r="B71" s="66" t="s">
        <v>314</v>
      </c>
      <c r="C71" s="67" t="str">
        <f aca="false" t="array" ref="C71:C71">IF(B71="","",IFERROR(INDEX('CLM &amp; IM Mapping'!$B$2:$B$270,MATCH(TRIM(B71),'CLM &amp; IM Mapping'!$A$2:$A$270,0)),"Not Mapped"))</f>
        <v>Basil Scariya</v>
      </c>
      <c r="D71" s="67" t="str">
        <f aca="false" t="array" ref="D71:D71">IF(B71="","",IFERROR(INDEX('CLM &amp; IM Mapping'!$C$2:$C$270,MATCH(TRIM(B71),'CLM &amp; IM Mapping'!$A$2:$A$270,0)),"Not Mapped"))</f>
        <v>Prakash BS</v>
      </c>
      <c r="E71" s="66" t="n">
        <v>3157</v>
      </c>
      <c r="F71" s="66" t="n">
        <v>3</v>
      </c>
      <c r="G71" s="66" t="n">
        <v>2893</v>
      </c>
      <c r="H71" s="66" t="n">
        <v>0</v>
      </c>
      <c r="I71" s="66" t="n">
        <v>0</v>
      </c>
      <c r="J71" s="66" t="n">
        <v>194</v>
      </c>
      <c r="K71" s="66" t="n">
        <v>67</v>
      </c>
      <c r="L71" s="66" t="n">
        <v>261</v>
      </c>
      <c r="M71" s="44"/>
      <c r="N71" s="44"/>
      <c r="O71" s="72"/>
      <c r="P71" s="67"/>
      <c r="Q71" s="64"/>
      <c r="R71" s="64"/>
      <c r="S71" s="64"/>
      <c r="T71" s="64"/>
      <c r="U71" s="64"/>
      <c r="V71" s="64"/>
      <c r="W71" s="64"/>
      <c r="X71" s="64"/>
      <c r="Y71" s="64"/>
      <c r="Z71" s="64"/>
      <c r="AA71" s="64"/>
    </row>
    <row r="72" customFormat="false" ht="15" hidden="false" customHeight="false" outlineLevel="0" collapsed="false">
      <c r="A72" s="65" t="n">
        <v>46303</v>
      </c>
      <c r="B72" s="66" t="s">
        <v>219</v>
      </c>
      <c r="C72" s="67" t="str">
        <f aca="false" t="array" ref="C72:C72">IF(B72="","",IFERROR(INDEX('CLM &amp; IM Mapping'!$B$2:$B$270,MATCH(TRIM(B72),'CLM &amp; IM Mapping'!$A$2:$A$270,0)),"Not Mapped"))</f>
        <v>Arun Raj</v>
      </c>
      <c r="D72" s="67" t="str">
        <f aca="false" t="array" ref="D72:D72">IF(B72="","",IFERROR(INDEX('CLM &amp; IM Mapping'!$C$2:$C$270,MATCH(TRIM(B72),'CLM &amp; IM Mapping'!$A$2:$A$270,0)),"Not Mapped"))</f>
        <v>Simon Manoharan</v>
      </c>
      <c r="E72" s="66" t="n">
        <v>2413</v>
      </c>
      <c r="F72" s="66" t="n">
        <v>0</v>
      </c>
      <c r="G72" s="66" t="n">
        <v>0</v>
      </c>
      <c r="H72" s="66" t="n">
        <v>2157</v>
      </c>
      <c r="I72" s="66" t="n">
        <v>0</v>
      </c>
      <c r="J72" s="66" t="n">
        <v>240</v>
      </c>
      <c r="K72" s="66" t="n">
        <v>16</v>
      </c>
      <c r="L72" s="66" t="n">
        <v>256</v>
      </c>
      <c r="M72" s="44"/>
      <c r="N72" s="44"/>
      <c r="O72" s="72"/>
      <c r="P72" s="67"/>
      <c r="Q72" s="64"/>
      <c r="R72" s="64"/>
      <c r="S72" s="64"/>
      <c r="T72" s="64"/>
      <c r="U72" s="64"/>
      <c r="V72" s="64"/>
      <c r="W72" s="64"/>
      <c r="X72" s="64"/>
      <c r="Y72" s="64"/>
      <c r="Z72" s="64"/>
      <c r="AA72" s="64"/>
    </row>
    <row r="73" customFormat="false" ht="15" hidden="false" customHeight="false" outlineLevel="0" collapsed="false">
      <c r="A73" s="65" t="n">
        <v>46303</v>
      </c>
      <c r="B73" s="66" t="s">
        <v>271</v>
      </c>
      <c r="C73" s="67" t="str">
        <f aca="false" t="array" ref="C73:C73">IF(B73="","",IFERROR(INDEX('CLM &amp; IM Mapping'!$B$2:$B$270,MATCH(TRIM(B73),'CLM &amp; IM Mapping'!$A$2:$A$270,0)),"Not Mapped"))</f>
        <v>Rizwan Ahmed</v>
      </c>
      <c r="D73" s="67" t="str">
        <f aca="false" t="array" ref="D73:D73">IF(B73="","",IFERROR(INDEX('CLM &amp; IM Mapping'!$C$2:$C$270,MATCH(TRIM(B73),'CLM &amp; IM Mapping'!$A$2:$A$270,0)),"Not Mapped"))</f>
        <v>Prakash BS</v>
      </c>
      <c r="E73" s="66" t="n">
        <v>3771</v>
      </c>
      <c r="F73" s="66" t="n">
        <v>0</v>
      </c>
      <c r="G73" s="66" t="n">
        <v>3546</v>
      </c>
      <c r="H73" s="66" t="n">
        <v>0</v>
      </c>
      <c r="I73" s="66" t="n">
        <v>97</v>
      </c>
      <c r="J73" s="66" t="n">
        <v>0</v>
      </c>
      <c r="K73" s="66" t="n">
        <v>128</v>
      </c>
      <c r="L73" s="66" t="n">
        <v>225</v>
      </c>
      <c r="M73" s="44"/>
      <c r="N73" s="44"/>
      <c r="O73" s="72"/>
      <c r="P73" s="67"/>
      <c r="Q73" s="64"/>
      <c r="R73" s="64"/>
      <c r="S73" s="64"/>
      <c r="T73" s="64"/>
      <c r="U73" s="64"/>
      <c r="V73" s="64"/>
      <c r="W73" s="64"/>
      <c r="X73" s="64"/>
      <c r="Y73" s="64"/>
      <c r="Z73" s="64"/>
      <c r="AA73" s="64"/>
    </row>
    <row r="74" customFormat="false" ht="15" hidden="false" customHeight="false" outlineLevel="0" collapsed="false">
      <c r="A74" s="65" t="n">
        <v>46303</v>
      </c>
      <c r="B74" s="66" t="s">
        <v>65</v>
      </c>
      <c r="C74" s="67" t="str">
        <f aca="false" t="array" ref="C74:C74">IF(B74="","",IFERROR(INDEX('CLM &amp; IM Mapping'!$B$2:$B$270,MATCH(TRIM(B74),'CLM &amp; IM Mapping'!$A$2:$A$270,0)),"Not Mapped"))</f>
        <v>Adhavan Subramani</v>
      </c>
      <c r="D74" s="67" t="str">
        <f aca="false" t="array" ref="D74:D74">IF(B74="","",IFERROR(INDEX('CLM &amp; IM Mapping'!$C$2:$C$270,MATCH(TRIM(B74),'CLM &amp; IM Mapping'!$A$2:$A$270,0)),"Not Mapped"))</f>
        <v>Mohammed Akbar</v>
      </c>
      <c r="E74" s="66" t="n">
        <v>1568</v>
      </c>
      <c r="F74" s="66" t="n">
        <v>0</v>
      </c>
      <c r="G74" s="66" t="n">
        <v>1353</v>
      </c>
      <c r="H74" s="66" t="n">
        <v>160</v>
      </c>
      <c r="I74" s="66" t="n">
        <v>0</v>
      </c>
      <c r="J74" s="66" t="n">
        <v>0</v>
      </c>
      <c r="K74" s="66" t="n">
        <v>55</v>
      </c>
      <c r="L74" s="66" t="n">
        <v>215</v>
      </c>
      <c r="M74" s="44"/>
      <c r="N74" s="44" t="s">
        <v>839</v>
      </c>
      <c r="O74" s="72"/>
      <c r="P74" s="67"/>
      <c r="Q74" s="64"/>
      <c r="R74" s="64"/>
      <c r="S74" s="64"/>
      <c r="T74" s="64"/>
      <c r="U74" s="64"/>
      <c r="V74" s="64"/>
      <c r="W74" s="64"/>
      <c r="X74" s="64"/>
      <c r="Y74" s="64"/>
      <c r="Z74" s="64"/>
      <c r="AA74" s="64"/>
    </row>
    <row r="75" customFormat="false" ht="15" hidden="false" customHeight="false" outlineLevel="0" collapsed="false">
      <c r="A75" s="65" t="n">
        <v>46303</v>
      </c>
      <c r="B75" s="66" t="s">
        <v>178</v>
      </c>
      <c r="C75" s="67" t="str">
        <f aca="false" t="array" ref="C75:C75">IF(B75="","",IFERROR(INDEX('CLM &amp; IM Mapping'!$B$2:$B$270,MATCH(TRIM(B75),'CLM &amp; IM Mapping'!$A$2:$A$270,0)),"Not Mapped"))</f>
        <v>Balaji G</v>
      </c>
      <c r="D75" s="67" t="str">
        <f aca="false" t="array" ref="D75:D75">IF(B75="","",IFERROR(INDEX('CLM &amp; IM Mapping'!$C$2:$C$270,MATCH(TRIM(B75),'CLM &amp; IM Mapping'!$A$2:$A$270,0)),"Not Mapped"))</f>
        <v>Mohammed Akbar</v>
      </c>
      <c r="E75" s="66" t="n">
        <v>5334</v>
      </c>
      <c r="F75" s="66" t="n">
        <v>5120</v>
      </c>
      <c r="G75" s="66" t="n">
        <v>0</v>
      </c>
      <c r="H75" s="66" t="n">
        <v>0</v>
      </c>
      <c r="I75" s="66" t="n">
        <v>214</v>
      </c>
      <c r="J75" s="66" t="n">
        <v>0</v>
      </c>
      <c r="K75" s="66" t="n">
        <v>0</v>
      </c>
      <c r="L75" s="66" t="n">
        <v>214</v>
      </c>
      <c r="M75" s="44"/>
      <c r="N75" s="44" t="s">
        <v>839</v>
      </c>
      <c r="O75" s="72"/>
      <c r="P75" s="67"/>
      <c r="Q75" s="64"/>
      <c r="R75" s="64"/>
      <c r="S75" s="64"/>
      <c r="T75" s="64"/>
      <c r="U75" s="64"/>
      <c r="V75" s="64"/>
      <c r="W75" s="64"/>
      <c r="X75" s="64"/>
      <c r="Y75" s="64"/>
      <c r="Z75" s="64"/>
      <c r="AA75" s="64"/>
    </row>
    <row r="76" customFormat="false" ht="15" hidden="false" customHeight="false" outlineLevel="0" collapsed="false">
      <c r="A76" s="65" t="n">
        <v>46303</v>
      </c>
      <c r="B76" s="66" t="s">
        <v>484</v>
      </c>
      <c r="C76" s="67" t="str">
        <f aca="false" t="array" ref="C76:C76">IF(B76="","",IFERROR(INDEX('CLM &amp; IM Mapping'!$B$2:$B$270,MATCH(TRIM(B76),'CLM &amp; IM Mapping'!$A$2:$A$270,0)),"Not Mapped"))</f>
        <v>Raghavendra Vernekar</v>
      </c>
      <c r="D76" s="67" t="str">
        <f aca="false" t="array" ref="D76:D76">IF(B76="","",IFERROR(INDEX('CLM &amp; IM Mapping'!$C$2:$C$270,MATCH(TRIM(B76),'CLM &amp; IM Mapping'!$A$2:$A$270,0)),"Not Mapped"))</f>
        <v>Prakash BS</v>
      </c>
      <c r="E76" s="66" t="n">
        <v>1681</v>
      </c>
      <c r="F76" s="66" t="n">
        <v>1467</v>
      </c>
      <c r="G76" s="66" t="n">
        <v>2</v>
      </c>
      <c r="H76" s="66" t="n">
        <v>24</v>
      </c>
      <c r="I76" s="66" t="n">
        <v>83</v>
      </c>
      <c r="J76" s="66" t="n">
        <v>1</v>
      </c>
      <c r="K76" s="66" t="n">
        <v>104</v>
      </c>
      <c r="L76" s="66" t="n">
        <v>212</v>
      </c>
      <c r="M76" s="44"/>
      <c r="N76" s="44" t="s">
        <v>883</v>
      </c>
      <c r="O76" s="71"/>
      <c r="P76" s="67"/>
      <c r="Q76" s="64"/>
      <c r="R76" s="64"/>
      <c r="S76" s="64"/>
      <c r="T76" s="64"/>
      <c r="U76" s="64"/>
      <c r="V76" s="64"/>
      <c r="W76" s="64"/>
      <c r="X76" s="64"/>
      <c r="Y76" s="64"/>
      <c r="Z76" s="64"/>
      <c r="AA76" s="64"/>
    </row>
    <row r="77" customFormat="false" ht="15" hidden="false" customHeight="false" outlineLevel="0" collapsed="false">
      <c r="A77" s="65" t="n">
        <v>46303</v>
      </c>
      <c r="B77" s="66" t="s">
        <v>399</v>
      </c>
      <c r="C77" s="67" t="str">
        <f aca="false" t="array" ref="C77:C77">IF(B77="","",IFERROR(INDEX('CLM &amp; IM Mapping'!$B$2:$B$270,MATCH(TRIM(B77),'CLM &amp; IM Mapping'!$A$2:$A$270,0)),"Not Mapped"))</f>
        <v>John Britto</v>
      </c>
      <c r="D77" s="67" t="str">
        <f aca="false" t="array" ref="D77:D77">IF(B77="","",IFERROR(INDEX('CLM &amp; IM Mapping'!$C$2:$C$270,MATCH(TRIM(B77),'CLM &amp; IM Mapping'!$A$2:$A$270,0)),"Not Mapped"))</f>
        <v>Aravind S</v>
      </c>
      <c r="E77" s="66" t="n">
        <v>206</v>
      </c>
      <c r="F77" s="66" t="n">
        <v>0</v>
      </c>
      <c r="G77" s="66" t="n">
        <v>0</v>
      </c>
      <c r="H77" s="66" t="n">
        <v>206</v>
      </c>
      <c r="I77" s="66" t="n">
        <v>0</v>
      </c>
      <c r="J77" s="66" t="n">
        <v>0</v>
      </c>
      <c r="K77" s="66" t="n">
        <v>0</v>
      </c>
      <c r="L77" s="66" t="n">
        <v>206</v>
      </c>
      <c r="M77" s="44"/>
      <c r="N77" s="44"/>
      <c r="O77" s="72"/>
      <c r="P77" s="67"/>
      <c r="Q77" s="64"/>
      <c r="R77" s="64"/>
      <c r="S77" s="64"/>
      <c r="T77" s="64"/>
      <c r="U77" s="64"/>
      <c r="V77" s="64"/>
      <c r="W77" s="64"/>
      <c r="X77" s="64"/>
      <c r="Y77" s="64"/>
      <c r="Z77" s="64"/>
      <c r="AA77" s="64"/>
    </row>
    <row r="78" customFormat="false" ht="15" hidden="false" customHeight="false" outlineLevel="0" collapsed="false">
      <c r="A78" s="65" t="n">
        <v>46303</v>
      </c>
      <c r="B78" s="66" t="s">
        <v>488</v>
      </c>
      <c r="C78" s="67" t="str">
        <f aca="false" t="array" ref="C78:C78">IF(B78="","",IFERROR(INDEX('CLM &amp; IM Mapping'!$B$2:$B$270,MATCH(TRIM(B78),'CLM &amp; IM Mapping'!$A$2:$A$270,0)),"Not Mapped"))</f>
        <v>Sundaresh S</v>
      </c>
      <c r="D78" s="67" t="str">
        <f aca="false" t="array" ref="D78:D78">IF(B78="","",IFERROR(INDEX('CLM &amp; IM Mapping'!$C$2:$C$270,MATCH(TRIM(B78),'CLM &amp; IM Mapping'!$A$2:$A$270,0)),"Not Mapped"))</f>
        <v>Un Mapped</v>
      </c>
      <c r="E78" s="66" t="n">
        <v>2985</v>
      </c>
      <c r="F78" s="66" t="n">
        <v>0</v>
      </c>
      <c r="G78" s="66" t="n">
        <v>2786</v>
      </c>
      <c r="H78" s="66" t="n">
        <v>198</v>
      </c>
      <c r="I78" s="66" t="n">
        <v>0</v>
      </c>
      <c r="J78" s="66" t="n">
        <v>1</v>
      </c>
      <c r="K78" s="66" t="n">
        <v>0</v>
      </c>
      <c r="L78" s="66" t="n">
        <v>199</v>
      </c>
      <c r="M78" s="44"/>
      <c r="N78" s="44"/>
      <c r="O78" s="72"/>
      <c r="P78" s="67"/>
      <c r="Q78" s="64"/>
      <c r="R78" s="64"/>
      <c r="S78" s="64"/>
      <c r="T78" s="64"/>
      <c r="U78" s="64"/>
      <c r="V78" s="64"/>
      <c r="W78" s="64"/>
      <c r="X78" s="64"/>
      <c r="Y78" s="64"/>
      <c r="Z78" s="64"/>
      <c r="AA78" s="64"/>
    </row>
    <row r="79" customFormat="false" ht="15" hidden="false" customHeight="false" outlineLevel="0" collapsed="false">
      <c r="A79" s="65" t="n">
        <v>46303</v>
      </c>
      <c r="B79" s="66" t="s">
        <v>92</v>
      </c>
      <c r="C79" s="67" t="str">
        <f aca="false" t="array" ref="C79:C79">IF(B79="","",IFERROR(INDEX('CLM &amp; IM Mapping'!$B$2:$B$270,MATCH(TRIM(B79),'CLM &amp; IM Mapping'!$A$2:$A$270,0)),"Not Mapped"))</f>
        <v>Balaji G</v>
      </c>
      <c r="D79" s="67" t="str">
        <f aca="false" t="array" ref="D79:D79">IF(B79="","",IFERROR(INDEX('CLM &amp; IM Mapping'!$C$2:$C$270,MATCH(TRIM(B79),'CLM &amp; IM Mapping'!$A$2:$A$270,0)),"Not Mapped"))</f>
        <v>Mohammed Akbar</v>
      </c>
      <c r="E79" s="66" t="n">
        <v>1600</v>
      </c>
      <c r="F79" s="66" t="n">
        <v>742</v>
      </c>
      <c r="G79" s="66" t="n">
        <v>680</v>
      </c>
      <c r="H79" s="66" t="n">
        <v>178</v>
      </c>
      <c r="I79" s="66" t="n">
        <v>0</v>
      </c>
      <c r="J79" s="66" t="n">
        <v>0</v>
      </c>
      <c r="K79" s="66" t="n">
        <v>0</v>
      </c>
      <c r="L79" s="66" t="n">
        <v>178</v>
      </c>
      <c r="M79" s="44"/>
      <c r="N79" s="44" t="s">
        <v>839</v>
      </c>
      <c r="O79" s="72"/>
      <c r="P79" s="67"/>
      <c r="Q79" s="64"/>
      <c r="R79" s="64"/>
      <c r="S79" s="64"/>
      <c r="T79" s="64"/>
      <c r="U79" s="64"/>
      <c r="V79" s="64"/>
      <c r="W79" s="64"/>
      <c r="X79" s="64"/>
      <c r="Y79" s="64"/>
      <c r="Z79" s="64"/>
      <c r="AA79" s="64"/>
    </row>
    <row r="80" customFormat="false" ht="15" hidden="false" customHeight="false" outlineLevel="0" collapsed="false">
      <c r="A80" s="65" t="n">
        <v>46303</v>
      </c>
      <c r="B80" s="66" t="s">
        <v>305</v>
      </c>
      <c r="C80" s="67" t="str">
        <f aca="false" t="array" ref="C80:C80">IF(B80="","",IFERROR(INDEX('CLM &amp; IM Mapping'!$B$2:$B$270,MATCH(TRIM(B80),'CLM &amp; IM Mapping'!$A$2:$A$270,0)),"Not Mapped"))</f>
        <v>Manjunatha V</v>
      </c>
      <c r="D80" s="67" t="str">
        <f aca="false" t="array" ref="D80:D80">IF(B80="","",IFERROR(INDEX('CLM &amp; IM Mapping'!$C$2:$C$270,MATCH(TRIM(B80),'CLM &amp; IM Mapping'!$A$2:$A$270,0)),"Not Mapped"))</f>
        <v>Un Mapped</v>
      </c>
      <c r="E80" s="66" t="n">
        <v>2555</v>
      </c>
      <c r="F80" s="66" t="n">
        <v>693</v>
      </c>
      <c r="G80" s="66" t="n">
        <v>1693</v>
      </c>
      <c r="H80" s="66" t="n">
        <v>169</v>
      </c>
      <c r="I80" s="66" t="n">
        <v>0</v>
      </c>
      <c r="J80" s="66" t="n">
        <v>0</v>
      </c>
      <c r="K80" s="66" t="n">
        <v>0</v>
      </c>
      <c r="L80" s="66" t="n">
        <v>169</v>
      </c>
      <c r="M80" s="44"/>
      <c r="N80" s="44"/>
      <c r="O80" s="72"/>
      <c r="P80" s="67"/>
      <c r="Q80" s="64"/>
      <c r="R80" s="64"/>
      <c r="S80" s="64"/>
      <c r="T80" s="64"/>
      <c r="U80" s="64"/>
      <c r="V80" s="64"/>
      <c r="W80" s="64"/>
      <c r="X80" s="64"/>
      <c r="Y80" s="64"/>
      <c r="Z80" s="64"/>
      <c r="AA80" s="64"/>
    </row>
    <row r="81" customFormat="false" ht="15" hidden="false" customHeight="false" outlineLevel="0" collapsed="false">
      <c r="A81" s="65" t="n">
        <v>46303</v>
      </c>
      <c r="B81" s="66" t="s">
        <v>322</v>
      </c>
      <c r="C81" s="67" t="str">
        <f aca="false" t="array" ref="C81:C81">IF(B81="","",IFERROR(INDEX('CLM &amp; IM Mapping'!$B$2:$B$270,MATCH(TRIM(B81),'CLM &amp; IM Mapping'!$A$2:$A$270,0)),"Not Mapped"))</f>
        <v>Ashwath S</v>
      </c>
      <c r="D81" s="67" t="str">
        <f aca="false" t="array" ref="D81:D81">IF(B81="","",IFERROR(INDEX('CLM &amp; IM Mapping'!$C$2:$C$270,MATCH(TRIM(B81),'CLM &amp; IM Mapping'!$A$2:$A$270,0)),"Not Mapped"))</f>
        <v>Kantha Kumar</v>
      </c>
      <c r="E81" s="66" t="n">
        <v>1233</v>
      </c>
      <c r="F81" s="66" t="n">
        <v>0</v>
      </c>
      <c r="G81" s="66" t="n">
        <v>1066</v>
      </c>
      <c r="H81" s="66" t="n">
        <v>0</v>
      </c>
      <c r="I81" s="66" t="n">
        <v>167</v>
      </c>
      <c r="J81" s="66" t="n">
        <v>0</v>
      </c>
      <c r="K81" s="66" t="n">
        <v>0</v>
      </c>
      <c r="L81" s="66" t="n">
        <v>167</v>
      </c>
      <c r="M81" s="44"/>
      <c r="N81" s="44"/>
      <c r="O81" s="72"/>
      <c r="P81" s="67"/>
      <c r="Q81" s="64"/>
      <c r="R81" s="64"/>
      <c r="S81" s="64"/>
      <c r="T81" s="64"/>
      <c r="U81" s="64"/>
      <c r="V81" s="64"/>
      <c r="W81" s="64"/>
      <c r="X81" s="64"/>
      <c r="Y81" s="64"/>
      <c r="Z81" s="64"/>
      <c r="AA81" s="64"/>
    </row>
    <row r="82" customFormat="false" ht="15" hidden="false" customHeight="false" outlineLevel="0" collapsed="false">
      <c r="A82" s="65" t="n">
        <v>46303</v>
      </c>
      <c r="B82" s="66" t="s">
        <v>114</v>
      </c>
      <c r="C82" s="67" t="str">
        <f aca="false" t="array" ref="C82:C82">IF(B82="","",IFERROR(INDEX('CLM &amp; IM Mapping'!$B$2:$B$270,MATCH(TRIM(B82),'CLM &amp; IM Mapping'!$A$2:$A$270,0)),"Not Mapped"))</f>
        <v>Adhavan Subramani</v>
      </c>
      <c r="D82" s="67" t="str">
        <f aca="false" t="array" ref="D82:D82">IF(B82="","",IFERROR(INDEX('CLM &amp; IM Mapping'!$C$2:$C$270,MATCH(TRIM(B82),'CLM &amp; IM Mapping'!$A$2:$A$270,0)),"Not Mapped"))</f>
        <v>Mohammed Akbar</v>
      </c>
      <c r="E82" s="66" t="n">
        <v>160</v>
      </c>
      <c r="F82" s="66" t="n">
        <v>0</v>
      </c>
      <c r="G82" s="66" t="n">
        <v>0</v>
      </c>
      <c r="H82" s="66" t="n">
        <v>160</v>
      </c>
      <c r="I82" s="66" t="n">
        <v>0</v>
      </c>
      <c r="J82" s="66" t="n">
        <v>0</v>
      </c>
      <c r="K82" s="66" t="n">
        <v>0</v>
      </c>
      <c r="L82" s="66" t="n">
        <v>160</v>
      </c>
      <c r="M82" s="44"/>
      <c r="N82" s="44" t="s">
        <v>883</v>
      </c>
      <c r="O82" s="72"/>
      <c r="P82" s="67"/>
      <c r="Q82" s="64"/>
      <c r="R82" s="64"/>
      <c r="S82" s="64"/>
      <c r="T82" s="64"/>
      <c r="U82" s="64"/>
      <c r="V82" s="64"/>
      <c r="W82" s="64"/>
      <c r="X82" s="64"/>
      <c r="Y82" s="64"/>
      <c r="Z82" s="64"/>
      <c r="AA82" s="64"/>
    </row>
    <row r="83" customFormat="false" ht="15" hidden="false" customHeight="false" outlineLevel="0" collapsed="false">
      <c r="A83" s="65" t="n">
        <v>46303</v>
      </c>
      <c r="B83" s="66" t="s">
        <v>397</v>
      </c>
      <c r="C83" s="67" t="str">
        <f aca="false" t="array" ref="C83:C83">IF(B83="","",IFERROR(INDEX('CLM &amp; IM Mapping'!$B$2:$B$270,MATCH(TRIM(B83),'CLM &amp; IM Mapping'!$A$2:$A$270,0)),"Not Mapped"))</f>
        <v>Akshay P</v>
      </c>
      <c r="D83" s="67" t="str">
        <f aca="false" t="array" ref="D83:D83">IF(B83="","",IFERROR(INDEX('CLM &amp; IM Mapping'!$C$2:$C$270,MATCH(TRIM(B83),'CLM &amp; IM Mapping'!$A$2:$A$270,0)),"Not Mapped"))</f>
        <v>Srittam Dhal</v>
      </c>
      <c r="E83" s="66" t="n">
        <v>2021</v>
      </c>
      <c r="F83" s="66" t="n">
        <v>0</v>
      </c>
      <c r="G83" s="66" t="n">
        <v>1894</v>
      </c>
      <c r="H83" s="66" t="n">
        <v>0</v>
      </c>
      <c r="I83" s="66" t="n">
        <v>10</v>
      </c>
      <c r="J83" s="66" t="n">
        <v>39</v>
      </c>
      <c r="K83" s="66" t="n">
        <v>78</v>
      </c>
      <c r="L83" s="66" t="n">
        <v>127</v>
      </c>
      <c r="M83" s="44"/>
      <c r="N83" s="44"/>
      <c r="O83" s="72"/>
      <c r="P83" s="67"/>
      <c r="Q83" s="64"/>
      <c r="R83" s="64"/>
      <c r="S83" s="64"/>
      <c r="T83" s="64"/>
      <c r="U83" s="64"/>
      <c r="V83" s="64"/>
      <c r="W83" s="64"/>
      <c r="X83" s="64"/>
      <c r="Y83" s="64"/>
      <c r="Z83" s="64"/>
      <c r="AA83" s="64"/>
    </row>
    <row r="84" customFormat="false" ht="15" hidden="false" customHeight="false" outlineLevel="0" collapsed="false">
      <c r="A84" s="65" t="n">
        <v>46303</v>
      </c>
      <c r="B84" s="66" t="s">
        <v>516</v>
      </c>
      <c r="C84" s="67" t="str">
        <f aca="false" t="array" ref="C84:C84">IF(B84="","",IFERROR(INDEX('CLM &amp; IM Mapping'!$B$2:$B$270,MATCH(TRIM(B84),'CLM &amp; IM Mapping'!$A$2:$A$270,0)),"Not Mapped"))</f>
        <v>Sundaresh S</v>
      </c>
      <c r="D84" s="67" t="str">
        <f aca="false" t="array" ref="D84:D84">IF(B84="","",IFERROR(INDEX('CLM &amp; IM Mapping'!$C$2:$C$270,MATCH(TRIM(B84),'CLM &amp; IM Mapping'!$A$2:$A$270,0)),"Not Mapped"))</f>
        <v>Un Mapped</v>
      </c>
      <c r="E84" s="66" t="n">
        <v>317</v>
      </c>
      <c r="F84" s="66" t="n">
        <v>191</v>
      </c>
      <c r="G84" s="66" t="n">
        <v>0</v>
      </c>
      <c r="H84" s="66" t="n">
        <v>126</v>
      </c>
      <c r="I84" s="66" t="n">
        <v>0</v>
      </c>
      <c r="J84" s="66" t="n">
        <v>0</v>
      </c>
      <c r="K84" s="66" t="n">
        <v>0</v>
      </c>
      <c r="L84" s="66" t="n">
        <v>126</v>
      </c>
      <c r="M84" s="44"/>
      <c r="N84" s="44"/>
      <c r="O84" s="72"/>
      <c r="P84" s="67"/>
      <c r="Q84" s="64"/>
      <c r="R84" s="64"/>
      <c r="S84" s="64"/>
      <c r="T84" s="64"/>
      <c r="U84" s="64"/>
      <c r="V84" s="64"/>
      <c r="W84" s="64"/>
      <c r="X84" s="64"/>
      <c r="Y84" s="64"/>
      <c r="Z84" s="64"/>
      <c r="AA84" s="64"/>
    </row>
    <row r="85" customFormat="false" ht="15" hidden="false" customHeight="false" outlineLevel="0" collapsed="false">
      <c r="A85" s="65" t="n">
        <v>46303</v>
      </c>
      <c r="B85" s="66" t="s">
        <v>86</v>
      </c>
      <c r="C85" s="67" t="str">
        <f aca="false" t="array" ref="C85:C85">IF(B85="","",IFERROR(INDEX('CLM &amp; IM Mapping'!$B$2:$B$270,MATCH(TRIM(B85),'CLM &amp; IM Mapping'!$A$2:$A$270,0)),"Not Mapped"))</f>
        <v>Raghavendra Vernekar</v>
      </c>
      <c r="D85" s="67" t="str">
        <f aca="false" t="array" ref="D85:D85">IF(B85="","",IFERROR(INDEX('CLM &amp; IM Mapping'!$C$2:$C$270,MATCH(TRIM(B85),'CLM &amp; IM Mapping'!$A$2:$A$270,0)),"Not Mapped"))</f>
        <v>Prakash BS</v>
      </c>
      <c r="E85" s="66" t="n">
        <v>3424</v>
      </c>
      <c r="F85" s="66" t="n">
        <v>8</v>
      </c>
      <c r="G85" s="66" t="n">
        <v>3298</v>
      </c>
      <c r="H85" s="66" t="n">
        <v>0</v>
      </c>
      <c r="I85" s="66" t="n">
        <v>118</v>
      </c>
      <c r="J85" s="66" t="n">
        <v>0</v>
      </c>
      <c r="K85" s="66" t="n">
        <v>0</v>
      </c>
      <c r="L85" s="66" t="n">
        <v>118</v>
      </c>
      <c r="M85" s="44"/>
      <c r="N85" s="44" t="s">
        <v>912</v>
      </c>
      <c r="O85" s="71"/>
      <c r="P85" s="67"/>
      <c r="Q85" s="64"/>
      <c r="R85" s="64"/>
      <c r="S85" s="64"/>
      <c r="T85" s="64"/>
      <c r="U85" s="64"/>
      <c r="V85" s="64"/>
      <c r="W85" s="64"/>
      <c r="X85" s="64"/>
      <c r="Y85" s="64"/>
      <c r="Z85" s="64"/>
      <c r="AA85" s="64"/>
    </row>
    <row r="86" customFormat="false" ht="15" hidden="false" customHeight="false" outlineLevel="0" collapsed="false">
      <c r="A86" s="65" t="n">
        <v>46303</v>
      </c>
      <c r="B86" s="66" t="s">
        <v>530</v>
      </c>
      <c r="C86" s="67" t="str">
        <f aca="false" t="array" ref="C86:C86">IF(B86="","",IFERROR(INDEX('CLM &amp; IM Mapping'!$B$2:$B$270,MATCH(TRIM(B86),'CLM &amp; IM Mapping'!$A$2:$A$270,0)),"Not Mapped"))</f>
        <v>Balaji G</v>
      </c>
      <c r="D86" s="67" t="str">
        <f aca="false" t="array" ref="D86:D86">IF(B86="","",IFERROR(INDEX('CLM &amp; IM Mapping'!$C$2:$C$270,MATCH(TRIM(B86),'CLM &amp; IM Mapping'!$A$2:$A$270,0)),"Not Mapped"))</f>
        <v>Mohammed Akbar</v>
      </c>
      <c r="E86" s="66" t="n">
        <v>692</v>
      </c>
      <c r="F86" s="66" t="n">
        <v>0</v>
      </c>
      <c r="G86" s="66" t="n">
        <v>589</v>
      </c>
      <c r="H86" s="66" t="n">
        <v>0</v>
      </c>
      <c r="I86" s="66" t="n">
        <v>103</v>
      </c>
      <c r="J86" s="66" t="n">
        <v>0</v>
      </c>
      <c r="K86" s="66" t="n">
        <v>0</v>
      </c>
      <c r="L86" s="66" t="n">
        <v>103</v>
      </c>
      <c r="M86" s="44"/>
      <c r="N86" s="44" t="s">
        <v>909</v>
      </c>
      <c r="O86" s="68" t="s">
        <v>723</v>
      </c>
      <c r="P86" s="68" t="s">
        <v>913</v>
      </c>
      <c r="Q86" s="64"/>
      <c r="R86" s="64"/>
      <c r="S86" s="64"/>
      <c r="T86" s="64"/>
      <c r="U86" s="64"/>
      <c r="V86" s="64"/>
      <c r="W86" s="64"/>
      <c r="X86" s="64"/>
      <c r="Y86" s="64"/>
      <c r="Z86" s="64"/>
      <c r="AA86" s="64"/>
    </row>
    <row r="87" customFormat="false" ht="15" hidden="false" customHeight="false" outlineLevel="0" collapsed="false">
      <c r="A87" s="65" t="n">
        <v>46303</v>
      </c>
      <c r="B87" s="66" t="s">
        <v>136</v>
      </c>
      <c r="C87" s="67" t="str">
        <f aca="false" t="array" ref="C87:C87">IF(B87="","",IFERROR(INDEX('CLM &amp; IM Mapping'!$B$2:$B$270,MATCH(TRIM(B87),'CLM &amp; IM Mapping'!$A$2:$A$270,0)),"Not Mapped"))</f>
        <v>Arun Raj</v>
      </c>
      <c r="D87" s="67" t="str">
        <f aca="false" t="array" ref="D87:D87">IF(B87="","",IFERROR(INDEX('CLM &amp; IM Mapping'!$C$2:$C$270,MATCH(TRIM(B87),'CLM &amp; IM Mapping'!$A$2:$A$270,0)),"Not Mapped"))</f>
        <v>Simon Manoharan</v>
      </c>
      <c r="E87" s="66" t="n">
        <v>4802</v>
      </c>
      <c r="F87" s="66" t="n">
        <v>0</v>
      </c>
      <c r="G87" s="66" t="n">
        <v>818</v>
      </c>
      <c r="H87" s="66" t="n">
        <v>3881</v>
      </c>
      <c r="I87" s="66" t="n">
        <v>0</v>
      </c>
      <c r="J87" s="66" t="n">
        <v>2</v>
      </c>
      <c r="K87" s="66" t="n">
        <v>101</v>
      </c>
      <c r="L87" s="66" t="n">
        <v>103</v>
      </c>
      <c r="M87" s="44"/>
      <c r="N87" s="44"/>
      <c r="O87" s="72"/>
      <c r="P87" s="67"/>
      <c r="Q87" s="64"/>
      <c r="R87" s="64"/>
      <c r="S87" s="64"/>
      <c r="T87" s="64"/>
      <c r="U87" s="64"/>
      <c r="V87" s="64"/>
      <c r="W87" s="64"/>
      <c r="X87" s="64"/>
      <c r="Y87" s="64"/>
      <c r="Z87" s="64"/>
      <c r="AA87" s="64"/>
    </row>
    <row r="88" customFormat="false" ht="15" hidden="false" customHeight="false" outlineLevel="0" collapsed="false">
      <c r="A88" s="65" t="n">
        <v>46303</v>
      </c>
      <c r="B88" s="66" t="s">
        <v>94</v>
      </c>
      <c r="C88" s="67" t="str">
        <f aca="false" t="array" ref="C88:C88">IF(B88="","",IFERROR(INDEX('CLM &amp; IM Mapping'!$B$2:$B$270,MATCH(TRIM(B88),'CLM &amp; IM Mapping'!$A$2:$A$270,0)),"Not Mapped"))</f>
        <v>Ashwath S</v>
      </c>
      <c r="D88" s="67" t="str">
        <f aca="false" t="array" ref="D88:D88">IF(B88="","",IFERROR(INDEX('CLM &amp; IM Mapping'!$C$2:$C$270,MATCH(TRIM(B88),'CLM &amp; IM Mapping'!$A$2:$A$270,0)),"Not Mapped"))</f>
        <v>Kantha Kumar</v>
      </c>
      <c r="E88" s="66" t="n">
        <v>2939</v>
      </c>
      <c r="F88" s="66" t="n">
        <v>0</v>
      </c>
      <c r="G88" s="66" t="n">
        <v>2837</v>
      </c>
      <c r="H88" s="66" t="n">
        <v>0</v>
      </c>
      <c r="I88" s="66" t="n">
        <v>102</v>
      </c>
      <c r="J88" s="66" t="n">
        <v>0</v>
      </c>
      <c r="K88" s="66" t="n">
        <v>0</v>
      </c>
      <c r="L88" s="66" t="n">
        <v>102</v>
      </c>
      <c r="M88" s="44"/>
      <c r="N88" s="44"/>
      <c r="O88" s="72"/>
      <c r="P88" s="67"/>
      <c r="Q88" s="64"/>
      <c r="R88" s="64"/>
      <c r="S88" s="64"/>
      <c r="T88" s="64"/>
      <c r="U88" s="64"/>
      <c r="V88" s="64"/>
      <c r="W88" s="64"/>
      <c r="X88" s="64"/>
      <c r="Y88" s="64"/>
      <c r="Z88" s="64"/>
      <c r="AA88" s="64"/>
    </row>
    <row r="89" customFormat="false" ht="15" hidden="false" customHeight="false" outlineLevel="0" collapsed="false">
      <c r="A89" s="65" t="n">
        <v>46303</v>
      </c>
      <c r="B89" s="66" t="s">
        <v>41</v>
      </c>
      <c r="C89" s="67" t="str">
        <f aca="false" t="array" ref="C89:C89">IF(B89="","",IFERROR(INDEX('CLM &amp; IM Mapping'!$B$2:$B$270,MATCH(TRIM(B89),'CLM &amp; IM Mapping'!$A$2:$A$270,0)),"Not Mapped"))</f>
        <v>Rizwan Ahmed</v>
      </c>
      <c r="D89" s="67" t="str">
        <f aca="false" t="array" ref="D89:D89">IF(B89="","",IFERROR(INDEX('CLM &amp; IM Mapping'!$C$2:$C$270,MATCH(TRIM(B89),'CLM &amp; IM Mapping'!$A$2:$A$270,0)),"Not Mapped"))</f>
        <v>Un Mapped</v>
      </c>
      <c r="E89" s="66" t="n">
        <v>3647</v>
      </c>
      <c r="F89" s="66" t="n">
        <v>82</v>
      </c>
      <c r="G89" s="66" t="n">
        <v>3485</v>
      </c>
      <c r="H89" s="66" t="n">
        <v>0</v>
      </c>
      <c r="I89" s="66" t="n">
        <v>11</v>
      </c>
      <c r="J89" s="66" t="n">
        <v>0</v>
      </c>
      <c r="K89" s="66" t="n">
        <v>69</v>
      </c>
      <c r="L89" s="66" t="n">
        <v>80</v>
      </c>
      <c r="M89" s="44"/>
      <c r="N89" s="44"/>
      <c r="O89" s="72"/>
      <c r="P89" s="67"/>
      <c r="Q89" s="64"/>
      <c r="R89" s="64"/>
      <c r="S89" s="64"/>
      <c r="T89" s="64"/>
      <c r="U89" s="64"/>
      <c r="V89" s="64"/>
      <c r="W89" s="64"/>
      <c r="X89" s="64"/>
      <c r="Y89" s="64"/>
      <c r="Z89" s="64"/>
      <c r="AA89" s="64"/>
    </row>
    <row r="90" customFormat="false" ht="15" hidden="false" customHeight="false" outlineLevel="0" collapsed="false">
      <c r="A90" s="65" t="n">
        <v>46303</v>
      </c>
      <c r="B90" s="66" t="s">
        <v>288</v>
      </c>
      <c r="C90" s="67" t="str">
        <f aca="false" t="array" ref="C90:C90">IF(B90="","",IFERROR(INDEX('CLM &amp; IM Mapping'!$B$2:$B$270,MATCH(TRIM(B90),'CLM &amp; IM Mapping'!$A$2:$A$270,0)),"Not Mapped"))</f>
        <v>Arun Raj</v>
      </c>
      <c r="D90" s="67" t="str">
        <f aca="false" t="array" ref="D90:D90">IF(B90="","",IFERROR(INDEX('CLM &amp; IM Mapping'!$C$2:$C$270,MATCH(TRIM(B90),'CLM &amp; IM Mapping'!$A$2:$A$270,0)),"Not Mapped"))</f>
        <v>Simon Manoharan</v>
      </c>
      <c r="E90" s="66" t="n">
        <v>2248</v>
      </c>
      <c r="F90" s="66" t="n">
        <v>0</v>
      </c>
      <c r="G90" s="66" t="n">
        <v>7</v>
      </c>
      <c r="H90" s="66" t="n">
        <v>2176</v>
      </c>
      <c r="I90" s="66" t="n">
        <v>64</v>
      </c>
      <c r="J90" s="66" t="n">
        <v>0</v>
      </c>
      <c r="K90" s="66" t="n">
        <v>1</v>
      </c>
      <c r="L90" s="66" t="n">
        <v>65</v>
      </c>
      <c r="M90" s="44"/>
      <c r="N90" s="44"/>
      <c r="O90" s="72"/>
      <c r="P90" s="67"/>
      <c r="Q90" s="64"/>
      <c r="R90" s="64"/>
      <c r="S90" s="64"/>
      <c r="T90" s="64"/>
      <c r="U90" s="64"/>
      <c r="V90" s="64"/>
      <c r="W90" s="64"/>
      <c r="X90" s="64"/>
      <c r="Y90" s="64"/>
      <c r="Z90" s="64"/>
      <c r="AA90" s="64"/>
    </row>
    <row r="91" customFormat="false" ht="15" hidden="false" customHeight="false" outlineLevel="0" collapsed="false">
      <c r="A91" s="65" t="n">
        <v>46303</v>
      </c>
      <c r="B91" s="66" t="s">
        <v>451</v>
      </c>
      <c r="C91" s="67" t="str">
        <f aca="false" t="array" ref="C91:C91">IF(B91="","",IFERROR(INDEX('CLM &amp; IM Mapping'!$B$2:$B$270,MATCH(TRIM(B91),'CLM &amp; IM Mapping'!$A$2:$A$270,0)),"Not Mapped"))</f>
        <v>Ashwath S</v>
      </c>
      <c r="D91" s="67" t="str">
        <f aca="false" t="array" ref="D91:D91">IF(B91="","",IFERROR(INDEX('CLM &amp; IM Mapping'!$C$2:$C$270,MATCH(TRIM(B91),'CLM &amp; IM Mapping'!$A$2:$A$270,0)),"Not Mapped"))</f>
        <v>Kantha Kumar</v>
      </c>
      <c r="E91" s="66" t="n">
        <v>80</v>
      </c>
      <c r="F91" s="66" t="n">
        <v>0</v>
      </c>
      <c r="G91" s="66" t="n">
        <v>15</v>
      </c>
      <c r="H91" s="66" t="n">
        <v>65</v>
      </c>
      <c r="I91" s="66" t="n">
        <v>0</v>
      </c>
      <c r="J91" s="66" t="n">
        <v>0</v>
      </c>
      <c r="K91" s="66" t="n">
        <v>0</v>
      </c>
      <c r="L91" s="66" t="n">
        <v>65</v>
      </c>
      <c r="M91" s="44"/>
      <c r="N91" s="44"/>
      <c r="O91" s="72"/>
      <c r="P91" s="67"/>
      <c r="Q91" s="64"/>
      <c r="R91" s="64"/>
      <c r="S91" s="64"/>
      <c r="T91" s="64"/>
      <c r="U91" s="64"/>
      <c r="V91" s="64"/>
      <c r="W91" s="64"/>
      <c r="X91" s="64"/>
      <c r="Y91" s="64"/>
      <c r="Z91" s="64"/>
      <c r="AA91" s="64"/>
    </row>
    <row r="92" customFormat="false" ht="15" hidden="false" customHeight="false" outlineLevel="0" collapsed="false">
      <c r="A92" s="65" t="n">
        <v>46303</v>
      </c>
      <c r="B92" s="66" t="s">
        <v>241</v>
      </c>
      <c r="C92" s="67" t="str">
        <f aca="false" t="array" ref="C92:C92">IF(B92="","",IFERROR(INDEX('CLM &amp; IM Mapping'!$B$2:$B$270,MATCH(TRIM(B92),'CLM &amp; IM Mapping'!$A$2:$A$270,0)),"Not Mapped"))</f>
        <v>Sundaresh S</v>
      </c>
      <c r="D92" s="67" t="str">
        <f aca="false" t="array" ref="D92:D92">IF(B92="","",IFERROR(INDEX('CLM &amp; IM Mapping'!$C$2:$C$270,MATCH(TRIM(B92),'CLM &amp; IM Mapping'!$A$2:$A$270,0)),"Not Mapped"))</f>
        <v>Un Mapped</v>
      </c>
      <c r="E92" s="66" t="n">
        <v>2736</v>
      </c>
      <c r="F92" s="66" t="n">
        <v>0</v>
      </c>
      <c r="G92" s="66" t="n">
        <v>2680</v>
      </c>
      <c r="H92" s="66" t="n">
        <v>0</v>
      </c>
      <c r="I92" s="66" t="n">
        <v>56</v>
      </c>
      <c r="J92" s="66" t="n">
        <v>0</v>
      </c>
      <c r="K92" s="66" t="n">
        <v>0</v>
      </c>
      <c r="L92" s="66" t="n">
        <v>56</v>
      </c>
      <c r="M92" s="44"/>
      <c r="N92" s="44"/>
      <c r="O92" s="72"/>
      <c r="P92" s="67"/>
      <c r="Q92" s="64"/>
      <c r="R92" s="64"/>
      <c r="S92" s="64"/>
      <c r="T92" s="64"/>
      <c r="U92" s="64"/>
      <c r="V92" s="64"/>
      <c r="W92" s="64"/>
      <c r="X92" s="64"/>
      <c r="Y92" s="64"/>
      <c r="Z92" s="64"/>
      <c r="AA92" s="64"/>
    </row>
    <row r="93" customFormat="false" ht="15" hidden="false" customHeight="false" outlineLevel="0" collapsed="false">
      <c r="A93" s="65" t="n">
        <v>46303</v>
      </c>
      <c r="B93" s="66" t="s">
        <v>139</v>
      </c>
      <c r="C93" s="67" t="str">
        <f aca="false" t="array" ref="C93:C93">IF(B93="","",IFERROR(INDEX('CLM &amp; IM Mapping'!$B$2:$B$270,MATCH(TRIM(B93),'CLM &amp; IM Mapping'!$A$2:$A$270,0)),"Not Mapped"))</f>
        <v>Mohaideen DH</v>
      </c>
      <c r="D93" s="67" t="str">
        <f aca="false" t="array" ref="D93:D93">IF(B93="","",IFERROR(INDEX('CLM &amp; IM Mapping'!$C$2:$C$270,MATCH(TRIM(B93),'CLM &amp; IM Mapping'!$A$2:$A$270,0)),"Not Mapped"))</f>
        <v>Mohammed Akbar</v>
      </c>
      <c r="E93" s="66" t="n">
        <v>4553</v>
      </c>
      <c r="F93" s="66" t="n">
        <v>437</v>
      </c>
      <c r="G93" s="66" t="n">
        <v>4060</v>
      </c>
      <c r="H93" s="66" t="n">
        <v>0</v>
      </c>
      <c r="I93" s="66" t="n">
        <v>0</v>
      </c>
      <c r="J93" s="66" t="n">
        <v>56</v>
      </c>
      <c r="K93" s="66" t="n">
        <v>0</v>
      </c>
      <c r="L93" s="66" t="n">
        <v>56</v>
      </c>
      <c r="M93" s="44"/>
      <c r="N93" s="44" t="s">
        <v>859</v>
      </c>
      <c r="O93" s="68" t="s">
        <v>914</v>
      </c>
      <c r="P93" s="68" t="s">
        <v>915</v>
      </c>
      <c r="Q93" s="64"/>
      <c r="R93" s="64"/>
      <c r="S93" s="64"/>
      <c r="T93" s="64"/>
      <c r="U93" s="64"/>
      <c r="V93" s="64"/>
      <c r="W93" s="64"/>
      <c r="X93" s="64"/>
      <c r="Y93" s="64"/>
      <c r="Z93" s="64"/>
      <c r="AA93" s="64"/>
    </row>
    <row r="94" customFormat="false" ht="15" hidden="false" customHeight="false" outlineLevel="0" collapsed="false">
      <c r="A94" s="65" t="n">
        <v>46303</v>
      </c>
      <c r="B94" s="66" t="s">
        <v>129</v>
      </c>
      <c r="C94" s="67" t="str">
        <f aca="false" t="array" ref="C94:C94">IF(B94="","",IFERROR(INDEX('CLM &amp; IM Mapping'!$B$2:$B$270,MATCH(TRIM(B94),'CLM &amp; IM Mapping'!$A$2:$A$270,0)),"Not Mapped"))</f>
        <v>Ashwath S</v>
      </c>
      <c r="D94" s="67" t="str">
        <f aca="false" t="array" ref="D94:D94">IF(B94="","",IFERROR(INDEX('CLM &amp; IM Mapping'!$C$2:$C$270,MATCH(TRIM(B94),'CLM &amp; IM Mapping'!$A$2:$A$270,0)),"Not Mapped"))</f>
        <v>Kantha Kumar</v>
      </c>
      <c r="E94" s="66" t="n">
        <v>301</v>
      </c>
      <c r="F94" s="66" t="n">
        <v>0</v>
      </c>
      <c r="G94" s="66" t="n">
        <v>253</v>
      </c>
      <c r="H94" s="66" t="n">
        <v>48</v>
      </c>
      <c r="I94" s="66" t="n">
        <v>0</v>
      </c>
      <c r="J94" s="66" t="n">
        <v>0</v>
      </c>
      <c r="K94" s="66" t="n">
        <v>0</v>
      </c>
      <c r="L94" s="66" t="n">
        <v>48</v>
      </c>
      <c r="M94" s="44"/>
      <c r="N94" s="44"/>
      <c r="O94" s="72"/>
      <c r="P94" s="67"/>
      <c r="Q94" s="64"/>
      <c r="R94" s="64"/>
      <c r="S94" s="64"/>
      <c r="T94" s="64"/>
      <c r="U94" s="64"/>
      <c r="V94" s="64"/>
      <c r="W94" s="64"/>
      <c r="X94" s="64"/>
      <c r="Y94" s="64"/>
      <c r="Z94" s="64"/>
      <c r="AA94" s="64"/>
    </row>
    <row r="95" customFormat="false" ht="15" hidden="false" customHeight="false" outlineLevel="0" collapsed="false">
      <c r="A95" s="65" t="n">
        <v>46303</v>
      </c>
      <c r="B95" s="66" t="s">
        <v>378</v>
      </c>
      <c r="C95" s="67" t="str">
        <f aca="false" t="array" ref="C95:C95">IF(B95="","",IFERROR(INDEX('CLM &amp; IM Mapping'!$B$2:$B$270,MATCH(TRIM(B95),'CLM &amp; IM Mapping'!$A$2:$A$270,0)),"Not Mapped"))</f>
        <v>Vishnu V</v>
      </c>
      <c r="D95" s="67" t="str">
        <f aca="false" t="array" ref="D95:D95">IF(B95="","",IFERROR(INDEX('CLM &amp; IM Mapping'!$C$2:$C$270,MATCH(TRIM(B95),'CLM &amp; IM Mapping'!$A$2:$A$270,0)),"Not Mapped"))</f>
        <v>Arivind S</v>
      </c>
      <c r="E95" s="66" t="n">
        <v>47</v>
      </c>
      <c r="F95" s="66" t="n">
        <v>0</v>
      </c>
      <c r="G95" s="66" t="n">
        <v>0</v>
      </c>
      <c r="H95" s="66" t="n">
        <v>0</v>
      </c>
      <c r="I95" s="66" t="n">
        <v>0</v>
      </c>
      <c r="J95" s="66" t="n">
        <v>0</v>
      </c>
      <c r="K95" s="66" t="n">
        <v>47</v>
      </c>
      <c r="L95" s="66" t="n">
        <v>47</v>
      </c>
      <c r="M95" s="44"/>
      <c r="N95" s="44"/>
      <c r="O95" s="72"/>
      <c r="P95" s="67"/>
      <c r="Q95" s="64"/>
      <c r="R95" s="64"/>
      <c r="S95" s="64"/>
      <c r="T95" s="64"/>
      <c r="U95" s="64"/>
      <c r="V95" s="64"/>
      <c r="W95" s="64"/>
      <c r="X95" s="64"/>
      <c r="Y95" s="64"/>
      <c r="Z95" s="64"/>
      <c r="AA95" s="64"/>
    </row>
    <row r="96" customFormat="false" ht="25.35" hidden="false" customHeight="false" outlineLevel="0" collapsed="false">
      <c r="A96" s="65" t="n">
        <v>46303</v>
      </c>
      <c r="B96" s="66" t="s">
        <v>296</v>
      </c>
      <c r="C96" s="67" t="str">
        <f aca="false" t="array" ref="C96:C96">IF(B96="","",IFERROR(INDEX('CLM &amp; IM Mapping'!$B$2:$B$270,MATCH(TRIM(B96),'CLM &amp; IM Mapping'!$A$2:$A$270,0)),"Not Mapped"))</f>
        <v>Balaji G</v>
      </c>
      <c r="D96" s="67" t="str">
        <f aca="false" t="array" ref="D96:D96">IF(B96="","",IFERROR(INDEX('CLM &amp; IM Mapping'!$C$2:$C$270,MATCH(TRIM(B96),'CLM &amp; IM Mapping'!$A$2:$A$270,0)),"Not Mapped"))</f>
        <v>Mohammed Akbar</v>
      </c>
      <c r="E96" s="66" t="n">
        <v>45</v>
      </c>
      <c r="F96" s="66" t="n">
        <v>0</v>
      </c>
      <c r="G96" s="66" t="n">
        <v>0</v>
      </c>
      <c r="H96" s="66" t="n">
        <v>0</v>
      </c>
      <c r="I96" s="66" t="n">
        <v>0</v>
      </c>
      <c r="J96" s="66" t="n">
        <v>0</v>
      </c>
      <c r="K96" s="66" t="n">
        <v>45</v>
      </c>
      <c r="L96" s="66" t="n">
        <v>45</v>
      </c>
      <c r="M96" s="44"/>
      <c r="N96" s="44" t="s">
        <v>867</v>
      </c>
      <c r="O96" s="68" t="s">
        <v>916</v>
      </c>
      <c r="P96" s="67"/>
      <c r="Q96" s="64"/>
      <c r="R96" s="64"/>
      <c r="S96" s="64"/>
      <c r="T96" s="64"/>
      <c r="U96" s="64"/>
      <c r="V96" s="64"/>
      <c r="W96" s="64"/>
      <c r="X96" s="64"/>
      <c r="Y96" s="64"/>
      <c r="Z96" s="64"/>
      <c r="AA96" s="64"/>
    </row>
    <row r="97" customFormat="false" ht="15" hidden="false" customHeight="false" outlineLevel="0" collapsed="false">
      <c r="A97" s="65" t="n">
        <v>46303</v>
      </c>
      <c r="B97" s="66" t="s">
        <v>422</v>
      </c>
      <c r="C97" s="67" t="str">
        <f aca="false" t="array" ref="C97:C97">IF(B97="","",IFERROR(INDEX('CLM &amp; IM Mapping'!$B$2:$B$270,MATCH(TRIM(B97),'CLM &amp; IM Mapping'!$A$2:$A$270,0)),"Not Mapped"))</f>
        <v>Manjunatha V</v>
      </c>
      <c r="D97" s="67" t="str">
        <f aca="false" t="array" ref="D97:D97">IF(B97="","",IFERROR(INDEX('CLM &amp; IM Mapping'!$C$2:$C$270,MATCH(TRIM(B97),'CLM &amp; IM Mapping'!$A$2:$A$270,0)),"Not Mapped"))</f>
        <v>Un Mapped</v>
      </c>
      <c r="E97" s="66" t="n">
        <v>33</v>
      </c>
      <c r="F97" s="66" t="n">
        <v>0</v>
      </c>
      <c r="G97" s="66" t="n">
        <v>0</v>
      </c>
      <c r="H97" s="66" t="n">
        <v>33</v>
      </c>
      <c r="I97" s="66" t="n">
        <v>0</v>
      </c>
      <c r="J97" s="66" t="n">
        <v>0</v>
      </c>
      <c r="K97" s="66" t="n">
        <v>0</v>
      </c>
      <c r="L97" s="66" t="n">
        <v>33</v>
      </c>
      <c r="M97" s="44"/>
      <c r="N97" s="44"/>
      <c r="O97" s="72"/>
      <c r="P97" s="67"/>
      <c r="Q97" s="64"/>
      <c r="R97" s="64"/>
      <c r="S97" s="64"/>
      <c r="T97" s="64"/>
      <c r="U97" s="64"/>
      <c r="V97" s="64"/>
      <c r="W97" s="64"/>
      <c r="X97" s="64"/>
      <c r="Y97" s="64"/>
      <c r="Z97" s="64"/>
      <c r="AA97" s="64"/>
    </row>
    <row r="98" customFormat="false" ht="15" hidden="false" customHeight="false" outlineLevel="0" collapsed="false">
      <c r="A98" s="65" t="n">
        <v>46303</v>
      </c>
      <c r="B98" s="66" t="s">
        <v>290</v>
      </c>
      <c r="C98" s="67" t="str">
        <f aca="false" t="array" ref="C98:C98">IF(B98="","",IFERROR(INDEX('CLM &amp; IM Mapping'!$B$2:$B$270,MATCH(TRIM(B98),'CLM &amp; IM Mapping'!$A$2:$A$270,0)),"Not Mapped"))</f>
        <v>Akshay P</v>
      </c>
      <c r="D98" s="67" t="str">
        <f aca="false" t="array" ref="D98:D98">IF(B98="","",IFERROR(INDEX('CLM &amp; IM Mapping'!$C$2:$C$270,MATCH(TRIM(B98),'CLM &amp; IM Mapping'!$A$2:$A$270,0)),"Not Mapped"))</f>
        <v>Srittam Dhal</v>
      </c>
      <c r="E98" s="66" t="n">
        <v>155</v>
      </c>
      <c r="F98" s="66" t="n">
        <v>0</v>
      </c>
      <c r="G98" s="66" t="n">
        <v>127</v>
      </c>
      <c r="H98" s="66" t="n">
        <v>0</v>
      </c>
      <c r="I98" s="66" t="n">
        <v>0</v>
      </c>
      <c r="J98" s="66" t="n">
        <v>0</v>
      </c>
      <c r="K98" s="66" t="n">
        <v>28</v>
      </c>
      <c r="L98" s="66" t="n">
        <v>28</v>
      </c>
      <c r="M98" s="44"/>
      <c r="N98" s="44"/>
      <c r="O98" s="72"/>
      <c r="P98" s="67"/>
      <c r="Q98" s="64"/>
      <c r="R98" s="64"/>
      <c r="S98" s="64"/>
      <c r="T98" s="64"/>
      <c r="U98" s="64"/>
      <c r="V98" s="64"/>
      <c r="W98" s="64"/>
      <c r="X98" s="64"/>
      <c r="Y98" s="64"/>
      <c r="Z98" s="64"/>
      <c r="AA98" s="64"/>
    </row>
    <row r="99" customFormat="false" ht="15" hidden="false" customHeight="false" outlineLevel="0" collapsed="false">
      <c r="A99" s="65" t="n">
        <v>46303</v>
      </c>
      <c r="B99" s="66" t="s">
        <v>97</v>
      </c>
      <c r="C99" s="67" t="str">
        <f aca="false" t="array" ref="C99:C99">IF(B99="","",IFERROR(INDEX('CLM &amp; IM Mapping'!$B$2:$B$270,MATCH(TRIM(B99),'CLM &amp; IM Mapping'!$A$2:$A$270,0)),"Not Mapped"))</f>
        <v>Raghavendra Vernekar</v>
      </c>
      <c r="D99" s="67" t="str">
        <f aca="false" t="array" ref="D99:D99">IF(B99="","",IFERROR(INDEX('CLM &amp; IM Mapping'!$C$2:$C$270,MATCH(TRIM(B99),'CLM &amp; IM Mapping'!$A$2:$A$270,0)),"Not Mapped"))</f>
        <v>Prakash BS</v>
      </c>
      <c r="E99" s="66" t="n">
        <v>5089</v>
      </c>
      <c r="F99" s="66" t="n">
        <v>224</v>
      </c>
      <c r="G99" s="66" t="n">
        <v>4840</v>
      </c>
      <c r="H99" s="66" t="n">
        <v>0</v>
      </c>
      <c r="I99" s="66" t="n">
        <v>25</v>
      </c>
      <c r="J99" s="66" t="n">
        <v>0</v>
      </c>
      <c r="K99" s="66" t="n">
        <v>0</v>
      </c>
      <c r="L99" s="66" t="n">
        <v>25</v>
      </c>
      <c r="M99" s="44"/>
      <c r="N99" s="44" t="s">
        <v>912</v>
      </c>
      <c r="O99" s="71"/>
      <c r="P99" s="67"/>
      <c r="Q99" s="64"/>
      <c r="R99" s="64"/>
      <c r="S99" s="64"/>
      <c r="T99" s="64"/>
      <c r="U99" s="64"/>
      <c r="V99" s="64"/>
      <c r="W99" s="64"/>
      <c r="X99" s="64"/>
      <c r="Y99" s="64"/>
      <c r="Z99" s="64"/>
      <c r="AA99" s="64"/>
    </row>
    <row r="100" customFormat="false" ht="25.35" hidden="false" customHeight="false" outlineLevel="0" collapsed="false">
      <c r="A100" s="65" t="n">
        <v>46303</v>
      </c>
      <c r="B100" s="66" t="s">
        <v>405</v>
      </c>
      <c r="C100" s="67" t="str">
        <f aca="false" t="array" ref="C100:C100">IF(B100="","",IFERROR(INDEX('CLM &amp; IM Mapping'!$B$2:$B$270,MATCH(TRIM(B100),'CLM &amp; IM Mapping'!$A$2:$A$270,0)),"Not Mapped"))</f>
        <v>Adhavan Subramani</v>
      </c>
      <c r="D100" s="67" t="str">
        <f aca="false" t="array" ref="D100:D100">IF(B100="","",IFERROR(INDEX('CLM &amp; IM Mapping'!$C$2:$C$270,MATCH(TRIM(B100),'CLM &amp; IM Mapping'!$A$2:$A$270,0)),"Not Mapped"))</f>
        <v>Mohammed Akbar</v>
      </c>
      <c r="E100" s="66" t="n">
        <v>3224</v>
      </c>
      <c r="F100" s="66" t="n">
        <v>3199</v>
      </c>
      <c r="G100" s="66" t="n">
        <v>0</v>
      </c>
      <c r="H100" s="66" t="n">
        <v>0</v>
      </c>
      <c r="I100" s="66" t="n">
        <v>0</v>
      </c>
      <c r="J100" s="66" t="n">
        <v>0</v>
      </c>
      <c r="K100" s="66" t="n">
        <v>25</v>
      </c>
      <c r="L100" s="66" t="n">
        <v>25</v>
      </c>
      <c r="M100" s="44"/>
      <c r="N100" s="44" t="s">
        <v>912</v>
      </c>
      <c r="O100" s="68" t="s">
        <v>917</v>
      </c>
      <c r="P100" s="68" t="s">
        <v>918</v>
      </c>
      <c r="Q100" s="64"/>
      <c r="R100" s="64"/>
      <c r="S100" s="64"/>
      <c r="T100" s="64"/>
      <c r="U100" s="64"/>
      <c r="V100" s="64"/>
      <c r="W100" s="64"/>
      <c r="X100" s="64"/>
      <c r="Y100" s="64"/>
      <c r="Z100" s="64"/>
      <c r="AA100" s="64"/>
    </row>
    <row r="101" customFormat="false" ht="15" hidden="false" customHeight="false" outlineLevel="0" collapsed="false">
      <c r="A101" s="65" t="n">
        <v>46303</v>
      </c>
      <c r="B101" s="66" t="s">
        <v>500</v>
      </c>
      <c r="C101" s="67" t="str">
        <f aca="false" t="array" ref="C101:C101">IF(B101="","",IFERROR(INDEX('CLM &amp; IM Mapping'!$B$2:$B$270,MATCH(TRIM(B101),'CLM &amp; IM Mapping'!$A$2:$A$270,0)),"Not Mapped"))</f>
        <v>Ravishankar gowda</v>
      </c>
      <c r="D101" s="67" t="str">
        <f aca="false" t="array" ref="D101:D101">IF(B101="","",IFERROR(INDEX('CLM &amp; IM Mapping'!$C$2:$C$270,MATCH(TRIM(B101),'CLM &amp; IM Mapping'!$A$2:$A$270,0)),"Not Mapped"))</f>
        <v>Kishor K</v>
      </c>
      <c r="E101" s="66" t="n">
        <v>23</v>
      </c>
      <c r="F101" s="66" t="n">
        <v>0</v>
      </c>
      <c r="G101" s="66" t="n">
        <v>0</v>
      </c>
      <c r="H101" s="66" t="n">
        <v>23</v>
      </c>
      <c r="I101" s="66" t="n">
        <v>0</v>
      </c>
      <c r="J101" s="66" t="n">
        <v>0</v>
      </c>
      <c r="K101" s="66" t="n">
        <v>0</v>
      </c>
      <c r="L101" s="66" t="n">
        <v>23</v>
      </c>
      <c r="M101" s="44"/>
      <c r="N101" s="44" t="s">
        <v>912</v>
      </c>
      <c r="O101" s="68" t="s">
        <v>919</v>
      </c>
      <c r="P101" s="68" t="s">
        <v>920</v>
      </c>
      <c r="Q101" s="64"/>
      <c r="R101" s="64"/>
      <c r="S101" s="64"/>
      <c r="T101" s="64"/>
      <c r="U101" s="64"/>
      <c r="V101" s="64"/>
      <c r="W101" s="64"/>
      <c r="X101" s="64"/>
      <c r="Y101" s="64"/>
      <c r="Z101" s="64"/>
      <c r="AA101" s="64"/>
    </row>
    <row r="102" customFormat="false" ht="15" hidden="false" customHeight="false" outlineLevel="0" collapsed="false">
      <c r="A102" s="65" t="n">
        <v>46303</v>
      </c>
      <c r="B102" s="66" t="s">
        <v>184</v>
      </c>
      <c r="C102" s="67" t="str">
        <f aca="false" t="array" ref="C102:C102">IF(B102="","",IFERROR(INDEX('CLM &amp; IM Mapping'!$B$2:$B$270,MATCH(TRIM(B102),'CLM &amp; IM Mapping'!$A$2:$A$270,0)),"Not Mapped"))</f>
        <v>Richard Harris</v>
      </c>
      <c r="D102" s="67" t="str">
        <f aca="false" t="array" ref="D102:D102">IF(B102="","",IFERROR(INDEX('CLM &amp; IM Mapping'!$C$2:$C$270,MATCH(TRIM(B102),'CLM &amp; IM Mapping'!$A$2:$A$270,0)),"Not Mapped"))</f>
        <v>Kantha Kumar</v>
      </c>
      <c r="E102" s="66" t="n">
        <v>2924</v>
      </c>
      <c r="F102" s="66" t="n">
        <v>0</v>
      </c>
      <c r="G102" s="66" t="n">
        <v>2901</v>
      </c>
      <c r="H102" s="66" t="n">
        <v>23</v>
      </c>
      <c r="I102" s="66" t="n">
        <v>0</v>
      </c>
      <c r="J102" s="66" t="n">
        <v>0</v>
      </c>
      <c r="K102" s="66" t="n">
        <v>0</v>
      </c>
      <c r="L102" s="66" t="n">
        <v>23</v>
      </c>
      <c r="M102" s="44"/>
      <c r="N102" s="44"/>
      <c r="O102" s="72"/>
      <c r="P102" s="67"/>
      <c r="Q102" s="64"/>
      <c r="R102" s="64"/>
      <c r="S102" s="64"/>
      <c r="T102" s="64"/>
      <c r="U102" s="64"/>
      <c r="V102" s="64"/>
      <c r="W102" s="64"/>
      <c r="X102" s="64"/>
      <c r="Y102" s="64"/>
      <c r="Z102" s="64"/>
      <c r="AA102" s="64"/>
    </row>
    <row r="103" customFormat="false" ht="15" hidden="false" customHeight="false" outlineLevel="0" collapsed="false">
      <c r="A103" s="65" t="n">
        <v>46303</v>
      </c>
      <c r="B103" s="66" t="s">
        <v>287</v>
      </c>
      <c r="C103" s="67" t="str">
        <f aca="false" t="array" ref="C103:C103">IF(B103="","",IFERROR(INDEX('CLM &amp; IM Mapping'!$B$2:$B$270,MATCH(TRIM(B103),'CLM &amp; IM Mapping'!$A$2:$A$270,0)),"Not Mapped"))</f>
        <v>Sundaresh S</v>
      </c>
      <c r="D103" s="67" t="str">
        <f aca="false" t="array" ref="D103:D103">IF(B103="","",IFERROR(INDEX('CLM &amp; IM Mapping'!$C$2:$C$270,MATCH(TRIM(B103),'CLM &amp; IM Mapping'!$A$2:$A$270,0)),"Not Mapped"))</f>
        <v>Un Mapped</v>
      </c>
      <c r="E103" s="66" t="n">
        <v>3516</v>
      </c>
      <c r="F103" s="66" t="n">
        <v>618</v>
      </c>
      <c r="G103" s="66" t="n">
        <v>2877</v>
      </c>
      <c r="H103" s="66" t="n">
        <v>21</v>
      </c>
      <c r="I103" s="66" t="n">
        <v>0</v>
      </c>
      <c r="J103" s="66" t="n">
        <v>0</v>
      </c>
      <c r="K103" s="66" t="n">
        <v>0</v>
      </c>
      <c r="L103" s="66" t="n">
        <v>21</v>
      </c>
      <c r="M103" s="44"/>
      <c r="N103" s="44"/>
      <c r="O103" s="72"/>
      <c r="P103" s="67"/>
      <c r="Q103" s="64"/>
      <c r="R103" s="64"/>
      <c r="S103" s="64"/>
      <c r="T103" s="64"/>
      <c r="U103" s="64"/>
      <c r="V103" s="64"/>
      <c r="W103" s="64"/>
      <c r="X103" s="64"/>
      <c r="Y103" s="64"/>
      <c r="Z103" s="64"/>
      <c r="AA103" s="64"/>
    </row>
    <row r="104" customFormat="false" ht="15" hidden="false" customHeight="false" outlineLevel="0" collapsed="false">
      <c r="A104" s="65" t="n">
        <v>46303</v>
      </c>
      <c r="B104" s="66" t="s">
        <v>73</v>
      </c>
      <c r="C104" s="67" t="str">
        <f aca="false" t="array" ref="C104:C104">IF(B104="","",IFERROR(INDEX('CLM &amp; IM Mapping'!$B$2:$B$270,MATCH(TRIM(B104),'CLM &amp; IM Mapping'!$A$2:$A$270,0)),"Not Mapped"))</f>
        <v>Narasimhamurthy R</v>
      </c>
      <c r="D104" s="67" t="str">
        <f aca="false" t="array" ref="D104:D104">IF(B104="","",IFERROR(INDEX('CLM &amp; IM Mapping'!$C$2:$C$270,MATCH(TRIM(B104),'CLM &amp; IM Mapping'!$A$2:$A$270,0)),"Not Mapped"))</f>
        <v>Kishor K</v>
      </c>
      <c r="E104" s="66" t="n">
        <v>18</v>
      </c>
      <c r="F104" s="66" t="n">
        <v>0</v>
      </c>
      <c r="G104" s="66" t="n">
        <v>0</v>
      </c>
      <c r="H104" s="66" t="n">
        <v>0</v>
      </c>
      <c r="I104" s="66" t="n">
        <v>0</v>
      </c>
      <c r="J104" s="66" t="n">
        <v>0</v>
      </c>
      <c r="K104" s="66" t="n">
        <v>18</v>
      </c>
      <c r="L104" s="66" t="n">
        <v>18</v>
      </c>
      <c r="M104" s="44"/>
      <c r="N104" s="44" t="s">
        <v>912</v>
      </c>
      <c r="O104" s="68" t="s">
        <v>919</v>
      </c>
      <c r="P104" s="68" t="s">
        <v>920</v>
      </c>
      <c r="Q104" s="64"/>
      <c r="R104" s="64"/>
      <c r="S104" s="64"/>
      <c r="T104" s="64"/>
      <c r="U104" s="64"/>
      <c r="V104" s="64"/>
      <c r="W104" s="64"/>
      <c r="X104" s="64"/>
      <c r="Y104" s="64"/>
      <c r="Z104" s="64"/>
      <c r="AA104" s="64"/>
    </row>
    <row r="105" customFormat="false" ht="15" hidden="false" customHeight="false" outlineLevel="0" collapsed="false">
      <c r="A105" s="65" t="n">
        <v>46303</v>
      </c>
      <c r="B105" s="67" t="s">
        <v>248</v>
      </c>
      <c r="C105" s="67" t="str">
        <f aca="false" t="array" ref="C105:C105">IF(B105="","",IFERROR(INDEX('CLM &amp; IM Mapping'!$B$2:$B$270,MATCH(TRIM(B105),'CLM &amp; IM Mapping'!$A$2:$A$270,0)),"Not Mapped"))</f>
        <v>Arun Raj</v>
      </c>
      <c r="D105" s="67" t="str">
        <f aca="false" t="array" ref="D105:D105">IF(B105="","",IFERROR(INDEX('CLM &amp; IM Mapping'!$C$2:$C$270,MATCH(TRIM(B105),'CLM &amp; IM Mapping'!$A$2:$A$270,0)),"Not Mapped"))</f>
        <v>Simon Manoharan</v>
      </c>
      <c r="E105" s="66" t="n">
        <v>15</v>
      </c>
      <c r="F105" s="66" t="n">
        <v>0</v>
      </c>
      <c r="G105" s="66" t="n">
        <v>0</v>
      </c>
      <c r="H105" s="66" t="n">
        <v>0</v>
      </c>
      <c r="I105" s="66" t="n">
        <v>15</v>
      </c>
      <c r="J105" s="66" t="n">
        <v>0</v>
      </c>
      <c r="K105" s="66" t="n">
        <v>0</v>
      </c>
      <c r="L105" s="66" t="n">
        <v>15</v>
      </c>
      <c r="M105" s="44"/>
      <c r="N105" s="44"/>
      <c r="O105" s="72"/>
      <c r="P105" s="67"/>
      <c r="Q105" s="64"/>
      <c r="R105" s="64"/>
      <c r="S105" s="64"/>
      <c r="T105" s="64"/>
      <c r="U105" s="64"/>
      <c r="V105" s="64"/>
      <c r="W105" s="64"/>
      <c r="X105" s="64"/>
      <c r="Y105" s="64"/>
      <c r="Z105" s="64"/>
      <c r="AA105" s="64"/>
    </row>
    <row r="106" customFormat="false" ht="15" hidden="false" customHeight="false" outlineLevel="0" collapsed="false">
      <c r="A106" s="65" t="n">
        <v>46303</v>
      </c>
      <c r="B106" s="66" t="s">
        <v>408</v>
      </c>
      <c r="C106" s="67" t="str">
        <f aca="false" t="array" ref="C106:C106">IF(B106="","",IFERROR(INDEX('CLM &amp; IM Mapping'!$B$2:$B$270,MATCH(TRIM(B106),'CLM &amp; IM Mapping'!$A$2:$A$270,0)),"Not Mapped"))</f>
        <v>Ravishankar gowda</v>
      </c>
      <c r="D106" s="67" t="str">
        <f aca="false" t="array" ref="D106:D106">IF(B106="","",IFERROR(INDEX('CLM &amp; IM Mapping'!$C$2:$C$270,MATCH(TRIM(B106),'CLM &amp; IM Mapping'!$A$2:$A$270,0)),"Not Mapped"))</f>
        <v>Kishor K</v>
      </c>
      <c r="E106" s="66" t="n">
        <v>3503</v>
      </c>
      <c r="F106" s="66" t="n">
        <v>292</v>
      </c>
      <c r="G106" s="66" t="n">
        <v>3198</v>
      </c>
      <c r="H106" s="66" t="n">
        <v>0</v>
      </c>
      <c r="I106" s="66" t="n">
        <v>0</v>
      </c>
      <c r="J106" s="66" t="n">
        <v>13</v>
      </c>
      <c r="K106" s="66" t="n">
        <v>0</v>
      </c>
      <c r="L106" s="66" t="n">
        <v>13</v>
      </c>
      <c r="M106" s="44"/>
      <c r="N106" s="44" t="s">
        <v>912</v>
      </c>
      <c r="O106" s="68" t="s">
        <v>919</v>
      </c>
      <c r="P106" s="68" t="s">
        <v>920</v>
      </c>
      <c r="Q106" s="64"/>
      <c r="R106" s="64"/>
      <c r="S106" s="64"/>
      <c r="T106" s="64"/>
      <c r="U106" s="64"/>
      <c r="V106" s="64"/>
      <c r="W106" s="64"/>
      <c r="X106" s="64"/>
      <c r="Y106" s="64"/>
      <c r="Z106" s="64"/>
      <c r="AA106" s="64"/>
    </row>
    <row r="107" customFormat="false" ht="15" hidden="false" customHeight="false" outlineLevel="0" collapsed="false">
      <c r="A107" s="65" t="n">
        <v>46303</v>
      </c>
      <c r="B107" s="66" t="s">
        <v>134</v>
      </c>
      <c r="C107" s="67" t="str">
        <f aca="false" t="array" ref="C107:C107">IF(B107="","",IFERROR(INDEX('CLM &amp; IM Mapping'!$B$2:$B$270,MATCH(TRIM(B107),'CLM &amp; IM Mapping'!$A$2:$A$270,0)),"Not Mapped"))</f>
        <v>Raghavendra Vernekar</v>
      </c>
      <c r="D107" s="67" t="str">
        <f aca="false" t="array" ref="D107:D107">IF(B107="","",IFERROR(INDEX('CLM &amp; IM Mapping'!$C$2:$C$270,MATCH(TRIM(B107),'CLM &amp; IM Mapping'!$A$2:$A$270,0)),"Not Mapped"))</f>
        <v>Prakash BS</v>
      </c>
      <c r="E107" s="66" t="n">
        <v>3712</v>
      </c>
      <c r="F107" s="66" t="n">
        <v>3700</v>
      </c>
      <c r="G107" s="66" t="n">
        <v>0</v>
      </c>
      <c r="H107" s="66" t="n">
        <v>0</v>
      </c>
      <c r="I107" s="66" t="n">
        <v>10</v>
      </c>
      <c r="J107" s="66" t="n">
        <v>2</v>
      </c>
      <c r="K107" s="66" t="n">
        <v>0</v>
      </c>
      <c r="L107" s="66" t="n">
        <v>12</v>
      </c>
      <c r="M107" s="44"/>
      <c r="N107" s="44" t="s">
        <v>912</v>
      </c>
      <c r="O107" s="71"/>
      <c r="P107" s="67"/>
      <c r="Q107" s="64"/>
      <c r="R107" s="64"/>
      <c r="S107" s="64"/>
      <c r="T107" s="64"/>
      <c r="U107" s="64"/>
      <c r="V107" s="64"/>
      <c r="W107" s="64"/>
      <c r="X107" s="64"/>
      <c r="Y107" s="64"/>
      <c r="Z107" s="64"/>
      <c r="AA107" s="64"/>
    </row>
    <row r="108" customFormat="false" ht="15" hidden="false" customHeight="false" outlineLevel="0" collapsed="false">
      <c r="A108" s="65" t="n">
        <v>46303</v>
      </c>
      <c r="B108" s="66" t="s">
        <v>441</v>
      </c>
      <c r="C108" s="67" t="str">
        <f aca="false" t="array" ref="C108:C108">IF(B108="","",IFERROR(INDEX('CLM &amp; IM Mapping'!$B$2:$B$270,MATCH(TRIM(B108),'CLM &amp; IM Mapping'!$A$2:$A$270,0)),"Not Mapped"))</f>
        <v>Vijay M</v>
      </c>
      <c r="D108" s="67" t="str">
        <f aca="false" t="array" ref="D108:D108">IF(B108="","",IFERROR(INDEX('CLM &amp; IM Mapping'!$C$2:$C$270,MATCH(TRIM(B108),'CLM &amp; IM Mapping'!$A$2:$A$270,0)),"Not Mapped"))</f>
        <v>Kantha Kumar</v>
      </c>
      <c r="E108" s="66" t="n">
        <v>7400</v>
      </c>
      <c r="F108" s="66" t="n">
        <v>7389</v>
      </c>
      <c r="G108" s="66" t="n">
        <v>0</v>
      </c>
      <c r="H108" s="66" t="n">
        <v>0</v>
      </c>
      <c r="I108" s="66" t="n">
        <v>11</v>
      </c>
      <c r="J108" s="66" t="n">
        <v>0</v>
      </c>
      <c r="K108" s="66" t="n">
        <v>0</v>
      </c>
      <c r="L108" s="66" t="n">
        <v>11</v>
      </c>
      <c r="M108" s="44"/>
      <c r="N108" s="44"/>
      <c r="O108" s="72"/>
      <c r="P108" s="67"/>
      <c r="Q108" s="64"/>
      <c r="R108" s="64"/>
      <c r="S108" s="64"/>
      <c r="T108" s="64"/>
      <c r="U108" s="64"/>
      <c r="V108" s="64"/>
      <c r="W108" s="64"/>
      <c r="X108" s="64"/>
      <c r="Y108" s="64"/>
      <c r="Z108" s="64"/>
      <c r="AA108" s="64"/>
    </row>
    <row r="109" customFormat="false" ht="15" hidden="false" customHeight="false" outlineLevel="0" collapsed="false">
      <c r="A109" s="65" t="n">
        <v>46303</v>
      </c>
      <c r="B109" s="66" t="s">
        <v>250</v>
      </c>
      <c r="C109" s="67" t="str">
        <f aca="false" t="array" ref="C109:C109">IF(B109="","",IFERROR(INDEX('CLM &amp; IM Mapping'!$B$2:$B$270,MATCH(TRIM(B109),'CLM &amp; IM Mapping'!$A$2:$A$270,0)),"Not Mapped"))</f>
        <v>Akshay P</v>
      </c>
      <c r="D109" s="67" t="str">
        <f aca="false" t="array" ref="D109:D109">IF(B109="","",IFERROR(INDEX('CLM &amp; IM Mapping'!$C$2:$C$270,MATCH(TRIM(B109),'CLM &amp; IM Mapping'!$A$2:$A$270,0)),"Not Mapped"))</f>
        <v>Srittam Dhal</v>
      </c>
      <c r="E109" s="66" t="n">
        <v>26</v>
      </c>
      <c r="F109" s="66" t="n">
        <v>0</v>
      </c>
      <c r="G109" s="66" t="n">
        <v>17</v>
      </c>
      <c r="H109" s="66" t="n">
        <v>9</v>
      </c>
      <c r="I109" s="66" t="n">
        <v>0</v>
      </c>
      <c r="J109" s="66" t="n">
        <v>0</v>
      </c>
      <c r="K109" s="66" t="n">
        <v>0</v>
      </c>
      <c r="L109" s="66" t="n">
        <v>9</v>
      </c>
      <c r="M109" s="44"/>
      <c r="N109" s="44"/>
      <c r="O109" s="72"/>
      <c r="P109" s="67"/>
      <c r="Q109" s="64"/>
      <c r="R109" s="64"/>
      <c r="S109" s="64"/>
      <c r="T109" s="64"/>
      <c r="U109" s="64"/>
      <c r="V109" s="64"/>
      <c r="W109" s="64"/>
      <c r="X109" s="64"/>
      <c r="Y109" s="64"/>
      <c r="Z109" s="64"/>
      <c r="AA109" s="64"/>
    </row>
    <row r="110" customFormat="false" ht="15" hidden="false" customHeight="false" outlineLevel="0" collapsed="false">
      <c r="A110" s="65" t="n">
        <v>46303</v>
      </c>
      <c r="B110" s="66" t="s">
        <v>89</v>
      </c>
      <c r="C110" s="67" t="str">
        <f aca="false" t="array" ref="C110:C110">IF(B110="","",IFERROR(INDEX('CLM &amp; IM Mapping'!$B$2:$B$270,MATCH(TRIM(B110),'CLM &amp; IM Mapping'!$A$2:$A$270,0)),"Not Mapped"))</f>
        <v>Raghavendra Vernekar</v>
      </c>
      <c r="D110" s="67" t="str">
        <f aca="false" t="array" ref="D110:D110">IF(B110="","",IFERROR(INDEX('CLM &amp; IM Mapping'!$C$2:$C$270,MATCH(TRIM(B110),'CLM &amp; IM Mapping'!$A$2:$A$270,0)),"Not Mapped"))</f>
        <v>Prakash BS</v>
      </c>
      <c r="E110" s="66" t="n">
        <v>8</v>
      </c>
      <c r="F110" s="66" t="n">
        <v>0</v>
      </c>
      <c r="G110" s="66" t="n">
        <v>0</v>
      </c>
      <c r="H110" s="66" t="n">
        <v>0</v>
      </c>
      <c r="I110" s="66" t="n">
        <v>0</v>
      </c>
      <c r="J110" s="66" t="n">
        <v>7</v>
      </c>
      <c r="K110" s="66" t="n">
        <v>1</v>
      </c>
      <c r="L110" s="66" t="n">
        <v>8</v>
      </c>
      <c r="M110" s="44"/>
      <c r="N110" s="44" t="s">
        <v>912</v>
      </c>
      <c r="O110" s="71"/>
      <c r="P110" s="67"/>
      <c r="Q110" s="64"/>
      <c r="R110" s="64"/>
      <c r="S110" s="64"/>
      <c r="T110" s="64"/>
      <c r="U110" s="64"/>
      <c r="V110" s="64"/>
      <c r="W110" s="64"/>
      <c r="X110" s="64"/>
      <c r="Y110" s="64"/>
      <c r="Z110" s="64"/>
      <c r="AA110" s="64"/>
    </row>
    <row r="111" customFormat="false" ht="15" hidden="false" customHeight="false" outlineLevel="0" collapsed="false">
      <c r="A111" s="65" t="n">
        <v>46303</v>
      </c>
      <c r="B111" s="66" t="s">
        <v>233</v>
      </c>
      <c r="C111" s="67" t="str">
        <f aca="false" t="array" ref="C111:C111">IF(B111="","",IFERROR(INDEX('CLM &amp; IM Mapping'!$B$2:$B$270,MATCH(TRIM(B111),'CLM &amp; IM Mapping'!$A$2:$A$270,0)),"Not Mapped"))</f>
        <v>Suhas N</v>
      </c>
      <c r="D111" s="67" t="str">
        <f aca="false" t="array" ref="D111:D111">IF(B111="","",IFERROR(INDEX('CLM &amp; IM Mapping'!$C$2:$C$270,MATCH(TRIM(B111),'CLM &amp; IM Mapping'!$A$2:$A$270,0)),"Not Mapped"))</f>
        <v>Aravind S</v>
      </c>
      <c r="E111" s="66" t="n">
        <v>7</v>
      </c>
      <c r="F111" s="66" t="n">
        <v>0</v>
      </c>
      <c r="G111" s="66" t="n">
        <v>0</v>
      </c>
      <c r="H111" s="66" t="n">
        <v>7</v>
      </c>
      <c r="I111" s="66" t="n">
        <v>0</v>
      </c>
      <c r="J111" s="66" t="n">
        <v>0</v>
      </c>
      <c r="K111" s="66" t="n">
        <v>0</v>
      </c>
      <c r="L111" s="66" t="n">
        <v>7</v>
      </c>
      <c r="M111" s="44"/>
      <c r="N111" s="44"/>
      <c r="O111" s="72"/>
      <c r="P111" s="67"/>
      <c r="Q111" s="64"/>
      <c r="R111" s="64"/>
      <c r="S111" s="64"/>
      <c r="T111" s="64"/>
      <c r="U111" s="64"/>
      <c r="V111" s="64"/>
      <c r="W111" s="64"/>
      <c r="X111" s="64"/>
      <c r="Y111" s="64"/>
      <c r="Z111" s="64"/>
      <c r="AA111" s="64"/>
    </row>
    <row r="112" customFormat="false" ht="15" hidden="false" customHeight="false" outlineLevel="0" collapsed="false">
      <c r="A112" s="65" t="n">
        <v>46303</v>
      </c>
      <c r="B112" s="66" t="s">
        <v>404</v>
      </c>
      <c r="C112" s="67" t="str">
        <f aca="false" t="array" ref="C112:C112">IF(B112="","",IFERROR(INDEX('CLM &amp; IM Mapping'!$B$2:$B$270,MATCH(TRIM(B112),'CLM &amp; IM Mapping'!$A$2:$A$270,0)),"Not Mapped"))</f>
        <v>Arun Raj</v>
      </c>
      <c r="D112" s="67" t="str">
        <f aca="false" t="array" ref="D112:D112">IF(B112="","",IFERROR(INDEX('CLM &amp; IM Mapping'!$C$2:$C$270,MATCH(TRIM(B112),'CLM &amp; IM Mapping'!$A$2:$A$270,0)),"Not Mapped"))</f>
        <v>Simon Manoharan</v>
      </c>
      <c r="E112" s="66" t="n">
        <v>1258</v>
      </c>
      <c r="F112" s="66" t="n">
        <v>0</v>
      </c>
      <c r="G112" s="66" t="n">
        <v>0</v>
      </c>
      <c r="H112" s="66" t="n">
        <v>1252</v>
      </c>
      <c r="I112" s="66" t="n">
        <v>0</v>
      </c>
      <c r="J112" s="66" t="n">
        <v>4</v>
      </c>
      <c r="K112" s="66" t="n">
        <v>2</v>
      </c>
      <c r="L112" s="66" t="n">
        <v>6</v>
      </c>
      <c r="M112" s="44"/>
      <c r="N112" s="44"/>
      <c r="O112" s="72"/>
      <c r="P112" s="67"/>
      <c r="Q112" s="64"/>
      <c r="R112" s="64"/>
      <c r="S112" s="64"/>
      <c r="T112" s="64"/>
      <c r="U112" s="64"/>
      <c r="V112" s="64"/>
      <c r="W112" s="64"/>
      <c r="X112" s="64"/>
      <c r="Y112" s="64"/>
      <c r="Z112" s="64"/>
      <c r="AA112" s="64"/>
    </row>
    <row r="113" customFormat="false" ht="15" hidden="false" customHeight="false" outlineLevel="0" collapsed="false">
      <c r="A113" s="65" t="n">
        <v>46303</v>
      </c>
      <c r="B113" s="66" t="s">
        <v>512</v>
      </c>
      <c r="C113" s="67" t="str">
        <f aca="false" t="array" ref="C113:C113">IF(B113="","",IFERROR(INDEX('CLM &amp; IM Mapping'!$B$2:$B$270,MATCH(TRIM(B113),'CLM &amp; IM Mapping'!$A$2:$A$270,0)),"Not Mapped"))</f>
        <v>Saddam Hussain</v>
      </c>
      <c r="D113" s="67" t="str">
        <f aca="false" t="array" ref="D113:D113">IF(B113="","",IFERROR(INDEX('CLM &amp; IM Mapping'!$C$2:$C$270,MATCH(TRIM(B113),'CLM &amp; IM Mapping'!$A$2:$A$270,0)),"Not Mapped"))</f>
        <v>Un Mapped</v>
      </c>
      <c r="E113" s="66" t="n">
        <v>3327</v>
      </c>
      <c r="F113" s="66" t="n">
        <v>688</v>
      </c>
      <c r="G113" s="66" t="n">
        <v>2634</v>
      </c>
      <c r="H113" s="66" t="n">
        <v>0</v>
      </c>
      <c r="I113" s="66" t="n">
        <v>0</v>
      </c>
      <c r="J113" s="66" t="n">
        <v>0</v>
      </c>
      <c r="K113" s="66" t="n">
        <v>5</v>
      </c>
      <c r="L113" s="66" t="n">
        <v>5</v>
      </c>
      <c r="M113" s="44"/>
      <c r="N113" s="44"/>
      <c r="O113" s="72"/>
      <c r="P113" s="67"/>
      <c r="Q113" s="64"/>
      <c r="R113" s="64"/>
      <c r="S113" s="64"/>
      <c r="T113" s="64"/>
      <c r="U113" s="64"/>
      <c r="V113" s="64"/>
      <c r="W113" s="64"/>
      <c r="X113" s="64"/>
      <c r="Y113" s="64"/>
      <c r="Z113" s="64"/>
      <c r="AA113" s="64"/>
    </row>
    <row r="114" customFormat="false" ht="15" hidden="false" customHeight="false" outlineLevel="0" collapsed="false">
      <c r="A114" s="65" t="n">
        <v>46303</v>
      </c>
      <c r="B114" s="66" t="s">
        <v>193</v>
      </c>
      <c r="C114" s="67" t="str">
        <f aca="false" t="array" ref="C114:C114">IF(B114="","",IFERROR(INDEX('CLM &amp; IM Mapping'!$B$2:$B$270,MATCH(TRIM(B114),'CLM &amp; IM Mapping'!$A$2:$A$270,0)),"Not Mapped"))</f>
        <v>Girish N</v>
      </c>
      <c r="D114" s="67" t="str">
        <f aca="false" t="array" ref="D114:D114">IF(B114="","",IFERROR(INDEX('CLM &amp; IM Mapping'!$C$2:$C$270,MATCH(TRIM(B114),'CLM &amp; IM Mapping'!$A$2:$A$270,0)),"Not Mapped"))</f>
        <v>Un Mapped</v>
      </c>
      <c r="E114" s="66" t="n">
        <v>4539</v>
      </c>
      <c r="F114" s="66" t="n">
        <v>303</v>
      </c>
      <c r="G114" s="66" t="n">
        <v>4232</v>
      </c>
      <c r="H114" s="66" t="n">
        <v>0</v>
      </c>
      <c r="I114" s="66" t="n">
        <v>4</v>
      </c>
      <c r="J114" s="66" t="n">
        <v>0</v>
      </c>
      <c r="K114" s="66" t="n">
        <v>0</v>
      </c>
      <c r="L114" s="66" t="n">
        <v>4</v>
      </c>
      <c r="M114" s="44"/>
      <c r="N114" s="44"/>
      <c r="O114" s="72"/>
      <c r="P114" s="67"/>
      <c r="Q114" s="64"/>
      <c r="R114" s="64"/>
      <c r="S114" s="64"/>
      <c r="T114" s="64"/>
      <c r="U114" s="64"/>
      <c r="V114" s="64"/>
      <c r="W114" s="64"/>
      <c r="X114" s="64"/>
      <c r="Y114" s="64"/>
      <c r="Z114" s="64"/>
      <c r="AA114" s="64"/>
    </row>
    <row r="115" customFormat="false" ht="15" hidden="false" customHeight="false" outlineLevel="0" collapsed="false">
      <c r="A115" s="65" t="n">
        <v>46303</v>
      </c>
      <c r="B115" s="66" t="s">
        <v>118</v>
      </c>
      <c r="C115" s="67" t="str">
        <f aca="false" t="array" ref="C115:C115">IF(B115="","",IFERROR(INDEX('CLM &amp; IM Mapping'!$B$2:$B$270,MATCH(TRIM(B115),'CLM &amp; IM Mapping'!$A$2:$A$270,0)),"Not Mapped"))</f>
        <v>Adhavan Subramani</v>
      </c>
      <c r="D115" s="67" t="str">
        <f aca="false" t="array" ref="D115:D115">IF(B115="","",IFERROR(INDEX('CLM &amp; IM Mapping'!$C$2:$C$270,MATCH(TRIM(B115),'CLM &amp; IM Mapping'!$A$2:$A$270,0)),"Not Mapped"))</f>
        <v>Mohammed Akbar</v>
      </c>
      <c r="E115" s="66" t="n">
        <v>4607</v>
      </c>
      <c r="F115" s="66" t="n">
        <v>0</v>
      </c>
      <c r="G115" s="66" t="n">
        <v>4603</v>
      </c>
      <c r="H115" s="66" t="n">
        <v>0</v>
      </c>
      <c r="I115" s="66" t="n">
        <v>3</v>
      </c>
      <c r="J115" s="66" t="n">
        <v>1</v>
      </c>
      <c r="K115" s="66" t="n">
        <v>0</v>
      </c>
      <c r="L115" s="66" t="n">
        <v>4</v>
      </c>
      <c r="M115" s="44"/>
      <c r="N115" s="44" t="s">
        <v>839</v>
      </c>
      <c r="O115" s="72"/>
      <c r="P115" s="67"/>
      <c r="Q115" s="64"/>
      <c r="R115" s="64"/>
      <c r="S115" s="64"/>
      <c r="T115" s="64"/>
      <c r="U115" s="64"/>
      <c r="V115" s="64"/>
      <c r="W115" s="64"/>
      <c r="X115" s="64"/>
      <c r="Y115" s="64"/>
      <c r="Z115" s="64"/>
      <c r="AA115" s="64"/>
    </row>
    <row r="116" customFormat="false" ht="15" hidden="false" customHeight="false" outlineLevel="0" collapsed="false">
      <c r="A116" s="65" t="n">
        <v>46303</v>
      </c>
      <c r="B116" s="66" t="s">
        <v>344</v>
      </c>
      <c r="C116" s="67" t="str">
        <f aca="false" t="array" ref="C116:C116">IF(B116="","",IFERROR(INDEX('CLM &amp; IM Mapping'!$B$2:$B$270,MATCH(TRIM(B116),'CLM &amp; IM Mapping'!$A$2:$A$270,0)),"Not Mapped"))</f>
        <v>Arun Raj</v>
      </c>
      <c r="D116" s="67" t="str">
        <f aca="false" t="array" ref="D116:D116">IF(B116="","",IFERROR(INDEX('CLM &amp; IM Mapping'!$C$2:$C$270,MATCH(TRIM(B116),'CLM &amp; IM Mapping'!$A$2:$A$270,0)),"Not Mapped"))</f>
        <v>Simon Manoharan</v>
      </c>
      <c r="E116" s="66" t="n">
        <v>2182</v>
      </c>
      <c r="F116" s="66" t="n">
        <v>0</v>
      </c>
      <c r="G116" s="66" t="n">
        <v>0</v>
      </c>
      <c r="H116" s="66" t="n">
        <v>2179</v>
      </c>
      <c r="I116" s="66" t="n">
        <v>0</v>
      </c>
      <c r="J116" s="66" t="n">
        <v>3</v>
      </c>
      <c r="K116" s="66" t="n">
        <v>0</v>
      </c>
      <c r="L116" s="66" t="n">
        <v>3</v>
      </c>
      <c r="M116" s="44"/>
      <c r="N116" s="44"/>
      <c r="O116" s="72"/>
      <c r="P116" s="67"/>
      <c r="Q116" s="64"/>
      <c r="R116" s="64"/>
      <c r="S116" s="64"/>
      <c r="T116" s="64"/>
      <c r="U116" s="64"/>
      <c r="V116" s="64"/>
      <c r="W116" s="64"/>
      <c r="X116" s="64"/>
      <c r="Y116" s="64"/>
      <c r="Z116" s="64"/>
      <c r="AA116" s="64"/>
    </row>
    <row r="117" customFormat="false" ht="15" hidden="false" customHeight="false" outlineLevel="0" collapsed="false">
      <c r="A117" s="65" t="n">
        <v>46303</v>
      </c>
      <c r="B117" s="66" t="s">
        <v>59</v>
      </c>
      <c r="C117" s="67" t="str">
        <f aca="false" t="array" ref="C117:C117">IF(B117="","",IFERROR(INDEX('CLM &amp; IM Mapping'!$B$2:$B$270,MATCH(TRIM(B117),'CLM &amp; IM Mapping'!$A$2:$A$270,0)),"Not Mapped"))</f>
        <v>Saddam Hussain</v>
      </c>
      <c r="D117" s="67" t="str">
        <f aca="false" t="array" ref="D117:D117">IF(B117="","",IFERROR(INDEX('CLM &amp; IM Mapping'!$C$2:$C$270,MATCH(TRIM(B117),'CLM &amp; IM Mapping'!$A$2:$A$270,0)),"Not Mapped"))</f>
        <v>Un Mapped</v>
      </c>
      <c r="E117" s="66" t="n">
        <v>3</v>
      </c>
      <c r="F117" s="66" t="n">
        <v>0</v>
      </c>
      <c r="G117" s="66" t="n">
        <v>0</v>
      </c>
      <c r="H117" s="66" t="n">
        <v>0</v>
      </c>
      <c r="I117" s="66" t="n">
        <v>3</v>
      </c>
      <c r="J117" s="66" t="n">
        <v>0</v>
      </c>
      <c r="K117" s="66" t="n">
        <v>0</v>
      </c>
      <c r="L117" s="66" t="n">
        <v>3</v>
      </c>
      <c r="M117" s="44"/>
      <c r="N117" s="44"/>
      <c r="O117" s="72"/>
      <c r="P117" s="67"/>
      <c r="Q117" s="64"/>
      <c r="R117" s="64"/>
      <c r="S117" s="64"/>
      <c r="T117" s="64"/>
      <c r="U117" s="64"/>
      <c r="V117" s="64"/>
      <c r="W117" s="64"/>
      <c r="X117" s="64"/>
      <c r="Y117" s="64"/>
      <c r="Z117" s="64"/>
      <c r="AA117" s="64"/>
    </row>
    <row r="118" customFormat="false" ht="15" hidden="false" customHeight="false" outlineLevel="0" collapsed="false">
      <c r="A118" s="65" t="n">
        <v>46303</v>
      </c>
      <c r="B118" s="66" t="s">
        <v>468</v>
      </c>
      <c r="C118" s="67" t="str">
        <f aca="false" t="array" ref="C118:C118">IF(B118="","",IFERROR(INDEX('CLM &amp; IM Mapping'!$B$2:$B$270,MATCH(TRIM(B118),'CLM &amp; IM Mapping'!$A$2:$A$270,0)),"Not Mapped"))</f>
        <v>Suhas N</v>
      </c>
      <c r="D118" s="67" t="str">
        <f aca="false" t="array" ref="D118:D118">IF(B118="","",IFERROR(INDEX('CLM &amp; IM Mapping'!$C$2:$C$270,MATCH(TRIM(B118),'CLM &amp; IM Mapping'!$A$2:$A$270,0)),"Not Mapped"))</f>
        <v>Aravind S</v>
      </c>
      <c r="E118" s="66" t="n">
        <v>3438</v>
      </c>
      <c r="F118" s="66" t="n">
        <v>3128</v>
      </c>
      <c r="G118" s="66" t="n">
        <v>307</v>
      </c>
      <c r="H118" s="66" t="n">
        <v>0</v>
      </c>
      <c r="I118" s="66" t="n">
        <v>0</v>
      </c>
      <c r="J118" s="66" t="n">
        <v>3</v>
      </c>
      <c r="K118" s="66" t="n">
        <v>0</v>
      </c>
      <c r="L118" s="66" t="n">
        <v>3</v>
      </c>
      <c r="M118" s="44"/>
      <c r="N118" s="44"/>
      <c r="O118" s="72"/>
      <c r="P118" s="67"/>
      <c r="Q118" s="64"/>
      <c r="R118" s="64"/>
      <c r="S118" s="64"/>
      <c r="T118" s="64"/>
      <c r="U118" s="64"/>
      <c r="V118" s="64"/>
      <c r="W118" s="64"/>
      <c r="X118" s="64"/>
      <c r="Y118" s="64"/>
      <c r="Z118" s="64"/>
      <c r="AA118" s="64"/>
    </row>
    <row r="119" customFormat="false" ht="15" hidden="false" customHeight="false" outlineLevel="0" collapsed="false">
      <c r="A119" s="65" t="n">
        <v>46303</v>
      </c>
      <c r="B119" s="66" t="s">
        <v>350</v>
      </c>
      <c r="C119" s="67" t="str">
        <f aca="false" t="array" ref="C119:C119">IF(B119="","",IFERROR(INDEX('CLM &amp; IM Mapping'!$B$2:$B$270,MATCH(TRIM(B119),'CLM &amp; IM Mapping'!$A$2:$A$270,0)),"Not Mapped"))</f>
        <v>Vishnu V</v>
      </c>
      <c r="D119" s="67" t="str">
        <f aca="false" t="array" ref="D119:D119">IF(B119="","",IFERROR(INDEX('CLM &amp; IM Mapping'!$C$2:$C$270,MATCH(TRIM(B119),'CLM &amp; IM Mapping'!$A$2:$A$270,0)),"Not Mapped"))</f>
        <v>Arivind S</v>
      </c>
      <c r="E119" s="66" t="n">
        <v>3</v>
      </c>
      <c r="F119" s="66" t="n">
        <v>0</v>
      </c>
      <c r="G119" s="66" t="n">
        <v>0</v>
      </c>
      <c r="H119" s="66" t="n">
        <v>3</v>
      </c>
      <c r="I119" s="66" t="n">
        <v>0</v>
      </c>
      <c r="J119" s="66" t="n">
        <v>0</v>
      </c>
      <c r="K119" s="66" t="n">
        <v>0</v>
      </c>
      <c r="L119" s="66" t="n">
        <v>3</v>
      </c>
      <c r="M119" s="44"/>
      <c r="N119" s="44"/>
      <c r="O119" s="72"/>
      <c r="P119" s="67"/>
      <c r="Q119" s="64"/>
      <c r="R119" s="64"/>
      <c r="S119" s="64"/>
      <c r="T119" s="64"/>
      <c r="U119" s="64"/>
      <c r="V119" s="64"/>
      <c r="W119" s="64"/>
      <c r="X119" s="64"/>
      <c r="Y119" s="64"/>
      <c r="Z119" s="64"/>
      <c r="AA119" s="64"/>
    </row>
    <row r="120" customFormat="false" ht="15" hidden="false" customHeight="false" outlineLevel="0" collapsed="false">
      <c r="A120" s="65" t="n">
        <v>46303</v>
      </c>
      <c r="B120" s="66" t="s">
        <v>364</v>
      </c>
      <c r="C120" s="67" t="str">
        <f aca="false" t="array" ref="C120:C120">IF(B120="","",IFERROR(INDEX('CLM &amp; IM Mapping'!$B$2:$B$270,MATCH(TRIM(B120),'CLM &amp; IM Mapping'!$A$2:$A$270,0)),"Not Mapped"))</f>
        <v>Raghavendra Vernekar</v>
      </c>
      <c r="D120" s="67" t="str">
        <f aca="false" t="array" ref="D120:D120">IF(B120="","",IFERROR(INDEX('CLM &amp; IM Mapping'!$C$2:$C$270,MATCH(TRIM(B120),'CLM &amp; IM Mapping'!$A$2:$A$270,0)),"Not Mapped"))</f>
        <v>Prakash BS</v>
      </c>
      <c r="E120" s="66" t="n">
        <v>5653</v>
      </c>
      <c r="F120" s="66" t="n">
        <v>5651</v>
      </c>
      <c r="G120" s="66" t="n">
        <v>0</v>
      </c>
      <c r="H120" s="66" t="n">
        <v>0</v>
      </c>
      <c r="I120" s="66" t="n">
        <v>0</v>
      </c>
      <c r="J120" s="66" t="n">
        <v>0</v>
      </c>
      <c r="K120" s="66" t="n">
        <v>2</v>
      </c>
      <c r="L120" s="66" t="n">
        <v>2</v>
      </c>
      <c r="M120" s="44"/>
      <c r="N120" s="44" t="s">
        <v>912</v>
      </c>
      <c r="O120" s="71"/>
      <c r="P120" s="67"/>
      <c r="Q120" s="64"/>
      <c r="R120" s="64"/>
      <c r="S120" s="64"/>
      <c r="T120" s="64"/>
      <c r="U120" s="64"/>
      <c r="V120" s="64"/>
      <c r="W120" s="64"/>
      <c r="X120" s="64"/>
      <c r="Y120" s="64"/>
      <c r="Z120" s="64"/>
      <c r="AA120" s="64"/>
    </row>
    <row r="121" customFormat="false" ht="15" hidden="false" customHeight="false" outlineLevel="0" collapsed="false">
      <c r="A121" s="65" t="n">
        <v>46303</v>
      </c>
      <c r="B121" s="66" t="s">
        <v>478</v>
      </c>
      <c r="C121" s="67" t="str">
        <f aca="false" t="array" ref="C121:C121">IF(B121="","",IFERROR(INDEX('CLM &amp; IM Mapping'!$B$2:$B$270,MATCH(TRIM(B121),'CLM &amp; IM Mapping'!$A$2:$A$270,0)),"Not Mapped"))</f>
        <v>Vishnu V</v>
      </c>
      <c r="D121" s="67" t="str">
        <f aca="false" t="array" ref="D121:D121">IF(B121="","",IFERROR(INDEX('CLM &amp; IM Mapping'!$C$2:$C$270,MATCH(TRIM(B121),'CLM &amp; IM Mapping'!$A$2:$A$270,0)),"Not Mapped"))</f>
        <v>Arivind S</v>
      </c>
      <c r="E121" s="66" t="n">
        <v>2</v>
      </c>
      <c r="F121" s="66" t="n">
        <v>0</v>
      </c>
      <c r="G121" s="66" t="n">
        <v>0</v>
      </c>
      <c r="H121" s="66" t="n">
        <v>2</v>
      </c>
      <c r="I121" s="66" t="n">
        <v>0</v>
      </c>
      <c r="J121" s="66" t="n">
        <v>0</v>
      </c>
      <c r="K121" s="66" t="n">
        <v>0</v>
      </c>
      <c r="L121" s="66" t="n">
        <v>2</v>
      </c>
      <c r="M121" s="44"/>
      <c r="N121" s="44"/>
      <c r="O121" s="72"/>
      <c r="P121" s="67"/>
      <c r="Q121" s="64"/>
      <c r="R121" s="64"/>
      <c r="S121" s="64"/>
      <c r="T121" s="64"/>
      <c r="U121" s="64"/>
      <c r="V121" s="64"/>
      <c r="W121" s="64"/>
      <c r="X121" s="64"/>
      <c r="Y121" s="64"/>
      <c r="Z121" s="64"/>
      <c r="AA121" s="64"/>
    </row>
    <row r="122" customFormat="false" ht="15" hidden="false" customHeight="false" outlineLevel="0" collapsed="false">
      <c r="A122" s="65" t="n">
        <v>46303</v>
      </c>
      <c r="B122" s="66" t="s">
        <v>44</v>
      </c>
      <c r="C122" s="67" t="str">
        <f aca="false" t="array" ref="C122:C122">IF(B122="","",IFERROR(INDEX('CLM &amp; IM Mapping'!$B$2:$B$270,MATCH(TRIM(B122),'CLM &amp; IM Mapping'!$A$2:$A$270,0)),"Not Mapped"))</f>
        <v>Rizwan Ahmed</v>
      </c>
      <c r="D122" s="67" t="str">
        <f aca="false" t="array" ref="D122:D122">IF(B122="","",IFERROR(INDEX('CLM &amp; IM Mapping'!$C$2:$C$270,MATCH(TRIM(B122),'CLM &amp; IM Mapping'!$A$2:$A$270,0)),"Not Mapped"))</f>
        <v>Un Mapped</v>
      </c>
      <c r="E122" s="66" t="n">
        <v>1937</v>
      </c>
      <c r="F122" s="66" t="n">
        <v>0</v>
      </c>
      <c r="G122" s="66" t="n">
        <v>1936</v>
      </c>
      <c r="H122" s="66" t="n">
        <v>0</v>
      </c>
      <c r="I122" s="66" t="n">
        <v>0</v>
      </c>
      <c r="J122" s="66" t="n">
        <v>0</v>
      </c>
      <c r="K122" s="66" t="n">
        <v>1</v>
      </c>
      <c r="L122" s="66" t="n">
        <v>1</v>
      </c>
      <c r="M122" s="44"/>
      <c r="N122" s="44"/>
      <c r="O122" s="72"/>
      <c r="P122" s="67"/>
      <c r="Q122" s="64"/>
      <c r="R122" s="64"/>
      <c r="S122" s="64"/>
      <c r="T122" s="64"/>
      <c r="U122" s="64"/>
      <c r="V122" s="64"/>
      <c r="W122" s="64"/>
      <c r="X122" s="64"/>
      <c r="Y122" s="64"/>
      <c r="Z122" s="64"/>
      <c r="AA122" s="64"/>
    </row>
    <row r="123" customFormat="false" ht="15" hidden="false" customHeight="false" outlineLevel="0" collapsed="false">
      <c r="A123" s="65" t="n">
        <v>46303</v>
      </c>
      <c r="B123" s="66" t="s">
        <v>171</v>
      </c>
      <c r="C123" s="67" t="str">
        <f aca="false" t="array" ref="C123:C123">IF(B123="","",IFERROR(INDEX('CLM &amp; IM Mapping'!$B$2:$B$270,MATCH(TRIM(B123),'CLM &amp; IM Mapping'!$A$2:$A$270,0)),"Not Mapped"))</f>
        <v>Ashwath S</v>
      </c>
      <c r="D123" s="67" t="str">
        <f aca="false" t="array" ref="D123:D123">IF(B123="","",IFERROR(INDEX('CLM &amp; IM Mapping'!$C$2:$C$270,MATCH(TRIM(B123),'CLM &amp; IM Mapping'!$A$2:$A$270,0)),"Not Mapped"))</f>
        <v>Kantha Kumar</v>
      </c>
      <c r="E123" s="66" t="n">
        <v>207</v>
      </c>
      <c r="F123" s="66" t="n">
        <v>0</v>
      </c>
      <c r="G123" s="66" t="n">
        <v>206</v>
      </c>
      <c r="H123" s="66" t="n">
        <v>0</v>
      </c>
      <c r="I123" s="66" t="n">
        <v>1</v>
      </c>
      <c r="J123" s="66" t="n">
        <v>0</v>
      </c>
      <c r="K123" s="66" t="n">
        <v>0</v>
      </c>
      <c r="L123" s="66" t="n">
        <v>1</v>
      </c>
      <c r="M123" s="44"/>
      <c r="N123" s="44"/>
      <c r="O123" s="72"/>
      <c r="P123" s="67"/>
      <c r="Q123" s="64"/>
      <c r="R123" s="64"/>
      <c r="S123" s="64"/>
      <c r="T123" s="64"/>
      <c r="U123" s="64"/>
      <c r="V123" s="64"/>
      <c r="W123" s="64"/>
      <c r="X123" s="64"/>
      <c r="Y123" s="64"/>
      <c r="Z123" s="64"/>
      <c r="AA123" s="64"/>
    </row>
    <row r="124" customFormat="false" ht="15" hidden="false" customHeight="false" outlineLevel="0" collapsed="false">
      <c r="A124" s="65" t="n">
        <v>46303</v>
      </c>
      <c r="B124" s="66" t="s">
        <v>284</v>
      </c>
      <c r="C124" s="67" t="str">
        <f aca="false" t="array" ref="C124:C124">IF(B124="","",IFERROR(INDEX('CLM &amp; IM Mapping'!$B$2:$B$270,MATCH(TRIM(B124),'CLM &amp; IM Mapping'!$A$2:$A$270,0)),"Not Mapped"))</f>
        <v>Balaji G</v>
      </c>
      <c r="D124" s="67" t="str">
        <f aca="false" t="array" ref="D124:D124">IF(B124="","",IFERROR(INDEX('CLM &amp; IM Mapping'!$C$2:$C$270,MATCH(TRIM(B124),'CLM &amp; IM Mapping'!$A$2:$A$270,0)),"Not Mapped"))</f>
        <v>Mohammed Akbar</v>
      </c>
      <c r="E124" s="66" t="n">
        <v>3325</v>
      </c>
      <c r="F124" s="66" t="n">
        <v>0</v>
      </c>
      <c r="G124" s="66" t="n">
        <v>3324</v>
      </c>
      <c r="H124" s="66" t="n">
        <v>0</v>
      </c>
      <c r="I124" s="66" t="n">
        <v>0</v>
      </c>
      <c r="J124" s="66" t="n">
        <v>1</v>
      </c>
      <c r="K124" s="66" t="n">
        <v>0</v>
      </c>
      <c r="L124" s="66" t="n">
        <v>1</v>
      </c>
      <c r="M124" s="44"/>
      <c r="N124" s="44" t="s">
        <v>839</v>
      </c>
      <c r="O124" s="72"/>
      <c r="P124" s="67"/>
      <c r="Q124" s="64"/>
      <c r="R124" s="64"/>
      <c r="S124" s="64"/>
      <c r="T124" s="64"/>
      <c r="U124" s="64"/>
      <c r="V124" s="64"/>
      <c r="W124" s="64"/>
      <c r="X124" s="64"/>
      <c r="Y124" s="64"/>
      <c r="Z124" s="64"/>
      <c r="AA124" s="64"/>
    </row>
    <row r="125" customFormat="false" ht="15" hidden="false" customHeight="false" outlineLevel="0" collapsed="false">
      <c r="A125" s="65" t="n">
        <v>46303</v>
      </c>
      <c r="B125" s="66" t="s">
        <v>222</v>
      </c>
      <c r="C125" s="67" t="str">
        <f aca="false" t="array" ref="C125:C125">IF(B125="","",IFERROR(INDEX('CLM &amp; IM Mapping'!$B$2:$B$270,MATCH(TRIM(B125),'CLM &amp; IM Mapping'!$A$2:$A$270,0)),"Not Mapped"))</f>
        <v>Vishnu V</v>
      </c>
      <c r="D125" s="67" t="str">
        <f aca="false" t="array" ref="D125:D125">IF(B125="","",IFERROR(INDEX('CLM &amp; IM Mapping'!$C$2:$C$270,MATCH(TRIM(B125),'CLM &amp; IM Mapping'!$A$2:$A$270,0)),"Not Mapped"))</f>
        <v>Arivind S</v>
      </c>
      <c r="E125" s="66" t="n">
        <v>2926</v>
      </c>
      <c r="F125" s="66" t="n">
        <v>0</v>
      </c>
      <c r="G125" s="66" t="n">
        <v>2925</v>
      </c>
      <c r="H125" s="66" t="n">
        <v>0</v>
      </c>
      <c r="I125" s="66" t="n">
        <v>0</v>
      </c>
      <c r="J125" s="66" t="n">
        <v>1</v>
      </c>
      <c r="K125" s="66" t="n">
        <v>0</v>
      </c>
      <c r="L125" s="66" t="n">
        <v>1</v>
      </c>
      <c r="M125" s="44"/>
      <c r="N125" s="44"/>
      <c r="O125" s="72"/>
      <c r="P125" s="67"/>
      <c r="Q125" s="64"/>
      <c r="R125" s="64"/>
      <c r="S125" s="64"/>
      <c r="T125" s="64"/>
      <c r="U125" s="64"/>
      <c r="V125" s="64"/>
      <c r="W125" s="64"/>
      <c r="X125" s="64"/>
      <c r="Y125" s="64"/>
      <c r="Z125" s="64"/>
      <c r="AA125" s="64"/>
    </row>
    <row r="126" customFormat="false" ht="15" hidden="false" customHeight="false" outlineLevel="0" collapsed="false">
      <c r="A126" s="65" t="n">
        <v>46303</v>
      </c>
      <c r="B126" s="66" t="s">
        <v>373</v>
      </c>
      <c r="C126" s="67" t="str">
        <f aca="false" t="array" ref="C126:C126">IF(B126="","",IFERROR(INDEX('CLM &amp; IM Mapping'!$B$2:$B$270,MATCH(TRIM(B126),'CLM &amp; IM Mapping'!$A$2:$A$270,0)),"Not Mapped"))</f>
        <v>Majid Kakatikar</v>
      </c>
      <c r="D126" s="67" t="str">
        <f aca="false" t="array" ref="D126:D126">IF(B126="","",IFERROR(INDEX('CLM &amp; IM Mapping'!$C$2:$C$270,MATCH(TRIM(B126),'CLM &amp; IM Mapping'!$A$2:$A$270,0)),"Not Mapped"))</f>
        <v>Kishor K</v>
      </c>
      <c r="E126" s="66" t="n">
        <v>0</v>
      </c>
      <c r="F126" s="66" t="n">
        <v>0</v>
      </c>
      <c r="G126" s="66" t="n">
        <v>0</v>
      </c>
      <c r="H126" s="66" t="n">
        <v>0</v>
      </c>
      <c r="I126" s="66" t="n">
        <v>0</v>
      </c>
      <c r="J126" s="66" t="n">
        <v>0</v>
      </c>
      <c r="K126" s="66" t="n">
        <v>0</v>
      </c>
      <c r="L126" s="66" t="n">
        <v>0</v>
      </c>
      <c r="M126" s="44"/>
      <c r="N126" s="44"/>
      <c r="O126" s="72"/>
      <c r="P126" s="67"/>
      <c r="Q126" s="64"/>
      <c r="R126" s="64"/>
      <c r="S126" s="64"/>
      <c r="T126" s="64"/>
      <c r="U126" s="64"/>
      <c r="V126" s="64"/>
      <c r="W126" s="64"/>
      <c r="X126" s="64"/>
      <c r="Y126" s="64"/>
      <c r="Z126" s="64"/>
      <c r="AA126" s="64"/>
    </row>
    <row r="127" customFormat="false" ht="15" hidden="false" customHeight="false" outlineLevel="0" collapsed="false">
      <c r="A127" s="65" t="n">
        <v>46303</v>
      </c>
      <c r="B127" s="66" t="s">
        <v>262</v>
      </c>
      <c r="C127" s="67" t="str">
        <f aca="false" t="array" ref="C127:C127">IF(B127="","",IFERROR(INDEX('CLM &amp; IM Mapping'!$B$2:$B$270,MATCH(TRIM(B127),'CLM &amp; IM Mapping'!$A$2:$A$270,0)),"Not Mapped"))</f>
        <v>Majid Kakatikar</v>
      </c>
      <c r="D127" s="67" t="str">
        <f aca="false" t="array" ref="D127:D127">IF(B127="","",IFERROR(INDEX('CLM &amp; IM Mapping'!$C$2:$C$270,MATCH(TRIM(B127),'CLM &amp; IM Mapping'!$A$2:$A$270,0)),"Not Mapped"))</f>
        <v>Kishor K</v>
      </c>
      <c r="E127" s="66" t="n">
        <v>0</v>
      </c>
      <c r="F127" s="66" t="n">
        <v>0</v>
      </c>
      <c r="G127" s="66" t="n">
        <v>0</v>
      </c>
      <c r="H127" s="66" t="n">
        <v>0</v>
      </c>
      <c r="I127" s="66" t="n">
        <v>0</v>
      </c>
      <c r="J127" s="66" t="n">
        <v>0</v>
      </c>
      <c r="K127" s="66" t="n">
        <v>0</v>
      </c>
      <c r="L127" s="66" t="n">
        <v>0</v>
      </c>
      <c r="M127" s="44"/>
      <c r="N127" s="44"/>
      <c r="O127" s="72"/>
      <c r="P127" s="67"/>
      <c r="Q127" s="64"/>
      <c r="R127" s="64"/>
      <c r="S127" s="64"/>
      <c r="T127" s="64"/>
      <c r="U127" s="64"/>
      <c r="V127" s="64"/>
      <c r="W127" s="64"/>
      <c r="X127" s="64"/>
      <c r="Y127" s="64"/>
      <c r="Z127" s="64"/>
      <c r="AA127" s="64"/>
    </row>
    <row r="128" customFormat="false" ht="15" hidden="false" customHeight="false" outlineLevel="0" collapsed="false">
      <c r="A128" s="65" t="n">
        <v>46303</v>
      </c>
      <c r="B128" s="67" t="s">
        <v>348</v>
      </c>
      <c r="C128" s="67" t="str">
        <f aca="false" t="array" ref="C128:C128">IF(B128="","",IFERROR(INDEX('CLM &amp; IM Mapping'!$B$2:$B$270,MATCH(TRIM(B128),'CLM &amp; IM Mapping'!$A$2:$A$270,0)),"Not Mapped"))</f>
        <v>Arun Raj</v>
      </c>
      <c r="D128" s="67" t="str">
        <f aca="false" t="array" ref="D128:D128">IF(B128="","",IFERROR(INDEX('CLM &amp; IM Mapping'!$C$2:$C$270,MATCH(TRIM(B128),'CLM &amp; IM Mapping'!$A$2:$A$270,0)),"Not Mapped"))</f>
        <v>Simon Manoharan</v>
      </c>
      <c r="E128" s="66" t="n">
        <v>337</v>
      </c>
      <c r="F128" s="66" t="n">
        <v>0</v>
      </c>
      <c r="G128" s="66" t="n">
        <v>0</v>
      </c>
      <c r="H128" s="66" t="n">
        <v>337</v>
      </c>
      <c r="I128" s="66" t="n">
        <v>0</v>
      </c>
      <c r="J128" s="66" t="n">
        <v>0</v>
      </c>
      <c r="K128" s="66" t="n">
        <v>0</v>
      </c>
      <c r="L128" s="66" t="n">
        <v>0</v>
      </c>
      <c r="M128" s="44"/>
      <c r="N128" s="44"/>
      <c r="O128" s="72"/>
      <c r="P128" s="67"/>
      <c r="Q128" s="64"/>
      <c r="R128" s="64"/>
      <c r="S128" s="64"/>
      <c r="T128" s="64"/>
      <c r="U128" s="64"/>
      <c r="V128" s="64"/>
      <c r="W128" s="64"/>
      <c r="X128" s="64"/>
      <c r="Y128" s="64"/>
      <c r="Z128" s="64"/>
      <c r="AA128" s="64"/>
    </row>
    <row r="129" customFormat="false" ht="15" hidden="false" customHeight="false" outlineLevel="0" collapsed="false">
      <c r="A129" s="65" t="n">
        <v>46303</v>
      </c>
      <c r="B129" s="66" t="s">
        <v>291</v>
      </c>
      <c r="C129" s="67" t="str">
        <f aca="false" t="array" ref="C129:C129">IF(B129="","",IFERROR(INDEX('CLM &amp; IM Mapping'!$B$2:$B$270,MATCH(TRIM(B129),'CLM &amp; IM Mapping'!$A$2:$A$270,0)),"Not Mapped"))</f>
        <v>Ashwath S</v>
      </c>
      <c r="D129" s="67" t="str">
        <f aca="false" t="array" ref="D129:D129">IF(B129="","",IFERROR(INDEX('CLM &amp; IM Mapping'!$C$2:$C$270,MATCH(TRIM(B129),'CLM &amp; IM Mapping'!$A$2:$A$270,0)),"Not Mapped"))</f>
        <v>Kantha Kumar</v>
      </c>
      <c r="E129" s="66" t="n">
        <v>0</v>
      </c>
      <c r="F129" s="66" t="n">
        <v>0</v>
      </c>
      <c r="G129" s="66" t="n">
        <v>0</v>
      </c>
      <c r="H129" s="66" t="n">
        <v>0</v>
      </c>
      <c r="I129" s="66" t="n">
        <v>0</v>
      </c>
      <c r="J129" s="66" t="n">
        <v>0</v>
      </c>
      <c r="K129" s="66" t="n">
        <v>0</v>
      </c>
      <c r="L129" s="66" t="n">
        <v>0</v>
      </c>
      <c r="M129" s="44"/>
      <c r="N129" s="44"/>
      <c r="O129" s="72"/>
      <c r="P129" s="67"/>
      <c r="Q129" s="64"/>
      <c r="R129" s="64"/>
      <c r="S129" s="64"/>
      <c r="T129" s="64"/>
      <c r="U129" s="64"/>
      <c r="V129" s="64"/>
      <c r="W129" s="64"/>
      <c r="X129" s="64"/>
      <c r="Y129" s="64"/>
      <c r="Z129" s="64"/>
      <c r="AA129" s="64"/>
    </row>
    <row r="130" customFormat="false" ht="15" hidden="false" customHeight="false" outlineLevel="0" collapsed="false">
      <c r="A130" s="65" t="n">
        <v>46303</v>
      </c>
      <c r="B130" s="67" t="s">
        <v>420</v>
      </c>
      <c r="C130" s="67" t="str">
        <f aca="false" t="array" ref="C130:C130">IF(B130="","",IFERROR(INDEX('CLM &amp; IM Mapping'!$B$2:$B$270,MATCH(TRIM(B130),'CLM &amp; IM Mapping'!$A$2:$A$270,0)),"Not Mapped"))</f>
        <v>Ravishankar gowda</v>
      </c>
      <c r="D130" s="67" t="str">
        <f aca="false" t="array" ref="D130:D130">IF(B130="","",IFERROR(INDEX('CLM &amp; IM Mapping'!$C$2:$C$270,MATCH(TRIM(B130),'CLM &amp; IM Mapping'!$A$2:$A$270,0)),"Not Mapped"))</f>
        <v>Kishor K</v>
      </c>
      <c r="E130" s="66" t="n">
        <v>329</v>
      </c>
      <c r="F130" s="66" t="n">
        <v>0</v>
      </c>
      <c r="G130" s="66" t="n">
        <v>329</v>
      </c>
      <c r="H130" s="66" t="n">
        <v>0</v>
      </c>
      <c r="I130" s="66" t="n">
        <v>0</v>
      </c>
      <c r="J130" s="66" t="n">
        <v>0</v>
      </c>
      <c r="K130" s="66" t="n">
        <v>0</v>
      </c>
      <c r="L130" s="66" t="n">
        <v>0</v>
      </c>
      <c r="M130" s="44"/>
      <c r="N130" s="44"/>
      <c r="O130" s="72"/>
      <c r="P130" s="67"/>
      <c r="Q130" s="64"/>
      <c r="R130" s="64"/>
      <c r="S130" s="64"/>
      <c r="T130" s="64"/>
      <c r="U130" s="64"/>
      <c r="V130" s="64"/>
      <c r="W130" s="64"/>
      <c r="X130" s="64"/>
      <c r="Y130" s="64"/>
      <c r="Z130" s="64"/>
      <c r="AA130" s="64"/>
    </row>
    <row r="131" customFormat="false" ht="15" hidden="false" customHeight="false" outlineLevel="0" collapsed="false">
      <c r="A131" s="65" t="n">
        <v>46303</v>
      </c>
      <c r="B131" s="66" t="s">
        <v>528</v>
      </c>
      <c r="C131" s="67" t="str">
        <f aca="false" t="array" ref="C131:C131">IF(B131="","",IFERROR(INDEX('CLM &amp; IM Mapping'!$B$2:$B$270,MATCH(TRIM(B131),'CLM &amp; IM Mapping'!$A$2:$A$270,0)),"Not Mapped"))</f>
        <v>Saddam Hussain</v>
      </c>
      <c r="D131" s="67" t="str">
        <f aca="false" t="array" ref="D131:D131">IF(B131="","",IFERROR(INDEX('CLM &amp; IM Mapping'!$C$2:$C$270,MATCH(TRIM(B131),'CLM &amp; IM Mapping'!$A$2:$A$270,0)),"Not Mapped"))</f>
        <v>Un Mapped</v>
      </c>
      <c r="E131" s="66" t="n">
        <v>0</v>
      </c>
      <c r="F131" s="66" t="n">
        <v>0</v>
      </c>
      <c r="G131" s="66" t="n">
        <v>0</v>
      </c>
      <c r="H131" s="66" t="n">
        <v>0</v>
      </c>
      <c r="I131" s="66" t="n">
        <v>0</v>
      </c>
      <c r="J131" s="66" t="n">
        <v>0</v>
      </c>
      <c r="K131" s="66" t="n">
        <v>0</v>
      </c>
      <c r="L131" s="66" t="n">
        <v>0</v>
      </c>
      <c r="M131" s="44"/>
      <c r="N131" s="44"/>
      <c r="O131" s="72"/>
      <c r="P131" s="67"/>
      <c r="Q131" s="64"/>
      <c r="R131" s="64"/>
      <c r="S131" s="64"/>
      <c r="T131" s="64"/>
      <c r="U131" s="64"/>
      <c r="V131" s="64"/>
      <c r="W131" s="64"/>
      <c r="X131" s="64"/>
      <c r="Y131" s="64"/>
      <c r="Z131" s="64"/>
      <c r="AA131" s="64"/>
    </row>
    <row r="132" customFormat="false" ht="15" hidden="false" customHeight="false" outlineLevel="0" collapsed="false">
      <c r="A132" s="65" t="n">
        <v>46303</v>
      </c>
      <c r="B132" s="66" t="s">
        <v>379</v>
      </c>
      <c r="C132" s="67" t="str">
        <f aca="false" t="array" ref="C132:C132">IF(B132="","",IFERROR(INDEX('CLM &amp; IM Mapping'!$B$2:$B$270,MATCH(TRIM(B132),'CLM &amp; IM Mapping'!$A$2:$A$270,0)),"Not Mapped"))</f>
        <v>Richard Harris</v>
      </c>
      <c r="D132" s="67" t="str">
        <f aca="false" t="array" ref="D132:D132">IF(B132="","",IFERROR(INDEX('CLM &amp; IM Mapping'!$C$2:$C$270,MATCH(TRIM(B132),'CLM &amp; IM Mapping'!$A$2:$A$270,0)),"Not Mapped"))</f>
        <v>Kantha Kumar</v>
      </c>
      <c r="E132" s="66" t="n">
        <v>0</v>
      </c>
      <c r="F132" s="66" t="n">
        <v>0</v>
      </c>
      <c r="G132" s="66" t="n">
        <v>0</v>
      </c>
      <c r="H132" s="66" t="n">
        <v>0</v>
      </c>
      <c r="I132" s="66" t="n">
        <v>0</v>
      </c>
      <c r="J132" s="66" t="n">
        <v>0</v>
      </c>
      <c r="K132" s="66" t="n">
        <v>0</v>
      </c>
      <c r="L132" s="66" t="n">
        <v>0</v>
      </c>
      <c r="M132" s="44"/>
      <c r="N132" s="44"/>
      <c r="O132" s="72"/>
      <c r="P132" s="67"/>
      <c r="Q132" s="64"/>
      <c r="R132" s="64"/>
      <c r="S132" s="64"/>
      <c r="T132" s="64"/>
      <c r="U132" s="64"/>
      <c r="V132" s="64"/>
      <c r="W132" s="64"/>
      <c r="X132" s="64"/>
      <c r="Y132" s="64"/>
      <c r="Z132" s="64"/>
      <c r="AA132" s="64"/>
    </row>
    <row r="133" customFormat="false" ht="15" hidden="false" customHeight="false" outlineLevel="0" collapsed="false">
      <c r="A133" s="65" t="n">
        <v>46303</v>
      </c>
      <c r="B133" s="66" t="s">
        <v>444</v>
      </c>
      <c r="C133" s="67" t="str">
        <f aca="false" t="array" ref="C133:C133">IF(B133="","",IFERROR(INDEX('CLM &amp; IM Mapping'!$B$2:$B$270,MATCH(TRIM(B133),'CLM &amp; IM Mapping'!$A$2:$A$270,0)),"Not Mapped"))</f>
        <v>Narasimhamurthy R</v>
      </c>
      <c r="D133" s="67" t="str">
        <f aca="false" t="array" ref="D133:D133">IF(B133="","",IFERROR(INDEX('CLM &amp; IM Mapping'!$C$2:$C$270,MATCH(TRIM(B133),'CLM &amp; IM Mapping'!$A$2:$A$270,0)),"Not Mapped"))</f>
        <v>Kishor K</v>
      </c>
      <c r="E133" s="66" t="n">
        <v>6070</v>
      </c>
      <c r="F133" s="66" t="n">
        <v>6070</v>
      </c>
      <c r="G133" s="66" t="n">
        <v>0</v>
      </c>
      <c r="H133" s="66" t="n">
        <v>0</v>
      </c>
      <c r="I133" s="66" t="n">
        <v>0</v>
      </c>
      <c r="J133" s="66" t="n">
        <v>0</v>
      </c>
      <c r="K133" s="66" t="n">
        <v>0</v>
      </c>
      <c r="L133" s="66" t="n">
        <v>0</v>
      </c>
      <c r="M133" s="44"/>
      <c r="N133" s="44"/>
      <c r="O133" s="72"/>
      <c r="P133" s="67"/>
      <c r="Q133" s="64"/>
      <c r="R133" s="64"/>
      <c r="S133" s="64"/>
      <c r="T133" s="64"/>
      <c r="U133" s="64"/>
      <c r="V133" s="64"/>
      <c r="W133" s="64"/>
      <c r="X133" s="64"/>
      <c r="Y133" s="64"/>
      <c r="Z133" s="64"/>
      <c r="AA133" s="64"/>
    </row>
    <row r="134" customFormat="false" ht="15" hidden="false" customHeight="false" outlineLevel="0" collapsed="false">
      <c r="A134" s="65" t="n">
        <v>46303</v>
      </c>
      <c r="B134" s="66" t="s">
        <v>384</v>
      </c>
      <c r="C134" s="67" t="str">
        <f aca="false" t="array" ref="C134:C134">IF(B134="","",IFERROR(INDEX('CLM &amp; IM Mapping'!$B$2:$B$270,MATCH(TRIM(B134),'CLM &amp; IM Mapping'!$A$2:$A$270,0)),"Not Mapped"))</f>
        <v>Saddam Hussain</v>
      </c>
      <c r="D134" s="67" t="str">
        <f aca="false" t="array" ref="D134:D134">IF(B134="","",IFERROR(INDEX('CLM &amp; IM Mapping'!$C$2:$C$270,MATCH(TRIM(B134),'CLM &amp; IM Mapping'!$A$2:$A$270,0)),"Not Mapped"))</f>
        <v>Un Mapped</v>
      </c>
      <c r="E134" s="66" t="n">
        <v>374</v>
      </c>
      <c r="F134" s="66" t="n">
        <v>4</v>
      </c>
      <c r="G134" s="66" t="n">
        <v>370</v>
      </c>
      <c r="H134" s="66" t="n">
        <v>0</v>
      </c>
      <c r="I134" s="66" t="n">
        <v>0</v>
      </c>
      <c r="J134" s="66" t="n">
        <v>0</v>
      </c>
      <c r="K134" s="66" t="n">
        <v>0</v>
      </c>
      <c r="L134" s="66" t="n">
        <v>0</v>
      </c>
      <c r="M134" s="44"/>
      <c r="N134" s="44"/>
      <c r="O134" s="72"/>
      <c r="P134" s="67"/>
      <c r="Q134" s="64"/>
      <c r="R134" s="64"/>
      <c r="S134" s="64"/>
      <c r="T134" s="64"/>
      <c r="U134" s="64"/>
      <c r="V134" s="64"/>
      <c r="W134" s="64"/>
      <c r="X134" s="64"/>
      <c r="Y134" s="64"/>
      <c r="Z134" s="64"/>
      <c r="AA134" s="64"/>
    </row>
    <row r="135" customFormat="false" ht="15" hidden="false" customHeight="false" outlineLevel="0" collapsed="false">
      <c r="A135" s="65" t="n">
        <v>46303</v>
      </c>
      <c r="B135" s="66" t="s">
        <v>497</v>
      </c>
      <c r="C135" s="67" t="str">
        <f aca="false" t="array" ref="C135:C135">IF(B135="","",IFERROR(INDEX('CLM &amp; IM Mapping'!$B$2:$B$270,MATCH(TRIM(B135),'CLM &amp; IM Mapping'!$A$2:$A$270,0)),"Not Mapped"))</f>
        <v>Narasimhamurthy R</v>
      </c>
      <c r="D135" s="67" t="str">
        <f aca="false" t="array" ref="D135:D135">IF(B135="","",IFERROR(INDEX('CLM &amp; IM Mapping'!$C$2:$C$270,MATCH(TRIM(B135),'CLM &amp; IM Mapping'!$A$2:$A$270,0)),"Not Mapped"))</f>
        <v>Kishor K</v>
      </c>
      <c r="E135" s="66" t="n">
        <v>0</v>
      </c>
      <c r="F135" s="66" t="n">
        <v>0</v>
      </c>
      <c r="G135" s="66" t="n">
        <v>0</v>
      </c>
      <c r="H135" s="66" t="n">
        <v>0</v>
      </c>
      <c r="I135" s="66" t="n">
        <v>0</v>
      </c>
      <c r="J135" s="66" t="n">
        <v>0</v>
      </c>
      <c r="K135" s="66" t="n">
        <v>0</v>
      </c>
      <c r="L135" s="66" t="n">
        <v>0</v>
      </c>
      <c r="M135" s="44"/>
      <c r="N135" s="44"/>
      <c r="O135" s="72"/>
      <c r="P135" s="67"/>
      <c r="Q135" s="64"/>
      <c r="R135" s="64"/>
      <c r="S135" s="64"/>
      <c r="T135" s="64"/>
      <c r="U135" s="64"/>
      <c r="V135" s="64"/>
      <c r="W135" s="64"/>
      <c r="X135" s="64"/>
      <c r="Y135" s="64"/>
      <c r="Z135" s="64"/>
      <c r="AA135" s="64"/>
    </row>
    <row r="136" customFormat="false" ht="15" hidden="false" customHeight="false" outlineLevel="0" collapsed="false">
      <c r="A136" s="65" t="n">
        <v>46303</v>
      </c>
      <c r="B136" s="66" t="s">
        <v>381</v>
      </c>
      <c r="C136" s="67" t="str">
        <f aca="false" t="array" ref="C136:C136">IF(B136="","",IFERROR(INDEX('CLM &amp; IM Mapping'!$B$2:$B$270,MATCH(TRIM(B136),'CLM &amp; IM Mapping'!$A$2:$A$270,0)),"Not Mapped"))</f>
        <v>Balaji G</v>
      </c>
      <c r="D136" s="67" t="str">
        <f aca="false" t="array" ref="D136:D136">IF(B136="","",IFERROR(INDEX('CLM &amp; IM Mapping'!$C$2:$C$270,MATCH(TRIM(B136),'CLM &amp; IM Mapping'!$A$2:$A$270,0)),"Not Mapped"))</f>
        <v>Mohammed Akbar</v>
      </c>
      <c r="E136" s="66" t="n">
        <v>0</v>
      </c>
      <c r="F136" s="66" t="n">
        <v>0</v>
      </c>
      <c r="G136" s="66" t="n">
        <v>0</v>
      </c>
      <c r="H136" s="66" t="n">
        <v>0</v>
      </c>
      <c r="I136" s="66" t="n">
        <v>0</v>
      </c>
      <c r="J136" s="66" t="n">
        <v>0</v>
      </c>
      <c r="K136" s="66" t="n">
        <v>0</v>
      </c>
      <c r="L136" s="66" t="n">
        <v>0</v>
      </c>
      <c r="M136" s="44"/>
      <c r="N136" s="44"/>
      <c r="O136" s="72"/>
      <c r="P136" s="67"/>
      <c r="Q136" s="64"/>
      <c r="R136" s="64"/>
      <c r="S136" s="64"/>
      <c r="T136" s="64"/>
      <c r="U136" s="64"/>
      <c r="V136" s="64"/>
      <c r="W136" s="64"/>
      <c r="X136" s="64"/>
      <c r="Y136" s="64"/>
      <c r="Z136" s="64"/>
      <c r="AA136" s="64"/>
    </row>
    <row r="137" customFormat="false" ht="15" hidden="false" customHeight="false" outlineLevel="0" collapsed="false">
      <c r="A137" s="65" t="n">
        <v>46303</v>
      </c>
      <c r="B137" s="66" t="s">
        <v>120</v>
      </c>
      <c r="C137" s="67" t="str">
        <f aca="false" t="array" ref="C137:C137">IF(B137="","",IFERROR(INDEX('CLM &amp; IM Mapping'!$B$2:$B$270,MATCH(TRIM(B137),'CLM &amp; IM Mapping'!$A$2:$A$270,0)),"Not Mapped"))</f>
        <v>Balaji G</v>
      </c>
      <c r="D137" s="67" t="str">
        <f aca="false" t="array" ref="D137:D137">IF(B137="","",IFERROR(INDEX('CLM &amp; IM Mapping'!$C$2:$C$270,MATCH(TRIM(B137),'CLM &amp; IM Mapping'!$A$2:$A$270,0)),"Not Mapped"))</f>
        <v>Mohammed Akbar</v>
      </c>
      <c r="E137" s="66" t="n">
        <v>0</v>
      </c>
      <c r="F137" s="66" t="n">
        <v>0</v>
      </c>
      <c r="G137" s="66" t="n">
        <v>0</v>
      </c>
      <c r="H137" s="66" t="n">
        <v>0</v>
      </c>
      <c r="I137" s="66" t="n">
        <v>0</v>
      </c>
      <c r="J137" s="66" t="n">
        <v>0</v>
      </c>
      <c r="K137" s="66" t="n">
        <v>0</v>
      </c>
      <c r="L137" s="66" t="n">
        <v>0</v>
      </c>
      <c r="M137" s="44"/>
      <c r="N137" s="44"/>
      <c r="O137" s="72"/>
      <c r="P137" s="67"/>
      <c r="Q137" s="64"/>
      <c r="R137" s="64"/>
      <c r="S137" s="64"/>
      <c r="T137" s="64"/>
      <c r="U137" s="64"/>
      <c r="V137" s="64"/>
      <c r="W137" s="64"/>
      <c r="X137" s="64"/>
      <c r="Y137" s="64"/>
      <c r="Z137" s="64"/>
      <c r="AA137" s="64"/>
    </row>
    <row r="138" customFormat="false" ht="15" hidden="false" customHeight="false" outlineLevel="0" collapsed="false">
      <c r="A138" s="65" t="n">
        <v>46303</v>
      </c>
      <c r="B138" s="66" t="s">
        <v>508</v>
      </c>
      <c r="C138" s="67" t="str">
        <f aca="false" t="array" ref="C138:C138">IF(B138="","",IFERROR(INDEX('CLM &amp; IM Mapping'!$B$2:$B$270,MATCH(TRIM(B138),'CLM &amp; IM Mapping'!$A$2:$A$270,0)),"Not Mapped"))</f>
        <v>Ravishankar gowda</v>
      </c>
      <c r="D138" s="67" t="str">
        <f aca="false" t="array" ref="D138:D138">IF(B138="","",IFERROR(INDEX('CLM &amp; IM Mapping'!$C$2:$C$270,MATCH(TRIM(B138),'CLM &amp; IM Mapping'!$A$2:$A$270,0)),"Not Mapped"))</f>
        <v>Kishor K</v>
      </c>
      <c r="E138" s="66" t="n">
        <v>7312</v>
      </c>
      <c r="F138" s="66" t="n">
        <v>7312</v>
      </c>
      <c r="G138" s="66" t="n">
        <v>0</v>
      </c>
      <c r="H138" s="66" t="n">
        <v>0</v>
      </c>
      <c r="I138" s="66" t="n">
        <v>0</v>
      </c>
      <c r="J138" s="66" t="n">
        <v>0</v>
      </c>
      <c r="K138" s="66" t="n">
        <v>0</v>
      </c>
      <c r="L138" s="66" t="n">
        <v>0</v>
      </c>
      <c r="M138" s="44"/>
      <c r="N138" s="44"/>
      <c r="O138" s="72"/>
      <c r="P138" s="67"/>
      <c r="Q138" s="64"/>
      <c r="R138" s="64"/>
      <c r="S138" s="64"/>
      <c r="T138" s="64"/>
      <c r="U138" s="64"/>
      <c r="V138" s="64"/>
      <c r="W138" s="64"/>
      <c r="X138" s="64"/>
      <c r="Y138" s="64"/>
      <c r="Z138" s="64"/>
      <c r="AA138" s="64"/>
    </row>
    <row r="139" customFormat="false" ht="15" hidden="false" customHeight="false" outlineLevel="0" collapsed="false">
      <c r="A139" s="65" t="n">
        <v>46303</v>
      </c>
      <c r="B139" s="66" t="s">
        <v>463</v>
      </c>
      <c r="C139" s="67" t="str">
        <f aca="false" t="array" ref="C139:C139">IF(B139="","",IFERROR(INDEX('CLM &amp; IM Mapping'!$B$2:$B$270,MATCH(TRIM(B139),'CLM &amp; IM Mapping'!$A$2:$A$270,0)),"Not Mapped"))</f>
        <v>Ashwath S</v>
      </c>
      <c r="D139" s="67" t="str">
        <f aca="false" t="array" ref="D139:D139">IF(B139="","",IFERROR(INDEX('CLM &amp; IM Mapping'!$C$2:$C$270,MATCH(TRIM(B139),'CLM &amp; IM Mapping'!$A$2:$A$270,0)),"Not Mapped"))</f>
        <v>Kantha Kumar</v>
      </c>
      <c r="E139" s="66" t="n">
        <v>73</v>
      </c>
      <c r="F139" s="66" t="n">
        <v>66</v>
      </c>
      <c r="G139" s="66" t="n">
        <v>7</v>
      </c>
      <c r="H139" s="66" t="n">
        <v>0</v>
      </c>
      <c r="I139" s="66" t="n">
        <v>0</v>
      </c>
      <c r="J139" s="66" t="n">
        <v>0</v>
      </c>
      <c r="K139" s="66" t="n">
        <v>0</v>
      </c>
      <c r="L139" s="66" t="n">
        <v>0</v>
      </c>
      <c r="M139" s="44"/>
      <c r="N139" s="44"/>
      <c r="O139" s="72"/>
      <c r="P139" s="67"/>
      <c r="Q139" s="64"/>
      <c r="R139" s="64"/>
      <c r="S139" s="64"/>
      <c r="T139" s="64"/>
      <c r="U139" s="64"/>
      <c r="V139" s="64"/>
      <c r="W139" s="64"/>
      <c r="X139" s="64"/>
      <c r="Y139" s="64"/>
      <c r="Z139" s="64"/>
      <c r="AA139" s="64"/>
    </row>
    <row r="140" customFormat="false" ht="15" hidden="false" customHeight="false" outlineLevel="0" collapsed="false">
      <c r="A140" s="65" t="n">
        <v>46303</v>
      </c>
      <c r="B140" s="66" t="s">
        <v>454</v>
      </c>
      <c r="C140" s="67" t="str">
        <f aca="false" t="array" ref="C140:C140">IF(B140="","",IFERROR(INDEX('CLM &amp; IM Mapping'!$B$2:$B$270,MATCH(TRIM(B140),'CLM &amp; IM Mapping'!$A$2:$A$270,0)),"Not Mapped"))</f>
        <v>Balaji G</v>
      </c>
      <c r="D140" s="67" t="str">
        <f aca="false" t="array" ref="D140:D140">IF(B140="","",IFERROR(INDEX('CLM &amp; IM Mapping'!$C$2:$C$270,MATCH(TRIM(B140),'CLM &amp; IM Mapping'!$A$2:$A$270,0)),"Not Mapped"))</f>
        <v>Mohammed Akbar</v>
      </c>
      <c r="E140" s="66" t="n">
        <v>0</v>
      </c>
      <c r="F140" s="66" t="n">
        <v>0</v>
      </c>
      <c r="G140" s="66" t="n">
        <v>0</v>
      </c>
      <c r="H140" s="66" t="n">
        <v>0</v>
      </c>
      <c r="I140" s="66" t="n">
        <v>0</v>
      </c>
      <c r="J140" s="66" t="n">
        <v>0</v>
      </c>
      <c r="K140" s="66" t="n">
        <v>0</v>
      </c>
      <c r="L140" s="66" t="n">
        <v>0</v>
      </c>
      <c r="M140" s="44"/>
      <c r="N140" s="44"/>
      <c r="O140" s="72"/>
      <c r="P140" s="67"/>
      <c r="Q140" s="64"/>
      <c r="R140" s="64"/>
      <c r="S140" s="64"/>
      <c r="T140" s="64"/>
      <c r="U140" s="64"/>
      <c r="V140" s="64"/>
      <c r="W140" s="64"/>
      <c r="X140" s="64"/>
      <c r="Y140" s="64"/>
      <c r="Z140" s="64"/>
      <c r="AA140" s="64"/>
    </row>
    <row r="141" customFormat="false" ht="15" hidden="false" customHeight="false" outlineLevel="0" collapsed="false">
      <c r="A141" s="65" t="n">
        <v>46303</v>
      </c>
      <c r="B141" s="66" t="s">
        <v>191</v>
      </c>
      <c r="C141" s="67" t="str">
        <f aca="false" t="array" ref="C141:C141">IF(B141="","",IFERROR(INDEX('CLM &amp; IM Mapping'!$B$2:$B$270,MATCH(TRIM(B141),'CLM &amp; IM Mapping'!$A$2:$A$270,0)),"Not Mapped"))</f>
        <v>Adhavan Subramani</v>
      </c>
      <c r="D141" s="67" t="str">
        <f aca="false" t="array" ref="D141:D141">IF(B141="","",IFERROR(INDEX('CLM &amp; IM Mapping'!$C$2:$C$270,MATCH(TRIM(B141),'CLM &amp; IM Mapping'!$A$2:$A$270,0)),"Not Mapped"))</f>
        <v>Mohammed Akbar</v>
      </c>
      <c r="E141" s="66" t="n">
        <v>0</v>
      </c>
      <c r="F141" s="66" t="n">
        <v>0</v>
      </c>
      <c r="G141" s="66" t="n">
        <v>0</v>
      </c>
      <c r="H141" s="66" t="n">
        <v>0</v>
      </c>
      <c r="I141" s="66" t="n">
        <v>0</v>
      </c>
      <c r="J141" s="66" t="n">
        <v>0</v>
      </c>
      <c r="K141" s="66" t="n">
        <v>0</v>
      </c>
      <c r="L141" s="66" t="n">
        <v>0</v>
      </c>
      <c r="M141" s="44"/>
      <c r="N141" s="44"/>
      <c r="O141" s="72"/>
      <c r="P141" s="67"/>
      <c r="Q141" s="64"/>
      <c r="R141" s="64"/>
      <c r="S141" s="64"/>
      <c r="T141" s="64"/>
      <c r="U141" s="64"/>
      <c r="V141" s="64"/>
      <c r="W141" s="64"/>
      <c r="X141" s="64"/>
      <c r="Y141" s="64"/>
      <c r="Z141" s="64"/>
      <c r="AA141" s="64"/>
    </row>
    <row r="142" customFormat="false" ht="15" hidden="false" customHeight="false" outlineLevel="0" collapsed="false">
      <c r="A142" s="65" t="n">
        <v>46303</v>
      </c>
      <c r="B142" s="66" t="s">
        <v>339</v>
      </c>
      <c r="C142" s="67" t="str">
        <f aca="false" t="array" ref="C142:C142">IF(B142="","",IFERROR(INDEX('CLM &amp; IM Mapping'!$B$2:$B$270,MATCH(TRIM(B142),'CLM &amp; IM Mapping'!$A$2:$A$270,0)),"Not Mapped"))</f>
        <v>Ravishankar gowda</v>
      </c>
      <c r="D142" s="67" t="str">
        <f aca="false" t="array" ref="D142:D142">IF(B142="","",IFERROR(INDEX('CLM &amp; IM Mapping'!$C$2:$C$270,MATCH(TRIM(B142),'CLM &amp; IM Mapping'!$A$2:$A$270,0)),"Not Mapped"))</f>
        <v>Kishor K</v>
      </c>
      <c r="E142" s="66" t="n">
        <v>5</v>
      </c>
      <c r="F142" s="66" t="n">
        <v>5</v>
      </c>
      <c r="G142" s="66" t="n">
        <v>0</v>
      </c>
      <c r="H142" s="66" t="n">
        <v>0</v>
      </c>
      <c r="I142" s="66" t="n">
        <v>0</v>
      </c>
      <c r="J142" s="66" t="n">
        <v>0</v>
      </c>
      <c r="K142" s="66" t="n">
        <v>0</v>
      </c>
      <c r="L142" s="66" t="n">
        <v>0</v>
      </c>
      <c r="M142" s="44"/>
      <c r="N142" s="44"/>
      <c r="O142" s="72"/>
      <c r="P142" s="67"/>
      <c r="Q142" s="64"/>
      <c r="R142" s="64"/>
      <c r="S142" s="64"/>
      <c r="T142" s="64"/>
      <c r="U142" s="64"/>
      <c r="V142" s="64"/>
      <c r="W142" s="64"/>
      <c r="X142" s="64"/>
      <c r="Y142" s="64"/>
      <c r="Z142" s="64"/>
      <c r="AA142" s="64"/>
    </row>
    <row r="143" customFormat="false" ht="15" hidden="false" customHeight="false" outlineLevel="0" collapsed="false">
      <c r="A143" s="65" t="n">
        <v>46303</v>
      </c>
      <c r="B143" s="66" t="s">
        <v>312</v>
      </c>
      <c r="C143" s="67" t="str">
        <f aca="false" t="array" ref="C143:C143">IF(B143="","",IFERROR(INDEX('CLM &amp; IM Mapping'!$B$2:$B$270,MATCH(TRIM(B143),'CLM &amp; IM Mapping'!$A$2:$A$270,0)),"Not Mapped"))</f>
        <v>Manoj Kj</v>
      </c>
      <c r="D143" s="67" t="str">
        <f aca="false" t="array" ref="D143:D143">IF(B143="","",IFERROR(INDEX('CLM &amp; IM Mapping'!$C$2:$C$270,MATCH(TRIM(B143),'CLM &amp; IM Mapping'!$A$2:$A$270,0)),"Not Mapped"))</f>
        <v>Srittam Dhal</v>
      </c>
      <c r="E143" s="66" t="n">
        <v>0</v>
      </c>
      <c r="F143" s="66" t="n">
        <v>0</v>
      </c>
      <c r="G143" s="66" t="n">
        <v>0</v>
      </c>
      <c r="H143" s="66" t="n">
        <v>0</v>
      </c>
      <c r="I143" s="66" t="n">
        <v>0</v>
      </c>
      <c r="J143" s="66" t="n">
        <v>0</v>
      </c>
      <c r="K143" s="66" t="n">
        <v>0</v>
      </c>
      <c r="L143" s="66" t="n">
        <v>0</v>
      </c>
      <c r="M143" s="44"/>
      <c r="N143" s="44"/>
      <c r="O143" s="72"/>
      <c r="P143" s="67"/>
      <c r="Q143" s="64"/>
      <c r="R143" s="64"/>
      <c r="S143" s="64"/>
      <c r="T143" s="64"/>
      <c r="U143" s="64"/>
      <c r="V143" s="64"/>
      <c r="W143" s="64"/>
      <c r="X143" s="64"/>
      <c r="Y143" s="64"/>
      <c r="Z143" s="64"/>
      <c r="AA143" s="64"/>
    </row>
    <row r="144" customFormat="false" ht="15" hidden="false" customHeight="false" outlineLevel="0" collapsed="false">
      <c r="A144" s="65" t="n">
        <v>46303</v>
      </c>
      <c r="B144" s="66" t="s">
        <v>216</v>
      </c>
      <c r="C144" s="67" t="str">
        <f aca="false" t="array" ref="C144:C144">IF(B144="","",IFERROR(INDEX('CLM &amp; IM Mapping'!$B$2:$B$270,MATCH(TRIM(B144),'CLM &amp; IM Mapping'!$A$2:$A$270,0)),"Not Mapped"))</f>
        <v>Silambarasan E</v>
      </c>
      <c r="D144" s="67" t="str">
        <f aca="false" t="array" ref="D144:D144">IF(B144="","",IFERROR(INDEX('CLM &amp; IM Mapping'!$C$2:$C$270,MATCH(TRIM(B144),'CLM &amp; IM Mapping'!$A$2:$A$270,0)),"Not Mapped"))</f>
        <v>Arivind S</v>
      </c>
      <c r="E144" s="66" t="n">
        <v>0</v>
      </c>
      <c r="F144" s="66" t="n">
        <v>0</v>
      </c>
      <c r="G144" s="66" t="n">
        <v>0</v>
      </c>
      <c r="H144" s="66" t="n">
        <v>0</v>
      </c>
      <c r="I144" s="66" t="n">
        <v>0</v>
      </c>
      <c r="J144" s="66" t="n">
        <v>0</v>
      </c>
      <c r="K144" s="66" t="n">
        <v>0</v>
      </c>
      <c r="L144" s="66" t="n">
        <v>0</v>
      </c>
      <c r="M144" s="44"/>
      <c r="N144" s="44"/>
      <c r="O144" s="72"/>
      <c r="P144" s="67"/>
      <c r="Q144" s="64"/>
      <c r="R144" s="64"/>
      <c r="S144" s="64"/>
      <c r="T144" s="64"/>
      <c r="U144" s="64"/>
      <c r="V144" s="64"/>
      <c r="W144" s="64"/>
      <c r="X144" s="64"/>
      <c r="Y144" s="64"/>
      <c r="Z144" s="64"/>
      <c r="AA144" s="64"/>
    </row>
    <row r="145" customFormat="false" ht="15" hidden="false" customHeight="false" outlineLevel="0" collapsed="false">
      <c r="A145" s="65" t="n">
        <v>46303</v>
      </c>
      <c r="B145" s="66" t="s">
        <v>333</v>
      </c>
      <c r="C145" s="67" t="str">
        <f aca="false" t="array" ref="C145:C145">IF(B145="","",IFERROR(INDEX('CLM &amp; IM Mapping'!$B$2:$B$270,MATCH(TRIM(B145),'CLM &amp; IM Mapping'!$A$2:$A$270,0)),"Not Mapped"))</f>
        <v>Basil Scariya</v>
      </c>
      <c r="D145" s="67" t="str">
        <f aca="false" t="array" ref="D145:D145">IF(B145="","",IFERROR(INDEX('CLM &amp; IM Mapping'!$C$2:$C$270,MATCH(TRIM(B145),'CLM &amp; IM Mapping'!$A$2:$A$270,0)),"Not Mapped"))</f>
        <v>Prakash BS</v>
      </c>
      <c r="E145" s="66" t="n">
        <v>0</v>
      </c>
      <c r="F145" s="66" t="n">
        <v>0</v>
      </c>
      <c r="G145" s="66" t="n">
        <v>0</v>
      </c>
      <c r="H145" s="66" t="n">
        <v>0</v>
      </c>
      <c r="I145" s="66" t="n">
        <v>0</v>
      </c>
      <c r="J145" s="66" t="n">
        <v>0</v>
      </c>
      <c r="K145" s="66" t="n">
        <v>0</v>
      </c>
      <c r="L145" s="66" t="n">
        <v>0</v>
      </c>
      <c r="M145" s="44"/>
      <c r="N145" s="44"/>
      <c r="O145" s="72"/>
      <c r="P145" s="67"/>
      <c r="Q145" s="64"/>
      <c r="R145" s="64"/>
      <c r="S145" s="64"/>
      <c r="T145" s="64"/>
      <c r="U145" s="64"/>
      <c r="V145" s="64"/>
      <c r="W145" s="64"/>
      <c r="X145" s="64"/>
      <c r="Y145" s="64"/>
      <c r="Z145" s="64"/>
      <c r="AA145" s="64"/>
    </row>
    <row r="146" customFormat="false" ht="15" hidden="false" customHeight="false" outlineLevel="0" collapsed="false">
      <c r="A146" s="65" t="n">
        <v>46303</v>
      </c>
      <c r="B146" s="66" t="s">
        <v>357</v>
      </c>
      <c r="C146" s="67" t="str">
        <f aca="false" t="array" ref="C146:C146">IF(B146="","",IFERROR(INDEX('CLM &amp; IM Mapping'!$B$2:$B$270,MATCH(TRIM(B146),'CLM &amp; IM Mapping'!$A$2:$A$270,0)),"Not Mapped"))</f>
        <v>Arun Raj</v>
      </c>
      <c r="D146" s="67" t="str">
        <f aca="false" t="array" ref="D146:D146">IF(B146="","",IFERROR(INDEX('CLM &amp; IM Mapping'!$C$2:$C$270,MATCH(TRIM(B146),'CLM &amp; IM Mapping'!$A$2:$A$270,0)),"Not Mapped"))</f>
        <v>Simon Manoharan</v>
      </c>
      <c r="E146" s="66" t="n">
        <v>0</v>
      </c>
      <c r="F146" s="66" t="n">
        <v>0</v>
      </c>
      <c r="G146" s="66" t="n">
        <v>0</v>
      </c>
      <c r="H146" s="66" t="n">
        <v>0</v>
      </c>
      <c r="I146" s="66" t="n">
        <v>0</v>
      </c>
      <c r="J146" s="66" t="n">
        <v>0</v>
      </c>
      <c r="K146" s="66" t="n">
        <v>0</v>
      </c>
      <c r="L146" s="66" t="n">
        <v>0</v>
      </c>
      <c r="M146" s="44"/>
      <c r="N146" s="44"/>
      <c r="O146" s="72"/>
      <c r="P146" s="67"/>
      <c r="Q146" s="64"/>
      <c r="R146" s="64"/>
      <c r="S146" s="64"/>
      <c r="T146" s="64"/>
      <c r="U146" s="64"/>
      <c r="V146" s="64"/>
      <c r="W146" s="64"/>
      <c r="X146" s="64"/>
      <c r="Y146" s="64"/>
      <c r="Z146" s="64"/>
      <c r="AA146" s="64"/>
    </row>
    <row r="147" customFormat="false" ht="15" hidden="false" customHeight="false" outlineLevel="0" collapsed="false">
      <c r="A147" s="65" t="n">
        <v>46303</v>
      </c>
      <c r="B147" s="66" t="s">
        <v>367</v>
      </c>
      <c r="C147" s="67" t="str">
        <f aca="false" t="array" ref="C147:C147">IF(B147="","",IFERROR(INDEX('CLM &amp; IM Mapping'!$B$2:$B$270,MATCH(TRIM(B147),'CLM &amp; IM Mapping'!$A$2:$A$270,0)),"Not Mapped"))</f>
        <v>Akshay P</v>
      </c>
      <c r="D147" s="67" t="str">
        <f aca="false" t="array" ref="D147:D147">IF(B147="","",IFERROR(INDEX('CLM &amp; IM Mapping'!$C$2:$C$270,MATCH(TRIM(B147),'CLM &amp; IM Mapping'!$A$2:$A$270,0)),"Not Mapped"))</f>
        <v>Srittam Dhal</v>
      </c>
      <c r="E147" s="66" t="n">
        <v>0</v>
      </c>
      <c r="F147" s="66" t="n">
        <v>0</v>
      </c>
      <c r="G147" s="66" t="n">
        <v>0</v>
      </c>
      <c r="H147" s="66" t="n">
        <v>0</v>
      </c>
      <c r="I147" s="66" t="n">
        <v>0</v>
      </c>
      <c r="J147" s="66" t="n">
        <v>0</v>
      </c>
      <c r="K147" s="66" t="n">
        <v>0</v>
      </c>
      <c r="L147" s="66" t="n">
        <v>0</v>
      </c>
      <c r="M147" s="44"/>
      <c r="N147" s="44"/>
      <c r="O147" s="72"/>
      <c r="P147" s="67"/>
      <c r="Q147" s="64"/>
      <c r="R147" s="64"/>
      <c r="S147" s="64"/>
      <c r="T147" s="64"/>
      <c r="U147" s="64"/>
      <c r="V147" s="64"/>
      <c r="W147" s="64"/>
      <c r="X147" s="64"/>
      <c r="Y147" s="64"/>
      <c r="Z147" s="64"/>
      <c r="AA147" s="64"/>
    </row>
    <row r="148" customFormat="false" ht="15" hidden="false" customHeight="false" outlineLevel="0" collapsed="false">
      <c r="A148" s="65" t="n">
        <v>46303</v>
      </c>
      <c r="B148" s="66" t="s">
        <v>481</v>
      </c>
      <c r="C148" s="67" t="str">
        <f aca="false" t="array" ref="C148:C148">IF(B148="","",IFERROR(INDEX('CLM &amp; IM Mapping'!$B$2:$B$270,MATCH(TRIM(B148),'CLM &amp; IM Mapping'!$A$2:$A$270,0)),"Not Mapped"))</f>
        <v>Akshay P</v>
      </c>
      <c r="D148" s="67" t="str">
        <f aca="false" t="array" ref="D148:D148">IF(B148="","",IFERROR(INDEX('CLM &amp; IM Mapping'!$C$2:$C$270,MATCH(TRIM(B148),'CLM &amp; IM Mapping'!$A$2:$A$270,0)),"Not Mapped"))</f>
        <v>Srittam Dhal</v>
      </c>
      <c r="E148" s="66" t="n">
        <v>0</v>
      </c>
      <c r="F148" s="66" t="n">
        <v>0</v>
      </c>
      <c r="G148" s="66" t="n">
        <v>0</v>
      </c>
      <c r="H148" s="66" t="n">
        <v>0</v>
      </c>
      <c r="I148" s="66" t="n">
        <v>0</v>
      </c>
      <c r="J148" s="66" t="n">
        <v>0</v>
      </c>
      <c r="K148" s="66" t="n">
        <v>0</v>
      </c>
      <c r="L148" s="66" t="n">
        <v>0</v>
      </c>
      <c r="M148" s="44"/>
      <c r="N148" s="44"/>
      <c r="O148" s="72"/>
      <c r="P148" s="67"/>
      <c r="Q148" s="64"/>
      <c r="R148" s="64"/>
      <c r="S148" s="64"/>
      <c r="T148" s="64"/>
      <c r="U148" s="64"/>
      <c r="V148" s="64"/>
      <c r="W148" s="64"/>
      <c r="X148" s="64"/>
      <c r="Y148" s="64"/>
      <c r="Z148" s="64"/>
      <c r="AA148" s="64"/>
    </row>
    <row r="149" customFormat="false" ht="15" hidden="false" customHeight="false" outlineLevel="0" collapsed="false">
      <c r="A149" s="65" t="n">
        <v>46303</v>
      </c>
      <c r="B149" s="66" t="s">
        <v>298</v>
      </c>
      <c r="C149" s="67" t="str">
        <f aca="false" t="array" ref="C149:C149">IF(B149="","",IFERROR(INDEX('CLM &amp; IM Mapping'!$B$2:$B$270,MATCH(TRIM(B149),'CLM &amp; IM Mapping'!$A$2:$A$270,0)),"Not Mapped"))</f>
        <v>Ravishankar gowda</v>
      </c>
      <c r="D149" s="67" t="str">
        <f aca="false" t="array" ref="D149:D149">IF(B149="","",IFERROR(INDEX('CLM &amp; IM Mapping'!$C$2:$C$270,MATCH(TRIM(B149),'CLM &amp; IM Mapping'!$A$2:$A$270,0)),"Not Mapped"))</f>
        <v>Kishor K</v>
      </c>
      <c r="E149" s="66" t="n">
        <v>0</v>
      </c>
      <c r="F149" s="66" t="n">
        <v>0</v>
      </c>
      <c r="G149" s="66" t="n">
        <v>0</v>
      </c>
      <c r="H149" s="66" t="n">
        <v>0</v>
      </c>
      <c r="I149" s="66" t="n">
        <v>0</v>
      </c>
      <c r="J149" s="66" t="n">
        <v>0</v>
      </c>
      <c r="K149" s="66" t="n">
        <v>0</v>
      </c>
      <c r="L149" s="66" t="n">
        <v>0</v>
      </c>
      <c r="M149" s="44"/>
      <c r="N149" s="44"/>
      <c r="O149" s="72"/>
      <c r="P149" s="67"/>
      <c r="Q149" s="64"/>
      <c r="R149" s="64"/>
      <c r="S149" s="64"/>
      <c r="T149" s="64"/>
      <c r="U149" s="64"/>
      <c r="V149" s="64"/>
      <c r="W149" s="64"/>
      <c r="X149" s="64"/>
      <c r="Y149" s="64"/>
      <c r="Z149" s="64"/>
      <c r="AA149" s="64"/>
    </row>
    <row r="150" customFormat="false" ht="15" hidden="false" customHeight="false" outlineLevel="0" collapsed="false">
      <c r="A150" s="65" t="n">
        <v>46303</v>
      </c>
      <c r="B150" s="66" t="s">
        <v>227</v>
      </c>
      <c r="C150" s="67" t="str">
        <f aca="false" t="array" ref="C150:C150">IF(B150="","",IFERROR(INDEX('CLM &amp; IM Mapping'!$B$2:$B$270,MATCH(TRIM(B150),'CLM &amp; IM Mapping'!$A$2:$A$270,0)),"Not Mapped"))</f>
        <v>Vijay M</v>
      </c>
      <c r="D150" s="67" t="str">
        <f aca="false" t="array" ref="D150:D150">IF(B150="","",IFERROR(INDEX('CLM &amp; IM Mapping'!$C$2:$C$270,MATCH(TRIM(B150),'CLM &amp; IM Mapping'!$A$2:$A$270,0)),"Not Mapped"))</f>
        <v>Kantha Kumar</v>
      </c>
      <c r="E150" s="66" t="n">
        <v>0</v>
      </c>
      <c r="F150" s="66" t="n">
        <v>0</v>
      </c>
      <c r="G150" s="66" t="n">
        <v>0</v>
      </c>
      <c r="H150" s="66" t="n">
        <v>0</v>
      </c>
      <c r="I150" s="66" t="n">
        <v>0</v>
      </c>
      <c r="J150" s="66" t="n">
        <v>0</v>
      </c>
      <c r="K150" s="66" t="n">
        <v>0</v>
      </c>
      <c r="L150" s="66" t="n">
        <v>0</v>
      </c>
      <c r="M150" s="44"/>
      <c r="N150" s="44"/>
      <c r="O150" s="72"/>
      <c r="P150" s="67"/>
      <c r="Q150" s="64"/>
      <c r="R150" s="64"/>
      <c r="S150" s="64"/>
      <c r="T150" s="64"/>
      <c r="U150" s="64"/>
      <c r="V150" s="64"/>
      <c r="W150" s="64"/>
      <c r="X150" s="64"/>
      <c r="Y150" s="64"/>
      <c r="Z150" s="64"/>
      <c r="AA150" s="64"/>
    </row>
    <row r="151" customFormat="false" ht="15" hidden="false" customHeight="false" outlineLevel="0" collapsed="false">
      <c r="A151" s="65" t="n">
        <v>46303</v>
      </c>
      <c r="B151" s="66" t="s">
        <v>491</v>
      </c>
      <c r="C151" s="67" t="str">
        <f aca="false" t="array" ref="C151:C151">IF(B151="","",IFERROR(INDEX('CLM &amp; IM Mapping'!$B$2:$B$270,MATCH(TRIM(B151),'CLM &amp; IM Mapping'!$A$2:$A$270,0)),"Not Mapped"))</f>
        <v>Manjunatha V</v>
      </c>
      <c r="D151" s="67" t="str">
        <f aca="false" t="array" ref="D151:D151">IF(B151="","",IFERROR(INDEX('CLM &amp; IM Mapping'!$C$2:$C$270,MATCH(TRIM(B151),'CLM &amp; IM Mapping'!$A$2:$A$270,0)),"Not Mapped"))</f>
        <v>Un Mapped</v>
      </c>
      <c r="E151" s="66" t="n">
        <v>1544</v>
      </c>
      <c r="F151" s="66" t="n">
        <v>0</v>
      </c>
      <c r="G151" s="66" t="n">
        <v>1544</v>
      </c>
      <c r="H151" s="66" t="n">
        <v>0</v>
      </c>
      <c r="I151" s="66" t="n">
        <v>0</v>
      </c>
      <c r="J151" s="66" t="n">
        <v>0</v>
      </c>
      <c r="K151" s="66" t="n">
        <v>0</v>
      </c>
      <c r="L151" s="66" t="n">
        <v>0</v>
      </c>
      <c r="M151" s="44"/>
      <c r="N151" s="44"/>
      <c r="O151" s="72"/>
      <c r="P151" s="67"/>
      <c r="Q151" s="64"/>
      <c r="R151" s="64"/>
      <c r="S151" s="64"/>
      <c r="T151" s="64"/>
      <c r="U151" s="64"/>
      <c r="V151" s="64"/>
      <c r="W151" s="64"/>
      <c r="X151" s="64"/>
      <c r="Y151" s="64"/>
      <c r="Z151" s="64"/>
      <c r="AA151" s="64"/>
    </row>
    <row r="152" customFormat="false" ht="15" hidden="false" customHeight="false" outlineLevel="0" collapsed="false">
      <c r="A152" s="65" t="n">
        <v>46303</v>
      </c>
      <c r="B152" s="66" t="s">
        <v>317</v>
      </c>
      <c r="C152" s="67" t="str">
        <f aca="false" t="array" ref="C152:C152">IF(B152="","",IFERROR(INDEX('CLM &amp; IM Mapping'!$B$2:$B$270,MATCH(TRIM(B152),'CLM &amp; IM Mapping'!$A$2:$A$270,0)),"Not Mapped"))</f>
        <v>Akshay P</v>
      </c>
      <c r="D152" s="67" t="str">
        <f aca="false" t="array" ref="D152:D152">IF(B152="","",IFERROR(INDEX('CLM &amp; IM Mapping'!$C$2:$C$270,MATCH(TRIM(B152),'CLM &amp; IM Mapping'!$A$2:$A$270,0)),"Not Mapped"))</f>
        <v>Srittam Dhal</v>
      </c>
      <c r="E152" s="66" t="n">
        <v>1522</v>
      </c>
      <c r="F152" s="66" t="n">
        <v>2</v>
      </c>
      <c r="G152" s="66" t="n">
        <v>1520</v>
      </c>
      <c r="H152" s="66" t="n">
        <v>0</v>
      </c>
      <c r="I152" s="66" t="n">
        <v>0</v>
      </c>
      <c r="J152" s="66" t="n">
        <v>0</v>
      </c>
      <c r="K152" s="66" t="n">
        <v>0</v>
      </c>
      <c r="L152" s="66" t="n">
        <v>0</v>
      </c>
      <c r="M152" s="44"/>
      <c r="N152" s="44"/>
      <c r="O152" s="72"/>
      <c r="P152" s="67"/>
      <c r="Q152" s="64"/>
      <c r="R152" s="64"/>
      <c r="S152" s="64"/>
      <c r="T152" s="64"/>
      <c r="U152" s="64"/>
      <c r="V152" s="64"/>
      <c r="W152" s="64"/>
      <c r="X152" s="64"/>
      <c r="Y152" s="64"/>
      <c r="Z152" s="64"/>
      <c r="AA152" s="64"/>
    </row>
    <row r="153" customFormat="false" ht="15" hidden="false" customHeight="false" outlineLevel="0" collapsed="false">
      <c r="A153" s="65" t="n">
        <v>46303</v>
      </c>
      <c r="B153" s="66" t="s">
        <v>436</v>
      </c>
      <c r="C153" s="67" t="str">
        <f aca="false" t="array" ref="C153:C153">IF(B153="","",IFERROR(INDEX('CLM &amp; IM Mapping'!$B$2:$B$270,MATCH(TRIM(B153),'CLM &amp; IM Mapping'!$A$2:$A$270,0)),"Not Mapped"))</f>
        <v>Narasimhamurthy R</v>
      </c>
      <c r="D153" s="67" t="str">
        <f aca="false" t="array" ref="D153:D153">IF(B153="","",IFERROR(INDEX('CLM &amp; IM Mapping'!$C$2:$C$270,MATCH(TRIM(B153),'CLM &amp; IM Mapping'!$A$2:$A$270,0)),"Not Mapped"))</f>
        <v>Kishor K</v>
      </c>
      <c r="E153" s="66" t="n">
        <v>0</v>
      </c>
      <c r="F153" s="66" t="n">
        <v>0</v>
      </c>
      <c r="G153" s="66" t="n">
        <v>0</v>
      </c>
      <c r="H153" s="66" t="n">
        <v>0</v>
      </c>
      <c r="I153" s="66" t="n">
        <v>0</v>
      </c>
      <c r="J153" s="66" t="n">
        <v>0</v>
      </c>
      <c r="K153" s="66" t="n">
        <v>0</v>
      </c>
      <c r="L153" s="66" t="n">
        <v>0</v>
      </c>
      <c r="M153" s="44"/>
      <c r="N153" s="44"/>
      <c r="O153" s="72"/>
      <c r="P153" s="67"/>
      <c r="Q153" s="64"/>
      <c r="R153" s="64"/>
      <c r="S153" s="64"/>
      <c r="T153" s="64"/>
      <c r="U153" s="64"/>
      <c r="V153" s="64"/>
      <c r="W153" s="64"/>
      <c r="X153" s="64"/>
      <c r="Y153" s="64"/>
      <c r="Z153" s="64"/>
      <c r="AA153" s="64"/>
    </row>
    <row r="154" customFormat="false" ht="15" hidden="false" customHeight="false" outlineLevel="0" collapsed="false">
      <c r="A154" s="65" t="n">
        <v>46303</v>
      </c>
      <c r="B154" s="66" t="s">
        <v>410</v>
      </c>
      <c r="C154" s="67" t="str">
        <f aca="false" t="array" ref="C154:C154">IF(B154="","",IFERROR(INDEX('CLM &amp; IM Mapping'!$B$2:$B$270,MATCH(TRIM(B154),'CLM &amp; IM Mapping'!$A$2:$A$270,0)),"Not Mapped"))</f>
        <v>Akshay P</v>
      </c>
      <c r="D154" s="67" t="str">
        <f aca="false" t="array" ref="D154:D154">IF(B154="","",IFERROR(INDEX('CLM &amp; IM Mapping'!$C$2:$C$270,MATCH(TRIM(B154),'CLM &amp; IM Mapping'!$A$2:$A$270,0)),"Not Mapped"))</f>
        <v>Srittam Dhal</v>
      </c>
      <c r="E154" s="66" t="n">
        <v>0</v>
      </c>
      <c r="F154" s="66" t="n">
        <v>0</v>
      </c>
      <c r="G154" s="66" t="n">
        <v>0</v>
      </c>
      <c r="H154" s="66" t="n">
        <v>0</v>
      </c>
      <c r="I154" s="66" t="n">
        <v>0</v>
      </c>
      <c r="J154" s="66" t="n">
        <v>0</v>
      </c>
      <c r="K154" s="66" t="n">
        <v>0</v>
      </c>
      <c r="L154" s="66" t="n">
        <v>0</v>
      </c>
      <c r="M154" s="44"/>
      <c r="N154" s="44"/>
      <c r="O154" s="72"/>
      <c r="P154" s="67"/>
      <c r="Q154" s="64"/>
      <c r="R154" s="64"/>
      <c r="S154" s="64"/>
      <c r="T154" s="64"/>
      <c r="U154" s="64"/>
      <c r="V154" s="64"/>
      <c r="W154" s="64"/>
      <c r="X154" s="64"/>
      <c r="Y154" s="64"/>
      <c r="Z154" s="64"/>
      <c r="AA154" s="64"/>
    </row>
    <row r="155" customFormat="false" ht="15" hidden="false" customHeight="false" outlineLevel="0" collapsed="false">
      <c r="A155" s="65" t="n">
        <v>46303</v>
      </c>
      <c r="B155" s="66" t="s">
        <v>445</v>
      </c>
      <c r="C155" s="67" t="str">
        <f aca="false" t="array" ref="C155:C155">IF(B155="","",IFERROR(INDEX('CLM &amp; IM Mapping'!$B$2:$B$270,MATCH(TRIM(B155),'CLM &amp; IM Mapping'!$A$2:$A$270,0)),"Not Mapped"))</f>
        <v>Sundaresh S</v>
      </c>
      <c r="D155" s="67" t="str">
        <f aca="false" t="array" ref="D155:D155">IF(B155="","",IFERROR(INDEX('CLM &amp; IM Mapping'!$C$2:$C$270,MATCH(TRIM(B155),'CLM &amp; IM Mapping'!$A$2:$A$270,0)),"Not Mapped"))</f>
        <v>Un Mapped</v>
      </c>
      <c r="E155" s="66" t="n">
        <v>520</v>
      </c>
      <c r="F155" s="66" t="n">
        <v>1</v>
      </c>
      <c r="G155" s="66" t="n">
        <v>519</v>
      </c>
      <c r="H155" s="66" t="n">
        <v>0</v>
      </c>
      <c r="I155" s="66" t="n">
        <v>0</v>
      </c>
      <c r="J155" s="66" t="n">
        <v>0</v>
      </c>
      <c r="K155" s="66" t="n">
        <v>0</v>
      </c>
      <c r="L155" s="66" t="n">
        <v>0</v>
      </c>
      <c r="M155" s="44"/>
      <c r="N155" s="44"/>
      <c r="O155" s="72"/>
      <c r="P155" s="67"/>
      <c r="Q155" s="64"/>
      <c r="R155" s="64"/>
      <c r="S155" s="64"/>
      <c r="T155" s="64"/>
      <c r="U155" s="64"/>
      <c r="V155" s="64"/>
      <c r="W155" s="64"/>
      <c r="X155" s="64"/>
      <c r="Y155" s="64"/>
      <c r="Z155" s="64"/>
      <c r="AA155" s="64"/>
    </row>
    <row r="156" customFormat="false" ht="15" hidden="false" customHeight="false" outlineLevel="0" collapsed="false">
      <c r="A156" s="65" t="n">
        <v>46303</v>
      </c>
      <c r="B156" s="66" t="s">
        <v>513</v>
      </c>
      <c r="C156" s="67" t="str">
        <f aca="false" t="array" ref="C156:C156">IF(B156="","",IFERROR(INDEX('CLM &amp; IM Mapping'!$B$2:$B$270,MATCH(TRIM(B156),'CLM &amp; IM Mapping'!$A$2:$A$270,0)),"Not Mapped"))</f>
        <v>Manoj Kj</v>
      </c>
      <c r="D156" s="67" t="str">
        <f aca="false" t="array" ref="D156:D156">IF(B156="","",IFERROR(INDEX('CLM &amp; IM Mapping'!$C$2:$C$270,MATCH(TRIM(B156),'CLM &amp; IM Mapping'!$A$2:$A$270,0)),"Not Mapped"))</f>
        <v>Srittam Dhal</v>
      </c>
      <c r="E156" s="66" t="n">
        <v>0</v>
      </c>
      <c r="F156" s="66" t="n">
        <v>0</v>
      </c>
      <c r="G156" s="66" t="n">
        <v>0</v>
      </c>
      <c r="H156" s="66" t="n">
        <v>0</v>
      </c>
      <c r="I156" s="66" t="n">
        <v>0</v>
      </c>
      <c r="J156" s="66" t="n">
        <v>0</v>
      </c>
      <c r="K156" s="66" t="n">
        <v>0</v>
      </c>
      <c r="L156" s="66" t="n">
        <v>0</v>
      </c>
      <c r="M156" s="44"/>
      <c r="N156" s="44"/>
      <c r="O156" s="72"/>
      <c r="P156" s="67"/>
      <c r="Q156" s="64"/>
      <c r="R156" s="64"/>
      <c r="S156" s="64"/>
      <c r="T156" s="64"/>
      <c r="U156" s="64"/>
      <c r="V156" s="64"/>
      <c r="W156" s="64"/>
      <c r="X156" s="64"/>
      <c r="Y156" s="64"/>
      <c r="Z156" s="64"/>
      <c r="AA156" s="64"/>
    </row>
    <row r="157" customFormat="false" ht="15" hidden="false" customHeight="false" outlineLevel="0" collapsed="false">
      <c r="A157" s="65" t="n">
        <v>46303</v>
      </c>
      <c r="B157" s="66" t="s">
        <v>429</v>
      </c>
      <c r="C157" s="67" t="str">
        <f aca="false" t="array" ref="C157:C157">IF(B157="","",IFERROR(INDEX('CLM &amp; IM Mapping'!$B$2:$B$270,MATCH(TRIM(B157),'CLM &amp; IM Mapping'!$A$2:$A$270,0)),"Not Mapped"))</f>
        <v>Manjunatha V</v>
      </c>
      <c r="D157" s="67" t="str">
        <f aca="false" t="array" ref="D157:D157">IF(B157="","",IFERROR(INDEX('CLM &amp; IM Mapping'!$C$2:$C$270,MATCH(TRIM(B157),'CLM &amp; IM Mapping'!$A$2:$A$270,0)),"Not Mapped"))</f>
        <v>Un Mapped</v>
      </c>
      <c r="E157" s="66" t="n">
        <v>396</v>
      </c>
      <c r="F157" s="66" t="n">
        <v>17</v>
      </c>
      <c r="G157" s="66" t="n">
        <v>379</v>
      </c>
      <c r="H157" s="66" t="n">
        <v>0</v>
      </c>
      <c r="I157" s="66" t="n">
        <v>0</v>
      </c>
      <c r="J157" s="66" t="n">
        <v>0</v>
      </c>
      <c r="K157" s="66" t="n">
        <v>0</v>
      </c>
      <c r="L157" s="66" t="n">
        <v>0</v>
      </c>
      <c r="M157" s="44"/>
      <c r="N157" s="44"/>
      <c r="O157" s="72"/>
      <c r="P157" s="67"/>
      <c r="Q157" s="64"/>
      <c r="R157" s="64"/>
      <c r="S157" s="64"/>
      <c r="T157" s="64"/>
      <c r="U157" s="64"/>
      <c r="V157" s="64"/>
      <c r="W157" s="64"/>
      <c r="X157" s="64"/>
      <c r="Y157" s="64"/>
      <c r="Z157" s="64"/>
      <c r="AA157" s="64"/>
    </row>
    <row r="158" customFormat="false" ht="15" hidden="false" customHeight="false" outlineLevel="0" collapsed="false">
      <c r="A158" s="65" t="n">
        <v>46303</v>
      </c>
      <c r="B158" s="66" t="s">
        <v>56</v>
      </c>
      <c r="C158" s="67" t="str">
        <f aca="false" t="array" ref="C158:C158">IF(B158="","",IFERROR(INDEX('CLM &amp; IM Mapping'!$B$2:$B$270,MATCH(TRIM(B158),'CLM &amp; IM Mapping'!$A$2:$A$270,0)),"Not Mapped"))</f>
        <v>Keshav G</v>
      </c>
      <c r="D158" s="67" t="str">
        <f aca="false" t="array" ref="D158:D158">IF(B158="","",IFERROR(INDEX('CLM &amp; IM Mapping'!$C$2:$C$270,MATCH(TRIM(B158),'CLM &amp; IM Mapping'!$A$2:$A$270,0)),"Not Mapped"))</f>
        <v>Un Mapped</v>
      </c>
      <c r="E158" s="66" t="n">
        <v>3868</v>
      </c>
      <c r="F158" s="66" t="n">
        <v>99</v>
      </c>
      <c r="G158" s="66" t="n">
        <v>3769</v>
      </c>
      <c r="H158" s="66" t="n">
        <v>0</v>
      </c>
      <c r="I158" s="66" t="n">
        <v>0</v>
      </c>
      <c r="J158" s="66" t="n">
        <v>0</v>
      </c>
      <c r="K158" s="66" t="n">
        <v>0</v>
      </c>
      <c r="L158" s="66" t="n">
        <v>0</v>
      </c>
      <c r="M158" s="44"/>
      <c r="N158" s="44"/>
      <c r="O158" s="72"/>
      <c r="P158" s="67"/>
      <c r="Q158" s="64"/>
      <c r="R158" s="64"/>
      <c r="S158" s="64"/>
      <c r="T158" s="64"/>
      <c r="U158" s="64"/>
      <c r="V158" s="64"/>
      <c r="W158" s="64"/>
      <c r="X158" s="64"/>
      <c r="Y158" s="64"/>
      <c r="Z158" s="64"/>
      <c r="AA158" s="64"/>
    </row>
    <row r="159" customFormat="false" ht="15" hidden="false" customHeight="false" outlineLevel="0" collapsed="false">
      <c r="A159" s="65" t="n">
        <v>46303</v>
      </c>
      <c r="B159" s="66" t="s">
        <v>564</v>
      </c>
      <c r="C159" s="67" t="str">
        <f aca="false" t="array" ref="C159:C159">IF(B159="","",IFERROR(INDEX('CLM &amp; IM Mapping'!$B$2:$B$270,MATCH(TRIM(B159),'CLM &amp; IM Mapping'!$A$2:$A$270,0)),"Not Mapped"))</f>
        <v>Basil Scariya</v>
      </c>
      <c r="D159" s="67" t="str">
        <f aca="false" t="array" ref="D159:D159">IF(B159="","",IFERROR(INDEX('CLM &amp; IM Mapping'!$C$2:$C$270,MATCH(TRIM(B159),'CLM &amp; IM Mapping'!$A$2:$A$270,0)),"Not Mapped"))</f>
        <v>Prakash BS</v>
      </c>
      <c r="E159" s="66" t="n">
        <v>0</v>
      </c>
      <c r="F159" s="66" t="n">
        <v>0</v>
      </c>
      <c r="G159" s="66" t="n">
        <v>0</v>
      </c>
      <c r="H159" s="66" t="n">
        <v>0</v>
      </c>
      <c r="I159" s="66" t="n">
        <v>0</v>
      </c>
      <c r="J159" s="66" t="n">
        <v>0</v>
      </c>
      <c r="K159" s="66" t="n">
        <v>0</v>
      </c>
      <c r="L159" s="66" t="n">
        <v>0</v>
      </c>
      <c r="M159" s="44"/>
      <c r="N159" s="44"/>
      <c r="O159" s="72"/>
      <c r="P159" s="67"/>
      <c r="Q159" s="64"/>
      <c r="R159" s="64"/>
      <c r="S159" s="64"/>
      <c r="T159" s="64"/>
      <c r="U159" s="64"/>
      <c r="V159" s="64"/>
      <c r="W159" s="64"/>
      <c r="X159" s="64"/>
      <c r="Y159" s="64"/>
      <c r="Z159" s="64"/>
      <c r="AA159" s="64"/>
    </row>
    <row r="160" customFormat="false" ht="15" hidden="false" customHeight="false" outlineLevel="0" collapsed="false">
      <c r="A160" s="65" t="n">
        <v>46303</v>
      </c>
      <c r="B160" s="66" t="s">
        <v>320</v>
      </c>
      <c r="C160" s="67" t="str">
        <f aca="false" t="array" ref="C160:C160">IF(B160="","",IFERROR(INDEX('CLM &amp; IM Mapping'!$B$2:$B$270,MATCH(TRIM(B160),'CLM &amp; IM Mapping'!$A$2:$A$270,0)),"Not Mapped"))</f>
        <v>Ashwath S</v>
      </c>
      <c r="D160" s="67" t="str">
        <f aca="false" t="array" ref="D160:D160">IF(B160="","",IFERROR(INDEX('CLM &amp; IM Mapping'!$C$2:$C$270,MATCH(TRIM(B160),'CLM &amp; IM Mapping'!$A$2:$A$270,0)),"Not Mapped"))</f>
        <v>Kantha Kumar</v>
      </c>
      <c r="E160" s="66" t="n">
        <v>0</v>
      </c>
      <c r="F160" s="66" t="n">
        <v>0</v>
      </c>
      <c r="G160" s="66" t="n">
        <v>0</v>
      </c>
      <c r="H160" s="66" t="n">
        <v>0</v>
      </c>
      <c r="I160" s="66" t="n">
        <v>0</v>
      </c>
      <c r="J160" s="66" t="n">
        <v>0</v>
      </c>
      <c r="K160" s="66" t="n">
        <v>0</v>
      </c>
      <c r="L160" s="66" t="n">
        <v>0</v>
      </c>
      <c r="M160" s="44"/>
      <c r="N160" s="44"/>
      <c r="O160" s="72"/>
      <c r="P160" s="67"/>
      <c r="Q160" s="64"/>
      <c r="R160" s="64"/>
      <c r="S160" s="64"/>
      <c r="T160" s="64"/>
      <c r="U160" s="64"/>
      <c r="V160" s="64"/>
      <c r="W160" s="64"/>
      <c r="X160" s="64"/>
      <c r="Y160" s="64"/>
      <c r="Z160" s="64"/>
      <c r="AA160" s="64"/>
    </row>
    <row r="161" customFormat="false" ht="15" hidden="false" customHeight="false" outlineLevel="0" collapsed="false">
      <c r="A161" s="65" t="n">
        <v>46303</v>
      </c>
      <c r="B161" s="66" t="s">
        <v>494</v>
      </c>
      <c r="C161" s="67" t="str">
        <f aca="false" t="array" ref="C161:C161">IF(B161="","",IFERROR(INDEX('CLM &amp; IM Mapping'!$B$2:$B$270,MATCH(TRIM(B161),'CLM &amp; IM Mapping'!$A$2:$A$270,0)),"Not Mapped"))</f>
        <v>Arun Raj</v>
      </c>
      <c r="D161" s="67" t="str">
        <f aca="false" t="array" ref="D161:D161">IF(B161="","",IFERROR(INDEX('CLM &amp; IM Mapping'!$C$2:$C$270,MATCH(TRIM(B161),'CLM &amp; IM Mapping'!$A$2:$A$270,0)),"Not Mapped"))</f>
        <v>Simon Manoharan</v>
      </c>
      <c r="E161" s="66" t="n">
        <v>350</v>
      </c>
      <c r="F161" s="66" t="n">
        <v>0</v>
      </c>
      <c r="G161" s="66" t="n">
        <v>0</v>
      </c>
      <c r="H161" s="66" t="n">
        <v>350</v>
      </c>
      <c r="I161" s="66" t="n">
        <v>0</v>
      </c>
      <c r="J161" s="66" t="n">
        <v>0</v>
      </c>
      <c r="K161" s="66" t="n">
        <v>0</v>
      </c>
      <c r="L161" s="66" t="n">
        <v>0</v>
      </c>
      <c r="M161" s="44"/>
      <c r="N161" s="44"/>
      <c r="O161" s="72"/>
      <c r="P161" s="67"/>
      <c r="Q161" s="64"/>
      <c r="R161" s="64"/>
      <c r="S161" s="64"/>
      <c r="T161" s="64"/>
      <c r="U161" s="64"/>
      <c r="V161" s="64"/>
      <c r="W161" s="64"/>
      <c r="X161" s="64"/>
      <c r="Y161" s="64"/>
      <c r="Z161" s="64"/>
      <c r="AA161" s="64"/>
    </row>
    <row r="162" customFormat="false" ht="15" hidden="false" customHeight="false" outlineLevel="0" collapsed="false">
      <c r="A162" s="65" t="n">
        <v>46303</v>
      </c>
      <c r="B162" s="66" t="s">
        <v>515</v>
      </c>
      <c r="C162" s="67" t="str">
        <f aca="false" t="array" ref="C162:C162">IF(B162="","",IFERROR(INDEX('CLM &amp; IM Mapping'!$B$2:$B$270,MATCH(TRIM(B162),'CLM &amp; IM Mapping'!$A$2:$A$270,0)),"Not Mapped"))</f>
        <v>Balaji G</v>
      </c>
      <c r="D162" s="67" t="str">
        <f aca="false" t="array" ref="D162:D162">IF(B162="","",IFERROR(INDEX('CLM &amp; IM Mapping'!$C$2:$C$270,MATCH(TRIM(B162),'CLM &amp; IM Mapping'!$A$2:$A$270,0)),"Not Mapped"))</f>
        <v>Mohammed Akbar</v>
      </c>
      <c r="E162" s="66" t="n">
        <v>0</v>
      </c>
      <c r="F162" s="66" t="n">
        <v>0</v>
      </c>
      <c r="G162" s="66" t="n">
        <v>0</v>
      </c>
      <c r="H162" s="66" t="n">
        <v>0</v>
      </c>
      <c r="I162" s="66" t="n">
        <v>0</v>
      </c>
      <c r="J162" s="66" t="n">
        <v>0</v>
      </c>
      <c r="K162" s="66" t="n">
        <v>0</v>
      </c>
      <c r="L162" s="66" t="n">
        <v>0</v>
      </c>
      <c r="M162" s="44"/>
      <c r="N162" s="44"/>
      <c r="O162" s="72"/>
      <c r="P162" s="67"/>
      <c r="Q162" s="64"/>
      <c r="R162" s="64"/>
      <c r="S162" s="64"/>
      <c r="T162" s="64"/>
      <c r="U162" s="64"/>
      <c r="V162" s="64"/>
      <c r="W162" s="64"/>
      <c r="X162" s="64"/>
      <c r="Y162" s="64"/>
      <c r="Z162" s="64"/>
      <c r="AA162" s="64"/>
    </row>
    <row r="163" customFormat="false" ht="15" hidden="false" customHeight="false" outlineLevel="0" collapsed="false">
      <c r="A163" s="65" t="n">
        <v>46303</v>
      </c>
      <c r="B163" s="66" t="s">
        <v>532</v>
      </c>
      <c r="C163" s="67" t="str">
        <f aca="false" t="array" ref="C163:C163">IF(B163="","",IFERROR(INDEX('CLM &amp; IM Mapping'!$B$2:$B$270,MATCH(TRIM(B163),'CLM &amp; IM Mapping'!$A$2:$A$270,0)),"Not Mapped"))</f>
        <v>Arun Raj</v>
      </c>
      <c r="D163" s="67" t="str">
        <f aca="false" t="array" ref="D163:D163">IF(B163="","",IFERROR(INDEX('CLM &amp; IM Mapping'!$C$2:$C$270,MATCH(TRIM(B163),'CLM &amp; IM Mapping'!$A$2:$A$270,0)),"Not Mapped"))</f>
        <v>Simon Manoharan</v>
      </c>
      <c r="E163" s="66" t="n">
        <v>0</v>
      </c>
      <c r="F163" s="66" t="n">
        <v>0</v>
      </c>
      <c r="G163" s="66" t="n">
        <v>0</v>
      </c>
      <c r="H163" s="66" t="n">
        <v>0</v>
      </c>
      <c r="I163" s="66" t="n">
        <v>0</v>
      </c>
      <c r="J163" s="66" t="n">
        <v>0</v>
      </c>
      <c r="K163" s="66" t="n">
        <v>0</v>
      </c>
      <c r="L163" s="66" t="n">
        <v>0</v>
      </c>
      <c r="M163" s="44"/>
      <c r="N163" s="44"/>
      <c r="O163" s="72"/>
      <c r="P163" s="67"/>
      <c r="Q163" s="64"/>
      <c r="R163" s="64"/>
      <c r="S163" s="64"/>
      <c r="T163" s="64"/>
      <c r="U163" s="64"/>
      <c r="V163" s="64"/>
      <c r="W163" s="64"/>
      <c r="X163" s="64"/>
      <c r="Y163" s="64"/>
      <c r="Z163" s="64"/>
      <c r="AA163" s="64"/>
    </row>
    <row r="164" customFormat="false" ht="15" hidden="false" customHeight="false" outlineLevel="0" collapsed="false">
      <c r="A164" s="65" t="n">
        <v>46303</v>
      </c>
      <c r="B164" s="66" t="s">
        <v>168</v>
      </c>
      <c r="C164" s="67" t="str">
        <f aca="false" t="array" ref="C164:C164">IF(B164="","",IFERROR(INDEX('CLM &amp; IM Mapping'!$B$2:$B$270,MATCH(TRIM(B164),'CLM &amp; IM Mapping'!$A$2:$A$270,0)),"Not Mapped"))</f>
        <v>Vijay M</v>
      </c>
      <c r="D164" s="67" t="str">
        <f aca="false" t="array" ref="D164:D164">IF(B164="","",IFERROR(INDEX('CLM &amp; IM Mapping'!$C$2:$C$270,MATCH(TRIM(B164),'CLM &amp; IM Mapping'!$A$2:$A$270,0)),"Not Mapped"))</f>
        <v>Kantha Kumar</v>
      </c>
      <c r="E164" s="66" t="n">
        <v>4157</v>
      </c>
      <c r="F164" s="66" t="n">
        <v>0</v>
      </c>
      <c r="G164" s="66" t="n">
        <v>4157</v>
      </c>
      <c r="H164" s="66" t="n">
        <v>0</v>
      </c>
      <c r="I164" s="66" t="n">
        <v>0</v>
      </c>
      <c r="J164" s="66" t="n">
        <v>0</v>
      </c>
      <c r="K164" s="66" t="n">
        <v>0</v>
      </c>
      <c r="L164" s="66" t="n">
        <v>0</v>
      </c>
      <c r="M164" s="44"/>
      <c r="N164" s="44"/>
      <c r="O164" s="72"/>
      <c r="P164" s="67"/>
      <c r="Q164" s="64"/>
      <c r="R164" s="64"/>
      <c r="S164" s="64"/>
      <c r="T164" s="64"/>
      <c r="U164" s="64"/>
      <c r="V164" s="64"/>
      <c r="W164" s="64"/>
      <c r="X164" s="64"/>
      <c r="Y164" s="64"/>
      <c r="Z164" s="64"/>
      <c r="AA164" s="64"/>
    </row>
    <row r="165" customFormat="false" ht="15" hidden="false" customHeight="false" outlineLevel="0" collapsed="false">
      <c r="A165" s="65" t="n">
        <v>46303</v>
      </c>
      <c r="B165" s="66" t="s">
        <v>156</v>
      </c>
      <c r="C165" s="67" t="str">
        <f aca="false" t="array" ref="C165:C165">IF(B165="","",IFERROR(INDEX('CLM &amp; IM Mapping'!$B$2:$B$270,MATCH(TRIM(B165),'CLM &amp; IM Mapping'!$A$2:$A$270,0)),"Not Mapped"))</f>
        <v>Manoj Kj</v>
      </c>
      <c r="D165" s="67" t="str">
        <f aca="false" t="array" ref="D165:D165">IF(B165="","",IFERROR(INDEX('CLM &amp; IM Mapping'!$C$2:$C$270,MATCH(TRIM(B165),'CLM &amp; IM Mapping'!$A$2:$A$270,0)),"Not Mapped"))</f>
        <v>Srittam Dhal</v>
      </c>
      <c r="E165" s="66" t="n">
        <v>0</v>
      </c>
      <c r="F165" s="66" t="n">
        <v>0</v>
      </c>
      <c r="G165" s="66" t="n">
        <v>0</v>
      </c>
      <c r="H165" s="66" t="n">
        <v>0</v>
      </c>
      <c r="I165" s="66" t="n">
        <v>0</v>
      </c>
      <c r="J165" s="66" t="n">
        <v>0</v>
      </c>
      <c r="K165" s="66" t="n">
        <v>0</v>
      </c>
      <c r="L165" s="66" t="n">
        <v>0</v>
      </c>
      <c r="M165" s="44"/>
      <c r="N165" s="44"/>
      <c r="O165" s="72"/>
      <c r="P165" s="67"/>
      <c r="Q165" s="64"/>
      <c r="R165" s="64"/>
      <c r="S165" s="64"/>
      <c r="T165" s="64"/>
      <c r="U165" s="64"/>
      <c r="V165" s="64"/>
      <c r="W165" s="64"/>
      <c r="X165" s="64"/>
      <c r="Y165" s="64"/>
      <c r="Z165" s="64"/>
      <c r="AA165" s="64"/>
    </row>
    <row r="166" customFormat="false" ht="15" hidden="false" customHeight="false" outlineLevel="0" collapsed="false">
      <c r="A166" s="65" t="n">
        <v>46303</v>
      </c>
      <c r="B166" s="66" t="s">
        <v>198</v>
      </c>
      <c r="C166" s="67" t="str">
        <f aca="false" t="array" ref="C166:C166">IF(B166="","",IFERROR(INDEX('CLM &amp; IM Mapping'!$B$2:$B$270,MATCH(TRIM(B166),'CLM &amp; IM Mapping'!$A$2:$A$270,0)),"Not Mapped"))</f>
        <v>Manjunatha V</v>
      </c>
      <c r="D166" s="67" t="str">
        <f aca="false" t="array" ref="D166:D166">IF(B166="","",IFERROR(INDEX('CLM &amp; IM Mapping'!$C$2:$C$270,MATCH(TRIM(B166),'CLM &amp; IM Mapping'!$A$2:$A$270,0)),"Not Mapped"))</f>
        <v>Un Mapped</v>
      </c>
      <c r="E166" s="66" t="n">
        <v>2387</v>
      </c>
      <c r="F166" s="66" t="n">
        <v>0</v>
      </c>
      <c r="G166" s="66" t="n">
        <v>2387</v>
      </c>
      <c r="H166" s="66" t="n">
        <v>0</v>
      </c>
      <c r="I166" s="66" t="n">
        <v>0</v>
      </c>
      <c r="J166" s="66" t="n">
        <v>0</v>
      </c>
      <c r="K166" s="66" t="n">
        <v>0</v>
      </c>
      <c r="L166" s="66" t="n">
        <v>0</v>
      </c>
      <c r="M166" s="44"/>
      <c r="N166" s="44"/>
      <c r="O166" s="72"/>
      <c r="P166" s="67"/>
      <c r="Q166" s="64"/>
      <c r="R166" s="64"/>
      <c r="S166" s="64"/>
      <c r="T166" s="64"/>
      <c r="U166" s="64"/>
      <c r="V166" s="64"/>
      <c r="W166" s="64"/>
      <c r="X166" s="64"/>
      <c r="Y166" s="64"/>
      <c r="Z166" s="64"/>
      <c r="AA166" s="64"/>
    </row>
    <row r="167" customFormat="false" ht="15" hidden="false" customHeight="false" outlineLevel="0" collapsed="false">
      <c r="A167" s="65" t="n">
        <v>46303</v>
      </c>
      <c r="B167" s="66" t="s">
        <v>362</v>
      </c>
      <c r="C167" s="67" t="str">
        <f aca="false" t="array" ref="C167:C167">IF(B167="","",IFERROR(INDEX('CLM &amp; IM Mapping'!$B$2:$B$270,MATCH(TRIM(B167),'CLM &amp; IM Mapping'!$A$2:$A$270,0)),"Not Mapped"))</f>
        <v>Ashwath S</v>
      </c>
      <c r="D167" s="67" t="str">
        <f aca="false" t="array" ref="D167:D167">IF(B167="","",IFERROR(INDEX('CLM &amp; IM Mapping'!$C$2:$C$270,MATCH(TRIM(B167),'CLM &amp; IM Mapping'!$A$2:$A$270,0)),"Not Mapped"))</f>
        <v>Kantha Kumar</v>
      </c>
      <c r="E167" s="66" t="n">
        <v>0</v>
      </c>
      <c r="F167" s="66" t="n">
        <v>0</v>
      </c>
      <c r="G167" s="66" t="n">
        <v>0</v>
      </c>
      <c r="H167" s="66" t="n">
        <v>0</v>
      </c>
      <c r="I167" s="66" t="n">
        <v>0</v>
      </c>
      <c r="J167" s="66" t="n">
        <v>0</v>
      </c>
      <c r="K167" s="66" t="n">
        <v>0</v>
      </c>
      <c r="L167" s="66" t="n">
        <v>0</v>
      </c>
      <c r="M167" s="44"/>
      <c r="N167" s="44"/>
      <c r="O167" s="72"/>
      <c r="P167" s="67"/>
      <c r="Q167" s="64"/>
      <c r="R167" s="64"/>
      <c r="S167" s="64"/>
      <c r="T167" s="64"/>
      <c r="U167" s="64"/>
      <c r="V167" s="64"/>
      <c r="W167" s="64"/>
      <c r="X167" s="64"/>
      <c r="Y167" s="64"/>
      <c r="Z167" s="64"/>
      <c r="AA167" s="64"/>
    </row>
    <row r="168" customFormat="false" ht="15" hidden="false" customHeight="false" outlineLevel="0" collapsed="false">
      <c r="A168" s="65" t="n">
        <v>46303</v>
      </c>
      <c r="B168" s="66" t="s">
        <v>388</v>
      </c>
      <c r="C168" s="67" t="str">
        <f aca="false" t="array" ref="C168:C168">IF(B168="","",IFERROR(INDEX('CLM &amp; IM Mapping'!$B$2:$B$270,MATCH(TRIM(B168),'CLM &amp; IM Mapping'!$A$2:$A$270,0)),"Not Mapped"))</f>
        <v>Arun Raj</v>
      </c>
      <c r="D168" s="67" t="str">
        <f aca="false" t="array" ref="D168:D168">IF(B168="","",IFERROR(INDEX('CLM &amp; IM Mapping'!$C$2:$C$270,MATCH(TRIM(B168),'CLM &amp; IM Mapping'!$A$2:$A$270,0)),"Not Mapped"))</f>
        <v>Simon Manoharan</v>
      </c>
      <c r="E168" s="66" t="n">
        <v>403</v>
      </c>
      <c r="F168" s="66" t="n">
        <v>403</v>
      </c>
      <c r="G168" s="66" t="n">
        <v>0</v>
      </c>
      <c r="H168" s="66" t="n">
        <v>0</v>
      </c>
      <c r="I168" s="66" t="n">
        <v>0</v>
      </c>
      <c r="J168" s="66" t="n">
        <v>0</v>
      </c>
      <c r="K168" s="66" t="n">
        <v>0</v>
      </c>
      <c r="L168" s="66" t="n">
        <v>0</v>
      </c>
      <c r="M168" s="44"/>
      <c r="N168" s="44"/>
      <c r="O168" s="72"/>
      <c r="P168" s="67"/>
      <c r="Q168" s="64"/>
      <c r="R168" s="64"/>
      <c r="S168" s="64"/>
      <c r="T168" s="64"/>
      <c r="U168" s="64"/>
      <c r="V168" s="64"/>
      <c r="W168" s="64"/>
      <c r="X168" s="64"/>
      <c r="Y168" s="64"/>
      <c r="Z168" s="64"/>
      <c r="AA168" s="64"/>
    </row>
    <row r="169" customFormat="false" ht="15" hidden="false" customHeight="false" outlineLevel="0" collapsed="false">
      <c r="A169" s="65" t="n">
        <v>46303</v>
      </c>
      <c r="B169" s="66" t="s">
        <v>376</v>
      </c>
      <c r="C169" s="67" t="str">
        <f aca="false" t="array" ref="C169:C169">IF(B169="","",IFERROR(INDEX('CLM &amp; IM Mapping'!$B$2:$B$270,MATCH(TRIM(B169),'CLM &amp; IM Mapping'!$A$2:$A$270,0)),"Not Mapped"))</f>
        <v>Sundaresh S</v>
      </c>
      <c r="D169" s="67" t="str">
        <f aca="false" t="array" ref="D169:D169">IF(B169="","",IFERROR(INDEX('CLM &amp; IM Mapping'!$C$2:$C$270,MATCH(TRIM(B169),'CLM &amp; IM Mapping'!$A$2:$A$270,0)),"Not Mapped"))</f>
        <v>Un Mapped</v>
      </c>
      <c r="E169" s="66" t="n">
        <v>858</v>
      </c>
      <c r="F169" s="66" t="n">
        <v>0</v>
      </c>
      <c r="G169" s="66" t="n">
        <v>858</v>
      </c>
      <c r="H169" s="66" t="n">
        <v>0</v>
      </c>
      <c r="I169" s="66" t="n">
        <v>0</v>
      </c>
      <c r="J169" s="66" t="n">
        <v>0</v>
      </c>
      <c r="K169" s="66" t="n">
        <v>0</v>
      </c>
      <c r="L169" s="66" t="n">
        <v>0</v>
      </c>
      <c r="M169" s="44"/>
      <c r="N169" s="44"/>
      <c r="O169" s="72"/>
      <c r="P169" s="67"/>
      <c r="Q169" s="64"/>
      <c r="R169" s="64"/>
      <c r="S169" s="64"/>
      <c r="T169" s="64"/>
      <c r="U169" s="64"/>
      <c r="V169" s="64"/>
      <c r="W169" s="64"/>
      <c r="X169" s="64"/>
      <c r="Y169" s="64"/>
      <c r="Z169" s="64"/>
      <c r="AA169" s="64"/>
    </row>
    <row r="170" customFormat="false" ht="15" hidden="false" customHeight="false" outlineLevel="0" collapsed="false">
      <c r="A170" s="65" t="n">
        <v>46303</v>
      </c>
      <c r="B170" s="66" t="s">
        <v>461</v>
      </c>
      <c r="C170" s="67" t="str">
        <f aca="false" t="array" ref="C170:C170">IF(B170="","",IFERROR(INDEX('CLM &amp; IM Mapping'!$B$2:$B$270,MATCH(TRIM(B170),'CLM &amp; IM Mapping'!$A$2:$A$270,0)),"Not Mapped"))</f>
        <v>Arun Raj</v>
      </c>
      <c r="D170" s="67" t="str">
        <f aca="false" t="array" ref="D170:D170">IF(B170="","",IFERROR(INDEX('CLM &amp; IM Mapping'!$C$2:$C$270,MATCH(TRIM(B170),'CLM &amp; IM Mapping'!$A$2:$A$270,0)),"Not Mapped"))</f>
        <v>Simon Manoharan</v>
      </c>
      <c r="E170" s="66" t="n">
        <v>2015</v>
      </c>
      <c r="F170" s="66" t="n">
        <v>2015</v>
      </c>
      <c r="G170" s="66" t="n">
        <v>0</v>
      </c>
      <c r="H170" s="66" t="n">
        <v>0</v>
      </c>
      <c r="I170" s="66" t="n">
        <v>0</v>
      </c>
      <c r="J170" s="66" t="n">
        <v>0</v>
      </c>
      <c r="K170" s="66" t="n">
        <v>0</v>
      </c>
      <c r="L170" s="66" t="n">
        <v>0</v>
      </c>
      <c r="M170" s="44"/>
      <c r="N170" s="44"/>
      <c r="O170" s="72"/>
      <c r="P170" s="67"/>
      <c r="Q170" s="64"/>
      <c r="R170" s="64"/>
      <c r="S170" s="64"/>
      <c r="T170" s="64"/>
      <c r="U170" s="64"/>
      <c r="V170" s="64"/>
      <c r="W170" s="64"/>
      <c r="X170" s="64"/>
      <c r="Y170" s="64"/>
      <c r="Z170" s="64"/>
      <c r="AA170" s="64"/>
    </row>
    <row r="171" customFormat="false" ht="15" hidden="false" customHeight="false" outlineLevel="0" collapsed="false">
      <c r="A171" s="65" t="n">
        <v>46303</v>
      </c>
      <c r="B171" s="67" t="s">
        <v>331</v>
      </c>
      <c r="C171" s="67" t="str">
        <f aca="false" t="array" ref="C171:C171">IF(B171="","",IFERROR(INDEX('CLM &amp; IM Mapping'!$B$2:$B$270,MATCH(TRIM(B171),'CLM &amp; IM Mapping'!$A$2:$A$270,0)),"Not Mapped"))</f>
        <v>Vijay M</v>
      </c>
      <c r="D171" s="67" t="str">
        <f aca="false" t="array" ref="D171:D171">IF(B171="","",IFERROR(INDEX('CLM &amp; IM Mapping'!$C$2:$C$270,MATCH(TRIM(B171),'CLM &amp; IM Mapping'!$A$2:$A$270,0)),"Not Mapped"))</f>
        <v>Kantha Kumar</v>
      </c>
      <c r="E171" s="66" t="n">
        <v>0</v>
      </c>
      <c r="F171" s="66" t="n">
        <v>0</v>
      </c>
      <c r="G171" s="66" t="n">
        <v>0</v>
      </c>
      <c r="H171" s="66" t="n">
        <v>0</v>
      </c>
      <c r="I171" s="66" t="n">
        <v>0</v>
      </c>
      <c r="J171" s="66" t="n">
        <v>0</v>
      </c>
      <c r="K171" s="66" t="n">
        <v>0</v>
      </c>
      <c r="L171" s="66" t="n">
        <v>0</v>
      </c>
      <c r="M171" s="44"/>
      <c r="N171" s="44"/>
      <c r="O171" s="72"/>
      <c r="P171" s="67"/>
      <c r="Q171" s="64"/>
      <c r="R171" s="64"/>
      <c r="S171" s="64"/>
      <c r="T171" s="64"/>
      <c r="U171" s="64"/>
      <c r="V171" s="64"/>
      <c r="W171" s="64"/>
      <c r="X171" s="64"/>
      <c r="Y171" s="64"/>
      <c r="Z171" s="64"/>
      <c r="AA171" s="64"/>
    </row>
    <row r="172" customFormat="false" ht="15" hidden="false" customHeight="false" outlineLevel="0" collapsed="false">
      <c r="A172" s="65" t="n">
        <v>46303</v>
      </c>
      <c r="B172" s="66" t="s">
        <v>407</v>
      </c>
      <c r="C172" s="67" t="str">
        <f aca="false" t="array" ref="C172:C172">IF(B172="","",IFERROR(INDEX('CLM &amp; IM Mapping'!$B$2:$B$270,MATCH(TRIM(B172),'CLM &amp; IM Mapping'!$A$2:$A$270,0)),"Not Mapped"))</f>
        <v>Rizwan Ahmed</v>
      </c>
      <c r="D172" s="67" t="str">
        <f aca="false" t="array" ref="D172:D172">IF(B172="","",IFERROR(INDEX('CLM &amp; IM Mapping'!$C$2:$C$270,MATCH(TRIM(B172),'CLM &amp; IM Mapping'!$A$2:$A$270,0)),"Not Mapped"))</f>
        <v>Un Mapped</v>
      </c>
      <c r="E172" s="66" t="n">
        <v>0</v>
      </c>
      <c r="F172" s="66" t="n">
        <v>0</v>
      </c>
      <c r="G172" s="66" t="n">
        <v>0</v>
      </c>
      <c r="H172" s="66" t="n">
        <v>0</v>
      </c>
      <c r="I172" s="66" t="n">
        <v>0</v>
      </c>
      <c r="J172" s="66" t="n">
        <v>0</v>
      </c>
      <c r="K172" s="66" t="n">
        <v>0</v>
      </c>
      <c r="L172" s="66" t="n">
        <v>0</v>
      </c>
      <c r="M172" s="44"/>
      <c r="N172" s="44"/>
      <c r="O172" s="72"/>
      <c r="P172" s="67"/>
      <c r="Q172" s="64"/>
      <c r="R172" s="64"/>
      <c r="S172" s="64"/>
      <c r="T172" s="64"/>
      <c r="U172" s="64"/>
      <c r="V172" s="64"/>
      <c r="W172" s="64"/>
      <c r="X172" s="64"/>
      <c r="Y172" s="64"/>
      <c r="Z172" s="64"/>
      <c r="AA172" s="64"/>
    </row>
    <row r="173" customFormat="false" ht="15" hidden="false" customHeight="false" outlineLevel="0" collapsed="false">
      <c r="A173" s="65" t="n">
        <v>46303</v>
      </c>
      <c r="B173" s="66" t="s">
        <v>226</v>
      </c>
      <c r="C173" s="67" t="str">
        <f aca="false" t="array" ref="C173:C173">IF(B173="","",IFERROR(INDEX('CLM &amp; IM Mapping'!$B$2:$B$270,MATCH(TRIM(B173),'CLM &amp; IM Mapping'!$A$2:$A$270,0)),"Not Mapped"))</f>
        <v>Manoj Kj</v>
      </c>
      <c r="D173" s="67" t="str">
        <f aca="false" t="array" ref="D173:D173">IF(B173="","",IFERROR(INDEX('CLM &amp; IM Mapping'!$C$2:$C$270,MATCH(TRIM(B173),'CLM &amp; IM Mapping'!$A$2:$A$270,0)),"Not Mapped"))</f>
        <v>Srittam Dhal</v>
      </c>
      <c r="E173" s="66" t="n">
        <v>0</v>
      </c>
      <c r="F173" s="66" t="n">
        <v>0</v>
      </c>
      <c r="G173" s="66" t="n">
        <v>0</v>
      </c>
      <c r="H173" s="66" t="n">
        <v>0</v>
      </c>
      <c r="I173" s="66" t="n">
        <v>0</v>
      </c>
      <c r="J173" s="66" t="n">
        <v>0</v>
      </c>
      <c r="K173" s="66" t="n">
        <v>0</v>
      </c>
      <c r="L173" s="66" t="n">
        <v>0</v>
      </c>
      <c r="M173" s="44"/>
      <c r="N173" s="44"/>
      <c r="O173" s="72"/>
      <c r="P173" s="67"/>
      <c r="Q173" s="64"/>
      <c r="R173" s="64"/>
      <c r="S173" s="64"/>
      <c r="T173" s="64"/>
      <c r="U173" s="64"/>
      <c r="V173" s="64"/>
      <c r="W173" s="64"/>
      <c r="X173" s="64"/>
      <c r="Y173" s="64"/>
      <c r="Z173" s="64"/>
      <c r="AA173" s="64"/>
    </row>
    <row r="174" customFormat="false" ht="15" hidden="false" customHeight="false" outlineLevel="0" collapsed="false">
      <c r="A174" s="65" t="n">
        <v>46303</v>
      </c>
      <c r="B174" s="66" t="s">
        <v>132</v>
      </c>
      <c r="C174" s="67" t="str">
        <f aca="false" t="array" ref="C174:C174">IF(B174="","",IFERROR(INDEX('CLM &amp; IM Mapping'!$B$2:$B$270,MATCH(TRIM(B174),'CLM &amp; IM Mapping'!$A$2:$A$270,0)),"Not Mapped"))</f>
        <v>Saddam Hussain</v>
      </c>
      <c r="D174" s="67" t="str">
        <f aca="false" t="array" ref="D174:D174">IF(B174="","",IFERROR(INDEX('CLM &amp; IM Mapping'!$C$2:$C$270,MATCH(TRIM(B174),'CLM &amp; IM Mapping'!$A$2:$A$270,0)),"Not Mapped"))</f>
        <v>Un Mapped</v>
      </c>
      <c r="E174" s="66" t="n">
        <v>677</v>
      </c>
      <c r="F174" s="66" t="n">
        <v>0</v>
      </c>
      <c r="G174" s="66" t="n">
        <v>677</v>
      </c>
      <c r="H174" s="66" t="n">
        <v>0</v>
      </c>
      <c r="I174" s="66" t="n">
        <v>0</v>
      </c>
      <c r="J174" s="66" t="n">
        <v>0</v>
      </c>
      <c r="K174" s="66" t="n">
        <v>0</v>
      </c>
      <c r="L174" s="66" t="n">
        <v>0</v>
      </c>
      <c r="M174" s="44"/>
      <c r="N174" s="44"/>
      <c r="O174" s="72"/>
      <c r="P174" s="67"/>
      <c r="Q174" s="64"/>
      <c r="R174" s="64"/>
      <c r="S174" s="64"/>
      <c r="T174" s="64"/>
      <c r="U174" s="64"/>
      <c r="V174" s="64"/>
      <c r="W174" s="64"/>
      <c r="X174" s="64"/>
      <c r="Y174" s="64"/>
      <c r="Z174" s="64"/>
      <c r="AA174" s="64"/>
    </row>
    <row r="175" customFormat="false" ht="15" hidden="false" customHeight="false" outlineLevel="0" collapsed="false">
      <c r="A175" s="65" t="n">
        <v>46303</v>
      </c>
      <c r="B175" s="66" t="s">
        <v>293</v>
      </c>
      <c r="C175" s="67" t="str">
        <f aca="false" t="array" ref="C175:C175">IF(B175="","",IFERROR(INDEX('CLM &amp; IM Mapping'!$B$2:$B$270,MATCH(TRIM(B175),'CLM &amp; IM Mapping'!$A$2:$A$270,0)),"Not Mapped"))</f>
        <v>Suhas N</v>
      </c>
      <c r="D175" s="67" t="str">
        <f aca="false" t="array" ref="D175:D175">IF(B175="","",IFERROR(INDEX('CLM &amp; IM Mapping'!$C$2:$C$270,MATCH(TRIM(B175),'CLM &amp; IM Mapping'!$A$2:$A$270,0)),"Not Mapped"))</f>
        <v>Aravind S</v>
      </c>
      <c r="E175" s="66" t="n">
        <v>2048</v>
      </c>
      <c r="F175" s="66" t="n">
        <v>0</v>
      </c>
      <c r="G175" s="66" t="n">
        <v>2048</v>
      </c>
      <c r="H175" s="66" t="n">
        <v>0</v>
      </c>
      <c r="I175" s="66" t="n">
        <v>0</v>
      </c>
      <c r="J175" s="66" t="n">
        <v>0</v>
      </c>
      <c r="K175" s="66" t="n">
        <v>0</v>
      </c>
      <c r="L175" s="66" t="n">
        <v>0</v>
      </c>
      <c r="M175" s="44"/>
      <c r="N175" s="44"/>
      <c r="O175" s="72"/>
      <c r="P175" s="67"/>
      <c r="Q175" s="64"/>
      <c r="R175" s="64"/>
      <c r="S175" s="64"/>
      <c r="T175" s="64"/>
      <c r="U175" s="64"/>
      <c r="V175" s="64"/>
      <c r="W175" s="64"/>
      <c r="X175" s="64"/>
      <c r="Y175" s="64"/>
      <c r="Z175" s="64"/>
      <c r="AA175" s="64"/>
    </row>
    <row r="176" customFormat="false" ht="15" hidden="false" customHeight="false" outlineLevel="0" collapsed="false">
      <c r="A176" s="65" t="n">
        <v>46303</v>
      </c>
      <c r="B176" s="66" t="s">
        <v>473</v>
      </c>
      <c r="C176" s="67" t="str">
        <f aca="false" t="array" ref="C176:C176">IF(B176="","",IFERROR(INDEX('CLM &amp; IM Mapping'!$B$2:$B$270,MATCH(TRIM(B176),'CLM &amp; IM Mapping'!$A$2:$A$270,0)),"Not Mapped"))</f>
        <v>Raghavendra Vernekar</v>
      </c>
      <c r="D176" s="67" t="str">
        <f aca="false" t="array" ref="D176:D176">IF(B176="","",IFERROR(INDEX('CLM &amp; IM Mapping'!$C$2:$C$270,MATCH(TRIM(B176),'CLM &amp; IM Mapping'!$A$2:$A$270,0)),"Not Mapped"))</f>
        <v>Prakash BS</v>
      </c>
      <c r="E176" s="66" t="n">
        <v>0</v>
      </c>
      <c r="F176" s="66" t="n">
        <v>0</v>
      </c>
      <c r="G176" s="66" t="n">
        <v>0</v>
      </c>
      <c r="H176" s="66" t="n">
        <v>0</v>
      </c>
      <c r="I176" s="66" t="n">
        <v>0</v>
      </c>
      <c r="J176" s="66" t="n">
        <v>0</v>
      </c>
      <c r="K176" s="66" t="n">
        <v>0</v>
      </c>
      <c r="L176" s="66" t="n">
        <v>0</v>
      </c>
      <c r="M176" s="44"/>
      <c r="N176" s="44"/>
      <c r="O176" s="72"/>
      <c r="P176" s="67"/>
      <c r="Q176" s="64"/>
      <c r="R176" s="64"/>
      <c r="S176" s="64"/>
      <c r="T176" s="64"/>
      <c r="U176" s="64"/>
      <c r="V176" s="64"/>
      <c r="W176" s="64"/>
      <c r="X176" s="64"/>
      <c r="Y176" s="64"/>
      <c r="Z176" s="64"/>
      <c r="AA176" s="64"/>
    </row>
    <row r="177" customFormat="false" ht="15" hidden="false" customHeight="false" outlineLevel="0" collapsed="false">
      <c r="A177" s="65" t="n">
        <v>46303</v>
      </c>
      <c r="B177" s="66" t="s">
        <v>62</v>
      </c>
      <c r="C177" s="67" t="str">
        <f aca="false" t="array" ref="C177:C177">IF(B177="","",IFERROR(INDEX('CLM &amp; IM Mapping'!$B$2:$B$270,MATCH(TRIM(B177),'CLM &amp; IM Mapping'!$A$2:$A$270,0)),"Not Mapped"))</f>
        <v>Basil Scariya</v>
      </c>
      <c r="D177" s="67" t="str">
        <f aca="false" t="array" ref="D177:D177">IF(B177="","",IFERROR(INDEX('CLM &amp; IM Mapping'!$C$2:$C$270,MATCH(TRIM(B177),'CLM &amp; IM Mapping'!$A$2:$A$270,0)),"Not Mapped"))</f>
        <v>Prakash BS</v>
      </c>
      <c r="E177" s="66" t="n">
        <v>3644</v>
      </c>
      <c r="F177" s="66" t="n">
        <v>3644</v>
      </c>
      <c r="G177" s="66" t="n">
        <v>0</v>
      </c>
      <c r="H177" s="66" t="n">
        <v>0</v>
      </c>
      <c r="I177" s="66" t="n">
        <v>0</v>
      </c>
      <c r="J177" s="66" t="n">
        <v>0</v>
      </c>
      <c r="K177" s="66" t="n">
        <v>0</v>
      </c>
      <c r="L177" s="66" t="n">
        <v>0</v>
      </c>
      <c r="M177" s="44"/>
      <c r="N177" s="44"/>
      <c r="O177" s="72"/>
      <c r="P177" s="67"/>
      <c r="Q177" s="64"/>
      <c r="R177" s="64"/>
      <c r="S177" s="64"/>
      <c r="T177" s="64"/>
      <c r="U177" s="64"/>
      <c r="V177" s="64"/>
      <c r="W177" s="64"/>
      <c r="X177" s="64"/>
      <c r="Y177" s="64"/>
      <c r="Z177" s="64"/>
      <c r="AA177" s="64"/>
    </row>
    <row r="178" customFormat="false" ht="15" hidden="false" customHeight="false" outlineLevel="0" collapsed="false">
      <c r="A178" s="65" t="n">
        <v>46303</v>
      </c>
      <c r="B178" s="66" t="s">
        <v>329</v>
      </c>
      <c r="C178" s="67" t="str">
        <f aca="false" t="array" ref="C178:C178">IF(B178="","",IFERROR(INDEX('CLM &amp; IM Mapping'!$B$2:$B$270,MATCH(TRIM(B178),'CLM &amp; IM Mapping'!$A$2:$A$270,0)),"Not Mapped"))</f>
        <v>Ashwath S</v>
      </c>
      <c r="D178" s="67" t="str">
        <f aca="false" t="array" ref="D178:D178">IF(B178="","",IFERROR(INDEX('CLM &amp; IM Mapping'!$C$2:$C$270,MATCH(TRIM(B178),'CLM &amp; IM Mapping'!$A$2:$A$270,0)),"Not Mapped"))</f>
        <v>Kantha Kumar</v>
      </c>
      <c r="E178" s="66" t="n">
        <v>0</v>
      </c>
      <c r="F178" s="66" t="n">
        <v>0</v>
      </c>
      <c r="G178" s="66" t="n">
        <v>0</v>
      </c>
      <c r="H178" s="66" t="n">
        <v>0</v>
      </c>
      <c r="I178" s="66" t="n">
        <v>0</v>
      </c>
      <c r="J178" s="66" t="n">
        <v>0</v>
      </c>
      <c r="K178" s="66" t="n">
        <v>0</v>
      </c>
      <c r="L178" s="66" t="n">
        <v>0</v>
      </c>
      <c r="M178" s="44"/>
      <c r="N178" s="44"/>
      <c r="O178" s="72"/>
      <c r="P178" s="67"/>
      <c r="Q178" s="64"/>
      <c r="R178" s="64"/>
      <c r="S178" s="64"/>
      <c r="T178" s="64"/>
      <c r="U178" s="64"/>
      <c r="V178" s="64"/>
      <c r="W178" s="64"/>
      <c r="X178" s="64"/>
      <c r="Y178" s="64"/>
      <c r="Z178" s="64"/>
      <c r="AA178" s="64"/>
    </row>
    <row r="179" customFormat="false" ht="15" hidden="false" customHeight="false" outlineLevel="0" collapsed="false">
      <c r="A179" s="65" t="n">
        <v>46303</v>
      </c>
      <c r="B179" s="66" t="s">
        <v>527</v>
      </c>
      <c r="C179" s="67" t="str">
        <f aca="false" t="array" ref="C179:C179">IF(B179="","",IFERROR(INDEX('CLM &amp; IM Mapping'!$B$2:$B$270,MATCH(TRIM(B179),'CLM &amp; IM Mapping'!$A$2:$A$270,0)),"Not Mapped"))</f>
        <v>Suhas N</v>
      </c>
      <c r="D179" s="67" t="str">
        <f aca="false" t="array" ref="D179:D179">IF(B179="","",IFERROR(INDEX('CLM &amp; IM Mapping'!$C$2:$C$270,MATCH(TRIM(B179),'CLM &amp; IM Mapping'!$A$2:$A$270,0)),"Not Mapped"))</f>
        <v>Aravind S</v>
      </c>
      <c r="E179" s="66" t="n">
        <v>0</v>
      </c>
      <c r="F179" s="66" t="n">
        <v>0</v>
      </c>
      <c r="G179" s="66" t="n">
        <v>0</v>
      </c>
      <c r="H179" s="66" t="n">
        <v>0</v>
      </c>
      <c r="I179" s="66" t="n">
        <v>0</v>
      </c>
      <c r="J179" s="66" t="n">
        <v>0</v>
      </c>
      <c r="K179" s="66" t="n">
        <v>0</v>
      </c>
      <c r="L179" s="66" t="n">
        <v>0</v>
      </c>
      <c r="M179" s="44"/>
      <c r="N179" s="44"/>
      <c r="O179" s="72"/>
      <c r="P179" s="67"/>
      <c r="Q179" s="64"/>
      <c r="R179" s="64"/>
      <c r="S179" s="64"/>
      <c r="T179" s="64"/>
      <c r="U179" s="64"/>
      <c r="V179" s="64"/>
      <c r="W179" s="64"/>
      <c r="X179" s="64"/>
      <c r="Y179" s="64"/>
      <c r="Z179" s="64"/>
      <c r="AA179" s="64"/>
    </row>
    <row r="180" customFormat="false" ht="15" hidden="false" customHeight="false" outlineLevel="0" collapsed="false">
      <c r="A180" s="65" t="n">
        <v>46303</v>
      </c>
      <c r="B180" s="66" t="s">
        <v>496</v>
      </c>
      <c r="C180" s="67" t="str">
        <f aca="false" t="array" ref="C180:C180">IF(B180="","",IFERROR(INDEX('CLM &amp; IM Mapping'!$B$2:$B$270,MATCH(TRIM(B180),'CLM &amp; IM Mapping'!$A$2:$A$270,0)),"Not Mapped"))</f>
        <v>Keshav G</v>
      </c>
      <c r="D180" s="67" t="str">
        <f aca="false" t="array" ref="D180:D180">IF(B180="","",IFERROR(INDEX('CLM &amp; IM Mapping'!$C$2:$C$270,MATCH(TRIM(B180),'CLM &amp; IM Mapping'!$A$2:$A$270,0)),"Not Mapped"))</f>
        <v>Un Mapped</v>
      </c>
      <c r="E180" s="66" t="n">
        <v>0</v>
      </c>
      <c r="F180" s="66" t="n">
        <v>0</v>
      </c>
      <c r="G180" s="66" t="n">
        <v>0</v>
      </c>
      <c r="H180" s="66" t="n">
        <v>0</v>
      </c>
      <c r="I180" s="66" t="n">
        <v>0</v>
      </c>
      <c r="J180" s="66" t="n">
        <v>0</v>
      </c>
      <c r="K180" s="66" t="n">
        <v>0</v>
      </c>
      <c r="L180" s="66" t="n">
        <v>0</v>
      </c>
      <c r="M180" s="44"/>
      <c r="N180" s="44"/>
      <c r="O180" s="72"/>
      <c r="P180" s="67"/>
      <c r="Q180" s="64"/>
      <c r="R180" s="64"/>
      <c r="S180" s="64"/>
      <c r="T180" s="64"/>
      <c r="U180" s="64"/>
      <c r="V180" s="64"/>
      <c r="W180" s="64"/>
      <c r="X180" s="64"/>
      <c r="Y180" s="64"/>
      <c r="Z180" s="64"/>
      <c r="AA180" s="64"/>
    </row>
    <row r="181" customFormat="false" ht="15" hidden="false" customHeight="false" outlineLevel="0" collapsed="false">
      <c r="A181" s="65" t="n">
        <v>46303</v>
      </c>
      <c r="B181" s="66" t="s">
        <v>457</v>
      </c>
      <c r="C181" s="67" t="str">
        <f aca="false" t="array" ref="C181:C181">IF(B181="","",IFERROR(INDEX('CLM &amp; IM Mapping'!$B$2:$B$270,MATCH(TRIM(B181),'CLM &amp; IM Mapping'!$A$2:$A$270,0)),"Not Mapped"))</f>
        <v>Saddam Hussain</v>
      </c>
      <c r="D181" s="67" t="str">
        <f aca="false" t="array" ref="D181:D181">IF(B181="","",IFERROR(INDEX('CLM &amp; IM Mapping'!$C$2:$C$270,MATCH(TRIM(B181),'CLM &amp; IM Mapping'!$A$2:$A$270,0)),"Not Mapped"))</f>
        <v>Un Mapped</v>
      </c>
      <c r="E181" s="66" t="n">
        <v>0</v>
      </c>
      <c r="F181" s="66" t="n">
        <v>0</v>
      </c>
      <c r="G181" s="66" t="n">
        <v>0</v>
      </c>
      <c r="H181" s="66" t="n">
        <v>0</v>
      </c>
      <c r="I181" s="66" t="n">
        <v>0</v>
      </c>
      <c r="J181" s="66" t="n">
        <v>0</v>
      </c>
      <c r="K181" s="66" t="n">
        <v>0</v>
      </c>
      <c r="L181" s="66" t="n">
        <v>0</v>
      </c>
      <c r="M181" s="44"/>
      <c r="N181" s="44"/>
      <c r="O181" s="72"/>
      <c r="P181" s="67"/>
      <c r="Q181" s="64"/>
      <c r="R181" s="64"/>
      <c r="S181" s="64"/>
      <c r="T181" s="64"/>
      <c r="U181" s="64"/>
      <c r="V181" s="64"/>
      <c r="W181" s="64"/>
      <c r="X181" s="64"/>
      <c r="Y181" s="64"/>
      <c r="Z181" s="64"/>
      <c r="AA181" s="64"/>
    </row>
    <row r="182" customFormat="false" ht="15" hidden="false" customHeight="false" outlineLevel="0" collapsed="false">
      <c r="A182" s="65" t="n">
        <v>46303</v>
      </c>
      <c r="B182" s="66" t="s">
        <v>403</v>
      </c>
      <c r="C182" s="67" t="str">
        <f aca="false" t="array" ref="C182:C182">IF(B182="","",IFERROR(INDEX('CLM &amp; IM Mapping'!$B$2:$B$270,MATCH(TRIM(B182),'CLM &amp; IM Mapping'!$A$2:$A$270,0)),"Not Mapped"))</f>
        <v>Narasimhamurthy R</v>
      </c>
      <c r="D182" s="67" t="str">
        <f aca="false" t="array" ref="D182:D182">IF(B182="","",IFERROR(INDEX('CLM &amp; IM Mapping'!$C$2:$C$270,MATCH(TRIM(B182),'CLM &amp; IM Mapping'!$A$2:$A$270,0)),"Not Mapped"))</f>
        <v>Kishor K</v>
      </c>
      <c r="E182" s="66" t="n">
        <v>2970</v>
      </c>
      <c r="F182" s="66" t="n">
        <v>10</v>
      </c>
      <c r="G182" s="66" t="n">
        <v>2960</v>
      </c>
      <c r="H182" s="66" t="n">
        <v>0</v>
      </c>
      <c r="I182" s="66" t="n">
        <v>0</v>
      </c>
      <c r="J182" s="66" t="n">
        <v>0</v>
      </c>
      <c r="K182" s="66" t="n">
        <v>0</v>
      </c>
      <c r="L182" s="66" t="n">
        <v>0</v>
      </c>
      <c r="M182" s="44"/>
      <c r="N182" s="44"/>
      <c r="O182" s="72"/>
      <c r="P182" s="67"/>
      <c r="Q182" s="64"/>
      <c r="R182" s="64"/>
      <c r="S182" s="64"/>
      <c r="T182" s="64"/>
      <c r="U182" s="64"/>
      <c r="V182" s="64"/>
      <c r="W182" s="64"/>
      <c r="X182" s="64"/>
      <c r="Y182" s="64"/>
      <c r="Z182" s="64"/>
      <c r="AA182" s="64"/>
    </row>
    <row r="183" customFormat="false" ht="15" hidden="false" customHeight="false" outlineLevel="0" collapsed="false">
      <c r="A183" s="65" t="n">
        <v>46303</v>
      </c>
      <c r="B183" s="66" t="s">
        <v>279</v>
      </c>
      <c r="C183" s="67" t="str">
        <f aca="false" t="array" ref="C183:C183">IF(B183="","",IFERROR(INDEX('CLM &amp; IM Mapping'!$B$2:$B$270,MATCH(TRIM(B183),'CLM &amp; IM Mapping'!$A$2:$A$270,0)),"Not Mapped"))</f>
        <v>Rizwan Ahmed</v>
      </c>
      <c r="D183" s="67" t="str">
        <f aca="false" t="array" ref="D183:D183">IF(B183="","",IFERROR(INDEX('CLM &amp; IM Mapping'!$C$2:$C$270,MATCH(TRIM(B183),'CLM &amp; IM Mapping'!$A$2:$A$270,0)),"Not Mapped"))</f>
        <v>Un Mapped</v>
      </c>
      <c r="E183" s="66" t="n">
        <v>2015</v>
      </c>
      <c r="F183" s="66" t="n">
        <v>0</v>
      </c>
      <c r="G183" s="66" t="n">
        <v>2015</v>
      </c>
      <c r="H183" s="66" t="n">
        <v>0</v>
      </c>
      <c r="I183" s="66" t="n">
        <v>0</v>
      </c>
      <c r="J183" s="66" t="n">
        <v>0</v>
      </c>
      <c r="K183" s="66" t="n">
        <v>0</v>
      </c>
      <c r="L183" s="66" t="n">
        <v>0</v>
      </c>
      <c r="M183" s="44"/>
      <c r="N183" s="44"/>
      <c r="O183" s="72"/>
      <c r="P183" s="67"/>
      <c r="Q183" s="64"/>
      <c r="R183" s="64"/>
      <c r="S183" s="64"/>
      <c r="T183" s="64"/>
      <c r="U183" s="64"/>
      <c r="V183" s="64"/>
      <c r="W183" s="64"/>
      <c r="X183" s="64"/>
      <c r="Y183" s="64"/>
      <c r="Z183" s="64"/>
      <c r="AA183" s="64"/>
    </row>
    <row r="184" customFormat="false" ht="15" hidden="false" customHeight="false" outlineLevel="0" collapsed="false">
      <c r="A184" s="65" t="n">
        <v>46303</v>
      </c>
      <c r="B184" s="66" t="s">
        <v>510</v>
      </c>
      <c r="C184" s="67" t="str">
        <f aca="false" t="array" ref="C184:C184">IF(B184="","",IFERROR(INDEX('CLM &amp; IM Mapping'!$B$2:$B$270,MATCH(TRIM(B184),'CLM &amp; IM Mapping'!$A$2:$A$270,0)),"Not Mapped"))</f>
        <v>Manjunatha V</v>
      </c>
      <c r="D184" s="67" t="str">
        <f aca="false" t="array" ref="D184:D184">IF(B184="","",IFERROR(INDEX('CLM &amp; IM Mapping'!$C$2:$C$270,MATCH(TRIM(B184),'CLM &amp; IM Mapping'!$A$2:$A$270,0)),"Not Mapped"))</f>
        <v>Un Mapped</v>
      </c>
      <c r="E184" s="66" t="n">
        <v>1430</v>
      </c>
      <c r="F184" s="66" t="n">
        <v>0</v>
      </c>
      <c r="G184" s="66" t="n">
        <v>1430</v>
      </c>
      <c r="H184" s="66" t="n">
        <v>0</v>
      </c>
      <c r="I184" s="66" t="n">
        <v>0</v>
      </c>
      <c r="J184" s="66" t="n">
        <v>0</v>
      </c>
      <c r="K184" s="66" t="n">
        <v>0</v>
      </c>
      <c r="L184" s="66" t="n">
        <v>0</v>
      </c>
      <c r="M184" s="44"/>
      <c r="N184" s="44"/>
      <c r="O184" s="72"/>
      <c r="P184" s="67"/>
      <c r="Q184" s="64"/>
      <c r="R184" s="64"/>
      <c r="S184" s="64"/>
      <c r="T184" s="64"/>
      <c r="U184" s="64"/>
      <c r="V184" s="64"/>
      <c r="W184" s="64"/>
      <c r="X184" s="64"/>
      <c r="Y184" s="64"/>
      <c r="Z184" s="64"/>
      <c r="AA184" s="64"/>
    </row>
    <row r="185" customFormat="false" ht="15" hidden="false" customHeight="false" outlineLevel="0" collapsed="false">
      <c r="A185" s="65" t="n">
        <v>46303</v>
      </c>
      <c r="B185" s="66" t="s">
        <v>327</v>
      </c>
      <c r="C185" s="67" t="str">
        <f aca="false" t="array" ref="C185:C185">IF(B185="","",IFERROR(INDEX('CLM &amp; IM Mapping'!$B$2:$B$270,MATCH(TRIM(B185),'CLM &amp; IM Mapping'!$A$2:$A$270,0)),"Not Mapped"))</f>
        <v>Suhas N</v>
      </c>
      <c r="D185" s="67" t="str">
        <f aca="false" t="array" ref="D185:D185">IF(B185="","",IFERROR(INDEX('CLM &amp; IM Mapping'!$C$2:$C$270,MATCH(TRIM(B185),'CLM &amp; IM Mapping'!$A$2:$A$270,0)),"Not Mapped"))</f>
        <v>Aravind S</v>
      </c>
      <c r="E185" s="66" t="n">
        <v>634</v>
      </c>
      <c r="F185" s="66" t="n">
        <v>634</v>
      </c>
      <c r="G185" s="66" t="n">
        <v>0</v>
      </c>
      <c r="H185" s="66" t="n">
        <v>0</v>
      </c>
      <c r="I185" s="66" t="n">
        <v>0</v>
      </c>
      <c r="J185" s="66" t="n">
        <v>0</v>
      </c>
      <c r="K185" s="66" t="n">
        <v>0</v>
      </c>
      <c r="L185" s="66" t="n">
        <v>0</v>
      </c>
      <c r="M185" s="44"/>
      <c r="N185" s="44"/>
      <c r="O185" s="72"/>
      <c r="P185" s="67"/>
      <c r="Q185" s="64"/>
      <c r="R185" s="64"/>
      <c r="S185" s="64"/>
      <c r="T185" s="64"/>
      <c r="U185" s="64"/>
      <c r="V185" s="64"/>
      <c r="W185" s="64"/>
      <c r="X185" s="64"/>
      <c r="Y185" s="64"/>
      <c r="Z185" s="64"/>
      <c r="AA185" s="64"/>
    </row>
    <row r="186" customFormat="false" ht="15" hidden="false" customHeight="false" outlineLevel="0" collapsed="false">
      <c r="A186" s="65" t="n">
        <v>46303</v>
      </c>
      <c r="B186" s="66" t="s">
        <v>103</v>
      </c>
      <c r="C186" s="67" t="str">
        <f aca="false" t="array" ref="C186:C186">IF(B186="","",IFERROR(INDEX('CLM &amp; IM Mapping'!$B$2:$B$270,MATCH(TRIM(B186),'CLM &amp; IM Mapping'!$A$2:$A$270,0)),"Not Mapped"))</f>
        <v>Girish N</v>
      </c>
      <c r="D186" s="67" t="str">
        <f aca="false" t="array" ref="D186:D186">IF(B186="","",IFERROR(INDEX('CLM &amp; IM Mapping'!$C$2:$C$270,MATCH(TRIM(B186),'CLM &amp; IM Mapping'!$A$2:$A$270,0)),"Not Mapped"))</f>
        <v>Un Mapped</v>
      </c>
      <c r="E186" s="66" t="n">
        <v>1731</v>
      </c>
      <c r="F186" s="66" t="n">
        <v>0</v>
      </c>
      <c r="G186" s="66" t="n">
        <v>1731</v>
      </c>
      <c r="H186" s="66" t="n">
        <v>0</v>
      </c>
      <c r="I186" s="66" t="n">
        <v>0</v>
      </c>
      <c r="J186" s="66" t="n">
        <v>0</v>
      </c>
      <c r="K186" s="66" t="n">
        <v>0</v>
      </c>
      <c r="L186" s="66" t="n">
        <v>0</v>
      </c>
      <c r="M186" s="44"/>
      <c r="N186" s="44"/>
      <c r="O186" s="72"/>
      <c r="P186" s="67"/>
      <c r="Q186" s="64"/>
      <c r="R186" s="64"/>
      <c r="S186" s="64"/>
      <c r="T186" s="64"/>
      <c r="U186" s="64"/>
      <c r="V186" s="64"/>
      <c r="W186" s="64"/>
      <c r="X186" s="64"/>
      <c r="Y186" s="64"/>
      <c r="Z186" s="64"/>
      <c r="AA186" s="64"/>
    </row>
    <row r="187" customFormat="false" ht="15" hidden="false" customHeight="false" outlineLevel="0" collapsed="false">
      <c r="A187" s="65" t="n">
        <v>46303</v>
      </c>
      <c r="B187" s="66" t="s">
        <v>309</v>
      </c>
      <c r="C187" s="67" t="str">
        <f aca="false" t="array" ref="C187:C187">IF(B187="","",IFERROR(INDEX('CLM &amp; IM Mapping'!$B$2:$B$270,MATCH(TRIM(B187),'CLM &amp; IM Mapping'!$A$2:$A$270,0)),"Not Mapped"))</f>
        <v>Ashwath S</v>
      </c>
      <c r="D187" s="67" t="str">
        <f aca="false" t="array" ref="D187:D187">IF(B187="","",IFERROR(INDEX('CLM &amp; IM Mapping'!$C$2:$C$270,MATCH(TRIM(B187),'CLM &amp; IM Mapping'!$A$2:$A$270,0)),"Not Mapped"))</f>
        <v>Kantha Kumar</v>
      </c>
      <c r="E187" s="66" t="n">
        <v>0</v>
      </c>
      <c r="F187" s="66" t="n">
        <v>0</v>
      </c>
      <c r="G187" s="66" t="n">
        <v>0</v>
      </c>
      <c r="H187" s="66" t="n">
        <v>0</v>
      </c>
      <c r="I187" s="66" t="n">
        <v>0</v>
      </c>
      <c r="J187" s="66" t="n">
        <v>0</v>
      </c>
      <c r="K187" s="66" t="n">
        <v>0</v>
      </c>
      <c r="L187" s="66" t="n">
        <v>0</v>
      </c>
      <c r="M187" s="44"/>
      <c r="N187" s="44"/>
      <c r="O187" s="72"/>
      <c r="P187" s="67"/>
      <c r="Q187" s="64"/>
      <c r="R187" s="64"/>
      <c r="S187" s="64"/>
      <c r="T187" s="64"/>
      <c r="U187" s="64"/>
      <c r="V187" s="64"/>
      <c r="W187" s="64"/>
      <c r="X187" s="64"/>
      <c r="Y187" s="64"/>
      <c r="Z187" s="64"/>
      <c r="AA187" s="64"/>
    </row>
    <row r="188" customFormat="false" ht="15" hidden="false" customHeight="false" outlineLevel="0" collapsed="false">
      <c r="A188" s="65" t="n">
        <v>46303</v>
      </c>
      <c r="B188" s="66" t="s">
        <v>486</v>
      </c>
      <c r="C188" s="67" t="str">
        <f aca="false" t="array" ref="C188:C188">IF(B188="","",IFERROR(INDEX('CLM &amp; IM Mapping'!$B$2:$B$270,MATCH(TRIM(B188),'CLM &amp; IM Mapping'!$A$2:$A$270,0)),"Not Mapped"))</f>
        <v>Balaji G</v>
      </c>
      <c r="D188" s="67" t="str">
        <f aca="false" t="array" ref="D188:D188">IF(B188="","",IFERROR(INDEX('CLM &amp; IM Mapping'!$C$2:$C$270,MATCH(TRIM(B188),'CLM &amp; IM Mapping'!$A$2:$A$270,0)),"Not Mapped"))</f>
        <v>Mohammed Akbar</v>
      </c>
      <c r="E188" s="66" t="n">
        <v>1918</v>
      </c>
      <c r="F188" s="66" t="n">
        <v>21</v>
      </c>
      <c r="G188" s="66" t="n">
        <v>1897</v>
      </c>
      <c r="H188" s="66" t="n">
        <v>0</v>
      </c>
      <c r="I188" s="66" t="n">
        <v>0</v>
      </c>
      <c r="J188" s="66" t="n">
        <v>0</v>
      </c>
      <c r="K188" s="66" t="n">
        <v>0</v>
      </c>
      <c r="L188" s="66" t="n">
        <v>0</v>
      </c>
      <c r="M188" s="44"/>
      <c r="N188" s="44"/>
      <c r="O188" s="72"/>
      <c r="P188" s="67"/>
      <c r="Q188" s="64"/>
      <c r="R188" s="64"/>
      <c r="S188" s="64"/>
      <c r="T188" s="64"/>
      <c r="U188" s="64"/>
      <c r="V188" s="64"/>
      <c r="W188" s="64"/>
      <c r="X188" s="64"/>
      <c r="Y188" s="64"/>
      <c r="Z188" s="64"/>
      <c r="AA188" s="64"/>
    </row>
    <row r="189" customFormat="false" ht="15" hidden="false" customHeight="false" outlineLevel="0" collapsed="false">
      <c r="A189" s="65" t="n">
        <v>46303</v>
      </c>
      <c r="B189" s="66" t="s">
        <v>413</v>
      </c>
      <c r="C189" s="67" t="str">
        <f aca="false" t="array" ref="C189:C189">IF(B189="","",IFERROR(INDEX('CLM &amp; IM Mapping'!$B$2:$B$270,MATCH(TRIM(B189),'CLM &amp; IM Mapping'!$A$2:$A$270,0)),"Not Mapped"))</f>
        <v>Arun Raj</v>
      </c>
      <c r="D189" s="67" t="str">
        <f aca="false" t="array" ref="D189:D189">IF(B189="","",IFERROR(INDEX('CLM &amp; IM Mapping'!$C$2:$C$270,MATCH(TRIM(B189),'CLM &amp; IM Mapping'!$A$2:$A$270,0)),"Not Mapped"))</f>
        <v>Simon Manoharan</v>
      </c>
      <c r="E189" s="66" t="n">
        <v>0</v>
      </c>
      <c r="F189" s="66" t="n">
        <v>0</v>
      </c>
      <c r="G189" s="66" t="n">
        <v>0</v>
      </c>
      <c r="H189" s="66" t="n">
        <v>0</v>
      </c>
      <c r="I189" s="66" t="n">
        <v>0</v>
      </c>
      <c r="J189" s="66" t="n">
        <v>0</v>
      </c>
      <c r="K189" s="66" t="n">
        <v>0</v>
      </c>
      <c r="L189" s="66" t="n">
        <v>0</v>
      </c>
      <c r="M189" s="44"/>
      <c r="N189" s="44"/>
      <c r="O189" s="72"/>
      <c r="P189" s="67"/>
      <c r="Q189" s="64"/>
      <c r="R189" s="64"/>
      <c r="S189" s="64"/>
      <c r="T189" s="64"/>
      <c r="U189" s="64"/>
      <c r="V189" s="64"/>
      <c r="W189" s="64"/>
      <c r="X189" s="64"/>
      <c r="Y189" s="64"/>
      <c r="Z189" s="64"/>
      <c r="AA189" s="64"/>
    </row>
    <row r="190" customFormat="false" ht="15" hidden="false" customHeight="false" outlineLevel="0" collapsed="false">
      <c r="A190" s="65" t="n">
        <v>46303</v>
      </c>
      <c r="B190" s="66" t="s">
        <v>465</v>
      </c>
      <c r="C190" s="67" t="str">
        <f aca="false" t="array" ref="C190:C190">IF(B190="","",IFERROR(INDEX('CLM &amp; IM Mapping'!$B$2:$B$270,MATCH(TRIM(B190),'CLM &amp; IM Mapping'!$A$2:$A$270,0)),"Not Mapped"))</f>
        <v>Suhas N</v>
      </c>
      <c r="D190" s="67" t="str">
        <f aca="false" t="array" ref="D190:D190">IF(B190="","",IFERROR(INDEX('CLM &amp; IM Mapping'!$C$2:$C$270,MATCH(TRIM(B190),'CLM &amp; IM Mapping'!$A$2:$A$270,0)),"Not Mapped"))</f>
        <v>Aravind S</v>
      </c>
      <c r="E190" s="66" t="n">
        <v>1581</v>
      </c>
      <c r="F190" s="66" t="n">
        <v>1581</v>
      </c>
      <c r="G190" s="66" t="n">
        <v>0</v>
      </c>
      <c r="H190" s="66" t="n">
        <v>0</v>
      </c>
      <c r="I190" s="66" t="n">
        <v>0</v>
      </c>
      <c r="J190" s="66" t="n">
        <v>0</v>
      </c>
      <c r="K190" s="66" t="n">
        <v>0</v>
      </c>
      <c r="L190" s="66" t="n">
        <v>0</v>
      </c>
      <c r="M190" s="44"/>
      <c r="N190" s="44"/>
      <c r="O190" s="72"/>
      <c r="P190" s="67"/>
      <c r="Q190" s="64"/>
      <c r="R190" s="64"/>
      <c r="S190" s="64"/>
      <c r="T190" s="64"/>
      <c r="U190" s="64"/>
      <c r="V190" s="64"/>
      <c r="W190" s="64"/>
      <c r="X190" s="64"/>
      <c r="Y190" s="64"/>
      <c r="Z190" s="64"/>
      <c r="AA190" s="64"/>
    </row>
    <row r="191" customFormat="false" ht="15" hidden="false" customHeight="false" outlineLevel="0" collapsed="false">
      <c r="A191" s="65" t="n">
        <v>46303</v>
      </c>
      <c r="B191" s="66" t="s">
        <v>507</v>
      </c>
      <c r="C191" s="67" t="str">
        <f aca="false" t="array" ref="C191:C191">IF(B191="","",IFERROR(INDEX('CLM &amp; IM Mapping'!$B$2:$B$270,MATCH(TRIM(B191),'CLM &amp; IM Mapping'!$A$2:$A$270,0)),"Not Mapped"))</f>
        <v>Raghavendra Vernekar</v>
      </c>
      <c r="D191" s="67" t="str">
        <f aca="false" t="array" ref="D191:D191">IF(B191="","",IFERROR(INDEX('CLM &amp; IM Mapping'!$C$2:$C$270,MATCH(TRIM(B191),'CLM &amp; IM Mapping'!$A$2:$A$270,0)),"Not Mapped"))</f>
        <v>Prakash BS</v>
      </c>
      <c r="E191" s="66" t="n">
        <v>7877</v>
      </c>
      <c r="F191" s="66" t="n">
        <v>7877</v>
      </c>
      <c r="G191" s="66" t="n">
        <v>0</v>
      </c>
      <c r="H191" s="66" t="n">
        <v>0</v>
      </c>
      <c r="I191" s="66" t="n">
        <v>0</v>
      </c>
      <c r="J191" s="66" t="n">
        <v>0</v>
      </c>
      <c r="K191" s="66" t="n">
        <v>0</v>
      </c>
      <c r="L191" s="66" t="n">
        <v>0</v>
      </c>
      <c r="M191" s="44"/>
      <c r="N191" s="44"/>
      <c r="O191" s="72"/>
      <c r="P191" s="67"/>
      <c r="Q191" s="64"/>
      <c r="R191" s="64"/>
      <c r="S191" s="64"/>
      <c r="T191" s="64"/>
      <c r="U191" s="64"/>
      <c r="V191" s="64"/>
      <c r="W191" s="64"/>
      <c r="X191" s="64"/>
      <c r="Y191" s="64"/>
      <c r="Z191" s="64"/>
      <c r="AA191" s="64"/>
    </row>
    <row r="192" customFormat="false" ht="15" hidden="false" customHeight="false" outlineLevel="0" collapsed="false">
      <c r="A192" s="65" t="n">
        <v>46303</v>
      </c>
      <c r="B192" s="66" t="s">
        <v>375</v>
      </c>
      <c r="C192" s="67" t="str">
        <f aca="false" t="array" ref="C192:C192">IF(B192="","",IFERROR(INDEX('CLM &amp; IM Mapping'!$B$2:$B$270,MATCH(TRIM(B192),'CLM &amp; IM Mapping'!$A$2:$A$270,0)),"Not Mapped"))</f>
        <v>Saddam Hussain</v>
      </c>
      <c r="D192" s="67" t="str">
        <f aca="false" t="array" ref="D192:D192">IF(B192="","",IFERROR(INDEX('CLM &amp; IM Mapping'!$C$2:$C$270,MATCH(TRIM(B192),'CLM &amp; IM Mapping'!$A$2:$A$270,0)),"Not Mapped"))</f>
        <v>Un Mapped</v>
      </c>
      <c r="E192" s="66" t="n">
        <v>3064</v>
      </c>
      <c r="F192" s="66" t="n">
        <v>119</v>
      </c>
      <c r="G192" s="66" t="n">
        <v>2945</v>
      </c>
      <c r="H192" s="66" t="n">
        <v>0</v>
      </c>
      <c r="I192" s="66" t="n">
        <v>0</v>
      </c>
      <c r="J192" s="66" t="n">
        <v>0</v>
      </c>
      <c r="K192" s="66" t="n">
        <v>0</v>
      </c>
      <c r="L192" s="66" t="n">
        <v>0</v>
      </c>
      <c r="M192" s="44"/>
      <c r="N192" s="44"/>
      <c r="O192" s="72"/>
      <c r="P192" s="67"/>
      <c r="Q192" s="64"/>
      <c r="R192" s="64"/>
      <c r="S192" s="64"/>
      <c r="T192" s="64"/>
      <c r="U192" s="64"/>
      <c r="V192" s="64"/>
      <c r="W192" s="64"/>
      <c r="X192" s="64"/>
      <c r="Y192" s="64"/>
      <c r="Z192" s="64"/>
      <c r="AA192" s="64"/>
    </row>
    <row r="193" customFormat="false" ht="15" hidden="false" customHeight="false" outlineLevel="0" collapsed="false">
      <c r="A193" s="65" t="n">
        <v>46303</v>
      </c>
      <c r="B193" s="66" t="s">
        <v>346</v>
      </c>
      <c r="C193" s="67" t="str">
        <f aca="false" t="array" ref="C193:C193">IF(B193="","",IFERROR(INDEX('CLM &amp; IM Mapping'!$B$2:$B$270,MATCH(TRIM(B193),'CLM &amp; IM Mapping'!$A$2:$A$270,0)),"Not Mapped"))</f>
        <v>Saddam Hussain</v>
      </c>
      <c r="D193" s="67" t="str">
        <f aca="false" t="array" ref="D193:D193">IF(B193="","",IFERROR(INDEX('CLM &amp; IM Mapping'!$C$2:$C$270,MATCH(TRIM(B193),'CLM &amp; IM Mapping'!$A$2:$A$270,0)),"Not Mapped"))</f>
        <v>Un Mapped</v>
      </c>
      <c r="E193" s="66" t="n">
        <v>1848</v>
      </c>
      <c r="F193" s="66" t="n">
        <v>0</v>
      </c>
      <c r="G193" s="66" t="n">
        <v>1848</v>
      </c>
      <c r="H193" s="66" t="n">
        <v>0</v>
      </c>
      <c r="I193" s="66" t="n">
        <v>0</v>
      </c>
      <c r="J193" s="66" t="n">
        <v>0</v>
      </c>
      <c r="K193" s="66" t="n">
        <v>0</v>
      </c>
      <c r="L193" s="66" t="n">
        <v>0</v>
      </c>
      <c r="M193" s="44"/>
      <c r="N193" s="44"/>
      <c r="O193" s="72"/>
      <c r="P193" s="67"/>
      <c r="Q193" s="64"/>
      <c r="R193" s="64"/>
      <c r="S193" s="64"/>
      <c r="T193" s="64"/>
      <c r="U193" s="64"/>
      <c r="V193" s="64"/>
      <c r="W193" s="64"/>
      <c r="X193" s="64"/>
      <c r="Y193" s="64"/>
      <c r="Z193" s="64"/>
      <c r="AA193" s="64"/>
    </row>
    <row r="194" customFormat="false" ht="15" hidden="false" customHeight="false" outlineLevel="0" collapsed="false">
      <c r="A194" s="65" t="n">
        <v>46303</v>
      </c>
      <c r="B194" s="66" t="s">
        <v>517</v>
      </c>
      <c r="C194" s="67" t="str">
        <f aca="false" t="array" ref="C194:C194">IF(B194="","",IFERROR(INDEX('CLM &amp; IM Mapping'!$B$2:$B$270,MATCH(TRIM(B194),'CLM &amp; IM Mapping'!$A$2:$A$270,0)),"Not Mapped"))</f>
        <v>Manoj Kj</v>
      </c>
      <c r="D194" s="67" t="str">
        <f aca="false" t="array" ref="D194:D194">IF(B194="","",IFERROR(INDEX('CLM &amp; IM Mapping'!$C$2:$C$270,MATCH(TRIM(B194),'CLM &amp; IM Mapping'!$A$2:$A$270,0)),"Not Mapped"))</f>
        <v>Srittam Dhal</v>
      </c>
      <c r="E194" s="66" t="n">
        <v>0</v>
      </c>
      <c r="F194" s="66" t="n">
        <v>0</v>
      </c>
      <c r="G194" s="66" t="n">
        <v>0</v>
      </c>
      <c r="H194" s="66" t="n">
        <v>0</v>
      </c>
      <c r="I194" s="66" t="n">
        <v>0</v>
      </c>
      <c r="J194" s="66" t="n">
        <v>0</v>
      </c>
      <c r="K194" s="66" t="n">
        <v>0</v>
      </c>
      <c r="L194" s="66" t="n">
        <v>0</v>
      </c>
      <c r="M194" s="44"/>
      <c r="N194" s="44"/>
      <c r="O194" s="72"/>
      <c r="P194" s="67"/>
      <c r="Q194" s="64"/>
      <c r="R194" s="64"/>
      <c r="S194" s="64"/>
      <c r="T194" s="64"/>
      <c r="U194" s="64"/>
      <c r="V194" s="64"/>
      <c r="W194" s="64"/>
      <c r="X194" s="64"/>
      <c r="Y194" s="64"/>
      <c r="Z194" s="64"/>
      <c r="AA194" s="64"/>
    </row>
    <row r="195" customFormat="false" ht="15" hidden="false" customHeight="false" outlineLevel="0" collapsed="false">
      <c r="A195" s="65" t="n">
        <v>46303</v>
      </c>
      <c r="B195" s="66" t="s">
        <v>435</v>
      </c>
      <c r="C195" s="67" t="str">
        <f aca="false" t="array" ref="C195:C195">IF(B195="","",IFERROR(INDEX('CLM &amp; IM Mapping'!$B$2:$B$270,MATCH(TRIM(B195),'CLM &amp; IM Mapping'!$A$2:$A$270,0)),"Not Mapped"))</f>
        <v>Balaji G</v>
      </c>
      <c r="D195" s="67" t="str">
        <f aca="false" t="array" ref="D195:D195">IF(B195="","",IFERROR(INDEX('CLM &amp; IM Mapping'!$C$2:$C$270,MATCH(TRIM(B195),'CLM &amp; IM Mapping'!$A$2:$A$270,0)),"Not Mapped"))</f>
        <v>Mohammed Akbar</v>
      </c>
      <c r="E195" s="66" t="n">
        <v>5</v>
      </c>
      <c r="F195" s="66" t="n">
        <v>0</v>
      </c>
      <c r="G195" s="66" t="n">
        <v>5</v>
      </c>
      <c r="H195" s="66" t="n">
        <v>0</v>
      </c>
      <c r="I195" s="66" t="n">
        <v>0</v>
      </c>
      <c r="J195" s="66" t="n">
        <v>0</v>
      </c>
      <c r="K195" s="66" t="n">
        <v>0</v>
      </c>
      <c r="L195" s="66" t="n">
        <v>0</v>
      </c>
      <c r="M195" s="44"/>
      <c r="N195" s="44"/>
      <c r="O195" s="72"/>
      <c r="P195" s="67"/>
      <c r="Q195" s="64"/>
      <c r="R195" s="64"/>
      <c r="S195" s="64"/>
      <c r="T195" s="64"/>
      <c r="U195" s="64"/>
      <c r="V195" s="64"/>
      <c r="W195" s="64"/>
      <c r="X195" s="64"/>
      <c r="Y195" s="64"/>
      <c r="Z195" s="64"/>
      <c r="AA195" s="64"/>
    </row>
    <row r="196" customFormat="false" ht="15" hidden="false" customHeight="false" outlineLevel="0" collapsed="false">
      <c r="A196" s="65" t="n">
        <v>46303</v>
      </c>
      <c r="B196" s="66" t="s">
        <v>342</v>
      </c>
      <c r="C196" s="67" t="str">
        <f aca="false" t="array" ref="C196:C196">IF(B196="","",IFERROR(INDEX('CLM &amp; IM Mapping'!$B$2:$B$270,MATCH(TRIM(B196),'CLM &amp; IM Mapping'!$A$2:$A$270,0)),"Not Mapped"))</f>
        <v>Saddam Hussain</v>
      </c>
      <c r="D196" s="67" t="str">
        <f aca="false" t="array" ref="D196:D196">IF(B196="","",IFERROR(INDEX('CLM &amp; IM Mapping'!$C$2:$C$270,MATCH(TRIM(B196),'CLM &amp; IM Mapping'!$A$2:$A$270,0)),"Not Mapped"))</f>
        <v>Un Mapped</v>
      </c>
      <c r="E196" s="66" t="n">
        <v>2</v>
      </c>
      <c r="F196" s="66" t="n">
        <v>2</v>
      </c>
      <c r="G196" s="66" t="n">
        <v>0</v>
      </c>
      <c r="H196" s="66" t="n">
        <v>0</v>
      </c>
      <c r="I196" s="66" t="n">
        <v>0</v>
      </c>
      <c r="J196" s="66" t="n">
        <v>0</v>
      </c>
      <c r="K196" s="66" t="n">
        <v>0</v>
      </c>
      <c r="L196" s="66" t="n">
        <v>0</v>
      </c>
      <c r="M196" s="44"/>
      <c r="N196" s="44"/>
      <c r="O196" s="72"/>
      <c r="P196" s="67"/>
      <c r="Q196" s="64"/>
      <c r="R196" s="64"/>
      <c r="S196" s="64"/>
      <c r="T196" s="64"/>
      <c r="U196" s="64"/>
      <c r="V196" s="64"/>
      <c r="W196" s="64"/>
      <c r="X196" s="64"/>
      <c r="Y196" s="64"/>
      <c r="Z196" s="64"/>
      <c r="AA196" s="64"/>
    </row>
    <row r="197" customFormat="false" ht="15" hidden="false" customHeight="false" outlineLevel="0" collapsed="false">
      <c r="A197" s="65" t="n">
        <v>46303</v>
      </c>
      <c r="B197" s="66" t="s">
        <v>68</v>
      </c>
      <c r="C197" s="67" t="str">
        <f aca="false" t="array" ref="C197:C197">IF(B197="","",IFERROR(INDEX('CLM &amp; IM Mapping'!$B$2:$B$270,MATCH(TRIM(B197),'CLM &amp; IM Mapping'!$A$2:$A$270,0)),"Not Mapped"))</f>
        <v>Girish N</v>
      </c>
      <c r="D197" s="67" t="str">
        <f aca="false" t="array" ref="D197:D197">IF(B197="","",IFERROR(INDEX('CLM &amp; IM Mapping'!$C$2:$C$270,MATCH(TRIM(B197),'CLM &amp; IM Mapping'!$A$2:$A$270,0)),"Not Mapped"))</f>
        <v>Un Mapped</v>
      </c>
      <c r="E197" s="66" t="n">
        <v>4763</v>
      </c>
      <c r="F197" s="66" t="n">
        <v>0</v>
      </c>
      <c r="G197" s="66" t="n">
        <v>4763</v>
      </c>
      <c r="H197" s="66" t="n">
        <v>0</v>
      </c>
      <c r="I197" s="66" t="n">
        <v>0</v>
      </c>
      <c r="J197" s="66" t="n">
        <v>0</v>
      </c>
      <c r="K197" s="66" t="n">
        <v>0</v>
      </c>
      <c r="L197" s="66" t="n">
        <v>0</v>
      </c>
      <c r="M197" s="44"/>
      <c r="N197" s="44"/>
      <c r="O197" s="72"/>
      <c r="P197" s="67"/>
      <c r="Q197" s="64"/>
      <c r="R197" s="64"/>
      <c r="S197" s="64"/>
      <c r="T197" s="64"/>
      <c r="U197" s="64"/>
      <c r="V197" s="64"/>
      <c r="W197" s="64"/>
      <c r="X197" s="64"/>
      <c r="Y197" s="64"/>
      <c r="Z197" s="64"/>
      <c r="AA197" s="64"/>
    </row>
    <row r="198" customFormat="false" ht="15" hidden="false" customHeight="false" outlineLevel="0" collapsed="false">
      <c r="A198" s="65" t="n">
        <v>46303</v>
      </c>
      <c r="B198" s="66" t="s">
        <v>238</v>
      </c>
      <c r="C198" s="67" t="str">
        <f aca="false" t="array" ref="C198:C198">IF(B198="","",IFERROR(INDEX('CLM &amp; IM Mapping'!$B$2:$B$270,MATCH(TRIM(B198),'CLM &amp; IM Mapping'!$A$2:$A$270,0)),"Not Mapped"))</f>
        <v>Suhas N</v>
      </c>
      <c r="D198" s="67" t="str">
        <f aca="false" t="array" ref="D198:D198">IF(B198="","",IFERROR(INDEX('CLM &amp; IM Mapping'!$C$2:$C$270,MATCH(TRIM(B198),'CLM &amp; IM Mapping'!$A$2:$A$270,0)),"Not Mapped"))</f>
        <v>Aravind S</v>
      </c>
      <c r="E198" s="66" t="n">
        <v>3</v>
      </c>
      <c r="F198" s="66" t="n">
        <v>0</v>
      </c>
      <c r="G198" s="66" t="n">
        <v>3</v>
      </c>
      <c r="H198" s="66" t="n">
        <v>0</v>
      </c>
      <c r="I198" s="66" t="n">
        <v>0</v>
      </c>
      <c r="J198" s="66" t="n">
        <v>0</v>
      </c>
      <c r="K198" s="66" t="n">
        <v>0</v>
      </c>
      <c r="L198" s="66" t="n">
        <v>0</v>
      </c>
      <c r="M198" s="44"/>
      <c r="N198" s="44"/>
      <c r="O198" s="72"/>
      <c r="P198" s="67"/>
      <c r="Q198" s="64"/>
      <c r="R198" s="64"/>
      <c r="S198" s="64"/>
      <c r="T198" s="64"/>
      <c r="U198" s="64"/>
      <c r="V198" s="64"/>
      <c r="W198" s="64"/>
      <c r="X198" s="64"/>
      <c r="Y198" s="64"/>
      <c r="Z198" s="64"/>
      <c r="AA198" s="64"/>
    </row>
    <row r="199" customFormat="false" ht="15" hidden="false" customHeight="false" outlineLevel="0" collapsed="false">
      <c r="A199" s="65" t="n">
        <v>46303</v>
      </c>
      <c r="B199" s="66" t="s">
        <v>398</v>
      </c>
      <c r="C199" s="67" t="str">
        <f aca="false" t="array" ref="C199:C199">IF(B199="","",IFERROR(INDEX('CLM &amp; IM Mapping'!$B$2:$B$270,MATCH(TRIM(B199),'CLM &amp; IM Mapping'!$A$2:$A$270,0)),"Not Mapped"))</f>
        <v>Raghavendra Vernekar</v>
      </c>
      <c r="D199" s="67" t="str">
        <f aca="false" t="array" ref="D199:D199">IF(B199="","",IFERROR(INDEX('CLM &amp; IM Mapping'!$C$2:$C$270,MATCH(TRIM(B199),'CLM &amp; IM Mapping'!$A$2:$A$270,0)),"Not Mapped"))</f>
        <v>Prakash BS</v>
      </c>
      <c r="E199" s="66" t="n">
        <v>85</v>
      </c>
      <c r="F199" s="66" t="n">
        <v>0</v>
      </c>
      <c r="G199" s="66" t="n">
        <v>85</v>
      </c>
      <c r="H199" s="66" t="n">
        <v>0</v>
      </c>
      <c r="I199" s="66" t="n">
        <v>0</v>
      </c>
      <c r="J199" s="66" t="n">
        <v>0</v>
      </c>
      <c r="K199" s="66" t="n">
        <v>0</v>
      </c>
      <c r="L199" s="66" t="n">
        <v>0</v>
      </c>
      <c r="M199" s="44"/>
      <c r="N199" s="44"/>
      <c r="O199" s="72"/>
      <c r="P199" s="67"/>
      <c r="Q199" s="64"/>
      <c r="R199" s="64"/>
      <c r="S199" s="64"/>
      <c r="T199" s="64"/>
      <c r="U199" s="64"/>
      <c r="V199" s="64"/>
      <c r="W199" s="64"/>
      <c r="X199" s="64"/>
      <c r="Y199" s="64"/>
      <c r="Z199" s="64"/>
      <c r="AA199" s="64"/>
    </row>
    <row r="200" customFormat="false" ht="15" hidden="false" customHeight="false" outlineLevel="0" collapsed="false">
      <c r="A200" s="65" t="n">
        <v>46303</v>
      </c>
      <c r="B200" s="66" t="s">
        <v>437</v>
      </c>
      <c r="C200" s="67" t="str">
        <f aca="false" t="array" ref="C200:C200">IF(B200="","",IFERROR(INDEX('CLM &amp; IM Mapping'!$B$2:$B$270,MATCH(TRIM(B200),'CLM &amp; IM Mapping'!$A$2:$A$270,0)),"Not Mapped"))</f>
        <v>Balaji G</v>
      </c>
      <c r="D200" s="67" t="str">
        <f aca="false" t="array" ref="D200:D200">IF(B200="","",IFERROR(INDEX('CLM &amp; IM Mapping'!$C$2:$C$270,MATCH(TRIM(B200),'CLM &amp; IM Mapping'!$A$2:$A$270,0)),"Not Mapped"))</f>
        <v>Mohammed Akbar</v>
      </c>
      <c r="E200" s="66" t="n">
        <v>1462</v>
      </c>
      <c r="F200" s="66" t="n">
        <v>251</v>
      </c>
      <c r="G200" s="66" t="n">
        <v>1211</v>
      </c>
      <c r="H200" s="66" t="n">
        <v>0</v>
      </c>
      <c r="I200" s="66" t="n">
        <v>0</v>
      </c>
      <c r="J200" s="66" t="n">
        <v>0</v>
      </c>
      <c r="K200" s="66" t="n">
        <v>0</v>
      </c>
      <c r="L200" s="66" t="n">
        <v>0</v>
      </c>
      <c r="M200" s="44"/>
      <c r="N200" s="44"/>
      <c r="O200" s="72"/>
      <c r="P200" s="67"/>
      <c r="Q200" s="64"/>
      <c r="R200" s="64"/>
      <c r="S200" s="64"/>
      <c r="T200" s="64"/>
      <c r="U200" s="64"/>
      <c r="V200" s="64"/>
      <c r="W200" s="64"/>
      <c r="X200" s="64"/>
      <c r="Y200" s="64"/>
      <c r="Z200" s="64"/>
      <c r="AA200" s="64"/>
    </row>
    <row r="201" customFormat="false" ht="15" hidden="false" customHeight="false" outlineLevel="0" collapsed="false">
      <c r="A201" s="65" t="n">
        <v>46303</v>
      </c>
      <c r="B201" s="66" t="s">
        <v>443</v>
      </c>
      <c r="C201" s="67" t="str">
        <f aca="false" t="array" ref="C201:C201">IF(B201="","",IFERROR(INDEX('CLM &amp; IM Mapping'!$B$2:$B$270,MATCH(TRIM(B201),'CLM &amp; IM Mapping'!$A$2:$A$270,0)),"Not Mapped"))</f>
        <v>Manoj Kj</v>
      </c>
      <c r="D201" s="67" t="str">
        <f aca="false" t="array" ref="D201:D201">IF(B201="","",IFERROR(INDEX('CLM &amp; IM Mapping'!$C$2:$C$270,MATCH(TRIM(B201),'CLM &amp; IM Mapping'!$A$2:$A$270,0)),"Not Mapped"))</f>
        <v>Srittam Dhal</v>
      </c>
      <c r="E201" s="66" t="n">
        <v>2868</v>
      </c>
      <c r="F201" s="66" t="n">
        <v>0</v>
      </c>
      <c r="G201" s="66" t="n">
        <v>2868</v>
      </c>
      <c r="H201" s="66" t="n">
        <v>0</v>
      </c>
      <c r="I201" s="66" t="n">
        <v>0</v>
      </c>
      <c r="J201" s="66" t="n">
        <v>0</v>
      </c>
      <c r="K201" s="66" t="n">
        <v>0</v>
      </c>
      <c r="L201" s="66" t="n">
        <v>0</v>
      </c>
      <c r="M201" s="44"/>
      <c r="N201" s="44"/>
      <c r="O201" s="72"/>
      <c r="P201" s="67"/>
      <c r="Q201" s="64"/>
      <c r="R201" s="64"/>
      <c r="S201" s="64"/>
      <c r="T201" s="64"/>
      <c r="U201" s="64"/>
      <c r="V201" s="64"/>
      <c r="W201" s="64"/>
      <c r="X201" s="64"/>
      <c r="Y201" s="64"/>
      <c r="Z201" s="64"/>
      <c r="AA201" s="64"/>
    </row>
    <row r="202" customFormat="false" ht="15" hidden="false" customHeight="false" outlineLevel="0" collapsed="false">
      <c r="A202" s="65" t="n">
        <v>46303</v>
      </c>
      <c r="B202" s="66" t="s">
        <v>490</v>
      </c>
      <c r="C202" s="67" t="str">
        <f aca="false" t="array" ref="C202:C202">IF(B202="","",IFERROR(INDEX('CLM &amp; IM Mapping'!$B$2:$B$270,MATCH(TRIM(B202),'CLM &amp; IM Mapping'!$A$2:$A$270,0)),"Not Mapped"))</f>
        <v>Arun Raj</v>
      </c>
      <c r="D202" s="67" t="str">
        <f aca="false" t="array" ref="D202:D202">IF(B202="","",IFERROR(INDEX('CLM &amp; IM Mapping'!$C$2:$C$270,MATCH(TRIM(B202),'CLM &amp; IM Mapping'!$A$2:$A$270,0)),"Not Mapped"))</f>
        <v>Simon Manoharan</v>
      </c>
      <c r="E202" s="66" t="n">
        <v>0</v>
      </c>
      <c r="F202" s="66" t="n">
        <v>0</v>
      </c>
      <c r="G202" s="66" t="n">
        <v>0</v>
      </c>
      <c r="H202" s="66" t="n">
        <v>0</v>
      </c>
      <c r="I202" s="66" t="n">
        <v>0</v>
      </c>
      <c r="J202" s="66" t="n">
        <v>0</v>
      </c>
      <c r="K202" s="66" t="n">
        <v>0</v>
      </c>
      <c r="L202" s="66" t="n">
        <v>0</v>
      </c>
      <c r="M202" s="44"/>
      <c r="N202" s="44"/>
      <c r="O202" s="72"/>
      <c r="P202" s="67"/>
      <c r="Q202" s="64"/>
      <c r="R202" s="64"/>
      <c r="S202" s="64"/>
      <c r="T202" s="64"/>
      <c r="U202" s="64"/>
      <c r="V202" s="64"/>
      <c r="W202" s="64"/>
      <c r="X202" s="64"/>
      <c r="Y202" s="64"/>
      <c r="Z202" s="64"/>
      <c r="AA202" s="64"/>
    </row>
    <row r="203" customFormat="false" ht="15" hidden="false" customHeight="false" outlineLevel="0" collapsed="false">
      <c r="A203" s="65" t="n">
        <v>46303</v>
      </c>
      <c r="B203" s="66" t="s">
        <v>352</v>
      </c>
      <c r="C203" s="67" t="str">
        <f aca="false" t="array" ref="C203:C203">IF(B203="","",IFERROR(INDEX('CLM &amp; IM Mapping'!$B$2:$B$270,MATCH(TRIM(B203),'CLM &amp; IM Mapping'!$A$2:$A$270,0)),"Not Mapped"))</f>
        <v>Raghavendra Vernekar</v>
      </c>
      <c r="D203" s="67" t="str">
        <f aca="false" t="array" ref="D203:D203">IF(B203="","",IFERROR(INDEX('CLM &amp; IM Mapping'!$C$2:$C$270,MATCH(TRIM(B203),'CLM &amp; IM Mapping'!$A$2:$A$270,0)),"Not Mapped"))</f>
        <v>Prakash BS</v>
      </c>
      <c r="E203" s="66" t="n">
        <v>545</v>
      </c>
      <c r="F203" s="66" t="n">
        <v>545</v>
      </c>
      <c r="G203" s="66" t="n">
        <v>0</v>
      </c>
      <c r="H203" s="66" t="n">
        <v>0</v>
      </c>
      <c r="I203" s="66" t="n">
        <v>0</v>
      </c>
      <c r="J203" s="66" t="n">
        <v>0</v>
      </c>
      <c r="K203" s="66" t="n">
        <v>0</v>
      </c>
      <c r="L203" s="66" t="n">
        <v>0</v>
      </c>
      <c r="M203" s="44"/>
      <c r="N203" s="44"/>
      <c r="O203" s="72"/>
      <c r="P203" s="67"/>
      <c r="Q203" s="64"/>
      <c r="R203" s="64"/>
      <c r="S203" s="64"/>
      <c r="T203" s="64"/>
      <c r="U203" s="64"/>
      <c r="V203" s="64"/>
      <c r="W203" s="64"/>
      <c r="X203" s="64"/>
      <c r="Y203" s="64"/>
      <c r="Z203" s="64"/>
      <c r="AA203" s="64"/>
    </row>
    <row r="204" customFormat="false" ht="15" hidden="false" customHeight="false" outlineLevel="0" collapsed="false">
      <c r="A204" s="65" t="n">
        <v>46303</v>
      </c>
      <c r="B204" s="66" t="s">
        <v>231</v>
      </c>
      <c r="C204" s="67" t="str">
        <f aca="false" t="array" ref="C204:C204">IF(B204="","",IFERROR(INDEX('CLM &amp; IM Mapping'!$B$2:$B$270,MATCH(TRIM(B204),'CLM &amp; IM Mapping'!$A$2:$A$270,0)),"Not Mapped"))</f>
        <v>Arun Raj</v>
      </c>
      <c r="D204" s="67" t="str">
        <f aca="false" t="array" ref="D204:D204">IF(B204="","",IFERROR(INDEX('CLM &amp; IM Mapping'!$C$2:$C$270,MATCH(TRIM(B204),'CLM &amp; IM Mapping'!$A$2:$A$270,0)),"Not Mapped"))</f>
        <v>Simon Manoharan</v>
      </c>
      <c r="E204" s="66" t="n">
        <v>0</v>
      </c>
      <c r="F204" s="66" t="n">
        <v>0</v>
      </c>
      <c r="G204" s="66" t="n">
        <v>0</v>
      </c>
      <c r="H204" s="66" t="n">
        <v>0</v>
      </c>
      <c r="I204" s="66" t="n">
        <v>0</v>
      </c>
      <c r="J204" s="66" t="n">
        <v>0</v>
      </c>
      <c r="K204" s="66" t="n">
        <v>0</v>
      </c>
      <c r="L204" s="66" t="n">
        <v>0</v>
      </c>
      <c r="M204" s="44"/>
      <c r="N204" s="44"/>
      <c r="O204" s="72"/>
      <c r="P204" s="67"/>
      <c r="Q204" s="64"/>
      <c r="R204" s="64"/>
      <c r="S204" s="64"/>
      <c r="T204" s="64"/>
      <c r="U204" s="64"/>
      <c r="V204" s="64"/>
      <c r="W204" s="64"/>
      <c r="X204" s="64"/>
      <c r="Y204" s="64"/>
      <c r="Z204" s="64"/>
      <c r="AA204" s="64"/>
    </row>
    <row r="205" customFormat="false" ht="15" hidden="false" customHeight="false" outlineLevel="0" collapsed="false">
      <c r="A205" s="65" t="n">
        <v>46303</v>
      </c>
      <c r="B205" s="66" t="s">
        <v>386</v>
      </c>
      <c r="C205" s="67" t="str">
        <f aca="false" t="array" ref="C205:C205">IF(B205="","",IFERROR(INDEX('CLM &amp; IM Mapping'!$B$2:$B$270,MATCH(TRIM(B205),'CLM &amp; IM Mapping'!$A$2:$A$270,0)),"Not Mapped"))</f>
        <v>Arun Raj</v>
      </c>
      <c r="D205" s="67" t="str">
        <f aca="false" t="array" ref="D205:D205">IF(B205="","",IFERROR(INDEX('CLM &amp; IM Mapping'!$C$2:$C$270,MATCH(TRIM(B205),'CLM &amp; IM Mapping'!$A$2:$A$270,0)),"Not Mapped"))</f>
        <v>Simon Manoharan</v>
      </c>
      <c r="E205" s="66" t="n">
        <v>555</v>
      </c>
      <c r="F205" s="66" t="n">
        <v>0</v>
      </c>
      <c r="G205" s="66" t="n">
        <v>555</v>
      </c>
      <c r="H205" s="66" t="n">
        <v>0</v>
      </c>
      <c r="I205" s="66" t="n">
        <v>0</v>
      </c>
      <c r="J205" s="66" t="n">
        <v>0</v>
      </c>
      <c r="K205" s="66" t="n">
        <v>0</v>
      </c>
      <c r="L205" s="66" t="n">
        <v>0</v>
      </c>
      <c r="M205" s="44"/>
      <c r="N205" s="44"/>
      <c r="O205" s="72"/>
      <c r="P205" s="67"/>
      <c r="Q205" s="64"/>
      <c r="R205" s="64"/>
      <c r="S205" s="64"/>
      <c r="T205" s="64"/>
      <c r="U205" s="64"/>
      <c r="V205" s="64"/>
      <c r="W205" s="64"/>
      <c r="X205" s="64"/>
      <c r="Y205" s="64"/>
      <c r="Z205" s="64"/>
      <c r="AA205" s="64"/>
    </row>
    <row r="206" customFormat="false" ht="15" hidden="false" customHeight="false" outlineLevel="0" collapsed="false">
      <c r="A206" s="65" t="n">
        <v>46303</v>
      </c>
      <c r="B206" s="66" t="s">
        <v>229</v>
      </c>
      <c r="C206" s="67" t="str">
        <f aca="false" t="array" ref="C206:C206">IF(B206="","",IFERROR(INDEX('CLM &amp; IM Mapping'!$B$2:$B$270,MATCH(TRIM(B206),'CLM &amp; IM Mapping'!$A$2:$A$270,0)),"Not Mapped"))</f>
        <v>Arun Raj</v>
      </c>
      <c r="D206" s="67" t="str">
        <f aca="false" t="array" ref="D206:D206">IF(B206="","",IFERROR(INDEX('CLM &amp; IM Mapping'!$C$2:$C$270,MATCH(TRIM(B206),'CLM &amp; IM Mapping'!$A$2:$A$270,0)),"Not Mapped"))</f>
        <v>Simon Manoharan</v>
      </c>
      <c r="E206" s="66" t="n">
        <v>339</v>
      </c>
      <c r="F206" s="66" t="n">
        <v>0</v>
      </c>
      <c r="G206" s="66" t="n">
        <v>0</v>
      </c>
      <c r="H206" s="66" t="n">
        <v>339</v>
      </c>
      <c r="I206" s="66" t="n">
        <v>0</v>
      </c>
      <c r="J206" s="66" t="n">
        <v>0</v>
      </c>
      <c r="K206" s="66" t="n">
        <v>0</v>
      </c>
      <c r="L206" s="66" t="n">
        <v>0</v>
      </c>
      <c r="M206" s="44"/>
      <c r="N206" s="44"/>
      <c r="O206" s="72"/>
      <c r="P206" s="67"/>
      <c r="Q206" s="64"/>
      <c r="R206" s="64"/>
      <c r="S206" s="64"/>
      <c r="T206" s="64"/>
      <c r="U206" s="64"/>
      <c r="V206" s="64"/>
      <c r="W206" s="64"/>
      <c r="X206" s="64"/>
      <c r="Y206" s="64"/>
      <c r="Z206" s="64"/>
      <c r="AA206" s="64"/>
    </row>
    <row r="207" customFormat="false" ht="15" hidden="false" customHeight="false" outlineLevel="0" collapsed="false">
      <c r="A207" s="65" t="n">
        <v>46303</v>
      </c>
      <c r="B207" s="66" t="s">
        <v>272</v>
      </c>
      <c r="C207" s="67" t="str">
        <f aca="false" t="array" ref="C207:C207">IF(B207="","",IFERROR(INDEX('CLM &amp; IM Mapping'!$B$2:$B$270,MATCH(TRIM(B207),'CLM &amp; IM Mapping'!$A$2:$A$270,0)),"Not Mapped"))</f>
        <v>Arun Raj</v>
      </c>
      <c r="D207" s="67" t="str">
        <f aca="false" t="array" ref="D207:D207">IF(B207="","",IFERROR(INDEX('CLM &amp; IM Mapping'!$C$2:$C$270,MATCH(TRIM(B207),'CLM &amp; IM Mapping'!$A$2:$A$270,0)),"Not Mapped"))</f>
        <v>Simon Manoharan</v>
      </c>
      <c r="E207" s="66" t="n">
        <v>0</v>
      </c>
      <c r="F207" s="66" t="n">
        <v>0</v>
      </c>
      <c r="G207" s="66" t="n">
        <v>0</v>
      </c>
      <c r="H207" s="66" t="n">
        <v>0</v>
      </c>
      <c r="I207" s="66" t="n">
        <v>0</v>
      </c>
      <c r="J207" s="66" t="n">
        <v>0</v>
      </c>
      <c r="K207" s="66" t="n">
        <v>0</v>
      </c>
      <c r="L207" s="66" t="n">
        <v>0</v>
      </c>
      <c r="M207" s="44"/>
      <c r="N207" s="44"/>
      <c r="O207" s="72"/>
      <c r="P207" s="67"/>
      <c r="Q207" s="64"/>
      <c r="R207" s="64"/>
      <c r="S207" s="64"/>
      <c r="T207" s="64"/>
      <c r="U207" s="64"/>
      <c r="V207" s="64"/>
      <c r="W207" s="64"/>
      <c r="X207" s="64"/>
      <c r="Y207" s="64"/>
      <c r="Z207" s="64"/>
      <c r="AA207" s="64"/>
    </row>
    <row r="208" customFormat="false" ht="15" hidden="false" customHeight="false" outlineLevel="0" collapsed="false">
      <c r="A208" s="65" t="n">
        <v>46303</v>
      </c>
      <c r="B208" s="66" t="s">
        <v>402</v>
      </c>
      <c r="C208" s="67" t="str">
        <f aca="false" t="array" ref="C208:C208">IF(B208="","",IFERROR(INDEX('CLM &amp; IM Mapping'!$B$2:$B$270,MATCH(TRIM(B208),'CLM &amp; IM Mapping'!$A$2:$A$270,0)),"Not Mapped"))</f>
        <v>Narasimhamurthy R</v>
      </c>
      <c r="D208" s="67" t="str">
        <f aca="false" t="array" ref="D208:D208">IF(B208="","",IFERROR(INDEX('CLM &amp; IM Mapping'!$C$2:$C$270,MATCH(TRIM(B208),'CLM &amp; IM Mapping'!$A$2:$A$270,0)),"Not Mapped"))</f>
        <v>Kishor K</v>
      </c>
      <c r="E208" s="66" t="n">
        <v>3983</v>
      </c>
      <c r="F208" s="66" t="n">
        <v>3112</v>
      </c>
      <c r="G208" s="66" t="n">
        <v>871</v>
      </c>
      <c r="H208" s="66" t="n">
        <v>0</v>
      </c>
      <c r="I208" s="66" t="n">
        <v>0</v>
      </c>
      <c r="J208" s="66" t="n">
        <v>0</v>
      </c>
      <c r="K208" s="66" t="n">
        <v>0</v>
      </c>
      <c r="L208" s="66" t="n">
        <v>0</v>
      </c>
      <c r="M208" s="44"/>
      <c r="N208" s="44"/>
      <c r="O208" s="72"/>
      <c r="P208" s="67"/>
      <c r="Q208" s="64"/>
      <c r="R208" s="64"/>
      <c r="S208" s="64"/>
      <c r="T208" s="64"/>
      <c r="U208" s="64"/>
      <c r="V208" s="64"/>
      <c r="W208" s="64"/>
      <c r="X208" s="64"/>
      <c r="Y208" s="64"/>
      <c r="Z208" s="64"/>
      <c r="AA208" s="64"/>
    </row>
    <row r="209" customFormat="false" ht="15" hidden="false" customHeight="false" outlineLevel="0" collapsed="false">
      <c r="A209" s="65" t="n">
        <v>46303</v>
      </c>
      <c r="B209" s="66" t="s">
        <v>175</v>
      </c>
      <c r="C209" s="67" t="str">
        <f aca="false" t="array" ref="C209:C209">IF(B209="","",IFERROR(INDEX('CLM &amp; IM Mapping'!$B$2:$B$270,MATCH(TRIM(B209),'CLM &amp; IM Mapping'!$A$2:$A$270,0)),"Not Mapped"))</f>
        <v>Arun Raj</v>
      </c>
      <c r="D209" s="67" t="str">
        <f aca="false" t="array" ref="D209:D209">IF(B209="","",IFERROR(INDEX('CLM &amp; IM Mapping'!$C$2:$C$270,MATCH(TRIM(B209),'CLM &amp; IM Mapping'!$A$2:$A$270,0)),"Not Mapped"))</f>
        <v>Simon Manoharan</v>
      </c>
      <c r="E209" s="66" t="n">
        <v>869</v>
      </c>
      <c r="F209" s="66" t="n">
        <v>0</v>
      </c>
      <c r="G209" s="66" t="n">
        <v>0</v>
      </c>
      <c r="H209" s="66" t="n">
        <v>869</v>
      </c>
      <c r="I209" s="66" t="n">
        <v>0</v>
      </c>
      <c r="J209" s="66" t="n">
        <v>0</v>
      </c>
      <c r="K209" s="66" t="n">
        <v>0</v>
      </c>
      <c r="L209" s="66" t="n">
        <v>0</v>
      </c>
      <c r="M209" s="44"/>
      <c r="N209" s="44"/>
      <c r="O209" s="72"/>
      <c r="P209" s="67"/>
      <c r="Q209" s="64"/>
      <c r="R209" s="64"/>
      <c r="S209" s="64"/>
      <c r="T209" s="64"/>
      <c r="U209" s="64"/>
      <c r="V209" s="64"/>
      <c r="W209" s="64"/>
      <c r="X209" s="64"/>
      <c r="Y209" s="64"/>
      <c r="Z209" s="64"/>
      <c r="AA209" s="64"/>
    </row>
    <row r="210" customFormat="false" ht="15" hidden="false" customHeight="false" outlineLevel="0" collapsed="false">
      <c r="A210" s="65" t="n">
        <v>46303</v>
      </c>
      <c r="B210" s="66" t="s">
        <v>449</v>
      </c>
      <c r="C210" s="67" t="str">
        <f aca="false" t="array" ref="C210:C210">IF(B210="","",IFERROR(INDEX('CLM &amp; IM Mapping'!$B$2:$B$270,MATCH(TRIM(B210),'CLM &amp; IM Mapping'!$A$2:$A$270,0)),"Not Mapped"))</f>
        <v>Manjunatha V</v>
      </c>
      <c r="D210" s="67" t="str">
        <f aca="false" t="array" ref="D210:D210">IF(B210="","",IFERROR(INDEX('CLM &amp; IM Mapping'!$C$2:$C$270,MATCH(TRIM(B210),'CLM &amp; IM Mapping'!$A$2:$A$270,0)),"Not Mapped"))</f>
        <v>Un Mapped</v>
      </c>
      <c r="E210" s="66" t="n">
        <v>4247</v>
      </c>
      <c r="F210" s="66" t="n">
        <v>4245</v>
      </c>
      <c r="G210" s="66" t="n">
        <v>2</v>
      </c>
      <c r="H210" s="66" t="n">
        <v>0</v>
      </c>
      <c r="I210" s="66" t="n">
        <v>0</v>
      </c>
      <c r="J210" s="66" t="n">
        <v>0</v>
      </c>
      <c r="K210" s="66" t="n">
        <v>0</v>
      </c>
      <c r="L210" s="66" t="n">
        <v>0</v>
      </c>
      <c r="M210" s="44"/>
      <c r="N210" s="44"/>
      <c r="O210" s="72"/>
      <c r="P210" s="67"/>
      <c r="Q210" s="64"/>
      <c r="R210" s="64"/>
      <c r="S210" s="64"/>
      <c r="T210" s="64"/>
      <c r="U210" s="64"/>
      <c r="V210" s="64"/>
      <c r="W210" s="64"/>
      <c r="X210" s="64"/>
      <c r="Y210" s="64"/>
      <c r="Z210" s="64"/>
      <c r="AA210" s="64"/>
    </row>
    <row r="211" customFormat="false" ht="15" hidden="false" customHeight="false" outlineLevel="0" collapsed="false">
      <c r="A211" s="65" t="n">
        <v>46303</v>
      </c>
      <c r="B211" s="66" t="s">
        <v>100</v>
      </c>
      <c r="C211" s="67" t="str">
        <f aca="false" t="array" ref="C211:C211">IF(B211="","",IFERROR(INDEX('CLM &amp; IM Mapping'!$B$2:$B$270,MATCH(TRIM(B211),'CLM &amp; IM Mapping'!$A$2:$A$270,0)),"Not Mapped"))</f>
        <v>Sundaresh S</v>
      </c>
      <c r="D211" s="67" t="str">
        <f aca="false" t="array" ref="D211:D211">IF(B211="","",IFERROR(INDEX('CLM &amp; IM Mapping'!$C$2:$C$270,MATCH(TRIM(B211),'CLM &amp; IM Mapping'!$A$2:$A$270,0)),"Not Mapped"))</f>
        <v>Un Mapped</v>
      </c>
      <c r="E211" s="66" t="n">
        <v>5704</v>
      </c>
      <c r="F211" s="66" t="n">
        <v>0</v>
      </c>
      <c r="G211" s="66" t="n">
        <v>5704</v>
      </c>
      <c r="H211" s="66" t="n">
        <v>0</v>
      </c>
      <c r="I211" s="66" t="n">
        <v>0</v>
      </c>
      <c r="J211" s="66" t="n">
        <v>0</v>
      </c>
      <c r="K211" s="66" t="n">
        <v>0</v>
      </c>
      <c r="L211" s="66" t="n">
        <v>0</v>
      </c>
      <c r="M211" s="44"/>
      <c r="N211" s="44"/>
      <c r="O211" s="72"/>
      <c r="P211" s="67"/>
      <c r="Q211" s="64"/>
      <c r="R211" s="64"/>
      <c r="S211" s="64"/>
      <c r="T211" s="64"/>
      <c r="U211" s="64"/>
      <c r="V211" s="64"/>
      <c r="W211" s="64"/>
      <c r="X211" s="64"/>
      <c r="Y211" s="64"/>
      <c r="Z211" s="64"/>
      <c r="AA211" s="64"/>
    </row>
    <row r="212" customFormat="false" ht="15" hidden="false" customHeight="false" outlineLevel="0" collapsed="false">
      <c r="A212" s="65" t="n">
        <v>46303</v>
      </c>
      <c r="B212" s="66" t="s">
        <v>524</v>
      </c>
      <c r="C212" s="67" t="str">
        <f aca="false" t="array" ref="C212:C212">IF(B212="","",IFERROR(INDEX('CLM &amp; IM Mapping'!$B$2:$B$270,MATCH(TRIM(B212),'CLM &amp; IM Mapping'!$A$2:$A$270,0)),"Not Mapped"))</f>
        <v>Balaji G</v>
      </c>
      <c r="D212" s="67" t="str">
        <f aca="false" t="array" ref="D212:D212">IF(B212="","",IFERROR(INDEX('CLM &amp; IM Mapping'!$C$2:$C$270,MATCH(TRIM(B212),'CLM &amp; IM Mapping'!$A$2:$A$270,0)),"Not Mapped"))</f>
        <v>Mohammed Akbar</v>
      </c>
      <c r="E212" s="66" t="n">
        <v>365</v>
      </c>
      <c r="F212" s="66" t="n">
        <v>365</v>
      </c>
      <c r="G212" s="66" t="n">
        <v>0</v>
      </c>
      <c r="H212" s="66" t="n">
        <v>0</v>
      </c>
      <c r="I212" s="66" t="n">
        <v>0</v>
      </c>
      <c r="J212" s="66" t="n">
        <v>0</v>
      </c>
      <c r="K212" s="66" t="n">
        <v>0</v>
      </c>
      <c r="L212" s="66" t="n">
        <v>0</v>
      </c>
      <c r="M212" s="44"/>
      <c r="N212" s="44"/>
      <c r="O212" s="72"/>
      <c r="P212" s="67"/>
      <c r="Q212" s="64"/>
      <c r="R212" s="64"/>
      <c r="S212" s="64"/>
      <c r="T212" s="64"/>
      <c r="U212" s="64"/>
      <c r="V212" s="64"/>
      <c r="W212" s="64"/>
      <c r="X212" s="64"/>
      <c r="Y212" s="64"/>
      <c r="Z212" s="64"/>
      <c r="AA212" s="64"/>
    </row>
    <row r="213" customFormat="false" ht="15" hidden="false" customHeight="false" outlineLevel="0" collapsed="false">
      <c r="A213" s="65" t="n">
        <v>46303</v>
      </c>
      <c r="B213" s="66" t="s">
        <v>474</v>
      </c>
      <c r="C213" s="67" t="str">
        <f aca="false" t="array" ref="C213:C213">IF(B213="","",IFERROR(INDEX('CLM &amp; IM Mapping'!$B$2:$B$270,MATCH(TRIM(B213),'CLM &amp; IM Mapping'!$A$2:$A$270,0)),"Not Mapped"))</f>
        <v>Silambarasan E</v>
      </c>
      <c r="D213" s="67" t="str">
        <f aca="false" t="array" ref="D213:D213">IF(B213="","",IFERROR(INDEX('CLM &amp; IM Mapping'!$C$2:$C$270,MATCH(TRIM(B213),'CLM &amp; IM Mapping'!$A$2:$A$270,0)),"Not Mapped"))</f>
        <v>Arivind S</v>
      </c>
      <c r="E213" s="66" t="n">
        <v>21</v>
      </c>
      <c r="F213" s="66" t="n">
        <v>21</v>
      </c>
      <c r="G213" s="66" t="n">
        <v>0</v>
      </c>
      <c r="H213" s="66" t="n">
        <v>0</v>
      </c>
      <c r="I213" s="66" t="n">
        <v>0</v>
      </c>
      <c r="J213" s="66" t="n">
        <v>0</v>
      </c>
      <c r="K213" s="66" t="n">
        <v>0</v>
      </c>
      <c r="L213" s="66" t="n">
        <v>0</v>
      </c>
      <c r="M213" s="44"/>
      <c r="N213" s="44"/>
      <c r="O213" s="72"/>
      <c r="P213" s="67"/>
      <c r="Q213" s="64"/>
      <c r="R213" s="64"/>
      <c r="S213" s="64"/>
      <c r="T213" s="64"/>
      <c r="U213" s="64"/>
      <c r="V213" s="64"/>
      <c r="W213" s="64"/>
      <c r="X213" s="64"/>
      <c r="Y213" s="64"/>
      <c r="Z213" s="64"/>
      <c r="AA213" s="64"/>
    </row>
    <row r="214" customFormat="false" ht="15" hidden="false" customHeight="false" outlineLevel="0" collapsed="false">
      <c r="A214" s="65" t="n">
        <v>46303</v>
      </c>
      <c r="B214" s="66" t="s">
        <v>392</v>
      </c>
      <c r="C214" s="67" t="str">
        <f aca="false" t="array" ref="C214:C214">IF(B214="","",IFERROR(INDEX('CLM &amp; IM Mapping'!$B$2:$B$270,MATCH(TRIM(B214),'CLM &amp; IM Mapping'!$A$2:$A$270,0)),"Not Mapped"))</f>
        <v>Balaji G</v>
      </c>
      <c r="D214" s="67" t="str">
        <f aca="false" t="array" ref="D214:D214">IF(B214="","",IFERROR(INDEX('CLM &amp; IM Mapping'!$C$2:$C$270,MATCH(TRIM(B214),'CLM &amp; IM Mapping'!$A$2:$A$270,0)),"Not Mapped"))</f>
        <v>Mohammed Akbar</v>
      </c>
      <c r="E214" s="66" t="n">
        <v>0</v>
      </c>
      <c r="F214" s="66" t="n">
        <v>0</v>
      </c>
      <c r="G214" s="66" t="n">
        <v>0</v>
      </c>
      <c r="H214" s="66" t="n">
        <v>0</v>
      </c>
      <c r="I214" s="66" t="n">
        <v>0</v>
      </c>
      <c r="J214" s="66" t="n">
        <v>0</v>
      </c>
      <c r="K214" s="66" t="n">
        <v>0</v>
      </c>
      <c r="L214" s="66" t="n">
        <v>0</v>
      </c>
      <c r="M214" s="44"/>
      <c r="N214" s="44"/>
      <c r="O214" s="72"/>
      <c r="P214" s="67"/>
      <c r="Q214" s="64"/>
      <c r="R214" s="64"/>
      <c r="S214" s="64"/>
      <c r="T214" s="64"/>
      <c r="U214" s="64"/>
      <c r="V214" s="64"/>
      <c r="W214" s="64"/>
      <c r="X214" s="64"/>
      <c r="Y214" s="64"/>
      <c r="Z214" s="64"/>
      <c r="AA214" s="64"/>
    </row>
    <row r="215" customFormat="false" ht="15" hidden="false" customHeight="false" outlineLevel="0" collapsed="false">
      <c r="A215" s="65" t="n">
        <v>46303</v>
      </c>
      <c r="B215" s="66" t="s">
        <v>423</v>
      </c>
      <c r="C215" s="67" t="str">
        <f aca="false" t="array" ref="C215:C215">IF(B215="","",IFERROR(INDEX('CLM &amp; IM Mapping'!$B$2:$B$270,MATCH(TRIM(B215),'CLM &amp; IM Mapping'!$A$2:$A$270,0)),"Not Mapped"))</f>
        <v>Ashwath S</v>
      </c>
      <c r="D215" s="67" t="str">
        <f aca="false" t="array" ref="D215:D215">IF(B215="","",IFERROR(INDEX('CLM &amp; IM Mapping'!$C$2:$C$270,MATCH(TRIM(B215),'CLM &amp; IM Mapping'!$A$2:$A$270,0)),"Not Mapped"))</f>
        <v>Kantha Kumar</v>
      </c>
      <c r="E215" s="66" t="n">
        <v>0</v>
      </c>
      <c r="F215" s="66" t="n">
        <v>0</v>
      </c>
      <c r="G215" s="66" t="n">
        <v>0</v>
      </c>
      <c r="H215" s="66" t="n">
        <v>0</v>
      </c>
      <c r="I215" s="66" t="n">
        <v>0</v>
      </c>
      <c r="J215" s="66" t="n">
        <v>0</v>
      </c>
      <c r="K215" s="66" t="n">
        <v>0</v>
      </c>
      <c r="L215" s="66" t="n">
        <v>0</v>
      </c>
      <c r="M215" s="44"/>
      <c r="N215" s="44"/>
      <c r="O215" s="72"/>
      <c r="P215" s="67"/>
      <c r="Q215" s="64"/>
      <c r="R215" s="64"/>
      <c r="S215" s="64"/>
      <c r="T215" s="64"/>
      <c r="U215" s="64"/>
      <c r="V215" s="64"/>
      <c r="W215" s="64"/>
      <c r="X215" s="64"/>
      <c r="Y215" s="64"/>
      <c r="Z215" s="64"/>
      <c r="AA215" s="64"/>
    </row>
    <row r="216" customFormat="false" ht="15" hidden="false" customHeight="false" outlineLevel="0" collapsed="false">
      <c r="A216" s="65" t="n">
        <v>46303</v>
      </c>
      <c r="B216" s="66" t="s">
        <v>33</v>
      </c>
      <c r="C216" s="67" t="str">
        <f aca="false" t="array" ref="C216:C216">IF(B216="","",IFERROR(INDEX('CLM &amp; IM Mapping'!$B$2:$B$270,MATCH(TRIM(B216),'CLM &amp; IM Mapping'!$A$2:$A$270,0)),"Not Mapped"))</f>
        <v>Manoj Kj</v>
      </c>
      <c r="D216" s="67" t="str">
        <f aca="false" t="array" ref="D216:D216">IF(B216="","",IFERROR(INDEX('CLM &amp; IM Mapping'!$C$2:$C$270,MATCH(TRIM(B216),'CLM &amp; IM Mapping'!$A$2:$A$270,0)),"Not Mapped"))</f>
        <v>Srittam Dhal</v>
      </c>
      <c r="E216" s="66" t="n">
        <v>0</v>
      </c>
      <c r="F216" s="66" t="n">
        <v>0</v>
      </c>
      <c r="G216" s="66" t="n">
        <v>0</v>
      </c>
      <c r="H216" s="66" t="n">
        <v>0</v>
      </c>
      <c r="I216" s="66" t="n">
        <v>0</v>
      </c>
      <c r="J216" s="66" t="n">
        <v>0</v>
      </c>
      <c r="K216" s="66" t="n">
        <v>0</v>
      </c>
      <c r="L216" s="66" t="n">
        <v>0</v>
      </c>
      <c r="M216" s="44"/>
      <c r="N216" s="44"/>
      <c r="O216" s="72"/>
      <c r="P216" s="67"/>
      <c r="Q216" s="64"/>
      <c r="R216" s="64"/>
      <c r="S216" s="64"/>
      <c r="T216" s="64"/>
      <c r="U216" s="64"/>
      <c r="V216" s="64"/>
      <c r="W216" s="64"/>
      <c r="X216" s="64"/>
      <c r="Y216" s="64"/>
      <c r="Z216" s="64"/>
      <c r="AA216" s="64"/>
    </row>
    <row r="217" customFormat="false" ht="15" hidden="false" customHeight="false" outlineLevel="0" collapsed="false">
      <c r="A217" s="65" t="n">
        <v>46303</v>
      </c>
      <c r="B217" s="66" t="s">
        <v>259</v>
      </c>
      <c r="C217" s="67" t="str">
        <f aca="false" t="array" ref="C217:C217">IF(B217="","",IFERROR(INDEX('CLM &amp; IM Mapping'!$B$2:$B$270,MATCH(TRIM(B217),'CLM &amp; IM Mapping'!$A$2:$A$270,0)),"Not Mapped"))</f>
        <v>Raghavendra Vernekar</v>
      </c>
      <c r="D217" s="67" t="str">
        <f aca="false" t="array" ref="D217:D217">IF(B217="","",IFERROR(INDEX('CLM &amp; IM Mapping'!$C$2:$C$270,MATCH(TRIM(B217),'CLM &amp; IM Mapping'!$A$2:$A$270,0)),"Not Mapped"))</f>
        <v>Prakash BS</v>
      </c>
      <c r="E217" s="66" t="n">
        <v>1352</v>
      </c>
      <c r="F217" s="66" t="n">
        <v>0</v>
      </c>
      <c r="G217" s="66" t="n">
        <v>1352</v>
      </c>
      <c r="H217" s="66" t="n">
        <v>0</v>
      </c>
      <c r="I217" s="66" t="n">
        <v>0</v>
      </c>
      <c r="J217" s="66" t="n">
        <v>0</v>
      </c>
      <c r="K217" s="66" t="n">
        <v>0</v>
      </c>
      <c r="L217" s="66" t="n">
        <v>0</v>
      </c>
      <c r="M217" s="44"/>
      <c r="N217" s="44"/>
      <c r="O217" s="72"/>
      <c r="P217" s="67"/>
      <c r="Q217" s="64"/>
      <c r="R217" s="64"/>
      <c r="S217" s="64"/>
      <c r="T217" s="64"/>
      <c r="U217" s="64"/>
      <c r="V217" s="64"/>
      <c r="W217" s="64"/>
      <c r="X217" s="64"/>
      <c r="Y217" s="64"/>
      <c r="Z217" s="64"/>
      <c r="AA217" s="64"/>
    </row>
    <row r="218" customFormat="false" ht="15" hidden="false" customHeight="false" outlineLevel="0" collapsed="false">
      <c r="A218" s="65" t="n">
        <v>46303</v>
      </c>
      <c r="B218" s="66" t="s">
        <v>416</v>
      </c>
      <c r="C218" s="67" t="str">
        <f aca="false" t="array" ref="C218:C218">IF(B218="","",IFERROR(INDEX('CLM &amp; IM Mapping'!$B$2:$B$270,MATCH(TRIM(B218),'CLM &amp; IM Mapping'!$A$2:$A$270,0)),"Not Mapped"))</f>
        <v>Girish N</v>
      </c>
      <c r="D218" s="67" t="str">
        <f aca="false" t="array" ref="D218:D218">IF(B218="","",IFERROR(INDEX('CLM &amp; IM Mapping'!$C$2:$C$270,MATCH(TRIM(B218),'CLM &amp; IM Mapping'!$A$2:$A$270,0)),"Not Mapped"))</f>
        <v>Un Mapped</v>
      </c>
      <c r="E218" s="66" t="n">
        <v>3443</v>
      </c>
      <c r="F218" s="66" t="n">
        <v>2591</v>
      </c>
      <c r="G218" s="66" t="n">
        <v>852</v>
      </c>
      <c r="H218" s="66" t="n">
        <v>0</v>
      </c>
      <c r="I218" s="66" t="n">
        <v>0</v>
      </c>
      <c r="J218" s="66" t="n">
        <v>0</v>
      </c>
      <c r="K218" s="66" t="n">
        <v>0</v>
      </c>
      <c r="L218" s="66" t="n">
        <v>0</v>
      </c>
      <c r="M218" s="44"/>
      <c r="N218" s="44"/>
      <c r="O218" s="72"/>
      <c r="P218" s="67"/>
      <c r="Q218" s="64"/>
      <c r="R218" s="64"/>
      <c r="S218" s="64"/>
      <c r="T218" s="64"/>
      <c r="U218" s="64"/>
      <c r="V218" s="64"/>
      <c r="W218" s="64"/>
      <c r="X218" s="64"/>
      <c r="Y218" s="64"/>
      <c r="Z218" s="64"/>
      <c r="AA218" s="64"/>
    </row>
    <row r="219" customFormat="false" ht="15" hidden="false" customHeight="false" outlineLevel="0" collapsed="false">
      <c r="A219" s="65" t="n">
        <v>46303</v>
      </c>
      <c r="B219" s="66" t="s">
        <v>334</v>
      </c>
      <c r="C219" s="67" t="str">
        <f aca="false" t="array" ref="C219:C219">IF(B219="","",IFERROR(INDEX('CLM &amp; IM Mapping'!$B$2:$B$270,MATCH(TRIM(B219),'CLM &amp; IM Mapping'!$A$2:$A$270,0)),"Not Mapped"))</f>
        <v>Akshay P</v>
      </c>
      <c r="D219" s="67" t="str">
        <f aca="false" t="array" ref="D219:D219">IF(B219="","",IFERROR(INDEX('CLM &amp; IM Mapping'!$C$2:$C$270,MATCH(TRIM(B219),'CLM &amp; IM Mapping'!$A$2:$A$270,0)),"Not Mapped"))</f>
        <v>Srittam Dhal</v>
      </c>
      <c r="E219" s="66" t="n">
        <v>0</v>
      </c>
      <c r="F219" s="66" t="n">
        <v>0</v>
      </c>
      <c r="G219" s="66" t="n">
        <v>0</v>
      </c>
      <c r="H219" s="66" t="n">
        <v>0</v>
      </c>
      <c r="I219" s="66" t="n">
        <v>0</v>
      </c>
      <c r="J219" s="66" t="n">
        <v>0</v>
      </c>
      <c r="K219" s="66" t="n">
        <v>0</v>
      </c>
      <c r="L219" s="66" t="n">
        <v>0</v>
      </c>
      <c r="M219" s="44"/>
      <c r="N219" s="44"/>
      <c r="O219" s="72"/>
      <c r="P219" s="67"/>
      <c r="Q219" s="64"/>
      <c r="R219" s="64"/>
      <c r="S219" s="64"/>
      <c r="T219" s="64"/>
      <c r="U219" s="64"/>
      <c r="V219" s="64"/>
      <c r="W219" s="64"/>
      <c r="X219" s="64"/>
      <c r="Y219" s="64"/>
      <c r="Z219" s="64"/>
      <c r="AA219" s="64"/>
    </row>
    <row r="220" customFormat="false" ht="15" hidden="false" customHeight="false" outlineLevel="0" collapsed="false">
      <c r="A220" s="65" t="n">
        <v>46303</v>
      </c>
      <c r="B220" s="66" t="s">
        <v>267</v>
      </c>
      <c r="C220" s="67" t="str">
        <f aca="false" t="array" ref="C220:C220">IF(B220="","",IFERROR(INDEX('CLM &amp; IM Mapping'!$B$2:$B$270,MATCH(TRIM(B220),'CLM &amp; IM Mapping'!$A$2:$A$270,0)),"Not Mapped"))</f>
        <v>Balaji G</v>
      </c>
      <c r="D220" s="67" t="str">
        <f aca="false" t="array" ref="D220:D220">IF(B220="","",IFERROR(INDEX('CLM &amp; IM Mapping'!$C$2:$C$270,MATCH(TRIM(B220),'CLM &amp; IM Mapping'!$A$2:$A$270,0)),"Not Mapped"))</f>
        <v>Mohammed Akbar</v>
      </c>
      <c r="E220" s="66" t="n">
        <v>0</v>
      </c>
      <c r="F220" s="66" t="n">
        <v>0</v>
      </c>
      <c r="G220" s="66" t="n">
        <v>0</v>
      </c>
      <c r="H220" s="66" t="n">
        <v>0</v>
      </c>
      <c r="I220" s="66" t="n">
        <v>0</v>
      </c>
      <c r="J220" s="66" t="n">
        <v>0</v>
      </c>
      <c r="K220" s="66" t="n">
        <v>0</v>
      </c>
      <c r="L220" s="66" t="n">
        <v>0</v>
      </c>
      <c r="M220" s="44"/>
      <c r="N220" s="44"/>
      <c r="O220" s="72"/>
      <c r="P220" s="67"/>
      <c r="Q220" s="64"/>
      <c r="R220" s="64"/>
      <c r="S220" s="64"/>
      <c r="T220" s="64"/>
      <c r="U220" s="64"/>
      <c r="V220" s="64"/>
      <c r="W220" s="64"/>
      <c r="X220" s="64"/>
      <c r="Y220" s="64"/>
      <c r="Z220" s="64"/>
      <c r="AA220" s="64"/>
    </row>
    <row r="221" customFormat="false" ht="15" hidden="false" customHeight="false" outlineLevel="0" collapsed="false">
      <c r="A221" s="65" t="n">
        <v>46303</v>
      </c>
      <c r="B221" s="66" t="s">
        <v>294</v>
      </c>
      <c r="C221" s="67" t="str">
        <f aca="false" t="array" ref="C221:C221">IF(B221="","",IFERROR(INDEX('CLM &amp; IM Mapping'!$B$2:$B$270,MATCH(TRIM(B221),'CLM &amp; IM Mapping'!$A$2:$A$270,0)),"Not Mapped"))</f>
        <v>Manoj Kj</v>
      </c>
      <c r="D221" s="67" t="str">
        <f aca="false" t="array" ref="D221:D221">IF(B221="","",IFERROR(INDEX('CLM &amp; IM Mapping'!$C$2:$C$270,MATCH(TRIM(B221),'CLM &amp; IM Mapping'!$A$2:$A$270,0)),"Not Mapped"))</f>
        <v>Srittam Dhal</v>
      </c>
      <c r="E221" s="66" t="n">
        <v>1951</v>
      </c>
      <c r="F221" s="66" t="n">
        <v>1951</v>
      </c>
      <c r="G221" s="66" t="n">
        <v>0</v>
      </c>
      <c r="H221" s="66" t="n">
        <v>0</v>
      </c>
      <c r="I221" s="66" t="n">
        <v>0</v>
      </c>
      <c r="J221" s="66" t="n">
        <v>0</v>
      </c>
      <c r="K221" s="66" t="n">
        <v>0</v>
      </c>
      <c r="L221" s="66" t="n">
        <v>0</v>
      </c>
      <c r="M221" s="44"/>
      <c r="N221" s="44"/>
      <c r="O221" s="72"/>
      <c r="P221" s="67"/>
      <c r="Q221" s="64"/>
      <c r="R221" s="64"/>
      <c r="S221" s="64"/>
      <c r="T221" s="64"/>
      <c r="U221" s="64"/>
      <c r="V221" s="64"/>
      <c r="W221" s="64"/>
      <c r="X221" s="64"/>
      <c r="Y221" s="64"/>
      <c r="Z221" s="64"/>
      <c r="AA221" s="64"/>
    </row>
    <row r="222" customFormat="false" ht="15" hidden="false" customHeight="false" outlineLevel="0" collapsed="false">
      <c r="A222" s="65" t="n">
        <v>46303</v>
      </c>
      <c r="B222" s="66" t="s">
        <v>427</v>
      </c>
      <c r="C222" s="67" t="str">
        <f aca="false" t="array" ref="C222:C222">IF(B222="","",IFERROR(INDEX('CLM &amp; IM Mapping'!$B$2:$B$270,MATCH(TRIM(B222),'CLM &amp; IM Mapping'!$A$2:$A$270,0)),"Not Mapped"))</f>
        <v>John Britto</v>
      </c>
      <c r="D222" s="67" t="str">
        <f aca="false" t="array" ref="D222:D222">IF(B222="","",IFERROR(INDEX('CLM &amp; IM Mapping'!$C$2:$C$270,MATCH(TRIM(B222),'CLM &amp; IM Mapping'!$A$2:$A$270,0)),"Not Mapped"))</f>
        <v>Aravind S</v>
      </c>
      <c r="E222" s="66" t="n">
        <v>0</v>
      </c>
      <c r="F222" s="66" t="n">
        <v>0</v>
      </c>
      <c r="G222" s="66" t="n">
        <v>0</v>
      </c>
      <c r="H222" s="66" t="n">
        <v>0</v>
      </c>
      <c r="I222" s="66" t="n">
        <v>0</v>
      </c>
      <c r="J222" s="66" t="n">
        <v>0</v>
      </c>
      <c r="K222" s="66" t="n">
        <v>0</v>
      </c>
      <c r="L222" s="66" t="n">
        <v>0</v>
      </c>
      <c r="M222" s="44"/>
      <c r="N222" s="44"/>
      <c r="O222" s="72"/>
      <c r="P222" s="67"/>
      <c r="Q222" s="64"/>
      <c r="R222" s="64"/>
      <c r="S222" s="64"/>
      <c r="T222" s="64"/>
      <c r="U222" s="64"/>
      <c r="V222" s="64"/>
      <c r="W222" s="64"/>
      <c r="X222" s="64"/>
      <c r="Y222" s="64"/>
      <c r="Z222" s="64"/>
      <c r="AA222" s="64"/>
    </row>
    <row r="223" customFormat="false" ht="15" hidden="false" customHeight="false" outlineLevel="0" collapsed="false">
      <c r="A223" s="65" t="n">
        <v>46303</v>
      </c>
      <c r="B223" s="66" t="s">
        <v>345</v>
      </c>
      <c r="C223" s="67" t="str">
        <f aca="false" t="array" ref="C223:C223">IF(B223="","",IFERROR(INDEX('CLM &amp; IM Mapping'!$B$2:$B$270,MATCH(TRIM(B223),'CLM &amp; IM Mapping'!$A$2:$A$270,0)),"Not Mapped"))</f>
        <v>John Britto</v>
      </c>
      <c r="D223" s="67" t="str">
        <f aca="false" t="array" ref="D223:D223">IF(B223="","",IFERROR(INDEX('CLM &amp; IM Mapping'!$C$2:$C$270,MATCH(TRIM(B223),'CLM &amp; IM Mapping'!$A$2:$A$270,0)),"Not Mapped"))</f>
        <v>Aravind S</v>
      </c>
      <c r="E223" s="66" t="n">
        <v>0</v>
      </c>
      <c r="F223" s="66" t="n">
        <v>0</v>
      </c>
      <c r="G223" s="66" t="n">
        <v>0</v>
      </c>
      <c r="H223" s="66" t="n">
        <v>0</v>
      </c>
      <c r="I223" s="66" t="n">
        <v>0</v>
      </c>
      <c r="J223" s="66" t="n">
        <v>0</v>
      </c>
      <c r="K223" s="66" t="n">
        <v>0</v>
      </c>
      <c r="L223" s="66" t="n">
        <v>0</v>
      </c>
      <c r="M223" s="44"/>
      <c r="N223" s="44"/>
      <c r="O223" s="72"/>
      <c r="P223" s="67"/>
      <c r="Q223" s="64"/>
      <c r="R223" s="64"/>
      <c r="S223" s="64"/>
      <c r="T223" s="64"/>
      <c r="U223" s="64"/>
      <c r="V223" s="64"/>
      <c r="W223" s="64"/>
      <c r="X223" s="64"/>
      <c r="Y223" s="64"/>
      <c r="Z223" s="64"/>
      <c r="AA223" s="64"/>
    </row>
    <row r="224" customFormat="false" ht="15" hidden="false" customHeight="false" outlineLevel="0" collapsed="false">
      <c r="A224" s="65" t="n">
        <v>46303</v>
      </c>
      <c r="B224" s="66" t="s">
        <v>475</v>
      </c>
      <c r="C224" s="67" t="str">
        <f aca="false" t="array" ref="C224:C224">IF(B224="","",IFERROR(INDEX('CLM &amp; IM Mapping'!$B$2:$B$270,MATCH(TRIM(B224),'CLM &amp; IM Mapping'!$A$2:$A$270,0)),"Not Mapped"))</f>
        <v>John Britto</v>
      </c>
      <c r="D224" s="67" t="str">
        <f aca="false" t="array" ref="D224:D224">IF(B224="","",IFERROR(INDEX('CLM &amp; IM Mapping'!$C$2:$C$270,MATCH(TRIM(B224),'CLM &amp; IM Mapping'!$A$2:$A$270,0)),"Not Mapped"))</f>
        <v>Aravind S</v>
      </c>
      <c r="E224" s="66" t="n">
        <v>0</v>
      </c>
      <c r="F224" s="66" t="n">
        <v>0</v>
      </c>
      <c r="G224" s="66" t="n">
        <v>0</v>
      </c>
      <c r="H224" s="66" t="n">
        <v>0</v>
      </c>
      <c r="I224" s="66" t="n">
        <v>0</v>
      </c>
      <c r="J224" s="66" t="n">
        <v>0</v>
      </c>
      <c r="K224" s="66" t="n">
        <v>0</v>
      </c>
      <c r="L224" s="66" t="n">
        <v>0</v>
      </c>
      <c r="M224" s="44"/>
      <c r="N224" s="44"/>
      <c r="O224" s="72"/>
      <c r="P224" s="67"/>
      <c r="Q224" s="64"/>
      <c r="R224" s="64"/>
      <c r="S224" s="64"/>
      <c r="T224" s="64"/>
      <c r="U224" s="64"/>
      <c r="V224" s="64"/>
      <c r="W224" s="64"/>
      <c r="X224" s="64"/>
      <c r="Y224" s="64"/>
      <c r="Z224" s="64"/>
      <c r="AA224" s="64"/>
    </row>
    <row r="225" customFormat="false" ht="15" hidden="false" customHeight="false" outlineLevel="0" collapsed="false">
      <c r="A225" s="65" t="n">
        <v>46303</v>
      </c>
      <c r="B225" s="66" t="s">
        <v>391</v>
      </c>
      <c r="C225" s="67" t="str">
        <f aca="false" t="array" ref="C225:C225">IF(B225="","",IFERROR(INDEX('CLM &amp; IM Mapping'!$B$2:$B$270,MATCH(TRIM(B225),'CLM &amp; IM Mapping'!$A$2:$A$270,0)),"Not Mapped"))</f>
        <v>John Britto</v>
      </c>
      <c r="D225" s="67" t="str">
        <f aca="false" t="array" ref="D225:D225">IF(B225="","",IFERROR(INDEX('CLM &amp; IM Mapping'!$C$2:$C$270,MATCH(TRIM(B225),'CLM &amp; IM Mapping'!$A$2:$A$270,0)),"Not Mapped"))</f>
        <v>Aravind S</v>
      </c>
      <c r="E225" s="66" t="n">
        <v>0</v>
      </c>
      <c r="F225" s="66" t="n">
        <v>0</v>
      </c>
      <c r="G225" s="66" t="n">
        <v>0</v>
      </c>
      <c r="H225" s="66" t="n">
        <v>0</v>
      </c>
      <c r="I225" s="66" t="n">
        <v>0</v>
      </c>
      <c r="J225" s="66" t="n">
        <v>0</v>
      </c>
      <c r="K225" s="66" t="n">
        <v>0</v>
      </c>
      <c r="L225" s="66" t="n">
        <v>0</v>
      </c>
      <c r="M225" s="44"/>
      <c r="N225" s="44"/>
      <c r="O225" s="72"/>
      <c r="P225" s="67"/>
      <c r="Q225" s="64"/>
      <c r="R225" s="64"/>
      <c r="S225" s="64"/>
      <c r="T225" s="64"/>
      <c r="U225" s="64"/>
      <c r="V225" s="64"/>
      <c r="W225" s="64"/>
      <c r="X225" s="64"/>
      <c r="Y225" s="64"/>
      <c r="Z225" s="64"/>
      <c r="AA225" s="64"/>
    </row>
    <row r="226" customFormat="false" ht="15" hidden="false" customHeight="false" outlineLevel="0" collapsed="false">
      <c r="A226" s="65" t="n">
        <v>46303</v>
      </c>
      <c r="B226" s="66" t="s">
        <v>319</v>
      </c>
      <c r="C226" s="67" t="str">
        <f aca="false" t="array" ref="C226:C226">IF(B226="","",IFERROR(INDEX('CLM &amp; IM Mapping'!$B$2:$B$270,MATCH(TRIM(B226),'CLM &amp; IM Mapping'!$A$2:$A$270,0)),"Not Mapped"))</f>
        <v>John Britto</v>
      </c>
      <c r="D226" s="67" t="str">
        <f aca="false" t="array" ref="D226:D226">IF(B226="","",IFERROR(INDEX('CLM &amp; IM Mapping'!$C$2:$C$270,MATCH(TRIM(B226),'CLM &amp; IM Mapping'!$A$2:$A$270,0)),"Not Mapped"))</f>
        <v>Aravind S</v>
      </c>
      <c r="E226" s="66" t="n">
        <v>0</v>
      </c>
      <c r="F226" s="66" t="n">
        <v>0</v>
      </c>
      <c r="G226" s="66" t="n">
        <v>0</v>
      </c>
      <c r="H226" s="66" t="n">
        <v>0</v>
      </c>
      <c r="I226" s="66" t="n">
        <v>0</v>
      </c>
      <c r="J226" s="66" t="n">
        <v>0</v>
      </c>
      <c r="K226" s="66" t="n">
        <v>0</v>
      </c>
      <c r="L226" s="66" t="n">
        <v>0</v>
      </c>
      <c r="M226" s="44"/>
      <c r="N226" s="44"/>
      <c r="O226" s="72"/>
      <c r="P226" s="67"/>
      <c r="Q226" s="64"/>
      <c r="R226" s="64"/>
      <c r="S226" s="64"/>
      <c r="T226" s="64"/>
      <c r="U226" s="64"/>
      <c r="V226" s="64"/>
      <c r="W226" s="64"/>
      <c r="X226" s="64"/>
      <c r="Y226" s="64"/>
      <c r="Z226" s="64"/>
      <c r="AA226" s="64"/>
    </row>
    <row r="227" customFormat="false" ht="15" hidden="false" customHeight="false" outlineLevel="0" collapsed="false">
      <c r="A227" s="65" t="n">
        <v>46303</v>
      </c>
      <c r="B227" s="66" t="s">
        <v>458</v>
      </c>
      <c r="C227" s="67" t="str">
        <f aca="false" t="array" ref="C227:C227">IF(B227="","",IFERROR(INDEX('CLM &amp; IM Mapping'!$B$2:$B$270,MATCH(TRIM(B227),'CLM &amp; IM Mapping'!$A$2:$A$270,0)),"Not Mapped"))</f>
        <v>John Britto</v>
      </c>
      <c r="D227" s="67" t="str">
        <f aca="false" t="array" ref="D227:D227">IF(B227="","",IFERROR(INDEX('CLM &amp; IM Mapping'!$C$2:$C$270,MATCH(TRIM(B227),'CLM &amp; IM Mapping'!$A$2:$A$270,0)),"Not Mapped"))</f>
        <v>Aravind S</v>
      </c>
      <c r="E227" s="66" t="n">
        <v>0</v>
      </c>
      <c r="F227" s="66" t="n">
        <v>0</v>
      </c>
      <c r="G227" s="66" t="n">
        <v>0</v>
      </c>
      <c r="H227" s="66" t="n">
        <v>0</v>
      </c>
      <c r="I227" s="66" t="n">
        <v>0</v>
      </c>
      <c r="J227" s="66" t="n">
        <v>0</v>
      </c>
      <c r="K227" s="66" t="n">
        <v>0</v>
      </c>
      <c r="L227" s="66" t="n">
        <v>0</v>
      </c>
      <c r="M227" s="44"/>
      <c r="N227" s="44"/>
      <c r="O227" s="72"/>
      <c r="P227" s="67"/>
      <c r="Q227" s="64"/>
      <c r="R227" s="64"/>
      <c r="S227" s="64"/>
      <c r="T227" s="64"/>
      <c r="U227" s="64"/>
      <c r="V227" s="64"/>
      <c r="W227" s="64"/>
      <c r="X227" s="64"/>
      <c r="Y227" s="64"/>
      <c r="Z227" s="64"/>
      <c r="AA227" s="64"/>
    </row>
    <row r="228" customFormat="false" ht="15" hidden="false" customHeight="false" outlineLevel="0" collapsed="false">
      <c r="A228" s="65" t="n">
        <v>46303</v>
      </c>
      <c r="B228" s="66" t="s">
        <v>447</v>
      </c>
      <c r="C228" s="67" t="str">
        <f aca="false" t="array" ref="C228:C228">IF(B228="","",IFERROR(INDEX('CLM &amp; IM Mapping'!$B$2:$B$270,MATCH(TRIM(B228),'CLM &amp; IM Mapping'!$A$2:$A$270,0)),"Not Mapped"))</f>
        <v>John Britto</v>
      </c>
      <c r="D228" s="67" t="str">
        <f aca="false" t="array" ref="D228:D228">IF(B228="","",IFERROR(INDEX('CLM &amp; IM Mapping'!$C$2:$C$270,MATCH(TRIM(B228),'CLM &amp; IM Mapping'!$A$2:$A$270,0)),"Not Mapped"))</f>
        <v>Aravind S</v>
      </c>
      <c r="E228" s="66" t="n">
        <v>0</v>
      </c>
      <c r="F228" s="66" t="n">
        <v>0</v>
      </c>
      <c r="G228" s="66" t="n">
        <v>0</v>
      </c>
      <c r="H228" s="66" t="n">
        <v>0</v>
      </c>
      <c r="I228" s="66" t="n">
        <v>0</v>
      </c>
      <c r="J228" s="66" t="n">
        <v>0</v>
      </c>
      <c r="K228" s="66" t="n">
        <v>0</v>
      </c>
      <c r="L228" s="66" t="n">
        <v>0</v>
      </c>
      <c r="M228" s="44"/>
      <c r="N228" s="44"/>
      <c r="O228" s="72"/>
      <c r="P228" s="67"/>
      <c r="Q228" s="64"/>
      <c r="R228" s="64"/>
      <c r="S228" s="64"/>
      <c r="T228" s="64"/>
      <c r="U228" s="64"/>
      <c r="V228" s="64"/>
      <c r="W228" s="64"/>
      <c r="X228" s="64"/>
      <c r="Y228" s="64"/>
      <c r="Z228" s="64"/>
      <c r="AA228" s="64"/>
    </row>
    <row r="229" customFormat="false" ht="15" hidden="false" customHeight="false" outlineLevel="0" collapsed="false">
      <c r="A229" s="65" t="n">
        <v>46303</v>
      </c>
      <c r="B229" s="66" t="s">
        <v>400</v>
      </c>
      <c r="C229" s="67" t="str">
        <f aca="false" t="array" ref="C229:C229">IF(B229="","",IFERROR(INDEX('CLM &amp; IM Mapping'!$B$2:$B$270,MATCH(TRIM(B229),'CLM &amp; IM Mapping'!$A$2:$A$270,0)),"Not Mapped"))</f>
        <v>Bangareppa CS</v>
      </c>
      <c r="D229" s="67" t="str">
        <f aca="false" t="array" ref="D229:D229">IF(B229="","",IFERROR(INDEX('CLM &amp; IM Mapping'!$C$2:$C$270,MATCH(TRIM(B229),'CLM &amp; IM Mapping'!$A$2:$A$270,0)),"Not Mapped"))</f>
        <v>Kishor K</v>
      </c>
      <c r="E229" s="66" t="n">
        <v>209</v>
      </c>
      <c r="F229" s="66" t="n">
        <v>82</v>
      </c>
      <c r="G229" s="66" t="n">
        <v>127</v>
      </c>
      <c r="H229" s="66" t="n">
        <v>0</v>
      </c>
      <c r="I229" s="66" t="n">
        <v>0</v>
      </c>
      <c r="J229" s="66" t="n">
        <v>0</v>
      </c>
      <c r="K229" s="66" t="n">
        <v>0</v>
      </c>
      <c r="L229" s="66" t="n">
        <v>0</v>
      </c>
      <c r="M229" s="44"/>
      <c r="N229" s="44"/>
      <c r="O229" s="72"/>
      <c r="P229" s="67"/>
      <c r="Q229" s="64"/>
      <c r="R229" s="64"/>
      <c r="S229" s="64"/>
      <c r="T229" s="64"/>
      <c r="U229" s="64"/>
      <c r="V229" s="64"/>
      <c r="W229" s="64"/>
      <c r="X229" s="64"/>
      <c r="Y229" s="64"/>
      <c r="Z229" s="64"/>
      <c r="AA229" s="64"/>
    </row>
    <row r="230" customFormat="false" ht="15" hidden="false" customHeight="false" outlineLevel="0" collapsed="false">
      <c r="A230" s="65" t="n">
        <v>46303</v>
      </c>
      <c r="B230" s="66" t="s">
        <v>395</v>
      </c>
      <c r="C230" s="67" t="str">
        <f aca="false" t="array" ref="C230:C230">IF(B230="","",IFERROR(INDEX('CLM &amp; IM Mapping'!$B$2:$B$270,MATCH(TRIM(B230),'CLM &amp; IM Mapping'!$A$2:$A$270,0)),"Not Mapped"))</f>
        <v>Bangareppa CS</v>
      </c>
      <c r="D230" s="67" t="str">
        <f aca="false" t="array" ref="D230:D230">IF(B230="","",IFERROR(INDEX('CLM &amp; IM Mapping'!$C$2:$C$270,MATCH(TRIM(B230),'CLM &amp; IM Mapping'!$A$2:$A$270,0)),"Not Mapped"))</f>
        <v>Kishor K</v>
      </c>
      <c r="E230" s="66" t="n">
        <v>39</v>
      </c>
      <c r="F230" s="66" t="n">
        <v>39</v>
      </c>
      <c r="G230" s="66" t="n">
        <v>0</v>
      </c>
      <c r="H230" s="66" t="n">
        <v>0</v>
      </c>
      <c r="I230" s="66" t="n">
        <v>0</v>
      </c>
      <c r="J230" s="66" t="n">
        <v>0</v>
      </c>
      <c r="K230" s="66" t="n">
        <v>0</v>
      </c>
      <c r="L230" s="66" t="n">
        <v>0</v>
      </c>
      <c r="M230" s="44"/>
      <c r="N230" s="44"/>
      <c r="O230" s="72"/>
      <c r="P230" s="67"/>
      <c r="Q230" s="64"/>
      <c r="R230" s="64"/>
      <c r="S230" s="64"/>
      <c r="T230" s="64"/>
      <c r="U230" s="64"/>
      <c r="V230" s="64"/>
      <c r="W230" s="64"/>
      <c r="X230" s="64"/>
      <c r="Y230" s="64"/>
      <c r="Z230" s="64"/>
      <c r="AA230" s="64"/>
    </row>
    <row r="231" customFormat="false" ht="15" hidden="false" customHeight="false" outlineLevel="0" collapsed="false">
      <c r="A231" s="65" t="n">
        <v>46303</v>
      </c>
      <c r="B231" s="66" t="s">
        <v>300</v>
      </c>
      <c r="C231" s="67" t="str">
        <f aca="false" t="array" ref="C231:C231">IF(B231="","",IFERROR(INDEX('CLM &amp; IM Mapping'!$B$2:$B$270,MATCH(TRIM(B231),'CLM &amp; IM Mapping'!$A$2:$A$270,0)),"Not Mapped"))</f>
        <v>Bangareppa CS</v>
      </c>
      <c r="D231" s="67" t="str">
        <f aca="false" t="array" ref="D231:D231">IF(B231="","",IFERROR(INDEX('CLM &amp; IM Mapping'!$C$2:$C$270,MATCH(TRIM(B231),'CLM &amp; IM Mapping'!$A$2:$A$270,0)),"Not Mapped"))</f>
        <v>Kishor K</v>
      </c>
      <c r="E231" s="66" t="n">
        <v>787</v>
      </c>
      <c r="F231" s="66" t="n">
        <v>8</v>
      </c>
      <c r="G231" s="66" t="n">
        <v>779</v>
      </c>
      <c r="H231" s="66" t="n">
        <v>0</v>
      </c>
      <c r="I231" s="66" t="n">
        <v>0</v>
      </c>
      <c r="J231" s="66" t="n">
        <v>0</v>
      </c>
      <c r="K231" s="66" t="n">
        <v>0</v>
      </c>
      <c r="L231" s="66" t="n">
        <v>0</v>
      </c>
      <c r="M231" s="44"/>
      <c r="N231" s="44"/>
      <c r="O231" s="72"/>
      <c r="P231" s="67"/>
      <c r="Q231" s="64"/>
      <c r="R231" s="64"/>
      <c r="S231" s="64"/>
      <c r="T231" s="64"/>
      <c r="U231" s="64"/>
      <c r="V231" s="64"/>
      <c r="W231" s="64"/>
      <c r="X231" s="64"/>
      <c r="Y231" s="64"/>
      <c r="Z231" s="64"/>
      <c r="AA231" s="64"/>
    </row>
    <row r="232" customFormat="false" ht="15" hidden="false" customHeight="false" outlineLevel="0" collapsed="false">
      <c r="A232" s="65" t="n">
        <v>46303</v>
      </c>
      <c r="B232" s="66" t="s">
        <v>213</v>
      </c>
      <c r="C232" s="67" t="str">
        <f aca="false" t="array" ref="C232:C232">IF(B232="","",IFERROR(INDEX('CLM &amp; IM Mapping'!$B$2:$B$270,MATCH(TRIM(B232),'CLM &amp; IM Mapping'!$A$2:$A$270,0)),"Not Mapped"))</f>
        <v>Bangareppa CS</v>
      </c>
      <c r="D232" s="67" t="str">
        <f aca="false" t="array" ref="D232:D232">IF(B232="","",IFERROR(INDEX('CLM &amp; IM Mapping'!$C$2:$C$270,MATCH(TRIM(B232),'CLM &amp; IM Mapping'!$A$2:$A$270,0)),"Not Mapped"))</f>
        <v>Kishor K</v>
      </c>
      <c r="E232" s="66" t="n">
        <v>20</v>
      </c>
      <c r="F232" s="66" t="n">
        <v>0</v>
      </c>
      <c r="G232" s="66" t="n">
        <v>20</v>
      </c>
      <c r="H232" s="66" t="n">
        <v>0</v>
      </c>
      <c r="I232" s="66" t="n">
        <v>0</v>
      </c>
      <c r="J232" s="66" t="n">
        <v>0</v>
      </c>
      <c r="K232" s="66" t="n">
        <v>0</v>
      </c>
      <c r="L232" s="66" t="n">
        <v>0</v>
      </c>
      <c r="M232" s="44"/>
      <c r="N232" s="44"/>
      <c r="O232" s="72"/>
      <c r="P232" s="67"/>
      <c r="Q232" s="64"/>
      <c r="R232" s="64"/>
      <c r="S232" s="64"/>
      <c r="T232" s="64"/>
      <c r="U232" s="64"/>
      <c r="V232" s="64"/>
      <c r="W232" s="64"/>
      <c r="X232" s="64"/>
      <c r="Y232" s="64"/>
      <c r="Z232" s="64"/>
      <c r="AA232" s="64"/>
    </row>
    <row r="233" customFormat="false" ht="15" hidden="false" customHeight="false" outlineLevel="0" collapsed="false">
      <c r="A233" s="65" t="n">
        <v>46303</v>
      </c>
      <c r="B233" s="66" t="s">
        <v>472</v>
      </c>
      <c r="C233" s="67" t="str">
        <f aca="false" t="array" ref="C233:C233">IF(B233="","",IFERROR(INDEX('CLM &amp; IM Mapping'!$B$2:$B$270,MATCH(TRIM(B233),'CLM &amp; IM Mapping'!$A$2:$A$270,0)),"Not Mapped"))</f>
        <v>Bangareppa CS</v>
      </c>
      <c r="D233" s="67" t="str">
        <f aca="false" t="array" ref="D233:D233">IF(B233="","",IFERROR(INDEX('CLM &amp; IM Mapping'!$C$2:$C$270,MATCH(TRIM(B233),'CLM &amp; IM Mapping'!$A$2:$A$270,0)),"Not Mapped"))</f>
        <v>Kishor K</v>
      </c>
      <c r="E233" s="66" t="n">
        <v>167</v>
      </c>
      <c r="F233" s="66" t="n">
        <v>0</v>
      </c>
      <c r="G233" s="66" t="n">
        <v>167</v>
      </c>
      <c r="H233" s="66" t="n">
        <v>0</v>
      </c>
      <c r="I233" s="66" t="n">
        <v>0</v>
      </c>
      <c r="J233" s="66" t="n">
        <v>0</v>
      </c>
      <c r="K233" s="66" t="n">
        <v>0</v>
      </c>
      <c r="L233" s="66" t="n">
        <v>0</v>
      </c>
      <c r="M233" s="44"/>
      <c r="N233" s="44"/>
      <c r="O233" s="72"/>
      <c r="P233" s="67"/>
      <c r="Q233" s="64"/>
      <c r="R233" s="64"/>
      <c r="S233" s="64"/>
      <c r="T233" s="64"/>
      <c r="U233" s="64"/>
      <c r="V233" s="64"/>
      <c r="W233" s="64"/>
      <c r="X233" s="64"/>
      <c r="Y233" s="64"/>
      <c r="Z233" s="64"/>
      <c r="AA233" s="64"/>
    </row>
    <row r="234" customFormat="false" ht="15" hidden="false" customHeight="false" outlineLevel="0" collapsed="false">
      <c r="A234" s="65" t="n">
        <v>46303</v>
      </c>
      <c r="B234" s="66" t="s">
        <v>440</v>
      </c>
      <c r="C234" s="67" t="str">
        <f aca="false" t="array" ref="C234:C234">IF(B234="","",IFERROR(INDEX('CLM &amp; IM Mapping'!$B$2:$B$270,MATCH(TRIM(B234),'CLM &amp; IM Mapping'!$A$2:$A$270,0)),"Not Mapped"))</f>
        <v>Bangareppa CS</v>
      </c>
      <c r="D234" s="67" t="str">
        <f aca="false" t="array" ref="D234:D234">IF(B234="","",IFERROR(INDEX('CLM &amp; IM Mapping'!$C$2:$C$270,MATCH(TRIM(B234),'CLM &amp; IM Mapping'!$A$2:$A$270,0)),"Not Mapped"))</f>
        <v>Kishor K</v>
      </c>
      <c r="E234" s="66" t="n">
        <v>0</v>
      </c>
      <c r="F234" s="66" t="n">
        <v>0</v>
      </c>
      <c r="G234" s="66" t="n">
        <v>0</v>
      </c>
      <c r="H234" s="66" t="n">
        <v>0</v>
      </c>
      <c r="I234" s="66" t="n">
        <v>0</v>
      </c>
      <c r="J234" s="66" t="n">
        <v>0</v>
      </c>
      <c r="K234" s="66" t="n">
        <v>0</v>
      </c>
      <c r="L234" s="66" t="n">
        <v>0</v>
      </c>
      <c r="M234" s="44"/>
      <c r="N234" s="44"/>
      <c r="O234" s="72"/>
      <c r="P234" s="67"/>
      <c r="Q234" s="64"/>
      <c r="R234" s="64"/>
      <c r="S234" s="64"/>
      <c r="T234" s="64"/>
      <c r="U234" s="64"/>
      <c r="V234" s="64"/>
      <c r="W234" s="64"/>
      <c r="X234" s="64"/>
      <c r="Y234" s="64"/>
      <c r="Z234" s="64"/>
      <c r="AA234" s="64"/>
    </row>
    <row r="235" customFormat="false" ht="15" hidden="false" customHeight="false" outlineLevel="0" collapsed="false">
      <c r="A235" s="65" t="n">
        <v>46303</v>
      </c>
      <c r="B235" s="66" t="s">
        <v>466</v>
      </c>
      <c r="C235" s="67" t="str">
        <f aca="false" t="array" ref="C235:C235">IF(B235="","",IFERROR(INDEX('CLM &amp; IM Mapping'!$B$2:$B$270,MATCH(TRIM(B235),'CLM &amp; IM Mapping'!$A$2:$A$270,0)),"Not Mapped"))</f>
        <v>Vishnu V</v>
      </c>
      <c r="D235" s="67" t="str">
        <f aca="false" t="array" ref="D235:D235">IF(B235="","",IFERROR(INDEX('CLM &amp; IM Mapping'!$C$2:$C$270,MATCH(TRIM(B235),'CLM &amp; IM Mapping'!$A$2:$A$270,0)),"Not Mapped"))</f>
        <v>Arivind S</v>
      </c>
      <c r="E235" s="66" t="n">
        <v>3599</v>
      </c>
      <c r="F235" s="66" t="n">
        <v>3562</v>
      </c>
      <c r="G235" s="66" t="n">
        <v>37</v>
      </c>
      <c r="H235" s="66" t="n">
        <v>0</v>
      </c>
      <c r="I235" s="66" t="n">
        <v>0</v>
      </c>
      <c r="J235" s="66" t="n">
        <v>0</v>
      </c>
      <c r="K235" s="66" t="n">
        <v>0</v>
      </c>
      <c r="L235" s="66" t="n">
        <v>0</v>
      </c>
      <c r="M235" s="44"/>
      <c r="N235" s="44"/>
      <c r="O235" s="72"/>
      <c r="P235" s="67"/>
      <c r="Q235" s="64"/>
      <c r="R235" s="64"/>
      <c r="S235" s="64"/>
      <c r="T235" s="64"/>
      <c r="U235" s="64"/>
      <c r="V235" s="64"/>
      <c r="W235" s="64"/>
      <c r="X235" s="64"/>
      <c r="Y235" s="64"/>
      <c r="Z235" s="64"/>
      <c r="AA235" s="64"/>
    </row>
    <row r="236" customFormat="false" ht="15" hidden="false" customHeight="false" outlineLevel="0" collapsed="false">
      <c r="A236" s="65" t="n">
        <v>46303</v>
      </c>
      <c r="B236" s="66" t="s">
        <v>224</v>
      </c>
      <c r="C236" s="67" t="str">
        <f aca="false" t="array" ref="C236:C236">IF(B236="","",IFERROR(INDEX('CLM &amp; IM Mapping'!$B$2:$B$270,MATCH(TRIM(B236),'CLM &amp; IM Mapping'!$A$2:$A$270,0)),"Not Mapped"))</f>
        <v>Vishnu V</v>
      </c>
      <c r="D236" s="67" t="str">
        <f aca="false" t="array" ref="D236:D236">IF(B236="","",IFERROR(INDEX('CLM &amp; IM Mapping'!$C$2:$C$270,MATCH(TRIM(B236),'CLM &amp; IM Mapping'!$A$2:$A$270,0)),"Not Mapped"))</f>
        <v>Arivind S</v>
      </c>
      <c r="E236" s="66" t="n">
        <v>0</v>
      </c>
      <c r="F236" s="66" t="n">
        <v>0</v>
      </c>
      <c r="G236" s="66" t="n">
        <v>0</v>
      </c>
      <c r="H236" s="66" t="n">
        <v>0</v>
      </c>
      <c r="I236" s="66" t="n">
        <v>0</v>
      </c>
      <c r="J236" s="66" t="n">
        <v>0</v>
      </c>
      <c r="K236" s="66" t="n">
        <v>0</v>
      </c>
      <c r="L236" s="66" t="n">
        <v>0</v>
      </c>
      <c r="M236" s="44"/>
      <c r="N236" s="44"/>
      <c r="O236" s="72"/>
      <c r="P236" s="67"/>
      <c r="Q236" s="64"/>
      <c r="R236" s="64"/>
      <c r="S236" s="64"/>
      <c r="T236" s="64"/>
      <c r="U236" s="64"/>
      <c r="V236" s="64"/>
      <c r="W236" s="64"/>
      <c r="X236" s="64"/>
      <c r="Y236" s="64"/>
      <c r="Z236" s="64"/>
      <c r="AA236" s="64"/>
    </row>
    <row r="237" customFormat="false" ht="15" hidden="false" customHeight="false" outlineLevel="0" collapsed="false">
      <c r="A237" s="65" t="n">
        <v>46303</v>
      </c>
      <c r="B237" s="67" t="s">
        <v>431</v>
      </c>
      <c r="C237" s="67" t="str">
        <f aca="false" t="array" ref="C237:C237">IF(B237="","",IFERROR(INDEX('CLM &amp; IM Mapping'!$B$2:$B$270,MATCH(TRIM(B237),'CLM &amp; IM Mapping'!$A$2:$A$270,0)),"Not Mapped"))</f>
        <v>Vishnu V</v>
      </c>
      <c r="D237" s="67" t="str">
        <f aca="false" t="array" ref="D237:D237">IF(B237="","",IFERROR(INDEX('CLM &amp; IM Mapping'!$C$2:$C$270,MATCH(TRIM(B237),'CLM &amp; IM Mapping'!$A$2:$A$270,0)),"Not Mapped"))</f>
        <v>Arivind S</v>
      </c>
      <c r="E237" s="66" t="n">
        <v>0</v>
      </c>
      <c r="F237" s="66" t="n">
        <v>0</v>
      </c>
      <c r="G237" s="66" t="n">
        <v>0</v>
      </c>
      <c r="H237" s="66" t="n">
        <v>0</v>
      </c>
      <c r="I237" s="66" t="n">
        <v>0</v>
      </c>
      <c r="J237" s="66" t="n">
        <v>0</v>
      </c>
      <c r="K237" s="66" t="n">
        <v>0</v>
      </c>
      <c r="L237" s="66" t="n">
        <v>0</v>
      </c>
      <c r="M237" s="44"/>
      <c r="N237" s="44"/>
      <c r="O237" s="72"/>
      <c r="P237" s="67"/>
      <c r="Q237" s="64"/>
      <c r="R237" s="64"/>
      <c r="S237" s="64"/>
      <c r="T237" s="64"/>
      <c r="U237" s="64"/>
      <c r="V237" s="64"/>
      <c r="W237" s="64"/>
      <c r="X237" s="64"/>
      <c r="Y237" s="64"/>
      <c r="Z237" s="64"/>
      <c r="AA237" s="64"/>
    </row>
    <row r="238" customFormat="false" ht="15" hidden="false" customHeight="false" outlineLevel="0" collapsed="false">
      <c r="A238" s="65" t="n">
        <v>46303</v>
      </c>
      <c r="B238" s="66" t="s">
        <v>274</v>
      </c>
      <c r="C238" s="67" t="str">
        <f aca="false" t="array" ref="C238:C238">IF(B238="","",IFERROR(INDEX('CLM &amp; IM Mapping'!$B$2:$B$270,MATCH(TRIM(B238),'CLM &amp; IM Mapping'!$A$2:$A$270,0)),"Not Mapped"))</f>
        <v>Vishnu V</v>
      </c>
      <c r="D238" s="67" t="str">
        <f aca="false" t="array" ref="D238:D238">IF(B238="","",IFERROR(INDEX('CLM &amp; IM Mapping'!$C$2:$C$270,MATCH(TRIM(B238),'CLM &amp; IM Mapping'!$A$2:$A$270,0)),"Not Mapped"))</f>
        <v>Arivind S</v>
      </c>
      <c r="E238" s="66" t="n">
        <v>0</v>
      </c>
      <c r="F238" s="66" t="n">
        <v>0</v>
      </c>
      <c r="G238" s="66" t="n">
        <v>0</v>
      </c>
      <c r="H238" s="66" t="n">
        <v>0</v>
      </c>
      <c r="I238" s="66" t="n">
        <v>0</v>
      </c>
      <c r="J238" s="66" t="n">
        <v>0</v>
      </c>
      <c r="K238" s="66" t="n">
        <v>0</v>
      </c>
      <c r="L238" s="66" t="n">
        <v>0</v>
      </c>
      <c r="M238" s="44"/>
      <c r="N238" s="44"/>
      <c r="O238" s="72"/>
      <c r="P238" s="67"/>
      <c r="Q238" s="64"/>
      <c r="R238" s="64"/>
      <c r="S238" s="64"/>
      <c r="T238" s="64"/>
      <c r="U238" s="64"/>
      <c r="V238" s="64"/>
      <c r="W238" s="64"/>
      <c r="X238" s="64"/>
      <c r="Y238" s="64"/>
      <c r="Z238" s="64"/>
      <c r="AA238" s="64"/>
    </row>
    <row r="239" customFormat="false" ht="15" hidden="false" customHeight="false" outlineLevel="0" collapsed="false">
      <c r="A239" s="65" t="n">
        <v>46303</v>
      </c>
      <c r="B239" s="66" t="s">
        <v>323</v>
      </c>
      <c r="C239" s="67" t="str">
        <f aca="false" t="array" ref="C239:C239">IF(B239="","",IFERROR(INDEX('CLM &amp; IM Mapping'!$B$2:$B$270,MATCH(TRIM(B239),'CLM &amp; IM Mapping'!$A$2:$A$270,0)),"Not Mapped"))</f>
        <v>Vishnu V</v>
      </c>
      <c r="D239" s="67" t="str">
        <f aca="false" t="array" ref="D239:D239">IF(B239="","",IFERROR(INDEX('CLM &amp; IM Mapping'!$C$2:$C$270,MATCH(TRIM(B239),'CLM &amp; IM Mapping'!$A$2:$A$270,0)),"Not Mapped"))</f>
        <v>Arivind S</v>
      </c>
      <c r="E239" s="66" t="n">
        <v>707</v>
      </c>
      <c r="F239" s="66" t="n">
        <v>0</v>
      </c>
      <c r="G239" s="66" t="n">
        <v>707</v>
      </c>
      <c r="H239" s="66" t="n">
        <v>0</v>
      </c>
      <c r="I239" s="66" t="n">
        <v>0</v>
      </c>
      <c r="J239" s="66" t="n">
        <v>0</v>
      </c>
      <c r="K239" s="66" t="n">
        <v>0</v>
      </c>
      <c r="L239" s="66" t="n">
        <v>0</v>
      </c>
      <c r="M239" s="44"/>
      <c r="N239" s="44"/>
      <c r="O239" s="72"/>
      <c r="P239" s="67"/>
      <c r="Q239" s="64"/>
      <c r="R239" s="64"/>
      <c r="S239" s="64"/>
      <c r="T239" s="64"/>
      <c r="U239" s="64"/>
      <c r="V239" s="64"/>
      <c r="W239" s="64"/>
      <c r="X239" s="64"/>
      <c r="Y239" s="64"/>
      <c r="Z239" s="64"/>
      <c r="AA239" s="64"/>
    </row>
    <row r="240" customFormat="false" ht="15" hidden="false" customHeight="false" outlineLevel="0" collapsed="false">
      <c r="A240" s="65" t="n">
        <v>46303</v>
      </c>
      <c r="B240" s="66" t="s">
        <v>415</v>
      </c>
      <c r="C240" s="67" t="str">
        <f aca="false" t="array" ref="C240:C240">IF(B240="","",IFERROR(INDEX('CLM &amp; IM Mapping'!$B$2:$B$270,MATCH(TRIM(B240),'CLM &amp; IM Mapping'!$A$2:$A$270,0)),"Not Mapped"))</f>
        <v>Vishnu V</v>
      </c>
      <c r="D240" s="67" t="str">
        <f aca="false" t="array" ref="D240:D240">IF(B240="","",IFERROR(INDEX('CLM &amp; IM Mapping'!$C$2:$C$270,MATCH(TRIM(B240),'CLM &amp; IM Mapping'!$A$2:$A$270,0)),"Not Mapped"))</f>
        <v>Arivind S</v>
      </c>
      <c r="E240" s="66" t="n">
        <v>0</v>
      </c>
      <c r="F240" s="66" t="n">
        <v>0</v>
      </c>
      <c r="G240" s="66" t="n">
        <v>0</v>
      </c>
      <c r="H240" s="66" t="n">
        <v>0</v>
      </c>
      <c r="I240" s="66" t="n">
        <v>0</v>
      </c>
      <c r="J240" s="66" t="n">
        <v>0</v>
      </c>
      <c r="K240" s="66" t="n">
        <v>0</v>
      </c>
      <c r="L240" s="66" t="n">
        <v>0</v>
      </c>
      <c r="M240" s="44"/>
      <c r="N240" s="44"/>
      <c r="O240" s="72"/>
      <c r="P240" s="67"/>
      <c r="Q240" s="64"/>
      <c r="R240" s="64"/>
      <c r="S240" s="64"/>
      <c r="T240" s="64"/>
      <c r="U240" s="64"/>
      <c r="V240" s="64"/>
      <c r="W240" s="64"/>
      <c r="X240" s="64"/>
      <c r="Y240" s="64"/>
      <c r="Z240" s="64"/>
      <c r="AA240" s="64"/>
    </row>
    <row r="241" customFormat="false" ht="15" hidden="false" customHeight="false" outlineLevel="0" collapsed="false">
      <c r="A241" s="65" t="n">
        <v>46303</v>
      </c>
      <c r="B241" s="66" t="s">
        <v>252</v>
      </c>
      <c r="C241" s="67" t="str">
        <f aca="false" t="array" ref="C241:C241">IF(B241="","",IFERROR(INDEX('CLM &amp; IM Mapping'!$B$2:$B$270,MATCH(TRIM(B241),'CLM &amp; IM Mapping'!$A$2:$A$270,0)),"Not Mapped"))</f>
        <v>Vishnu V</v>
      </c>
      <c r="D241" s="67" t="str">
        <f aca="false" t="array" ref="D241:D241">IF(B241="","",IFERROR(INDEX('CLM &amp; IM Mapping'!$C$2:$C$270,MATCH(TRIM(B241),'CLM &amp; IM Mapping'!$A$2:$A$270,0)),"Not Mapped"))</f>
        <v>Arivind S</v>
      </c>
      <c r="E241" s="66" t="n">
        <v>849</v>
      </c>
      <c r="F241" s="66" t="n">
        <v>0</v>
      </c>
      <c r="G241" s="66" t="n">
        <v>849</v>
      </c>
      <c r="H241" s="66" t="n">
        <v>0</v>
      </c>
      <c r="I241" s="66" t="n">
        <v>0</v>
      </c>
      <c r="J241" s="66" t="n">
        <v>0</v>
      </c>
      <c r="K241" s="66" t="n">
        <v>0</v>
      </c>
      <c r="L241" s="66" t="n">
        <v>0</v>
      </c>
      <c r="M241" s="44"/>
      <c r="N241" s="44"/>
      <c r="O241" s="72"/>
      <c r="P241" s="67"/>
      <c r="Q241" s="64"/>
      <c r="R241" s="64"/>
      <c r="S241" s="64"/>
      <c r="T241" s="64"/>
      <c r="U241" s="64"/>
      <c r="V241" s="64"/>
      <c r="W241" s="64"/>
      <c r="X241" s="64"/>
      <c r="Y241" s="64"/>
      <c r="Z241" s="64"/>
      <c r="AA241" s="64"/>
    </row>
    <row r="242" customFormat="false" ht="15" hidden="false" customHeight="false" outlineLevel="0" collapsed="false">
      <c r="A242" s="65" t="n">
        <v>46303</v>
      </c>
      <c r="B242" s="66" t="s">
        <v>503</v>
      </c>
      <c r="C242" s="67" t="str">
        <f aca="false" t="array" ref="C242:C242">IF(B242="","",IFERROR(INDEX('CLM &amp; IM Mapping'!$B$2:$B$270,MATCH(TRIM(B242),'CLM &amp; IM Mapping'!$A$2:$A$270,0)),"Not Mapped"))</f>
        <v>Santhosha M</v>
      </c>
      <c r="D242" s="67" t="str">
        <f aca="false" t="array" ref="D242:D242">IF(B242="","",IFERROR(INDEX('CLM &amp; IM Mapping'!$C$2:$C$270,MATCH(TRIM(B242),'CLM &amp; IM Mapping'!$A$2:$A$270,0)),"Not Mapped"))</f>
        <v>Aravind S</v>
      </c>
      <c r="E242" s="66" t="n">
        <v>0</v>
      </c>
      <c r="F242" s="66" t="n">
        <v>0</v>
      </c>
      <c r="G242" s="66" t="n">
        <v>0</v>
      </c>
      <c r="H242" s="66" t="n">
        <v>0</v>
      </c>
      <c r="I242" s="66" t="n">
        <v>0</v>
      </c>
      <c r="J242" s="66" t="n">
        <v>0</v>
      </c>
      <c r="K242" s="66" t="n">
        <v>0</v>
      </c>
      <c r="L242" s="66" t="n">
        <v>0</v>
      </c>
      <c r="M242" s="44"/>
      <c r="N242" s="44"/>
      <c r="O242" s="72"/>
      <c r="P242" s="67"/>
      <c r="Q242" s="64"/>
      <c r="R242" s="64"/>
      <c r="S242" s="64"/>
      <c r="T242" s="64"/>
      <c r="U242" s="64"/>
      <c r="V242" s="64"/>
      <c r="W242" s="64"/>
      <c r="X242" s="64"/>
      <c r="Y242" s="64"/>
      <c r="Z242" s="64"/>
      <c r="AA242" s="64"/>
    </row>
    <row r="243" customFormat="false" ht="15" hidden="false" customHeight="false" outlineLevel="0" collapsed="false">
      <c r="A243" s="65" t="n">
        <v>46303</v>
      </c>
      <c r="B243" s="66" t="s">
        <v>421</v>
      </c>
      <c r="C243" s="67" t="str">
        <f aca="false" t="array" ref="C243:C243">IF(B243="","",IFERROR(INDEX('CLM &amp; IM Mapping'!$B$2:$B$270,MATCH(TRIM(B243),'CLM &amp; IM Mapping'!$A$2:$A$270,0)),"Not Mapped"))</f>
        <v>Santhosha M</v>
      </c>
      <c r="D243" s="67" t="str">
        <f aca="false" t="array" ref="D243:D243">IF(B243="","",IFERROR(INDEX('CLM &amp; IM Mapping'!$C$2:$C$270,MATCH(TRIM(B243),'CLM &amp; IM Mapping'!$A$2:$A$270,0)),"Not Mapped"))</f>
        <v>Aravind S</v>
      </c>
      <c r="E243" s="66" t="n">
        <v>429</v>
      </c>
      <c r="F243" s="66" t="n">
        <v>429</v>
      </c>
      <c r="G243" s="66" t="n">
        <v>0</v>
      </c>
      <c r="H243" s="66" t="n">
        <v>0</v>
      </c>
      <c r="I243" s="66" t="n">
        <v>0</v>
      </c>
      <c r="J243" s="66" t="n">
        <v>0</v>
      </c>
      <c r="K243" s="66" t="n">
        <v>0</v>
      </c>
      <c r="L243" s="66" t="n">
        <v>0</v>
      </c>
      <c r="M243" s="44"/>
      <c r="N243" s="44"/>
      <c r="O243" s="72"/>
      <c r="P243" s="67"/>
      <c r="Q243" s="64"/>
      <c r="R243" s="64"/>
      <c r="S243" s="64"/>
      <c r="T243" s="64"/>
      <c r="U243" s="64"/>
      <c r="V243" s="64"/>
      <c r="W243" s="64"/>
      <c r="X243" s="64"/>
      <c r="Y243" s="64"/>
      <c r="Z243" s="64"/>
      <c r="AA243" s="64"/>
    </row>
    <row r="244" customFormat="false" ht="15" hidden="false" customHeight="false" outlineLevel="0" collapsed="false">
      <c r="A244" s="65" t="n">
        <v>46303</v>
      </c>
      <c r="B244" s="66" t="s">
        <v>325</v>
      </c>
      <c r="C244" s="67" t="str">
        <f aca="false" t="array" ref="C244:C244">IF(B244="","",IFERROR(INDEX('CLM &amp; IM Mapping'!$B$2:$B$270,MATCH(TRIM(B244),'CLM &amp; IM Mapping'!$A$2:$A$270,0)),"Not Mapped"))</f>
        <v>Santhosha M</v>
      </c>
      <c r="D244" s="67" t="str">
        <f aca="false" t="array" ref="D244:D244">IF(B244="","",IFERROR(INDEX('CLM &amp; IM Mapping'!$C$2:$C$270,MATCH(TRIM(B244),'CLM &amp; IM Mapping'!$A$2:$A$270,0)),"Not Mapped"))</f>
        <v>Aravind S</v>
      </c>
      <c r="E244" s="66" t="n">
        <v>3096</v>
      </c>
      <c r="F244" s="66" t="n">
        <v>3096</v>
      </c>
      <c r="G244" s="66" t="n">
        <v>0</v>
      </c>
      <c r="H244" s="66" t="n">
        <v>0</v>
      </c>
      <c r="I244" s="66" t="n">
        <v>0</v>
      </c>
      <c r="J244" s="66" t="n">
        <v>0</v>
      </c>
      <c r="K244" s="66" t="n">
        <v>0</v>
      </c>
      <c r="L244" s="66" t="n">
        <v>0</v>
      </c>
      <c r="M244" s="44"/>
      <c r="N244" s="44"/>
      <c r="O244" s="72"/>
      <c r="P244" s="67"/>
      <c r="Q244" s="64"/>
      <c r="R244" s="64"/>
      <c r="S244" s="64"/>
      <c r="T244" s="64"/>
      <c r="U244" s="64"/>
      <c r="V244" s="64"/>
      <c r="W244" s="64"/>
      <c r="X244" s="64"/>
      <c r="Y244" s="64"/>
      <c r="Z244" s="64"/>
      <c r="AA244" s="64"/>
    </row>
    <row r="245" customFormat="false" ht="15" hidden="false" customHeight="false" outlineLevel="0" collapsed="false">
      <c r="A245" s="65" t="n">
        <v>46303</v>
      </c>
      <c r="B245" s="66" t="s">
        <v>450</v>
      </c>
      <c r="C245" s="67" t="str">
        <f aca="false" t="array" ref="C245:C245">IF(B245="","",IFERROR(INDEX('CLM &amp; IM Mapping'!$B$2:$B$270,MATCH(TRIM(B245),'CLM &amp; IM Mapping'!$A$2:$A$270,0)),"Not Mapped"))</f>
        <v>Santhosha M</v>
      </c>
      <c r="D245" s="67" t="str">
        <f aca="false" t="array" ref="D245:D245">IF(B245="","",IFERROR(INDEX('CLM &amp; IM Mapping'!$C$2:$C$270,MATCH(TRIM(B245),'CLM &amp; IM Mapping'!$A$2:$A$270,0)),"Not Mapped"))</f>
        <v>Aravind S</v>
      </c>
      <c r="E245" s="66" t="n">
        <v>0</v>
      </c>
      <c r="F245" s="66" t="n">
        <v>0</v>
      </c>
      <c r="G245" s="66" t="n">
        <v>0</v>
      </c>
      <c r="H245" s="66" t="n">
        <v>0</v>
      </c>
      <c r="I245" s="66" t="n">
        <v>0</v>
      </c>
      <c r="J245" s="66" t="n">
        <v>0</v>
      </c>
      <c r="K245" s="66" t="n">
        <v>0</v>
      </c>
      <c r="L245" s="66" t="n">
        <v>0</v>
      </c>
      <c r="M245" s="44"/>
      <c r="N245" s="44"/>
      <c r="O245" s="72"/>
      <c r="P245" s="67"/>
      <c r="Q245" s="64"/>
      <c r="R245" s="64"/>
      <c r="S245" s="64"/>
      <c r="T245" s="64"/>
      <c r="U245" s="64"/>
      <c r="V245" s="64"/>
      <c r="W245" s="64"/>
      <c r="X245" s="64"/>
      <c r="Y245" s="64"/>
      <c r="Z245" s="64"/>
      <c r="AA245" s="64"/>
    </row>
    <row r="246" customFormat="false" ht="15" hidden="false" customHeight="false" outlineLevel="0" collapsed="false">
      <c r="A246" s="65" t="n">
        <v>46303</v>
      </c>
      <c r="B246" s="66" t="s">
        <v>359</v>
      </c>
      <c r="C246" s="67" t="str">
        <f aca="false" t="array" ref="C246:C246">IF(B246="","",IFERROR(INDEX('CLM &amp; IM Mapping'!$B$2:$B$270,MATCH(TRIM(B246),'CLM &amp; IM Mapping'!$A$2:$A$270,0)),"Not Mapped"))</f>
        <v>Santhosha M</v>
      </c>
      <c r="D246" s="67" t="str">
        <f aca="false" t="array" ref="D246:D246">IF(B246="","",IFERROR(INDEX('CLM &amp; IM Mapping'!$C$2:$C$270,MATCH(TRIM(B246),'CLM &amp; IM Mapping'!$A$2:$A$270,0)),"Not Mapped"))</f>
        <v>Aravind S</v>
      </c>
      <c r="E246" s="66" t="n">
        <v>3805</v>
      </c>
      <c r="F246" s="66" t="n">
        <v>887</v>
      </c>
      <c r="G246" s="66" t="n">
        <v>2918</v>
      </c>
      <c r="H246" s="66" t="n">
        <v>0</v>
      </c>
      <c r="I246" s="66" t="n">
        <v>0</v>
      </c>
      <c r="J246" s="66" t="n">
        <v>0</v>
      </c>
      <c r="K246" s="66" t="n">
        <v>0</v>
      </c>
      <c r="L246" s="66" t="n">
        <v>0</v>
      </c>
      <c r="M246" s="44"/>
      <c r="N246" s="44"/>
      <c r="O246" s="72"/>
      <c r="P246" s="67"/>
      <c r="Q246" s="64"/>
      <c r="R246" s="64"/>
      <c r="S246" s="64"/>
      <c r="T246" s="64"/>
      <c r="U246" s="64"/>
      <c r="V246" s="64"/>
      <c r="W246" s="64"/>
      <c r="X246" s="64"/>
      <c r="Y246" s="64"/>
      <c r="Z246" s="64"/>
      <c r="AA246" s="64"/>
    </row>
    <row r="247" customFormat="false" ht="15" hidden="false" customHeight="false" outlineLevel="0" collapsed="false">
      <c r="A247" s="65" t="n">
        <v>46303</v>
      </c>
      <c r="B247" s="66" t="s">
        <v>493</v>
      </c>
      <c r="C247" s="67" t="str">
        <f aca="false" t="array" ref="C247:C247">IF(B247="","",IFERROR(INDEX('CLM &amp; IM Mapping'!$B$2:$B$270,MATCH(TRIM(B247),'CLM &amp; IM Mapping'!$A$2:$A$270,0)),"Not Mapped"))</f>
        <v>Santhosha M</v>
      </c>
      <c r="D247" s="67" t="str">
        <f aca="false" t="array" ref="D247:D247">IF(B247="","",IFERROR(INDEX('CLM &amp; IM Mapping'!$C$2:$C$270,MATCH(TRIM(B247),'CLM &amp; IM Mapping'!$A$2:$A$270,0)),"Not Mapped"))</f>
        <v>Aravind S</v>
      </c>
      <c r="E247" s="66" t="n">
        <v>0</v>
      </c>
      <c r="F247" s="66" t="n">
        <v>0</v>
      </c>
      <c r="G247" s="66" t="n">
        <v>0</v>
      </c>
      <c r="H247" s="66" t="n">
        <v>0</v>
      </c>
      <c r="I247" s="66" t="n">
        <v>0</v>
      </c>
      <c r="J247" s="66" t="n">
        <v>0</v>
      </c>
      <c r="K247" s="66" t="n">
        <v>0</v>
      </c>
      <c r="L247" s="66" t="n">
        <v>0</v>
      </c>
      <c r="M247" s="44"/>
      <c r="N247" s="44"/>
      <c r="O247" s="72"/>
      <c r="P247" s="67"/>
      <c r="Q247" s="64"/>
      <c r="R247" s="64"/>
      <c r="S247" s="64"/>
      <c r="T247" s="64"/>
      <c r="U247" s="64"/>
      <c r="V247" s="64"/>
      <c r="W247" s="64"/>
      <c r="X247" s="64"/>
      <c r="Y247" s="64"/>
      <c r="Z247" s="64"/>
      <c r="AA247" s="64"/>
    </row>
    <row r="248" customFormat="false" ht="15" hidden="false" customHeight="false" outlineLevel="0" collapsed="false">
      <c r="A248" s="65" t="n">
        <v>46303</v>
      </c>
      <c r="B248" s="66" t="s">
        <v>425</v>
      </c>
      <c r="C248" s="67" t="str">
        <f aca="false" t="array" ref="C248:C248">IF(B248="","",IFERROR(INDEX('CLM &amp; IM Mapping'!$B$2:$B$270,MATCH(TRIM(B248),'CLM &amp; IM Mapping'!$A$2:$A$270,0)),"Not Mapped"))</f>
        <v>Santhosha M</v>
      </c>
      <c r="D248" s="67" t="str">
        <f aca="false" t="array" ref="D248:D248">IF(B248="","",IFERROR(INDEX('CLM &amp; IM Mapping'!$C$2:$C$270,MATCH(TRIM(B248),'CLM &amp; IM Mapping'!$A$2:$A$270,0)),"Not Mapped"))</f>
        <v>Aravind S</v>
      </c>
      <c r="E248" s="66" t="n">
        <v>1499</v>
      </c>
      <c r="F248" s="66" t="n">
        <v>0</v>
      </c>
      <c r="G248" s="66" t="n">
        <v>1499</v>
      </c>
      <c r="H248" s="66" t="n">
        <v>0</v>
      </c>
      <c r="I248" s="66" t="n">
        <v>0</v>
      </c>
      <c r="J248" s="66" t="n">
        <v>0</v>
      </c>
      <c r="K248" s="66" t="n">
        <v>0</v>
      </c>
      <c r="L248" s="66" t="n">
        <v>0</v>
      </c>
      <c r="M248" s="44"/>
      <c r="N248" s="44"/>
      <c r="O248" s="72"/>
      <c r="P248" s="67"/>
      <c r="Q248" s="64"/>
      <c r="R248" s="64"/>
      <c r="S248" s="64"/>
      <c r="T248" s="64"/>
      <c r="U248" s="64"/>
      <c r="V248" s="64"/>
      <c r="W248" s="64"/>
      <c r="X248" s="64"/>
      <c r="Y248" s="64"/>
      <c r="Z248" s="64"/>
      <c r="AA248" s="64"/>
    </row>
    <row r="249" customFormat="false" ht="15" hidden="false" customHeight="false" outlineLevel="0" collapsed="false">
      <c r="A249" s="65" t="n">
        <v>46303</v>
      </c>
      <c r="B249" s="66" t="s">
        <v>277</v>
      </c>
      <c r="C249" s="67" t="str">
        <f aca="false" t="array" ref="C249:C249">IF(B249="","",IFERROR(INDEX('CLM &amp; IM Mapping'!$B$2:$B$270,MATCH(TRIM(B249),'CLM &amp; IM Mapping'!$A$2:$A$270,0)),"Not Mapped"))</f>
        <v>Santhosha M</v>
      </c>
      <c r="D249" s="67" t="str">
        <f aca="false" t="array" ref="D249:D249">IF(B249="","",IFERROR(INDEX('CLM &amp; IM Mapping'!$C$2:$C$270,MATCH(TRIM(B249),'CLM &amp; IM Mapping'!$A$2:$A$270,0)),"Not Mapped"))</f>
        <v>Aravind S</v>
      </c>
      <c r="E249" s="66" t="n">
        <v>4762</v>
      </c>
      <c r="F249" s="66" t="n">
        <v>4762</v>
      </c>
      <c r="G249" s="66" t="n">
        <v>0</v>
      </c>
      <c r="H249" s="66" t="n">
        <v>0</v>
      </c>
      <c r="I249" s="66" t="n">
        <v>0</v>
      </c>
      <c r="J249" s="66" t="n">
        <v>0</v>
      </c>
      <c r="K249" s="66" t="n">
        <v>0</v>
      </c>
      <c r="L249" s="66" t="n">
        <v>0</v>
      </c>
      <c r="M249" s="44"/>
      <c r="N249" s="44"/>
      <c r="O249" s="72"/>
      <c r="P249" s="67"/>
      <c r="Q249" s="64"/>
      <c r="R249" s="64"/>
      <c r="S249" s="64"/>
      <c r="T249" s="64"/>
      <c r="U249" s="64"/>
      <c r="V249" s="64"/>
      <c r="W249" s="64"/>
      <c r="X249" s="64"/>
      <c r="Y249" s="64"/>
      <c r="Z249" s="64"/>
      <c r="AA249" s="64"/>
    </row>
    <row r="250" customFormat="false" ht="15" hidden="false" customHeight="false" outlineLevel="0" collapsed="false">
      <c r="A250" s="65" t="n">
        <v>46303</v>
      </c>
      <c r="B250" s="66" t="s">
        <v>361</v>
      </c>
      <c r="C250" s="67" t="str">
        <f aca="false" t="array" ref="C250:C250">IF(B250="","",IFERROR(INDEX('CLM &amp; IM Mapping'!$B$2:$B$270,MATCH(TRIM(B250),'CLM &amp; IM Mapping'!$A$2:$A$270,0)),"Not Mapped"))</f>
        <v>Santhosha M</v>
      </c>
      <c r="D250" s="67" t="str">
        <f aca="false" t="array" ref="D250:D250">IF(B250="","",IFERROR(INDEX('CLM &amp; IM Mapping'!$C$2:$C$270,MATCH(TRIM(B250),'CLM &amp; IM Mapping'!$A$2:$A$270,0)),"Not Mapped"))</f>
        <v>Aravind S</v>
      </c>
      <c r="E250" s="66" t="n">
        <v>13</v>
      </c>
      <c r="F250" s="66" t="n">
        <v>0</v>
      </c>
      <c r="G250" s="66" t="n">
        <v>13</v>
      </c>
      <c r="H250" s="66" t="n">
        <v>0</v>
      </c>
      <c r="I250" s="66" t="n">
        <v>0</v>
      </c>
      <c r="J250" s="66" t="n">
        <v>0</v>
      </c>
      <c r="K250" s="66" t="n">
        <v>0</v>
      </c>
      <c r="L250" s="66" t="n">
        <v>0</v>
      </c>
      <c r="M250" s="44"/>
      <c r="N250" s="44"/>
      <c r="O250" s="72"/>
      <c r="P250" s="67"/>
      <c r="Q250" s="64"/>
      <c r="R250" s="64"/>
      <c r="S250" s="64"/>
      <c r="T250" s="64"/>
      <c r="U250" s="64"/>
      <c r="V250" s="64"/>
      <c r="W250" s="64"/>
      <c r="X250" s="64"/>
      <c r="Y250" s="64"/>
      <c r="Z250" s="64"/>
      <c r="AA250" s="64"/>
    </row>
    <row r="251" customFormat="false" ht="15" hidden="false" customHeight="false" outlineLevel="0" collapsed="false">
      <c r="A251" s="65" t="n">
        <v>46303</v>
      </c>
      <c r="B251" s="66" t="s">
        <v>439</v>
      </c>
      <c r="C251" s="67" t="str">
        <f aca="false" t="array" ref="C251:C251">IF(B251="","",IFERROR(INDEX('CLM &amp; IM Mapping'!$B$2:$B$270,MATCH(TRIM(B251),'CLM &amp; IM Mapping'!$A$2:$A$270,0)),"Not Mapped"))</f>
        <v>Vishnu V</v>
      </c>
      <c r="D251" s="67" t="str">
        <f aca="false" t="array" ref="D251:D251">IF(B251="","",IFERROR(INDEX('CLM &amp; IM Mapping'!$C$2:$C$270,MATCH(TRIM(B251),'CLM &amp; IM Mapping'!$A$2:$A$270,0)),"Not Mapped"))</f>
        <v>Arivind S</v>
      </c>
      <c r="E251" s="66" t="n">
        <v>0</v>
      </c>
      <c r="F251" s="66" t="n">
        <v>0</v>
      </c>
      <c r="G251" s="66" t="n">
        <v>0</v>
      </c>
      <c r="H251" s="66" t="n">
        <v>0</v>
      </c>
      <c r="I251" s="66" t="n">
        <v>0</v>
      </c>
      <c r="J251" s="66" t="n">
        <v>0</v>
      </c>
      <c r="K251" s="66" t="n">
        <v>0</v>
      </c>
      <c r="L251" s="66" t="n">
        <v>0</v>
      </c>
      <c r="M251" s="44"/>
      <c r="N251" s="44"/>
      <c r="O251" s="72"/>
      <c r="P251" s="67"/>
      <c r="Q251" s="64"/>
      <c r="R251" s="64"/>
      <c r="S251" s="64"/>
      <c r="T251" s="64"/>
      <c r="U251" s="64"/>
      <c r="V251" s="64"/>
      <c r="W251" s="64"/>
      <c r="X251" s="64"/>
      <c r="Y251" s="64"/>
      <c r="Z251" s="64"/>
      <c r="AA251" s="64"/>
    </row>
    <row r="252" customFormat="false" ht="15" hidden="false" customHeight="false" outlineLevel="0" collapsed="false">
      <c r="A252" s="65" t="n">
        <v>46303</v>
      </c>
      <c r="B252" s="66" t="s">
        <v>452</v>
      </c>
      <c r="C252" s="67" t="str">
        <f aca="false" t="array" ref="C252:C252">IF(B252="","",IFERROR(INDEX('CLM &amp; IM Mapping'!$B$2:$B$270,MATCH(TRIM(B252),'CLM &amp; IM Mapping'!$A$2:$A$270,0)),"Not Mapped"))</f>
        <v>Vishnu V</v>
      </c>
      <c r="D252" s="67" t="str">
        <f aca="false" t="array" ref="D252:D252">IF(B252="","",IFERROR(INDEX('CLM &amp; IM Mapping'!$C$2:$C$270,MATCH(TRIM(B252),'CLM &amp; IM Mapping'!$A$2:$A$270,0)),"Not Mapped"))</f>
        <v>Arivind S</v>
      </c>
      <c r="E252" s="66" t="n">
        <v>0</v>
      </c>
      <c r="F252" s="66" t="n">
        <v>0</v>
      </c>
      <c r="G252" s="66" t="n">
        <v>0</v>
      </c>
      <c r="H252" s="66" t="n">
        <v>0</v>
      </c>
      <c r="I252" s="66" t="n">
        <v>0</v>
      </c>
      <c r="J252" s="66" t="n">
        <v>0</v>
      </c>
      <c r="K252" s="66" t="n">
        <v>0</v>
      </c>
      <c r="L252" s="66" t="n">
        <v>0</v>
      </c>
      <c r="M252" s="44"/>
      <c r="N252" s="44"/>
      <c r="O252" s="72"/>
      <c r="P252" s="67"/>
      <c r="Q252" s="64"/>
      <c r="R252" s="64"/>
      <c r="S252" s="64"/>
      <c r="T252" s="64"/>
      <c r="U252" s="64"/>
      <c r="V252" s="64"/>
      <c r="W252" s="64"/>
      <c r="X252" s="64"/>
      <c r="Y252" s="64"/>
      <c r="Z252" s="64"/>
      <c r="AA252" s="64"/>
    </row>
    <row r="253" customFormat="false" ht="15" hidden="false" customHeight="false" outlineLevel="0" collapsed="false">
      <c r="A253" s="65" t="n">
        <v>46303</v>
      </c>
      <c r="B253" s="66" t="s">
        <v>710</v>
      </c>
      <c r="C253" s="67" t="str">
        <f aca="false" t="array" ref="C253:C253">IF(B253="","",IFERROR(INDEX('CLM &amp; IM Mapping'!$B$2:$B$270,MATCH(TRIM(B253),'CLM &amp; IM Mapping'!$A$2:$A$270,0)),"Not Mapped"))</f>
        <v>John Britto</v>
      </c>
      <c r="D253" s="67" t="str">
        <f aca="false" t="array" ref="D253:D253">IF(B253="","",IFERROR(INDEX('CLM &amp; IM Mapping'!$C$2:$C$270,MATCH(TRIM(B253),'CLM &amp; IM Mapping'!$A$2:$A$270,0)),"Not Mapped"))</f>
        <v>Aravind S</v>
      </c>
      <c r="E253" s="66" t="n">
        <v>0</v>
      </c>
      <c r="F253" s="66" t="n">
        <v>0</v>
      </c>
      <c r="G253" s="66" t="n">
        <v>0</v>
      </c>
      <c r="H253" s="66" t="n">
        <v>0</v>
      </c>
      <c r="I253" s="66" t="n">
        <v>0</v>
      </c>
      <c r="J253" s="66" t="n">
        <v>0</v>
      </c>
      <c r="K253" s="66" t="n">
        <v>0</v>
      </c>
      <c r="L253" s="66" t="n">
        <v>0</v>
      </c>
      <c r="M253" s="44"/>
      <c r="N253" s="44"/>
      <c r="O253" s="72"/>
      <c r="P253" s="67"/>
      <c r="Q253" s="64"/>
      <c r="R253" s="64"/>
      <c r="S253" s="64"/>
      <c r="T253" s="64"/>
      <c r="U253" s="64"/>
      <c r="V253" s="64"/>
      <c r="W253" s="64"/>
      <c r="X253" s="64"/>
      <c r="Y253" s="64"/>
      <c r="Z253" s="64"/>
      <c r="AA253" s="64"/>
    </row>
    <row r="254" customFormat="false" ht="15" hidden="false" customHeight="false" outlineLevel="0" collapsed="false">
      <c r="A254" s="65" t="n">
        <v>46303</v>
      </c>
      <c r="B254" s="66" t="s">
        <v>711</v>
      </c>
      <c r="C254" s="67" t="str">
        <f aca="false" t="array" ref="C254:C254">IF(B254="","",IFERROR(INDEX('CLM &amp; IM Mapping'!$B$2:$B$270,MATCH(TRIM(B254),'CLM &amp; IM Mapping'!$A$2:$A$270,0)),"Not Mapped"))</f>
        <v>John Britto</v>
      </c>
      <c r="D254" s="67" t="str">
        <f aca="false" t="array" ref="D254:D254">IF(B254="","",IFERROR(INDEX('CLM &amp; IM Mapping'!$C$2:$C$270,MATCH(TRIM(B254),'CLM &amp; IM Mapping'!$A$2:$A$270,0)),"Not Mapped"))</f>
        <v>Aravind S</v>
      </c>
      <c r="E254" s="66" t="n">
        <v>0</v>
      </c>
      <c r="F254" s="66" t="n">
        <v>0</v>
      </c>
      <c r="G254" s="66" t="n">
        <v>0</v>
      </c>
      <c r="H254" s="66" t="n">
        <v>0</v>
      </c>
      <c r="I254" s="66" t="n">
        <v>0</v>
      </c>
      <c r="J254" s="66" t="n">
        <v>0</v>
      </c>
      <c r="K254" s="66" t="n">
        <v>0</v>
      </c>
      <c r="L254" s="66" t="n">
        <v>0</v>
      </c>
      <c r="M254" s="44"/>
      <c r="N254" s="44"/>
      <c r="O254" s="72"/>
      <c r="P254" s="67"/>
      <c r="Q254" s="64"/>
      <c r="R254" s="64"/>
      <c r="S254" s="64"/>
      <c r="T254" s="64"/>
      <c r="U254" s="64"/>
      <c r="V254" s="64"/>
      <c r="W254" s="64"/>
      <c r="X254" s="64"/>
      <c r="Y254" s="64"/>
      <c r="Z254" s="64"/>
      <c r="AA254" s="64"/>
    </row>
    <row r="255" customFormat="false" ht="15" hidden="false" customHeight="false" outlineLevel="0" collapsed="false">
      <c r="A255" s="65" t="n">
        <v>46303</v>
      </c>
      <c r="B255" s="66" t="s">
        <v>337</v>
      </c>
      <c r="C255" s="67" t="str">
        <f aca="false" t="array" ref="C255:C255">IF(B255="","",IFERROR(INDEX('CLM &amp; IM Mapping'!$B$2:$B$270,MATCH(TRIM(B255),'CLM &amp; IM Mapping'!$A$2:$A$270,0)),"Not Mapped"))</f>
        <v>Akshay P</v>
      </c>
      <c r="D255" s="67" t="str">
        <f aca="false" t="array" ref="D255:D255">IF(B255="","",IFERROR(INDEX('CLM &amp; IM Mapping'!$C$2:$C$270,MATCH(TRIM(B255),'CLM &amp; IM Mapping'!$A$2:$A$270,0)),"Not Mapped"))</f>
        <v>Srittam Dhal</v>
      </c>
      <c r="E255" s="66" t="n">
        <v>0</v>
      </c>
      <c r="F255" s="66" t="n">
        <v>0</v>
      </c>
      <c r="G255" s="66" t="n">
        <v>0</v>
      </c>
      <c r="H255" s="66" t="n">
        <v>0</v>
      </c>
      <c r="I255" s="66" t="n">
        <v>0</v>
      </c>
      <c r="J255" s="66" t="n">
        <v>0</v>
      </c>
      <c r="K255" s="66" t="n">
        <v>0</v>
      </c>
      <c r="L255" s="66" t="n">
        <v>0</v>
      </c>
      <c r="M255" s="44"/>
      <c r="N255" s="44"/>
      <c r="O255" s="72"/>
      <c r="P255" s="67"/>
      <c r="Q255" s="64"/>
      <c r="R255" s="64"/>
      <c r="S255" s="64"/>
      <c r="T255" s="64"/>
      <c r="U255" s="64"/>
      <c r="V255" s="64"/>
      <c r="W255" s="64"/>
      <c r="X255" s="64"/>
      <c r="Y255" s="64"/>
      <c r="Z255" s="64"/>
      <c r="AA255" s="64"/>
    </row>
    <row r="256" customFormat="false" ht="15" hidden="false" customHeight="false" outlineLevel="0" collapsed="false">
      <c r="A256" s="65" t="n">
        <v>46304</v>
      </c>
      <c r="B256" s="66" t="s">
        <v>373</v>
      </c>
      <c r="C256" s="67" t="s">
        <v>695</v>
      </c>
      <c r="D256" s="67" t="s">
        <v>692</v>
      </c>
      <c r="E256" s="66" t="n">
        <v>0</v>
      </c>
      <c r="F256" s="66" t="n">
        <v>0</v>
      </c>
      <c r="G256" s="66" t="n">
        <v>0</v>
      </c>
      <c r="H256" s="66" t="n">
        <v>0</v>
      </c>
      <c r="I256" s="66" t="n">
        <v>0</v>
      </c>
      <c r="J256" s="66" t="n">
        <v>0</v>
      </c>
      <c r="K256" s="66" t="n">
        <v>0</v>
      </c>
      <c r="L256" s="66" t="n">
        <v>0</v>
      </c>
      <c r="M256" s="73" t="n">
        <v>0</v>
      </c>
      <c r="N256" s="73"/>
      <c r="O256" s="72"/>
      <c r="P256" s="67"/>
      <c r="Q256" s="64"/>
      <c r="R256" s="64"/>
      <c r="S256" s="64"/>
      <c r="T256" s="64"/>
      <c r="U256" s="64"/>
      <c r="V256" s="64"/>
      <c r="W256" s="64"/>
      <c r="X256" s="64"/>
      <c r="Y256" s="64"/>
      <c r="Z256" s="64"/>
      <c r="AA256" s="64"/>
    </row>
    <row r="257" customFormat="false" ht="15" hidden="false" customHeight="false" outlineLevel="0" collapsed="false">
      <c r="A257" s="65" t="n">
        <v>46304</v>
      </c>
      <c r="B257" s="66" t="s">
        <v>262</v>
      </c>
      <c r="C257" s="67" t="s">
        <v>695</v>
      </c>
      <c r="D257" s="67" t="s">
        <v>692</v>
      </c>
      <c r="E257" s="66" t="n">
        <v>8</v>
      </c>
      <c r="F257" s="66" t="n">
        <v>0</v>
      </c>
      <c r="G257" s="66" t="n">
        <v>5</v>
      </c>
      <c r="H257" s="66" t="n">
        <v>3</v>
      </c>
      <c r="I257" s="66" t="n">
        <v>0</v>
      </c>
      <c r="J257" s="66" t="n">
        <v>0</v>
      </c>
      <c r="K257" s="66" t="n">
        <v>0</v>
      </c>
      <c r="L257" s="66" t="n">
        <v>3</v>
      </c>
      <c r="M257" s="73" t="n">
        <v>0</v>
      </c>
      <c r="N257" s="44" t="s">
        <v>912</v>
      </c>
      <c r="O257" s="72" t="s">
        <v>912</v>
      </c>
      <c r="P257" s="67" t="s">
        <v>912</v>
      </c>
      <c r="Q257" s="64"/>
      <c r="R257" s="64"/>
      <c r="S257" s="64"/>
      <c r="T257" s="64"/>
      <c r="U257" s="64"/>
      <c r="V257" s="64"/>
      <c r="W257" s="64"/>
      <c r="X257" s="64"/>
      <c r="Y257" s="64"/>
      <c r="Z257" s="64"/>
      <c r="AA257" s="64"/>
    </row>
    <row r="258" customFormat="false" ht="15" hidden="false" customHeight="false" outlineLevel="0" collapsed="false">
      <c r="A258" s="65" t="n">
        <v>46304</v>
      </c>
      <c r="B258" s="66" t="s">
        <v>348</v>
      </c>
      <c r="C258" s="67" t="s">
        <v>679</v>
      </c>
      <c r="D258" s="67" t="s">
        <v>680</v>
      </c>
      <c r="E258" s="66" t="n">
        <v>2675</v>
      </c>
      <c r="F258" s="66" t="n">
        <v>0</v>
      </c>
      <c r="G258" s="66" t="n">
        <v>2675</v>
      </c>
      <c r="H258" s="66" t="n">
        <v>0</v>
      </c>
      <c r="I258" s="66" t="n">
        <v>0</v>
      </c>
      <c r="J258" s="66" t="n">
        <v>0</v>
      </c>
      <c r="K258" s="66" t="n">
        <v>0</v>
      </c>
      <c r="L258" s="66" t="n">
        <v>0</v>
      </c>
      <c r="M258" s="44"/>
      <c r="N258" s="44"/>
      <c r="O258" s="72"/>
      <c r="P258" s="67"/>
      <c r="Q258" s="64"/>
      <c r="R258" s="64"/>
      <c r="S258" s="64"/>
      <c r="T258" s="64"/>
      <c r="U258" s="64"/>
      <c r="V258" s="64"/>
      <c r="W258" s="64"/>
      <c r="X258" s="64"/>
      <c r="Y258" s="64"/>
      <c r="Z258" s="64"/>
      <c r="AA258" s="64"/>
    </row>
    <row r="259" customFormat="false" ht="15" hidden="false" customHeight="false" outlineLevel="0" collapsed="false">
      <c r="A259" s="65" t="n">
        <v>46304</v>
      </c>
      <c r="B259" s="66" t="s">
        <v>548</v>
      </c>
      <c r="C259" s="67" t="s">
        <v>679</v>
      </c>
      <c r="D259" s="67" t="s">
        <v>680</v>
      </c>
      <c r="E259" s="66" t="n">
        <v>3567</v>
      </c>
      <c r="F259" s="66" t="n">
        <v>0</v>
      </c>
      <c r="G259" s="66" t="n">
        <v>0</v>
      </c>
      <c r="H259" s="66" t="n">
        <v>2960</v>
      </c>
      <c r="I259" s="66" t="n">
        <v>0</v>
      </c>
      <c r="J259" s="66" t="n">
        <v>0</v>
      </c>
      <c r="K259" s="66" t="n">
        <v>607</v>
      </c>
      <c r="L259" s="66" t="n">
        <v>607</v>
      </c>
      <c r="M259" s="44"/>
      <c r="N259" s="44"/>
      <c r="O259" s="72"/>
      <c r="P259" s="67"/>
      <c r="Q259" s="64"/>
      <c r="R259" s="64"/>
      <c r="S259" s="64"/>
      <c r="T259" s="64"/>
      <c r="U259" s="64"/>
      <c r="V259" s="64"/>
      <c r="W259" s="64"/>
      <c r="X259" s="64"/>
      <c r="Y259" s="64"/>
      <c r="Z259" s="64"/>
      <c r="AA259" s="64"/>
    </row>
    <row r="260" customFormat="false" ht="15" hidden="false" customHeight="false" outlineLevel="0" collapsed="false">
      <c r="A260" s="65" t="n">
        <v>46304</v>
      </c>
      <c r="B260" s="66" t="s">
        <v>291</v>
      </c>
      <c r="C260" s="67" t="s">
        <v>698</v>
      </c>
      <c r="D260" s="67" t="s">
        <v>697</v>
      </c>
      <c r="E260" s="66" t="n">
        <v>162</v>
      </c>
      <c r="F260" s="66" t="n">
        <v>0</v>
      </c>
      <c r="G260" s="66" t="n">
        <v>0</v>
      </c>
      <c r="H260" s="66" t="n">
        <v>162</v>
      </c>
      <c r="I260" s="66" t="n">
        <v>0</v>
      </c>
      <c r="J260" s="66" t="n">
        <v>0</v>
      </c>
      <c r="K260" s="66" t="n">
        <v>0</v>
      </c>
      <c r="L260" s="66" t="n">
        <v>162</v>
      </c>
      <c r="M260" s="73" t="n">
        <v>0.001</v>
      </c>
      <c r="N260" s="73"/>
      <c r="O260" s="72"/>
      <c r="P260" s="67"/>
      <c r="Q260" s="64"/>
      <c r="R260" s="64"/>
      <c r="S260" s="64"/>
      <c r="T260" s="64"/>
      <c r="U260" s="64"/>
      <c r="V260" s="64"/>
      <c r="W260" s="64"/>
      <c r="X260" s="64"/>
      <c r="Y260" s="64"/>
      <c r="Z260" s="64"/>
      <c r="AA260" s="64"/>
    </row>
    <row r="261" customFormat="false" ht="15" hidden="false" customHeight="false" outlineLevel="0" collapsed="false">
      <c r="A261" s="65" t="n">
        <v>46304</v>
      </c>
      <c r="B261" s="66" t="s">
        <v>420</v>
      </c>
      <c r="C261" s="67" t="s">
        <v>694</v>
      </c>
      <c r="D261" s="67" t="s">
        <v>692</v>
      </c>
      <c r="E261" s="66" t="n">
        <v>0</v>
      </c>
      <c r="F261" s="66" t="n">
        <v>0</v>
      </c>
      <c r="G261" s="66" t="n">
        <v>0</v>
      </c>
      <c r="H261" s="66" t="n">
        <v>0</v>
      </c>
      <c r="I261" s="66" t="n">
        <v>0</v>
      </c>
      <c r="J261" s="66" t="n">
        <v>0</v>
      </c>
      <c r="K261" s="66" t="n">
        <v>0</v>
      </c>
      <c r="L261" s="66" t="n">
        <v>0</v>
      </c>
      <c r="M261" s="73" t="n">
        <v>0</v>
      </c>
      <c r="N261" s="73"/>
      <c r="O261" s="72"/>
      <c r="P261" s="67"/>
      <c r="Q261" s="64"/>
      <c r="R261" s="64"/>
      <c r="S261" s="64"/>
      <c r="T261" s="64"/>
      <c r="U261" s="64"/>
      <c r="V261" s="64"/>
      <c r="W261" s="64"/>
      <c r="X261" s="64"/>
      <c r="Y261" s="64"/>
      <c r="Z261" s="64"/>
      <c r="AA261" s="64"/>
    </row>
    <row r="262" customFormat="false" ht="15" hidden="false" customHeight="false" outlineLevel="0" collapsed="false">
      <c r="A262" s="65" t="n">
        <v>46304</v>
      </c>
      <c r="B262" s="66" t="s">
        <v>306</v>
      </c>
      <c r="C262" s="67" t="s">
        <v>693</v>
      </c>
      <c r="D262" s="67" t="s">
        <v>692</v>
      </c>
      <c r="E262" s="66" t="n">
        <v>847</v>
      </c>
      <c r="F262" s="66" t="n">
        <v>810</v>
      </c>
      <c r="G262" s="66" t="n">
        <v>37</v>
      </c>
      <c r="H262" s="66" t="n">
        <v>0</v>
      </c>
      <c r="I262" s="66" t="n">
        <v>0</v>
      </c>
      <c r="J262" s="66" t="n">
        <v>0</v>
      </c>
      <c r="K262" s="66" t="n">
        <v>0</v>
      </c>
      <c r="L262" s="66" t="n">
        <v>0</v>
      </c>
      <c r="M262" s="73" t="n">
        <v>0</v>
      </c>
      <c r="N262" s="73"/>
      <c r="O262" s="72"/>
      <c r="P262" s="67"/>
      <c r="Q262" s="64"/>
      <c r="R262" s="64"/>
      <c r="S262" s="64"/>
      <c r="T262" s="64"/>
      <c r="U262" s="64"/>
      <c r="V262" s="64"/>
      <c r="W262" s="64"/>
      <c r="X262" s="64"/>
      <c r="Y262" s="64"/>
      <c r="Z262" s="64"/>
      <c r="AA262" s="64"/>
    </row>
    <row r="263" customFormat="false" ht="15" hidden="false" customHeight="false" outlineLevel="0" collapsed="false">
      <c r="A263" s="65" t="n">
        <v>46304</v>
      </c>
      <c r="B263" s="66" t="s">
        <v>528</v>
      </c>
      <c r="C263" s="67" t="s">
        <v>668</v>
      </c>
      <c r="D263" s="67" t="s">
        <v>669</v>
      </c>
      <c r="E263" s="66" t="n">
        <v>780</v>
      </c>
      <c r="F263" s="66" t="n">
        <v>0</v>
      </c>
      <c r="G263" s="66" t="n">
        <v>0</v>
      </c>
      <c r="H263" s="66" t="n">
        <v>780</v>
      </c>
      <c r="I263" s="66" t="n">
        <v>0</v>
      </c>
      <c r="J263" s="66" t="n">
        <v>0</v>
      </c>
      <c r="K263" s="66" t="n">
        <v>0</v>
      </c>
      <c r="L263" s="66" t="n">
        <v>780</v>
      </c>
      <c r="M263" s="73" t="n">
        <v>0.006</v>
      </c>
      <c r="N263" s="73"/>
      <c r="O263" s="72"/>
      <c r="P263" s="67"/>
      <c r="Q263" s="64"/>
      <c r="R263" s="64"/>
      <c r="S263" s="64"/>
      <c r="T263" s="64"/>
      <c r="U263" s="64"/>
      <c r="V263" s="64"/>
      <c r="W263" s="64"/>
      <c r="X263" s="64"/>
      <c r="Y263" s="64"/>
      <c r="Z263" s="64"/>
      <c r="AA263" s="64"/>
    </row>
    <row r="264" customFormat="false" ht="15" hidden="false" customHeight="false" outlineLevel="0" collapsed="false">
      <c r="A264" s="65" t="n">
        <v>46304</v>
      </c>
      <c r="B264" s="66" t="s">
        <v>379</v>
      </c>
      <c r="C264" s="67" t="s">
        <v>696</v>
      </c>
      <c r="D264" s="67" t="s">
        <v>697</v>
      </c>
      <c r="E264" s="66" t="n">
        <v>1</v>
      </c>
      <c r="F264" s="66" t="n">
        <v>0</v>
      </c>
      <c r="G264" s="66" t="n">
        <v>0</v>
      </c>
      <c r="H264" s="66" t="n">
        <v>1</v>
      </c>
      <c r="I264" s="66" t="n">
        <v>0</v>
      </c>
      <c r="J264" s="66" t="n">
        <v>0</v>
      </c>
      <c r="K264" s="66" t="n">
        <v>0</v>
      </c>
      <c r="L264" s="66" t="n">
        <v>1</v>
      </c>
      <c r="M264" s="73" t="n">
        <v>0</v>
      </c>
      <c r="N264" s="73"/>
      <c r="O264" s="72"/>
      <c r="P264" s="67"/>
      <c r="Q264" s="64"/>
      <c r="R264" s="64"/>
      <c r="S264" s="64"/>
      <c r="T264" s="64"/>
      <c r="U264" s="64"/>
      <c r="V264" s="64"/>
      <c r="W264" s="64"/>
      <c r="X264" s="64"/>
      <c r="Y264" s="64"/>
      <c r="Z264" s="64"/>
      <c r="AA264" s="64"/>
    </row>
    <row r="265" customFormat="false" ht="15" hidden="false" customHeight="false" outlineLevel="0" collapsed="false">
      <c r="A265" s="65" t="n">
        <v>46304</v>
      </c>
      <c r="B265" s="66" t="s">
        <v>189</v>
      </c>
      <c r="C265" s="67" t="s">
        <v>672</v>
      </c>
      <c r="D265" s="67" t="s">
        <v>669</v>
      </c>
      <c r="E265" s="66" t="n">
        <v>3779</v>
      </c>
      <c r="F265" s="66" t="n">
        <v>1761</v>
      </c>
      <c r="G265" s="66" t="n">
        <v>2018</v>
      </c>
      <c r="H265" s="66" t="n">
        <v>0</v>
      </c>
      <c r="I265" s="66" t="n">
        <v>0</v>
      </c>
      <c r="J265" s="66" t="n">
        <v>0</v>
      </c>
      <c r="K265" s="66" t="n">
        <v>0</v>
      </c>
      <c r="L265" s="66" t="n">
        <v>0</v>
      </c>
      <c r="M265" s="73" t="n">
        <v>0.029</v>
      </c>
      <c r="N265" s="73"/>
      <c r="O265" s="72"/>
      <c r="P265" s="67"/>
      <c r="Q265" s="64"/>
      <c r="R265" s="64"/>
      <c r="S265" s="64"/>
      <c r="T265" s="64"/>
      <c r="U265" s="64"/>
      <c r="V265" s="64"/>
      <c r="W265" s="64"/>
      <c r="X265" s="64"/>
      <c r="Y265" s="64"/>
      <c r="Z265" s="64"/>
      <c r="AA265" s="64"/>
    </row>
    <row r="266" customFormat="false" ht="15" hidden="false" customHeight="false" outlineLevel="0" collapsed="false">
      <c r="A266" s="65" t="n">
        <v>46304</v>
      </c>
      <c r="B266" s="66" t="s">
        <v>444</v>
      </c>
      <c r="C266" s="67" t="s">
        <v>693</v>
      </c>
      <c r="D266" s="67" t="s">
        <v>692</v>
      </c>
      <c r="E266" s="66" t="n">
        <v>6587</v>
      </c>
      <c r="F266" s="66" t="n">
        <v>6587</v>
      </c>
      <c r="G266" s="66" t="n">
        <v>0</v>
      </c>
      <c r="H266" s="66" t="n">
        <v>0</v>
      </c>
      <c r="I266" s="66" t="n">
        <v>0</v>
      </c>
      <c r="J266" s="66" t="n">
        <v>0</v>
      </c>
      <c r="K266" s="66" t="n">
        <v>0</v>
      </c>
      <c r="L266" s="66" t="n">
        <v>0</v>
      </c>
      <c r="M266" s="73" t="n">
        <v>0.031</v>
      </c>
      <c r="N266" s="73"/>
      <c r="O266" s="72"/>
      <c r="P266" s="67"/>
      <c r="Q266" s="64"/>
      <c r="R266" s="64"/>
      <c r="S266" s="64"/>
      <c r="T266" s="64"/>
      <c r="U266" s="64"/>
      <c r="V266" s="64"/>
      <c r="W266" s="64"/>
      <c r="X266" s="64"/>
      <c r="Y266" s="64"/>
      <c r="Z266" s="64"/>
      <c r="AA266" s="64"/>
    </row>
    <row r="267" customFormat="false" ht="15" hidden="false" customHeight="false" outlineLevel="0" collapsed="false">
      <c r="A267" s="65" t="n">
        <v>46304</v>
      </c>
      <c r="B267" s="66" t="s">
        <v>516</v>
      </c>
      <c r="C267" s="67" t="s">
        <v>670</v>
      </c>
      <c r="D267" s="67" t="s">
        <v>669</v>
      </c>
      <c r="E267" s="66" t="n">
        <v>0</v>
      </c>
      <c r="F267" s="66" t="n">
        <v>0</v>
      </c>
      <c r="G267" s="66" t="n">
        <v>0</v>
      </c>
      <c r="H267" s="66" t="n">
        <v>0</v>
      </c>
      <c r="I267" s="66" t="n">
        <v>0</v>
      </c>
      <c r="J267" s="66" t="n">
        <v>0</v>
      </c>
      <c r="K267" s="66" t="n">
        <v>0</v>
      </c>
      <c r="L267" s="66" t="n">
        <v>0</v>
      </c>
      <c r="M267" s="73" t="n">
        <v>0</v>
      </c>
      <c r="N267" s="73"/>
      <c r="O267" s="72"/>
      <c r="P267" s="67"/>
      <c r="Q267" s="64"/>
      <c r="R267" s="64"/>
      <c r="S267" s="64"/>
      <c r="T267" s="64"/>
      <c r="U267" s="64"/>
      <c r="V267" s="64"/>
      <c r="W267" s="64"/>
      <c r="X267" s="64"/>
      <c r="Y267" s="64"/>
      <c r="Z267" s="64"/>
      <c r="AA267" s="64"/>
    </row>
    <row r="268" customFormat="false" ht="15" hidden="false" customHeight="false" outlineLevel="0" collapsed="false">
      <c r="A268" s="65" t="n">
        <v>46304</v>
      </c>
      <c r="B268" s="66" t="s">
        <v>484</v>
      </c>
      <c r="C268" s="67" t="s">
        <v>683</v>
      </c>
      <c r="D268" s="67" t="s">
        <v>682</v>
      </c>
      <c r="E268" s="66" t="n">
        <v>2281</v>
      </c>
      <c r="F268" s="66" t="n">
        <v>1657</v>
      </c>
      <c r="G268" s="66" t="n">
        <v>87</v>
      </c>
      <c r="H268" s="66" t="n">
        <v>348</v>
      </c>
      <c r="I268" s="66" t="n">
        <v>43</v>
      </c>
      <c r="J268" s="66" t="n">
        <v>0</v>
      </c>
      <c r="K268" s="66" t="n">
        <v>146</v>
      </c>
      <c r="L268" s="66" t="n">
        <v>537</v>
      </c>
      <c r="M268" s="73" t="n">
        <v>0.016</v>
      </c>
      <c r="N268" s="44" t="s">
        <v>883</v>
      </c>
      <c r="O268" s="72"/>
      <c r="P268" s="67"/>
      <c r="Q268" s="64"/>
      <c r="R268" s="64"/>
      <c r="S268" s="64"/>
      <c r="T268" s="64"/>
      <c r="U268" s="64"/>
      <c r="V268" s="64"/>
      <c r="W268" s="64"/>
      <c r="X268" s="64"/>
      <c r="Y268" s="64"/>
      <c r="Z268" s="64"/>
      <c r="AA268" s="64"/>
    </row>
    <row r="269" customFormat="false" ht="15" hidden="false" customHeight="false" outlineLevel="0" collapsed="false">
      <c r="A269" s="65" t="n">
        <v>46304</v>
      </c>
      <c r="B269" s="66" t="s">
        <v>384</v>
      </c>
      <c r="C269" s="67" t="s">
        <v>668</v>
      </c>
      <c r="D269" s="67" t="s">
        <v>669</v>
      </c>
      <c r="E269" s="66" t="n">
        <v>4</v>
      </c>
      <c r="F269" s="66" t="n">
        <v>0</v>
      </c>
      <c r="G269" s="66" t="n">
        <v>0</v>
      </c>
      <c r="H269" s="66" t="n">
        <v>0</v>
      </c>
      <c r="I269" s="66" t="n">
        <v>4</v>
      </c>
      <c r="J269" s="66" t="n">
        <v>0</v>
      </c>
      <c r="K269" s="66" t="n">
        <v>0</v>
      </c>
      <c r="L269" s="66" t="n">
        <v>4</v>
      </c>
      <c r="M269" s="73" t="n">
        <v>0</v>
      </c>
      <c r="N269" s="73"/>
      <c r="O269" s="72"/>
      <c r="P269" s="67"/>
      <c r="Q269" s="64"/>
      <c r="R269" s="64"/>
      <c r="S269" s="64"/>
      <c r="T269" s="64"/>
      <c r="U269" s="64"/>
      <c r="V269" s="64"/>
      <c r="W269" s="64"/>
      <c r="X269" s="64"/>
      <c r="Y269" s="64"/>
      <c r="Z269" s="64"/>
      <c r="AA269" s="64"/>
    </row>
    <row r="270" customFormat="false" ht="15" hidden="false" customHeight="false" outlineLevel="0" collapsed="false">
      <c r="A270" s="65" t="n">
        <v>46304</v>
      </c>
      <c r="B270" s="66" t="s">
        <v>497</v>
      </c>
      <c r="C270" s="67" t="s">
        <v>693</v>
      </c>
      <c r="D270" s="67" t="s">
        <v>692</v>
      </c>
      <c r="E270" s="66" t="n">
        <v>0</v>
      </c>
      <c r="F270" s="66" t="n">
        <v>0</v>
      </c>
      <c r="G270" s="66" t="n">
        <v>0</v>
      </c>
      <c r="H270" s="66" t="n">
        <v>0</v>
      </c>
      <c r="I270" s="66" t="n">
        <v>0</v>
      </c>
      <c r="J270" s="66" t="n">
        <v>0</v>
      </c>
      <c r="K270" s="66" t="n">
        <v>0</v>
      </c>
      <c r="L270" s="66" t="n">
        <v>0</v>
      </c>
      <c r="M270" s="73" t="n">
        <v>0</v>
      </c>
      <c r="N270" s="73"/>
      <c r="O270" s="72"/>
      <c r="P270" s="67"/>
      <c r="Q270" s="64"/>
      <c r="R270" s="64"/>
      <c r="S270" s="64"/>
      <c r="T270" s="64"/>
      <c r="U270" s="64"/>
      <c r="V270" s="64"/>
      <c r="W270" s="64"/>
      <c r="X270" s="64"/>
      <c r="Y270" s="64"/>
      <c r="Z270" s="64"/>
      <c r="AA270" s="64"/>
    </row>
    <row r="271" customFormat="false" ht="15" hidden="false" customHeight="false" outlineLevel="0" collapsed="false">
      <c r="A271" s="65" t="n">
        <v>46304</v>
      </c>
      <c r="B271" s="66" t="s">
        <v>44</v>
      </c>
      <c r="C271" s="67" t="s">
        <v>671</v>
      </c>
      <c r="D271" s="67" t="s">
        <v>669</v>
      </c>
      <c r="E271" s="66" t="n">
        <v>2292</v>
      </c>
      <c r="F271" s="66" t="n">
        <v>0</v>
      </c>
      <c r="G271" s="66" t="n">
        <v>2280</v>
      </c>
      <c r="H271" s="66" t="n">
        <v>11</v>
      </c>
      <c r="I271" s="66" t="n">
        <v>0</v>
      </c>
      <c r="J271" s="66" t="n">
        <v>0</v>
      </c>
      <c r="K271" s="66" t="n">
        <v>1</v>
      </c>
      <c r="L271" s="66" t="n">
        <v>12</v>
      </c>
      <c r="M271" s="73" t="n">
        <v>0.017</v>
      </c>
      <c r="N271" s="73"/>
      <c r="O271" s="72"/>
      <c r="P271" s="67"/>
      <c r="Q271" s="64"/>
      <c r="R271" s="64"/>
      <c r="S271" s="64"/>
      <c r="T271" s="64"/>
      <c r="U271" s="64"/>
      <c r="V271" s="64"/>
      <c r="W271" s="64"/>
      <c r="X271" s="64"/>
      <c r="Y271" s="64"/>
      <c r="Z271" s="64"/>
      <c r="AA271" s="64"/>
    </row>
    <row r="272" customFormat="false" ht="15" hidden="false" customHeight="false" outlineLevel="0" collapsed="false">
      <c r="A272" s="65" t="n">
        <v>46304</v>
      </c>
      <c r="B272" s="66" t="s">
        <v>426</v>
      </c>
      <c r="C272" s="67" t="s">
        <v>702</v>
      </c>
      <c r="D272" s="67" t="s">
        <v>703</v>
      </c>
      <c r="E272" s="66" t="n">
        <v>4408</v>
      </c>
      <c r="F272" s="66" t="n">
        <v>4408</v>
      </c>
      <c r="G272" s="66" t="n">
        <v>0</v>
      </c>
      <c r="H272" s="66" t="n">
        <v>0</v>
      </c>
      <c r="I272" s="66" t="n">
        <v>0</v>
      </c>
      <c r="J272" s="66" t="n">
        <v>0</v>
      </c>
      <c r="K272" s="66" t="n">
        <v>0</v>
      </c>
      <c r="L272" s="66" t="n">
        <v>0</v>
      </c>
      <c r="M272" s="73" t="n">
        <v>0.015</v>
      </c>
      <c r="N272" s="73"/>
      <c r="O272" s="72"/>
      <c r="P272" s="67"/>
      <c r="Q272" s="64"/>
      <c r="R272" s="64"/>
      <c r="S272" s="64"/>
      <c r="T272" s="64"/>
      <c r="U272" s="64"/>
      <c r="V272" s="64"/>
      <c r="W272" s="64"/>
      <c r="X272" s="64"/>
      <c r="Y272" s="64"/>
      <c r="Z272" s="64"/>
      <c r="AA272" s="64"/>
    </row>
    <row r="273" customFormat="false" ht="15" hidden="false" customHeight="false" outlineLevel="0" collapsed="false">
      <c r="A273" s="65" t="n">
        <v>46304</v>
      </c>
      <c r="B273" s="66" t="s">
        <v>248</v>
      </c>
      <c r="C273" s="67" t="s">
        <v>679</v>
      </c>
      <c r="D273" s="67" t="s">
        <v>680</v>
      </c>
      <c r="E273" s="66" t="n">
        <v>169</v>
      </c>
      <c r="F273" s="66" t="n">
        <v>0</v>
      </c>
      <c r="G273" s="66" t="n">
        <v>0</v>
      </c>
      <c r="H273" s="66" t="n">
        <v>169</v>
      </c>
      <c r="I273" s="66" t="n">
        <v>0</v>
      </c>
      <c r="J273" s="66" t="n">
        <v>0</v>
      </c>
      <c r="K273" s="66" t="n">
        <v>0</v>
      </c>
      <c r="L273" s="66" t="n">
        <v>0</v>
      </c>
      <c r="M273" s="44"/>
      <c r="N273" s="44"/>
      <c r="O273" s="72"/>
      <c r="P273" s="67"/>
      <c r="Q273" s="64"/>
      <c r="R273" s="64"/>
      <c r="S273" s="64"/>
      <c r="T273" s="64"/>
      <c r="U273" s="64"/>
      <c r="V273" s="64"/>
      <c r="W273" s="64"/>
      <c r="X273" s="64"/>
      <c r="Y273" s="64"/>
      <c r="Z273" s="64"/>
      <c r="AA273" s="64"/>
    </row>
    <row r="274" customFormat="false" ht="15" hidden="false" customHeight="false" outlineLevel="0" collapsed="false">
      <c r="A274" s="65" t="n">
        <v>46304</v>
      </c>
      <c r="B274" s="66" t="s">
        <v>381</v>
      </c>
      <c r="C274" s="67" t="s">
        <v>687</v>
      </c>
      <c r="D274" s="67" t="s">
        <v>686</v>
      </c>
      <c r="E274" s="66" t="n">
        <v>1</v>
      </c>
      <c r="F274" s="66" t="n">
        <v>0</v>
      </c>
      <c r="G274" s="66" t="n">
        <v>0</v>
      </c>
      <c r="H274" s="66" t="n">
        <v>1</v>
      </c>
      <c r="I274" s="66" t="n">
        <v>0</v>
      </c>
      <c r="J274" s="66" t="n">
        <v>0</v>
      </c>
      <c r="K274" s="66" t="n">
        <v>0</v>
      </c>
      <c r="L274" s="66" t="n">
        <v>1</v>
      </c>
      <c r="M274" s="73" t="n">
        <v>0</v>
      </c>
      <c r="N274" s="73"/>
      <c r="O274" s="72"/>
      <c r="P274" s="67"/>
      <c r="Q274" s="64"/>
      <c r="R274" s="64"/>
      <c r="S274" s="64"/>
      <c r="T274" s="64"/>
      <c r="U274" s="64"/>
      <c r="V274" s="64"/>
      <c r="W274" s="64"/>
      <c r="X274" s="64"/>
      <c r="Y274" s="64"/>
      <c r="Z274" s="64"/>
      <c r="AA274" s="64"/>
    </row>
    <row r="275" customFormat="false" ht="15" hidden="false" customHeight="false" outlineLevel="0" collapsed="false">
      <c r="A275" s="65" t="n">
        <v>46304</v>
      </c>
      <c r="B275" s="66" t="s">
        <v>281</v>
      </c>
      <c r="C275" s="67" t="s">
        <v>687</v>
      </c>
      <c r="D275" s="67" t="s">
        <v>686</v>
      </c>
      <c r="E275" s="66" t="n">
        <v>0</v>
      </c>
      <c r="F275" s="66" t="n">
        <v>0</v>
      </c>
      <c r="G275" s="66" t="n">
        <v>0</v>
      </c>
      <c r="H275" s="66" t="n">
        <v>0</v>
      </c>
      <c r="I275" s="66" t="n">
        <v>0</v>
      </c>
      <c r="J275" s="66" t="n">
        <v>0</v>
      </c>
      <c r="K275" s="66" t="n">
        <v>0</v>
      </c>
      <c r="L275" s="66" t="n">
        <v>0</v>
      </c>
      <c r="M275" s="73" t="n">
        <v>0</v>
      </c>
      <c r="N275" s="73"/>
      <c r="O275" s="72"/>
      <c r="P275" s="67"/>
      <c r="Q275" s="64"/>
      <c r="R275" s="64"/>
      <c r="S275" s="64"/>
      <c r="T275" s="64"/>
      <c r="U275" s="64"/>
      <c r="V275" s="64"/>
      <c r="W275" s="64"/>
      <c r="X275" s="64"/>
      <c r="Y275" s="64"/>
      <c r="Z275" s="64"/>
      <c r="AA275" s="64"/>
    </row>
    <row r="276" customFormat="false" ht="15" hidden="false" customHeight="false" outlineLevel="0" collapsed="false">
      <c r="A276" s="65" t="n">
        <v>46304</v>
      </c>
      <c r="B276" s="66" t="s">
        <v>120</v>
      </c>
      <c r="C276" s="67" t="s">
        <v>687</v>
      </c>
      <c r="D276" s="67" t="s">
        <v>686</v>
      </c>
      <c r="E276" s="66" t="n">
        <v>0</v>
      </c>
      <c r="F276" s="66" t="n">
        <v>0</v>
      </c>
      <c r="G276" s="66" t="n">
        <v>0</v>
      </c>
      <c r="H276" s="66" t="n">
        <v>0</v>
      </c>
      <c r="I276" s="66" t="n">
        <v>0</v>
      </c>
      <c r="J276" s="66" t="n">
        <v>0</v>
      </c>
      <c r="K276" s="66" t="n">
        <v>0</v>
      </c>
      <c r="L276" s="66" t="n">
        <v>0</v>
      </c>
      <c r="M276" s="73" t="n">
        <v>0</v>
      </c>
      <c r="N276" s="73"/>
      <c r="O276" s="72"/>
      <c r="P276" s="67"/>
      <c r="Q276" s="64"/>
      <c r="R276" s="64"/>
      <c r="S276" s="64"/>
      <c r="T276" s="64"/>
      <c r="U276" s="64"/>
      <c r="V276" s="64"/>
      <c r="W276" s="64"/>
      <c r="X276" s="64"/>
      <c r="Y276" s="64"/>
      <c r="Z276" s="64"/>
      <c r="AA276" s="64"/>
    </row>
    <row r="277" customFormat="false" ht="15" hidden="false" customHeight="false" outlineLevel="0" collapsed="false">
      <c r="A277" s="65" t="n">
        <v>46304</v>
      </c>
      <c r="B277" s="66" t="s">
        <v>433</v>
      </c>
      <c r="C277" s="67" t="s">
        <v>702</v>
      </c>
      <c r="D277" s="67" t="s">
        <v>703</v>
      </c>
      <c r="E277" s="66" t="n">
        <v>0</v>
      </c>
      <c r="F277" s="66" t="n">
        <v>0</v>
      </c>
      <c r="G277" s="66" t="n">
        <v>0</v>
      </c>
      <c r="H277" s="66" t="n">
        <v>0</v>
      </c>
      <c r="I277" s="66" t="n">
        <v>0</v>
      </c>
      <c r="J277" s="66" t="n">
        <v>0</v>
      </c>
      <c r="K277" s="66" t="n">
        <v>0</v>
      </c>
      <c r="L277" s="66" t="n">
        <v>0</v>
      </c>
      <c r="M277" s="73" t="n">
        <v>0</v>
      </c>
      <c r="N277" s="73"/>
      <c r="O277" s="72"/>
      <c r="P277" s="67"/>
      <c r="Q277" s="64"/>
      <c r="R277" s="64"/>
      <c r="S277" s="64"/>
      <c r="T277" s="64"/>
      <c r="U277" s="64"/>
      <c r="V277" s="64"/>
      <c r="W277" s="64"/>
      <c r="X277" s="64"/>
      <c r="Y277" s="64"/>
      <c r="Z277" s="64"/>
      <c r="AA277" s="64"/>
    </row>
    <row r="278" customFormat="false" ht="15" hidden="false" customHeight="false" outlineLevel="0" collapsed="false">
      <c r="A278" s="65" t="n">
        <v>46304</v>
      </c>
      <c r="B278" s="66" t="s">
        <v>508</v>
      </c>
      <c r="C278" s="67" t="s">
        <v>694</v>
      </c>
      <c r="D278" s="67" t="s">
        <v>692</v>
      </c>
      <c r="E278" s="66" t="n">
        <v>6856</v>
      </c>
      <c r="F278" s="66" t="n">
        <v>6856</v>
      </c>
      <c r="G278" s="66" t="n">
        <v>0</v>
      </c>
      <c r="H278" s="66" t="n">
        <v>0</v>
      </c>
      <c r="I278" s="66" t="n">
        <v>0</v>
      </c>
      <c r="J278" s="66" t="n">
        <v>0</v>
      </c>
      <c r="K278" s="66" t="n">
        <v>0</v>
      </c>
      <c r="L278" s="66" t="n">
        <v>0</v>
      </c>
      <c r="M278" s="73" t="n">
        <v>0.013</v>
      </c>
      <c r="N278" s="73"/>
      <c r="O278" s="72"/>
      <c r="P278" s="67"/>
      <c r="Q278" s="64"/>
      <c r="R278" s="64"/>
      <c r="S278" s="64"/>
      <c r="T278" s="64"/>
      <c r="U278" s="64"/>
      <c r="V278" s="64"/>
      <c r="W278" s="64"/>
      <c r="X278" s="64"/>
      <c r="Y278" s="64"/>
      <c r="Z278" s="64"/>
      <c r="AA278" s="64"/>
    </row>
    <row r="279" customFormat="false" ht="15" hidden="false" customHeight="false" outlineLevel="0" collapsed="false">
      <c r="A279" s="65" t="n">
        <v>46304</v>
      </c>
      <c r="B279" s="66" t="s">
        <v>173</v>
      </c>
      <c r="C279" s="67" t="s">
        <v>676</v>
      </c>
      <c r="D279" s="67" t="s">
        <v>677</v>
      </c>
      <c r="E279" s="66" t="n">
        <v>1816</v>
      </c>
      <c r="F279" s="66" t="n">
        <v>1060</v>
      </c>
      <c r="G279" s="66" t="n">
        <v>0</v>
      </c>
      <c r="H279" s="66" t="n">
        <v>756</v>
      </c>
      <c r="I279" s="66" t="n">
        <v>0</v>
      </c>
      <c r="J279" s="66" t="n">
        <v>0</v>
      </c>
      <c r="K279" s="66" t="n">
        <v>0</v>
      </c>
      <c r="L279" s="66" t="n">
        <v>756</v>
      </c>
      <c r="M279" s="73" t="n">
        <v>0.004</v>
      </c>
      <c r="N279" s="73"/>
      <c r="O279" s="72"/>
      <c r="P279" s="67"/>
      <c r="Q279" s="64"/>
      <c r="R279" s="64"/>
      <c r="S279" s="64"/>
      <c r="T279" s="64"/>
      <c r="U279" s="64"/>
      <c r="V279" s="64"/>
      <c r="W279" s="64"/>
      <c r="X279" s="64"/>
      <c r="Y279" s="64"/>
      <c r="Z279" s="64"/>
      <c r="AA279" s="64"/>
    </row>
    <row r="280" customFormat="false" ht="15" hidden="false" customHeight="false" outlineLevel="0" collapsed="false">
      <c r="A280" s="65" t="n">
        <v>46304</v>
      </c>
      <c r="B280" s="66" t="s">
        <v>460</v>
      </c>
      <c r="C280" s="67" t="s">
        <v>699</v>
      </c>
      <c r="D280" s="67" t="s">
        <v>697</v>
      </c>
      <c r="E280" s="66" t="n">
        <v>9722</v>
      </c>
      <c r="F280" s="66" t="n">
        <v>0</v>
      </c>
      <c r="G280" s="66" t="n">
        <v>5377</v>
      </c>
      <c r="H280" s="66" t="n">
        <v>301</v>
      </c>
      <c r="I280" s="66" t="n">
        <v>1092</v>
      </c>
      <c r="J280" s="66" t="n">
        <v>2220</v>
      </c>
      <c r="K280" s="66" t="n">
        <v>732</v>
      </c>
      <c r="L280" s="66" t="n">
        <v>4345</v>
      </c>
      <c r="M280" s="73" t="n">
        <v>0.097</v>
      </c>
      <c r="N280" s="73"/>
      <c r="O280" s="72"/>
      <c r="P280" s="67"/>
      <c r="Q280" s="64"/>
      <c r="R280" s="64"/>
      <c r="S280" s="64"/>
      <c r="T280" s="64"/>
      <c r="U280" s="64"/>
      <c r="V280" s="64"/>
      <c r="W280" s="64"/>
      <c r="X280" s="64"/>
      <c r="Y280" s="64"/>
      <c r="Z280" s="64"/>
      <c r="AA280" s="64"/>
    </row>
    <row r="281" customFormat="false" ht="15" hidden="false" customHeight="false" outlineLevel="0" collapsed="false">
      <c r="A281" s="65" t="n">
        <v>46304</v>
      </c>
      <c r="B281" s="66" t="s">
        <v>92</v>
      </c>
      <c r="C281" s="67" t="s">
        <v>687</v>
      </c>
      <c r="D281" s="67" t="s">
        <v>686</v>
      </c>
      <c r="E281" s="66" t="n">
        <v>623</v>
      </c>
      <c r="F281" s="66" t="n">
        <v>0</v>
      </c>
      <c r="G281" s="66" t="n">
        <v>0</v>
      </c>
      <c r="H281" s="66" t="n">
        <v>623</v>
      </c>
      <c r="I281" s="66" t="n">
        <v>0</v>
      </c>
      <c r="J281" s="66" t="n">
        <v>0</v>
      </c>
      <c r="K281" s="66" t="n">
        <v>0</v>
      </c>
      <c r="L281" s="66" t="n">
        <v>623</v>
      </c>
      <c r="M281" s="73" t="n">
        <v>0.003</v>
      </c>
      <c r="N281" s="73"/>
      <c r="O281" s="72"/>
      <c r="P281" s="67"/>
      <c r="Q281" s="64"/>
      <c r="R281" s="64"/>
      <c r="S281" s="64"/>
      <c r="T281" s="64"/>
      <c r="U281" s="64"/>
      <c r="V281" s="64"/>
      <c r="W281" s="64"/>
      <c r="X281" s="64"/>
      <c r="Y281" s="64"/>
      <c r="Z281" s="64"/>
      <c r="AA281" s="64"/>
    </row>
    <row r="282" customFormat="false" ht="15" hidden="false" customHeight="false" outlineLevel="0" collapsed="false">
      <c r="A282" s="65" t="n">
        <v>46304</v>
      </c>
      <c r="B282" s="66" t="s">
        <v>463</v>
      </c>
      <c r="C282" s="67" t="s">
        <v>698</v>
      </c>
      <c r="D282" s="67" t="s">
        <v>697</v>
      </c>
      <c r="E282" s="66" t="n">
        <v>2132</v>
      </c>
      <c r="F282" s="66" t="n">
        <v>1530</v>
      </c>
      <c r="G282" s="66" t="n">
        <v>602</v>
      </c>
      <c r="H282" s="66" t="n">
        <v>0</v>
      </c>
      <c r="I282" s="66" t="n">
        <v>0</v>
      </c>
      <c r="J282" s="66" t="n">
        <v>0</v>
      </c>
      <c r="K282" s="66" t="n">
        <v>0</v>
      </c>
      <c r="L282" s="66" t="n">
        <v>0</v>
      </c>
      <c r="M282" s="73" t="n">
        <v>0.004</v>
      </c>
      <c r="N282" s="73"/>
      <c r="O282" s="72"/>
      <c r="P282" s="67"/>
      <c r="Q282" s="64"/>
      <c r="R282" s="64"/>
      <c r="S282" s="64"/>
      <c r="T282" s="64"/>
      <c r="U282" s="64"/>
      <c r="V282" s="64"/>
      <c r="W282" s="64"/>
      <c r="X282" s="64"/>
      <c r="Y282" s="64"/>
      <c r="Z282" s="64"/>
      <c r="AA282" s="64"/>
    </row>
    <row r="283" customFormat="false" ht="15" hidden="false" customHeight="false" outlineLevel="0" collapsed="false">
      <c r="A283" s="65" t="n">
        <v>46304</v>
      </c>
      <c r="B283" s="66" t="s">
        <v>454</v>
      </c>
      <c r="C283" s="67" t="s">
        <v>687</v>
      </c>
      <c r="D283" s="67" t="s">
        <v>686</v>
      </c>
      <c r="E283" s="66" t="n">
        <v>0</v>
      </c>
      <c r="F283" s="66" t="n">
        <v>0</v>
      </c>
      <c r="G283" s="66" t="n">
        <v>0</v>
      </c>
      <c r="H283" s="66" t="n">
        <v>0</v>
      </c>
      <c r="I283" s="66" t="n">
        <v>0</v>
      </c>
      <c r="J283" s="66" t="n">
        <v>0</v>
      </c>
      <c r="K283" s="66" t="n">
        <v>0</v>
      </c>
      <c r="L283" s="66" t="n">
        <v>0</v>
      </c>
      <c r="M283" s="73" t="n">
        <v>0</v>
      </c>
      <c r="N283" s="73"/>
      <c r="O283" s="72"/>
      <c r="P283" s="67"/>
      <c r="Q283" s="64"/>
      <c r="R283" s="64"/>
      <c r="S283" s="64"/>
      <c r="T283" s="64"/>
      <c r="U283" s="64"/>
      <c r="V283" s="64"/>
      <c r="W283" s="64"/>
      <c r="X283" s="64"/>
      <c r="Y283" s="64"/>
      <c r="Z283" s="64"/>
      <c r="AA283" s="64"/>
    </row>
    <row r="284" customFormat="false" ht="15" hidden="false" customHeight="false" outlineLevel="0" collapsed="false">
      <c r="A284" s="65" t="n">
        <v>46304</v>
      </c>
      <c r="B284" s="66" t="s">
        <v>134</v>
      </c>
      <c r="C284" s="67" t="s">
        <v>683</v>
      </c>
      <c r="D284" s="67" t="s">
        <v>682</v>
      </c>
      <c r="E284" s="66" t="n">
        <v>3695</v>
      </c>
      <c r="F284" s="66" t="n">
        <v>0</v>
      </c>
      <c r="G284" s="66" t="n">
        <v>3686</v>
      </c>
      <c r="H284" s="66" t="n">
        <v>0</v>
      </c>
      <c r="I284" s="66" t="n">
        <v>9</v>
      </c>
      <c r="J284" s="66" t="n">
        <v>0</v>
      </c>
      <c r="K284" s="66" t="n">
        <v>0</v>
      </c>
      <c r="L284" s="66" t="n">
        <v>9</v>
      </c>
      <c r="M284" s="73" t="n">
        <v>0.009</v>
      </c>
      <c r="N284" s="44" t="s">
        <v>862</v>
      </c>
      <c r="O284" s="72" t="s">
        <v>921</v>
      </c>
      <c r="P284" s="67" t="s">
        <v>922</v>
      </c>
      <c r="Q284" s="64"/>
      <c r="R284" s="64"/>
      <c r="S284" s="64"/>
      <c r="T284" s="64"/>
      <c r="U284" s="64"/>
      <c r="V284" s="64"/>
      <c r="W284" s="64"/>
      <c r="X284" s="64"/>
      <c r="Y284" s="64"/>
      <c r="Z284" s="64"/>
      <c r="AA284" s="64"/>
    </row>
    <row r="285" customFormat="false" ht="15" hidden="false" customHeight="false" outlineLevel="0" collapsed="false">
      <c r="A285" s="65" t="n">
        <v>46304</v>
      </c>
      <c r="B285" s="66" t="s">
        <v>191</v>
      </c>
      <c r="C285" s="67" t="s">
        <v>685</v>
      </c>
      <c r="D285" s="67" t="s">
        <v>686</v>
      </c>
      <c r="E285" s="66" t="n">
        <v>0</v>
      </c>
      <c r="F285" s="66" t="n">
        <v>0</v>
      </c>
      <c r="G285" s="66" t="n">
        <v>0</v>
      </c>
      <c r="H285" s="66" t="n">
        <v>0</v>
      </c>
      <c r="I285" s="66" t="n">
        <v>0</v>
      </c>
      <c r="J285" s="66" t="n">
        <v>0</v>
      </c>
      <c r="K285" s="66" t="n">
        <v>0</v>
      </c>
      <c r="L285" s="66" t="n">
        <v>0</v>
      </c>
      <c r="M285" s="44"/>
      <c r="N285" s="44"/>
      <c r="O285" s="72"/>
      <c r="P285" s="67"/>
      <c r="Q285" s="64"/>
      <c r="R285" s="64"/>
      <c r="S285" s="64"/>
      <c r="T285" s="64"/>
      <c r="U285" s="64"/>
      <c r="V285" s="64"/>
      <c r="W285" s="64"/>
      <c r="X285" s="64"/>
      <c r="Y285" s="64"/>
      <c r="Z285" s="64"/>
      <c r="AA285" s="64"/>
    </row>
    <row r="286" customFormat="false" ht="15" hidden="false" customHeight="false" outlineLevel="0" collapsed="false">
      <c r="A286" s="65" t="n">
        <v>46304</v>
      </c>
      <c r="B286" s="66" t="s">
        <v>290</v>
      </c>
      <c r="C286" s="67" t="s">
        <v>676</v>
      </c>
      <c r="D286" s="67" t="s">
        <v>677</v>
      </c>
      <c r="E286" s="66" t="n">
        <v>3810</v>
      </c>
      <c r="F286" s="66" t="n">
        <v>0</v>
      </c>
      <c r="G286" s="66" t="n">
        <v>3784</v>
      </c>
      <c r="H286" s="66" t="n">
        <v>0</v>
      </c>
      <c r="I286" s="66" t="n">
        <v>0</v>
      </c>
      <c r="J286" s="66" t="n">
        <v>0</v>
      </c>
      <c r="K286" s="66" t="n">
        <v>26</v>
      </c>
      <c r="L286" s="66" t="n">
        <v>26</v>
      </c>
      <c r="M286" s="73" t="n">
        <v>0.149</v>
      </c>
      <c r="N286" s="73"/>
      <c r="O286" s="72"/>
      <c r="P286" s="67"/>
      <c r="Q286" s="64"/>
      <c r="R286" s="64"/>
      <c r="S286" s="64"/>
      <c r="T286" s="64"/>
      <c r="U286" s="64"/>
      <c r="V286" s="64"/>
      <c r="W286" s="64"/>
      <c r="X286" s="64"/>
      <c r="Y286" s="64"/>
      <c r="Z286" s="64"/>
      <c r="AA286" s="64"/>
    </row>
    <row r="287" customFormat="false" ht="15" hidden="false" customHeight="false" outlineLevel="0" collapsed="false">
      <c r="A287" s="65" t="n">
        <v>46304</v>
      </c>
      <c r="B287" s="66" t="s">
        <v>339</v>
      </c>
      <c r="C287" s="67" t="s">
        <v>694</v>
      </c>
      <c r="D287" s="67" t="s">
        <v>692</v>
      </c>
      <c r="E287" s="66" t="n">
        <v>0</v>
      </c>
      <c r="F287" s="66" t="n">
        <v>0</v>
      </c>
      <c r="G287" s="66" t="n">
        <v>0</v>
      </c>
      <c r="H287" s="66" t="n">
        <v>0</v>
      </c>
      <c r="I287" s="66" t="n">
        <v>0</v>
      </c>
      <c r="J287" s="66" t="n">
        <v>0</v>
      </c>
      <c r="K287" s="66" t="n">
        <v>0</v>
      </c>
      <c r="L287" s="66" t="n">
        <v>0</v>
      </c>
      <c r="M287" s="73" t="n">
        <v>0</v>
      </c>
      <c r="N287" s="73"/>
      <c r="O287" s="72"/>
      <c r="P287" s="67"/>
      <c r="Q287" s="64"/>
      <c r="R287" s="64"/>
      <c r="S287" s="64"/>
      <c r="T287" s="64"/>
      <c r="U287" s="64"/>
      <c r="V287" s="64"/>
      <c r="W287" s="64"/>
      <c r="X287" s="64"/>
      <c r="Y287" s="64"/>
      <c r="Z287" s="64"/>
      <c r="AA287" s="64"/>
    </row>
    <row r="288" customFormat="false" ht="15" hidden="false" customHeight="false" outlineLevel="0" collapsed="false">
      <c r="A288" s="65" t="n">
        <v>46304</v>
      </c>
      <c r="B288" s="66" t="s">
        <v>500</v>
      </c>
      <c r="C288" s="67" t="s">
        <v>694</v>
      </c>
      <c r="D288" s="67" t="s">
        <v>692</v>
      </c>
      <c r="E288" s="66" t="n">
        <v>540</v>
      </c>
      <c r="F288" s="66" t="n">
        <v>0</v>
      </c>
      <c r="G288" s="66" t="n">
        <v>0</v>
      </c>
      <c r="H288" s="66" t="n">
        <v>540</v>
      </c>
      <c r="I288" s="66" t="n">
        <v>0</v>
      </c>
      <c r="J288" s="66" t="n">
        <v>0</v>
      </c>
      <c r="K288" s="66" t="n">
        <v>0</v>
      </c>
      <c r="L288" s="66" t="n">
        <v>540</v>
      </c>
      <c r="M288" s="73" t="n">
        <v>0.006</v>
      </c>
      <c r="N288" s="44" t="s">
        <v>839</v>
      </c>
      <c r="O288" s="72" t="s">
        <v>839</v>
      </c>
      <c r="P288" s="67" t="s">
        <v>839</v>
      </c>
      <c r="Q288" s="64"/>
      <c r="R288" s="64"/>
      <c r="S288" s="64"/>
      <c r="T288" s="64"/>
      <c r="U288" s="64"/>
      <c r="V288" s="64"/>
      <c r="W288" s="64"/>
      <c r="X288" s="64"/>
      <c r="Y288" s="64"/>
      <c r="Z288" s="64"/>
      <c r="AA288" s="64"/>
    </row>
    <row r="289" customFormat="false" ht="15" hidden="false" customHeight="false" outlineLevel="0" collapsed="false">
      <c r="A289" s="65" t="n">
        <v>46304</v>
      </c>
      <c r="B289" s="66" t="s">
        <v>129</v>
      </c>
      <c r="C289" s="67" t="s">
        <v>698</v>
      </c>
      <c r="D289" s="67" t="s">
        <v>697</v>
      </c>
      <c r="E289" s="66" t="n">
        <v>0</v>
      </c>
      <c r="F289" s="66" t="n">
        <v>0</v>
      </c>
      <c r="G289" s="66" t="n">
        <v>0</v>
      </c>
      <c r="H289" s="66" t="n">
        <v>0</v>
      </c>
      <c r="I289" s="66" t="n">
        <v>0</v>
      </c>
      <c r="J289" s="66" t="n">
        <v>0</v>
      </c>
      <c r="K289" s="66" t="n">
        <v>0</v>
      </c>
      <c r="L289" s="66" t="n">
        <v>0</v>
      </c>
      <c r="M289" s="73" t="n">
        <v>0</v>
      </c>
      <c r="N289" s="73"/>
      <c r="O289" s="72"/>
      <c r="P289" s="67"/>
      <c r="Q289" s="64"/>
      <c r="R289" s="64"/>
      <c r="S289" s="64"/>
      <c r="T289" s="64"/>
      <c r="U289" s="64"/>
      <c r="V289" s="64"/>
      <c r="W289" s="64"/>
      <c r="X289" s="64"/>
      <c r="Y289" s="64"/>
      <c r="Z289" s="64"/>
      <c r="AA289" s="64"/>
    </row>
    <row r="290" customFormat="false" ht="15" hidden="false" customHeight="false" outlineLevel="0" collapsed="false">
      <c r="A290" s="65" t="n">
        <v>46304</v>
      </c>
      <c r="B290" s="66" t="s">
        <v>312</v>
      </c>
      <c r="C290" s="67" t="s">
        <v>678</v>
      </c>
      <c r="D290" s="67" t="s">
        <v>677</v>
      </c>
      <c r="E290" s="66" t="n">
        <v>0</v>
      </c>
      <c r="F290" s="66" t="n">
        <v>0</v>
      </c>
      <c r="G290" s="66" t="n">
        <v>0</v>
      </c>
      <c r="H290" s="66" t="n">
        <v>0</v>
      </c>
      <c r="I290" s="66" t="n">
        <v>0</v>
      </c>
      <c r="J290" s="66" t="n">
        <v>0</v>
      </c>
      <c r="K290" s="66" t="n">
        <v>0</v>
      </c>
      <c r="L290" s="66" t="n">
        <v>0</v>
      </c>
      <c r="M290" s="73" t="n">
        <v>0</v>
      </c>
      <c r="N290" s="73"/>
      <c r="O290" s="72"/>
      <c r="P290" s="67"/>
      <c r="Q290" s="64"/>
      <c r="R290" s="64"/>
      <c r="S290" s="64"/>
      <c r="T290" s="64"/>
      <c r="U290" s="64"/>
      <c r="V290" s="64"/>
      <c r="W290" s="64"/>
      <c r="X290" s="64"/>
      <c r="Y290" s="64"/>
      <c r="Z290" s="64"/>
      <c r="AA290" s="64"/>
    </row>
    <row r="291" customFormat="false" ht="15" hidden="false" customHeight="false" outlineLevel="0" collapsed="false">
      <c r="A291" s="65" t="n">
        <v>46304</v>
      </c>
      <c r="B291" s="66" t="s">
        <v>530</v>
      </c>
      <c r="C291" s="67" t="s">
        <v>687</v>
      </c>
      <c r="D291" s="67" t="s">
        <v>686</v>
      </c>
      <c r="E291" s="66" t="n">
        <v>555</v>
      </c>
      <c r="F291" s="66" t="n">
        <v>0</v>
      </c>
      <c r="G291" s="66" t="n">
        <v>508</v>
      </c>
      <c r="H291" s="66" t="n">
        <v>0</v>
      </c>
      <c r="I291" s="66" t="n">
        <v>32</v>
      </c>
      <c r="J291" s="66" t="n">
        <v>0</v>
      </c>
      <c r="K291" s="66" t="n">
        <v>15</v>
      </c>
      <c r="L291" s="66" t="n">
        <v>47</v>
      </c>
      <c r="M291" s="73" t="n">
        <v>0.002</v>
      </c>
      <c r="N291" s="73"/>
      <c r="O291" s="72"/>
      <c r="P291" s="67"/>
      <c r="Q291" s="64"/>
      <c r="R291" s="64"/>
      <c r="S291" s="64"/>
      <c r="T291" s="64"/>
      <c r="U291" s="64"/>
      <c r="V291" s="64"/>
      <c r="W291" s="64"/>
      <c r="X291" s="64"/>
      <c r="Y291" s="64"/>
      <c r="Z291" s="64"/>
      <c r="AA291" s="64"/>
    </row>
    <row r="292" customFormat="false" ht="15" hidden="false" customHeight="false" outlineLevel="0" collapsed="false">
      <c r="A292" s="65" t="n">
        <v>46304</v>
      </c>
      <c r="B292" s="66" t="s">
        <v>311</v>
      </c>
      <c r="C292" s="67" t="s">
        <v>673</v>
      </c>
      <c r="D292" s="67" t="s">
        <v>669</v>
      </c>
      <c r="E292" s="66" t="n">
        <v>9050</v>
      </c>
      <c r="F292" s="66" t="n">
        <v>384</v>
      </c>
      <c r="G292" s="66" t="n">
        <v>6262</v>
      </c>
      <c r="H292" s="66" t="n">
        <v>0</v>
      </c>
      <c r="I292" s="66" t="n">
        <v>2400</v>
      </c>
      <c r="J292" s="66" t="n">
        <v>0</v>
      </c>
      <c r="K292" s="66" t="n">
        <v>4</v>
      </c>
      <c r="L292" s="66" t="n">
        <v>2404</v>
      </c>
      <c r="M292" s="73" t="n">
        <v>0.017</v>
      </c>
      <c r="N292" s="73"/>
      <c r="O292" s="72"/>
      <c r="P292" s="67"/>
      <c r="Q292" s="64"/>
      <c r="R292" s="64"/>
      <c r="S292" s="64"/>
      <c r="T292" s="64"/>
      <c r="U292" s="64"/>
      <c r="V292" s="64"/>
      <c r="W292" s="64"/>
      <c r="X292" s="64"/>
      <c r="Y292" s="64"/>
      <c r="Z292" s="64"/>
      <c r="AA292" s="64"/>
    </row>
    <row r="293" customFormat="false" ht="15" hidden="false" customHeight="false" outlineLevel="0" collapsed="false">
      <c r="A293" s="65" t="n">
        <v>46304</v>
      </c>
      <c r="B293" s="66" t="s">
        <v>218</v>
      </c>
      <c r="C293" s="67" t="s">
        <v>698</v>
      </c>
      <c r="D293" s="67" t="s">
        <v>697</v>
      </c>
      <c r="E293" s="66" t="n">
        <v>0</v>
      </c>
      <c r="F293" s="66" t="n">
        <v>0</v>
      </c>
      <c r="G293" s="66" t="n">
        <v>0</v>
      </c>
      <c r="H293" s="66" t="n">
        <v>0</v>
      </c>
      <c r="I293" s="66" t="n">
        <v>0</v>
      </c>
      <c r="J293" s="66" t="n">
        <v>0</v>
      </c>
      <c r="K293" s="66" t="n">
        <v>0</v>
      </c>
      <c r="L293" s="66" t="n">
        <v>0</v>
      </c>
      <c r="M293" s="73" t="n">
        <v>0</v>
      </c>
      <c r="N293" s="73"/>
      <c r="O293" s="72"/>
      <c r="P293" s="67"/>
      <c r="Q293" s="64"/>
      <c r="R293" s="64"/>
      <c r="S293" s="64"/>
      <c r="T293" s="64"/>
      <c r="U293" s="64"/>
      <c r="V293" s="64"/>
      <c r="W293" s="64"/>
      <c r="X293" s="64"/>
      <c r="Y293" s="64"/>
      <c r="Z293" s="64"/>
      <c r="AA293" s="64"/>
    </row>
    <row r="294" customFormat="false" ht="15" hidden="false" customHeight="false" outlineLevel="0" collapsed="false">
      <c r="A294" s="65" t="n">
        <v>46304</v>
      </c>
      <c r="B294" s="66" t="s">
        <v>216</v>
      </c>
      <c r="C294" s="67" t="s">
        <v>702</v>
      </c>
      <c r="D294" s="67" t="s">
        <v>703</v>
      </c>
      <c r="E294" s="66" t="n">
        <v>0</v>
      </c>
      <c r="F294" s="66" t="n">
        <v>0</v>
      </c>
      <c r="G294" s="66" t="n">
        <v>0</v>
      </c>
      <c r="H294" s="66" t="n">
        <v>0</v>
      </c>
      <c r="I294" s="66" t="n">
        <v>0</v>
      </c>
      <c r="J294" s="66" t="n">
        <v>0</v>
      </c>
      <c r="K294" s="66" t="n">
        <v>0</v>
      </c>
      <c r="L294" s="66" t="n">
        <v>0</v>
      </c>
      <c r="M294" s="73" t="n">
        <v>0</v>
      </c>
      <c r="N294" s="73"/>
      <c r="O294" s="72"/>
      <c r="P294" s="67"/>
      <c r="Q294" s="64"/>
      <c r="R294" s="64"/>
      <c r="S294" s="64"/>
      <c r="T294" s="64"/>
      <c r="U294" s="64"/>
      <c r="V294" s="64"/>
      <c r="W294" s="64"/>
      <c r="X294" s="64"/>
      <c r="Y294" s="64"/>
      <c r="Z294" s="64"/>
      <c r="AA294" s="64"/>
    </row>
    <row r="295" customFormat="false" ht="15" hidden="false" customHeight="false" outlineLevel="0" collapsed="false">
      <c r="A295" s="65" t="n">
        <v>46304</v>
      </c>
      <c r="B295" s="66" t="s">
        <v>505</v>
      </c>
      <c r="C295" s="67" t="s">
        <v>681</v>
      </c>
      <c r="D295" s="67" t="s">
        <v>682</v>
      </c>
      <c r="E295" s="66" t="n">
        <v>1927</v>
      </c>
      <c r="F295" s="66" t="n">
        <v>0</v>
      </c>
      <c r="G295" s="66" t="n">
        <v>131</v>
      </c>
      <c r="H295" s="66" t="n">
        <v>1796</v>
      </c>
      <c r="I295" s="66" t="n">
        <v>0</v>
      </c>
      <c r="J295" s="66" t="n">
        <v>0</v>
      </c>
      <c r="K295" s="66" t="n">
        <v>0</v>
      </c>
      <c r="L295" s="66" t="n">
        <v>1796</v>
      </c>
      <c r="M295" s="73" t="n">
        <v>0.013</v>
      </c>
      <c r="N295" s="44" t="s">
        <v>839</v>
      </c>
      <c r="O295" s="72"/>
      <c r="P295" s="67"/>
      <c r="Q295" s="64"/>
      <c r="R295" s="64"/>
      <c r="S295" s="64"/>
      <c r="T295" s="64"/>
      <c r="U295" s="64"/>
      <c r="V295" s="64"/>
      <c r="W295" s="64"/>
      <c r="X295" s="64"/>
      <c r="Y295" s="64"/>
      <c r="Z295" s="64"/>
      <c r="AA295" s="64"/>
    </row>
    <row r="296" customFormat="false" ht="15" hidden="false" customHeight="false" outlineLevel="0" collapsed="false">
      <c r="A296" s="65" t="n">
        <v>46304</v>
      </c>
      <c r="B296" s="66" t="s">
        <v>288</v>
      </c>
      <c r="C296" s="67" t="s">
        <v>679</v>
      </c>
      <c r="D296" s="67" t="s">
        <v>680</v>
      </c>
      <c r="E296" s="66" t="n">
        <v>2237</v>
      </c>
      <c r="F296" s="66" t="n">
        <v>0</v>
      </c>
      <c r="G296" s="66" t="n">
        <v>1424</v>
      </c>
      <c r="H296" s="66" t="n">
        <v>746</v>
      </c>
      <c r="I296" s="66" t="n">
        <v>0</v>
      </c>
      <c r="J296" s="66" t="n">
        <v>10</v>
      </c>
      <c r="K296" s="66" t="n">
        <v>57</v>
      </c>
      <c r="L296" s="66" t="n">
        <v>67</v>
      </c>
      <c r="M296" s="44"/>
      <c r="N296" s="44"/>
      <c r="O296" s="72"/>
      <c r="P296" s="67"/>
      <c r="Q296" s="64"/>
      <c r="R296" s="64"/>
      <c r="S296" s="64"/>
      <c r="T296" s="64"/>
      <c r="U296" s="64"/>
      <c r="V296" s="64"/>
      <c r="W296" s="64"/>
      <c r="X296" s="64"/>
      <c r="Y296" s="64"/>
      <c r="Z296" s="64"/>
      <c r="AA296" s="64"/>
    </row>
    <row r="297" customFormat="false" ht="15" hidden="false" customHeight="false" outlineLevel="0" collapsed="false">
      <c r="A297" s="65" t="n">
        <v>46304</v>
      </c>
      <c r="B297" s="66" t="s">
        <v>333</v>
      </c>
      <c r="C297" s="67" t="s">
        <v>681</v>
      </c>
      <c r="D297" s="67" t="s">
        <v>682</v>
      </c>
      <c r="E297" s="66" t="n">
        <v>0</v>
      </c>
      <c r="F297" s="66" t="n">
        <v>0</v>
      </c>
      <c r="G297" s="66" t="n">
        <v>0</v>
      </c>
      <c r="H297" s="66" t="n">
        <v>0</v>
      </c>
      <c r="I297" s="66" t="n">
        <v>0</v>
      </c>
      <c r="J297" s="66" t="n">
        <v>0</v>
      </c>
      <c r="K297" s="66" t="n">
        <v>0</v>
      </c>
      <c r="L297" s="66" t="n">
        <v>0</v>
      </c>
      <c r="M297" s="73" t="n">
        <v>0</v>
      </c>
      <c r="N297" s="44" t="s">
        <v>839</v>
      </c>
      <c r="O297" s="72"/>
      <c r="P297" s="67"/>
      <c r="Q297" s="64"/>
      <c r="R297" s="64"/>
      <c r="S297" s="64"/>
      <c r="T297" s="64"/>
      <c r="U297" s="64"/>
      <c r="V297" s="64"/>
      <c r="W297" s="64"/>
      <c r="X297" s="64"/>
      <c r="Y297" s="64"/>
      <c r="Z297" s="64"/>
      <c r="AA297" s="64"/>
    </row>
    <row r="298" customFormat="false" ht="15" hidden="false" customHeight="false" outlineLevel="0" collapsed="false">
      <c r="A298" s="65" t="n">
        <v>46304</v>
      </c>
      <c r="B298" s="66" t="s">
        <v>525</v>
      </c>
      <c r="C298" s="67" t="s">
        <v>668</v>
      </c>
      <c r="D298" s="67" t="s">
        <v>669</v>
      </c>
      <c r="E298" s="66" t="n">
        <v>2218</v>
      </c>
      <c r="F298" s="66" t="n">
        <v>0</v>
      </c>
      <c r="G298" s="66" t="n">
        <v>0</v>
      </c>
      <c r="H298" s="66" t="n">
        <v>2218</v>
      </c>
      <c r="I298" s="66" t="n">
        <v>0</v>
      </c>
      <c r="J298" s="66" t="n">
        <v>0</v>
      </c>
      <c r="K298" s="66" t="n">
        <v>0</v>
      </c>
      <c r="L298" s="66" t="n">
        <v>2218</v>
      </c>
      <c r="M298" s="73" t="n">
        <v>0.015</v>
      </c>
      <c r="N298" s="73"/>
      <c r="O298" s="72"/>
      <c r="P298" s="67"/>
      <c r="Q298" s="64"/>
      <c r="R298" s="64"/>
      <c r="S298" s="64"/>
      <c r="T298" s="64"/>
      <c r="U298" s="64"/>
      <c r="V298" s="64"/>
      <c r="W298" s="64"/>
      <c r="X298" s="64"/>
      <c r="Y298" s="64"/>
      <c r="Z298" s="64"/>
      <c r="AA298" s="64"/>
    </row>
    <row r="299" customFormat="false" ht="15" hidden="false" customHeight="false" outlineLevel="0" collapsed="false">
      <c r="A299" s="65" t="n">
        <v>46304</v>
      </c>
      <c r="B299" s="66" t="s">
        <v>357</v>
      </c>
      <c r="C299" s="67" t="s">
        <v>679</v>
      </c>
      <c r="D299" s="67" t="s">
        <v>680</v>
      </c>
      <c r="E299" s="66" t="n">
        <v>1603</v>
      </c>
      <c r="F299" s="66" t="n">
        <v>0</v>
      </c>
      <c r="G299" s="66" t="n">
        <v>654</v>
      </c>
      <c r="H299" s="66" t="n">
        <v>949</v>
      </c>
      <c r="I299" s="66" t="n">
        <v>0</v>
      </c>
      <c r="J299" s="66" t="n">
        <v>0</v>
      </c>
      <c r="K299" s="66" t="n">
        <v>0</v>
      </c>
      <c r="L299" s="66" t="n">
        <v>0</v>
      </c>
      <c r="M299" s="44"/>
      <c r="N299" s="44"/>
      <c r="O299" s="72"/>
      <c r="P299" s="67"/>
      <c r="Q299" s="64"/>
      <c r="R299" s="64"/>
      <c r="S299" s="64"/>
      <c r="T299" s="64"/>
      <c r="U299" s="64"/>
      <c r="V299" s="64"/>
      <c r="W299" s="64"/>
      <c r="X299" s="64"/>
      <c r="Y299" s="64"/>
      <c r="Z299" s="64"/>
      <c r="AA299" s="64"/>
    </row>
    <row r="300" customFormat="false" ht="15" hidden="false" customHeight="false" outlineLevel="0" collapsed="false">
      <c r="A300" s="65" t="n">
        <v>46304</v>
      </c>
      <c r="B300" s="66" t="s">
        <v>512</v>
      </c>
      <c r="C300" s="67" t="s">
        <v>668</v>
      </c>
      <c r="D300" s="67" t="s">
        <v>669</v>
      </c>
      <c r="E300" s="66" t="n">
        <v>2320</v>
      </c>
      <c r="F300" s="66" t="n">
        <v>819</v>
      </c>
      <c r="G300" s="66" t="n">
        <v>1496</v>
      </c>
      <c r="H300" s="66" t="n">
        <v>0</v>
      </c>
      <c r="I300" s="66" t="n">
        <v>0</v>
      </c>
      <c r="J300" s="66" t="n">
        <v>0</v>
      </c>
      <c r="K300" s="66" t="n">
        <v>5</v>
      </c>
      <c r="L300" s="66" t="n">
        <v>5</v>
      </c>
      <c r="M300" s="73" t="n">
        <v>0.011</v>
      </c>
      <c r="N300" s="73"/>
      <c r="O300" s="72"/>
      <c r="P300" s="67"/>
      <c r="Q300" s="64"/>
      <c r="R300" s="64"/>
      <c r="S300" s="64"/>
      <c r="T300" s="64"/>
      <c r="U300" s="64"/>
      <c r="V300" s="64"/>
      <c r="W300" s="64"/>
      <c r="X300" s="64"/>
      <c r="Y300" s="64"/>
      <c r="Z300" s="64"/>
      <c r="AA300" s="64"/>
    </row>
    <row r="301" customFormat="false" ht="15" hidden="false" customHeight="false" outlineLevel="0" collapsed="false">
      <c r="A301" s="65" t="n">
        <v>46304</v>
      </c>
      <c r="B301" s="66" t="s">
        <v>367</v>
      </c>
      <c r="C301" s="67" t="s">
        <v>676</v>
      </c>
      <c r="D301" s="67" t="s">
        <v>677</v>
      </c>
      <c r="E301" s="66" t="n">
        <v>0</v>
      </c>
      <c r="F301" s="66" t="n">
        <v>0</v>
      </c>
      <c r="G301" s="66" t="n">
        <v>0</v>
      </c>
      <c r="H301" s="66" t="n">
        <v>0</v>
      </c>
      <c r="I301" s="66" t="n">
        <v>0</v>
      </c>
      <c r="J301" s="66" t="n">
        <v>0</v>
      </c>
      <c r="K301" s="66" t="n">
        <v>0</v>
      </c>
      <c r="L301" s="66" t="n">
        <v>0</v>
      </c>
      <c r="M301" s="44"/>
      <c r="N301" s="44"/>
      <c r="O301" s="72"/>
      <c r="P301" s="67"/>
      <c r="Q301" s="64"/>
      <c r="R301" s="64"/>
      <c r="S301" s="64"/>
      <c r="T301" s="64"/>
      <c r="U301" s="64"/>
      <c r="V301" s="64"/>
      <c r="W301" s="64"/>
      <c r="X301" s="64"/>
      <c r="Y301" s="64"/>
      <c r="Z301" s="64"/>
      <c r="AA301" s="64"/>
    </row>
    <row r="302" customFormat="false" ht="15" hidden="false" customHeight="false" outlineLevel="0" collapsed="false">
      <c r="A302" s="65" t="n">
        <v>46304</v>
      </c>
      <c r="B302" s="66" t="s">
        <v>481</v>
      </c>
      <c r="C302" s="67" t="s">
        <v>676</v>
      </c>
      <c r="D302" s="67" t="s">
        <v>677</v>
      </c>
      <c r="E302" s="66" t="n">
        <v>0</v>
      </c>
      <c r="F302" s="66" t="n">
        <v>0</v>
      </c>
      <c r="G302" s="66" t="n">
        <v>0</v>
      </c>
      <c r="H302" s="66" t="n">
        <v>0</v>
      </c>
      <c r="I302" s="66" t="n">
        <v>0</v>
      </c>
      <c r="J302" s="66" t="n">
        <v>0</v>
      </c>
      <c r="K302" s="66" t="n">
        <v>0</v>
      </c>
      <c r="L302" s="66" t="n">
        <v>0</v>
      </c>
      <c r="M302" s="73" t="n">
        <v>0</v>
      </c>
      <c r="N302" s="73"/>
      <c r="O302" s="72"/>
      <c r="P302" s="67"/>
      <c r="Q302" s="64"/>
      <c r="R302" s="64"/>
      <c r="S302" s="64"/>
      <c r="T302" s="64"/>
      <c r="U302" s="64"/>
      <c r="V302" s="64"/>
      <c r="W302" s="64"/>
      <c r="X302" s="64"/>
      <c r="Y302" s="64"/>
      <c r="Z302" s="64"/>
      <c r="AA302" s="64"/>
    </row>
    <row r="303" customFormat="false" ht="15" hidden="false" customHeight="false" outlineLevel="0" collapsed="false">
      <c r="A303" s="65" t="n">
        <v>46304</v>
      </c>
      <c r="B303" s="66" t="s">
        <v>298</v>
      </c>
      <c r="C303" s="67" t="s">
        <v>694</v>
      </c>
      <c r="D303" s="67" t="s">
        <v>692</v>
      </c>
      <c r="E303" s="66" t="n">
        <v>0</v>
      </c>
      <c r="F303" s="66" t="n">
        <v>0</v>
      </c>
      <c r="G303" s="66" t="n">
        <v>0</v>
      </c>
      <c r="H303" s="66" t="n">
        <v>0</v>
      </c>
      <c r="I303" s="66" t="n">
        <v>0</v>
      </c>
      <c r="J303" s="66" t="n">
        <v>0</v>
      </c>
      <c r="K303" s="66" t="n">
        <v>0</v>
      </c>
      <c r="L303" s="66" t="n">
        <v>0</v>
      </c>
      <c r="M303" s="73" t="n">
        <v>0</v>
      </c>
      <c r="N303" s="73"/>
      <c r="O303" s="72"/>
      <c r="P303" s="67"/>
      <c r="Q303" s="64"/>
      <c r="R303" s="64"/>
      <c r="S303" s="64"/>
      <c r="T303" s="64"/>
      <c r="U303" s="64"/>
      <c r="V303" s="64"/>
      <c r="W303" s="64"/>
      <c r="X303" s="64"/>
      <c r="Y303" s="64"/>
      <c r="Z303" s="64"/>
      <c r="AA303" s="64"/>
    </row>
    <row r="304" customFormat="false" ht="15" hidden="false" customHeight="false" outlineLevel="0" collapsed="false">
      <c r="A304" s="65" t="n">
        <v>46304</v>
      </c>
      <c r="B304" s="66" t="s">
        <v>227</v>
      </c>
      <c r="C304" s="67" t="s">
        <v>699</v>
      </c>
      <c r="D304" s="67" t="s">
        <v>697</v>
      </c>
      <c r="E304" s="66" t="n">
        <v>0</v>
      </c>
      <c r="F304" s="66" t="n">
        <v>0</v>
      </c>
      <c r="G304" s="66" t="n">
        <v>0</v>
      </c>
      <c r="H304" s="66" t="n">
        <v>0</v>
      </c>
      <c r="I304" s="66" t="n">
        <v>0</v>
      </c>
      <c r="J304" s="66" t="n">
        <v>0</v>
      </c>
      <c r="K304" s="66" t="n">
        <v>0</v>
      </c>
      <c r="L304" s="66" t="n">
        <v>0</v>
      </c>
      <c r="M304" s="73" t="n">
        <v>0</v>
      </c>
      <c r="N304" s="73"/>
      <c r="O304" s="72"/>
      <c r="P304" s="67"/>
      <c r="Q304" s="64"/>
      <c r="R304" s="64"/>
      <c r="S304" s="64"/>
      <c r="T304" s="64"/>
      <c r="U304" s="64"/>
      <c r="V304" s="64"/>
      <c r="W304" s="64"/>
      <c r="X304" s="64"/>
      <c r="Y304" s="64"/>
      <c r="Z304" s="64"/>
      <c r="AA304" s="64"/>
    </row>
    <row r="305" customFormat="false" ht="15" hidden="false" customHeight="false" outlineLevel="0" collapsed="false">
      <c r="A305" s="65" t="n">
        <v>46304</v>
      </c>
      <c r="B305" s="66" t="s">
        <v>271</v>
      </c>
      <c r="C305" s="67" t="s">
        <v>671</v>
      </c>
      <c r="D305" s="67" t="s">
        <v>682</v>
      </c>
      <c r="E305" s="66" t="n">
        <v>2909</v>
      </c>
      <c r="F305" s="66" t="n">
        <v>0</v>
      </c>
      <c r="G305" s="66" t="n">
        <v>2847</v>
      </c>
      <c r="H305" s="66" t="n">
        <v>0</v>
      </c>
      <c r="I305" s="66" t="n">
        <v>46</v>
      </c>
      <c r="J305" s="66" t="n">
        <v>0</v>
      </c>
      <c r="K305" s="66" t="n">
        <v>16</v>
      </c>
      <c r="L305" s="66" t="n">
        <v>62</v>
      </c>
      <c r="M305" s="73" t="n">
        <v>0.011</v>
      </c>
      <c r="N305" s="44" t="s">
        <v>859</v>
      </c>
      <c r="O305" s="72" t="s">
        <v>923</v>
      </c>
      <c r="P305" s="67" t="s">
        <v>924</v>
      </c>
      <c r="Q305" s="64"/>
      <c r="R305" s="64"/>
      <c r="S305" s="64"/>
      <c r="T305" s="64"/>
      <c r="U305" s="64"/>
      <c r="V305" s="64"/>
      <c r="W305" s="64"/>
      <c r="X305" s="64"/>
      <c r="Y305" s="64"/>
      <c r="Z305" s="64"/>
      <c r="AA305" s="64"/>
    </row>
    <row r="306" customFormat="false" ht="15" hidden="false" customHeight="false" outlineLevel="0" collapsed="false">
      <c r="A306" s="65" t="n">
        <v>46304</v>
      </c>
      <c r="B306" s="66" t="s">
        <v>241</v>
      </c>
      <c r="C306" s="67" t="s">
        <v>670</v>
      </c>
      <c r="D306" s="67" t="s">
        <v>669</v>
      </c>
      <c r="E306" s="66" t="n">
        <v>1256</v>
      </c>
      <c r="F306" s="66" t="n">
        <v>0</v>
      </c>
      <c r="G306" s="66" t="n">
        <v>1201</v>
      </c>
      <c r="H306" s="66" t="n">
        <v>55</v>
      </c>
      <c r="I306" s="66" t="n">
        <v>0</v>
      </c>
      <c r="J306" s="66" t="n">
        <v>0</v>
      </c>
      <c r="K306" s="66" t="n">
        <v>0</v>
      </c>
      <c r="L306" s="66" t="n">
        <v>55</v>
      </c>
      <c r="M306" s="73" t="n">
        <v>0.007</v>
      </c>
      <c r="N306" s="73"/>
      <c r="O306" s="72"/>
      <c r="P306" s="67"/>
      <c r="Q306" s="64"/>
      <c r="R306" s="64"/>
      <c r="S306" s="64"/>
      <c r="T306" s="64"/>
      <c r="U306" s="64"/>
      <c r="V306" s="64"/>
      <c r="W306" s="64"/>
      <c r="X306" s="64"/>
      <c r="Y306" s="64"/>
      <c r="Z306" s="64"/>
      <c r="AA306" s="64"/>
    </row>
    <row r="307" customFormat="false" ht="15" hidden="false" customHeight="false" outlineLevel="0" collapsed="false">
      <c r="A307" s="65" t="n">
        <v>46304</v>
      </c>
      <c r="B307" s="66" t="s">
        <v>257</v>
      </c>
      <c r="C307" s="67" t="s">
        <v>683</v>
      </c>
      <c r="D307" s="67" t="s">
        <v>682</v>
      </c>
      <c r="E307" s="66" t="n">
        <v>5883</v>
      </c>
      <c r="F307" s="66" t="n">
        <v>1462</v>
      </c>
      <c r="G307" s="66" t="n">
        <v>4419</v>
      </c>
      <c r="H307" s="66" t="n">
        <v>0</v>
      </c>
      <c r="I307" s="66" t="n">
        <v>0</v>
      </c>
      <c r="J307" s="66" t="n">
        <v>0</v>
      </c>
      <c r="K307" s="66" t="n">
        <v>2</v>
      </c>
      <c r="L307" s="66" t="n">
        <v>2</v>
      </c>
      <c r="M307" s="73" t="n">
        <v>0.019</v>
      </c>
      <c r="N307" s="44" t="s">
        <v>886</v>
      </c>
      <c r="O307" s="72" t="s">
        <v>925</v>
      </c>
      <c r="P307" s="67" t="s">
        <v>926</v>
      </c>
      <c r="Q307" s="64"/>
      <c r="R307" s="64"/>
      <c r="S307" s="64"/>
      <c r="T307" s="64"/>
      <c r="U307" s="64"/>
      <c r="V307" s="64"/>
      <c r="W307" s="64"/>
      <c r="X307" s="64"/>
      <c r="Y307" s="64"/>
      <c r="Z307" s="64"/>
      <c r="AA307" s="64"/>
    </row>
    <row r="308" customFormat="false" ht="15" hidden="false" customHeight="false" outlineLevel="0" collapsed="false">
      <c r="A308" s="65" t="n">
        <v>46304</v>
      </c>
      <c r="B308" s="66" t="s">
        <v>296</v>
      </c>
      <c r="C308" s="67" t="s">
        <v>687</v>
      </c>
      <c r="D308" s="67" t="s">
        <v>686</v>
      </c>
      <c r="E308" s="66" t="n">
        <v>12</v>
      </c>
      <c r="F308" s="66" t="n">
        <v>0</v>
      </c>
      <c r="G308" s="66" t="n">
        <v>0</v>
      </c>
      <c r="H308" s="66" t="n">
        <v>12</v>
      </c>
      <c r="I308" s="66" t="n">
        <v>0</v>
      </c>
      <c r="J308" s="66" t="n">
        <v>0</v>
      </c>
      <c r="K308" s="66" t="n">
        <v>0</v>
      </c>
      <c r="L308" s="66" t="n">
        <v>12</v>
      </c>
      <c r="M308" s="73" t="n">
        <v>0</v>
      </c>
      <c r="N308" s="73"/>
      <c r="O308" s="72"/>
      <c r="P308" s="67"/>
      <c r="Q308" s="64"/>
      <c r="R308" s="64"/>
      <c r="S308" s="64"/>
      <c r="T308" s="64"/>
      <c r="U308" s="64"/>
      <c r="V308" s="64"/>
      <c r="W308" s="64"/>
      <c r="X308" s="64"/>
      <c r="Y308" s="64"/>
      <c r="Z308" s="64"/>
      <c r="AA308" s="64"/>
    </row>
    <row r="309" customFormat="false" ht="15" hidden="false" customHeight="false" outlineLevel="0" collapsed="false">
      <c r="A309" s="65" t="n">
        <v>46304</v>
      </c>
      <c r="B309" s="66" t="s">
        <v>491</v>
      </c>
      <c r="C309" s="67" t="s">
        <v>673</v>
      </c>
      <c r="D309" s="67" t="s">
        <v>669</v>
      </c>
      <c r="E309" s="66" t="n">
        <v>5063</v>
      </c>
      <c r="F309" s="66" t="n">
        <v>3541</v>
      </c>
      <c r="G309" s="66" t="n">
        <v>1522</v>
      </c>
      <c r="H309" s="66" t="n">
        <v>0</v>
      </c>
      <c r="I309" s="66" t="n">
        <v>0</v>
      </c>
      <c r="J309" s="66" t="n">
        <v>0</v>
      </c>
      <c r="K309" s="66" t="n">
        <v>0</v>
      </c>
      <c r="L309" s="66" t="n">
        <v>0</v>
      </c>
      <c r="M309" s="73" t="n">
        <v>0.019</v>
      </c>
      <c r="N309" s="73"/>
      <c r="O309" s="72"/>
      <c r="P309" s="67"/>
      <c r="Q309" s="64"/>
      <c r="R309" s="64"/>
      <c r="S309" s="64"/>
      <c r="T309" s="64"/>
      <c r="U309" s="64"/>
      <c r="V309" s="64"/>
      <c r="W309" s="64"/>
      <c r="X309" s="64"/>
      <c r="Y309" s="64"/>
      <c r="Z309" s="64"/>
      <c r="AA309" s="64"/>
    </row>
    <row r="310" customFormat="false" ht="15" hidden="false" customHeight="false" outlineLevel="0" collapsed="false">
      <c r="A310" s="65" t="n">
        <v>46304</v>
      </c>
      <c r="B310" s="66" t="s">
        <v>89</v>
      </c>
      <c r="C310" s="67" t="s">
        <v>683</v>
      </c>
      <c r="D310" s="67" t="s">
        <v>682</v>
      </c>
      <c r="E310" s="66" t="n">
        <v>1249</v>
      </c>
      <c r="F310" s="66" t="n">
        <v>0</v>
      </c>
      <c r="G310" s="66" t="n">
        <v>1249</v>
      </c>
      <c r="H310" s="66" t="n">
        <v>0</v>
      </c>
      <c r="I310" s="66" t="n">
        <v>0</v>
      </c>
      <c r="J310" s="66" t="n">
        <v>0</v>
      </c>
      <c r="K310" s="66" t="n">
        <v>0</v>
      </c>
      <c r="L310" s="66" t="n">
        <v>0</v>
      </c>
      <c r="M310" s="73" t="n">
        <v>0.004</v>
      </c>
      <c r="N310" s="44" t="s">
        <v>859</v>
      </c>
      <c r="O310" s="72" t="s">
        <v>927</v>
      </c>
      <c r="P310" s="67" t="s">
        <v>928</v>
      </c>
      <c r="Q310" s="64"/>
      <c r="R310" s="64"/>
      <c r="S310" s="64"/>
      <c r="T310" s="64"/>
      <c r="U310" s="64"/>
      <c r="V310" s="64"/>
      <c r="W310" s="64"/>
      <c r="X310" s="64"/>
      <c r="Y310" s="64"/>
      <c r="Z310" s="64"/>
      <c r="AA310" s="64"/>
    </row>
    <row r="311" customFormat="false" ht="15" hidden="false" customHeight="false" outlineLevel="0" collapsed="false">
      <c r="A311" s="65" t="n">
        <v>46304</v>
      </c>
      <c r="B311" s="66" t="s">
        <v>317</v>
      </c>
      <c r="C311" s="67" t="s">
        <v>676</v>
      </c>
      <c r="D311" s="67" t="s">
        <v>677</v>
      </c>
      <c r="E311" s="66" t="n">
        <v>1592</v>
      </c>
      <c r="F311" s="66" t="n">
        <v>0</v>
      </c>
      <c r="G311" s="66" t="n">
        <v>1592</v>
      </c>
      <c r="H311" s="66" t="n">
        <v>0</v>
      </c>
      <c r="I311" s="66" t="n">
        <v>0</v>
      </c>
      <c r="J311" s="66" t="n">
        <v>0</v>
      </c>
      <c r="K311" s="66" t="n">
        <v>0</v>
      </c>
      <c r="L311" s="66" t="n">
        <v>0</v>
      </c>
      <c r="M311" s="73" t="n">
        <v>0.018</v>
      </c>
      <c r="N311" s="73"/>
      <c r="O311" s="72"/>
      <c r="P311" s="67"/>
      <c r="Q311" s="64"/>
      <c r="R311" s="64"/>
      <c r="S311" s="64"/>
      <c r="T311" s="64"/>
      <c r="U311" s="64"/>
      <c r="V311" s="64"/>
      <c r="W311" s="64"/>
      <c r="X311" s="64"/>
      <c r="Y311" s="64"/>
      <c r="Z311" s="64"/>
      <c r="AA311" s="64"/>
    </row>
    <row r="312" customFormat="false" ht="15" hidden="false" customHeight="false" outlineLevel="0" collapsed="false">
      <c r="A312" s="65" t="n">
        <v>46304</v>
      </c>
      <c r="B312" s="66" t="s">
        <v>171</v>
      </c>
      <c r="C312" s="67" t="s">
        <v>698</v>
      </c>
      <c r="D312" s="67" t="s">
        <v>697</v>
      </c>
      <c r="E312" s="66" t="n">
        <v>13</v>
      </c>
      <c r="F312" s="66" t="n">
        <v>0</v>
      </c>
      <c r="G312" s="66" t="n">
        <v>13</v>
      </c>
      <c r="H312" s="66" t="n">
        <v>0</v>
      </c>
      <c r="I312" s="66" t="n">
        <v>0</v>
      </c>
      <c r="J312" s="66" t="n">
        <v>0</v>
      </c>
      <c r="K312" s="66" t="n">
        <v>0</v>
      </c>
      <c r="L312" s="66" t="n">
        <v>0</v>
      </c>
      <c r="M312" s="73" t="n">
        <v>0</v>
      </c>
      <c r="N312" s="73"/>
      <c r="O312" s="72"/>
      <c r="P312" s="67"/>
      <c r="Q312" s="64"/>
      <c r="R312" s="64"/>
      <c r="S312" s="64"/>
      <c r="T312" s="64"/>
      <c r="U312" s="64"/>
      <c r="V312" s="64"/>
      <c r="W312" s="64"/>
      <c r="X312" s="64"/>
      <c r="Y312" s="64"/>
      <c r="Z312" s="64"/>
      <c r="AA312" s="64"/>
    </row>
    <row r="313" customFormat="false" ht="15" hidden="false" customHeight="false" outlineLevel="0" collapsed="false">
      <c r="A313" s="65" t="n">
        <v>46304</v>
      </c>
      <c r="B313" s="66" t="s">
        <v>436</v>
      </c>
      <c r="C313" s="67" t="s">
        <v>693</v>
      </c>
      <c r="D313" s="67" t="s">
        <v>692</v>
      </c>
      <c r="E313" s="66" t="n">
        <v>0</v>
      </c>
      <c r="F313" s="66" t="n">
        <v>0</v>
      </c>
      <c r="G313" s="66" t="n">
        <v>0</v>
      </c>
      <c r="H313" s="66" t="n">
        <v>0</v>
      </c>
      <c r="I313" s="66" t="n">
        <v>0</v>
      </c>
      <c r="J313" s="66" t="n">
        <v>0</v>
      </c>
      <c r="K313" s="66" t="n">
        <v>0</v>
      </c>
      <c r="L313" s="66" t="n">
        <v>0</v>
      </c>
      <c r="M313" s="73" t="n">
        <v>0</v>
      </c>
      <c r="N313" s="73"/>
      <c r="O313" s="72"/>
      <c r="P313" s="67"/>
      <c r="Q313" s="64"/>
      <c r="R313" s="64"/>
      <c r="S313" s="64"/>
      <c r="T313" s="64"/>
      <c r="U313" s="64"/>
      <c r="V313" s="64"/>
      <c r="W313" s="64"/>
      <c r="X313" s="64"/>
      <c r="Y313" s="64"/>
      <c r="Z313" s="64"/>
      <c r="AA313" s="64"/>
    </row>
    <row r="314" customFormat="false" ht="15" hidden="false" customHeight="false" outlineLevel="0" collapsed="false">
      <c r="A314" s="65" t="n">
        <v>46304</v>
      </c>
      <c r="B314" s="66" t="s">
        <v>410</v>
      </c>
      <c r="C314" s="67" t="s">
        <v>676</v>
      </c>
      <c r="D314" s="67" t="s">
        <v>677</v>
      </c>
      <c r="E314" s="66" t="n">
        <v>225</v>
      </c>
      <c r="F314" s="66" t="n">
        <v>0</v>
      </c>
      <c r="G314" s="66" t="n">
        <v>0</v>
      </c>
      <c r="H314" s="66" t="n">
        <v>225</v>
      </c>
      <c r="I314" s="66" t="n">
        <v>0</v>
      </c>
      <c r="J314" s="66" t="n">
        <v>0</v>
      </c>
      <c r="K314" s="66" t="n">
        <v>0</v>
      </c>
      <c r="L314" s="66" t="n">
        <v>225</v>
      </c>
      <c r="M314" s="73" t="n">
        <v>0.003</v>
      </c>
      <c r="N314" s="73"/>
      <c r="O314" s="72"/>
      <c r="P314" s="67"/>
      <c r="Q314" s="64"/>
      <c r="R314" s="64"/>
      <c r="S314" s="64"/>
      <c r="T314" s="64"/>
      <c r="U314" s="64"/>
      <c r="V314" s="64"/>
      <c r="W314" s="64"/>
      <c r="X314" s="64"/>
      <c r="Y314" s="64"/>
      <c r="Z314" s="64"/>
      <c r="AA314" s="64"/>
    </row>
    <row r="315" customFormat="false" ht="15" hidden="false" customHeight="false" outlineLevel="0" collapsed="false">
      <c r="A315" s="65" t="n">
        <v>46304</v>
      </c>
      <c r="B315" s="66" t="s">
        <v>445</v>
      </c>
      <c r="C315" s="67" t="s">
        <v>670</v>
      </c>
      <c r="D315" s="67" t="s">
        <v>669</v>
      </c>
      <c r="E315" s="66" t="n">
        <v>1742</v>
      </c>
      <c r="F315" s="66" t="n">
        <v>516</v>
      </c>
      <c r="G315" s="66" t="n">
        <v>1226</v>
      </c>
      <c r="H315" s="66" t="n">
        <v>0</v>
      </c>
      <c r="I315" s="66" t="n">
        <v>0</v>
      </c>
      <c r="J315" s="66" t="n">
        <v>0</v>
      </c>
      <c r="K315" s="66" t="n">
        <v>0</v>
      </c>
      <c r="L315" s="66" t="n">
        <v>0</v>
      </c>
      <c r="M315" s="73" t="n">
        <v>0.013</v>
      </c>
      <c r="N315" s="73"/>
      <c r="O315" s="72"/>
      <c r="P315" s="67"/>
      <c r="Q315" s="64"/>
      <c r="R315" s="64"/>
      <c r="S315" s="64"/>
      <c r="T315" s="64"/>
      <c r="U315" s="64"/>
      <c r="V315" s="64"/>
      <c r="W315" s="64"/>
      <c r="X315" s="64"/>
      <c r="Y315" s="64"/>
      <c r="Z315" s="64"/>
      <c r="AA315" s="64"/>
    </row>
    <row r="316" customFormat="false" ht="15" hidden="false" customHeight="false" outlineLevel="0" collapsed="false">
      <c r="A316" s="65" t="n">
        <v>46304</v>
      </c>
      <c r="B316" s="66" t="s">
        <v>513</v>
      </c>
      <c r="C316" s="67" t="s">
        <v>678</v>
      </c>
      <c r="D316" s="67" t="s">
        <v>677</v>
      </c>
      <c r="E316" s="66" t="n">
        <v>0</v>
      </c>
      <c r="F316" s="66" t="n">
        <v>0</v>
      </c>
      <c r="G316" s="66" t="n">
        <v>0</v>
      </c>
      <c r="H316" s="66" t="n">
        <v>0</v>
      </c>
      <c r="I316" s="66" t="n">
        <v>0</v>
      </c>
      <c r="J316" s="66" t="n">
        <v>0</v>
      </c>
      <c r="K316" s="66" t="n">
        <v>0</v>
      </c>
      <c r="L316" s="66" t="n">
        <v>0</v>
      </c>
      <c r="M316" s="73" t="n">
        <v>0</v>
      </c>
      <c r="N316" s="73"/>
      <c r="O316" s="72"/>
      <c r="P316" s="67"/>
      <c r="Q316" s="64"/>
      <c r="R316" s="64"/>
      <c r="S316" s="64"/>
      <c r="T316" s="64"/>
      <c r="U316" s="64"/>
      <c r="V316" s="64"/>
      <c r="W316" s="64"/>
      <c r="X316" s="64"/>
      <c r="Y316" s="64"/>
      <c r="Z316" s="64"/>
      <c r="AA316" s="64"/>
    </row>
    <row r="317" customFormat="false" ht="15" hidden="false" customHeight="false" outlineLevel="0" collapsed="false">
      <c r="A317" s="65" t="n">
        <v>46304</v>
      </c>
      <c r="B317" s="66" t="s">
        <v>147</v>
      </c>
      <c r="C317" s="67" t="s">
        <v>673</v>
      </c>
      <c r="D317" s="67" t="s">
        <v>669</v>
      </c>
      <c r="E317" s="66" t="n">
        <v>10134</v>
      </c>
      <c r="F317" s="66" t="n">
        <v>8761</v>
      </c>
      <c r="G317" s="66" t="n">
        <v>57</v>
      </c>
      <c r="H317" s="66" t="n">
        <v>0</v>
      </c>
      <c r="I317" s="66" t="n">
        <v>958</v>
      </c>
      <c r="J317" s="66" t="n">
        <v>61</v>
      </c>
      <c r="K317" s="66" t="n">
        <v>297</v>
      </c>
      <c r="L317" s="66" t="n">
        <v>1316</v>
      </c>
      <c r="M317" s="73" t="n">
        <v>0.026</v>
      </c>
      <c r="N317" s="73"/>
      <c r="O317" s="72"/>
      <c r="P317" s="67"/>
      <c r="Q317" s="64"/>
      <c r="R317" s="64"/>
      <c r="S317" s="64"/>
      <c r="T317" s="64"/>
      <c r="U317" s="64"/>
      <c r="V317" s="64"/>
      <c r="W317" s="64"/>
      <c r="X317" s="64"/>
      <c r="Y317" s="64"/>
      <c r="Z317" s="64"/>
      <c r="AA317" s="64"/>
    </row>
    <row r="318" customFormat="false" ht="15" hidden="false" customHeight="false" outlineLevel="0" collapsed="false">
      <c r="A318" s="65" t="n">
        <v>46304</v>
      </c>
      <c r="B318" s="66" t="s">
        <v>429</v>
      </c>
      <c r="C318" s="67" t="s">
        <v>673</v>
      </c>
      <c r="D318" s="67" t="s">
        <v>669</v>
      </c>
      <c r="E318" s="66" t="n">
        <v>630</v>
      </c>
      <c r="F318" s="66" t="n">
        <v>5</v>
      </c>
      <c r="G318" s="66" t="n">
        <v>625</v>
      </c>
      <c r="H318" s="66" t="n">
        <v>0</v>
      </c>
      <c r="I318" s="66" t="n">
        <v>0</v>
      </c>
      <c r="J318" s="66" t="n">
        <v>0</v>
      </c>
      <c r="K318" s="66" t="n">
        <v>0</v>
      </c>
      <c r="L318" s="66" t="n">
        <v>0</v>
      </c>
      <c r="M318" s="73" t="n">
        <v>0.003</v>
      </c>
      <c r="N318" s="73"/>
      <c r="O318" s="72"/>
      <c r="P318" s="67"/>
      <c r="Q318" s="64"/>
      <c r="R318" s="64"/>
      <c r="S318" s="64"/>
      <c r="T318" s="64"/>
      <c r="U318" s="64"/>
      <c r="V318" s="64"/>
      <c r="W318" s="64"/>
      <c r="X318" s="64"/>
      <c r="Y318" s="64"/>
      <c r="Z318" s="64"/>
      <c r="AA318" s="64"/>
    </row>
    <row r="319" customFormat="false" ht="15" hidden="false" customHeight="false" outlineLevel="0" collapsed="false">
      <c r="A319" s="65" t="n">
        <v>46304</v>
      </c>
      <c r="B319" s="66" t="s">
        <v>412</v>
      </c>
      <c r="C319" s="67" t="s">
        <v>696</v>
      </c>
      <c r="D319" s="67" t="s">
        <v>697</v>
      </c>
      <c r="E319" s="66" t="n">
        <v>0</v>
      </c>
      <c r="F319" s="66" t="n">
        <v>0</v>
      </c>
      <c r="G319" s="66" t="n">
        <v>0</v>
      </c>
      <c r="H319" s="66" t="n">
        <v>0</v>
      </c>
      <c r="I319" s="66" t="n">
        <v>0</v>
      </c>
      <c r="J319" s="66" t="n">
        <v>0</v>
      </c>
      <c r="K319" s="66" t="n">
        <v>0</v>
      </c>
      <c r="L319" s="66" t="n">
        <v>0</v>
      </c>
      <c r="M319" s="73" t="n">
        <v>0</v>
      </c>
      <c r="N319" s="73"/>
      <c r="O319" s="72"/>
      <c r="P319" s="67"/>
      <c r="Q319" s="64"/>
      <c r="R319" s="64"/>
      <c r="S319" s="64"/>
      <c r="T319" s="64"/>
      <c r="U319" s="64"/>
      <c r="V319" s="64"/>
      <c r="W319" s="64"/>
      <c r="X319" s="64"/>
      <c r="Y319" s="64"/>
      <c r="Z319" s="64"/>
      <c r="AA319" s="64"/>
    </row>
    <row r="320" customFormat="false" ht="15" hidden="false" customHeight="false" outlineLevel="0" collapsed="false">
      <c r="A320" s="65" t="n">
        <v>46304</v>
      </c>
      <c r="B320" s="66" t="s">
        <v>56</v>
      </c>
      <c r="C320" s="67" t="s">
        <v>674</v>
      </c>
      <c r="D320" s="67" t="s">
        <v>669</v>
      </c>
      <c r="E320" s="66" t="n">
        <v>3773</v>
      </c>
      <c r="F320" s="66" t="n">
        <v>1</v>
      </c>
      <c r="G320" s="66" t="n">
        <v>3740</v>
      </c>
      <c r="H320" s="66" t="n">
        <v>0</v>
      </c>
      <c r="I320" s="66" t="n">
        <v>32</v>
      </c>
      <c r="J320" s="66" t="n">
        <v>0</v>
      </c>
      <c r="K320" s="66" t="n">
        <v>0</v>
      </c>
      <c r="L320" s="66" t="n">
        <v>32</v>
      </c>
      <c r="M320" s="73" t="n">
        <v>0.02</v>
      </c>
      <c r="N320" s="73"/>
      <c r="O320" s="72"/>
      <c r="P320" s="67"/>
      <c r="Q320" s="64"/>
      <c r="R320" s="64"/>
      <c r="S320" s="64"/>
      <c r="T320" s="64"/>
      <c r="U320" s="64"/>
      <c r="V320" s="64"/>
      <c r="W320" s="64"/>
      <c r="X320" s="64"/>
      <c r="Y320" s="64"/>
      <c r="Z320" s="64"/>
      <c r="AA320" s="64"/>
    </row>
    <row r="321" customFormat="false" ht="15" hidden="false" customHeight="false" outlineLevel="0" collapsed="false">
      <c r="A321" s="65" t="n">
        <v>46304</v>
      </c>
      <c r="B321" s="66" t="s">
        <v>29</v>
      </c>
      <c r="C321" s="67" t="s">
        <v>679</v>
      </c>
      <c r="D321" s="67" t="s">
        <v>680</v>
      </c>
      <c r="E321" s="66" t="n">
        <v>9289</v>
      </c>
      <c r="F321" s="66" t="n">
        <v>0</v>
      </c>
      <c r="G321" s="66" t="n">
        <v>0</v>
      </c>
      <c r="H321" s="66" t="n">
        <v>4391</v>
      </c>
      <c r="I321" s="66" t="n">
        <v>0</v>
      </c>
      <c r="J321" s="66" t="n">
        <v>1236</v>
      </c>
      <c r="K321" s="66" t="n">
        <v>3662</v>
      </c>
      <c r="L321" s="66" t="n">
        <v>4898</v>
      </c>
      <c r="M321" s="44"/>
      <c r="N321" s="44"/>
      <c r="O321" s="72"/>
      <c r="P321" s="67"/>
      <c r="Q321" s="64"/>
      <c r="R321" s="64"/>
      <c r="S321" s="64"/>
      <c r="T321" s="64"/>
      <c r="U321" s="64"/>
      <c r="V321" s="64"/>
      <c r="W321" s="64"/>
      <c r="X321" s="64"/>
      <c r="Y321" s="64"/>
      <c r="Z321" s="64"/>
      <c r="AA321" s="64"/>
    </row>
    <row r="322" customFormat="false" ht="15" hidden="false" customHeight="false" outlineLevel="0" collapsed="false">
      <c r="A322" s="65" t="n">
        <v>46304</v>
      </c>
      <c r="B322" s="66" t="s">
        <v>564</v>
      </c>
      <c r="C322" s="67" t="s">
        <v>681</v>
      </c>
      <c r="D322" s="67" t="s">
        <v>682</v>
      </c>
      <c r="E322" s="66" t="n">
        <v>0</v>
      </c>
      <c r="F322" s="66" t="n">
        <v>0</v>
      </c>
      <c r="G322" s="66" t="n">
        <v>0</v>
      </c>
      <c r="H322" s="66" t="n">
        <v>0</v>
      </c>
      <c r="I322" s="66" t="n">
        <v>0</v>
      </c>
      <c r="J322" s="66" t="n">
        <v>0</v>
      </c>
      <c r="K322" s="66" t="n">
        <v>0</v>
      </c>
      <c r="L322" s="66" t="n">
        <v>0</v>
      </c>
      <c r="M322" s="44"/>
      <c r="N322" s="44" t="s">
        <v>929</v>
      </c>
      <c r="O322" s="72"/>
      <c r="P322" s="67"/>
      <c r="Q322" s="64"/>
      <c r="R322" s="64"/>
      <c r="S322" s="64"/>
      <c r="T322" s="64"/>
      <c r="U322" s="64"/>
      <c r="V322" s="64"/>
      <c r="W322" s="64"/>
      <c r="X322" s="64"/>
      <c r="Y322" s="64"/>
      <c r="Z322" s="64"/>
      <c r="AA322" s="64"/>
    </row>
    <row r="323" customFormat="false" ht="15" hidden="false" customHeight="false" outlineLevel="0" collapsed="false">
      <c r="A323" s="65" t="n">
        <v>46304</v>
      </c>
      <c r="B323" s="66" t="s">
        <v>200</v>
      </c>
      <c r="C323" s="67" t="s">
        <v>685</v>
      </c>
      <c r="D323" s="67" t="s">
        <v>686</v>
      </c>
      <c r="E323" s="66" t="n">
        <v>4101</v>
      </c>
      <c r="F323" s="66" t="n">
        <v>80</v>
      </c>
      <c r="G323" s="66" t="n">
        <v>4021</v>
      </c>
      <c r="H323" s="66" t="n">
        <v>0</v>
      </c>
      <c r="I323" s="66" t="n">
        <v>0</v>
      </c>
      <c r="J323" s="66" t="n">
        <v>0</v>
      </c>
      <c r="K323" s="66" t="n">
        <v>0</v>
      </c>
      <c r="L323" s="66" t="n">
        <v>0</v>
      </c>
      <c r="M323" s="73" t="n">
        <v>0.042</v>
      </c>
      <c r="N323" s="73"/>
      <c r="O323" s="72"/>
      <c r="P323" s="67"/>
      <c r="Q323" s="64"/>
      <c r="R323" s="64"/>
      <c r="S323" s="64"/>
      <c r="T323" s="64"/>
      <c r="U323" s="64"/>
      <c r="V323" s="64"/>
      <c r="W323" s="64"/>
      <c r="X323" s="64"/>
      <c r="Y323" s="64"/>
      <c r="Z323" s="64"/>
      <c r="AA323" s="64"/>
    </row>
    <row r="324" customFormat="false" ht="15" hidden="false" customHeight="false" outlineLevel="0" collapsed="false">
      <c r="A324" s="65" t="n">
        <v>46304</v>
      </c>
      <c r="B324" s="66" t="s">
        <v>455</v>
      </c>
      <c r="C324" s="67" t="s">
        <v>671</v>
      </c>
      <c r="D324" s="67" t="s">
        <v>669</v>
      </c>
      <c r="E324" s="66" t="n">
        <v>3961</v>
      </c>
      <c r="F324" s="66" t="n">
        <v>0</v>
      </c>
      <c r="G324" s="66" t="n">
        <v>0</v>
      </c>
      <c r="H324" s="66" t="n">
        <v>3941</v>
      </c>
      <c r="I324" s="66" t="n">
        <v>0</v>
      </c>
      <c r="J324" s="66" t="n">
        <v>0</v>
      </c>
      <c r="K324" s="66" t="n">
        <v>20</v>
      </c>
      <c r="L324" s="66" t="n">
        <v>3961</v>
      </c>
      <c r="M324" s="73" t="n">
        <v>0.035</v>
      </c>
      <c r="N324" s="73"/>
      <c r="O324" s="72"/>
      <c r="P324" s="67"/>
      <c r="Q324" s="64"/>
      <c r="R324" s="64"/>
      <c r="S324" s="64"/>
      <c r="T324" s="64"/>
      <c r="U324" s="64"/>
      <c r="V324" s="64"/>
      <c r="W324" s="64"/>
      <c r="X324" s="64"/>
      <c r="Y324" s="64"/>
      <c r="Z324" s="64"/>
      <c r="AA324" s="64"/>
    </row>
    <row r="325" customFormat="false" ht="15" hidden="false" customHeight="false" outlineLevel="0" collapsed="false">
      <c r="A325" s="65" t="n">
        <v>46304</v>
      </c>
      <c r="B325" s="66" t="s">
        <v>97</v>
      </c>
      <c r="C325" s="67" t="s">
        <v>683</v>
      </c>
      <c r="D325" s="67" t="s">
        <v>682</v>
      </c>
      <c r="E325" s="66" t="n">
        <v>2863</v>
      </c>
      <c r="F325" s="66" t="n">
        <v>0</v>
      </c>
      <c r="G325" s="66" t="n">
        <v>2812</v>
      </c>
      <c r="H325" s="66" t="n">
        <v>0</v>
      </c>
      <c r="I325" s="66" t="n">
        <v>26</v>
      </c>
      <c r="J325" s="66" t="n">
        <v>0</v>
      </c>
      <c r="K325" s="66" t="n">
        <v>25</v>
      </c>
      <c r="L325" s="66" t="n">
        <v>51</v>
      </c>
      <c r="M325" s="73" t="n">
        <v>0.015</v>
      </c>
      <c r="N325" s="44" t="s">
        <v>862</v>
      </c>
      <c r="O325" s="72" t="s">
        <v>930</v>
      </c>
      <c r="P325" s="67" t="s">
        <v>931</v>
      </c>
      <c r="Q325" s="64"/>
      <c r="R325" s="64"/>
      <c r="S325" s="64"/>
      <c r="T325" s="64"/>
      <c r="U325" s="64"/>
      <c r="V325" s="64"/>
      <c r="W325" s="64"/>
      <c r="X325" s="64"/>
      <c r="Y325" s="64"/>
      <c r="Z325" s="64"/>
      <c r="AA325" s="64"/>
    </row>
    <row r="326" customFormat="false" ht="15" hidden="false" customHeight="false" outlineLevel="0" collapsed="false">
      <c r="A326" s="65" t="n">
        <v>46304</v>
      </c>
      <c r="B326" s="66" t="s">
        <v>320</v>
      </c>
      <c r="C326" s="67" t="s">
        <v>698</v>
      </c>
      <c r="D326" s="67" t="s">
        <v>697</v>
      </c>
      <c r="E326" s="66" t="n">
        <v>41</v>
      </c>
      <c r="F326" s="66" t="n">
        <v>41</v>
      </c>
      <c r="G326" s="66" t="n">
        <v>0</v>
      </c>
      <c r="H326" s="66" t="n">
        <v>0</v>
      </c>
      <c r="I326" s="66" t="n">
        <v>0</v>
      </c>
      <c r="J326" s="66" t="n">
        <v>0</v>
      </c>
      <c r="K326" s="66" t="n">
        <v>0</v>
      </c>
      <c r="L326" s="66" t="n">
        <v>0</v>
      </c>
      <c r="M326" s="73" t="n">
        <v>0</v>
      </c>
      <c r="N326" s="73"/>
      <c r="O326" s="72"/>
      <c r="P326" s="67"/>
      <c r="Q326" s="64"/>
      <c r="R326" s="64"/>
      <c r="S326" s="64"/>
      <c r="T326" s="64"/>
      <c r="U326" s="64"/>
      <c r="V326" s="64"/>
      <c r="W326" s="64"/>
      <c r="X326" s="64"/>
      <c r="Y326" s="64"/>
      <c r="Z326" s="64"/>
      <c r="AA326" s="64"/>
    </row>
    <row r="327" customFormat="false" ht="25.35" hidden="false" customHeight="false" outlineLevel="0" collapsed="false">
      <c r="A327" s="65" t="n">
        <v>46304</v>
      </c>
      <c r="B327" s="66" t="s">
        <v>86</v>
      </c>
      <c r="C327" s="67" t="s">
        <v>683</v>
      </c>
      <c r="D327" s="67" t="s">
        <v>682</v>
      </c>
      <c r="E327" s="66" t="n">
        <v>3111</v>
      </c>
      <c r="F327" s="66" t="n">
        <v>2</v>
      </c>
      <c r="G327" s="66" t="n">
        <v>2933</v>
      </c>
      <c r="H327" s="66" t="n">
        <v>72</v>
      </c>
      <c r="I327" s="66" t="n">
        <v>104</v>
      </c>
      <c r="J327" s="66" t="n">
        <v>0</v>
      </c>
      <c r="K327" s="66" t="n">
        <v>0</v>
      </c>
      <c r="L327" s="66" t="n">
        <v>176</v>
      </c>
      <c r="M327" s="73" t="n">
        <v>0.013</v>
      </c>
      <c r="N327" s="44" t="s">
        <v>883</v>
      </c>
      <c r="O327" s="72" t="s">
        <v>932</v>
      </c>
      <c r="P327" s="67" t="s">
        <v>933</v>
      </c>
      <c r="Q327" s="64"/>
      <c r="R327" s="64"/>
      <c r="S327" s="64"/>
      <c r="T327" s="64"/>
      <c r="U327" s="64"/>
      <c r="V327" s="64"/>
      <c r="W327" s="64"/>
      <c r="X327" s="64"/>
      <c r="Y327" s="64"/>
      <c r="Z327" s="64"/>
      <c r="AA327" s="64"/>
    </row>
    <row r="328" customFormat="false" ht="15" hidden="false" customHeight="false" outlineLevel="0" collapsed="false">
      <c r="A328" s="65" t="n">
        <v>46304</v>
      </c>
      <c r="B328" s="66" t="s">
        <v>494</v>
      </c>
      <c r="C328" s="67" t="s">
        <v>679</v>
      </c>
      <c r="D328" s="67" t="s">
        <v>680</v>
      </c>
      <c r="E328" s="66" t="n">
        <v>37</v>
      </c>
      <c r="F328" s="66" t="n">
        <v>0</v>
      </c>
      <c r="G328" s="66" t="n">
        <v>0</v>
      </c>
      <c r="H328" s="66" t="n">
        <v>37</v>
      </c>
      <c r="I328" s="66" t="n">
        <v>0</v>
      </c>
      <c r="J328" s="66" t="n">
        <v>0</v>
      </c>
      <c r="K328" s="66" t="n">
        <v>0</v>
      </c>
      <c r="L328" s="66" t="n">
        <v>0</v>
      </c>
      <c r="M328" s="44"/>
      <c r="N328" s="44"/>
      <c r="O328" s="72"/>
      <c r="P328" s="67"/>
      <c r="Q328" s="64"/>
      <c r="R328" s="64"/>
      <c r="S328" s="64"/>
      <c r="T328" s="64"/>
      <c r="U328" s="64"/>
      <c r="V328" s="64"/>
      <c r="W328" s="64"/>
      <c r="X328" s="64"/>
      <c r="Y328" s="64"/>
      <c r="Z328" s="64"/>
      <c r="AA328" s="64"/>
    </row>
    <row r="329" customFormat="false" ht="15" hidden="false" customHeight="false" outlineLevel="0" collapsed="false">
      <c r="A329" s="65" t="n">
        <v>46304</v>
      </c>
      <c r="B329" s="66" t="s">
        <v>515</v>
      </c>
      <c r="C329" s="67" t="s">
        <v>687</v>
      </c>
      <c r="D329" s="67" t="s">
        <v>686</v>
      </c>
      <c r="E329" s="66" t="n">
        <v>0</v>
      </c>
      <c r="F329" s="66" t="n">
        <v>0</v>
      </c>
      <c r="G329" s="66" t="n">
        <v>0</v>
      </c>
      <c r="H329" s="66" t="n">
        <v>0</v>
      </c>
      <c r="I329" s="66" t="n">
        <v>0</v>
      </c>
      <c r="J329" s="66" t="n">
        <v>0</v>
      </c>
      <c r="K329" s="66" t="n">
        <v>0</v>
      </c>
      <c r="L329" s="66" t="n">
        <v>0</v>
      </c>
      <c r="M329" s="73" t="n">
        <v>0</v>
      </c>
      <c r="N329" s="73"/>
      <c r="O329" s="72"/>
      <c r="P329" s="67"/>
      <c r="Q329" s="64"/>
      <c r="R329" s="64"/>
      <c r="S329" s="64"/>
      <c r="T329" s="64"/>
      <c r="U329" s="64"/>
      <c r="V329" s="64"/>
      <c r="W329" s="64"/>
      <c r="X329" s="64"/>
      <c r="Y329" s="64"/>
      <c r="Z329" s="64"/>
      <c r="AA329" s="64"/>
    </row>
    <row r="330" customFormat="false" ht="15" hidden="false" customHeight="false" outlineLevel="0" collapsed="false">
      <c r="A330" s="65" t="n">
        <v>46304</v>
      </c>
      <c r="B330" s="66" t="s">
        <v>532</v>
      </c>
      <c r="C330" s="67" t="s">
        <v>679</v>
      </c>
      <c r="D330" s="67" t="s">
        <v>680</v>
      </c>
      <c r="E330" s="66" t="n">
        <v>0</v>
      </c>
      <c r="F330" s="66" t="n">
        <v>0</v>
      </c>
      <c r="G330" s="66" t="n">
        <v>0</v>
      </c>
      <c r="H330" s="66" t="n">
        <v>0</v>
      </c>
      <c r="I330" s="66" t="n">
        <v>0</v>
      </c>
      <c r="J330" s="66" t="n">
        <v>0</v>
      </c>
      <c r="K330" s="66" t="n">
        <v>0</v>
      </c>
      <c r="L330" s="66" t="n">
        <v>0</v>
      </c>
      <c r="M330" s="44"/>
      <c r="N330" s="44"/>
      <c r="O330" s="72"/>
      <c r="P330" s="67"/>
      <c r="Q330" s="64"/>
      <c r="R330" s="64"/>
      <c r="S330" s="64"/>
      <c r="T330" s="64"/>
      <c r="U330" s="64"/>
      <c r="V330" s="64"/>
      <c r="W330" s="64"/>
      <c r="X330" s="64"/>
      <c r="Y330" s="64"/>
      <c r="Z330" s="64"/>
      <c r="AA330" s="64"/>
    </row>
    <row r="331" customFormat="false" ht="15" hidden="false" customHeight="false" outlineLevel="0" collapsed="false">
      <c r="A331" s="65" t="n">
        <v>46304</v>
      </c>
      <c r="B331" s="66" t="s">
        <v>205</v>
      </c>
      <c r="C331" s="67" t="s">
        <v>676</v>
      </c>
      <c r="D331" s="67" t="s">
        <v>677</v>
      </c>
      <c r="E331" s="66" t="n">
        <v>6261</v>
      </c>
      <c r="F331" s="66" t="n">
        <v>916</v>
      </c>
      <c r="G331" s="66" t="n">
        <v>3520</v>
      </c>
      <c r="H331" s="66" t="n">
        <v>0</v>
      </c>
      <c r="I331" s="66" t="n">
        <v>12</v>
      </c>
      <c r="J331" s="66" t="n">
        <v>1702</v>
      </c>
      <c r="K331" s="66" t="n">
        <v>111</v>
      </c>
      <c r="L331" s="66" t="n">
        <v>1825</v>
      </c>
      <c r="M331" s="73" t="n">
        <v>0.039</v>
      </c>
      <c r="N331" s="73"/>
      <c r="O331" s="72"/>
      <c r="P331" s="67"/>
      <c r="Q331" s="64"/>
      <c r="R331" s="64"/>
      <c r="S331" s="64"/>
      <c r="T331" s="64"/>
      <c r="U331" s="64"/>
      <c r="V331" s="64"/>
      <c r="W331" s="64"/>
      <c r="X331" s="64"/>
      <c r="Y331" s="64"/>
      <c r="Z331" s="64"/>
      <c r="AA331" s="64"/>
    </row>
    <row r="332" customFormat="false" ht="15" hidden="false" customHeight="false" outlineLevel="0" collapsed="false">
      <c r="A332" s="65" t="n">
        <v>46304</v>
      </c>
      <c r="B332" s="66" t="s">
        <v>168</v>
      </c>
      <c r="C332" s="67" t="s">
        <v>699</v>
      </c>
      <c r="D332" s="67" t="s">
        <v>697</v>
      </c>
      <c r="E332" s="66" t="n">
        <v>4557</v>
      </c>
      <c r="F332" s="66" t="n">
        <v>0</v>
      </c>
      <c r="G332" s="66" t="n">
        <v>4557</v>
      </c>
      <c r="H332" s="66" t="n">
        <v>0</v>
      </c>
      <c r="I332" s="66" t="n">
        <v>0</v>
      </c>
      <c r="J332" s="66" t="n">
        <v>0</v>
      </c>
      <c r="K332" s="66" t="n">
        <v>0</v>
      </c>
      <c r="L332" s="66" t="n">
        <v>0</v>
      </c>
      <c r="M332" s="73" t="n">
        <v>0.022</v>
      </c>
      <c r="N332" s="73"/>
      <c r="O332" s="72"/>
      <c r="P332" s="67"/>
      <c r="Q332" s="64"/>
      <c r="R332" s="64"/>
      <c r="S332" s="64"/>
      <c r="T332" s="64"/>
      <c r="U332" s="64"/>
      <c r="V332" s="64"/>
      <c r="W332" s="64"/>
      <c r="X332" s="64"/>
      <c r="Y332" s="64"/>
      <c r="Z332" s="64"/>
      <c r="AA332" s="64"/>
    </row>
    <row r="333" customFormat="false" ht="15" hidden="false" customHeight="false" outlineLevel="0" collapsed="false">
      <c r="A333" s="65" t="n">
        <v>46304</v>
      </c>
      <c r="B333" s="66" t="s">
        <v>73</v>
      </c>
      <c r="C333" s="67" t="s">
        <v>693</v>
      </c>
      <c r="D333" s="67" t="s">
        <v>692</v>
      </c>
      <c r="E333" s="66" t="n">
        <v>0</v>
      </c>
      <c r="F333" s="66" t="n">
        <v>0</v>
      </c>
      <c r="G333" s="66" t="n">
        <v>0</v>
      </c>
      <c r="H333" s="66" t="n">
        <v>0</v>
      </c>
      <c r="I333" s="66" t="n">
        <v>0</v>
      </c>
      <c r="J333" s="66" t="n">
        <v>0</v>
      </c>
      <c r="K333" s="66" t="n">
        <v>0</v>
      </c>
      <c r="L333" s="66" t="n">
        <v>0</v>
      </c>
      <c r="M333" s="73" t="n">
        <v>0</v>
      </c>
      <c r="N333" s="73"/>
      <c r="O333" s="72"/>
      <c r="P333" s="67"/>
      <c r="Q333" s="64"/>
      <c r="R333" s="64"/>
      <c r="S333" s="64"/>
      <c r="T333" s="64"/>
      <c r="U333" s="64"/>
      <c r="V333" s="64"/>
      <c r="W333" s="64"/>
      <c r="X333" s="64"/>
      <c r="Y333" s="64"/>
      <c r="Z333" s="64"/>
      <c r="AA333" s="64"/>
    </row>
    <row r="334" customFormat="false" ht="15" hidden="false" customHeight="false" outlineLevel="0" collapsed="false">
      <c r="A334" s="65" t="n">
        <v>46304</v>
      </c>
      <c r="B334" s="66" t="s">
        <v>156</v>
      </c>
      <c r="C334" s="67" t="s">
        <v>678</v>
      </c>
      <c r="D334" s="67" t="s">
        <v>677</v>
      </c>
      <c r="E334" s="66" t="n">
        <v>17</v>
      </c>
      <c r="F334" s="66" t="n">
        <v>13</v>
      </c>
      <c r="G334" s="66" t="n">
        <v>0</v>
      </c>
      <c r="H334" s="66" t="n">
        <v>4</v>
      </c>
      <c r="I334" s="66" t="n">
        <v>0</v>
      </c>
      <c r="J334" s="66" t="n">
        <v>0</v>
      </c>
      <c r="K334" s="66" t="n">
        <v>0</v>
      </c>
      <c r="L334" s="66" t="n">
        <v>4</v>
      </c>
      <c r="M334" s="73" t="n">
        <v>0</v>
      </c>
      <c r="N334" s="73"/>
      <c r="O334" s="72"/>
      <c r="P334" s="67"/>
      <c r="Q334" s="64"/>
      <c r="R334" s="64"/>
      <c r="S334" s="64"/>
      <c r="T334" s="64"/>
      <c r="U334" s="64"/>
      <c r="V334" s="64"/>
      <c r="W334" s="64"/>
      <c r="X334" s="64"/>
      <c r="Y334" s="64"/>
      <c r="Z334" s="64"/>
      <c r="AA334" s="64"/>
    </row>
    <row r="335" customFormat="false" ht="15" hidden="false" customHeight="false" outlineLevel="0" collapsed="false">
      <c r="A335" s="65" t="n">
        <v>46304</v>
      </c>
      <c r="B335" s="66" t="s">
        <v>198</v>
      </c>
      <c r="C335" s="67" t="s">
        <v>673</v>
      </c>
      <c r="D335" s="67" t="s">
        <v>669</v>
      </c>
      <c r="E335" s="66" t="n">
        <v>1836</v>
      </c>
      <c r="F335" s="66" t="n">
        <v>0</v>
      </c>
      <c r="G335" s="66" t="n">
        <v>1652</v>
      </c>
      <c r="H335" s="66" t="n">
        <v>184</v>
      </c>
      <c r="I335" s="66" t="n">
        <v>0</v>
      </c>
      <c r="J335" s="66" t="n">
        <v>0</v>
      </c>
      <c r="K335" s="66" t="n">
        <v>0</v>
      </c>
      <c r="L335" s="66" t="n">
        <v>184</v>
      </c>
      <c r="M335" s="73" t="n">
        <v>0.012</v>
      </c>
      <c r="N335" s="73"/>
      <c r="O335" s="72"/>
      <c r="P335" s="67"/>
      <c r="Q335" s="64"/>
      <c r="R335" s="64"/>
      <c r="S335" s="64"/>
      <c r="T335" s="64"/>
      <c r="U335" s="64"/>
      <c r="V335" s="64"/>
      <c r="W335" s="64"/>
      <c r="X335" s="64"/>
      <c r="Y335" s="64"/>
      <c r="Z335" s="64"/>
      <c r="AA335" s="64"/>
    </row>
    <row r="336" customFormat="false" ht="15" hidden="false" customHeight="false" outlineLevel="0" collapsed="false">
      <c r="A336" s="65" t="n">
        <v>46304</v>
      </c>
      <c r="B336" s="66" t="s">
        <v>526</v>
      </c>
      <c r="C336" s="67" t="s">
        <v>670</v>
      </c>
      <c r="D336" s="67" t="s">
        <v>669</v>
      </c>
      <c r="E336" s="66" t="n">
        <v>1252</v>
      </c>
      <c r="F336" s="66" t="n">
        <v>0</v>
      </c>
      <c r="G336" s="66" t="n">
        <v>0</v>
      </c>
      <c r="H336" s="66" t="n">
        <v>1252</v>
      </c>
      <c r="I336" s="66" t="n">
        <v>0</v>
      </c>
      <c r="J336" s="66" t="n">
        <v>0</v>
      </c>
      <c r="K336" s="66" t="n">
        <v>0</v>
      </c>
      <c r="L336" s="66" t="n">
        <v>1252</v>
      </c>
      <c r="M336" s="73" t="n">
        <v>0.008</v>
      </c>
      <c r="N336" s="73"/>
      <c r="O336" s="72"/>
      <c r="P336" s="67"/>
      <c r="Q336" s="64"/>
      <c r="R336" s="64"/>
      <c r="S336" s="64"/>
      <c r="T336" s="64"/>
      <c r="U336" s="64"/>
      <c r="V336" s="64"/>
      <c r="W336" s="64"/>
      <c r="X336" s="64"/>
      <c r="Y336" s="64"/>
      <c r="Z336" s="64"/>
      <c r="AA336" s="64"/>
    </row>
    <row r="337" customFormat="false" ht="15" hidden="false" customHeight="false" outlineLevel="0" collapsed="false">
      <c r="A337" s="65" t="n">
        <v>46304</v>
      </c>
      <c r="B337" s="66" t="s">
        <v>219</v>
      </c>
      <c r="C337" s="67" t="s">
        <v>679</v>
      </c>
      <c r="D337" s="67" t="s">
        <v>680</v>
      </c>
      <c r="E337" s="66" t="n">
        <v>0</v>
      </c>
      <c r="F337" s="66" t="n">
        <v>0</v>
      </c>
      <c r="G337" s="66" t="n">
        <v>0</v>
      </c>
      <c r="H337" s="66" t="n">
        <v>0</v>
      </c>
      <c r="I337" s="66" t="n">
        <v>0</v>
      </c>
      <c r="J337" s="66" t="n">
        <v>0</v>
      </c>
      <c r="K337" s="66" t="n">
        <v>0</v>
      </c>
      <c r="L337" s="66" t="n">
        <v>0</v>
      </c>
      <c r="M337" s="44"/>
      <c r="N337" s="44"/>
      <c r="O337" s="72"/>
      <c r="P337" s="67"/>
      <c r="Q337" s="64"/>
      <c r="R337" s="64"/>
      <c r="S337" s="64"/>
      <c r="T337" s="64"/>
      <c r="U337" s="64"/>
      <c r="V337" s="64"/>
      <c r="W337" s="64"/>
      <c r="X337" s="64"/>
      <c r="Y337" s="64"/>
      <c r="Z337" s="64"/>
      <c r="AA337" s="64"/>
    </row>
    <row r="338" customFormat="false" ht="15" hidden="false" customHeight="false" outlineLevel="0" collapsed="false">
      <c r="A338" s="65" t="n">
        <v>46304</v>
      </c>
      <c r="B338" s="66" t="s">
        <v>362</v>
      </c>
      <c r="C338" s="67" t="s">
        <v>698</v>
      </c>
      <c r="D338" s="67" t="s">
        <v>697</v>
      </c>
      <c r="E338" s="66" t="n">
        <v>0</v>
      </c>
      <c r="F338" s="66" t="n">
        <v>0</v>
      </c>
      <c r="G338" s="66" t="n">
        <v>0</v>
      </c>
      <c r="H338" s="66" t="n">
        <v>0</v>
      </c>
      <c r="I338" s="66" t="n">
        <v>0</v>
      </c>
      <c r="J338" s="66" t="n">
        <v>0</v>
      </c>
      <c r="K338" s="66" t="n">
        <v>0</v>
      </c>
      <c r="L338" s="66" t="n">
        <v>0</v>
      </c>
      <c r="M338" s="73" t="n">
        <v>0</v>
      </c>
      <c r="N338" s="73"/>
      <c r="O338" s="72"/>
      <c r="P338" s="67"/>
      <c r="Q338" s="64"/>
      <c r="R338" s="64"/>
      <c r="S338" s="64"/>
      <c r="T338" s="64"/>
      <c r="U338" s="64"/>
      <c r="V338" s="64"/>
      <c r="W338" s="64"/>
      <c r="X338" s="64"/>
      <c r="Y338" s="64"/>
      <c r="Z338" s="64"/>
      <c r="AA338" s="64"/>
    </row>
    <row r="339" customFormat="false" ht="15" hidden="false" customHeight="false" outlineLevel="0" collapsed="false">
      <c r="A339" s="65" t="n">
        <v>46304</v>
      </c>
      <c r="B339" s="66" t="s">
        <v>396</v>
      </c>
      <c r="C339" s="67" t="s">
        <v>694</v>
      </c>
      <c r="D339" s="67" t="s">
        <v>692</v>
      </c>
      <c r="E339" s="66" t="n">
        <v>1535</v>
      </c>
      <c r="F339" s="66" t="n">
        <v>1036</v>
      </c>
      <c r="G339" s="66" t="n">
        <v>0</v>
      </c>
      <c r="H339" s="66" t="n">
        <v>499</v>
      </c>
      <c r="I339" s="66" t="n">
        <v>0</v>
      </c>
      <c r="J339" s="66" t="n">
        <v>0</v>
      </c>
      <c r="K339" s="66" t="n">
        <v>0</v>
      </c>
      <c r="L339" s="66" t="n">
        <v>499</v>
      </c>
      <c r="M339" s="73" t="n">
        <v>0.003</v>
      </c>
      <c r="N339" s="44" t="s">
        <v>839</v>
      </c>
      <c r="O339" s="72" t="s">
        <v>839</v>
      </c>
      <c r="P339" s="67" t="s">
        <v>839</v>
      </c>
      <c r="Q339" s="64"/>
      <c r="R339" s="64"/>
      <c r="S339" s="64"/>
      <c r="T339" s="64"/>
      <c r="U339" s="64"/>
      <c r="V339" s="64"/>
      <c r="W339" s="64"/>
      <c r="X339" s="64"/>
      <c r="Y339" s="64"/>
      <c r="Z339" s="64"/>
      <c r="AA339" s="64"/>
    </row>
    <row r="340" customFormat="false" ht="15" hidden="false" customHeight="false" outlineLevel="0" collapsed="false">
      <c r="A340" s="65" t="n">
        <v>46304</v>
      </c>
      <c r="B340" s="66" t="s">
        <v>388</v>
      </c>
      <c r="C340" s="67" t="s">
        <v>679</v>
      </c>
      <c r="D340" s="67" t="s">
        <v>680</v>
      </c>
      <c r="E340" s="66" t="n">
        <v>0</v>
      </c>
      <c r="F340" s="66" t="n">
        <v>0</v>
      </c>
      <c r="G340" s="66" t="n">
        <v>0</v>
      </c>
      <c r="H340" s="66" t="n">
        <v>0</v>
      </c>
      <c r="I340" s="66" t="n">
        <v>0</v>
      </c>
      <c r="J340" s="66" t="n">
        <v>0</v>
      </c>
      <c r="K340" s="66" t="n">
        <v>0</v>
      </c>
      <c r="L340" s="66" t="n">
        <v>0</v>
      </c>
      <c r="M340" s="44"/>
      <c r="N340" s="44"/>
      <c r="O340" s="72"/>
      <c r="P340" s="67"/>
      <c r="Q340" s="64"/>
      <c r="R340" s="64"/>
      <c r="S340" s="64"/>
      <c r="T340" s="64"/>
      <c r="U340" s="64"/>
      <c r="V340" s="64"/>
      <c r="W340" s="64"/>
      <c r="X340" s="64"/>
      <c r="Y340" s="64"/>
      <c r="Z340" s="64"/>
      <c r="AA340" s="64"/>
    </row>
    <row r="341" customFormat="false" ht="15" hidden="false" customHeight="false" outlineLevel="0" collapsed="false">
      <c r="A341" s="65" t="n">
        <v>46304</v>
      </c>
      <c r="B341" s="66" t="s">
        <v>376</v>
      </c>
      <c r="C341" s="67" t="s">
        <v>670</v>
      </c>
      <c r="D341" s="67" t="s">
        <v>669</v>
      </c>
      <c r="E341" s="66" t="n">
        <v>1133</v>
      </c>
      <c r="F341" s="66" t="n">
        <v>0</v>
      </c>
      <c r="G341" s="66" t="n">
        <v>1132</v>
      </c>
      <c r="H341" s="66" t="n">
        <v>0</v>
      </c>
      <c r="I341" s="66" t="n">
        <v>1</v>
      </c>
      <c r="J341" s="66" t="n">
        <v>0</v>
      </c>
      <c r="K341" s="66" t="n">
        <v>0</v>
      </c>
      <c r="L341" s="66" t="n">
        <v>1</v>
      </c>
      <c r="M341" s="73" t="n">
        <v>0.007</v>
      </c>
      <c r="N341" s="73"/>
      <c r="O341" s="72"/>
      <c r="P341" s="67"/>
      <c r="Q341" s="64"/>
      <c r="R341" s="64"/>
      <c r="S341" s="64"/>
      <c r="T341" s="64"/>
      <c r="U341" s="64"/>
      <c r="V341" s="64"/>
      <c r="W341" s="64"/>
      <c r="X341" s="64"/>
      <c r="Y341" s="64"/>
      <c r="Z341" s="64"/>
      <c r="AA341" s="64"/>
    </row>
    <row r="342" customFormat="false" ht="15" hidden="false" customHeight="false" outlineLevel="0" collapsed="false">
      <c r="A342" s="65" t="n">
        <v>46304</v>
      </c>
      <c r="B342" s="66" t="s">
        <v>408</v>
      </c>
      <c r="C342" s="67" t="s">
        <v>694</v>
      </c>
      <c r="D342" s="67" t="s">
        <v>692</v>
      </c>
      <c r="E342" s="66" t="n">
        <v>744</v>
      </c>
      <c r="F342" s="66" t="n">
        <v>744</v>
      </c>
      <c r="G342" s="66" t="n">
        <v>0</v>
      </c>
      <c r="H342" s="66" t="n">
        <v>0</v>
      </c>
      <c r="I342" s="66" t="n">
        <v>0</v>
      </c>
      <c r="J342" s="66" t="n">
        <v>0</v>
      </c>
      <c r="K342" s="66" t="n">
        <v>0</v>
      </c>
      <c r="L342" s="66" t="n">
        <v>0</v>
      </c>
      <c r="M342" s="73" t="n">
        <v>0</v>
      </c>
      <c r="N342" s="73"/>
      <c r="O342" s="72"/>
      <c r="P342" s="67"/>
      <c r="Q342" s="64"/>
      <c r="R342" s="64"/>
      <c r="S342" s="64"/>
      <c r="T342" s="64"/>
      <c r="U342" s="64"/>
      <c r="V342" s="64"/>
      <c r="W342" s="64"/>
      <c r="X342" s="64"/>
      <c r="Y342" s="64"/>
      <c r="Z342" s="64"/>
      <c r="AA342" s="64"/>
    </row>
    <row r="343" customFormat="false" ht="15" hidden="false" customHeight="false" outlineLevel="0" collapsed="false">
      <c r="A343" s="65" t="n">
        <v>46304</v>
      </c>
      <c r="B343" s="66" t="s">
        <v>195</v>
      </c>
      <c r="C343" s="67" t="s">
        <v>685</v>
      </c>
      <c r="D343" s="67" t="s">
        <v>686</v>
      </c>
      <c r="E343" s="66" t="n">
        <v>7343</v>
      </c>
      <c r="F343" s="66" t="n">
        <v>2147</v>
      </c>
      <c r="G343" s="66" t="n">
        <v>5196</v>
      </c>
      <c r="H343" s="66" t="n">
        <v>0</v>
      </c>
      <c r="I343" s="66" t="n">
        <v>0</v>
      </c>
      <c r="J343" s="66" t="n">
        <v>0</v>
      </c>
      <c r="K343" s="66" t="n">
        <v>0</v>
      </c>
      <c r="L343" s="66" t="n">
        <v>0</v>
      </c>
      <c r="M343" s="73" t="n">
        <v>0.031</v>
      </c>
      <c r="N343" s="73"/>
      <c r="O343" s="72"/>
      <c r="P343" s="67"/>
      <c r="Q343" s="64"/>
      <c r="R343" s="64"/>
      <c r="S343" s="64"/>
      <c r="T343" s="64"/>
      <c r="U343" s="64"/>
      <c r="V343" s="64"/>
      <c r="W343" s="64"/>
      <c r="X343" s="64"/>
      <c r="Y343" s="64"/>
      <c r="Z343" s="64"/>
      <c r="AA343" s="64"/>
    </row>
    <row r="344" customFormat="false" ht="15" hidden="false" customHeight="false" outlineLevel="0" collapsed="false">
      <c r="A344" s="65" t="n">
        <v>46304</v>
      </c>
      <c r="B344" s="66" t="s">
        <v>344</v>
      </c>
      <c r="C344" s="67" t="s">
        <v>679</v>
      </c>
      <c r="D344" s="67" t="s">
        <v>680</v>
      </c>
      <c r="E344" s="66" t="n">
        <v>2195</v>
      </c>
      <c r="F344" s="66" t="n">
        <v>0</v>
      </c>
      <c r="G344" s="66" t="n">
        <v>0</v>
      </c>
      <c r="H344" s="66" t="n">
        <v>2192</v>
      </c>
      <c r="I344" s="66" t="n">
        <v>0</v>
      </c>
      <c r="J344" s="66" t="n">
        <v>3</v>
      </c>
      <c r="K344" s="66" t="n">
        <v>0</v>
      </c>
      <c r="L344" s="66" t="n">
        <v>3</v>
      </c>
      <c r="M344" s="44"/>
      <c r="N344" s="44"/>
      <c r="O344" s="72"/>
      <c r="P344" s="67"/>
      <c r="Q344" s="64"/>
      <c r="R344" s="64"/>
      <c r="S344" s="64"/>
      <c r="T344" s="64"/>
      <c r="U344" s="64"/>
      <c r="V344" s="64"/>
      <c r="W344" s="64"/>
      <c r="X344" s="64"/>
      <c r="Y344" s="64"/>
      <c r="Z344" s="64"/>
      <c r="AA344" s="64"/>
    </row>
    <row r="345" customFormat="false" ht="15" hidden="false" customHeight="false" outlineLevel="0" collapsed="false">
      <c r="A345" s="65" t="n">
        <v>46304</v>
      </c>
      <c r="B345" s="66" t="s">
        <v>461</v>
      </c>
      <c r="C345" s="67" t="s">
        <v>679</v>
      </c>
      <c r="D345" s="67" t="s">
        <v>680</v>
      </c>
      <c r="E345" s="66" t="n">
        <v>480</v>
      </c>
      <c r="F345" s="66" t="n">
        <v>480</v>
      </c>
      <c r="G345" s="66" t="n">
        <v>0</v>
      </c>
      <c r="H345" s="66" t="n">
        <v>0</v>
      </c>
      <c r="I345" s="66" t="n">
        <v>0</v>
      </c>
      <c r="J345" s="66" t="n">
        <v>0</v>
      </c>
      <c r="K345" s="66" t="n">
        <v>0</v>
      </c>
      <c r="L345" s="66" t="n">
        <v>0</v>
      </c>
      <c r="M345" s="44"/>
      <c r="N345" s="44"/>
      <c r="O345" s="72"/>
      <c r="P345" s="67"/>
      <c r="Q345" s="64"/>
      <c r="R345" s="64"/>
      <c r="S345" s="64"/>
      <c r="T345" s="64"/>
      <c r="U345" s="64"/>
      <c r="V345" s="64"/>
      <c r="W345" s="64"/>
      <c r="X345" s="64"/>
      <c r="Y345" s="64"/>
      <c r="Z345" s="64"/>
      <c r="AA345" s="64"/>
    </row>
    <row r="346" customFormat="false" ht="25.35" hidden="false" customHeight="false" outlineLevel="0" collapsed="false">
      <c r="A346" s="65" t="n">
        <v>46304</v>
      </c>
      <c r="B346" s="66" t="s">
        <v>76</v>
      </c>
      <c r="C346" s="67" t="s">
        <v>702</v>
      </c>
      <c r="D346" s="67" t="s">
        <v>703</v>
      </c>
      <c r="E346" s="66" t="n">
        <v>9705</v>
      </c>
      <c r="F346" s="66" t="n">
        <v>204</v>
      </c>
      <c r="G346" s="66" t="n">
        <v>5237</v>
      </c>
      <c r="H346" s="66" t="n">
        <v>0</v>
      </c>
      <c r="I346" s="66" t="n">
        <v>0</v>
      </c>
      <c r="J346" s="66" t="n">
        <v>3977</v>
      </c>
      <c r="K346" s="66" t="n">
        <v>287</v>
      </c>
      <c r="L346" s="66" t="n">
        <v>4264</v>
      </c>
      <c r="M346" s="73" t="n">
        <v>0.075</v>
      </c>
      <c r="N346" s="44" t="s">
        <v>859</v>
      </c>
      <c r="O346" s="68" t="s">
        <v>860</v>
      </c>
      <c r="P346" s="68" t="s">
        <v>934</v>
      </c>
      <c r="Q346" s="64"/>
      <c r="R346" s="64"/>
      <c r="S346" s="64"/>
      <c r="T346" s="64"/>
      <c r="U346" s="64"/>
      <c r="V346" s="64"/>
      <c r="W346" s="64"/>
      <c r="X346" s="64"/>
      <c r="Y346" s="64"/>
      <c r="Z346" s="64"/>
      <c r="AA346" s="64"/>
    </row>
    <row r="347" customFormat="false" ht="15" hidden="false" customHeight="false" outlineLevel="0" collapsed="false">
      <c r="A347" s="65" t="n">
        <v>46304</v>
      </c>
      <c r="B347" s="66" t="s">
        <v>186</v>
      </c>
      <c r="C347" s="67" t="s">
        <v>702</v>
      </c>
      <c r="D347" s="67" t="s">
        <v>703</v>
      </c>
      <c r="E347" s="66" t="n">
        <v>534</v>
      </c>
      <c r="F347" s="66" t="n">
        <v>0</v>
      </c>
      <c r="G347" s="66" t="n">
        <v>0</v>
      </c>
      <c r="H347" s="66" t="n">
        <v>534</v>
      </c>
      <c r="I347" s="66" t="n">
        <v>0</v>
      </c>
      <c r="J347" s="66" t="n">
        <v>0</v>
      </c>
      <c r="K347" s="66" t="n">
        <v>0</v>
      </c>
      <c r="L347" s="66" t="n">
        <v>534</v>
      </c>
      <c r="M347" s="73" t="n">
        <v>0.003</v>
      </c>
      <c r="N347" s="73"/>
      <c r="O347" s="72"/>
      <c r="P347" s="67"/>
      <c r="Q347" s="64"/>
      <c r="R347" s="64"/>
      <c r="S347" s="64"/>
      <c r="T347" s="64"/>
      <c r="U347" s="64"/>
      <c r="V347" s="64"/>
      <c r="W347" s="64"/>
      <c r="X347" s="64"/>
      <c r="Y347" s="64"/>
      <c r="Z347" s="64"/>
      <c r="AA347" s="64"/>
    </row>
    <row r="348" customFormat="false" ht="15" hidden="false" customHeight="false" outlineLevel="0" collapsed="false">
      <c r="A348" s="65" t="n">
        <v>46304</v>
      </c>
      <c r="B348" s="66" t="s">
        <v>331</v>
      </c>
      <c r="C348" s="67" t="s">
        <v>699</v>
      </c>
      <c r="D348" s="67" t="s">
        <v>697</v>
      </c>
      <c r="E348" s="66" t="n">
        <v>0</v>
      </c>
      <c r="F348" s="66" t="n">
        <v>0</v>
      </c>
      <c r="G348" s="66" t="n">
        <v>0</v>
      </c>
      <c r="H348" s="66" t="n">
        <v>0</v>
      </c>
      <c r="I348" s="66" t="n">
        <v>0</v>
      </c>
      <c r="J348" s="66" t="n">
        <v>0</v>
      </c>
      <c r="K348" s="66" t="n">
        <v>0</v>
      </c>
      <c r="L348" s="66" t="n">
        <v>0</v>
      </c>
      <c r="M348" s="73" t="n">
        <v>0</v>
      </c>
      <c r="N348" s="73"/>
      <c r="O348" s="72"/>
      <c r="P348" s="67"/>
      <c r="Q348" s="64"/>
      <c r="R348" s="64"/>
      <c r="S348" s="64"/>
      <c r="T348" s="64"/>
      <c r="U348" s="64"/>
      <c r="V348" s="64"/>
      <c r="W348" s="64"/>
      <c r="X348" s="64"/>
      <c r="Y348" s="64"/>
      <c r="Z348" s="64"/>
      <c r="AA348" s="64"/>
    </row>
    <row r="349" customFormat="false" ht="15" hidden="false" customHeight="false" outlineLevel="0" collapsed="false">
      <c r="A349" s="65" t="n">
        <v>46304</v>
      </c>
      <c r="B349" s="66" t="s">
        <v>250</v>
      </c>
      <c r="C349" s="67" t="s">
        <v>676</v>
      </c>
      <c r="D349" s="67" t="s">
        <v>677</v>
      </c>
      <c r="E349" s="66" t="n">
        <v>35</v>
      </c>
      <c r="F349" s="66" t="n">
        <v>0</v>
      </c>
      <c r="G349" s="66" t="n">
        <v>0</v>
      </c>
      <c r="H349" s="66" t="n">
        <v>35</v>
      </c>
      <c r="I349" s="66" t="n">
        <v>0</v>
      </c>
      <c r="J349" s="66" t="n">
        <v>0</v>
      </c>
      <c r="K349" s="66" t="n">
        <v>0</v>
      </c>
      <c r="L349" s="66" t="n">
        <v>35</v>
      </c>
      <c r="M349" s="73" t="n">
        <v>0</v>
      </c>
      <c r="N349" s="73"/>
      <c r="O349" s="72"/>
      <c r="P349" s="67"/>
      <c r="Q349" s="64"/>
      <c r="R349" s="64"/>
      <c r="S349" s="64"/>
      <c r="T349" s="64"/>
      <c r="U349" s="64"/>
      <c r="V349" s="64"/>
      <c r="W349" s="64"/>
      <c r="X349" s="64"/>
      <c r="Y349" s="64"/>
      <c r="Z349" s="64"/>
      <c r="AA349" s="64"/>
    </row>
    <row r="350" customFormat="false" ht="15" hidden="false" customHeight="false" outlineLevel="0" collapsed="false">
      <c r="A350" s="65" t="n">
        <v>46304</v>
      </c>
      <c r="B350" s="66" t="s">
        <v>404</v>
      </c>
      <c r="C350" s="67" t="s">
        <v>679</v>
      </c>
      <c r="D350" s="67" t="s">
        <v>680</v>
      </c>
      <c r="E350" s="66" t="n">
        <v>569</v>
      </c>
      <c r="F350" s="66" t="n">
        <v>1</v>
      </c>
      <c r="G350" s="66" t="n">
        <v>0</v>
      </c>
      <c r="H350" s="66" t="n">
        <v>568</v>
      </c>
      <c r="I350" s="66" t="n">
        <v>0</v>
      </c>
      <c r="J350" s="66" t="n">
        <v>0</v>
      </c>
      <c r="K350" s="66" t="n">
        <v>0</v>
      </c>
      <c r="L350" s="66" t="n">
        <v>0</v>
      </c>
      <c r="M350" s="44"/>
      <c r="N350" s="44"/>
      <c r="O350" s="72"/>
      <c r="P350" s="67"/>
      <c r="Q350" s="64"/>
      <c r="R350" s="64"/>
      <c r="S350" s="64"/>
      <c r="T350" s="64"/>
      <c r="U350" s="64"/>
      <c r="V350" s="64"/>
      <c r="W350" s="64"/>
      <c r="X350" s="64"/>
      <c r="Y350" s="64"/>
      <c r="Z350" s="64"/>
      <c r="AA350" s="64"/>
    </row>
    <row r="351" customFormat="false" ht="15" hidden="false" customHeight="false" outlineLevel="0" collapsed="false">
      <c r="A351" s="65" t="n">
        <v>46304</v>
      </c>
      <c r="B351" s="66" t="s">
        <v>407</v>
      </c>
      <c r="C351" s="67" t="s">
        <v>671</v>
      </c>
      <c r="D351" s="67" t="s">
        <v>669</v>
      </c>
      <c r="E351" s="66" t="n">
        <v>93</v>
      </c>
      <c r="F351" s="66" t="n">
        <v>0</v>
      </c>
      <c r="G351" s="66" t="n">
        <v>0</v>
      </c>
      <c r="H351" s="66" t="n">
        <v>93</v>
      </c>
      <c r="I351" s="66" t="n">
        <v>0</v>
      </c>
      <c r="J351" s="66" t="n">
        <v>0</v>
      </c>
      <c r="K351" s="66" t="n">
        <v>0</v>
      </c>
      <c r="L351" s="66" t="n">
        <v>93</v>
      </c>
      <c r="M351" s="73" t="n">
        <v>0.001</v>
      </c>
      <c r="N351" s="73"/>
      <c r="O351" s="72"/>
      <c r="P351" s="67"/>
      <c r="Q351" s="64"/>
      <c r="R351" s="64"/>
      <c r="S351" s="64"/>
      <c r="T351" s="64"/>
      <c r="U351" s="64"/>
      <c r="V351" s="64"/>
      <c r="W351" s="64"/>
      <c r="X351" s="64"/>
      <c r="Y351" s="64"/>
      <c r="Z351" s="64"/>
      <c r="AA351" s="64"/>
    </row>
    <row r="352" customFormat="false" ht="15" hidden="false" customHeight="false" outlineLevel="0" collapsed="false">
      <c r="A352" s="65" t="n">
        <v>46304</v>
      </c>
      <c r="B352" s="66" t="s">
        <v>24</v>
      </c>
      <c r="C352" s="67" t="s">
        <v>679</v>
      </c>
      <c r="D352" s="67" t="s">
        <v>680</v>
      </c>
      <c r="E352" s="66" t="n">
        <v>2550</v>
      </c>
      <c r="F352" s="66" t="n">
        <v>0</v>
      </c>
      <c r="G352" s="66" t="n">
        <v>0</v>
      </c>
      <c r="H352" s="66" t="n">
        <v>1826</v>
      </c>
      <c r="I352" s="66" t="n">
        <v>0</v>
      </c>
      <c r="J352" s="66" t="n">
        <v>151</v>
      </c>
      <c r="K352" s="66" t="n">
        <v>573</v>
      </c>
      <c r="L352" s="66" t="n">
        <v>724</v>
      </c>
      <c r="M352" s="44"/>
      <c r="N352" s="44"/>
      <c r="O352" s="72"/>
      <c r="P352" s="67"/>
      <c r="Q352" s="64"/>
      <c r="R352" s="64"/>
      <c r="S352" s="64"/>
      <c r="T352" s="64"/>
      <c r="U352" s="64"/>
      <c r="V352" s="64"/>
      <c r="W352" s="64"/>
      <c r="X352" s="64"/>
      <c r="Y352" s="64"/>
      <c r="Z352" s="64"/>
      <c r="AA352" s="64"/>
    </row>
    <row r="353" customFormat="false" ht="15" hidden="false" customHeight="false" outlineLevel="0" collapsed="false">
      <c r="A353" s="65" t="n">
        <v>46304</v>
      </c>
      <c r="B353" s="66" t="s">
        <v>80</v>
      </c>
      <c r="C353" s="67" t="s">
        <v>670</v>
      </c>
      <c r="D353" s="67" t="s">
        <v>669</v>
      </c>
      <c r="E353" s="66" t="n">
        <v>1431</v>
      </c>
      <c r="F353" s="66" t="n">
        <v>2</v>
      </c>
      <c r="G353" s="66" t="n">
        <v>14</v>
      </c>
      <c r="H353" s="66" t="n">
        <v>1365</v>
      </c>
      <c r="I353" s="66" t="n">
        <v>0</v>
      </c>
      <c r="J353" s="66" t="n">
        <v>8</v>
      </c>
      <c r="K353" s="66" t="n">
        <v>42</v>
      </c>
      <c r="L353" s="66" t="n">
        <v>1415</v>
      </c>
      <c r="M353" s="73" t="n">
        <v>0.012</v>
      </c>
      <c r="N353" s="73"/>
      <c r="O353" s="72"/>
      <c r="P353" s="67"/>
      <c r="Q353" s="64"/>
      <c r="R353" s="64"/>
      <c r="S353" s="64"/>
      <c r="T353" s="64"/>
      <c r="U353" s="64"/>
      <c r="V353" s="64"/>
      <c r="W353" s="64"/>
      <c r="X353" s="64"/>
      <c r="Y353" s="64"/>
      <c r="Z353" s="64"/>
      <c r="AA353" s="64"/>
    </row>
    <row r="354" customFormat="false" ht="15" hidden="false" customHeight="false" outlineLevel="0" collapsed="false">
      <c r="A354" s="65" t="n">
        <v>46304</v>
      </c>
      <c r="B354" s="66" t="s">
        <v>193</v>
      </c>
      <c r="C354" s="67" t="s">
        <v>672</v>
      </c>
      <c r="D354" s="67" t="s">
        <v>669</v>
      </c>
      <c r="E354" s="66" t="n">
        <v>6319</v>
      </c>
      <c r="F354" s="66" t="n">
        <v>266</v>
      </c>
      <c r="G354" s="66" t="n">
        <v>6049</v>
      </c>
      <c r="H354" s="66" t="n">
        <v>0</v>
      </c>
      <c r="I354" s="66" t="n">
        <v>0</v>
      </c>
      <c r="J354" s="66" t="n">
        <v>0</v>
      </c>
      <c r="K354" s="66" t="n">
        <v>4</v>
      </c>
      <c r="L354" s="66" t="n">
        <v>4</v>
      </c>
      <c r="M354" s="73" t="n">
        <v>0.018</v>
      </c>
      <c r="N354" s="73"/>
      <c r="O354" s="72"/>
      <c r="P354" s="67"/>
      <c r="Q354" s="64"/>
      <c r="R354" s="64"/>
      <c r="S354" s="64"/>
      <c r="T354" s="64"/>
      <c r="U354" s="64"/>
      <c r="V354" s="64"/>
      <c r="W354" s="64"/>
      <c r="X354" s="64"/>
      <c r="Y354" s="64"/>
      <c r="Z354" s="64"/>
      <c r="AA354" s="64"/>
    </row>
    <row r="355" customFormat="false" ht="15" hidden="false" customHeight="false" outlineLevel="0" collapsed="false">
      <c r="A355" s="65" t="n">
        <v>46304</v>
      </c>
      <c r="B355" s="66" t="s">
        <v>226</v>
      </c>
      <c r="C355" s="67" t="s">
        <v>678</v>
      </c>
      <c r="D355" s="67" t="s">
        <v>677</v>
      </c>
      <c r="E355" s="66" t="n">
        <v>0</v>
      </c>
      <c r="F355" s="66" t="n">
        <v>0</v>
      </c>
      <c r="G355" s="66" t="n">
        <v>0</v>
      </c>
      <c r="H355" s="66" t="n">
        <v>0</v>
      </c>
      <c r="I355" s="66" t="n">
        <v>0</v>
      </c>
      <c r="J355" s="66" t="n">
        <v>0</v>
      </c>
      <c r="K355" s="66" t="n">
        <v>0</v>
      </c>
      <c r="L355" s="66" t="n">
        <v>0</v>
      </c>
      <c r="M355" s="44"/>
      <c r="N355" s="44"/>
      <c r="O355" s="72"/>
      <c r="P355" s="67"/>
      <c r="Q355" s="64"/>
      <c r="R355" s="64"/>
      <c r="S355" s="64"/>
      <c r="T355" s="64"/>
      <c r="U355" s="64"/>
      <c r="V355" s="64"/>
      <c r="W355" s="64"/>
      <c r="X355" s="64"/>
      <c r="Y355" s="64"/>
      <c r="Z355" s="64"/>
      <c r="AA355" s="64"/>
    </row>
    <row r="356" customFormat="false" ht="15" hidden="false" customHeight="false" outlineLevel="0" collapsed="false">
      <c r="A356" s="65" t="n">
        <v>46304</v>
      </c>
      <c r="B356" s="66" t="s">
        <v>150</v>
      </c>
      <c r="C356" s="67" t="s">
        <v>676</v>
      </c>
      <c r="D356" s="67" t="s">
        <v>677</v>
      </c>
      <c r="E356" s="66" t="n">
        <v>7724</v>
      </c>
      <c r="F356" s="66" t="n">
        <v>0</v>
      </c>
      <c r="G356" s="66" t="n">
        <v>4453</v>
      </c>
      <c r="H356" s="66" t="n">
        <v>0</v>
      </c>
      <c r="I356" s="66" t="n">
        <v>3001</v>
      </c>
      <c r="J356" s="66" t="n">
        <v>0</v>
      </c>
      <c r="K356" s="66" t="n">
        <v>270</v>
      </c>
      <c r="L356" s="66" t="n">
        <v>3271</v>
      </c>
      <c r="M356" s="73" t="n">
        <v>0.05</v>
      </c>
      <c r="N356" s="73"/>
      <c r="O356" s="72"/>
      <c r="P356" s="67"/>
      <c r="Q356" s="64"/>
      <c r="R356" s="64"/>
      <c r="S356" s="64"/>
      <c r="T356" s="64"/>
      <c r="U356" s="64"/>
      <c r="V356" s="64"/>
      <c r="W356" s="64"/>
      <c r="X356" s="64"/>
      <c r="Y356" s="64"/>
      <c r="Z356" s="64"/>
      <c r="AA356" s="64"/>
    </row>
    <row r="357" customFormat="false" ht="15" hidden="false" customHeight="false" outlineLevel="0" collapsed="false">
      <c r="A357" s="65" t="n">
        <v>46304</v>
      </c>
      <c r="B357" s="66" t="s">
        <v>132</v>
      </c>
      <c r="C357" s="67" t="s">
        <v>668</v>
      </c>
      <c r="D357" s="67" t="s">
        <v>669</v>
      </c>
      <c r="E357" s="66" t="n">
        <v>0</v>
      </c>
      <c r="F357" s="66" t="n">
        <v>0</v>
      </c>
      <c r="G357" s="66" t="n">
        <v>0</v>
      </c>
      <c r="H357" s="66" t="n">
        <v>0</v>
      </c>
      <c r="I357" s="66" t="n">
        <v>0</v>
      </c>
      <c r="J357" s="66" t="n">
        <v>0</v>
      </c>
      <c r="K357" s="66" t="n">
        <v>0</v>
      </c>
      <c r="L357" s="66" t="n">
        <v>0</v>
      </c>
      <c r="M357" s="73" t="n">
        <v>0</v>
      </c>
      <c r="N357" s="73"/>
      <c r="O357" s="72"/>
      <c r="P357" s="67"/>
      <c r="Q357" s="64"/>
      <c r="R357" s="64"/>
      <c r="S357" s="64"/>
      <c r="T357" s="64"/>
      <c r="U357" s="64"/>
      <c r="V357" s="64"/>
      <c r="W357" s="64"/>
      <c r="X357" s="64"/>
      <c r="Y357" s="64"/>
      <c r="Z357" s="64"/>
      <c r="AA357" s="64"/>
    </row>
    <row r="358" customFormat="false" ht="15" hidden="false" customHeight="false" outlineLevel="0" collapsed="false">
      <c r="A358" s="65" t="n">
        <v>46304</v>
      </c>
      <c r="B358" s="66" t="s">
        <v>293</v>
      </c>
      <c r="C358" s="67" t="s">
        <v>705</v>
      </c>
      <c r="D358" s="67" t="s">
        <v>706</v>
      </c>
      <c r="E358" s="66" t="n">
        <v>0</v>
      </c>
      <c r="F358" s="66" t="n">
        <v>0</v>
      </c>
      <c r="G358" s="66" t="n">
        <v>0</v>
      </c>
      <c r="H358" s="66" t="n">
        <v>0</v>
      </c>
      <c r="I358" s="66" t="n">
        <v>0</v>
      </c>
      <c r="J358" s="66" t="n">
        <v>0</v>
      </c>
      <c r="K358" s="66" t="n">
        <v>0</v>
      </c>
      <c r="L358" s="66" t="n">
        <v>0</v>
      </c>
      <c r="M358" s="73" t="n">
        <v>0</v>
      </c>
      <c r="N358" s="73"/>
      <c r="O358" s="72"/>
      <c r="P358" s="67"/>
      <c r="Q358" s="64"/>
      <c r="R358" s="64"/>
      <c r="S358" s="64"/>
      <c r="T358" s="64"/>
      <c r="U358" s="64"/>
      <c r="V358" s="64"/>
      <c r="W358" s="64"/>
      <c r="X358" s="64"/>
      <c r="Y358" s="64"/>
      <c r="Z358" s="64"/>
      <c r="AA358" s="64"/>
    </row>
    <row r="359" customFormat="false" ht="15" hidden="false" customHeight="false" outlineLevel="0" collapsed="false">
      <c r="A359" s="65" t="n">
        <v>46304</v>
      </c>
      <c r="B359" s="66" t="s">
        <v>473</v>
      </c>
      <c r="C359" s="67" t="s">
        <v>683</v>
      </c>
      <c r="D359" s="67" t="s">
        <v>682</v>
      </c>
      <c r="E359" s="66" t="n">
        <v>0</v>
      </c>
      <c r="F359" s="66" t="n">
        <v>0</v>
      </c>
      <c r="G359" s="66" t="n">
        <v>0</v>
      </c>
      <c r="H359" s="66" t="n">
        <v>0</v>
      </c>
      <c r="I359" s="66" t="n">
        <v>0</v>
      </c>
      <c r="J359" s="66" t="n">
        <v>0</v>
      </c>
      <c r="K359" s="66" t="n">
        <v>0</v>
      </c>
      <c r="L359" s="66" t="n">
        <v>0</v>
      </c>
      <c r="M359" s="73" t="n">
        <v>0</v>
      </c>
      <c r="N359" s="44" t="s">
        <v>839</v>
      </c>
      <c r="O359" s="72"/>
      <c r="P359" s="67"/>
      <c r="Q359" s="64"/>
      <c r="R359" s="64"/>
      <c r="S359" s="64"/>
      <c r="T359" s="64"/>
      <c r="U359" s="64"/>
      <c r="V359" s="64"/>
      <c r="W359" s="64"/>
      <c r="X359" s="64"/>
      <c r="Y359" s="64"/>
      <c r="Z359" s="64"/>
      <c r="AA359" s="64"/>
    </row>
    <row r="360" customFormat="false" ht="15" hidden="false" customHeight="false" outlineLevel="0" collapsed="false">
      <c r="A360" s="65" t="n">
        <v>46304</v>
      </c>
      <c r="B360" s="66" t="s">
        <v>488</v>
      </c>
      <c r="C360" s="67" t="s">
        <v>670</v>
      </c>
      <c r="D360" s="67" t="s">
        <v>669</v>
      </c>
      <c r="E360" s="66" t="n">
        <v>4253</v>
      </c>
      <c r="F360" s="66" t="n">
        <v>3973</v>
      </c>
      <c r="G360" s="66" t="n">
        <v>0</v>
      </c>
      <c r="H360" s="66" t="n">
        <v>0</v>
      </c>
      <c r="I360" s="66" t="n">
        <v>179</v>
      </c>
      <c r="J360" s="66" t="n">
        <v>101</v>
      </c>
      <c r="K360" s="66" t="n">
        <v>0</v>
      </c>
      <c r="L360" s="66" t="n">
        <v>280</v>
      </c>
      <c r="M360" s="73" t="n">
        <v>0.002</v>
      </c>
      <c r="N360" s="73"/>
      <c r="O360" s="72"/>
      <c r="P360" s="67"/>
      <c r="Q360" s="64"/>
      <c r="R360" s="64"/>
      <c r="S360" s="64"/>
      <c r="T360" s="64"/>
      <c r="U360" s="64"/>
      <c r="V360" s="64"/>
      <c r="W360" s="64"/>
      <c r="X360" s="64"/>
      <c r="Y360" s="64"/>
      <c r="Z360" s="64"/>
      <c r="AA360" s="64"/>
    </row>
    <row r="361" customFormat="false" ht="15" hidden="false" customHeight="false" outlineLevel="0" collapsed="false">
      <c r="A361" s="65" t="n">
        <v>46304</v>
      </c>
      <c r="B361" s="66" t="s">
        <v>62</v>
      </c>
      <c r="C361" s="67" t="s">
        <v>681</v>
      </c>
      <c r="D361" s="67" t="s">
        <v>682</v>
      </c>
      <c r="E361" s="66" t="n">
        <v>1312</v>
      </c>
      <c r="F361" s="66" t="n">
        <v>126</v>
      </c>
      <c r="G361" s="66" t="n">
        <v>1186</v>
      </c>
      <c r="H361" s="66" t="n">
        <v>0</v>
      </c>
      <c r="I361" s="66" t="n">
        <v>0</v>
      </c>
      <c r="J361" s="66" t="n">
        <v>0</v>
      </c>
      <c r="K361" s="66" t="n">
        <v>0</v>
      </c>
      <c r="L361" s="66" t="n">
        <v>0</v>
      </c>
      <c r="M361" s="73" t="n">
        <v>0.002</v>
      </c>
      <c r="N361" s="44" t="s">
        <v>839</v>
      </c>
      <c r="O361" s="72"/>
      <c r="P361" s="67"/>
      <c r="Q361" s="64"/>
      <c r="R361" s="64"/>
      <c r="S361" s="64"/>
      <c r="T361" s="64"/>
      <c r="U361" s="64"/>
      <c r="V361" s="64"/>
      <c r="W361" s="64"/>
      <c r="X361" s="64"/>
      <c r="Y361" s="64"/>
      <c r="Z361" s="64"/>
      <c r="AA361" s="64"/>
    </row>
    <row r="362" customFormat="false" ht="25.35" hidden="false" customHeight="false" outlineLevel="0" collapsed="false">
      <c r="A362" s="65" t="n">
        <v>46304</v>
      </c>
      <c r="B362" s="66" t="s">
        <v>105</v>
      </c>
      <c r="C362" s="67" t="s">
        <v>705</v>
      </c>
      <c r="D362" s="67" t="s">
        <v>706</v>
      </c>
      <c r="E362" s="66" t="n">
        <v>10706</v>
      </c>
      <c r="F362" s="66" t="n">
        <v>0</v>
      </c>
      <c r="G362" s="66" t="n">
        <v>8379</v>
      </c>
      <c r="H362" s="66" t="n">
        <v>142</v>
      </c>
      <c r="I362" s="66" t="n">
        <v>2169</v>
      </c>
      <c r="J362" s="66" t="n">
        <v>0</v>
      </c>
      <c r="K362" s="66" t="n">
        <v>16</v>
      </c>
      <c r="L362" s="66" t="n">
        <v>2327</v>
      </c>
      <c r="M362" s="73" t="n">
        <v>0.03</v>
      </c>
      <c r="N362" s="44" t="s">
        <v>883</v>
      </c>
      <c r="O362" s="68" t="s">
        <v>884</v>
      </c>
      <c r="P362" s="68" t="s">
        <v>935</v>
      </c>
      <c r="Q362" s="64"/>
      <c r="R362" s="64"/>
      <c r="S362" s="64"/>
      <c r="T362" s="64"/>
      <c r="U362" s="64"/>
      <c r="V362" s="64"/>
      <c r="W362" s="64"/>
      <c r="X362" s="64"/>
      <c r="Y362" s="64"/>
      <c r="Z362" s="64"/>
      <c r="AA362" s="64"/>
    </row>
    <row r="363" customFormat="false" ht="15" hidden="false" customHeight="false" outlineLevel="0" collapsed="false">
      <c r="A363" s="65" t="n">
        <v>46304</v>
      </c>
      <c r="B363" s="66" t="s">
        <v>329</v>
      </c>
      <c r="C363" s="67" t="s">
        <v>698</v>
      </c>
      <c r="D363" s="67" t="s">
        <v>697</v>
      </c>
      <c r="E363" s="66" t="n">
        <v>0</v>
      </c>
      <c r="F363" s="66" t="n">
        <v>0</v>
      </c>
      <c r="G363" s="66" t="n">
        <v>0</v>
      </c>
      <c r="H363" s="66" t="n">
        <v>0</v>
      </c>
      <c r="I363" s="66" t="n">
        <v>0</v>
      </c>
      <c r="J363" s="66" t="n">
        <v>0</v>
      </c>
      <c r="K363" s="66" t="n">
        <v>0</v>
      </c>
      <c r="L363" s="66" t="n">
        <v>0</v>
      </c>
      <c r="M363" s="73" t="n">
        <v>0</v>
      </c>
      <c r="N363" s="73"/>
      <c r="O363" s="72"/>
      <c r="P363" s="67"/>
      <c r="Q363" s="64"/>
      <c r="R363" s="64"/>
      <c r="S363" s="64"/>
      <c r="T363" s="64"/>
      <c r="U363" s="64"/>
      <c r="V363" s="64"/>
      <c r="W363" s="64"/>
      <c r="X363" s="64"/>
      <c r="Y363" s="64"/>
      <c r="Z363" s="64"/>
      <c r="AA363" s="64"/>
    </row>
    <row r="364" customFormat="false" ht="15" hidden="false" customHeight="false" outlineLevel="0" collapsed="false">
      <c r="A364" s="65" t="n">
        <v>46304</v>
      </c>
      <c r="B364" s="66" t="s">
        <v>203</v>
      </c>
      <c r="C364" s="67" t="s">
        <v>705</v>
      </c>
      <c r="D364" s="67" t="s">
        <v>706</v>
      </c>
      <c r="E364" s="66" t="n">
        <v>8716</v>
      </c>
      <c r="F364" s="66" t="n">
        <v>5563</v>
      </c>
      <c r="G364" s="66" t="n">
        <v>0</v>
      </c>
      <c r="H364" s="66" t="n">
        <v>0</v>
      </c>
      <c r="I364" s="66" t="n">
        <v>2508</v>
      </c>
      <c r="J364" s="66" t="n">
        <v>0</v>
      </c>
      <c r="K364" s="66" t="n">
        <v>645</v>
      </c>
      <c r="L364" s="66" t="n">
        <v>3153</v>
      </c>
      <c r="M364" s="73" t="n">
        <v>0.031</v>
      </c>
      <c r="N364" s="44" t="s">
        <v>867</v>
      </c>
      <c r="O364" s="68" t="s">
        <v>868</v>
      </c>
      <c r="P364" s="68" t="s">
        <v>869</v>
      </c>
      <c r="Q364" s="64"/>
      <c r="R364" s="64"/>
      <c r="S364" s="64"/>
      <c r="T364" s="64"/>
      <c r="U364" s="64"/>
      <c r="V364" s="64"/>
      <c r="W364" s="64"/>
      <c r="X364" s="64"/>
      <c r="Y364" s="64"/>
      <c r="Z364" s="64"/>
      <c r="AA364" s="64"/>
    </row>
    <row r="365" customFormat="false" ht="15" hidden="false" customHeight="false" outlineLevel="0" collapsed="false">
      <c r="A365" s="65" t="n">
        <v>46304</v>
      </c>
      <c r="B365" s="66" t="s">
        <v>483</v>
      </c>
      <c r="C365" s="67" t="s">
        <v>670</v>
      </c>
      <c r="D365" s="67" t="s">
        <v>669</v>
      </c>
      <c r="E365" s="66" t="n">
        <v>1934</v>
      </c>
      <c r="F365" s="66" t="n">
        <v>0</v>
      </c>
      <c r="G365" s="66" t="n">
        <v>0</v>
      </c>
      <c r="H365" s="66" t="n">
        <v>1120</v>
      </c>
      <c r="I365" s="66" t="n">
        <v>0</v>
      </c>
      <c r="J365" s="66" t="n">
        <v>610</v>
      </c>
      <c r="K365" s="66" t="n">
        <v>204</v>
      </c>
      <c r="L365" s="66" t="n">
        <v>1934</v>
      </c>
      <c r="M365" s="73" t="n">
        <v>0.005</v>
      </c>
      <c r="N365" s="73"/>
      <c r="O365" s="72"/>
      <c r="P365" s="67"/>
      <c r="Q365" s="64"/>
      <c r="R365" s="64"/>
      <c r="S365" s="64"/>
      <c r="T365" s="64"/>
      <c r="U365" s="64"/>
      <c r="V365" s="64"/>
      <c r="W365" s="64"/>
      <c r="X365" s="64"/>
      <c r="Y365" s="64"/>
      <c r="Z365" s="64"/>
      <c r="AA365" s="64"/>
    </row>
    <row r="366" customFormat="false" ht="15" hidden="false" customHeight="false" outlineLevel="0" collapsed="false">
      <c r="A366" s="65" t="n">
        <v>46304</v>
      </c>
      <c r="B366" s="66" t="s">
        <v>527</v>
      </c>
      <c r="C366" s="67" t="s">
        <v>705</v>
      </c>
      <c r="D366" s="67" t="s">
        <v>706</v>
      </c>
      <c r="E366" s="66" t="n">
        <v>0</v>
      </c>
      <c r="F366" s="66" t="n">
        <v>0</v>
      </c>
      <c r="G366" s="66" t="n">
        <v>0</v>
      </c>
      <c r="H366" s="66" t="n">
        <v>0</v>
      </c>
      <c r="I366" s="66" t="n">
        <v>0</v>
      </c>
      <c r="J366" s="66" t="n">
        <v>0</v>
      </c>
      <c r="K366" s="66" t="n">
        <v>0</v>
      </c>
      <c r="L366" s="66" t="n">
        <v>0</v>
      </c>
      <c r="M366" s="73" t="n">
        <v>0</v>
      </c>
      <c r="N366" s="73"/>
      <c r="O366" s="72"/>
      <c r="P366" s="67"/>
      <c r="Q366" s="64"/>
      <c r="R366" s="64"/>
      <c r="S366" s="64"/>
      <c r="T366" s="64"/>
      <c r="U366" s="64"/>
      <c r="V366" s="64"/>
      <c r="W366" s="64"/>
      <c r="X366" s="64"/>
      <c r="Y366" s="64"/>
      <c r="Z366" s="64"/>
      <c r="AA366" s="64"/>
    </row>
    <row r="367" customFormat="false" ht="15" hidden="false" customHeight="false" outlineLevel="0" collapsed="false">
      <c r="A367" s="65" t="n">
        <v>46304</v>
      </c>
      <c r="B367" s="66" t="s">
        <v>118</v>
      </c>
      <c r="C367" s="67" t="s">
        <v>685</v>
      </c>
      <c r="D367" s="67" t="s">
        <v>686</v>
      </c>
      <c r="E367" s="66" t="n">
        <v>5421</v>
      </c>
      <c r="F367" s="66" t="n">
        <v>0</v>
      </c>
      <c r="G367" s="66" t="n">
        <v>5241</v>
      </c>
      <c r="H367" s="66" t="n">
        <v>0</v>
      </c>
      <c r="I367" s="66" t="n">
        <v>11</v>
      </c>
      <c r="J367" s="66" t="n">
        <v>165</v>
      </c>
      <c r="K367" s="66" t="n">
        <v>4</v>
      </c>
      <c r="L367" s="66" t="n">
        <v>180</v>
      </c>
      <c r="M367" s="73" t="n">
        <v>0.026</v>
      </c>
      <c r="N367" s="73"/>
      <c r="O367" s="72"/>
      <c r="P367" s="67"/>
      <c r="Q367" s="64"/>
      <c r="R367" s="64"/>
      <c r="S367" s="64"/>
      <c r="T367" s="64"/>
      <c r="U367" s="64"/>
      <c r="V367" s="64"/>
      <c r="W367" s="64"/>
      <c r="X367" s="64"/>
      <c r="Y367" s="64"/>
      <c r="Z367" s="64"/>
      <c r="AA367" s="64"/>
    </row>
    <row r="368" customFormat="false" ht="15" hidden="false" customHeight="false" outlineLevel="0" collapsed="false">
      <c r="A368" s="65" t="n">
        <v>46304</v>
      </c>
      <c r="B368" s="66" t="s">
        <v>496</v>
      </c>
      <c r="C368" s="67" t="s">
        <v>674</v>
      </c>
      <c r="D368" s="67" t="s">
        <v>669</v>
      </c>
      <c r="E368" s="66" t="n">
        <v>0</v>
      </c>
      <c r="F368" s="66" t="n">
        <v>0</v>
      </c>
      <c r="G368" s="66" t="n">
        <v>0</v>
      </c>
      <c r="H368" s="66" t="n">
        <v>0</v>
      </c>
      <c r="I368" s="66" t="n">
        <v>0</v>
      </c>
      <c r="J368" s="66" t="n">
        <v>0</v>
      </c>
      <c r="K368" s="66" t="n">
        <v>0</v>
      </c>
      <c r="L368" s="66" t="n">
        <v>0</v>
      </c>
      <c r="M368" s="73" t="n">
        <v>0</v>
      </c>
      <c r="N368" s="73"/>
      <c r="O368" s="72"/>
      <c r="P368" s="67"/>
      <c r="Q368" s="64"/>
      <c r="R368" s="64"/>
      <c r="S368" s="64"/>
      <c r="T368" s="64"/>
      <c r="U368" s="64"/>
      <c r="V368" s="64"/>
      <c r="W368" s="64"/>
      <c r="X368" s="64"/>
      <c r="Y368" s="64"/>
      <c r="Z368" s="64"/>
      <c r="AA368" s="64"/>
    </row>
    <row r="369" customFormat="false" ht="15" hidden="false" customHeight="false" outlineLevel="0" collapsed="false">
      <c r="A369" s="65" t="n">
        <v>46304</v>
      </c>
      <c r="B369" s="66" t="s">
        <v>245</v>
      </c>
      <c r="C369" s="67" t="s">
        <v>685</v>
      </c>
      <c r="D369" s="67" t="s">
        <v>686</v>
      </c>
      <c r="E369" s="66" t="n">
        <v>9113</v>
      </c>
      <c r="F369" s="66" t="n">
        <v>0</v>
      </c>
      <c r="G369" s="66" t="n">
        <v>6476</v>
      </c>
      <c r="H369" s="66" t="n">
        <v>0</v>
      </c>
      <c r="I369" s="66" t="n">
        <v>2637</v>
      </c>
      <c r="J369" s="66" t="n">
        <v>0</v>
      </c>
      <c r="K369" s="66" t="n">
        <v>0</v>
      </c>
      <c r="L369" s="66" t="n">
        <v>2637</v>
      </c>
      <c r="M369" s="73" t="n">
        <v>0.028</v>
      </c>
      <c r="N369" s="73"/>
      <c r="O369" s="72"/>
      <c r="P369" s="67"/>
      <c r="Q369" s="64"/>
      <c r="R369" s="64"/>
      <c r="S369" s="64"/>
      <c r="T369" s="64"/>
      <c r="U369" s="64"/>
      <c r="V369" s="64"/>
      <c r="W369" s="64"/>
      <c r="X369" s="64"/>
      <c r="Y369" s="64"/>
      <c r="Z369" s="64"/>
      <c r="AA369" s="64"/>
    </row>
    <row r="370" customFormat="false" ht="15" hidden="false" customHeight="false" outlineLevel="0" collapsed="false">
      <c r="A370" s="65" t="n">
        <v>46304</v>
      </c>
      <c r="B370" s="66" t="s">
        <v>382</v>
      </c>
      <c r="C370" s="67" t="s">
        <v>679</v>
      </c>
      <c r="D370" s="67" t="s">
        <v>680</v>
      </c>
      <c r="E370" s="66" t="n">
        <v>2218</v>
      </c>
      <c r="F370" s="66" t="n">
        <v>0</v>
      </c>
      <c r="G370" s="66" t="n">
        <v>0</v>
      </c>
      <c r="H370" s="66" t="n">
        <v>2218</v>
      </c>
      <c r="I370" s="66" t="n">
        <v>0</v>
      </c>
      <c r="J370" s="66" t="n">
        <v>0</v>
      </c>
      <c r="K370" s="66" t="n">
        <v>0</v>
      </c>
      <c r="L370" s="66" t="n">
        <v>0</v>
      </c>
      <c r="M370" s="44"/>
      <c r="N370" s="44"/>
      <c r="O370" s="72"/>
      <c r="P370" s="67"/>
      <c r="Q370" s="64"/>
      <c r="R370" s="64"/>
      <c r="S370" s="64"/>
      <c r="T370" s="64"/>
      <c r="U370" s="64"/>
      <c r="V370" s="64"/>
      <c r="W370" s="64"/>
      <c r="X370" s="64"/>
      <c r="Y370" s="64"/>
      <c r="Z370" s="64"/>
      <c r="AA370" s="64"/>
    </row>
    <row r="371" customFormat="false" ht="15" hidden="false" customHeight="false" outlineLevel="0" collapsed="false">
      <c r="A371" s="65" t="n">
        <v>46304</v>
      </c>
      <c r="B371" s="66" t="s">
        <v>183</v>
      </c>
      <c r="C371" s="67" t="s">
        <v>668</v>
      </c>
      <c r="D371" s="67" t="s">
        <v>669</v>
      </c>
      <c r="E371" s="66" t="n">
        <v>4799</v>
      </c>
      <c r="F371" s="66" t="n">
        <v>2083</v>
      </c>
      <c r="G371" s="66" t="n">
        <v>0</v>
      </c>
      <c r="H371" s="66" t="n">
        <v>2715</v>
      </c>
      <c r="I371" s="66" t="n">
        <v>0</v>
      </c>
      <c r="J371" s="66" t="n">
        <v>1</v>
      </c>
      <c r="K371" s="66" t="n">
        <v>0</v>
      </c>
      <c r="L371" s="66" t="n">
        <v>2716</v>
      </c>
      <c r="M371" s="73" t="n">
        <v>0.015</v>
      </c>
      <c r="N371" s="73"/>
      <c r="O371" s="72"/>
      <c r="P371" s="67"/>
      <c r="Q371" s="64"/>
      <c r="R371" s="64"/>
      <c r="S371" s="64"/>
      <c r="T371" s="64"/>
      <c r="U371" s="64"/>
      <c r="V371" s="64"/>
      <c r="W371" s="64"/>
      <c r="X371" s="64"/>
      <c r="Y371" s="64"/>
      <c r="Z371" s="64"/>
      <c r="AA371" s="64"/>
    </row>
    <row r="372" customFormat="false" ht="15" hidden="false" customHeight="false" outlineLevel="0" collapsed="false">
      <c r="A372" s="65" t="n">
        <v>46304</v>
      </c>
      <c r="B372" s="66" t="s">
        <v>457</v>
      </c>
      <c r="C372" s="67" t="s">
        <v>668</v>
      </c>
      <c r="D372" s="67" t="s">
        <v>669</v>
      </c>
      <c r="E372" s="66" t="n">
        <v>0</v>
      </c>
      <c r="F372" s="66" t="n">
        <v>0</v>
      </c>
      <c r="G372" s="66" t="n">
        <v>0</v>
      </c>
      <c r="H372" s="66" t="n">
        <v>0</v>
      </c>
      <c r="I372" s="66" t="n">
        <v>0</v>
      </c>
      <c r="J372" s="66" t="n">
        <v>0</v>
      </c>
      <c r="K372" s="66" t="n">
        <v>0</v>
      </c>
      <c r="L372" s="66" t="n">
        <v>0</v>
      </c>
      <c r="M372" s="73" t="n">
        <v>0</v>
      </c>
      <c r="N372" s="73"/>
      <c r="O372" s="72"/>
      <c r="P372" s="67"/>
      <c r="Q372" s="64"/>
      <c r="R372" s="64"/>
      <c r="S372" s="64"/>
      <c r="T372" s="64"/>
      <c r="U372" s="64"/>
      <c r="V372" s="64"/>
      <c r="W372" s="64"/>
      <c r="X372" s="64"/>
      <c r="Y372" s="64"/>
      <c r="Z372" s="64"/>
      <c r="AA372" s="64"/>
    </row>
    <row r="373" customFormat="false" ht="15" hidden="false" customHeight="false" outlineLevel="0" collapsed="false">
      <c r="A373" s="65" t="n">
        <v>46304</v>
      </c>
      <c r="B373" s="66" t="s">
        <v>403</v>
      </c>
      <c r="C373" s="67" t="s">
        <v>693</v>
      </c>
      <c r="D373" s="67" t="s">
        <v>692</v>
      </c>
      <c r="E373" s="66" t="n">
        <v>704</v>
      </c>
      <c r="F373" s="66" t="n">
        <v>0</v>
      </c>
      <c r="G373" s="66" t="n">
        <v>704</v>
      </c>
      <c r="H373" s="66" t="n">
        <v>0</v>
      </c>
      <c r="I373" s="66" t="n">
        <v>0</v>
      </c>
      <c r="J373" s="66" t="n">
        <v>0</v>
      </c>
      <c r="K373" s="66" t="n">
        <v>0</v>
      </c>
      <c r="L373" s="66" t="n">
        <v>0</v>
      </c>
      <c r="M373" s="73" t="n">
        <v>0.002</v>
      </c>
      <c r="N373" s="73"/>
      <c r="O373" s="72"/>
      <c r="P373" s="67"/>
      <c r="Q373" s="64"/>
      <c r="R373" s="64"/>
      <c r="S373" s="64"/>
      <c r="T373" s="64"/>
      <c r="U373" s="64"/>
      <c r="V373" s="64"/>
      <c r="W373" s="64"/>
      <c r="X373" s="64"/>
      <c r="Y373" s="64"/>
      <c r="Z373" s="64"/>
      <c r="AA373" s="64"/>
    </row>
    <row r="374" customFormat="false" ht="15" hidden="false" customHeight="false" outlineLevel="0" collapsed="false">
      <c r="A374" s="65" t="n">
        <v>46304</v>
      </c>
      <c r="B374" s="66" t="s">
        <v>279</v>
      </c>
      <c r="C374" s="67" t="s">
        <v>671</v>
      </c>
      <c r="D374" s="67" t="s">
        <v>669</v>
      </c>
      <c r="E374" s="66" t="n">
        <v>1378</v>
      </c>
      <c r="F374" s="66" t="n">
        <v>0</v>
      </c>
      <c r="G374" s="66" t="n">
        <v>1378</v>
      </c>
      <c r="H374" s="66" t="n">
        <v>0</v>
      </c>
      <c r="I374" s="66" t="n">
        <v>0</v>
      </c>
      <c r="J374" s="66" t="n">
        <v>0</v>
      </c>
      <c r="K374" s="66" t="n">
        <v>0</v>
      </c>
      <c r="L374" s="66" t="n">
        <v>0</v>
      </c>
      <c r="M374" s="73" t="n">
        <v>0.007</v>
      </c>
      <c r="N374" s="73"/>
      <c r="O374" s="72"/>
      <c r="P374" s="67"/>
      <c r="Q374" s="64"/>
      <c r="R374" s="64"/>
      <c r="S374" s="64"/>
      <c r="T374" s="64"/>
      <c r="U374" s="64"/>
      <c r="V374" s="64"/>
      <c r="W374" s="64"/>
      <c r="X374" s="64"/>
      <c r="Y374" s="64"/>
      <c r="Z374" s="64"/>
      <c r="AA374" s="64"/>
    </row>
    <row r="375" customFormat="false" ht="15" hidden="false" customHeight="false" outlineLevel="0" collapsed="false">
      <c r="A375" s="65" t="n">
        <v>46304</v>
      </c>
      <c r="B375" s="66" t="s">
        <v>510</v>
      </c>
      <c r="C375" s="67" t="s">
        <v>673</v>
      </c>
      <c r="D375" s="67" t="s">
        <v>669</v>
      </c>
      <c r="E375" s="66" t="n">
        <v>528</v>
      </c>
      <c r="F375" s="66" t="n">
        <v>39</v>
      </c>
      <c r="G375" s="66" t="n">
        <v>489</v>
      </c>
      <c r="H375" s="66" t="n">
        <v>0</v>
      </c>
      <c r="I375" s="66" t="n">
        <v>0</v>
      </c>
      <c r="J375" s="66" t="n">
        <v>0</v>
      </c>
      <c r="K375" s="66" t="n">
        <v>0</v>
      </c>
      <c r="L375" s="66" t="n">
        <v>0</v>
      </c>
      <c r="M375" s="73" t="n">
        <v>0.008</v>
      </c>
      <c r="N375" s="73"/>
      <c r="O375" s="72"/>
      <c r="P375" s="67"/>
      <c r="Q375" s="64"/>
      <c r="R375" s="64"/>
      <c r="S375" s="64"/>
      <c r="T375" s="64"/>
      <c r="U375" s="64"/>
      <c r="V375" s="64"/>
      <c r="W375" s="64"/>
      <c r="X375" s="64"/>
      <c r="Y375" s="64"/>
      <c r="Z375" s="64"/>
      <c r="AA375" s="64"/>
    </row>
    <row r="376" customFormat="false" ht="25.35" hidden="false" customHeight="false" outlineLevel="0" collapsed="false">
      <c r="A376" s="65" t="n">
        <v>46304</v>
      </c>
      <c r="B376" s="66" t="s">
        <v>518</v>
      </c>
      <c r="C376" s="67" t="s">
        <v>681</v>
      </c>
      <c r="D376" s="67" t="s">
        <v>682</v>
      </c>
      <c r="E376" s="66" t="n">
        <v>874</v>
      </c>
      <c r="F376" s="66" t="n">
        <v>20</v>
      </c>
      <c r="G376" s="66" t="n">
        <v>0</v>
      </c>
      <c r="H376" s="66" t="n">
        <v>850</v>
      </c>
      <c r="I376" s="66" t="n">
        <v>0</v>
      </c>
      <c r="J376" s="66" t="n">
        <v>0</v>
      </c>
      <c r="K376" s="66" t="n">
        <v>4</v>
      </c>
      <c r="L376" s="66" t="n">
        <v>854</v>
      </c>
      <c r="M376" s="73" t="n">
        <v>0.005</v>
      </c>
      <c r="N376" s="44" t="s">
        <v>883</v>
      </c>
      <c r="O376" s="72" t="s">
        <v>932</v>
      </c>
      <c r="P376" s="67" t="s">
        <v>933</v>
      </c>
      <c r="Q376" s="64"/>
      <c r="R376" s="64"/>
      <c r="S376" s="64"/>
      <c r="T376" s="64"/>
      <c r="U376" s="64"/>
      <c r="V376" s="64"/>
      <c r="W376" s="64"/>
      <c r="X376" s="64"/>
      <c r="Y376" s="64"/>
      <c r="Z376" s="64"/>
      <c r="AA376" s="64"/>
    </row>
    <row r="377" customFormat="false" ht="15" hidden="false" customHeight="false" outlineLevel="0" collapsed="false">
      <c r="A377" s="65" t="n">
        <v>46304</v>
      </c>
      <c r="B377" s="66" t="s">
        <v>305</v>
      </c>
      <c r="C377" s="67" t="s">
        <v>673</v>
      </c>
      <c r="D377" s="67" t="s">
        <v>669</v>
      </c>
      <c r="E377" s="66" t="n">
        <v>0</v>
      </c>
      <c r="F377" s="66" t="n">
        <v>0</v>
      </c>
      <c r="G377" s="66" t="n">
        <v>0</v>
      </c>
      <c r="H377" s="66" t="n">
        <v>0</v>
      </c>
      <c r="I377" s="66" t="n">
        <v>0</v>
      </c>
      <c r="J377" s="66" t="n">
        <v>0</v>
      </c>
      <c r="K377" s="66" t="n">
        <v>0</v>
      </c>
      <c r="L377" s="66" t="n">
        <v>0</v>
      </c>
      <c r="M377" s="73" t="n">
        <v>0</v>
      </c>
      <c r="N377" s="73"/>
      <c r="O377" s="72"/>
      <c r="P377" s="67"/>
      <c r="Q377" s="64"/>
      <c r="R377" s="64"/>
      <c r="S377" s="64"/>
      <c r="T377" s="64"/>
      <c r="U377" s="64"/>
      <c r="V377" s="64"/>
      <c r="W377" s="64"/>
      <c r="X377" s="64"/>
      <c r="Y377" s="64"/>
      <c r="Z377" s="64"/>
      <c r="AA377" s="64"/>
    </row>
    <row r="378" customFormat="false" ht="15" hidden="false" customHeight="false" outlineLevel="0" collapsed="false">
      <c r="A378" s="65" t="n">
        <v>46304</v>
      </c>
      <c r="B378" s="66" t="s">
        <v>327</v>
      </c>
      <c r="C378" s="67" t="s">
        <v>705</v>
      </c>
      <c r="D378" s="67" t="s">
        <v>706</v>
      </c>
      <c r="E378" s="66" t="n">
        <v>994</v>
      </c>
      <c r="F378" s="66" t="n">
        <v>994</v>
      </c>
      <c r="G378" s="66" t="n">
        <v>0</v>
      </c>
      <c r="H378" s="66" t="n">
        <v>0</v>
      </c>
      <c r="I378" s="66" t="n">
        <v>0</v>
      </c>
      <c r="J378" s="66" t="n">
        <v>0</v>
      </c>
      <c r="K378" s="66" t="n">
        <v>0</v>
      </c>
      <c r="L378" s="66" t="n">
        <v>0</v>
      </c>
      <c r="M378" s="73" t="n">
        <v>0.023</v>
      </c>
      <c r="N378" s="73"/>
      <c r="O378" s="72"/>
      <c r="P378" s="67"/>
      <c r="Q378" s="64"/>
      <c r="R378" s="64"/>
      <c r="S378" s="64"/>
      <c r="T378" s="64"/>
      <c r="U378" s="64"/>
      <c r="V378" s="64"/>
      <c r="W378" s="64"/>
      <c r="X378" s="64"/>
      <c r="Y378" s="64"/>
      <c r="Z378" s="64"/>
      <c r="AA378" s="64"/>
    </row>
    <row r="379" customFormat="false" ht="15" hidden="false" customHeight="false" outlineLevel="0" collapsed="false">
      <c r="A379" s="65" t="n">
        <v>46304</v>
      </c>
      <c r="B379" s="66" t="s">
        <v>284</v>
      </c>
      <c r="C379" s="67" t="s">
        <v>687</v>
      </c>
      <c r="D379" s="67" t="s">
        <v>686</v>
      </c>
      <c r="E379" s="66" t="n">
        <v>575</v>
      </c>
      <c r="F379" s="66" t="n">
        <v>0</v>
      </c>
      <c r="G379" s="66" t="n">
        <v>0</v>
      </c>
      <c r="H379" s="66" t="n">
        <v>138</v>
      </c>
      <c r="I379" s="66" t="n">
        <v>0</v>
      </c>
      <c r="J379" s="66" t="n">
        <v>436</v>
      </c>
      <c r="K379" s="66" t="n">
        <v>1</v>
      </c>
      <c r="L379" s="66" t="n">
        <v>575</v>
      </c>
      <c r="M379" s="73" t="n">
        <v>0.004</v>
      </c>
      <c r="N379" s="73"/>
      <c r="O379" s="72"/>
      <c r="P379" s="67"/>
      <c r="Q379" s="64"/>
      <c r="R379" s="64"/>
      <c r="S379" s="64"/>
      <c r="T379" s="64"/>
      <c r="U379" s="64"/>
      <c r="V379" s="64"/>
      <c r="W379" s="64"/>
      <c r="X379" s="64"/>
      <c r="Y379" s="64"/>
      <c r="Z379" s="64"/>
      <c r="AA379" s="64"/>
    </row>
    <row r="380" customFormat="false" ht="15" hidden="false" customHeight="false" outlineLevel="0" collapsed="false">
      <c r="A380" s="65" t="n">
        <v>46304</v>
      </c>
      <c r="B380" s="66" t="s">
        <v>103</v>
      </c>
      <c r="C380" s="67" t="s">
        <v>672</v>
      </c>
      <c r="D380" s="67" t="s">
        <v>669</v>
      </c>
      <c r="E380" s="66" t="n">
        <v>83</v>
      </c>
      <c r="F380" s="66" t="n">
        <v>0</v>
      </c>
      <c r="G380" s="66" t="n">
        <v>48</v>
      </c>
      <c r="H380" s="66" t="n">
        <v>0</v>
      </c>
      <c r="I380" s="66" t="n">
        <v>35</v>
      </c>
      <c r="J380" s="66" t="n">
        <v>0</v>
      </c>
      <c r="K380" s="66" t="n">
        <v>0</v>
      </c>
      <c r="L380" s="66" t="n">
        <v>35</v>
      </c>
      <c r="M380" s="73" t="n">
        <v>0</v>
      </c>
      <c r="N380" s="73"/>
      <c r="O380" s="72"/>
      <c r="P380" s="67"/>
      <c r="Q380" s="64"/>
      <c r="R380" s="64"/>
      <c r="S380" s="64"/>
      <c r="T380" s="64"/>
      <c r="U380" s="64"/>
      <c r="V380" s="64"/>
      <c r="W380" s="64"/>
      <c r="X380" s="64"/>
      <c r="Y380" s="64"/>
      <c r="Z380" s="64"/>
      <c r="AA380" s="64"/>
    </row>
    <row r="381" customFormat="false" ht="15" hidden="false" customHeight="false" outlineLevel="0" collapsed="false">
      <c r="A381" s="65" t="n">
        <v>46304</v>
      </c>
      <c r="B381" s="66" t="s">
        <v>309</v>
      </c>
      <c r="C381" s="67" t="s">
        <v>698</v>
      </c>
      <c r="D381" s="67" t="s">
        <v>697</v>
      </c>
      <c r="E381" s="66" t="n">
        <v>100</v>
      </c>
      <c r="F381" s="66" t="n">
        <v>100</v>
      </c>
      <c r="G381" s="66" t="n">
        <v>0</v>
      </c>
      <c r="H381" s="66" t="n">
        <v>0</v>
      </c>
      <c r="I381" s="66" t="n">
        <v>0</v>
      </c>
      <c r="J381" s="66" t="n">
        <v>0</v>
      </c>
      <c r="K381" s="66" t="n">
        <v>0</v>
      </c>
      <c r="L381" s="66" t="n">
        <v>0</v>
      </c>
      <c r="M381" s="73" t="n">
        <v>0</v>
      </c>
      <c r="N381" s="73"/>
      <c r="O381" s="72"/>
      <c r="P381" s="67"/>
      <c r="Q381" s="64"/>
      <c r="R381" s="64"/>
      <c r="S381" s="64"/>
      <c r="T381" s="64"/>
      <c r="U381" s="64"/>
      <c r="V381" s="64"/>
      <c r="W381" s="64"/>
      <c r="X381" s="64"/>
      <c r="Y381" s="64"/>
      <c r="Z381" s="64"/>
      <c r="AA381" s="64"/>
    </row>
    <row r="382" customFormat="false" ht="15" hidden="false" customHeight="false" outlineLevel="0" collapsed="false">
      <c r="A382" s="65" t="n">
        <v>46304</v>
      </c>
      <c r="B382" s="66" t="s">
        <v>486</v>
      </c>
      <c r="C382" s="67" t="s">
        <v>687</v>
      </c>
      <c r="D382" s="67" t="s">
        <v>686</v>
      </c>
      <c r="E382" s="66" t="n">
        <v>1593</v>
      </c>
      <c r="F382" s="66" t="n">
        <v>0</v>
      </c>
      <c r="G382" s="66" t="n">
        <v>1593</v>
      </c>
      <c r="H382" s="66" t="n">
        <v>0</v>
      </c>
      <c r="I382" s="66" t="n">
        <v>0</v>
      </c>
      <c r="J382" s="66" t="n">
        <v>0</v>
      </c>
      <c r="K382" s="66" t="n">
        <v>0</v>
      </c>
      <c r="L382" s="66" t="n">
        <v>0</v>
      </c>
      <c r="M382" s="73" t="n">
        <v>0.01</v>
      </c>
      <c r="N382" s="73"/>
      <c r="O382" s="72"/>
      <c r="P382" s="67"/>
      <c r="Q382" s="64"/>
      <c r="R382" s="64"/>
      <c r="S382" s="64"/>
      <c r="T382" s="64"/>
      <c r="U382" s="64"/>
      <c r="V382" s="64"/>
      <c r="W382" s="64"/>
      <c r="X382" s="64"/>
      <c r="Y382" s="64"/>
      <c r="Z382" s="64"/>
      <c r="AA382" s="64"/>
    </row>
    <row r="383" customFormat="false" ht="15" hidden="false" customHeight="false" outlineLevel="0" collapsed="false">
      <c r="A383" s="65" t="n">
        <v>46304</v>
      </c>
      <c r="B383" s="66" t="s">
        <v>521</v>
      </c>
      <c r="C383" s="67" t="s">
        <v>689</v>
      </c>
      <c r="D383" s="67" t="s">
        <v>686</v>
      </c>
      <c r="E383" s="66" t="n">
        <v>927</v>
      </c>
      <c r="F383" s="66" t="n">
        <v>93</v>
      </c>
      <c r="G383" s="66" t="n">
        <v>83</v>
      </c>
      <c r="H383" s="66" t="n">
        <v>456</v>
      </c>
      <c r="I383" s="66" t="n">
        <v>141</v>
      </c>
      <c r="J383" s="66" t="n">
        <v>0</v>
      </c>
      <c r="K383" s="66" t="n">
        <v>154</v>
      </c>
      <c r="L383" s="66" t="n">
        <v>751</v>
      </c>
      <c r="M383" s="73" t="n">
        <v>0.002</v>
      </c>
      <c r="N383" s="73"/>
      <c r="O383" s="72"/>
      <c r="P383" s="67"/>
      <c r="Q383" s="64"/>
      <c r="R383" s="64"/>
      <c r="S383" s="64"/>
      <c r="T383" s="64"/>
      <c r="U383" s="64"/>
      <c r="V383" s="64"/>
      <c r="W383" s="64"/>
      <c r="X383" s="64"/>
      <c r="Y383" s="64"/>
      <c r="Z383" s="64"/>
      <c r="AA383" s="64"/>
    </row>
    <row r="384" customFormat="false" ht="15" hidden="false" customHeight="false" outlineLevel="0" collapsed="false">
      <c r="A384" s="65" t="n">
        <v>46304</v>
      </c>
      <c r="B384" s="66" t="s">
        <v>144</v>
      </c>
      <c r="C384" s="67" t="s">
        <v>689</v>
      </c>
      <c r="D384" s="67" t="s">
        <v>686</v>
      </c>
      <c r="E384" s="66" t="n">
        <v>3641</v>
      </c>
      <c r="F384" s="66" t="n">
        <v>0</v>
      </c>
      <c r="G384" s="66" t="n">
        <v>3641</v>
      </c>
      <c r="H384" s="66" t="n">
        <v>0</v>
      </c>
      <c r="I384" s="66" t="n">
        <v>0</v>
      </c>
      <c r="J384" s="66" t="n">
        <v>0</v>
      </c>
      <c r="K384" s="66" t="n">
        <v>0</v>
      </c>
      <c r="L384" s="66" t="n">
        <v>0</v>
      </c>
      <c r="M384" s="73" t="n">
        <v>0.016</v>
      </c>
      <c r="N384" s="73"/>
      <c r="O384" s="72"/>
      <c r="P384" s="67"/>
      <c r="Q384" s="64"/>
      <c r="R384" s="64"/>
      <c r="S384" s="64"/>
      <c r="T384" s="64"/>
      <c r="U384" s="64"/>
      <c r="V384" s="64"/>
      <c r="W384" s="64"/>
      <c r="X384" s="64"/>
      <c r="Y384" s="64"/>
      <c r="Z384" s="64"/>
      <c r="AA384" s="64"/>
    </row>
    <row r="385" customFormat="false" ht="15" hidden="false" customHeight="false" outlineLevel="0" collapsed="false">
      <c r="A385" s="65" t="n">
        <v>46304</v>
      </c>
      <c r="B385" s="66" t="s">
        <v>413</v>
      </c>
      <c r="C385" s="67" t="s">
        <v>679</v>
      </c>
      <c r="D385" s="67" t="s">
        <v>680</v>
      </c>
      <c r="E385" s="66" t="n">
        <v>185</v>
      </c>
      <c r="F385" s="66" t="n">
        <v>0</v>
      </c>
      <c r="G385" s="66" t="n">
        <v>0</v>
      </c>
      <c r="H385" s="66" t="n">
        <v>185</v>
      </c>
      <c r="I385" s="66" t="n">
        <v>0</v>
      </c>
      <c r="J385" s="66" t="n">
        <v>0</v>
      </c>
      <c r="K385" s="66" t="n">
        <v>0</v>
      </c>
      <c r="L385" s="66" t="n">
        <v>0</v>
      </c>
      <c r="M385" s="44"/>
      <c r="N385" s="44"/>
      <c r="O385" s="72"/>
      <c r="P385" s="67"/>
      <c r="Q385" s="64"/>
      <c r="R385" s="64"/>
      <c r="S385" s="64"/>
      <c r="T385" s="64"/>
      <c r="U385" s="64"/>
      <c r="V385" s="64"/>
      <c r="W385" s="64"/>
      <c r="X385" s="64"/>
      <c r="Y385" s="64"/>
      <c r="Z385" s="64"/>
      <c r="AA385" s="64"/>
    </row>
    <row r="386" customFormat="false" ht="15" hidden="false" customHeight="false" outlineLevel="0" collapsed="false">
      <c r="A386" s="65" t="n">
        <v>46304</v>
      </c>
      <c r="B386" s="66" t="s">
        <v>465</v>
      </c>
      <c r="C386" s="67" t="s">
        <v>705</v>
      </c>
      <c r="D386" s="67" t="s">
        <v>706</v>
      </c>
      <c r="E386" s="66" t="n">
        <v>2050</v>
      </c>
      <c r="F386" s="66" t="n">
        <v>589</v>
      </c>
      <c r="G386" s="66" t="n">
        <v>1461</v>
      </c>
      <c r="H386" s="66" t="n">
        <v>0</v>
      </c>
      <c r="I386" s="66" t="n">
        <v>0</v>
      </c>
      <c r="J386" s="66" t="n">
        <v>0</v>
      </c>
      <c r="K386" s="66" t="n">
        <v>0</v>
      </c>
      <c r="L386" s="66" t="n">
        <v>0</v>
      </c>
      <c r="M386" s="73" t="n">
        <v>0.009</v>
      </c>
      <c r="N386" s="73"/>
      <c r="O386" s="72"/>
      <c r="P386" s="67"/>
      <c r="Q386" s="64"/>
      <c r="R386" s="64"/>
      <c r="S386" s="64"/>
      <c r="T386" s="64"/>
      <c r="U386" s="64"/>
      <c r="V386" s="64"/>
      <c r="W386" s="64"/>
      <c r="X386" s="64"/>
      <c r="Y386" s="64"/>
      <c r="Z386" s="64"/>
      <c r="AA386" s="64"/>
    </row>
    <row r="387" customFormat="false" ht="15" hidden="false" customHeight="false" outlineLevel="0" collapsed="false">
      <c r="A387" s="65" t="n">
        <v>46304</v>
      </c>
      <c r="B387" s="66" t="s">
        <v>507</v>
      </c>
      <c r="C387" s="67" t="s">
        <v>683</v>
      </c>
      <c r="D387" s="67" t="s">
        <v>682</v>
      </c>
      <c r="E387" s="66" t="n">
        <v>6178</v>
      </c>
      <c r="F387" s="66" t="n">
        <v>6178</v>
      </c>
      <c r="G387" s="66" t="n">
        <v>0</v>
      </c>
      <c r="H387" s="66" t="n">
        <v>0</v>
      </c>
      <c r="I387" s="66" t="n">
        <v>0</v>
      </c>
      <c r="J387" s="66" t="n">
        <v>0</v>
      </c>
      <c r="K387" s="66" t="n">
        <v>0</v>
      </c>
      <c r="L387" s="66" t="n">
        <v>0</v>
      </c>
      <c r="M387" s="73" t="n">
        <v>0.029</v>
      </c>
      <c r="N387" s="44" t="s">
        <v>839</v>
      </c>
      <c r="O387" s="72"/>
      <c r="P387" s="67"/>
      <c r="Q387" s="64"/>
      <c r="R387" s="64"/>
      <c r="S387" s="64"/>
      <c r="T387" s="64"/>
      <c r="U387" s="64"/>
      <c r="V387" s="64"/>
      <c r="W387" s="64"/>
      <c r="X387" s="64"/>
      <c r="Y387" s="64"/>
      <c r="Z387" s="64"/>
      <c r="AA387" s="64"/>
    </row>
    <row r="388" customFormat="false" ht="15" hidden="false" customHeight="false" outlineLevel="0" collapsed="false">
      <c r="A388" s="65" t="n">
        <v>46304</v>
      </c>
      <c r="B388" s="66" t="s">
        <v>375</v>
      </c>
      <c r="C388" s="67" t="s">
        <v>668</v>
      </c>
      <c r="D388" s="67" t="s">
        <v>669</v>
      </c>
      <c r="E388" s="66" t="n">
        <v>3200</v>
      </c>
      <c r="F388" s="66" t="n">
        <v>6</v>
      </c>
      <c r="G388" s="66" t="n">
        <v>3194</v>
      </c>
      <c r="H388" s="66" t="n">
        <v>0</v>
      </c>
      <c r="I388" s="66" t="n">
        <v>0</v>
      </c>
      <c r="J388" s="66" t="n">
        <v>0</v>
      </c>
      <c r="K388" s="66" t="n">
        <v>0</v>
      </c>
      <c r="L388" s="66" t="n">
        <v>0</v>
      </c>
      <c r="M388" s="73" t="n">
        <v>0.026</v>
      </c>
      <c r="N388" s="73"/>
      <c r="O388" s="72"/>
      <c r="P388" s="67"/>
      <c r="Q388" s="64"/>
      <c r="R388" s="64"/>
      <c r="S388" s="64"/>
      <c r="T388" s="64"/>
      <c r="U388" s="64"/>
      <c r="V388" s="64"/>
      <c r="W388" s="64"/>
      <c r="X388" s="64"/>
      <c r="Y388" s="64"/>
      <c r="Z388" s="64"/>
      <c r="AA388" s="64"/>
    </row>
    <row r="389" customFormat="false" ht="15" hidden="false" customHeight="false" outlineLevel="0" collapsed="false">
      <c r="A389" s="65" t="n">
        <v>46304</v>
      </c>
      <c r="B389" s="66" t="s">
        <v>111</v>
      </c>
      <c r="C389" s="67" t="s">
        <v>693</v>
      </c>
      <c r="D389" s="67" t="s">
        <v>692</v>
      </c>
      <c r="E389" s="66" t="n">
        <v>1450</v>
      </c>
      <c r="F389" s="66" t="n">
        <v>0</v>
      </c>
      <c r="G389" s="66" t="n">
        <v>0</v>
      </c>
      <c r="H389" s="66" t="n">
        <v>0</v>
      </c>
      <c r="I389" s="66" t="n">
        <v>1137</v>
      </c>
      <c r="J389" s="66" t="n">
        <v>0</v>
      </c>
      <c r="K389" s="66" t="n">
        <v>313</v>
      </c>
      <c r="L389" s="66" t="n">
        <v>1450</v>
      </c>
      <c r="M389" s="73" t="n">
        <v>0.012</v>
      </c>
      <c r="N389" s="44" t="s">
        <v>839</v>
      </c>
      <c r="O389" s="72" t="s">
        <v>839</v>
      </c>
      <c r="P389" s="67" t="s">
        <v>839</v>
      </c>
      <c r="Q389" s="64"/>
      <c r="R389" s="64"/>
      <c r="S389" s="64"/>
      <c r="T389" s="64"/>
      <c r="U389" s="64"/>
      <c r="V389" s="64"/>
      <c r="W389" s="64"/>
      <c r="X389" s="64"/>
      <c r="Y389" s="64"/>
      <c r="Z389" s="64"/>
      <c r="AA389" s="64"/>
    </row>
    <row r="390" customFormat="false" ht="15" hidden="false" customHeight="false" outlineLevel="0" collapsed="false">
      <c r="A390" s="65" t="n">
        <v>46304</v>
      </c>
      <c r="B390" s="66" t="s">
        <v>126</v>
      </c>
      <c r="C390" s="67" t="s">
        <v>672</v>
      </c>
      <c r="D390" s="67" t="s">
        <v>669</v>
      </c>
      <c r="E390" s="66" t="n">
        <v>6272</v>
      </c>
      <c r="F390" s="66" t="n">
        <v>1</v>
      </c>
      <c r="G390" s="66" t="n">
        <v>0</v>
      </c>
      <c r="H390" s="66" t="n">
        <v>6178</v>
      </c>
      <c r="I390" s="66" t="n">
        <v>0</v>
      </c>
      <c r="J390" s="66" t="n">
        <v>0</v>
      </c>
      <c r="K390" s="66" t="n">
        <v>93</v>
      </c>
      <c r="L390" s="66" t="n">
        <v>6271</v>
      </c>
      <c r="M390" s="73" t="n">
        <v>0.047</v>
      </c>
      <c r="N390" s="73"/>
      <c r="O390" s="72"/>
      <c r="P390" s="67"/>
      <c r="Q390" s="64"/>
      <c r="R390" s="64"/>
      <c r="S390" s="64"/>
      <c r="T390" s="64"/>
      <c r="U390" s="64"/>
      <c r="V390" s="64"/>
      <c r="W390" s="64"/>
      <c r="X390" s="64"/>
      <c r="Y390" s="64"/>
      <c r="Z390" s="64"/>
      <c r="AA390" s="64"/>
    </row>
    <row r="391" customFormat="false" ht="15" hidden="false" customHeight="false" outlineLevel="0" collapsed="false">
      <c r="A391" s="65" t="n">
        <v>46304</v>
      </c>
      <c r="B391" s="66" t="s">
        <v>83</v>
      </c>
      <c r="C391" s="67" t="s">
        <v>674</v>
      </c>
      <c r="D391" s="67" t="s">
        <v>686</v>
      </c>
      <c r="E391" s="66" t="n">
        <v>4444</v>
      </c>
      <c r="F391" s="66" t="n">
        <v>471</v>
      </c>
      <c r="G391" s="66" t="n">
        <v>2863</v>
      </c>
      <c r="H391" s="66" t="n">
        <v>1000</v>
      </c>
      <c r="I391" s="66" t="n">
        <v>0</v>
      </c>
      <c r="J391" s="66" t="n">
        <v>110</v>
      </c>
      <c r="K391" s="66" t="n">
        <v>0</v>
      </c>
      <c r="L391" s="66" t="n">
        <v>1110</v>
      </c>
      <c r="M391" s="73" t="n">
        <v>0.001</v>
      </c>
      <c r="N391" s="73"/>
      <c r="O391" s="72"/>
      <c r="P391" s="67"/>
      <c r="Q391" s="64"/>
      <c r="R391" s="64"/>
      <c r="S391" s="64"/>
      <c r="T391" s="64"/>
      <c r="U391" s="64"/>
      <c r="V391" s="64"/>
      <c r="W391" s="64"/>
      <c r="X391" s="64"/>
      <c r="Y391" s="64"/>
      <c r="Z391" s="64"/>
      <c r="AA391" s="64"/>
    </row>
    <row r="392" customFormat="false" ht="15" hidden="false" customHeight="false" outlineLevel="0" collapsed="false">
      <c r="A392" s="65" t="n">
        <v>46304</v>
      </c>
      <c r="B392" s="66" t="s">
        <v>139</v>
      </c>
      <c r="C392" s="67" t="s">
        <v>689</v>
      </c>
      <c r="D392" s="67" t="s">
        <v>686</v>
      </c>
      <c r="E392" s="66" t="n">
        <v>5530</v>
      </c>
      <c r="F392" s="66" t="n">
        <v>7</v>
      </c>
      <c r="G392" s="66" t="n">
        <v>5496</v>
      </c>
      <c r="H392" s="66" t="n">
        <v>0</v>
      </c>
      <c r="I392" s="66" t="n">
        <v>0</v>
      </c>
      <c r="J392" s="66" t="n">
        <v>27</v>
      </c>
      <c r="K392" s="66" t="n">
        <v>0</v>
      </c>
      <c r="L392" s="66" t="n">
        <v>27</v>
      </c>
      <c r="M392" s="73" t="n">
        <v>0.032</v>
      </c>
      <c r="N392" s="73"/>
      <c r="O392" s="72"/>
      <c r="P392" s="67"/>
      <c r="Q392" s="64"/>
      <c r="R392" s="64"/>
      <c r="S392" s="64"/>
      <c r="T392" s="64"/>
      <c r="U392" s="64"/>
      <c r="V392" s="64"/>
      <c r="W392" s="64"/>
      <c r="X392" s="64"/>
      <c r="Y392" s="64"/>
      <c r="Z392" s="64"/>
      <c r="AA392" s="64"/>
    </row>
    <row r="393" customFormat="false" ht="15" hidden="false" customHeight="false" outlineLevel="0" collapsed="false">
      <c r="A393" s="65" t="n">
        <v>46304</v>
      </c>
      <c r="B393" s="66" t="s">
        <v>181</v>
      </c>
      <c r="C393" s="67" t="s">
        <v>702</v>
      </c>
      <c r="D393" s="67" t="s">
        <v>703</v>
      </c>
      <c r="E393" s="66" t="n">
        <v>48</v>
      </c>
      <c r="F393" s="66" t="n">
        <v>8</v>
      </c>
      <c r="G393" s="66" t="n">
        <v>0</v>
      </c>
      <c r="H393" s="66" t="n">
        <v>11</v>
      </c>
      <c r="I393" s="66" t="n">
        <v>0</v>
      </c>
      <c r="J393" s="66" t="n">
        <v>20</v>
      </c>
      <c r="K393" s="66" t="n">
        <v>9</v>
      </c>
      <c r="L393" s="66" t="n">
        <v>40</v>
      </c>
      <c r="M393" s="73" t="n">
        <v>0</v>
      </c>
      <c r="N393" s="73"/>
      <c r="O393" s="72"/>
      <c r="P393" s="67"/>
      <c r="Q393" s="64"/>
      <c r="R393" s="64"/>
      <c r="S393" s="64"/>
      <c r="T393" s="64"/>
      <c r="U393" s="64"/>
      <c r="V393" s="64"/>
      <c r="W393" s="64"/>
      <c r="X393" s="64"/>
      <c r="Y393" s="64"/>
      <c r="Z393" s="64"/>
      <c r="AA393" s="64"/>
    </row>
    <row r="394" customFormat="false" ht="15" hidden="false" customHeight="false" outlineLevel="0" collapsed="false">
      <c r="A394" s="65" t="n">
        <v>46304</v>
      </c>
      <c r="B394" s="66" t="s">
        <v>346</v>
      </c>
      <c r="C394" s="67" t="s">
        <v>668</v>
      </c>
      <c r="D394" s="67" t="s">
        <v>669</v>
      </c>
      <c r="E394" s="66" t="n">
        <v>0</v>
      </c>
      <c r="F394" s="66" t="n">
        <v>0</v>
      </c>
      <c r="G394" s="66" t="n">
        <v>0</v>
      </c>
      <c r="H394" s="66" t="n">
        <v>0</v>
      </c>
      <c r="I394" s="66" t="n">
        <v>0</v>
      </c>
      <c r="J394" s="66" t="n">
        <v>0</v>
      </c>
      <c r="K394" s="66" t="n">
        <v>0</v>
      </c>
      <c r="L394" s="66" t="n">
        <v>0</v>
      </c>
      <c r="M394" s="73" t="n">
        <v>0</v>
      </c>
      <c r="N394" s="73"/>
      <c r="O394" s="72"/>
      <c r="P394" s="67"/>
      <c r="Q394" s="64"/>
      <c r="R394" s="64"/>
      <c r="S394" s="64"/>
      <c r="T394" s="64"/>
      <c r="U394" s="64"/>
      <c r="V394" s="64"/>
      <c r="W394" s="64"/>
      <c r="X394" s="64"/>
      <c r="Y394" s="64"/>
      <c r="Z394" s="64"/>
      <c r="AA394" s="64"/>
    </row>
    <row r="395" customFormat="false" ht="15" hidden="false" customHeight="false" outlineLevel="0" collapsed="false">
      <c r="A395" s="65" t="n">
        <v>46304</v>
      </c>
      <c r="B395" s="66" t="s">
        <v>59</v>
      </c>
      <c r="C395" s="67" t="s">
        <v>668</v>
      </c>
      <c r="D395" s="67" t="s">
        <v>669</v>
      </c>
      <c r="E395" s="66" t="n">
        <v>0</v>
      </c>
      <c r="F395" s="66" t="n">
        <v>0</v>
      </c>
      <c r="G395" s="66" t="n">
        <v>0</v>
      </c>
      <c r="H395" s="66" t="n">
        <v>0</v>
      </c>
      <c r="I395" s="66" t="n">
        <v>0</v>
      </c>
      <c r="J395" s="66" t="n">
        <v>0</v>
      </c>
      <c r="K395" s="66" t="n">
        <v>0</v>
      </c>
      <c r="L395" s="66" t="n">
        <v>0</v>
      </c>
      <c r="M395" s="73" t="n">
        <v>0</v>
      </c>
      <c r="N395" s="73"/>
      <c r="O395" s="72"/>
      <c r="P395" s="67"/>
      <c r="Q395" s="64"/>
      <c r="R395" s="64"/>
      <c r="S395" s="64"/>
      <c r="T395" s="64"/>
      <c r="U395" s="64"/>
      <c r="V395" s="64"/>
      <c r="W395" s="64"/>
      <c r="X395" s="64"/>
      <c r="Y395" s="64"/>
      <c r="Z395" s="64"/>
      <c r="AA395" s="64"/>
    </row>
    <row r="396" customFormat="false" ht="15" hidden="false" customHeight="false" outlineLevel="0" collapsed="false">
      <c r="A396" s="65" t="n">
        <v>46304</v>
      </c>
      <c r="B396" s="66" t="s">
        <v>265</v>
      </c>
      <c r="C396" s="67" t="s">
        <v>685</v>
      </c>
      <c r="D396" s="67" t="s">
        <v>686</v>
      </c>
      <c r="E396" s="66" t="n">
        <v>1084</v>
      </c>
      <c r="F396" s="66" t="n">
        <v>0</v>
      </c>
      <c r="G396" s="66" t="n">
        <v>112</v>
      </c>
      <c r="H396" s="66" t="n">
        <v>0</v>
      </c>
      <c r="I396" s="66" t="n">
        <v>111</v>
      </c>
      <c r="J396" s="66" t="n">
        <v>0</v>
      </c>
      <c r="K396" s="66" t="n">
        <v>861</v>
      </c>
      <c r="L396" s="66" t="n">
        <v>972</v>
      </c>
      <c r="M396" s="73" t="n">
        <v>0.016</v>
      </c>
      <c r="N396" s="73"/>
      <c r="O396" s="72"/>
      <c r="P396" s="67"/>
      <c r="Q396" s="64"/>
      <c r="R396" s="64"/>
      <c r="S396" s="64"/>
      <c r="T396" s="64"/>
      <c r="U396" s="64"/>
      <c r="V396" s="64"/>
      <c r="W396" s="64"/>
      <c r="X396" s="64"/>
      <c r="Y396" s="64"/>
      <c r="Z396" s="64"/>
      <c r="AA396" s="64"/>
    </row>
    <row r="397" customFormat="false" ht="15" hidden="false" customHeight="false" outlineLevel="0" collapsed="false">
      <c r="A397" s="65" t="n">
        <v>46304</v>
      </c>
      <c r="B397" s="66" t="s">
        <v>517</v>
      </c>
      <c r="C397" s="67" t="s">
        <v>678</v>
      </c>
      <c r="D397" s="67" t="s">
        <v>677</v>
      </c>
      <c r="E397" s="66" t="n">
        <v>2917</v>
      </c>
      <c r="F397" s="66" t="n">
        <v>2917</v>
      </c>
      <c r="G397" s="66" t="n">
        <v>0</v>
      </c>
      <c r="H397" s="66" t="n">
        <v>0</v>
      </c>
      <c r="I397" s="66" t="n">
        <v>0</v>
      </c>
      <c r="J397" s="66" t="n">
        <v>0</v>
      </c>
      <c r="K397" s="66" t="n">
        <v>0</v>
      </c>
      <c r="L397" s="66" t="n">
        <v>0</v>
      </c>
      <c r="M397" s="73" t="n">
        <v>0</v>
      </c>
      <c r="N397" s="73"/>
      <c r="O397" s="72"/>
      <c r="P397" s="67"/>
      <c r="Q397" s="64"/>
      <c r="R397" s="64"/>
      <c r="S397" s="64"/>
      <c r="T397" s="64"/>
      <c r="U397" s="64"/>
      <c r="V397" s="64"/>
      <c r="W397" s="64"/>
      <c r="X397" s="64"/>
      <c r="Y397" s="64"/>
      <c r="Z397" s="64"/>
      <c r="AA397" s="64"/>
    </row>
    <row r="398" customFormat="false" ht="15" hidden="false" customHeight="false" outlineLevel="0" collapsed="false">
      <c r="A398" s="65" t="n">
        <v>46304</v>
      </c>
      <c r="B398" s="66" t="s">
        <v>435</v>
      </c>
      <c r="C398" s="67" t="s">
        <v>687</v>
      </c>
      <c r="D398" s="67" t="s">
        <v>686</v>
      </c>
      <c r="E398" s="66" t="n">
        <v>0</v>
      </c>
      <c r="F398" s="66" t="n">
        <v>0</v>
      </c>
      <c r="G398" s="66" t="n">
        <v>0</v>
      </c>
      <c r="H398" s="66" t="n">
        <v>0</v>
      </c>
      <c r="I398" s="66" t="n">
        <v>0</v>
      </c>
      <c r="J398" s="66" t="n">
        <v>0</v>
      </c>
      <c r="K398" s="66" t="n">
        <v>0</v>
      </c>
      <c r="L398" s="66" t="n">
        <v>0</v>
      </c>
      <c r="M398" s="73" t="n">
        <v>0</v>
      </c>
      <c r="N398" s="73"/>
      <c r="O398" s="72"/>
      <c r="P398" s="67"/>
      <c r="Q398" s="64"/>
      <c r="R398" s="64"/>
      <c r="S398" s="64"/>
      <c r="T398" s="64"/>
      <c r="U398" s="64"/>
      <c r="V398" s="64"/>
      <c r="W398" s="64"/>
      <c r="X398" s="64"/>
      <c r="Y398" s="64"/>
      <c r="Z398" s="64"/>
      <c r="AA398" s="64"/>
    </row>
    <row r="399" customFormat="false" ht="15" hidden="false" customHeight="false" outlineLevel="0" collapsed="false">
      <c r="A399" s="65" t="n">
        <v>46304</v>
      </c>
      <c r="B399" s="66" t="s">
        <v>342</v>
      </c>
      <c r="C399" s="67" t="s">
        <v>668</v>
      </c>
      <c r="D399" s="67" t="s">
        <v>669</v>
      </c>
      <c r="E399" s="66" t="n">
        <v>0</v>
      </c>
      <c r="F399" s="66" t="n">
        <v>0</v>
      </c>
      <c r="G399" s="66" t="n">
        <v>0</v>
      </c>
      <c r="H399" s="66" t="n">
        <v>0</v>
      </c>
      <c r="I399" s="66" t="n">
        <v>0</v>
      </c>
      <c r="J399" s="66" t="n">
        <v>0</v>
      </c>
      <c r="K399" s="66" t="n">
        <v>0</v>
      </c>
      <c r="L399" s="66" t="n">
        <v>0</v>
      </c>
      <c r="M399" s="73" t="n">
        <v>0</v>
      </c>
      <c r="N399" s="73"/>
      <c r="O399" s="72"/>
      <c r="P399" s="67"/>
      <c r="Q399" s="64"/>
      <c r="R399" s="64"/>
      <c r="S399" s="64"/>
      <c r="T399" s="64"/>
      <c r="U399" s="64"/>
      <c r="V399" s="64"/>
      <c r="W399" s="64"/>
      <c r="X399" s="64"/>
      <c r="Y399" s="64"/>
      <c r="Z399" s="64"/>
      <c r="AA399" s="64"/>
    </row>
    <row r="400" customFormat="false" ht="15" hidden="false" customHeight="false" outlineLevel="0" collapsed="false">
      <c r="A400" s="65" t="n">
        <v>46304</v>
      </c>
      <c r="B400" s="66" t="s">
        <v>451</v>
      </c>
      <c r="C400" s="67" t="s">
        <v>698</v>
      </c>
      <c r="D400" s="67" t="s">
        <v>697</v>
      </c>
      <c r="E400" s="66" t="n">
        <v>0</v>
      </c>
      <c r="F400" s="66" t="n">
        <v>0</v>
      </c>
      <c r="G400" s="66" t="n">
        <v>0</v>
      </c>
      <c r="H400" s="66" t="n">
        <v>0</v>
      </c>
      <c r="I400" s="66" t="n">
        <v>0</v>
      </c>
      <c r="J400" s="66" t="n">
        <v>0</v>
      </c>
      <c r="K400" s="66" t="n">
        <v>0</v>
      </c>
      <c r="L400" s="66" t="n">
        <v>0</v>
      </c>
      <c r="M400" s="73" t="n">
        <v>0</v>
      </c>
      <c r="N400" s="73"/>
      <c r="O400" s="72"/>
      <c r="P400" s="67"/>
      <c r="Q400" s="64"/>
      <c r="R400" s="64"/>
      <c r="S400" s="64"/>
      <c r="T400" s="64"/>
      <c r="U400" s="64"/>
      <c r="V400" s="64"/>
      <c r="W400" s="64"/>
      <c r="X400" s="64"/>
      <c r="Y400" s="64"/>
      <c r="Z400" s="64"/>
      <c r="AA400" s="64"/>
    </row>
    <row r="401" customFormat="false" ht="15" hidden="false" customHeight="false" outlineLevel="0" collapsed="false">
      <c r="A401" s="65" t="n">
        <v>46304</v>
      </c>
      <c r="B401" s="66" t="s">
        <v>50</v>
      </c>
      <c r="C401" s="67" t="s">
        <v>679</v>
      </c>
      <c r="D401" s="67" t="s">
        <v>680</v>
      </c>
      <c r="E401" s="66" t="n">
        <v>193</v>
      </c>
      <c r="F401" s="66" t="n">
        <v>0</v>
      </c>
      <c r="G401" s="66" t="n">
        <v>0</v>
      </c>
      <c r="H401" s="66" t="n">
        <v>193</v>
      </c>
      <c r="I401" s="66" t="n">
        <v>0</v>
      </c>
      <c r="J401" s="66" t="n">
        <v>0</v>
      </c>
      <c r="K401" s="66" t="n">
        <v>0</v>
      </c>
      <c r="L401" s="66" t="n">
        <v>0</v>
      </c>
      <c r="M401" s="44"/>
      <c r="N401" s="44"/>
      <c r="O401" s="72"/>
      <c r="P401" s="67"/>
      <c r="Q401" s="64"/>
      <c r="R401" s="64"/>
      <c r="S401" s="64"/>
      <c r="T401" s="64"/>
      <c r="U401" s="64"/>
      <c r="V401" s="64"/>
      <c r="W401" s="64"/>
      <c r="X401" s="64"/>
      <c r="Y401" s="64"/>
      <c r="Z401" s="64"/>
      <c r="AA401" s="64"/>
    </row>
    <row r="402" customFormat="false" ht="15" hidden="false" customHeight="false" outlineLevel="0" collapsed="false">
      <c r="A402" s="65" t="n">
        <v>46304</v>
      </c>
      <c r="B402" s="66" t="s">
        <v>322</v>
      </c>
      <c r="C402" s="67" t="s">
        <v>698</v>
      </c>
      <c r="D402" s="67" t="s">
        <v>697</v>
      </c>
      <c r="E402" s="66" t="n">
        <v>1724</v>
      </c>
      <c r="F402" s="66" t="n">
        <v>1049</v>
      </c>
      <c r="G402" s="66" t="n">
        <v>675</v>
      </c>
      <c r="H402" s="66" t="n">
        <v>0</v>
      </c>
      <c r="I402" s="66" t="n">
        <v>0</v>
      </c>
      <c r="J402" s="66" t="n">
        <v>0</v>
      </c>
      <c r="K402" s="66" t="n">
        <v>0</v>
      </c>
      <c r="L402" s="66" t="n">
        <v>0</v>
      </c>
      <c r="M402" s="73" t="n">
        <v>0.01</v>
      </c>
      <c r="N402" s="73"/>
      <c r="O402" s="72"/>
      <c r="P402" s="67"/>
      <c r="Q402" s="64"/>
      <c r="R402" s="64"/>
      <c r="S402" s="64"/>
      <c r="T402" s="64"/>
      <c r="U402" s="64"/>
      <c r="V402" s="64"/>
      <c r="W402" s="64"/>
      <c r="X402" s="64"/>
      <c r="Y402" s="64"/>
      <c r="Z402" s="64"/>
      <c r="AA402" s="64"/>
    </row>
    <row r="403" customFormat="false" ht="15" hidden="false" customHeight="false" outlineLevel="0" collapsed="false">
      <c r="A403" s="65" t="n">
        <v>46304</v>
      </c>
      <c r="B403" s="66" t="s">
        <v>162</v>
      </c>
      <c r="C403" s="67" t="s">
        <v>698</v>
      </c>
      <c r="D403" s="67" t="s">
        <v>697</v>
      </c>
      <c r="E403" s="66" t="n">
        <v>0</v>
      </c>
      <c r="F403" s="66" t="n">
        <v>0</v>
      </c>
      <c r="G403" s="66" t="n">
        <v>0</v>
      </c>
      <c r="H403" s="66" t="n">
        <v>0</v>
      </c>
      <c r="I403" s="66" t="n">
        <v>0</v>
      </c>
      <c r="J403" s="66" t="n">
        <v>0</v>
      </c>
      <c r="K403" s="66" t="n">
        <v>0</v>
      </c>
      <c r="L403" s="66" t="n">
        <v>0</v>
      </c>
      <c r="M403" s="73" t="n">
        <v>0</v>
      </c>
      <c r="N403" s="73"/>
      <c r="O403" s="72"/>
      <c r="P403" s="67"/>
      <c r="Q403" s="64"/>
      <c r="R403" s="64"/>
      <c r="S403" s="64"/>
      <c r="T403" s="64"/>
      <c r="U403" s="64"/>
      <c r="V403" s="64"/>
      <c r="W403" s="64"/>
      <c r="X403" s="64"/>
      <c r="Y403" s="64"/>
      <c r="Z403" s="64"/>
      <c r="AA403" s="64"/>
    </row>
    <row r="404" customFormat="false" ht="15" hidden="false" customHeight="false" outlineLevel="0" collapsed="false">
      <c r="A404" s="65" t="n">
        <v>46304</v>
      </c>
      <c r="B404" s="66" t="s">
        <v>523</v>
      </c>
      <c r="C404" s="67" t="s">
        <v>670</v>
      </c>
      <c r="D404" s="67" t="s">
        <v>669</v>
      </c>
      <c r="E404" s="66" t="n">
        <v>0</v>
      </c>
      <c r="F404" s="66" t="n">
        <v>0</v>
      </c>
      <c r="G404" s="66" t="n">
        <v>0</v>
      </c>
      <c r="H404" s="66" t="n">
        <v>0</v>
      </c>
      <c r="I404" s="66" t="n">
        <v>0</v>
      </c>
      <c r="J404" s="66" t="n">
        <v>0</v>
      </c>
      <c r="K404" s="66" t="n">
        <v>0</v>
      </c>
      <c r="L404" s="66" t="n">
        <v>0</v>
      </c>
      <c r="M404" s="73" t="n">
        <v>0</v>
      </c>
      <c r="N404" s="73"/>
      <c r="O404" s="72"/>
      <c r="P404" s="67"/>
      <c r="Q404" s="64"/>
      <c r="R404" s="64"/>
      <c r="S404" s="64"/>
      <c r="T404" s="64"/>
      <c r="U404" s="64"/>
      <c r="V404" s="64"/>
      <c r="W404" s="64"/>
      <c r="X404" s="64"/>
      <c r="Y404" s="64"/>
      <c r="Z404" s="64"/>
      <c r="AA404" s="64"/>
    </row>
    <row r="405" customFormat="false" ht="15" hidden="false" customHeight="false" outlineLevel="0" collapsed="false">
      <c r="A405" s="65" t="n">
        <v>46304</v>
      </c>
      <c r="B405" s="66" t="s">
        <v>114</v>
      </c>
      <c r="C405" s="67" t="s">
        <v>685</v>
      </c>
      <c r="D405" s="67" t="s">
        <v>686</v>
      </c>
      <c r="E405" s="66" t="n">
        <v>338</v>
      </c>
      <c r="F405" s="66" t="n">
        <v>0</v>
      </c>
      <c r="G405" s="66" t="n">
        <v>0</v>
      </c>
      <c r="H405" s="66" t="n">
        <v>338</v>
      </c>
      <c r="I405" s="66" t="n">
        <v>0</v>
      </c>
      <c r="J405" s="66" t="n">
        <v>0</v>
      </c>
      <c r="K405" s="66" t="n">
        <v>0</v>
      </c>
      <c r="L405" s="66" t="n">
        <v>338</v>
      </c>
      <c r="M405" s="73" t="n">
        <v>0.004</v>
      </c>
      <c r="N405" s="73"/>
      <c r="O405" s="72"/>
      <c r="P405" s="67"/>
      <c r="Q405" s="64"/>
      <c r="R405" s="64"/>
      <c r="S405" s="64"/>
      <c r="T405" s="64"/>
      <c r="U405" s="64"/>
      <c r="V405" s="64"/>
      <c r="W405" s="64"/>
      <c r="X405" s="64"/>
      <c r="Y405" s="64"/>
      <c r="Z405" s="64"/>
      <c r="AA405" s="64"/>
    </row>
    <row r="406" customFormat="false" ht="15" hidden="false" customHeight="false" outlineLevel="0" collapsed="false">
      <c r="A406" s="65" t="n">
        <v>46304</v>
      </c>
      <c r="B406" s="66" t="s">
        <v>235</v>
      </c>
      <c r="C406" s="67" t="s">
        <v>676</v>
      </c>
      <c r="D406" s="67" t="s">
        <v>677</v>
      </c>
      <c r="E406" s="66" t="n">
        <v>0</v>
      </c>
      <c r="F406" s="66" t="n">
        <v>0</v>
      </c>
      <c r="G406" s="66" t="n">
        <v>0</v>
      </c>
      <c r="H406" s="66" t="n">
        <v>0</v>
      </c>
      <c r="I406" s="66" t="n">
        <v>0</v>
      </c>
      <c r="J406" s="66" t="n">
        <v>0</v>
      </c>
      <c r="K406" s="66" t="n">
        <v>0</v>
      </c>
      <c r="L406" s="66" t="n">
        <v>0</v>
      </c>
      <c r="M406" s="73" t="n">
        <v>0</v>
      </c>
      <c r="N406" s="73"/>
      <c r="O406" s="72"/>
      <c r="P406" s="67"/>
      <c r="Q406" s="64"/>
      <c r="R406" s="64"/>
      <c r="S406" s="64"/>
      <c r="T406" s="64"/>
      <c r="U406" s="64"/>
      <c r="V406" s="64"/>
      <c r="W406" s="64"/>
      <c r="X406" s="64"/>
      <c r="Y406" s="64"/>
      <c r="Z406" s="64"/>
      <c r="AA406" s="64"/>
    </row>
    <row r="407" customFormat="false" ht="15" hidden="false" customHeight="false" outlineLevel="0" collapsed="false">
      <c r="A407" s="65" t="n">
        <v>46304</v>
      </c>
      <c r="B407" s="66" t="s">
        <v>68</v>
      </c>
      <c r="C407" s="67" t="s">
        <v>672</v>
      </c>
      <c r="D407" s="67" t="s">
        <v>669</v>
      </c>
      <c r="E407" s="66" t="n">
        <v>4013</v>
      </c>
      <c r="F407" s="66" t="n">
        <v>0</v>
      </c>
      <c r="G407" s="66" t="n">
        <v>3439</v>
      </c>
      <c r="H407" s="66" t="n">
        <v>538</v>
      </c>
      <c r="I407" s="66" t="n">
        <v>0</v>
      </c>
      <c r="J407" s="66" t="n">
        <v>36</v>
      </c>
      <c r="K407" s="66" t="n">
        <v>0</v>
      </c>
      <c r="L407" s="66" t="n">
        <v>574</v>
      </c>
      <c r="M407" s="73" t="n">
        <v>0.017</v>
      </c>
      <c r="N407" s="73"/>
      <c r="O407" s="72"/>
      <c r="P407" s="67"/>
      <c r="Q407" s="64"/>
      <c r="R407" s="64"/>
      <c r="S407" s="64"/>
      <c r="T407" s="64"/>
      <c r="U407" s="64"/>
      <c r="V407" s="64"/>
      <c r="W407" s="64"/>
      <c r="X407" s="64"/>
      <c r="Y407" s="64"/>
      <c r="Z407" s="64"/>
      <c r="AA407" s="64"/>
    </row>
    <row r="408" customFormat="false" ht="15" hidden="false" customHeight="false" outlineLevel="0" collapsed="false">
      <c r="A408" s="65" t="n">
        <v>46304</v>
      </c>
      <c r="B408" s="66" t="s">
        <v>390</v>
      </c>
      <c r="C408" s="67" t="s">
        <v>670</v>
      </c>
      <c r="D408" s="67" t="s">
        <v>669</v>
      </c>
      <c r="E408" s="66" t="n">
        <v>940</v>
      </c>
      <c r="F408" s="66" t="n">
        <v>0</v>
      </c>
      <c r="G408" s="66" t="n">
        <v>0</v>
      </c>
      <c r="H408" s="66" t="n">
        <v>919</v>
      </c>
      <c r="I408" s="66" t="n">
        <v>0</v>
      </c>
      <c r="J408" s="66" t="n">
        <v>1</v>
      </c>
      <c r="K408" s="66" t="n">
        <v>20</v>
      </c>
      <c r="L408" s="66" t="n">
        <v>940</v>
      </c>
      <c r="M408" s="73" t="n">
        <v>0.008</v>
      </c>
      <c r="N408" s="73"/>
      <c r="O408" s="72"/>
      <c r="P408" s="67"/>
      <c r="Q408" s="64"/>
      <c r="R408" s="64"/>
      <c r="S408" s="64"/>
      <c r="T408" s="64"/>
      <c r="U408" s="64"/>
      <c r="V408" s="64"/>
      <c r="W408" s="64"/>
      <c r="X408" s="64"/>
      <c r="Y408" s="64"/>
      <c r="Z408" s="64"/>
      <c r="AA408" s="64"/>
    </row>
    <row r="409" customFormat="false" ht="15" hidden="false" customHeight="false" outlineLevel="0" collapsed="false">
      <c r="A409" s="65" t="n">
        <v>46304</v>
      </c>
      <c r="B409" s="66" t="s">
        <v>65</v>
      </c>
      <c r="C409" s="67" t="s">
        <v>685</v>
      </c>
      <c r="D409" s="67" t="s">
        <v>686</v>
      </c>
      <c r="E409" s="66" t="n">
        <v>1697</v>
      </c>
      <c r="F409" s="66" t="n">
        <v>0</v>
      </c>
      <c r="G409" s="66" t="n">
        <v>0</v>
      </c>
      <c r="H409" s="66" t="n">
        <v>1606</v>
      </c>
      <c r="I409" s="66" t="n">
        <v>0</v>
      </c>
      <c r="J409" s="66" t="n">
        <v>36</v>
      </c>
      <c r="K409" s="66" t="n">
        <v>55</v>
      </c>
      <c r="L409" s="66" t="n">
        <v>1697</v>
      </c>
      <c r="M409" s="73" t="n">
        <v>0.01</v>
      </c>
      <c r="N409" s="73"/>
      <c r="O409" s="72"/>
      <c r="P409" s="67"/>
      <c r="Q409" s="64"/>
      <c r="R409" s="64"/>
      <c r="S409" s="64"/>
      <c r="T409" s="64"/>
      <c r="U409" s="64"/>
      <c r="V409" s="64"/>
      <c r="W409" s="64"/>
      <c r="X409" s="64"/>
      <c r="Y409" s="64"/>
      <c r="Z409" s="64"/>
      <c r="AA409" s="64"/>
    </row>
    <row r="410" customFormat="false" ht="15" hidden="false" customHeight="false" outlineLevel="0" collapsed="false">
      <c r="A410" s="65" t="n">
        <v>46304</v>
      </c>
      <c r="B410" s="66" t="s">
        <v>238</v>
      </c>
      <c r="C410" s="67" t="s">
        <v>705</v>
      </c>
      <c r="D410" s="67" t="s">
        <v>706</v>
      </c>
      <c r="E410" s="66" t="n">
        <v>101</v>
      </c>
      <c r="F410" s="66" t="n">
        <v>101</v>
      </c>
      <c r="G410" s="66" t="n">
        <v>0</v>
      </c>
      <c r="H410" s="66" t="n">
        <v>0</v>
      </c>
      <c r="I410" s="66" t="n">
        <v>0</v>
      </c>
      <c r="J410" s="66" t="n">
        <v>0</v>
      </c>
      <c r="K410" s="66" t="n">
        <v>0</v>
      </c>
      <c r="L410" s="66" t="n">
        <v>0</v>
      </c>
      <c r="M410" s="73" t="n">
        <v>0</v>
      </c>
      <c r="N410" s="73"/>
      <c r="O410" s="72"/>
      <c r="P410" s="67"/>
      <c r="Q410" s="64"/>
      <c r="R410" s="64"/>
      <c r="S410" s="64"/>
      <c r="T410" s="64"/>
      <c r="U410" s="64"/>
      <c r="V410" s="64"/>
      <c r="W410" s="64"/>
      <c r="X410" s="64"/>
      <c r="Y410" s="64"/>
      <c r="Z410" s="64"/>
      <c r="AA410" s="64"/>
    </row>
    <row r="411" customFormat="false" ht="15" hidden="false" customHeight="false" outlineLevel="0" collapsed="false">
      <c r="A411" s="65" t="n">
        <v>46304</v>
      </c>
      <c r="B411" s="66" t="s">
        <v>38</v>
      </c>
      <c r="C411" s="67" t="s">
        <v>699</v>
      </c>
      <c r="D411" s="67" t="s">
        <v>697</v>
      </c>
      <c r="E411" s="66" t="n">
        <v>11117</v>
      </c>
      <c r="F411" s="66" t="n">
        <v>929</v>
      </c>
      <c r="G411" s="66" t="n">
        <v>8549</v>
      </c>
      <c r="H411" s="66" t="n">
        <v>25</v>
      </c>
      <c r="I411" s="66" t="n">
        <v>96</v>
      </c>
      <c r="J411" s="66" t="n">
        <v>1115</v>
      </c>
      <c r="K411" s="66" t="n">
        <v>403</v>
      </c>
      <c r="L411" s="66" t="n">
        <v>1639</v>
      </c>
      <c r="M411" s="73" t="n">
        <v>0.06</v>
      </c>
      <c r="N411" s="73"/>
      <c r="O411" s="72"/>
      <c r="P411" s="67"/>
      <c r="Q411" s="64"/>
      <c r="R411" s="64"/>
      <c r="S411" s="64"/>
      <c r="T411" s="64"/>
      <c r="U411" s="64"/>
      <c r="V411" s="64"/>
      <c r="W411" s="64"/>
      <c r="X411" s="64"/>
      <c r="Y411" s="64"/>
      <c r="Z411" s="64"/>
      <c r="AA411" s="64"/>
    </row>
    <row r="412" customFormat="false" ht="15" hidden="false" customHeight="false" outlineLevel="0" collapsed="false">
      <c r="A412" s="65" t="n">
        <v>46304</v>
      </c>
      <c r="B412" s="66" t="s">
        <v>468</v>
      </c>
      <c r="C412" s="67" t="s">
        <v>705</v>
      </c>
      <c r="D412" s="67" t="s">
        <v>706</v>
      </c>
      <c r="E412" s="66" t="n">
        <v>4395</v>
      </c>
      <c r="F412" s="66" t="n">
        <v>0</v>
      </c>
      <c r="G412" s="66" t="n">
        <v>4392</v>
      </c>
      <c r="H412" s="66" t="n">
        <v>0</v>
      </c>
      <c r="I412" s="66" t="n">
        <v>0</v>
      </c>
      <c r="J412" s="66" t="n">
        <v>0</v>
      </c>
      <c r="K412" s="66" t="n">
        <v>3</v>
      </c>
      <c r="L412" s="66" t="n">
        <v>3</v>
      </c>
      <c r="M412" s="73" t="n">
        <v>0.017</v>
      </c>
      <c r="N412" s="73"/>
      <c r="O412" s="72"/>
      <c r="P412" s="67"/>
      <c r="Q412" s="64"/>
      <c r="R412" s="64"/>
      <c r="S412" s="64"/>
      <c r="T412" s="64"/>
      <c r="U412" s="64"/>
      <c r="V412" s="64"/>
      <c r="W412" s="64"/>
      <c r="X412" s="64"/>
      <c r="Y412" s="64"/>
      <c r="Z412" s="64"/>
      <c r="AA412" s="64"/>
    </row>
    <row r="413" customFormat="false" ht="15" hidden="false" customHeight="false" outlineLevel="0" collapsed="false">
      <c r="A413" s="65" t="n">
        <v>46304</v>
      </c>
      <c r="B413" s="66" t="s">
        <v>292</v>
      </c>
      <c r="C413" s="67" t="s">
        <v>689</v>
      </c>
      <c r="D413" s="67" t="s">
        <v>686</v>
      </c>
      <c r="E413" s="66" t="n">
        <v>184</v>
      </c>
      <c r="F413" s="66" t="n">
        <v>0</v>
      </c>
      <c r="G413" s="66" t="n">
        <v>184</v>
      </c>
      <c r="H413" s="66" t="n">
        <v>0</v>
      </c>
      <c r="I413" s="66" t="n">
        <v>0</v>
      </c>
      <c r="J413" s="66" t="n">
        <v>0</v>
      </c>
      <c r="K413" s="66" t="n">
        <v>0</v>
      </c>
      <c r="L413" s="66" t="n">
        <v>0</v>
      </c>
      <c r="M413" s="73" t="n">
        <v>0.002</v>
      </c>
      <c r="N413" s="73"/>
      <c r="O413" s="72"/>
      <c r="P413" s="67"/>
      <c r="Q413" s="64"/>
      <c r="R413" s="64"/>
      <c r="S413" s="64"/>
      <c r="T413" s="64"/>
      <c r="U413" s="64"/>
      <c r="V413" s="64"/>
      <c r="W413" s="64"/>
      <c r="X413" s="64"/>
      <c r="Y413" s="64"/>
      <c r="Z413" s="64"/>
      <c r="AA413" s="64"/>
    </row>
    <row r="414" customFormat="false" ht="15" hidden="false" customHeight="false" outlineLevel="0" collapsed="false">
      <c r="A414" s="65" t="n">
        <v>46304</v>
      </c>
      <c r="B414" s="66" t="s">
        <v>398</v>
      </c>
      <c r="C414" s="67" t="s">
        <v>683</v>
      </c>
      <c r="D414" s="67" t="s">
        <v>682</v>
      </c>
      <c r="E414" s="66" t="n">
        <v>0</v>
      </c>
      <c r="F414" s="66" t="n">
        <v>0</v>
      </c>
      <c r="G414" s="66" t="n">
        <v>0</v>
      </c>
      <c r="H414" s="66" t="n">
        <v>0</v>
      </c>
      <c r="I414" s="66" t="n">
        <v>0</v>
      </c>
      <c r="J414" s="66" t="n">
        <v>0</v>
      </c>
      <c r="K414" s="66" t="n">
        <v>0</v>
      </c>
      <c r="L414" s="66" t="n">
        <v>0</v>
      </c>
      <c r="M414" s="73" t="n">
        <v>0</v>
      </c>
      <c r="N414" s="44" t="s">
        <v>839</v>
      </c>
      <c r="O414" s="72"/>
      <c r="P414" s="67"/>
      <c r="Q414" s="64"/>
      <c r="R414" s="64"/>
      <c r="S414" s="64"/>
      <c r="T414" s="64"/>
      <c r="U414" s="64"/>
      <c r="V414" s="64"/>
      <c r="W414" s="64"/>
      <c r="X414" s="64"/>
      <c r="Y414" s="64"/>
      <c r="Z414" s="64"/>
      <c r="AA414" s="64"/>
    </row>
    <row r="415" customFormat="false" ht="15" hidden="false" customHeight="false" outlineLevel="0" collapsed="false">
      <c r="A415" s="65" t="n">
        <v>46304</v>
      </c>
      <c r="B415" s="66" t="s">
        <v>287</v>
      </c>
      <c r="C415" s="67" t="s">
        <v>670</v>
      </c>
      <c r="D415" s="67" t="s">
        <v>669</v>
      </c>
      <c r="E415" s="66" t="n">
        <v>147</v>
      </c>
      <c r="F415" s="66" t="n">
        <v>0</v>
      </c>
      <c r="G415" s="66" t="n">
        <v>126</v>
      </c>
      <c r="H415" s="66" t="n">
        <v>0</v>
      </c>
      <c r="I415" s="66" t="n">
        <v>0</v>
      </c>
      <c r="J415" s="66" t="n">
        <v>21</v>
      </c>
      <c r="K415" s="66" t="n">
        <v>0</v>
      </c>
      <c r="L415" s="66" t="n">
        <v>21</v>
      </c>
      <c r="M415" s="73" t="n">
        <v>0.001</v>
      </c>
      <c r="N415" s="73"/>
      <c r="O415" s="72"/>
      <c r="P415" s="67"/>
      <c r="Q415" s="64"/>
      <c r="R415" s="64"/>
      <c r="S415" s="64"/>
      <c r="T415" s="64"/>
      <c r="U415" s="64"/>
      <c r="V415" s="64"/>
      <c r="W415" s="64"/>
      <c r="X415" s="64"/>
      <c r="Y415" s="64"/>
      <c r="Z415" s="64"/>
      <c r="AA415" s="64"/>
    </row>
    <row r="416" customFormat="false" ht="15" hidden="false" customHeight="false" outlineLevel="0" collapsed="false">
      <c r="A416" s="65" t="n">
        <v>46304</v>
      </c>
      <c r="B416" s="66" t="s">
        <v>437</v>
      </c>
      <c r="C416" s="67" t="s">
        <v>687</v>
      </c>
      <c r="D416" s="67" t="s">
        <v>686</v>
      </c>
      <c r="E416" s="66" t="n">
        <v>1736</v>
      </c>
      <c r="F416" s="66" t="n">
        <v>370</v>
      </c>
      <c r="G416" s="66" t="n">
        <v>0</v>
      </c>
      <c r="H416" s="66" t="n">
        <v>1366</v>
      </c>
      <c r="I416" s="66" t="n">
        <v>0</v>
      </c>
      <c r="J416" s="66" t="n">
        <v>0</v>
      </c>
      <c r="K416" s="66" t="n">
        <v>0</v>
      </c>
      <c r="L416" s="66" t="n">
        <v>1366</v>
      </c>
      <c r="M416" s="73" t="n">
        <v>0.014</v>
      </c>
      <c r="N416" s="73"/>
      <c r="O416" s="72"/>
      <c r="P416" s="67"/>
      <c r="Q416" s="64"/>
      <c r="R416" s="64"/>
      <c r="S416" s="64"/>
      <c r="T416" s="64"/>
      <c r="U416" s="64"/>
      <c r="V416" s="64"/>
      <c r="W416" s="64"/>
      <c r="X416" s="64"/>
      <c r="Y416" s="64"/>
      <c r="Z416" s="64"/>
      <c r="AA416" s="64"/>
    </row>
    <row r="417" customFormat="false" ht="15" hidden="false" customHeight="false" outlineLevel="0" collapsed="false">
      <c r="A417" s="65" t="n">
        <v>46304</v>
      </c>
      <c r="B417" s="66" t="s">
        <v>136</v>
      </c>
      <c r="C417" s="67" t="s">
        <v>679</v>
      </c>
      <c r="D417" s="67" t="s">
        <v>680</v>
      </c>
      <c r="E417" s="66" t="n">
        <v>2436</v>
      </c>
      <c r="F417" s="66" t="n">
        <v>0</v>
      </c>
      <c r="G417" s="66" t="n">
        <v>0</v>
      </c>
      <c r="H417" s="66" t="n">
        <v>2423</v>
      </c>
      <c r="I417" s="66" t="n">
        <v>0</v>
      </c>
      <c r="J417" s="66" t="n">
        <v>0</v>
      </c>
      <c r="K417" s="66" t="n">
        <v>13</v>
      </c>
      <c r="L417" s="66" t="n">
        <v>13</v>
      </c>
      <c r="M417" s="44"/>
      <c r="N417" s="44"/>
      <c r="O417" s="72"/>
      <c r="P417" s="67"/>
      <c r="Q417" s="64"/>
      <c r="R417" s="64"/>
      <c r="S417" s="64"/>
      <c r="T417" s="64"/>
      <c r="U417" s="64"/>
      <c r="V417" s="64"/>
      <c r="W417" s="64"/>
      <c r="X417" s="64"/>
      <c r="Y417" s="64"/>
      <c r="Z417" s="64"/>
      <c r="AA417" s="64"/>
    </row>
    <row r="418" customFormat="false" ht="15" hidden="false" customHeight="false" outlineLevel="0" collapsed="false">
      <c r="A418" s="65" t="n">
        <v>46304</v>
      </c>
      <c r="B418" s="66" t="s">
        <v>165</v>
      </c>
      <c r="C418" s="67" t="s">
        <v>676</v>
      </c>
      <c r="D418" s="67" t="s">
        <v>677</v>
      </c>
      <c r="E418" s="66" t="n">
        <v>9361</v>
      </c>
      <c r="F418" s="66" t="n">
        <v>4524</v>
      </c>
      <c r="G418" s="66" t="n">
        <v>1768</v>
      </c>
      <c r="H418" s="66" t="n">
        <v>0</v>
      </c>
      <c r="I418" s="66" t="n">
        <v>1509</v>
      </c>
      <c r="J418" s="66" t="n">
        <v>0</v>
      </c>
      <c r="K418" s="66" t="n">
        <v>1560</v>
      </c>
      <c r="L418" s="66" t="n">
        <v>3069</v>
      </c>
      <c r="M418" s="73" t="n">
        <v>0.06</v>
      </c>
      <c r="N418" s="73"/>
      <c r="O418" s="72"/>
      <c r="P418" s="67"/>
      <c r="Q418" s="64"/>
      <c r="R418" s="64"/>
      <c r="S418" s="64"/>
      <c r="T418" s="64"/>
      <c r="U418" s="64"/>
      <c r="V418" s="64"/>
      <c r="W418" s="64"/>
      <c r="X418" s="64"/>
      <c r="Y418" s="64"/>
      <c r="Z418" s="64"/>
      <c r="AA418" s="64"/>
    </row>
    <row r="419" customFormat="false" ht="15" hidden="false" customHeight="false" outlineLevel="0" collapsed="false">
      <c r="A419" s="65" t="n">
        <v>46304</v>
      </c>
      <c r="B419" s="66" t="s">
        <v>443</v>
      </c>
      <c r="C419" s="67" t="s">
        <v>678</v>
      </c>
      <c r="D419" s="67" t="s">
        <v>677</v>
      </c>
      <c r="E419" s="66" t="n">
        <v>1877</v>
      </c>
      <c r="F419" s="66" t="n">
        <v>0</v>
      </c>
      <c r="G419" s="66" t="n">
        <v>1877</v>
      </c>
      <c r="H419" s="66" t="n">
        <v>0</v>
      </c>
      <c r="I419" s="66" t="n">
        <v>0</v>
      </c>
      <c r="J419" s="66" t="n">
        <v>0</v>
      </c>
      <c r="K419" s="66" t="n">
        <v>0</v>
      </c>
      <c r="L419" s="66" t="n">
        <v>0</v>
      </c>
      <c r="M419" s="73" t="n">
        <v>0.01</v>
      </c>
      <c r="N419" s="73"/>
      <c r="O419" s="72"/>
      <c r="P419" s="67"/>
      <c r="Q419" s="64"/>
      <c r="R419" s="64"/>
      <c r="S419" s="64"/>
      <c r="T419" s="64"/>
      <c r="U419" s="64"/>
      <c r="V419" s="64"/>
      <c r="W419" s="64"/>
      <c r="X419" s="64"/>
      <c r="Y419" s="64"/>
      <c r="Z419" s="64"/>
      <c r="AA419" s="64"/>
    </row>
    <row r="420" customFormat="false" ht="15" hidden="false" customHeight="false" outlineLevel="0" collapsed="false">
      <c r="A420" s="65" t="n">
        <v>46304</v>
      </c>
      <c r="B420" s="66" t="s">
        <v>53</v>
      </c>
      <c r="C420" s="67" t="s">
        <v>696</v>
      </c>
      <c r="D420" s="67" t="s">
        <v>697</v>
      </c>
      <c r="E420" s="66" t="n">
        <v>3101</v>
      </c>
      <c r="F420" s="66" t="n">
        <v>3</v>
      </c>
      <c r="G420" s="66" t="n">
        <v>2243</v>
      </c>
      <c r="H420" s="66" t="n">
        <v>0</v>
      </c>
      <c r="I420" s="66" t="n">
        <v>0</v>
      </c>
      <c r="J420" s="66" t="n">
        <v>188</v>
      </c>
      <c r="K420" s="66" t="n">
        <v>667</v>
      </c>
      <c r="L420" s="66" t="n">
        <v>855</v>
      </c>
      <c r="M420" s="73" t="n">
        <v>0.025</v>
      </c>
      <c r="N420" s="73"/>
      <c r="O420" s="72"/>
      <c r="P420" s="67"/>
      <c r="Q420" s="64"/>
      <c r="R420" s="64"/>
      <c r="S420" s="64"/>
      <c r="T420" s="64"/>
      <c r="U420" s="64"/>
      <c r="V420" s="64"/>
      <c r="W420" s="64"/>
      <c r="X420" s="64"/>
      <c r="Y420" s="64"/>
      <c r="Z420" s="64"/>
      <c r="AA420" s="64"/>
    </row>
    <row r="421" customFormat="false" ht="15" hidden="false" customHeight="false" outlineLevel="0" collapsed="false">
      <c r="A421" s="65" t="n">
        <v>46304</v>
      </c>
      <c r="B421" s="66" t="s">
        <v>70</v>
      </c>
      <c r="C421" s="67" t="s">
        <v>671</v>
      </c>
      <c r="D421" s="67" t="s">
        <v>669</v>
      </c>
      <c r="E421" s="66" t="n">
        <v>919</v>
      </c>
      <c r="F421" s="66" t="n">
        <v>0</v>
      </c>
      <c r="G421" s="66" t="n">
        <v>8</v>
      </c>
      <c r="H421" s="66" t="n">
        <v>4</v>
      </c>
      <c r="I421" s="66" t="n">
        <v>907</v>
      </c>
      <c r="J421" s="66" t="n">
        <v>0</v>
      </c>
      <c r="K421" s="66" t="n">
        <v>0</v>
      </c>
      <c r="L421" s="66" t="n">
        <v>911</v>
      </c>
      <c r="M421" s="73" t="n">
        <v>0.03</v>
      </c>
      <c r="N421" s="73"/>
      <c r="O421" s="72"/>
      <c r="P421" s="67"/>
      <c r="Q421" s="64"/>
      <c r="R421" s="64"/>
      <c r="S421" s="64"/>
      <c r="T421" s="64"/>
      <c r="U421" s="64"/>
      <c r="V421" s="64"/>
      <c r="W421" s="64"/>
      <c r="X421" s="64"/>
      <c r="Y421" s="64"/>
      <c r="Z421" s="64"/>
      <c r="AA421" s="64"/>
    </row>
    <row r="422" customFormat="false" ht="15" hidden="false" customHeight="false" outlineLevel="0" collapsed="false">
      <c r="A422" s="65" t="n">
        <v>46304</v>
      </c>
      <c r="B422" s="66" t="s">
        <v>422</v>
      </c>
      <c r="C422" s="67" t="s">
        <v>673</v>
      </c>
      <c r="D422" s="67" t="s">
        <v>669</v>
      </c>
      <c r="E422" s="66" t="n">
        <v>245</v>
      </c>
      <c r="F422" s="66" t="n">
        <v>0</v>
      </c>
      <c r="G422" s="66" t="n">
        <v>0</v>
      </c>
      <c r="H422" s="66" t="n">
        <v>245</v>
      </c>
      <c r="I422" s="66" t="n">
        <v>0</v>
      </c>
      <c r="J422" s="66" t="n">
        <v>0</v>
      </c>
      <c r="K422" s="66" t="n">
        <v>0</v>
      </c>
      <c r="L422" s="66" t="n">
        <v>245</v>
      </c>
      <c r="M422" s="73" t="n">
        <v>0.002</v>
      </c>
      <c r="N422" s="73"/>
      <c r="O422" s="72"/>
      <c r="P422" s="67"/>
      <c r="Q422" s="64"/>
      <c r="R422" s="64"/>
      <c r="S422" s="64"/>
      <c r="T422" s="64"/>
      <c r="U422" s="64"/>
      <c r="V422" s="64"/>
      <c r="W422" s="64"/>
      <c r="X422" s="64"/>
      <c r="Y422" s="64"/>
      <c r="Z422" s="64"/>
      <c r="AA422" s="64"/>
    </row>
    <row r="423" customFormat="false" ht="15" hidden="false" customHeight="false" outlineLevel="0" collapsed="false">
      <c r="A423" s="65" t="n">
        <v>46304</v>
      </c>
      <c r="B423" s="66" t="s">
        <v>353</v>
      </c>
      <c r="C423" s="67" t="s">
        <v>690</v>
      </c>
      <c r="D423" s="67" t="s">
        <v>690</v>
      </c>
      <c r="E423" s="66" t="n">
        <v>0</v>
      </c>
      <c r="F423" s="66" t="n">
        <v>0</v>
      </c>
      <c r="G423" s="66" t="n">
        <v>0</v>
      </c>
      <c r="H423" s="66" t="n">
        <v>0</v>
      </c>
      <c r="I423" s="66" t="n">
        <v>0</v>
      </c>
      <c r="J423" s="66" t="n">
        <v>0</v>
      </c>
      <c r="K423" s="66" t="n">
        <v>0</v>
      </c>
      <c r="L423" s="66" t="n">
        <v>0</v>
      </c>
      <c r="M423" s="44"/>
      <c r="N423" s="44"/>
      <c r="O423" s="72"/>
      <c r="P423" s="67"/>
      <c r="Q423" s="64"/>
      <c r="R423" s="64"/>
      <c r="S423" s="64"/>
      <c r="T423" s="64"/>
      <c r="U423" s="64"/>
      <c r="V423" s="64"/>
      <c r="W423" s="64"/>
      <c r="X423" s="64"/>
      <c r="Y423" s="64"/>
      <c r="Z423" s="64"/>
      <c r="AA423" s="64"/>
    </row>
    <row r="424" customFormat="false" ht="15" hidden="false" customHeight="false" outlineLevel="0" collapsed="false">
      <c r="A424" s="65" t="n">
        <v>46304</v>
      </c>
      <c r="B424" s="66" t="s">
        <v>314</v>
      </c>
      <c r="C424" s="67" t="s">
        <v>681</v>
      </c>
      <c r="D424" s="67" t="s">
        <v>682</v>
      </c>
      <c r="E424" s="66" t="n">
        <v>2379</v>
      </c>
      <c r="F424" s="66" t="n">
        <v>0</v>
      </c>
      <c r="G424" s="66" t="n">
        <v>2159</v>
      </c>
      <c r="H424" s="66" t="n">
        <v>0</v>
      </c>
      <c r="I424" s="66" t="n">
        <v>0</v>
      </c>
      <c r="J424" s="66" t="n">
        <v>84</v>
      </c>
      <c r="K424" s="66" t="n">
        <v>136</v>
      </c>
      <c r="L424" s="66" t="n">
        <v>220</v>
      </c>
      <c r="M424" s="73" t="n">
        <v>0.01</v>
      </c>
      <c r="N424" s="44" t="s">
        <v>912</v>
      </c>
      <c r="O424" s="72" t="s">
        <v>936</v>
      </c>
      <c r="P424" s="67" t="s">
        <v>928</v>
      </c>
      <c r="Q424" s="64"/>
      <c r="R424" s="64"/>
      <c r="S424" s="64"/>
      <c r="T424" s="64"/>
      <c r="U424" s="64"/>
      <c r="V424" s="64"/>
      <c r="W424" s="64"/>
      <c r="X424" s="64"/>
      <c r="Y424" s="64"/>
      <c r="Z424" s="64"/>
      <c r="AA424" s="64"/>
    </row>
    <row r="425" customFormat="false" ht="15" hidden="false" customHeight="false" outlineLevel="0" collapsed="false">
      <c r="A425" s="65" t="n">
        <v>46304</v>
      </c>
      <c r="B425" s="66" t="s">
        <v>490</v>
      </c>
      <c r="C425" s="67" t="s">
        <v>679</v>
      </c>
      <c r="D425" s="67" t="s">
        <v>680</v>
      </c>
      <c r="E425" s="66" t="n">
        <v>0</v>
      </c>
      <c r="F425" s="66" t="n">
        <v>0</v>
      </c>
      <c r="G425" s="66" t="n">
        <v>0</v>
      </c>
      <c r="H425" s="66" t="n">
        <v>0</v>
      </c>
      <c r="I425" s="66" t="n">
        <v>0</v>
      </c>
      <c r="J425" s="66" t="n">
        <v>0</v>
      </c>
      <c r="K425" s="66" t="n">
        <v>0</v>
      </c>
      <c r="L425" s="66" t="n">
        <v>0</v>
      </c>
      <c r="M425" s="44"/>
      <c r="N425" s="44"/>
      <c r="O425" s="72"/>
      <c r="P425" s="67"/>
      <c r="Q425" s="64"/>
      <c r="R425" s="64"/>
      <c r="S425" s="64"/>
      <c r="T425" s="64"/>
      <c r="U425" s="64"/>
      <c r="V425" s="64"/>
      <c r="W425" s="64"/>
      <c r="X425" s="64"/>
      <c r="Y425" s="64"/>
      <c r="Z425" s="64"/>
      <c r="AA425" s="64"/>
    </row>
    <row r="426" customFormat="false" ht="15" hidden="false" customHeight="false" outlineLevel="0" collapsed="false">
      <c r="A426" s="65" t="n">
        <v>46304</v>
      </c>
      <c r="B426" s="66" t="s">
        <v>184</v>
      </c>
      <c r="C426" s="67" t="s">
        <v>696</v>
      </c>
      <c r="D426" s="67" t="s">
        <v>697</v>
      </c>
      <c r="E426" s="66" t="n">
        <v>1729</v>
      </c>
      <c r="F426" s="66" t="n">
        <v>0</v>
      </c>
      <c r="G426" s="66" t="n">
        <v>1613</v>
      </c>
      <c r="H426" s="66" t="n">
        <v>0</v>
      </c>
      <c r="I426" s="66" t="n">
        <v>93</v>
      </c>
      <c r="J426" s="66" t="n">
        <v>23</v>
      </c>
      <c r="K426" s="66" t="n">
        <v>0</v>
      </c>
      <c r="L426" s="66" t="n">
        <v>116</v>
      </c>
      <c r="M426" s="73" t="n">
        <v>0.01</v>
      </c>
      <c r="N426" s="73"/>
      <c r="O426" s="72"/>
      <c r="P426" s="67"/>
      <c r="Q426" s="64"/>
      <c r="R426" s="64"/>
      <c r="S426" s="64"/>
      <c r="T426" s="64"/>
      <c r="U426" s="64"/>
      <c r="V426" s="64"/>
      <c r="W426" s="64"/>
      <c r="X426" s="64"/>
      <c r="Y426" s="64"/>
      <c r="Z426" s="64"/>
      <c r="AA426" s="64"/>
    </row>
    <row r="427" customFormat="false" ht="15" hidden="false" customHeight="false" outlineLevel="0" collapsed="false">
      <c r="A427" s="65" t="n">
        <v>46304</v>
      </c>
      <c r="B427" s="66" t="s">
        <v>371</v>
      </c>
      <c r="C427" s="67" t="s">
        <v>676</v>
      </c>
      <c r="D427" s="67" t="s">
        <v>677</v>
      </c>
      <c r="E427" s="66" t="n">
        <v>0</v>
      </c>
      <c r="F427" s="66" t="n">
        <v>0</v>
      </c>
      <c r="G427" s="66" t="n">
        <v>0</v>
      </c>
      <c r="H427" s="66" t="n">
        <v>0</v>
      </c>
      <c r="I427" s="66" t="n">
        <v>0</v>
      </c>
      <c r="J427" s="66" t="n">
        <v>0</v>
      </c>
      <c r="K427" s="66" t="n">
        <v>0</v>
      </c>
      <c r="L427" s="66" t="n">
        <v>0</v>
      </c>
      <c r="M427" s="73" t="n">
        <v>0</v>
      </c>
      <c r="N427" s="73"/>
      <c r="O427" s="72"/>
      <c r="P427" s="67"/>
      <c r="Q427" s="64"/>
      <c r="R427" s="64"/>
      <c r="S427" s="64"/>
      <c r="T427" s="64"/>
      <c r="U427" s="64"/>
      <c r="V427" s="64"/>
      <c r="W427" s="64"/>
      <c r="X427" s="64"/>
      <c r="Y427" s="64"/>
      <c r="Z427" s="64"/>
      <c r="AA427" s="64"/>
    </row>
    <row r="428" customFormat="false" ht="15" hidden="false" customHeight="false" outlineLevel="0" collapsed="false">
      <c r="A428" s="65" t="n">
        <v>46304</v>
      </c>
      <c r="B428" s="66" t="s">
        <v>188</v>
      </c>
      <c r="C428" s="67" t="s">
        <v>696</v>
      </c>
      <c r="D428" s="67" t="s">
        <v>697</v>
      </c>
      <c r="E428" s="66" t="n">
        <v>4778</v>
      </c>
      <c r="F428" s="66" t="n">
        <v>0</v>
      </c>
      <c r="G428" s="66" t="n">
        <v>0</v>
      </c>
      <c r="H428" s="66" t="n">
        <v>3947</v>
      </c>
      <c r="I428" s="66" t="n">
        <v>0</v>
      </c>
      <c r="J428" s="66" t="n">
        <v>567</v>
      </c>
      <c r="K428" s="66" t="n">
        <v>264</v>
      </c>
      <c r="L428" s="66" t="n">
        <v>4778</v>
      </c>
      <c r="M428" s="73" t="n">
        <v>0.017</v>
      </c>
      <c r="N428" s="73"/>
      <c r="O428" s="72"/>
      <c r="P428" s="67"/>
      <c r="Q428" s="64"/>
      <c r="R428" s="64"/>
      <c r="S428" s="64"/>
      <c r="T428" s="64"/>
      <c r="U428" s="64"/>
      <c r="V428" s="64"/>
      <c r="W428" s="64"/>
      <c r="X428" s="64"/>
      <c r="Y428" s="64"/>
      <c r="Z428" s="64"/>
      <c r="AA428" s="64"/>
    </row>
    <row r="429" customFormat="false" ht="15" hidden="false" customHeight="false" outlineLevel="0" collapsed="false">
      <c r="A429" s="65" t="n">
        <v>46304</v>
      </c>
      <c r="B429" s="66" t="s">
        <v>352</v>
      </c>
      <c r="C429" s="67" t="s">
        <v>683</v>
      </c>
      <c r="D429" s="67" t="s">
        <v>682</v>
      </c>
      <c r="E429" s="66" t="n">
        <v>0</v>
      </c>
      <c r="F429" s="66" t="n">
        <v>0</v>
      </c>
      <c r="G429" s="66" t="n">
        <v>0</v>
      </c>
      <c r="H429" s="66" t="n">
        <v>0</v>
      </c>
      <c r="I429" s="66" t="n">
        <v>0</v>
      </c>
      <c r="J429" s="66" t="n">
        <v>0</v>
      </c>
      <c r="K429" s="66" t="n">
        <v>0</v>
      </c>
      <c r="L429" s="66" t="n">
        <v>0</v>
      </c>
      <c r="M429" s="73" t="n">
        <v>0</v>
      </c>
      <c r="N429" s="44" t="s">
        <v>839</v>
      </c>
      <c r="O429" s="72"/>
      <c r="P429" s="67"/>
      <c r="Q429" s="64"/>
      <c r="R429" s="64"/>
      <c r="S429" s="64"/>
      <c r="T429" s="64"/>
      <c r="U429" s="64"/>
      <c r="V429" s="64"/>
      <c r="W429" s="64"/>
      <c r="X429" s="64"/>
      <c r="Y429" s="64"/>
      <c r="Z429" s="64"/>
      <c r="AA429" s="64"/>
    </row>
    <row r="430" customFormat="false" ht="25.35" hidden="false" customHeight="false" outlineLevel="0" collapsed="false">
      <c r="A430" s="65" t="n">
        <v>46304</v>
      </c>
      <c r="B430" s="66" t="s">
        <v>254</v>
      </c>
      <c r="C430" s="67" t="s">
        <v>681</v>
      </c>
      <c r="D430" s="67" t="s">
        <v>682</v>
      </c>
      <c r="E430" s="66" t="n">
        <v>861</v>
      </c>
      <c r="F430" s="66" t="n">
        <v>29</v>
      </c>
      <c r="G430" s="66" t="n">
        <v>0</v>
      </c>
      <c r="H430" s="66" t="n">
        <v>584</v>
      </c>
      <c r="I430" s="66" t="n">
        <v>0</v>
      </c>
      <c r="J430" s="66" t="n">
        <v>158</v>
      </c>
      <c r="K430" s="66" t="n">
        <v>90</v>
      </c>
      <c r="L430" s="66" t="n">
        <v>832</v>
      </c>
      <c r="M430" s="73" t="n">
        <v>0</v>
      </c>
      <c r="N430" s="44" t="s">
        <v>883</v>
      </c>
      <c r="O430" s="72" t="s">
        <v>932</v>
      </c>
      <c r="P430" s="67"/>
      <c r="Q430" s="64"/>
      <c r="R430" s="64"/>
      <c r="S430" s="64"/>
      <c r="T430" s="64"/>
      <c r="U430" s="64"/>
      <c r="V430" s="64"/>
      <c r="W430" s="64"/>
      <c r="X430" s="64"/>
      <c r="Y430" s="64"/>
      <c r="Z430" s="64"/>
      <c r="AA430" s="64"/>
    </row>
    <row r="431" customFormat="false" ht="15" hidden="false" customHeight="false" outlineLevel="0" collapsed="false">
      <c r="A431" s="65" t="n">
        <v>46304</v>
      </c>
      <c r="B431" s="66" t="s">
        <v>231</v>
      </c>
      <c r="C431" s="67" t="s">
        <v>679</v>
      </c>
      <c r="D431" s="67" t="s">
        <v>680</v>
      </c>
      <c r="E431" s="66" t="n">
        <v>695</v>
      </c>
      <c r="F431" s="66" t="n">
        <v>0</v>
      </c>
      <c r="G431" s="66" t="n">
        <v>695</v>
      </c>
      <c r="H431" s="66" t="n">
        <v>0</v>
      </c>
      <c r="I431" s="66" t="n">
        <v>0</v>
      </c>
      <c r="J431" s="66" t="n">
        <v>0</v>
      </c>
      <c r="K431" s="66" t="n">
        <v>0</v>
      </c>
      <c r="L431" s="66" t="n">
        <v>0</v>
      </c>
      <c r="M431" s="44"/>
      <c r="N431" s="44"/>
      <c r="O431" s="72"/>
      <c r="P431" s="67"/>
      <c r="Q431" s="64"/>
      <c r="R431" s="64"/>
      <c r="S431" s="64"/>
      <c r="T431" s="64"/>
      <c r="U431" s="64"/>
      <c r="V431" s="64"/>
      <c r="W431" s="64"/>
      <c r="X431" s="64"/>
      <c r="Y431" s="64"/>
      <c r="Z431" s="64"/>
      <c r="AA431" s="64"/>
    </row>
    <row r="432" customFormat="false" ht="15" hidden="false" customHeight="false" outlineLevel="0" collapsed="false">
      <c r="A432" s="65" t="n">
        <v>46304</v>
      </c>
      <c r="B432" s="66" t="s">
        <v>242</v>
      </c>
      <c r="C432" s="67" t="s">
        <v>705</v>
      </c>
      <c r="D432" s="67" t="s">
        <v>706</v>
      </c>
      <c r="E432" s="66" t="n">
        <v>7357</v>
      </c>
      <c r="F432" s="66" t="n">
        <v>2446</v>
      </c>
      <c r="G432" s="66" t="n">
        <v>0</v>
      </c>
      <c r="H432" s="66" t="n">
        <v>945</v>
      </c>
      <c r="I432" s="66" t="n">
        <v>3187</v>
      </c>
      <c r="J432" s="66" t="n">
        <v>0</v>
      </c>
      <c r="K432" s="66" t="n">
        <v>779</v>
      </c>
      <c r="L432" s="66" t="n">
        <v>4911</v>
      </c>
      <c r="M432" s="73" t="n">
        <v>0.023</v>
      </c>
      <c r="N432" s="44" t="s">
        <v>937</v>
      </c>
      <c r="O432" s="72" t="s">
        <v>938</v>
      </c>
      <c r="P432" s="67" t="s">
        <v>935</v>
      </c>
      <c r="Q432" s="64"/>
      <c r="R432" s="64"/>
      <c r="S432" s="64"/>
      <c r="T432" s="64"/>
      <c r="U432" s="64"/>
      <c r="V432" s="64"/>
      <c r="W432" s="64"/>
      <c r="X432" s="64"/>
      <c r="Y432" s="64"/>
      <c r="Z432" s="64"/>
      <c r="AA432" s="64"/>
    </row>
    <row r="433" customFormat="false" ht="15" hidden="false" customHeight="false" outlineLevel="0" collapsed="false">
      <c r="A433" s="65" t="n">
        <v>46304</v>
      </c>
      <c r="B433" s="66" t="s">
        <v>47</v>
      </c>
      <c r="C433" s="67" t="s">
        <v>668</v>
      </c>
      <c r="D433" s="67" t="s">
        <v>669</v>
      </c>
      <c r="E433" s="66" t="n">
        <v>3328</v>
      </c>
      <c r="F433" s="66" t="n">
        <v>0</v>
      </c>
      <c r="G433" s="66" t="n">
        <v>0</v>
      </c>
      <c r="H433" s="66" t="n">
        <v>2365</v>
      </c>
      <c r="I433" s="66" t="n">
        <v>0</v>
      </c>
      <c r="J433" s="66" t="n">
        <v>566</v>
      </c>
      <c r="K433" s="66" t="n">
        <v>397</v>
      </c>
      <c r="L433" s="66" t="n">
        <v>3328</v>
      </c>
      <c r="M433" s="73" t="n">
        <v>0.015</v>
      </c>
      <c r="N433" s="73"/>
      <c r="O433" s="72"/>
      <c r="P433" s="67"/>
      <c r="Q433" s="64"/>
      <c r="R433" s="64"/>
      <c r="S433" s="64"/>
      <c r="T433" s="64"/>
      <c r="U433" s="64"/>
      <c r="V433" s="64"/>
      <c r="W433" s="64"/>
      <c r="X433" s="64"/>
      <c r="Y433" s="64"/>
      <c r="Z433" s="64"/>
      <c r="AA433" s="64"/>
    </row>
    <row r="434" customFormat="false" ht="15" hidden="false" customHeight="false" outlineLevel="0" collapsed="false">
      <c r="A434" s="65" t="n">
        <v>46304</v>
      </c>
      <c r="B434" s="66" t="s">
        <v>386</v>
      </c>
      <c r="C434" s="67" t="s">
        <v>679</v>
      </c>
      <c r="D434" s="67" t="s">
        <v>680</v>
      </c>
      <c r="E434" s="66" t="n">
        <v>135</v>
      </c>
      <c r="F434" s="66" t="n">
        <v>0</v>
      </c>
      <c r="G434" s="66" t="n">
        <v>0</v>
      </c>
      <c r="H434" s="66" t="n">
        <v>0</v>
      </c>
      <c r="I434" s="66" t="n">
        <v>135</v>
      </c>
      <c r="J434" s="66" t="n">
        <v>0</v>
      </c>
      <c r="K434" s="66" t="n">
        <v>0</v>
      </c>
      <c r="L434" s="66" t="n">
        <v>135</v>
      </c>
      <c r="M434" s="44"/>
      <c r="N434" s="44"/>
      <c r="O434" s="72"/>
      <c r="P434" s="67"/>
      <c r="Q434" s="64"/>
      <c r="R434" s="64"/>
      <c r="S434" s="64"/>
      <c r="T434" s="64"/>
      <c r="U434" s="64"/>
      <c r="V434" s="64"/>
      <c r="W434" s="64"/>
      <c r="X434" s="64"/>
      <c r="Y434" s="64"/>
      <c r="Z434" s="64"/>
      <c r="AA434" s="64"/>
    </row>
    <row r="435" customFormat="false" ht="15" hidden="false" customHeight="false" outlineLevel="0" collapsed="false">
      <c r="A435" s="65" t="n">
        <v>46304</v>
      </c>
      <c r="B435" s="66" t="s">
        <v>492</v>
      </c>
      <c r="C435" s="67" t="s">
        <v>687</v>
      </c>
      <c r="D435" s="67" t="s">
        <v>686</v>
      </c>
      <c r="E435" s="66" t="n">
        <v>0</v>
      </c>
      <c r="F435" s="66" t="n">
        <v>0</v>
      </c>
      <c r="G435" s="66" t="n">
        <v>0</v>
      </c>
      <c r="H435" s="66" t="n">
        <v>0</v>
      </c>
      <c r="I435" s="66" t="n">
        <v>0</v>
      </c>
      <c r="J435" s="66" t="n">
        <v>0</v>
      </c>
      <c r="K435" s="66" t="n">
        <v>0</v>
      </c>
      <c r="L435" s="66" t="n">
        <v>0</v>
      </c>
      <c r="M435" s="73" t="n">
        <v>0</v>
      </c>
      <c r="N435" s="73"/>
      <c r="O435" s="72"/>
      <c r="P435" s="67"/>
      <c r="Q435" s="64"/>
      <c r="R435" s="64"/>
      <c r="S435" s="64"/>
      <c r="T435" s="64"/>
      <c r="U435" s="64"/>
      <c r="V435" s="64"/>
      <c r="W435" s="64"/>
      <c r="X435" s="64"/>
      <c r="Y435" s="64"/>
      <c r="Z435" s="64"/>
      <c r="AA435" s="64"/>
    </row>
    <row r="436" customFormat="false" ht="15" hidden="false" customHeight="false" outlineLevel="0" collapsed="false">
      <c r="A436" s="65" t="n">
        <v>46304</v>
      </c>
      <c r="B436" s="66" t="s">
        <v>142</v>
      </c>
      <c r="C436" s="67" t="s">
        <v>670</v>
      </c>
      <c r="D436" s="67" t="s">
        <v>669</v>
      </c>
      <c r="E436" s="66" t="n">
        <v>3804</v>
      </c>
      <c r="F436" s="66" t="n">
        <v>168</v>
      </c>
      <c r="G436" s="66" t="n">
        <v>3249</v>
      </c>
      <c r="H436" s="66" t="n">
        <v>0</v>
      </c>
      <c r="I436" s="66" t="n">
        <v>108</v>
      </c>
      <c r="J436" s="66" t="n">
        <v>0</v>
      </c>
      <c r="K436" s="66" t="n">
        <v>279</v>
      </c>
      <c r="L436" s="66" t="n">
        <v>387</v>
      </c>
      <c r="M436" s="73" t="n">
        <v>0.023</v>
      </c>
      <c r="N436" s="73"/>
      <c r="O436" s="72"/>
      <c r="P436" s="67"/>
      <c r="Q436" s="64"/>
      <c r="R436" s="64"/>
      <c r="S436" s="64"/>
      <c r="T436" s="64"/>
      <c r="U436" s="64"/>
      <c r="V436" s="64"/>
      <c r="W436" s="64"/>
      <c r="X436" s="64"/>
      <c r="Y436" s="64"/>
      <c r="Z436" s="64"/>
      <c r="AA436" s="64"/>
    </row>
    <row r="437" customFormat="false" ht="15" hidden="false" customHeight="false" outlineLevel="0" collapsed="false">
      <c r="A437" s="65" t="n">
        <v>46304</v>
      </c>
      <c r="B437" s="66" t="s">
        <v>229</v>
      </c>
      <c r="C437" s="67" t="s">
        <v>679</v>
      </c>
      <c r="D437" s="67" t="s">
        <v>680</v>
      </c>
      <c r="E437" s="66" t="n">
        <v>528</v>
      </c>
      <c r="F437" s="66" t="n">
        <v>0</v>
      </c>
      <c r="G437" s="66" t="n">
        <v>528</v>
      </c>
      <c r="H437" s="66" t="n">
        <v>0</v>
      </c>
      <c r="I437" s="66" t="n">
        <v>0</v>
      </c>
      <c r="J437" s="66" t="n">
        <v>0</v>
      </c>
      <c r="K437" s="66" t="n">
        <v>0</v>
      </c>
      <c r="L437" s="66" t="n">
        <v>0</v>
      </c>
      <c r="M437" s="44"/>
      <c r="N437" s="44"/>
      <c r="O437" s="72"/>
      <c r="P437" s="67"/>
      <c r="Q437" s="64"/>
      <c r="R437" s="64"/>
      <c r="S437" s="64"/>
      <c r="T437" s="64"/>
      <c r="U437" s="64"/>
      <c r="V437" s="64"/>
      <c r="W437" s="64"/>
      <c r="X437" s="64"/>
      <c r="Y437" s="64"/>
      <c r="Z437" s="64"/>
      <c r="AA437" s="64"/>
    </row>
    <row r="438" customFormat="false" ht="15" hidden="false" customHeight="false" outlineLevel="0" collapsed="false">
      <c r="A438" s="65" t="n">
        <v>46304</v>
      </c>
      <c r="B438" s="66" t="s">
        <v>123</v>
      </c>
      <c r="C438" s="67" t="s">
        <v>702</v>
      </c>
      <c r="D438" s="67" t="s">
        <v>703</v>
      </c>
      <c r="E438" s="66" t="n">
        <v>6848</v>
      </c>
      <c r="F438" s="66" t="n">
        <v>341</v>
      </c>
      <c r="G438" s="66" t="n">
        <v>5796</v>
      </c>
      <c r="H438" s="66" t="n">
        <v>0</v>
      </c>
      <c r="I438" s="66" t="n">
        <v>0</v>
      </c>
      <c r="J438" s="66" t="n">
        <v>478</v>
      </c>
      <c r="K438" s="66" t="n">
        <v>233</v>
      </c>
      <c r="L438" s="66" t="n">
        <v>711</v>
      </c>
      <c r="M438" s="73" t="n">
        <v>0.062</v>
      </c>
      <c r="N438" s="73"/>
      <c r="O438" s="72"/>
      <c r="P438" s="67"/>
      <c r="Q438" s="64"/>
      <c r="R438" s="64"/>
      <c r="S438" s="64"/>
      <c r="T438" s="64"/>
      <c r="U438" s="64"/>
      <c r="V438" s="64"/>
      <c r="W438" s="64"/>
      <c r="X438" s="64"/>
      <c r="Y438" s="64"/>
      <c r="Z438" s="64"/>
      <c r="AA438" s="64"/>
    </row>
    <row r="439" customFormat="false" ht="15" hidden="false" customHeight="false" outlineLevel="0" collapsed="false">
      <c r="A439" s="65" t="n">
        <v>46304</v>
      </c>
      <c r="B439" s="66" t="s">
        <v>272</v>
      </c>
      <c r="C439" s="67" t="s">
        <v>679</v>
      </c>
      <c r="D439" s="67" t="s">
        <v>680</v>
      </c>
      <c r="E439" s="66" t="n">
        <v>0</v>
      </c>
      <c r="F439" s="66" t="n">
        <v>0</v>
      </c>
      <c r="G439" s="66" t="n">
        <v>0</v>
      </c>
      <c r="H439" s="66" t="n">
        <v>0</v>
      </c>
      <c r="I439" s="66" t="n">
        <v>0</v>
      </c>
      <c r="J439" s="66" t="n">
        <v>0</v>
      </c>
      <c r="K439" s="66" t="n">
        <v>0</v>
      </c>
      <c r="L439" s="66" t="n">
        <v>0</v>
      </c>
      <c r="M439" s="44"/>
      <c r="N439" s="44"/>
      <c r="O439" s="72"/>
      <c r="P439" s="67"/>
      <c r="Q439" s="64"/>
      <c r="R439" s="64"/>
      <c r="S439" s="64"/>
      <c r="T439" s="64"/>
      <c r="U439" s="64"/>
      <c r="V439" s="64"/>
      <c r="W439" s="64"/>
      <c r="X439" s="64"/>
      <c r="Y439" s="64"/>
      <c r="Z439" s="64"/>
      <c r="AA439" s="64"/>
    </row>
    <row r="440" customFormat="false" ht="15" hidden="false" customHeight="false" outlineLevel="0" collapsed="false">
      <c r="A440" s="65" t="n">
        <v>46304</v>
      </c>
      <c r="B440" s="66" t="s">
        <v>402</v>
      </c>
      <c r="C440" s="67" t="s">
        <v>693</v>
      </c>
      <c r="D440" s="67" t="s">
        <v>692</v>
      </c>
      <c r="E440" s="66" t="n">
        <v>3474</v>
      </c>
      <c r="F440" s="66" t="n">
        <v>3474</v>
      </c>
      <c r="G440" s="66" t="n">
        <v>0</v>
      </c>
      <c r="H440" s="66" t="n">
        <v>0</v>
      </c>
      <c r="I440" s="66" t="n">
        <v>0</v>
      </c>
      <c r="J440" s="66" t="n">
        <v>0</v>
      </c>
      <c r="K440" s="66" t="n">
        <v>0</v>
      </c>
      <c r="L440" s="66" t="n">
        <v>0</v>
      </c>
      <c r="M440" s="73" t="n">
        <v>0.016</v>
      </c>
      <c r="N440" s="73"/>
      <c r="O440" s="72"/>
      <c r="P440" s="67"/>
      <c r="Q440" s="64"/>
      <c r="R440" s="64"/>
      <c r="S440" s="64"/>
      <c r="T440" s="64"/>
      <c r="U440" s="64"/>
      <c r="V440" s="64"/>
      <c r="W440" s="64"/>
      <c r="X440" s="64"/>
      <c r="Y440" s="64"/>
      <c r="Z440" s="64"/>
      <c r="AA440" s="64"/>
    </row>
    <row r="441" customFormat="false" ht="15" hidden="false" customHeight="false" outlineLevel="0" collapsed="false">
      <c r="A441" s="65" t="n">
        <v>46304</v>
      </c>
      <c r="B441" s="66" t="s">
        <v>397</v>
      </c>
      <c r="C441" s="67" t="s">
        <v>676</v>
      </c>
      <c r="D441" s="67" t="s">
        <v>677</v>
      </c>
      <c r="E441" s="66" t="n">
        <v>3272</v>
      </c>
      <c r="F441" s="66" t="n">
        <v>0</v>
      </c>
      <c r="G441" s="66" t="n">
        <v>3046</v>
      </c>
      <c r="H441" s="66" t="n">
        <v>0</v>
      </c>
      <c r="I441" s="66" t="n">
        <v>0</v>
      </c>
      <c r="J441" s="66" t="n">
        <v>151</v>
      </c>
      <c r="K441" s="66" t="n">
        <v>75</v>
      </c>
      <c r="L441" s="66" t="n">
        <v>226</v>
      </c>
      <c r="M441" s="73" t="n">
        <v>0.017</v>
      </c>
      <c r="N441" s="73"/>
      <c r="O441" s="72"/>
      <c r="P441" s="67"/>
      <c r="Q441" s="64"/>
      <c r="R441" s="64"/>
      <c r="S441" s="64"/>
      <c r="T441" s="64"/>
      <c r="U441" s="64"/>
      <c r="V441" s="64"/>
      <c r="W441" s="64"/>
      <c r="X441" s="64"/>
      <c r="Y441" s="64"/>
      <c r="Z441" s="64"/>
      <c r="AA441" s="64"/>
    </row>
    <row r="442" customFormat="false" ht="15" hidden="false" customHeight="false" outlineLevel="0" collapsed="false">
      <c r="A442" s="65" t="n">
        <v>46304</v>
      </c>
      <c r="B442" s="66" t="s">
        <v>364</v>
      </c>
      <c r="C442" s="67" t="s">
        <v>683</v>
      </c>
      <c r="D442" s="67" t="s">
        <v>682</v>
      </c>
      <c r="E442" s="66" t="n">
        <v>6843</v>
      </c>
      <c r="F442" s="66" t="n">
        <v>6841</v>
      </c>
      <c r="G442" s="66" t="n">
        <v>0</v>
      </c>
      <c r="H442" s="66" t="n">
        <v>0</v>
      </c>
      <c r="I442" s="66" t="n">
        <v>0</v>
      </c>
      <c r="J442" s="66" t="n">
        <v>0</v>
      </c>
      <c r="K442" s="66" t="n">
        <v>2</v>
      </c>
      <c r="L442" s="66" t="n">
        <v>2</v>
      </c>
      <c r="M442" s="73" t="n">
        <v>0.029</v>
      </c>
      <c r="N442" s="73"/>
      <c r="O442" s="72"/>
      <c r="P442" s="67"/>
      <c r="Q442" s="64"/>
      <c r="R442" s="64"/>
      <c r="S442" s="64"/>
      <c r="T442" s="64"/>
      <c r="U442" s="64"/>
      <c r="V442" s="64"/>
      <c r="W442" s="64"/>
      <c r="X442" s="64"/>
      <c r="Y442" s="64"/>
      <c r="Z442" s="64"/>
      <c r="AA442" s="64"/>
    </row>
    <row r="443" customFormat="false" ht="15" hidden="false" customHeight="false" outlineLevel="0" collapsed="false">
      <c r="A443" s="65" t="n">
        <v>46304</v>
      </c>
      <c r="B443" s="66" t="s">
        <v>175</v>
      </c>
      <c r="C443" s="67" t="s">
        <v>679</v>
      </c>
      <c r="D443" s="67" t="s">
        <v>680</v>
      </c>
      <c r="E443" s="66" t="n">
        <v>3</v>
      </c>
      <c r="F443" s="66" t="n">
        <v>0</v>
      </c>
      <c r="G443" s="66" t="n">
        <v>0</v>
      </c>
      <c r="H443" s="66" t="n">
        <v>3</v>
      </c>
      <c r="I443" s="66" t="n">
        <v>0</v>
      </c>
      <c r="J443" s="66" t="n">
        <v>0</v>
      </c>
      <c r="K443" s="66" t="n">
        <v>0</v>
      </c>
      <c r="L443" s="66" t="n">
        <v>0</v>
      </c>
      <c r="M443" s="44"/>
      <c r="N443" s="44"/>
      <c r="O443" s="72"/>
      <c r="P443" s="67"/>
      <c r="Q443" s="64"/>
      <c r="R443" s="64"/>
      <c r="S443" s="64"/>
      <c r="T443" s="64"/>
      <c r="U443" s="64"/>
      <c r="V443" s="64"/>
      <c r="W443" s="64"/>
      <c r="X443" s="64"/>
      <c r="Y443" s="64"/>
      <c r="Z443" s="64"/>
      <c r="AA443" s="64"/>
    </row>
    <row r="444" customFormat="false" ht="15" hidden="false" customHeight="false" outlineLevel="0" collapsed="false">
      <c r="A444" s="65" t="n">
        <v>46304</v>
      </c>
      <c r="B444" s="66" t="s">
        <v>441</v>
      </c>
      <c r="C444" s="67" t="s">
        <v>699</v>
      </c>
      <c r="D444" s="67" t="s">
        <v>697</v>
      </c>
      <c r="E444" s="66" t="n">
        <v>8006</v>
      </c>
      <c r="F444" s="66" t="n">
        <v>4201</v>
      </c>
      <c r="G444" s="66" t="n">
        <v>2158</v>
      </c>
      <c r="H444" s="66" t="n">
        <v>0</v>
      </c>
      <c r="I444" s="66" t="n">
        <v>1647</v>
      </c>
      <c r="J444" s="66" t="n">
        <v>0</v>
      </c>
      <c r="K444" s="66" t="n">
        <v>0</v>
      </c>
      <c r="L444" s="66" t="n">
        <v>1647</v>
      </c>
      <c r="M444" s="73" t="n">
        <v>0.033</v>
      </c>
      <c r="N444" s="73"/>
      <c r="O444" s="72"/>
      <c r="P444" s="67"/>
      <c r="Q444" s="64"/>
      <c r="R444" s="64"/>
      <c r="S444" s="64"/>
      <c r="T444" s="64"/>
      <c r="U444" s="64"/>
      <c r="V444" s="64"/>
      <c r="W444" s="64"/>
      <c r="X444" s="64"/>
      <c r="Y444" s="64"/>
      <c r="Z444" s="64"/>
      <c r="AA444" s="64"/>
    </row>
    <row r="445" customFormat="false" ht="15" hidden="false" customHeight="false" outlineLevel="0" collapsed="false">
      <c r="A445" s="65" t="n">
        <v>46304</v>
      </c>
      <c r="B445" s="66" t="s">
        <v>233</v>
      </c>
      <c r="C445" s="67" t="s">
        <v>705</v>
      </c>
      <c r="D445" s="67" t="s">
        <v>706</v>
      </c>
      <c r="E445" s="66" t="n">
        <v>0</v>
      </c>
      <c r="F445" s="66" t="n">
        <v>0</v>
      </c>
      <c r="G445" s="66" t="n">
        <v>0</v>
      </c>
      <c r="H445" s="66" t="n">
        <v>0</v>
      </c>
      <c r="I445" s="66" t="n">
        <v>0</v>
      </c>
      <c r="J445" s="66" t="n">
        <v>0</v>
      </c>
      <c r="K445" s="66" t="n">
        <v>0</v>
      </c>
      <c r="L445" s="66" t="n">
        <v>0</v>
      </c>
      <c r="M445" s="73" t="n">
        <v>0</v>
      </c>
      <c r="N445" s="73"/>
      <c r="O445" s="72"/>
      <c r="P445" s="67"/>
      <c r="Q445" s="64"/>
      <c r="R445" s="64"/>
      <c r="S445" s="64"/>
      <c r="T445" s="64"/>
      <c r="U445" s="64"/>
      <c r="V445" s="64"/>
      <c r="W445" s="64"/>
      <c r="X445" s="64"/>
      <c r="Y445" s="64"/>
      <c r="Z445" s="64"/>
      <c r="AA445" s="64"/>
    </row>
    <row r="446" customFormat="false" ht="15" hidden="false" customHeight="false" outlineLevel="0" collapsed="false">
      <c r="A446" s="65" t="n">
        <v>46304</v>
      </c>
      <c r="B446" s="66" t="s">
        <v>449</v>
      </c>
      <c r="C446" s="67" t="s">
        <v>673</v>
      </c>
      <c r="D446" s="67" t="s">
        <v>669</v>
      </c>
      <c r="E446" s="66" t="n">
        <v>5788</v>
      </c>
      <c r="F446" s="66" t="n">
        <v>2660</v>
      </c>
      <c r="G446" s="66" t="n">
        <v>3128</v>
      </c>
      <c r="H446" s="66" t="n">
        <v>0</v>
      </c>
      <c r="I446" s="66" t="n">
        <v>0</v>
      </c>
      <c r="J446" s="66" t="n">
        <v>0</v>
      </c>
      <c r="K446" s="66" t="n">
        <v>0</v>
      </c>
      <c r="L446" s="66" t="n">
        <v>0</v>
      </c>
      <c r="M446" s="73" t="n">
        <v>0.01</v>
      </c>
      <c r="N446" s="73"/>
      <c r="O446" s="72"/>
      <c r="P446" s="67"/>
      <c r="Q446" s="64"/>
      <c r="R446" s="64"/>
      <c r="S446" s="64"/>
      <c r="T446" s="64"/>
      <c r="U446" s="64"/>
      <c r="V446" s="64"/>
      <c r="W446" s="64"/>
      <c r="X446" s="64"/>
      <c r="Y446" s="64"/>
      <c r="Z446" s="64"/>
      <c r="AA446" s="64"/>
    </row>
    <row r="447" customFormat="false" ht="15" hidden="false" customHeight="false" outlineLevel="0" collapsed="false">
      <c r="A447" s="65" t="n">
        <v>46304</v>
      </c>
      <c r="B447" s="66" t="s">
        <v>100</v>
      </c>
      <c r="C447" s="67" t="s">
        <v>670</v>
      </c>
      <c r="D447" s="67" t="s">
        <v>669</v>
      </c>
      <c r="E447" s="66" t="n">
        <v>5135</v>
      </c>
      <c r="F447" s="66" t="n">
        <v>0</v>
      </c>
      <c r="G447" s="66" t="n">
        <v>5135</v>
      </c>
      <c r="H447" s="66" t="n">
        <v>0</v>
      </c>
      <c r="I447" s="66" t="n">
        <v>0</v>
      </c>
      <c r="J447" s="66" t="n">
        <v>0</v>
      </c>
      <c r="K447" s="66" t="n">
        <v>0</v>
      </c>
      <c r="L447" s="66" t="n">
        <v>0</v>
      </c>
      <c r="M447" s="73" t="n">
        <v>0.018</v>
      </c>
      <c r="N447" s="73"/>
      <c r="O447" s="72"/>
      <c r="P447" s="67"/>
      <c r="Q447" s="64"/>
      <c r="R447" s="64"/>
      <c r="S447" s="64"/>
      <c r="T447" s="64"/>
      <c r="U447" s="64"/>
      <c r="V447" s="64"/>
      <c r="W447" s="64"/>
      <c r="X447" s="64"/>
      <c r="Y447" s="64"/>
      <c r="Z447" s="64"/>
      <c r="AA447" s="64"/>
    </row>
    <row r="448" customFormat="false" ht="15" hidden="false" customHeight="false" outlineLevel="0" collapsed="false">
      <c r="A448" s="65" t="n">
        <v>46304</v>
      </c>
      <c r="B448" s="66" t="s">
        <v>524</v>
      </c>
      <c r="C448" s="67" t="s">
        <v>687</v>
      </c>
      <c r="D448" s="67" t="s">
        <v>686</v>
      </c>
      <c r="E448" s="66" t="n">
        <v>985</v>
      </c>
      <c r="F448" s="66" t="n">
        <v>985</v>
      </c>
      <c r="G448" s="66" t="n">
        <v>0</v>
      </c>
      <c r="H448" s="66" t="n">
        <v>0</v>
      </c>
      <c r="I448" s="66" t="n">
        <v>0</v>
      </c>
      <c r="J448" s="66" t="n">
        <v>0</v>
      </c>
      <c r="K448" s="66" t="n">
        <v>0</v>
      </c>
      <c r="L448" s="66" t="n">
        <v>0</v>
      </c>
      <c r="M448" s="73" t="n">
        <v>0</v>
      </c>
      <c r="N448" s="73"/>
      <c r="O448" s="72"/>
      <c r="P448" s="67"/>
      <c r="Q448" s="64"/>
      <c r="R448" s="64"/>
      <c r="S448" s="64"/>
      <c r="T448" s="64"/>
      <c r="U448" s="64"/>
      <c r="V448" s="64"/>
      <c r="W448" s="64"/>
      <c r="X448" s="64"/>
      <c r="Y448" s="64"/>
      <c r="Z448" s="64"/>
      <c r="AA448" s="64"/>
    </row>
    <row r="449" customFormat="false" ht="15" hidden="false" customHeight="false" outlineLevel="0" collapsed="false">
      <c r="A449" s="65" t="n">
        <v>46304</v>
      </c>
      <c r="B449" s="66" t="s">
        <v>474</v>
      </c>
      <c r="C449" s="67" t="s">
        <v>702</v>
      </c>
      <c r="D449" s="67" t="s">
        <v>703</v>
      </c>
      <c r="E449" s="66" t="n">
        <v>0</v>
      </c>
      <c r="F449" s="66" t="n">
        <v>0</v>
      </c>
      <c r="G449" s="66" t="n">
        <v>0</v>
      </c>
      <c r="H449" s="66" t="n">
        <v>0</v>
      </c>
      <c r="I449" s="66" t="n">
        <v>0</v>
      </c>
      <c r="J449" s="66" t="n">
        <v>0</v>
      </c>
      <c r="K449" s="66" t="n">
        <v>0</v>
      </c>
      <c r="L449" s="66" t="n">
        <v>0</v>
      </c>
      <c r="M449" s="73" t="n">
        <v>0</v>
      </c>
      <c r="N449" s="73"/>
      <c r="O449" s="72"/>
      <c r="P449" s="67"/>
      <c r="Q449" s="64"/>
      <c r="R449" s="64"/>
      <c r="S449" s="64"/>
      <c r="T449" s="64"/>
      <c r="U449" s="64"/>
      <c r="V449" s="64"/>
      <c r="W449" s="64"/>
      <c r="X449" s="64"/>
      <c r="Y449" s="64"/>
      <c r="Z449" s="64"/>
      <c r="AA449" s="64"/>
    </row>
    <row r="450" customFormat="false" ht="15" hidden="false" customHeight="false" outlineLevel="0" collapsed="false">
      <c r="A450" s="65" t="n">
        <v>46304</v>
      </c>
      <c r="B450" s="66" t="s">
        <v>392</v>
      </c>
      <c r="C450" s="67" t="s">
        <v>687</v>
      </c>
      <c r="D450" s="67" t="s">
        <v>686</v>
      </c>
      <c r="E450" s="66" t="n">
        <v>0</v>
      </c>
      <c r="F450" s="66" t="n">
        <v>0</v>
      </c>
      <c r="G450" s="66" t="n">
        <v>0</v>
      </c>
      <c r="H450" s="66" t="n">
        <v>0</v>
      </c>
      <c r="I450" s="66" t="n">
        <v>0</v>
      </c>
      <c r="J450" s="66" t="n">
        <v>0</v>
      </c>
      <c r="K450" s="66" t="n">
        <v>0</v>
      </c>
      <c r="L450" s="66" t="n">
        <v>0</v>
      </c>
      <c r="M450" s="73" t="n">
        <v>0</v>
      </c>
      <c r="N450" s="73"/>
      <c r="O450" s="72"/>
      <c r="P450" s="67"/>
      <c r="Q450" s="64"/>
      <c r="R450" s="64"/>
      <c r="S450" s="64"/>
      <c r="T450" s="64"/>
      <c r="U450" s="64"/>
      <c r="V450" s="64"/>
      <c r="W450" s="64"/>
      <c r="X450" s="64"/>
      <c r="Y450" s="64"/>
      <c r="Z450" s="64"/>
      <c r="AA450" s="64"/>
    </row>
    <row r="451" customFormat="false" ht="15" hidden="false" customHeight="false" outlineLevel="0" collapsed="false">
      <c r="A451" s="65" t="n">
        <v>46304</v>
      </c>
      <c r="B451" s="66" t="s">
        <v>159</v>
      </c>
      <c r="C451" s="67" t="s">
        <v>671</v>
      </c>
      <c r="D451" s="67" t="s">
        <v>669</v>
      </c>
      <c r="E451" s="66" t="n">
        <v>159</v>
      </c>
      <c r="F451" s="66" t="n">
        <v>0</v>
      </c>
      <c r="G451" s="66" t="n">
        <v>0</v>
      </c>
      <c r="H451" s="66" t="n">
        <v>92</v>
      </c>
      <c r="I451" s="66" t="n">
        <v>0</v>
      </c>
      <c r="J451" s="66" t="n">
        <v>67</v>
      </c>
      <c r="K451" s="66" t="n">
        <v>0</v>
      </c>
      <c r="L451" s="66" t="n">
        <v>159</v>
      </c>
      <c r="M451" s="73" t="n">
        <v>0.002</v>
      </c>
      <c r="N451" s="73"/>
      <c r="O451" s="72"/>
      <c r="P451" s="67"/>
      <c r="Q451" s="64"/>
      <c r="R451" s="64"/>
      <c r="S451" s="64"/>
      <c r="T451" s="64"/>
      <c r="U451" s="64"/>
      <c r="V451" s="64"/>
      <c r="W451" s="64"/>
      <c r="X451" s="64"/>
      <c r="Y451" s="64"/>
      <c r="Z451" s="64"/>
      <c r="AA451" s="64"/>
    </row>
    <row r="452" customFormat="false" ht="15" hidden="false" customHeight="false" outlineLevel="0" collapsed="false">
      <c r="A452" s="65" t="n">
        <v>46304</v>
      </c>
      <c r="B452" s="66" t="s">
        <v>153</v>
      </c>
      <c r="C452" s="67" t="s">
        <v>698</v>
      </c>
      <c r="D452" s="67" t="s">
        <v>697</v>
      </c>
      <c r="E452" s="66" t="n">
        <v>0</v>
      </c>
      <c r="F452" s="66" t="n">
        <v>0</v>
      </c>
      <c r="G452" s="66" t="n">
        <v>0</v>
      </c>
      <c r="H452" s="66" t="n">
        <v>0</v>
      </c>
      <c r="I452" s="66" t="n">
        <v>0</v>
      </c>
      <c r="J452" s="66" t="n">
        <v>0</v>
      </c>
      <c r="K452" s="66" t="n">
        <v>0</v>
      </c>
      <c r="L452" s="66" t="n">
        <v>0</v>
      </c>
      <c r="M452" s="73" t="n">
        <v>0</v>
      </c>
      <c r="N452" s="73"/>
      <c r="O452" s="72"/>
      <c r="P452" s="67"/>
      <c r="Q452" s="64"/>
      <c r="R452" s="64"/>
      <c r="S452" s="64"/>
      <c r="T452" s="64"/>
      <c r="U452" s="64"/>
      <c r="V452" s="64"/>
      <c r="W452" s="64"/>
      <c r="X452" s="64"/>
      <c r="Y452" s="64"/>
      <c r="Z452" s="64"/>
      <c r="AA452" s="64"/>
    </row>
    <row r="453" customFormat="false" ht="15" hidden="false" customHeight="false" outlineLevel="0" collapsed="false">
      <c r="A453" s="65" t="n">
        <v>46304</v>
      </c>
      <c r="B453" s="66" t="s">
        <v>41</v>
      </c>
      <c r="C453" s="67" t="s">
        <v>671</v>
      </c>
      <c r="D453" s="67" t="s">
        <v>669</v>
      </c>
      <c r="E453" s="66" t="n">
        <v>12033</v>
      </c>
      <c r="F453" s="66" t="n">
        <v>4134</v>
      </c>
      <c r="G453" s="66" t="n">
        <v>7865</v>
      </c>
      <c r="H453" s="66" t="n">
        <v>0</v>
      </c>
      <c r="I453" s="66" t="n">
        <v>0</v>
      </c>
      <c r="J453" s="66" t="n">
        <v>0</v>
      </c>
      <c r="K453" s="66" t="n">
        <v>34</v>
      </c>
      <c r="L453" s="66" t="n">
        <v>34</v>
      </c>
      <c r="M453" s="73" t="n">
        <v>0.126</v>
      </c>
      <c r="N453" s="73"/>
      <c r="O453" s="72"/>
      <c r="P453" s="67"/>
      <c r="Q453" s="64"/>
      <c r="R453" s="64"/>
      <c r="S453" s="64"/>
      <c r="T453" s="64"/>
      <c r="U453" s="64"/>
      <c r="V453" s="64"/>
      <c r="W453" s="64"/>
      <c r="X453" s="64"/>
      <c r="Y453" s="64"/>
      <c r="Z453" s="64"/>
      <c r="AA453" s="64"/>
    </row>
    <row r="454" customFormat="false" ht="15" hidden="false" customHeight="false" outlineLevel="0" collapsed="false">
      <c r="A454" s="65" t="n">
        <v>46304</v>
      </c>
      <c r="B454" s="66" t="s">
        <v>94</v>
      </c>
      <c r="C454" s="67" t="s">
        <v>698</v>
      </c>
      <c r="D454" s="67" t="s">
        <v>697</v>
      </c>
      <c r="E454" s="66" t="n">
        <v>4472</v>
      </c>
      <c r="F454" s="66" t="n">
        <v>4010</v>
      </c>
      <c r="G454" s="66" t="n">
        <v>449</v>
      </c>
      <c r="H454" s="66" t="n">
        <v>0</v>
      </c>
      <c r="I454" s="66" t="n">
        <v>13</v>
      </c>
      <c r="J454" s="66" t="n">
        <v>0</v>
      </c>
      <c r="K454" s="66" t="n">
        <v>0</v>
      </c>
      <c r="L454" s="66" t="n">
        <v>13</v>
      </c>
      <c r="M454" s="73" t="n">
        <v>0.013</v>
      </c>
      <c r="N454" s="73"/>
      <c r="O454" s="72"/>
      <c r="P454" s="67"/>
      <c r="Q454" s="64"/>
      <c r="R454" s="64"/>
      <c r="S454" s="64"/>
      <c r="T454" s="64"/>
      <c r="U454" s="64"/>
      <c r="V454" s="64"/>
      <c r="W454" s="64"/>
      <c r="X454" s="64"/>
      <c r="Y454" s="64"/>
      <c r="Z454" s="64"/>
      <c r="AA454" s="64"/>
    </row>
    <row r="455" customFormat="false" ht="15" hidden="false" customHeight="false" outlineLevel="0" collapsed="false">
      <c r="A455" s="65" t="n">
        <v>46304</v>
      </c>
      <c r="B455" s="66" t="s">
        <v>423</v>
      </c>
      <c r="C455" s="67" t="s">
        <v>698</v>
      </c>
      <c r="D455" s="67" t="s">
        <v>697</v>
      </c>
      <c r="E455" s="66" t="n">
        <v>0</v>
      </c>
      <c r="F455" s="66" t="n">
        <v>0</v>
      </c>
      <c r="G455" s="66" t="n">
        <v>0</v>
      </c>
      <c r="H455" s="66" t="n">
        <v>0</v>
      </c>
      <c r="I455" s="66" t="n">
        <v>0</v>
      </c>
      <c r="J455" s="66" t="n">
        <v>0</v>
      </c>
      <c r="K455" s="66" t="n">
        <v>0</v>
      </c>
      <c r="L455" s="66" t="n">
        <v>0</v>
      </c>
      <c r="M455" s="73" t="n">
        <v>0</v>
      </c>
      <c r="N455" s="73"/>
      <c r="O455" s="72"/>
      <c r="P455" s="67"/>
      <c r="Q455" s="64"/>
      <c r="R455" s="64"/>
      <c r="S455" s="64"/>
      <c r="T455" s="64"/>
      <c r="U455" s="64"/>
      <c r="V455" s="64"/>
      <c r="W455" s="64"/>
      <c r="X455" s="64"/>
      <c r="Y455" s="64"/>
      <c r="Z455" s="64"/>
      <c r="AA455" s="64"/>
    </row>
    <row r="456" customFormat="false" ht="15" hidden="false" customHeight="false" outlineLevel="0" collapsed="false">
      <c r="A456" s="65" t="n">
        <v>46304</v>
      </c>
      <c r="B456" s="66" t="s">
        <v>33</v>
      </c>
      <c r="C456" s="67" t="s">
        <v>678</v>
      </c>
      <c r="D456" s="67" t="s">
        <v>677</v>
      </c>
      <c r="E456" s="66" t="n">
        <v>0</v>
      </c>
      <c r="F456" s="66" t="n">
        <v>0</v>
      </c>
      <c r="G456" s="66" t="n">
        <v>0</v>
      </c>
      <c r="H456" s="66" t="n">
        <v>0</v>
      </c>
      <c r="I456" s="66" t="n">
        <v>0</v>
      </c>
      <c r="J456" s="66" t="n">
        <v>0</v>
      </c>
      <c r="K456" s="66" t="n">
        <v>0</v>
      </c>
      <c r="L456" s="66" t="n">
        <v>0</v>
      </c>
      <c r="M456" s="44"/>
      <c r="N456" s="44"/>
      <c r="O456" s="72"/>
      <c r="P456" s="67"/>
      <c r="Q456" s="64"/>
      <c r="R456" s="64"/>
      <c r="S456" s="64"/>
      <c r="T456" s="64"/>
      <c r="U456" s="64"/>
      <c r="V456" s="64"/>
      <c r="W456" s="64"/>
      <c r="X456" s="64"/>
      <c r="Y456" s="64"/>
      <c r="Z456" s="64"/>
      <c r="AA456" s="64"/>
    </row>
    <row r="457" customFormat="false" ht="15" hidden="false" customHeight="false" outlineLevel="0" collapsed="false">
      <c r="A457" s="65" t="n">
        <v>46304</v>
      </c>
      <c r="B457" s="66" t="s">
        <v>259</v>
      </c>
      <c r="C457" s="67" t="s">
        <v>683</v>
      </c>
      <c r="D457" s="67" t="s">
        <v>682</v>
      </c>
      <c r="E457" s="66" t="n">
        <v>822</v>
      </c>
      <c r="F457" s="66" t="n">
        <v>0</v>
      </c>
      <c r="G457" s="66" t="n">
        <v>822</v>
      </c>
      <c r="H457" s="66" t="n">
        <v>0</v>
      </c>
      <c r="I457" s="66" t="n">
        <v>0</v>
      </c>
      <c r="J457" s="66" t="n">
        <v>0</v>
      </c>
      <c r="K457" s="66" t="n">
        <v>0</v>
      </c>
      <c r="L457" s="66" t="n">
        <v>0</v>
      </c>
      <c r="M457" s="73" t="n">
        <v>0.003</v>
      </c>
      <c r="N457" s="44" t="s">
        <v>839</v>
      </c>
      <c r="O457" s="72"/>
      <c r="P457" s="67"/>
      <c r="Q457" s="64"/>
      <c r="R457" s="64"/>
      <c r="S457" s="64"/>
      <c r="T457" s="64"/>
      <c r="U457" s="64"/>
      <c r="V457" s="64"/>
      <c r="W457" s="64"/>
      <c r="X457" s="64"/>
      <c r="Y457" s="64"/>
      <c r="Z457" s="64"/>
      <c r="AA457" s="64"/>
    </row>
    <row r="458" customFormat="false" ht="15" hidden="false" customHeight="false" outlineLevel="0" collapsed="false">
      <c r="A458" s="65" t="n">
        <v>46304</v>
      </c>
      <c r="B458" s="66" t="s">
        <v>416</v>
      </c>
      <c r="C458" s="67" t="s">
        <v>672</v>
      </c>
      <c r="D458" s="67" t="s">
        <v>669</v>
      </c>
      <c r="E458" s="66" t="n">
        <v>1941</v>
      </c>
      <c r="F458" s="66" t="n">
        <v>334</v>
      </c>
      <c r="G458" s="66" t="n">
        <v>1607</v>
      </c>
      <c r="H458" s="66" t="n">
        <v>0</v>
      </c>
      <c r="I458" s="66" t="n">
        <v>0</v>
      </c>
      <c r="J458" s="66" t="n">
        <v>0</v>
      </c>
      <c r="K458" s="66" t="n">
        <v>0</v>
      </c>
      <c r="L458" s="66" t="n">
        <v>0</v>
      </c>
      <c r="M458" s="73" t="n">
        <v>0.005</v>
      </c>
      <c r="N458" s="73"/>
      <c r="O458" s="72"/>
      <c r="P458" s="67"/>
      <c r="Q458" s="64"/>
      <c r="R458" s="64"/>
      <c r="S458" s="64"/>
      <c r="T458" s="64"/>
      <c r="U458" s="64"/>
      <c r="V458" s="64"/>
      <c r="W458" s="64"/>
      <c r="X458" s="64"/>
      <c r="Y458" s="64"/>
      <c r="Z458" s="64"/>
      <c r="AA458" s="64"/>
    </row>
    <row r="459" customFormat="false" ht="15" hidden="false" customHeight="false" outlineLevel="0" collapsed="false">
      <c r="A459" s="65" t="n">
        <v>46304</v>
      </c>
      <c r="B459" s="66" t="s">
        <v>334</v>
      </c>
      <c r="C459" s="67" t="s">
        <v>676</v>
      </c>
      <c r="D459" s="67" t="s">
        <v>677</v>
      </c>
      <c r="E459" s="66" t="n">
        <v>73</v>
      </c>
      <c r="F459" s="66" t="n">
        <v>53</v>
      </c>
      <c r="G459" s="66" t="n">
        <v>0</v>
      </c>
      <c r="H459" s="66" t="n">
        <v>20</v>
      </c>
      <c r="I459" s="66" t="n">
        <v>0</v>
      </c>
      <c r="J459" s="66" t="n">
        <v>0</v>
      </c>
      <c r="K459" s="66" t="n">
        <v>0</v>
      </c>
      <c r="L459" s="66" t="n">
        <v>20</v>
      </c>
      <c r="M459" s="73" t="n">
        <v>0.001</v>
      </c>
      <c r="N459" s="73"/>
      <c r="O459" s="72"/>
      <c r="P459" s="67"/>
      <c r="Q459" s="64"/>
      <c r="R459" s="64"/>
      <c r="S459" s="64"/>
      <c r="T459" s="64"/>
      <c r="U459" s="64"/>
      <c r="V459" s="64"/>
      <c r="W459" s="64"/>
      <c r="X459" s="64"/>
      <c r="Y459" s="64"/>
      <c r="Z459" s="64"/>
      <c r="AA459" s="64"/>
    </row>
    <row r="460" customFormat="false" ht="15" hidden="false" customHeight="false" outlineLevel="0" collapsed="false">
      <c r="A460" s="65" t="n">
        <v>46304</v>
      </c>
      <c r="B460" s="66" t="s">
        <v>267</v>
      </c>
      <c r="C460" s="67" t="s">
        <v>687</v>
      </c>
      <c r="D460" s="67" t="s">
        <v>686</v>
      </c>
      <c r="E460" s="66" t="n">
        <v>976</v>
      </c>
      <c r="F460" s="66" t="n">
        <v>115</v>
      </c>
      <c r="G460" s="66" t="n">
        <v>861</v>
      </c>
      <c r="H460" s="66" t="n">
        <v>0</v>
      </c>
      <c r="I460" s="66" t="n">
        <v>0</v>
      </c>
      <c r="J460" s="66" t="n">
        <v>0</v>
      </c>
      <c r="K460" s="66" t="n">
        <v>0</v>
      </c>
      <c r="L460" s="66" t="n">
        <v>0</v>
      </c>
      <c r="M460" s="73" t="n">
        <v>0.01</v>
      </c>
      <c r="N460" s="73"/>
      <c r="O460" s="72"/>
      <c r="P460" s="67"/>
      <c r="Q460" s="64"/>
      <c r="R460" s="64"/>
      <c r="S460" s="64"/>
      <c r="T460" s="64"/>
      <c r="U460" s="64"/>
      <c r="V460" s="64"/>
      <c r="W460" s="64"/>
      <c r="X460" s="64"/>
      <c r="Y460" s="64"/>
      <c r="Z460" s="64"/>
      <c r="AA460" s="64"/>
    </row>
    <row r="461" customFormat="false" ht="15" hidden="false" customHeight="false" outlineLevel="0" collapsed="false">
      <c r="A461" s="65" t="n">
        <v>46304</v>
      </c>
      <c r="B461" s="66" t="s">
        <v>294</v>
      </c>
      <c r="C461" s="67" t="s">
        <v>678</v>
      </c>
      <c r="D461" s="67" t="s">
        <v>677</v>
      </c>
      <c r="E461" s="66" t="n">
        <v>1801</v>
      </c>
      <c r="F461" s="66" t="n">
        <v>0</v>
      </c>
      <c r="G461" s="66" t="n">
        <v>1801</v>
      </c>
      <c r="H461" s="66" t="n">
        <v>0</v>
      </c>
      <c r="I461" s="66" t="n">
        <v>0</v>
      </c>
      <c r="J461" s="66" t="n">
        <v>0</v>
      </c>
      <c r="K461" s="66" t="n">
        <v>0</v>
      </c>
      <c r="L461" s="66" t="n">
        <v>0</v>
      </c>
      <c r="M461" s="73" t="n">
        <v>0.015</v>
      </c>
      <c r="N461" s="73"/>
      <c r="O461" s="72"/>
      <c r="P461" s="67"/>
      <c r="Q461" s="64"/>
      <c r="R461" s="64"/>
      <c r="S461" s="64"/>
      <c r="T461" s="64"/>
      <c r="U461" s="64"/>
      <c r="V461" s="64"/>
      <c r="W461" s="64"/>
      <c r="X461" s="64"/>
      <c r="Y461" s="64"/>
      <c r="Z461" s="64"/>
      <c r="AA461" s="64"/>
    </row>
    <row r="462" customFormat="false" ht="25.35" hidden="false" customHeight="false" outlineLevel="0" collapsed="false">
      <c r="A462" s="65" t="n">
        <v>46304</v>
      </c>
      <c r="B462" s="66" t="s">
        <v>208</v>
      </c>
      <c r="C462" s="67" t="s">
        <v>702</v>
      </c>
      <c r="D462" s="67" t="s">
        <v>703</v>
      </c>
      <c r="E462" s="66" t="n">
        <v>14497</v>
      </c>
      <c r="F462" s="66" t="n">
        <v>2532</v>
      </c>
      <c r="G462" s="66" t="n">
        <v>8142</v>
      </c>
      <c r="H462" s="66" t="n">
        <v>135</v>
      </c>
      <c r="I462" s="66" t="n">
        <v>3137</v>
      </c>
      <c r="J462" s="66" t="n">
        <v>36</v>
      </c>
      <c r="K462" s="66" t="n">
        <v>515</v>
      </c>
      <c r="L462" s="66" t="n">
        <v>3823</v>
      </c>
      <c r="M462" s="73" t="n">
        <v>0.051</v>
      </c>
      <c r="N462" s="44" t="s">
        <v>874</v>
      </c>
      <c r="O462" s="72" t="s">
        <v>939</v>
      </c>
      <c r="P462" s="67" t="s">
        <v>940</v>
      </c>
      <c r="Q462" s="64"/>
      <c r="R462" s="64"/>
      <c r="S462" s="64"/>
      <c r="T462" s="64"/>
      <c r="U462" s="64"/>
      <c r="V462" s="64"/>
      <c r="W462" s="64"/>
      <c r="X462" s="64"/>
      <c r="Y462" s="64"/>
      <c r="Z462" s="64"/>
      <c r="AA462" s="64"/>
    </row>
    <row r="463" customFormat="false" ht="15" hidden="false" customHeight="false" outlineLevel="0" collapsed="false">
      <c r="A463" s="65" t="n">
        <v>46304</v>
      </c>
      <c r="B463" s="66" t="s">
        <v>498</v>
      </c>
      <c r="C463" s="67" t="s">
        <v>685</v>
      </c>
      <c r="D463" s="67" t="s">
        <v>686</v>
      </c>
      <c r="E463" s="66" t="n">
        <v>647</v>
      </c>
      <c r="F463" s="66" t="n">
        <v>0</v>
      </c>
      <c r="G463" s="66" t="n">
        <v>616</v>
      </c>
      <c r="H463" s="66" t="n">
        <v>0</v>
      </c>
      <c r="I463" s="66" t="n">
        <v>0</v>
      </c>
      <c r="J463" s="66" t="n">
        <v>0</v>
      </c>
      <c r="K463" s="66" t="n">
        <v>31</v>
      </c>
      <c r="L463" s="66" t="n">
        <v>31</v>
      </c>
      <c r="M463" s="73" t="n">
        <v>0.002</v>
      </c>
      <c r="N463" s="73"/>
      <c r="O463" s="72"/>
      <c r="P463" s="67"/>
      <c r="Q463" s="64"/>
      <c r="R463" s="64"/>
      <c r="S463" s="64"/>
      <c r="T463" s="64"/>
      <c r="U463" s="64"/>
      <c r="V463" s="64"/>
      <c r="W463" s="64"/>
      <c r="X463" s="64"/>
      <c r="Y463" s="64"/>
      <c r="Z463" s="64"/>
      <c r="AA463" s="64"/>
    </row>
    <row r="464" customFormat="false" ht="15" hidden="false" customHeight="false" outlineLevel="0" collapsed="false">
      <c r="A464" s="65" t="n">
        <v>46304</v>
      </c>
      <c r="B464" s="66" t="s">
        <v>405</v>
      </c>
      <c r="C464" s="67" t="s">
        <v>685</v>
      </c>
      <c r="D464" s="67" t="s">
        <v>686</v>
      </c>
      <c r="E464" s="66" t="n">
        <v>3034</v>
      </c>
      <c r="F464" s="66" t="n">
        <v>0</v>
      </c>
      <c r="G464" s="66" t="n">
        <v>2969</v>
      </c>
      <c r="H464" s="66" t="n">
        <v>0</v>
      </c>
      <c r="I464" s="66" t="n">
        <v>49</v>
      </c>
      <c r="J464" s="66" t="n">
        <v>0</v>
      </c>
      <c r="K464" s="66" t="n">
        <v>16</v>
      </c>
      <c r="L464" s="66" t="n">
        <v>65</v>
      </c>
      <c r="M464" s="73" t="n">
        <v>0.003</v>
      </c>
      <c r="N464" s="73"/>
      <c r="O464" s="72"/>
      <c r="P464" s="67"/>
      <c r="Q464" s="64"/>
      <c r="R464" s="64"/>
      <c r="S464" s="64"/>
      <c r="T464" s="64"/>
      <c r="U464" s="64"/>
      <c r="V464" s="64"/>
      <c r="W464" s="64"/>
      <c r="X464" s="64"/>
      <c r="Y464" s="64"/>
      <c r="Z464" s="64"/>
      <c r="AA464" s="64"/>
    </row>
    <row r="465" customFormat="false" ht="15" hidden="false" customHeight="false" outlineLevel="0" collapsed="false">
      <c r="A465" s="65" t="n">
        <v>46304</v>
      </c>
      <c r="B465" s="66" t="s">
        <v>477</v>
      </c>
      <c r="C465" s="67" t="s">
        <v>690</v>
      </c>
      <c r="D465" s="67" t="s">
        <v>690</v>
      </c>
      <c r="E465" s="66"/>
      <c r="F465" s="66"/>
      <c r="G465" s="66"/>
      <c r="H465" s="66"/>
      <c r="I465" s="66"/>
      <c r="J465" s="66"/>
      <c r="K465" s="66"/>
      <c r="L465" s="66" t="n">
        <v>0</v>
      </c>
      <c r="M465" s="44"/>
      <c r="N465" s="44"/>
      <c r="O465" s="72"/>
      <c r="P465" s="67"/>
      <c r="Q465" s="64"/>
      <c r="R465" s="64"/>
      <c r="S465" s="64"/>
      <c r="T465" s="64"/>
      <c r="U465" s="64"/>
      <c r="V465" s="64"/>
      <c r="W465" s="64"/>
      <c r="X465" s="64"/>
      <c r="Y465" s="64"/>
      <c r="Z465" s="64"/>
      <c r="AA465" s="64"/>
    </row>
    <row r="466" customFormat="false" ht="15" hidden="false" customHeight="false" outlineLevel="0" collapsed="false">
      <c r="A466" s="65" t="n">
        <v>46304</v>
      </c>
      <c r="B466" s="66" t="s">
        <v>427</v>
      </c>
      <c r="C466" s="67" t="s">
        <v>707</v>
      </c>
      <c r="D466" s="67" t="s">
        <v>706</v>
      </c>
      <c r="E466" s="66" t="n">
        <v>0</v>
      </c>
      <c r="F466" s="66" t="n">
        <v>0</v>
      </c>
      <c r="G466" s="66" t="n">
        <v>0</v>
      </c>
      <c r="H466" s="66" t="n">
        <v>0</v>
      </c>
      <c r="I466" s="66" t="n">
        <v>0</v>
      </c>
      <c r="J466" s="66" t="n">
        <v>0</v>
      </c>
      <c r="K466" s="66" t="n">
        <v>0</v>
      </c>
      <c r="L466" s="66" t="n">
        <v>0</v>
      </c>
      <c r="M466" s="73" t="n">
        <v>0</v>
      </c>
      <c r="N466" s="73"/>
      <c r="O466" s="72"/>
      <c r="P466" s="67"/>
      <c r="Q466" s="64"/>
      <c r="R466" s="64"/>
      <c r="S466" s="64"/>
      <c r="T466" s="64"/>
      <c r="U466" s="64"/>
      <c r="V466" s="64"/>
      <c r="W466" s="64"/>
      <c r="X466" s="64"/>
      <c r="Y466" s="64"/>
      <c r="Z466" s="64"/>
      <c r="AA466" s="64"/>
    </row>
    <row r="467" customFormat="false" ht="15" hidden="false" customHeight="false" outlineLevel="0" collapsed="false">
      <c r="A467" s="65" t="n">
        <v>46304</v>
      </c>
      <c r="B467" s="66" t="s">
        <v>345</v>
      </c>
      <c r="C467" s="67" t="s">
        <v>707</v>
      </c>
      <c r="D467" s="67" t="s">
        <v>706</v>
      </c>
      <c r="E467" s="66" t="n">
        <v>0</v>
      </c>
      <c r="F467" s="66" t="n">
        <v>0</v>
      </c>
      <c r="G467" s="66" t="n">
        <v>0</v>
      </c>
      <c r="H467" s="66" t="n">
        <v>0</v>
      </c>
      <c r="I467" s="66" t="n">
        <v>0</v>
      </c>
      <c r="J467" s="66" t="n">
        <v>0</v>
      </c>
      <c r="K467" s="66" t="n">
        <v>0</v>
      </c>
      <c r="L467" s="66" t="n">
        <v>0</v>
      </c>
      <c r="M467" s="73" t="n">
        <v>0</v>
      </c>
      <c r="N467" s="73"/>
      <c r="O467" s="72"/>
      <c r="P467" s="67"/>
      <c r="Q467" s="64"/>
      <c r="R467" s="64"/>
      <c r="S467" s="64"/>
      <c r="T467" s="64"/>
      <c r="U467" s="64"/>
      <c r="V467" s="64"/>
      <c r="W467" s="64"/>
      <c r="X467" s="64"/>
      <c r="Y467" s="64"/>
      <c r="Z467" s="64"/>
      <c r="AA467" s="64"/>
    </row>
    <row r="468" customFormat="false" ht="15" hidden="false" customHeight="false" outlineLevel="0" collapsed="false">
      <c r="A468" s="65" t="n">
        <v>46304</v>
      </c>
      <c r="B468" s="66" t="s">
        <v>475</v>
      </c>
      <c r="C468" s="67" t="s">
        <v>707</v>
      </c>
      <c r="D468" s="67" t="s">
        <v>706</v>
      </c>
      <c r="E468" s="66" t="n">
        <v>11</v>
      </c>
      <c r="F468" s="66" t="n">
        <v>11</v>
      </c>
      <c r="G468" s="66" t="n">
        <v>0</v>
      </c>
      <c r="H468" s="66" t="n">
        <v>0</v>
      </c>
      <c r="I468" s="66" t="n">
        <v>0</v>
      </c>
      <c r="J468" s="66" t="n">
        <v>0</v>
      </c>
      <c r="K468" s="66" t="n">
        <v>0</v>
      </c>
      <c r="L468" s="66" t="n">
        <v>0</v>
      </c>
      <c r="M468" s="73" t="n">
        <v>0</v>
      </c>
      <c r="N468" s="73"/>
      <c r="O468" s="72"/>
      <c r="P468" s="67"/>
      <c r="Q468" s="64"/>
      <c r="R468" s="64"/>
      <c r="S468" s="64"/>
      <c r="T468" s="64"/>
      <c r="U468" s="64"/>
      <c r="V468" s="64"/>
      <c r="W468" s="64"/>
      <c r="X468" s="64"/>
      <c r="Y468" s="64"/>
      <c r="Z468" s="64"/>
      <c r="AA468" s="64"/>
    </row>
    <row r="469" customFormat="false" ht="15" hidden="false" customHeight="false" outlineLevel="0" collapsed="false">
      <c r="A469" s="65" t="n">
        <v>46304</v>
      </c>
      <c r="B469" s="66" t="s">
        <v>391</v>
      </c>
      <c r="C469" s="67" t="s">
        <v>707</v>
      </c>
      <c r="D469" s="67" t="s">
        <v>706</v>
      </c>
      <c r="E469" s="66" t="n">
        <v>0</v>
      </c>
      <c r="F469" s="66" t="n">
        <v>0</v>
      </c>
      <c r="G469" s="66" t="n">
        <v>0</v>
      </c>
      <c r="H469" s="66" t="n">
        <v>0</v>
      </c>
      <c r="I469" s="66" t="n">
        <v>0</v>
      </c>
      <c r="J469" s="66" t="n">
        <v>0</v>
      </c>
      <c r="K469" s="66" t="n">
        <v>0</v>
      </c>
      <c r="L469" s="66" t="n">
        <v>0</v>
      </c>
      <c r="M469" s="73" t="n">
        <v>0</v>
      </c>
      <c r="N469" s="73"/>
      <c r="O469" s="72"/>
      <c r="P469" s="67"/>
      <c r="Q469" s="64"/>
      <c r="R469" s="64"/>
      <c r="S469" s="64"/>
      <c r="T469" s="64"/>
      <c r="U469" s="64"/>
      <c r="V469" s="64"/>
      <c r="W469" s="64"/>
      <c r="X469" s="64"/>
      <c r="Y469" s="64"/>
      <c r="Z469" s="64"/>
      <c r="AA469" s="64"/>
    </row>
    <row r="470" customFormat="false" ht="15" hidden="false" customHeight="false" outlineLevel="0" collapsed="false">
      <c r="A470" s="65" t="n">
        <v>46304</v>
      </c>
      <c r="B470" s="66" t="s">
        <v>304</v>
      </c>
      <c r="C470" s="67" t="s">
        <v>707</v>
      </c>
      <c r="D470" s="67" t="s">
        <v>706</v>
      </c>
      <c r="E470" s="66" t="n">
        <v>0</v>
      </c>
      <c r="F470" s="66" t="n">
        <v>0</v>
      </c>
      <c r="G470" s="66" t="n">
        <v>0</v>
      </c>
      <c r="H470" s="66" t="n">
        <v>0</v>
      </c>
      <c r="I470" s="66" t="n">
        <v>0</v>
      </c>
      <c r="J470" s="66" t="n">
        <v>0</v>
      </c>
      <c r="K470" s="66" t="n">
        <v>0</v>
      </c>
      <c r="L470" s="66" t="n">
        <v>0</v>
      </c>
      <c r="M470" s="73" t="n">
        <v>0</v>
      </c>
      <c r="N470" s="73"/>
      <c r="O470" s="72"/>
      <c r="P470" s="67"/>
      <c r="Q470" s="64"/>
      <c r="R470" s="64"/>
      <c r="S470" s="64"/>
      <c r="T470" s="64"/>
      <c r="U470" s="64"/>
      <c r="V470" s="64"/>
      <c r="W470" s="64"/>
      <c r="X470" s="64"/>
      <c r="Y470" s="64"/>
      <c r="Z470" s="64"/>
      <c r="AA470" s="64"/>
    </row>
    <row r="471" customFormat="false" ht="15" hidden="false" customHeight="false" outlineLevel="0" collapsed="false">
      <c r="A471" s="65" t="n">
        <v>46304</v>
      </c>
      <c r="B471" s="66" t="s">
        <v>319</v>
      </c>
      <c r="C471" s="67" t="s">
        <v>707</v>
      </c>
      <c r="D471" s="67" t="s">
        <v>706</v>
      </c>
      <c r="E471" s="66" t="n">
        <v>1844</v>
      </c>
      <c r="F471" s="66" t="n">
        <v>0</v>
      </c>
      <c r="G471" s="66" t="n">
        <v>0</v>
      </c>
      <c r="H471" s="66" t="n">
        <v>1844</v>
      </c>
      <c r="I471" s="66" t="n">
        <v>0</v>
      </c>
      <c r="J471" s="66" t="n">
        <v>0</v>
      </c>
      <c r="K471" s="66" t="n">
        <v>0</v>
      </c>
      <c r="L471" s="66" t="n">
        <v>1844</v>
      </c>
      <c r="M471" s="73" t="n">
        <v>0.022</v>
      </c>
      <c r="N471" s="44" t="s">
        <v>883</v>
      </c>
      <c r="O471" s="72" t="s">
        <v>941</v>
      </c>
      <c r="P471" s="67"/>
      <c r="Q471" s="64"/>
      <c r="R471" s="64"/>
      <c r="S471" s="64"/>
      <c r="T471" s="64"/>
      <c r="U471" s="64"/>
      <c r="V471" s="64"/>
      <c r="W471" s="64"/>
      <c r="X471" s="64"/>
      <c r="Y471" s="64"/>
      <c r="Z471" s="64"/>
      <c r="AA471" s="64"/>
    </row>
    <row r="472" customFormat="false" ht="15" hidden="false" customHeight="false" outlineLevel="0" collapsed="false">
      <c r="A472" s="65" t="n">
        <v>46304</v>
      </c>
      <c r="B472" s="66" t="s">
        <v>399</v>
      </c>
      <c r="C472" s="67" t="s">
        <v>707</v>
      </c>
      <c r="D472" s="67" t="s">
        <v>706</v>
      </c>
      <c r="E472" s="66" t="n">
        <v>0</v>
      </c>
      <c r="F472" s="66" t="n">
        <v>0</v>
      </c>
      <c r="G472" s="66" t="n">
        <v>0</v>
      </c>
      <c r="H472" s="66" t="n">
        <v>0</v>
      </c>
      <c r="I472" s="66" t="n">
        <v>0</v>
      </c>
      <c r="J472" s="66" t="n">
        <v>0</v>
      </c>
      <c r="K472" s="66" t="n">
        <v>0</v>
      </c>
      <c r="L472" s="66" t="n">
        <v>0</v>
      </c>
      <c r="M472" s="73" t="n">
        <v>0</v>
      </c>
      <c r="N472" s="73"/>
      <c r="O472" s="72"/>
      <c r="P472" s="67"/>
      <c r="Q472" s="64"/>
      <c r="R472" s="64"/>
      <c r="S472" s="64"/>
      <c r="T472" s="64"/>
      <c r="U472" s="64"/>
      <c r="V472" s="64"/>
      <c r="W472" s="64"/>
      <c r="X472" s="64"/>
      <c r="Y472" s="64"/>
      <c r="Z472" s="64"/>
      <c r="AA472" s="64"/>
    </row>
    <row r="473" customFormat="false" ht="15" hidden="false" customHeight="false" outlineLevel="0" collapsed="false">
      <c r="A473" s="65" t="n">
        <v>46304</v>
      </c>
      <c r="B473" s="66" t="s">
        <v>458</v>
      </c>
      <c r="C473" s="67" t="s">
        <v>707</v>
      </c>
      <c r="D473" s="67" t="s">
        <v>706</v>
      </c>
      <c r="E473" s="66" t="n">
        <v>0</v>
      </c>
      <c r="F473" s="66" t="n">
        <v>0</v>
      </c>
      <c r="G473" s="66" t="n">
        <v>0</v>
      </c>
      <c r="H473" s="66" t="n">
        <v>0</v>
      </c>
      <c r="I473" s="66" t="n">
        <v>0</v>
      </c>
      <c r="J473" s="66" t="n">
        <v>0</v>
      </c>
      <c r="K473" s="66" t="n">
        <v>0</v>
      </c>
      <c r="L473" s="66" t="n">
        <v>0</v>
      </c>
      <c r="M473" s="73" t="n">
        <v>0</v>
      </c>
      <c r="N473" s="73"/>
      <c r="O473" s="72"/>
      <c r="P473" s="67"/>
      <c r="Q473" s="64"/>
      <c r="R473" s="64"/>
      <c r="S473" s="64"/>
      <c r="T473" s="64"/>
      <c r="U473" s="64"/>
      <c r="V473" s="64"/>
      <c r="W473" s="64"/>
      <c r="X473" s="64"/>
      <c r="Y473" s="64"/>
      <c r="Z473" s="64"/>
      <c r="AA473" s="64"/>
    </row>
    <row r="474" customFormat="false" ht="15" hidden="false" customHeight="false" outlineLevel="0" collapsed="false">
      <c r="A474" s="65" t="n">
        <v>46304</v>
      </c>
      <c r="B474" s="66" t="s">
        <v>520</v>
      </c>
      <c r="C474" s="67" t="s">
        <v>707</v>
      </c>
      <c r="D474" s="67" t="s">
        <v>706</v>
      </c>
      <c r="E474" s="66" t="n">
        <v>0</v>
      </c>
      <c r="F474" s="66" t="n">
        <v>0</v>
      </c>
      <c r="G474" s="66" t="n">
        <v>0</v>
      </c>
      <c r="H474" s="66" t="n">
        <v>0</v>
      </c>
      <c r="I474" s="66" t="n">
        <v>0</v>
      </c>
      <c r="J474" s="66" t="n">
        <v>0</v>
      </c>
      <c r="K474" s="66" t="n">
        <v>0</v>
      </c>
      <c r="L474" s="66" t="n">
        <v>0</v>
      </c>
      <c r="M474" s="73" t="n">
        <v>0</v>
      </c>
      <c r="N474" s="73"/>
      <c r="O474" s="72"/>
      <c r="P474" s="67"/>
      <c r="Q474" s="64"/>
      <c r="R474" s="64"/>
      <c r="S474" s="64"/>
      <c r="T474" s="64"/>
      <c r="U474" s="64"/>
      <c r="V474" s="64"/>
      <c r="W474" s="64"/>
      <c r="X474" s="64"/>
      <c r="Y474" s="64"/>
      <c r="Z474" s="64"/>
      <c r="AA474" s="64"/>
    </row>
    <row r="475" customFormat="false" ht="15" hidden="false" customHeight="false" outlineLevel="0" collapsed="false">
      <c r="A475" s="65" t="n">
        <v>46304</v>
      </c>
      <c r="B475" s="66" t="s">
        <v>447</v>
      </c>
      <c r="C475" s="67" t="s">
        <v>707</v>
      </c>
      <c r="D475" s="67" t="s">
        <v>706</v>
      </c>
      <c r="E475" s="66" t="n">
        <v>6</v>
      </c>
      <c r="F475" s="66" t="n">
        <v>0</v>
      </c>
      <c r="G475" s="66" t="n">
        <v>0</v>
      </c>
      <c r="H475" s="66" t="n">
        <v>6</v>
      </c>
      <c r="I475" s="66" t="n">
        <v>0</v>
      </c>
      <c r="J475" s="66" t="n">
        <v>0</v>
      </c>
      <c r="K475" s="66" t="n">
        <v>0</v>
      </c>
      <c r="L475" s="66" t="n">
        <v>6</v>
      </c>
      <c r="M475" s="73" t="n">
        <v>0.001</v>
      </c>
      <c r="N475" s="73"/>
      <c r="O475" s="72"/>
      <c r="P475" s="67"/>
      <c r="Q475" s="64"/>
      <c r="R475" s="64"/>
      <c r="S475" s="64"/>
      <c r="T475" s="64"/>
      <c r="U475" s="64"/>
      <c r="V475" s="64"/>
      <c r="W475" s="64"/>
      <c r="X475" s="64"/>
      <c r="Y475" s="64"/>
      <c r="Z475" s="64"/>
      <c r="AA475" s="64"/>
    </row>
    <row r="476" customFormat="false" ht="15" hidden="false" customHeight="false" outlineLevel="0" collapsed="false">
      <c r="A476" s="65" t="n">
        <v>46304</v>
      </c>
      <c r="B476" s="66" t="s">
        <v>400</v>
      </c>
      <c r="C476" s="67" t="s">
        <v>691</v>
      </c>
      <c r="D476" s="67" t="s">
        <v>692</v>
      </c>
      <c r="E476" s="66" t="n">
        <v>202</v>
      </c>
      <c r="F476" s="66" t="n">
        <v>0</v>
      </c>
      <c r="G476" s="66" t="n">
        <v>202</v>
      </c>
      <c r="H476" s="66" t="n">
        <v>0</v>
      </c>
      <c r="I476" s="66" t="n">
        <v>0</v>
      </c>
      <c r="J476" s="66" t="n">
        <v>0</v>
      </c>
      <c r="K476" s="66" t="n">
        <v>0</v>
      </c>
      <c r="L476" s="66" t="n">
        <v>0</v>
      </c>
      <c r="M476" s="73" t="n">
        <v>0.003</v>
      </c>
      <c r="N476" s="73"/>
      <c r="O476" s="72"/>
      <c r="P476" s="67"/>
      <c r="Q476" s="64"/>
      <c r="R476" s="64"/>
      <c r="S476" s="64"/>
      <c r="T476" s="64"/>
      <c r="U476" s="64"/>
      <c r="V476" s="64"/>
      <c r="W476" s="64"/>
      <c r="X476" s="64"/>
      <c r="Y476" s="64"/>
      <c r="Z476" s="64"/>
      <c r="AA476" s="64"/>
    </row>
    <row r="477" customFormat="false" ht="15" hidden="false" customHeight="false" outlineLevel="0" collapsed="false">
      <c r="A477" s="65" t="n">
        <v>46304</v>
      </c>
      <c r="B477" s="66" t="s">
        <v>395</v>
      </c>
      <c r="C477" s="67" t="s">
        <v>691</v>
      </c>
      <c r="D477" s="67" t="s">
        <v>692</v>
      </c>
      <c r="E477" s="66" t="n">
        <v>0</v>
      </c>
      <c r="F477" s="66" t="n">
        <v>0</v>
      </c>
      <c r="G477" s="66" t="n">
        <v>0</v>
      </c>
      <c r="H477" s="66" t="n">
        <v>0</v>
      </c>
      <c r="I477" s="66" t="n">
        <v>0</v>
      </c>
      <c r="J477" s="66" t="n">
        <v>0</v>
      </c>
      <c r="K477" s="66" t="n">
        <v>0</v>
      </c>
      <c r="L477" s="66" t="n">
        <v>0</v>
      </c>
      <c r="M477" s="73" t="n">
        <v>0</v>
      </c>
      <c r="N477" s="73"/>
      <c r="O477" s="72"/>
      <c r="P477" s="67"/>
      <c r="Q477" s="64"/>
      <c r="R477" s="64"/>
      <c r="S477" s="64"/>
      <c r="T477" s="64"/>
      <c r="U477" s="64"/>
      <c r="V477" s="64"/>
      <c r="W477" s="64"/>
      <c r="X477" s="64"/>
      <c r="Y477" s="64"/>
      <c r="Z477" s="64"/>
      <c r="AA477" s="64"/>
    </row>
    <row r="478" customFormat="false" ht="15" hidden="false" customHeight="false" outlineLevel="0" collapsed="false">
      <c r="A478" s="65" t="n">
        <v>46304</v>
      </c>
      <c r="B478" s="66" t="s">
        <v>178</v>
      </c>
      <c r="C478" s="67" t="s">
        <v>687</v>
      </c>
      <c r="D478" s="67" t="s">
        <v>686</v>
      </c>
      <c r="E478" s="66" t="n">
        <v>6029</v>
      </c>
      <c r="F478" s="66" t="n">
        <v>0</v>
      </c>
      <c r="G478" s="66" t="n">
        <v>4201</v>
      </c>
      <c r="H478" s="66" t="n">
        <v>29</v>
      </c>
      <c r="I478" s="66" t="n">
        <v>1799</v>
      </c>
      <c r="J478" s="66" t="n">
        <v>0</v>
      </c>
      <c r="K478" s="66" t="n">
        <v>0</v>
      </c>
      <c r="L478" s="66" t="n">
        <v>1828</v>
      </c>
      <c r="M478" s="73" t="n">
        <v>0.037</v>
      </c>
      <c r="N478" s="73"/>
      <c r="O478" s="72"/>
      <c r="P478" s="67"/>
      <c r="Q478" s="64"/>
      <c r="R478" s="64"/>
      <c r="S478" s="64"/>
      <c r="T478" s="64"/>
      <c r="U478" s="64"/>
      <c r="V478" s="64"/>
      <c r="W478" s="64"/>
      <c r="X478" s="64"/>
      <c r="Y478" s="64"/>
      <c r="Z478" s="64"/>
      <c r="AA478" s="64"/>
    </row>
    <row r="479" customFormat="false" ht="15" hidden="false" customHeight="false" outlineLevel="0" collapsed="false">
      <c r="A479" s="65" t="n">
        <v>46304</v>
      </c>
      <c r="B479" s="66" t="s">
        <v>300</v>
      </c>
      <c r="C479" s="67" t="s">
        <v>691</v>
      </c>
      <c r="D479" s="67" t="s">
        <v>692</v>
      </c>
      <c r="E479" s="66" t="n">
        <v>0</v>
      </c>
      <c r="F479" s="66" t="n">
        <v>0</v>
      </c>
      <c r="G479" s="66" t="n">
        <v>0</v>
      </c>
      <c r="H479" s="66" t="n">
        <v>0</v>
      </c>
      <c r="I479" s="66" t="n">
        <v>0</v>
      </c>
      <c r="J479" s="66" t="n">
        <v>0</v>
      </c>
      <c r="K479" s="66" t="n">
        <v>0</v>
      </c>
      <c r="L479" s="66" t="n">
        <v>0</v>
      </c>
      <c r="M479" s="73" t="n">
        <v>0</v>
      </c>
      <c r="N479" s="73"/>
      <c r="O479" s="72"/>
      <c r="P479" s="67"/>
      <c r="Q479" s="64"/>
      <c r="R479" s="64"/>
      <c r="S479" s="64"/>
      <c r="T479" s="64"/>
      <c r="U479" s="64"/>
      <c r="V479" s="64"/>
      <c r="W479" s="64"/>
      <c r="X479" s="64"/>
      <c r="Y479" s="64"/>
      <c r="Z479" s="64"/>
      <c r="AA479" s="64"/>
    </row>
    <row r="480" customFormat="false" ht="15" hidden="false" customHeight="false" outlineLevel="0" collapsed="false">
      <c r="A480" s="65" t="n">
        <v>46304</v>
      </c>
      <c r="B480" s="66" t="s">
        <v>213</v>
      </c>
      <c r="C480" s="67" t="s">
        <v>691</v>
      </c>
      <c r="D480" s="67" t="s">
        <v>692</v>
      </c>
      <c r="E480" s="66" t="n">
        <v>7</v>
      </c>
      <c r="F480" s="66" t="n">
        <v>0</v>
      </c>
      <c r="G480" s="66" t="n">
        <v>7</v>
      </c>
      <c r="H480" s="66" t="n">
        <v>0</v>
      </c>
      <c r="I480" s="66" t="n">
        <v>0</v>
      </c>
      <c r="J480" s="66" t="n">
        <v>0</v>
      </c>
      <c r="K480" s="66" t="n">
        <v>0</v>
      </c>
      <c r="L480" s="66" t="n">
        <v>0</v>
      </c>
      <c r="M480" s="73" t="n">
        <v>0</v>
      </c>
      <c r="N480" s="73"/>
      <c r="O480" s="72"/>
      <c r="P480" s="67"/>
      <c r="Q480" s="64"/>
      <c r="R480" s="64"/>
      <c r="S480" s="64"/>
      <c r="T480" s="64"/>
      <c r="U480" s="64"/>
      <c r="V480" s="64"/>
      <c r="W480" s="64"/>
      <c r="X480" s="64"/>
      <c r="Y480" s="64"/>
      <c r="Z480" s="64"/>
      <c r="AA480" s="64"/>
    </row>
    <row r="481" customFormat="false" ht="15" hidden="false" customHeight="false" outlineLevel="0" collapsed="false">
      <c r="A481" s="65" t="n">
        <v>46304</v>
      </c>
      <c r="B481" s="66" t="s">
        <v>472</v>
      </c>
      <c r="C481" s="67" t="s">
        <v>691</v>
      </c>
      <c r="D481" s="67" t="s">
        <v>692</v>
      </c>
      <c r="E481" s="66" t="n">
        <v>0</v>
      </c>
      <c r="F481" s="66" t="n">
        <v>0</v>
      </c>
      <c r="G481" s="66" t="n">
        <v>0</v>
      </c>
      <c r="H481" s="66" t="n">
        <v>0</v>
      </c>
      <c r="I481" s="66" t="n">
        <v>0</v>
      </c>
      <c r="J481" s="66" t="n">
        <v>0</v>
      </c>
      <c r="K481" s="66" t="n">
        <v>0</v>
      </c>
      <c r="L481" s="66" t="n">
        <v>0</v>
      </c>
      <c r="M481" s="73" t="n">
        <v>0</v>
      </c>
      <c r="N481" s="73"/>
      <c r="O481" s="72"/>
      <c r="P481" s="67"/>
      <c r="Q481" s="64"/>
      <c r="R481" s="64"/>
      <c r="S481" s="64"/>
      <c r="T481" s="64"/>
      <c r="U481" s="64"/>
      <c r="V481" s="64"/>
      <c r="W481" s="64"/>
      <c r="X481" s="64"/>
      <c r="Y481" s="64"/>
      <c r="Z481" s="64"/>
      <c r="AA481" s="64"/>
    </row>
    <row r="482" customFormat="false" ht="15" hidden="false" customHeight="false" outlineLevel="0" collapsed="false">
      <c r="A482" s="65" t="n">
        <v>46304</v>
      </c>
      <c r="B482" s="66" t="s">
        <v>440</v>
      </c>
      <c r="C482" s="67" t="s">
        <v>691</v>
      </c>
      <c r="D482" s="67" t="s">
        <v>692</v>
      </c>
      <c r="E482" s="66" t="n">
        <v>0</v>
      </c>
      <c r="F482" s="66" t="n">
        <v>0</v>
      </c>
      <c r="G482" s="66" t="n">
        <v>0</v>
      </c>
      <c r="H482" s="66" t="n">
        <v>0</v>
      </c>
      <c r="I482" s="66" t="n">
        <v>0</v>
      </c>
      <c r="J482" s="66" t="n">
        <v>0</v>
      </c>
      <c r="K482" s="66" t="n">
        <v>0</v>
      </c>
      <c r="L482" s="66" t="n">
        <v>0</v>
      </c>
      <c r="M482" s="73" t="n">
        <v>0</v>
      </c>
      <c r="N482" s="73"/>
      <c r="O482" s="72"/>
      <c r="P482" s="67"/>
      <c r="Q482" s="64"/>
      <c r="R482" s="64"/>
      <c r="S482" s="64"/>
      <c r="T482" s="64"/>
      <c r="U482" s="64"/>
      <c r="V482" s="64"/>
      <c r="W482" s="64"/>
      <c r="X482" s="64"/>
      <c r="Y482" s="64"/>
      <c r="Z482" s="64"/>
      <c r="AA482" s="64"/>
    </row>
    <row r="483" customFormat="false" ht="15" hidden="false" customHeight="false" outlineLevel="0" collapsed="false">
      <c r="A483" s="65" t="n">
        <v>46304</v>
      </c>
      <c r="B483" s="66" t="s">
        <v>466</v>
      </c>
      <c r="C483" s="67" t="s">
        <v>704</v>
      </c>
      <c r="D483" s="67" t="s">
        <v>703</v>
      </c>
      <c r="E483" s="66" t="n">
        <v>3141</v>
      </c>
      <c r="F483" s="66" t="n">
        <v>3109</v>
      </c>
      <c r="G483" s="66" t="n">
        <v>32</v>
      </c>
      <c r="H483" s="66" t="n">
        <v>0</v>
      </c>
      <c r="I483" s="66" t="n">
        <v>0</v>
      </c>
      <c r="J483" s="66" t="n">
        <v>0</v>
      </c>
      <c r="K483" s="66" t="n">
        <v>0</v>
      </c>
      <c r="L483" s="66" t="n">
        <v>0</v>
      </c>
      <c r="M483" s="73" t="n">
        <v>0.033</v>
      </c>
      <c r="N483" s="73"/>
      <c r="O483" s="72"/>
      <c r="P483" s="67"/>
      <c r="Q483" s="64"/>
      <c r="R483" s="64"/>
      <c r="S483" s="64"/>
      <c r="T483" s="64"/>
      <c r="U483" s="64"/>
      <c r="V483" s="64"/>
      <c r="W483" s="64"/>
      <c r="X483" s="64"/>
      <c r="Y483" s="64"/>
      <c r="Z483" s="64"/>
      <c r="AA483" s="64"/>
    </row>
    <row r="484" customFormat="false" ht="15" hidden="false" customHeight="false" outlineLevel="0" collapsed="false">
      <c r="A484" s="65" t="n">
        <v>46304</v>
      </c>
      <c r="B484" s="66" t="s">
        <v>478</v>
      </c>
      <c r="C484" s="67" t="s">
        <v>704</v>
      </c>
      <c r="D484" s="67" t="s">
        <v>703</v>
      </c>
      <c r="E484" s="66" t="n">
        <v>0</v>
      </c>
      <c r="F484" s="66" t="n">
        <v>0</v>
      </c>
      <c r="G484" s="66" t="n">
        <v>0</v>
      </c>
      <c r="H484" s="66" t="n">
        <v>0</v>
      </c>
      <c r="I484" s="66" t="n">
        <v>0</v>
      </c>
      <c r="J484" s="66" t="n">
        <v>0</v>
      </c>
      <c r="K484" s="66" t="n">
        <v>0</v>
      </c>
      <c r="L484" s="66" t="n">
        <v>0</v>
      </c>
      <c r="M484" s="73" t="n">
        <v>0</v>
      </c>
      <c r="N484" s="73"/>
      <c r="O484" s="72"/>
      <c r="P484" s="67"/>
      <c r="Q484" s="64"/>
      <c r="R484" s="64"/>
      <c r="S484" s="64"/>
      <c r="T484" s="64"/>
      <c r="U484" s="64"/>
      <c r="V484" s="64"/>
      <c r="W484" s="64"/>
      <c r="X484" s="64"/>
      <c r="Y484" s="64"/>
      <c r="Z484" s="64"/>
      <c r="AA484" s="64"/>
    </row>
    <row r="485" customFormat="false" ht="15" hidden="false" customHeight="false" outlineLevel="0" collapsed="false">
      <c r="A485" s="65" t="n">
        <v>46304</v>
      </c>
      <c r="B485" s="66" t="s">
        <v>224</v>
      </c>
      <c r="C485" s="67" t="s">
        <v>704</v>
      </c>
      <c r="D485" s="67" t="s">
        <v>703</v>
      </c>
      <c r="E485" s="66" t="n">
        <v>0</v>
      </c>
      <c r="F485" s="66" t="n">
        <v>0</v>
      </c>
      <c r="G485" s="66" t="n">
        <v>0</v>
      </c>
      <c r="H485" s="66" t="n">
        <v>0</v>
      </c>
      <c r="I485" s="66" t="n">
        <v>0</v>
      </c>
      <c r="J485" s="66" t="n">
        <v>0</v>
      </c>
      <c r="K485" s="66" t="n">
        <v>0</v>
      </c>
      <c r="L485" s="66" t="n">
        <v>0</v>
      </c>
      <c r="M485" s="44"/>
      <c r="N485" s="44"/>
      <c r="O485" s="72"/>
      <c r="P485" s="67"/>
      <c r="Q485" s="64"/>
      <c r="R485" s="64"/>
      <c r="S485" s="64"/>
      <c r="T485" s="64"/>
      <c r="U485" s="64"/>
      <c r="V485" s="64"/>
      <c r="W485" s="64"/>
      <c r="X485" s="64"/>
      <c r="Y485" s="64"/>
      <c r="Z485" s="64"/>
      <c r="AA485" s="64"/>
    </row>
    <row r="486" customFormat="false" ht="15" hidden="false" customHeight="false" outlineLevel="0" collapsed="false">
      <c r="A486" s="65" t="n">
        <v>46304</v>
      </c>
      <c r="B486" s="66" t="s">
        <v>222</v>
      </c>
      <c r="C486" s="67" t="s">
        <v>704</v>
      </c>
      <c r="D486" s="67" t="s">
        <v>703</v>
      </c>
      <c r="E486" s="66" t="n">
        <v>1776</v>
      </c>
      <c r="F486" s="66" t="n">
        <v>0</v>
      </c>
      <c r="G486" s="66" t="n">
        <v>1776</v>
      </c>
      <c r="H486" s="66" t="n">
        <v>0</v>
      </c>
      <c r="I486" s="66" t="n">
        <v>0</v>
      </c>
      <c r="J486" s="66" t="n">
        <v>0</v>
      </c>
      <c r="K486" s="66" t="n">
        <v>0</v>
      </c>
      <c r="L486" s="66" t="n">
        <v>0</v>
      </c>
      <c r="M486" s="73" t="n">
        <v>0.019</v>
      </c>
      <c r="N486" s="73"/>
      <c r="O486" s="72"/>
      <c r="P486" s="67"/>
      <c r="Q486" s="64"/>
      <c r="R486" s="64"/>
      <c r="S486" s="64"/>
      <c r="T486" s="64"/>
      <c r="U486" s="64"/>
      <c r="V486" s="64"/>
      <c r="W486" s="64"/>
      <c r="X486" s="64"/>
      <c r="Y486" s="64"/>
      <c r="Z486" s="64"/>
      <c r="AA486" s="64"/>
    </row>
    <row r="487" customFormat="false" ht="15" hidden="false" customHeight="false" outlineLevel="0" collapsed="false">
      <c r="A487" s="65" t="n">
        <v>46304</v>
      </c>
      <c r="B487" s="66" t="s">
        <v>431</v>
      </c>
      <c r="C487" s="67" t="s">
        <v>704</v>
      </c>
      <c r="D487" s="67" t="s">
        <v>703</v>
      </c>
      <c r="E487" s="66" t="n">
        <v>243</v>
      </c>
      <c r="F487" s="66" t="n">
        <v>0</v>
      </c>
      <c r="G487" s="66" t="n">
        <v>0</v>
      </c>
      <c r="H487" s="66" t="n">
        <v>243</v>
      </c>
      <c r="I487" s="66" t="n">
        <v>0</v>
      </c>
      <c r="J487" s="66" t="n">
        <v>0</v>
      </c>
      <c r="K487" s="66" t="n">
        <v>0</v>
      </c>
      <c r="L487" s="66" t="n">
        <v>243</v>
      </c>
      <c r="M487" s="73" t="n">
        <v>0.003</v>
      </c>
      <c r="N487" s="73"/>
      <c r="O487" s="72"/>
      <c r="P487" s="67"/>
      <c r="Q487" s="64"/>
      <c r="R487" s="64"/>
      <c r="S487" s="64"/>
      <c r="T487" s="64"/>
      <c r="U487" s="64"/>
      <c r="V487" s="64"/>
      <c r="W487" s="64"/>
      <c r="X487" s="64"/>
      <c r="Y487" s="64"/>
      <c r="Z487" s="64"/>
      <c r="AA487" s="64"/>
    </row>
    <row r="488" customFormat="false" ht="15" hidden="false" customHeight="false" outlineLevel="0" collapsed="false">
      <c r="A488" s="65" t="n">
        <v>46304</v>
      </c>
      <c r="B488" s="66" t="s">
        <v>411</v>
      </c>
      <c r="C488" s="67" t="s">
        <v>704</v>
      </c>
      <c r="D488" s="67" t="s">
        <v>703</v>
      </c>
      <c r="E488" s="66" t="n">
        <v>1751</v>
      </c>
      <c r="F488" s="66" t="n">
        <v>0</v>
      </c>
      <c r="G488" s="66" t="n">
        <v>1751</v>
      </c>
      <c r="H488" s="66" t="n">
        <v>0</v>
      </c>
      <c r="I488" s="66" t="n">
        <v>0</v>
      </c>
      <c r="J488" s="66" t="n">
        <v>0</v>
      </c>
      <c r="K488" s="66" t="n">
        <v>0</v>
      </c>
      <c r="L488" s="66" t="n">
        <v>0</v>
      </c>
      <c r="M488" s="73" t="n">
        <v>0.026</v>
      </c>
      <c r="N488" s="73"/>
      <c r="O488" s="72"/>
      <c r="P488" s="67"/>
      <c r="Q488" s="64"/>
      <c r="R488" s="64"/>
      <c r="S488" s="64"/>
      <c r="T488" s="64"/>
      <c r="U488" s="64"/>
      <c r="V488" s="64"/>
      <c r="W488" s="64"/>
      <c r="X488" s="64"/>
      <c r="Y488" s="64"/>
      <c r="Z488" s="64"/>
      <c r="AA488" s="64"/>
    </row>
    <row r="489" customFormat="false" ht="15" hidden="false" customHeight="false" outlineLevel="0" collapsed="false">
      <c r="A489" s="65" t="n">
        <v>46304</v>
      </c>
      <c r="B489" s="66" t="s">
        <v>274</v>
      </c>
      <c r="C489" s="67" t="s">
        <v>704</v>
      </c>
      <c r="D489" s="67" t="s">
        <v>703</v>
      </c>
      <c r="E489" s="66" t="n">
        <v>0</v>
      </c>
      <c r="F489" s="66" t="n">
        <v>0</v>
      </c>
      <c r="G489" s="66" t="n">
        <v>0</v>
      </c>
      <c r="H489" s="66" t="n">
        <v>0</v>
      </c>
      <c r="I489" s="66" t="n">
        <v>0</v>
      </c>
      <c r="J489" s="66" t="n">
        <v>0</v>
      </c>
      <c r="K489" s="66" t="n">
        <v>0</v>
      </c>
      <c r="L489" s="66" t="n">
        <v>0</v>
      </c>
      <c r="M489" s="73" t="n">
        <v>0</v>
      </c>
      <c r="N489" s="73"/>
      <c r="O489" s="72"/>
      <c r="P489" s="67"/>
      <c r="Q489" s="64"/>
      <c r="R489" s="64"/>
      <c r="S489" s="64"/>
      <c r="T489" s="64"/>
      <c r="U489" s="64"/>
      <c r="V489" s="64"/>
      <c r="W489" s="64"/>
      <c r="X489" s="64"/>
      <c r="Y489" s="64"/>
      <c r="Z489" s="64"/>
      <c r="AA489" s="64"/>
    </row>
    <row r="490" customFormat="false" ht="15" hidden="false" customHeight="false" outlineLevel="0" collapsed="false">
      <c r="A490" s="65" t="n">
        <v>46304</v>
      </c>
      <c r="B490" s="66" t="s">
        <v>323</v>
      </c>
      <c r="C490" s="67" t="s">
        <v>704</v>
      </c>
      <c r="D490" s="67" t="s">
        <v>703</v>
      </c>
      <c r="E490" s="66" t="n">
        <v>60</v>
      </c>
      <c r="F490" s="66" t="n">
        <v>0</v>
      </c>
      <c r="G490" s="66" t="n">
        <v>60</v>
      </c>
      <c r="H490" s="66" t="n">
        <v>0</v>
      </c>
      <c r="I490" s="66" t="n">
        <v>0</v>
      </c>
      <c r="J490" s="66" t="n">
        <v>0</v>
      </c>
      <c r="K490" s="66" t="n">
        <v>0</v>
      </c>
      <c r="L490" s="66" t="n">
        <v>0</v>
      </c>
      <c r="M490" s="73" t="n">
        <v>0.002</v>
      </c>
      <c r="N490" s="73"/>
      <c r="O490" s="72"/>
      <c r="P490" s="67"/>
      <c r="Q490" s="64"/>
      <c r="R490" s="64"/>
      <c r="S490" s="64"/>
      <c r="T490" s="64"/>
      <c r="U490" s="64"/>
      <c r="V490" s="64"/>
      <c r="W490" s="64"/>
      <c r="X490" s="64"/>
      <c r="Y490" s="64"/>
      <c r="Z490" s="64"/>
      <c r="AA490" s="64"/>
    </row>
    <row r="491" customFormat="false" ht="15" hidden="false" customHeight="false" outlineLevel="0" collapsed="false">
      <c r="A491" s="65" t="n">
        <v>46304</v>
      </c>
      <c r="B491" s="66" t="s">
        <v>415</v>
      </c>
      <c r="C491" s="67" t="s">
        <v>704</v>
      </c>
      <c r="D491" s="67" t="s">
        <v>703</v>
      </c>
      <c r="E491" s="66" t="n">
        <v>2</v>
      </c>
      <c r="F491" s="66" t="n">
        <v>2</v>
      </c>
      <c r="G491" s="66" t="n">
        <v>0</v>
      </c>
      <c r="H491" s="66" t="n">
        <v>0</v>
      </c>
      <c r="I491" s="66" t="n">
        <v>0</v>
      </c>
      <c r="J491" s="66" t="n">
        <v>0</v>
      </c>
      <c r="K491" s="66" t="n">
        <v>0</v>
      </c>
      <c r="L491" s="66" t="n">
        <v>0</v>
      </c>
      <c r="M491" s="73" t="n">
        <v>0</v>
      </c>
      <c r="N491" s="73"/>
      <c r="O491" s="72"/>
      <c r="P491" s="67"/>
      <c r="Q491" s="64"/>
      <c r="R491" s="64"/>
      <c r="S491" s="64"/>
      <c r="T491" s="64"/>
      <c r="U491" s="64"/>
      <c r="V491" s="64"/>
      <c r="W491" s="64"/>
      <c r="X491" s="64"/>
      <c r="Y491" s="64"/>
      <c r="Z491" s="64"/>
      <c r="AA491" s="64"/>
    </row>
    <row r="492" customFormat="false" ht="15" hidden="false" customHeight="false" outlineLevel="0" collapsed="false">
      <c r="A492" s="65" t="n">
        <v>46304</v>
      </c>
      <c r="B492" s="66" t="s">
        <v>252</v>
      </c>
      <c r="C492" s="67" t="s">
        <v>704</v>
      </c>
      <c r="D492" s="67" t="s">
        <v>703</v>
      </c>
      <c r="E492" s="66" t="n">
        <v>2305</v>
      </c>
      <c r="F492" s="66" t="n">
        <v>3</v>
      </c>
      <c r="G492" s="66" t="n">
        <v>377</v>
      </c>
      <c r="H492" s="66" t="n">
        <v>1925</v>
      </c>
      <c r="I492" s="66" t="n">
        <v>0</v>
      </c>
      <c r="J492" s="66" t="n">
        <v>0</v>
      </c>
      <c r="K492" s="66" t="n">
        <v>0</v>
      </c>
      <c r="L492" s="66" t="n">
        <v>1925</v>
      </c>
      <c r="M492" s="73" t="n">
        <v>0.011</v>
      </c>
      <c r="N492" s="44" t="s">
        <v>886</v>
      </c>
      <c r="O492" s="72"/>
      <c r="P492" s="67"/>
      <c r="Q492" s="64"/>
      <c r="R492" s="64"/>
      <c r="S492" s="64"/>
      <c r="T492" s="64"/>
      <c r="U492" s="64"/>
      <c r="V492" s="64"/>
      <c r="W492" s="64"/>
      <c r="X492" s="64"/>
      <c r="Y492" s="64"/>
      <c r="Z492" s="64"/>
      <c r="AA492" s="64"/>
    </row>
    <row r="493" customFormat="false" ht="15" hidden="false" customHeight="false" outlineLevel="0" collapsed="false">
      <c r="A493" s="65" t="n">
        <v>46304</v>
      </c>
      <c r="B493" s="66" t="s">
        <v>470</v>
      </c>
      <c r="C493" s="67" t="s">
        <v>704</v>
      </c>
      <c r="D493" s="67" t="s">
        <v>703</v>
      </c>
      <c r="E493" s="66" t="n">
        <v>321</v>
      </c>
      <c r="F493" s="66" t="n">
        <v>0</v>
      </c>
      <c r="G493" s="66" t="n">
        <v>0</v>
      </c>
      <c r="H493" s="66" t="n">
        <v>321</v>
      </c>
      <c r="I493" s="66" t="n">
        <v>0</v>
      </c>
      <c r="J493" s="66" t="n">
        <v>0</v>
      </c>
      <c r="K493" s="66" t="n">
        <v>0</v>
      </c>
      <c r="L493" s="66" t="n">
        <v>321</v>
      </c>
      <c r="M493" s="73" t="n">
        <v>0.005</v>
      </c>
      <c r="N493" s="73"/>
      <c r="O493" s="72"/>
      <c r="P493" s="67"/>
      <c r="Q493" s="64"/>
      <c r="R493" s="64"/>
      <c r="S493" s="64"/>
      <c r="T493" s="64"/>
      <c r="U493" s="64"/>
      <c r="V493" s="64"/>
      <c r="W493" s="64"/>
      <c r="X493" s="64"/>
      <c r="Y493" s="64"/>
      <c r="Z493" s="64"/>
      <c r="AA493" s="64"/>
    </row>
    <row r="494" customFormat="false" ht="15" hidden="false" customHeight="false" outlineLevel="0" collapsed="false">
      <c r="A494" s="65" t="n">
        <v>46304</v>
      </c>
      <c r="B494" s="66" t="s">
        <v>350</v>
      </c>
      <c r="C494" s="67" t="s">
        <v>704</v>
      </c>
      <c r="D494" s="67" t="s">
        <v>703</v>
      </c>
      <c r="E494" s="66" t="n">
        <v>0</v>
      </c>
      <c r="F494" s="66" t="n">
        <v>0</v>
      </c>
      <c r="G494" s="66" t="n">
        <v>0</v>
      </c>
      <c r="H494" s="66" t="n">
        <v>0</v>
      </c>
      <c r="I494" s="66" t="n">
        <v>0</v>
      </c>
      <c r="J494" s="66" t="n">
        <v>0</v>
      </c>
      <c r="K494" s="66" t="n">
        <v>0</v>
      </c>
      <c r="L494" s="66" t="n">
        <v>0</v>
      </c>
      <c r="M494" s="73" t="n">
        <v>0</v>
      </c>
      <c r="N494" s="73"/>
      <c r="O494" s="72"/>
      <c r="P494" s="67"/>
      <c r="Q494" s="64"/>
      <c r="R494" s="64"/>
      <c r="S494" s="64"/>
      <c r="T494" s="64"/>
      <c r="U494" s="64"/>
      <c r="V494" s="64"/>
      <c r="W494" s="64"/>
      <c r="X494" s="64"/>
      <c r="Y494" s="64"/>
      <c r="Z494" s="64"/>
      <c r="AA494" s="64"/>
    </row>
    <row r="495" customFormat="false" ht="15" hidden="false" customHeight="false" outlineLevel="0" collapsed="false">
      <c r="A495" s="65" t="n">
        <v>46304</v>
      </c>
      <c r="B495" s="66" t="s">
        <v>316</v>
      </c>
      <c r="C495" s="67" t="s">
        <v>704</v>
      </c>
      <c r="D495" s="67" t="s">
        <v>703</v>
      </c>
      <c r="E495" s="66" t="n">
        <v>1139</v>
      </c>
      <c r="F495" s="66" t="n">
        <v>0</v>
      </c>
      <c r="G495" s="66" t="n">
        <v>0</v>
      </c>
      <c r="H495" s="66" t="n">
        <v>1139</v>
      </c>
      <c r="I495" s="66" t="n">
        <v>0</v>
      </c>
      <c r="J495" s="66" t="n">
        <v>0</v>
      </c>
      <c r="K495" s="66" t="n">
        <v>0</v>
      </c>
      <c r="L495" s="66" t="n">
        <v>1139</v>
      </c>
      <c r="M495" s="73" t="n">
        <v>0.02</v>
      </c>
      <c r="N495" s="73"/>
      <c r="O495" s="72"/>
      <c r="P495" s="67"/>
      <c r="Q495" s="64"/>
      <c r="R495" s="64"/>
      <c r="S495" s="64"/>
      <c r="T495" s="64"/>
      <c r="U495" s="64"/>
      <c r="V495" s="64"/>
      <c r="W495" s="64"/>
      <c r="X495" s="64"/>
      <c r="Y495" s="64"/>
      <c r="Z495" s="64"/>
      <c r="AA495" s="64"/>
    </row>
    <row r="496" customFormat="false" ht="15" hidden="false" customHeight="false" outlineLevel="0" collapsed="false">
      <c r="A496" s="65" t="n">
        <v>46304</v>
      </c>
      <c r="B496" s="66" t="s">
        <v>378</v>
      </c>
      <c r="C496" s="67" t="s">
        <v>704</v>
      </c>
      <c r="D496" s="67" t="s">
        <v>703</v>
      </c>
      <c r="E496" s="66" t="n">
        <v>44</v>
      </c>
      <c r="F496" s="66" t="n">
        <v>0</v>
      </c>
      <c r="G496" s="66" t="n">
        <v>0</v>
      </c>
      <c r="H496" s="66" t="n">
        <v>0</v>
      </c>
      <c r="I496" s="66" t="n">
        <v>0</v>
      </c>
      <c r="J496" s="66" t="n">
        <v>0</v>
      </c>
      <c r="K496" s="66" t="n">
        <v>44</v>
      </c>
      <c r="L496" s="66" t="n">
        <v>44</v>
      </c>
      <c r="M496" s="73" t="n">
        <v>0</v>
      </c>
      <c r="N496" s="73"/>
      <c r="O496" s="72"/>
      <c r="P496" s="67"/>
      <c r="Q496" s="64"/>
      <c r="R496" s="64"/>
      <c r="S496" s="64"/>
      <c r="T496" s="64"/>
      <c r="U496" s="64"/>
      <c r="V496" s="64"/>
      <c r="W496" s="64"/>
      <c r="X496" s="64"/>
      <c r="Y496" s="64"/>
      <c r="Z496" s="64"/>
      <c r="AA496" s="64"/>
    </row>
    <row r="497" customFormat="false" ht="15" hidden="false" customHeight="false" outlineLevel="0" collapsed="false">
      <c r="A497" s="65" t="n">
        <v>46304</v>
      </c>
      <c r="B497" s="66" t="s">
        <v>503</v>
      </c>
      <c r="C497" s="67" t="s">
        <v>708</v>
      </c>
      <c r="D497" s="67" t="s">
        <v>706</v>
      </c>
      <c r="E497" s="66" t="n">
        <v>0</v>
      </c>
      <c r="F497" s="66" t="n">
        <v>0</v>
      </c>
      <c r="G497" s="66" t="n">
        <v>0</v>
      </c>
      <c r="H497" s="66" t="n">
        <v>0</v>
      </c>
      <c r="I497" s="66" t="n">
        <v>0</v>
      </c>
      <c r="J497" s="66" t="n">
        <v>0</v>
      </c>
      <c r="K497" s="66" t="n">
        <v>0</v>
      </c>
      <c r="L497" s="66" t="n">
        <v>0</v>
      </c>
      <c r="M497" s="73" t="n">
        <v>0</v>
      </c>
      <c r="N497" s="73"/>
      <c r="O497" s="72"/>
      <c r="P497" s="67"/>
      <c r="Q497" s="64"/>
      <c r="R497" s="64"/>
      <c r="S497" s="64"/>
      <c r="T497" s="64"/>
      <c r="U497" s="64"/>
      <c r="V497" s="64"/>
      <c r="W497" s="64"/>
      <c r="X497" s="64"/>
      <c r="Y497" s="64"/>
      <c r="Z497" s="64"/>
      <c r="AA497" s="64"/>
    </row>
    <row r="498" customFormat="false" ht="15" hidden="false" customHeight="false" outlineLevel="0" collapsed="false">
      <c r="A498" s="65" t="n">
        <v>46304</v>
      </c>
      <c r="B498" s="66" t="s">
        <v>421</v>
      </c>
      <c r="C498" s="67" t="s">
        <v>708</v>
      </c>
      <c r="D498" s="67" t="s">
        <v>706</v>
      </c>
      <c r="E498" s="66" t="n">
        <v>0</v>
      </c>
      <c r="F498" s="66" t="n">
        <v>0</v>
      </c>
      <c r="G498" s="66" t="n">
        <v>0</v>
      </c>
      <c r="H498" s="66" t="n">
        <v>0</v>
      </c>
      <c r="I498" s="66" t="n">
        <v>0</v>
      </c>
      <c r="J498" s="66" t="n">
        <v>0</v>
      </c>
      <c r="K498" s="66" t="n">
        <v>0</v>
      </c>
      <c r="L498" s="66" t="n">
        <v>0</v>
      </c>
      <c r="M498" s="73" t="n">
        <v>0</v>
      </c>
      <c r="N498" s="73"/>
      <c r="O498" s="72"/>
      <c r="P498" s="67"/>
      <c r="Q498" s="64"/>
      <c r="R498" s="64"/>
      <c r="S498" s="64"/>
      <c r="T498" s="64"/>
      <c r="U498" s="64"/>
      <c r="V498" s="64"/>
      <c r="W498" s="64"/>
      <c r="X498" s="64"/>
      <c r="Y498" s="64"/>
      <c r="Z498" s="64"/>
      <c r="AA498" s="64"/>
    </row>
    <row r="499" customFormat="false" ht="15" hidden="false" customHeight="false" outlineLevel="0" collapsed="false">
      <c r="A499" s="65" t="n">
        <v>46304</v>
      </c>
      <c r="B499" s="66" t="s">
        <v>325</v>
      </c>
      <c r="C499" s="67" t="s">
        <v>708</v>
      </c>
      <c r="D499" s="67" t="s">
        <v>706</v>
      </c>
      <c r="E499" s="66" t="n">
        <v>4284</v>
      </c>
      <c r="F499" s="66" t="n">
        <v>4284</v>
      </c>
      <c r="G499" s="66" t="n">
        <v>0</v>
      </c>
      <c r="H499" s="66" t="n">
        <v>0</v>
      </c>
      <c r="I499" s="66" t="n">
        <v>0</v>
      </c>
      <c r="J499" s="66" t="n">
        <v>0</v>
      </c>
      <c r="K499" s="66" t="n">
        <v>0</v>
      </c>
      <c r="L499" s="66" t="n">
        <v>0</v>
      </c>
      <c r="M499" s="73" t="n">
        <v>0.019</v>
      </c>
      <c r="N499" s="73"/>
      <c r="O499" s="72"/>
      <c r="P499" s="67"/>
      <c r="Q499" s="64"/>
      <c r="R499" s="64"/>
      <c r="S499" s="64"/>
      <c r="T499" s="64"/>
      <c r="U499" s="64"/>
      <c r="V499" s="64"/>
      <c r="W499" s="64"/>
      <c r="X499" s="64"/>
      <c r="Y499" s="64"/>
      <c r="Z499" s="64"/>
      <c r="AA499" s="64"/>
    </row>
    <row r="500" customFormat="false" ht="15" hidden="false" customHeight="false" outlineLevel="0" collapsed="false">
      <c r="A500" s="65" t="n">
        <v>46304</v>
      </c>
      <c r="B500" s="66" t="s">
        <v>450</v>
      </c>
      <c r="C500" s="67" t="s">
        <v>708</v>
      </c>
      <c r="D500" s="67" t="s">
        <v>706</v>
      </c>
      <c r="E500" s="66" t="n">
        <v>0</v>
      </c>
      <c r="F500" s="66" t="n">
        <v>0</v>
      </c>
      <c r="G500" s="66" t="n">
        <v>0</v>
      </c>
      <c r="H500" s="66" t="n">
        <v>0</v>
      </c>
      <c r="I500" s="66" t="n">
        <v>0</v>
      </c>
      <c r="J500" s="66" t="n">
        <v>0</v>
      </c>
      <c r="K500" s="66" t="n">
        <v>0</v>
      </c>
      <c r="L500" s="66" t="n">
        <v>0</v>
      </c>
      <c r="M500" s="73" t="n">
        <v>0</v>
      </c>
      <c r="N500" s="73"/>
      <c r="O500" s="72"/>
      <c r="P500" s="67"/>
      <c r="Q500" s="64"/>
      <c r="R500" s="64"/>
      <c r="S500" s="64"/>
      <c r="T500" s="64"/>
      <c r="U500" s="64"/>
      <c r="V500" s="64"/>
      <c r="W500" s="64"/>
      <c r="X500" s="64"/>
      <c r="Y500" s="64"/>
      <c r="Z500" s="64"/>
      <c r="AA500" s="64"/>
    </row>
    <row r="501" customFormat="false" ht="15" hidden="false" customHeight="false" outlineLevel="0" collapsed="false">
      <c r="A501" s="65" t="n">
        <v>46304</v>
      </c>
      <c r="B501" s="66" t="s">
        <v>359</v>
      </c>
      <c r="C501" s="67" t="s">
        <v>708</v>
      </c>
      <c r="D501" s="67" t="s">
        <v>706</v>
      </c>
      <c r="E501" s="66" t="n">
        <v>294</v>
      </c>
      <c r="F501" s="66" t="n">
        <v>0</v>
      </c>
      <c r="G501" s="66" t="n">
        <v>294</v>
      </c>
      <c r="H501" s="66" t="n">
        <v>0</v>
      </c>
      <c r="I501" s="66" t="n">
        <v>0</v>
      </c>
      <c r="J501" s="66" t="n">
        <v>0</v>
      </c>
      <c r="K501" s="66" t="n">
        <v>0</v>
      </c>
      <c r="L501" s="66" t="n">
        <v>0</v>
      </c>
      <c r="M501" s="73" t="n">
        <v>0.005</v>
      </c>
      <c r="N501" s="73"/>
      <c r="O501" s="72"/>
      <c r="P501" s="67"/>
      <c r="Q501" s="64"/>
      <c r="R501" s="64"/>
      <c r="S501" s="64"/>
      <c r="T501" s="64"/>
      <c r="U501" s="64"/>
      <c r="V501" s="64"/>
      <c r="W501" s="64"/>
      <c r="X501" s="64"/>
      <c r="Y501" s="64"/>
      <c r="Z501" s="64"/>
      <c r="AA501" s="64"/>
    </row>
    <row r="502" customFormat="false" ht="15" hidden="false" customHeight="false" outlineLevel="0" collapsed="false">
      <c r="A502" s="65" t="n">
        <v>46304</v>
      </c>
      <c r="B502" s="66" t="s">
        <v>493</v>
      </c>
      <c r="C502" s="67" t="s">
        <v>708</v>
      </c>
      <c r="D502" s="67" t="s">
        <v>706</v>
      </c>
      <c r="E502" s="66" t="n">
        <v>0</v>
      </c>
      <c r="F502" s="66" t="n">
        <v>0</v>
      </c>
      <c r="G502" s="66" t="n">
        <v>0</v>
      </c>
      <c r="H502" s="66" t="n">
        <v>0</v>
      </c>
      <c r="I502" s="66" t="n">
        <v>0</v>
      </c>
      <c r="J502" s="66" t="n">
        <v>0</v>
      </c>
      <c r="K502" s="66" t="n">
        <v>0</v>
      </c>
      <c r="L502" s="66" t="n">
        <v>0</v>
      </c>
      <c r="M502" s="73" t="n">
        <v>0</v>
      </c>
      <c r="N502" s="73"/>
      <c r="O502" s="72"/>
      <c r="P502" s="67"/>
      <c r="Q502" s="64"/>
      <c r="R502" s="64"/>
      <c r="S502" s="64"/>
      <c r="T502" s="64"/>
      <c r="U502" s="64"/>
      <c r="V502" s="64"/>
      <c r="W502" s="64"/>
      <c r="X502" s="64"/>
      <c r="Y502" s="64"/>
      <c r="Z502" s="64"/>
      <c r="AA502" s="64"/>
    </row>
    <row r="503" customFormat="false" ht="15" hidden="false" customHeight="false" outlineLevel="0" collapsed="false">
      <c r="A503" s="65" t="n">
        <v>46304</v>
      </c>
      <c r="B503" s="66" t="s">
        <v>425</v>
      </c>
      <c r="C503" s="67" t="s">
        <v>708</v>
      </c>
      <c r="D503" s="67" t="s">
        <v>706</v>
      </c>
      <c r="E503" s="66" t="n">
        <v>1048</v>
      </c>
      <c r="F503" s="66" t="n">
        <v>2</v>
      </c>
      <c r="G503" s="66" t="n">
        <v>1046</v>
      </c>
      <c r="H503" s="66" t="n">
        <v>0</v>
      </c>
      <c r="I503" s="66" t="n">
        <v>0</v>
      </c>
      <c r="J503" s="66" t="n">
        <v>0</v>
      </c>
      <c r="K503" s="66" t="n">
        <v>0</v>
      </c>
      <c r="L503" s="66" t="n">
        <v>0</v>
      </c>
      <c r="M503" s="73" t="n">
        <v>0.018</v>
      </c>
      <c r="N503" s="73"/>
      <c r="O503" s="72"/>
      <c r="P503" s="67"/>
      <c r="Q503" s="64"/>
      <c r="R503" s="64"/>
      <c r="S503" s="64"/>
      <c r="T503" s="64"/>
      <c r="U503" s="64"/>
      <c r="V503" s="64"/>
      <c r="W503" s="64"/>
      <c r="X503" s="64"/>
      <c r="Y503" s="64"/>
      <c r="Z503" s="64"/>
      <c r="AA503" s="64"/>
    </row>
    <row r="504" customFormat="false" ht="15" hidden="false" customHeight="false" outlineLevel="0" collapsed="false">
      <c r="A504" s="65" t="n">
        <v>46304</v>
      </c>
      <c r="B504" s="66" t="s">
        <v>277</v>
      </c>
      <c r="C504" s="67" t="s">
        <v>708</v>
      </c>
      <c r="D504" s="67" t="s">
        <v>706</v>
      </c>
      <c r="E504" s="66" t="n">
        <v>5658</v>
      </c>
      <c r="F504" s="66" t="n">
        <v>2343</v>
      </c>
      <c r="G504" s="66" t="n">
        <v>3315</v>
      </c>
      <c r="H504" s="66" t="n">
        <v>0</v>
      </c>
      <c r="I504" s="66" t="n">
        <v>0</v>
      </c>
      <c r="J504" s="66" t="n">
        <v>0</v>
      </c>
      <c r="K504" s="66" t="n">
        <v>0</v>
      </c>
      <c r="L504" s="66" t="n">
        <v>0</v>
      </c>
      <c r="M504" s="73" t="n">
        <v>0.026</v>
      </c>
      <c r="N504" s="73"/>
      <c r="O504" s="72"/>
      <c r="P504" s="67"/>
      <c r="Q504" s="64"/>
      <c r="R504" s="64"/>
      <c r="S504" s="64"/>
      <c r="T504" s="64"/>
      <c r="U504" s="64"/>
      <c r="V504" s="64"/>
      <c r="W504" s="64"/>
      <c r="X504" s="64"/>
      <c r="Y504" s="64"/>
      <c r="Z504" s="64"/>
      <c r="AA504" s="64"/>
    </row>
    <row r="505" customFormat="false" ht="15" hidden="false" customHeight="false" outlineLevel="0" collapsed="false">
      <c r="A505" s="65" t="n">
        <v>46304</v>
      </c>
      <c r="B505" s="66" t="s">
        <v>361</v>
      </c>
      <c r="C505" s="67" t="s">
        <v>708</v>
      </c>
      <c r="D505" s="67" t="s">
        <v>706</v>
      </c>
      <c r="E505" s="66" t="n">
        <v>14</v>
      </c>
      <c r="F505" s="66" t="n">
        <v>14</v>
      </c>
      <c r="G505" s="66" t="n">
        <v>0</v>
      </c>
      <c r="H505" s="66" t="n">
        <v>0</v>
      </c>
      <c r="I505" s="66" t="n">
        <v>0</v>
      </c>
      <c r="J505" s="66" t="n">
        <v>0</v>
      </c>
      <c r="K505" s="66" t="n">
        <v>0</v>
      </c>
      <c r="L505" s="66" t="n">
        <v>0</v>
      </c>
      <c r="M505" s="73" t="n">
        <v>0</v>
      </c>
      <c r="N505" s="73"/>
      <c r="O505" s="72"/>
      <c r="P505" s="67"/>
      <c r="Q505" s="64"/>
      <c r="R505" s="64"/>
      <c r="S505" s="64"/>
      <c r="T505" s="64"/>
      <c r="U505" s="64"/>
      <c r="V505" s="64"/>
      <c r="W505" s="64"/>
      <c r="X505" s="64"/>
      <c r="Y505" s="64"/>
      <c r="Z505" s="64"/>
      <c r="AA505" s="64"/>
    </row>
    <row r="506" customFormat="false" ht="15" hidden="false" customHeight="false" outlineLevel="0" collapsed="false">
      <c r="A506" s="65" t="n">
        <v>46304</v>
      </c>
      <c r="B506" s="66" t="s">
        <v>439</v>
      </c>
      <c r="C506" s="67" t="s">
        <v>704</v>
      </c>
      <c r="D506" s="67" t="s">
        <v>703</v>
      </c>
      <c r="E506" s="66" t="n">
        <v>0</v>
      </c>
      <c r="F506" s="66" t="n">
        <v>0</v>
      </c>
      <c r="G506" s="66" t="n">
        <v>0</v>
      </c>
      <c r="H506" s="66" t="n">
        <v>0</v>
      </c>
      <c r="I506" s="66" t="n">
        <v>0</v>
      </c>
      <c r="J506" s="66" t="n">
        <v>0</v>
      </c>
      <c r="K506" s="66" t="n">
        <v>0</v>
      </c>
      <c r="L506" s="66" t="n">
        <v>0</v>
      </c>
      <c r="M506" s="73" t="n">
        <v>0</v>
      </c>
      <c r="N506" s="73"/>
      <c r="O506" s="72"/>
      <c r="P506" s="67"/>
      <c r="Q506" s="64"/>
      <c r="R506" s="64"/>
      <c r="S506" s="64"/>
      <c r="T506" s="64"/>
      <c r="U506" s="64"/>
      <c r="V506" s="64"/>
      <c r="W506" s="64"/>
      <c r="X506" s="64"/>
      <c r="Y506" s="64"/>
      <c r="Z506" s="64"/>
      <c r="AA506" s="64"/>
    </row>
    <row r="507" customFormat="false" ht="15" hidden="false" customHeight="false" outlineLevel="0" collapsed="false">
      <c r="A507" s="65" t="n">
        <v>46304</v>
      </c>
      <c r="B507" s="66" t="s">
        <v>418</v>
      </c>
      <c r="C507" s="67" t="s">
        <v>704</v>
      </c>
      <c r="D507" s="67" t="s">
        <v>703</v>
      </c>
      <c r="E507" s="66" t="n">
        <v>50</v>
      </c>
      <c r="F507" s="66" t="n">
        <v>0</v>
      </c>
      <c r="G507" s="66" t="n">
        <v>0</v>
      </c>
      <c r="H507" s="66" t="n">
        <v>50</v>
      </c>
      <c r="I507" s="66" t="n">
        <v>0</v>
      </c>
      <c r="J507" s="66" t="n">
        <v>0</v>
      </c>
      <c r="K507" s="66" t="n">
        <v>0</v>
      </c>
      <c r="L507" s="66" t="n">
        <v>50</v>
      </c>
      <c r="M507" s="73" t="n">
        <v>0</v>
      </c>
      <c r="N507" s="73"/>
      <c r="O507" s="72"/>
      <c r="P507" s="67"/>
      <c r="Q507" s="64"/>
      <c r="R507" s="64"/>
      <c r="S507" s="64"/>
      <c r="T507" s="64"/>
      <c r="U507" s="64"/>
      <c r="V507" s="64"/>
      <c r="W507" s="64"/>
      <c r="X507" s="64"/>
      <c r="Y507" s="64"/>
      <c r="Z507" s="64"/>
      <c r="AA507" s="64"/>
    </row>
    <row r="508" customFormat="false" ht="15" hidden="false" customHeight="false" outlineLevel="0" collapsed="false">
      <c r="A508" s="65" t="n">
        <v>46304</v>
      </c>
      <c r="B508" s="66" t="s">
        <v>452</v>
      </c>
      <c r="C508" s="67" t="s">
        <v>704</v>
      </c>
      <c r="D508" s="67" t="s">
        <v>703</v>
      </c>
      <c r="E508" s="66" t="n">
        <v>0</v>
      </c>
      <c r="F508" s="66" t="n">
        <v>0</v>
      </c>
      <c r="G508" s="66" t="n">
        <v>0</v>
      </c>
      <c r="H508" s="66" t="n">
        <v>0</v>
      </c>
      <c r="I508" s="66" t="n">
        <v>0</v>
      </c>
      <c r="J508" s="66" t="n">
        <v>0</v>
      </c>
      <c r="K508" s="66" t="n">
        <v>0</v>
      </c>
      <c r="L508" s="66" t="n">
        <v>0</v>
      </c>
      <c r="M508" s="73" t="n">
        <v>0</v>
      </c>
      <c r="N508" s="73"/>
      <c r="O508" s="72"/>
      <c r="P508" s="67"/>
      <c r="Q508" s="64"/>
      <c r="R508" s="64"/>
      <c r="S508" s="64"/>
      <c r="T508" s="64"/>
      <c r="U508" s="64"/>
      <c r="V508" s="64"/>
      <c r="W508" s="64"/>
      <c r="X508" s="64"/>
      <c r="Y508" s="64"/>
      <c r="Z508" s="64"/>
      <c r="AA508" s="64"/>
    </row>
    <row r="509" customFormat="false" ht="15" hidden="false" customHeight="false" outlineLevel="0" collapsed="false">
      <c r="A509" s="65" t="n">
        <v>46304</v>
      </c>
      <c r="B509" s="66" t="s">
        <v>710</v>
      </c>
      <c r="C509" s="67" t="s">
        <v>707</v>
      </c>
      <c r="D509" s="67" t="s">
        <v>706</v>
      </c>
      <c r="E509" s="66" t="n">
        <v>47</v>
      </c>
      <c r="F509" s="66" t="n">
        <v>0</v>
      </c>
      <c r="G509" s="66" t="n">
        <v>0</v>
      </c>
      <c r="H509" s="66" t="n">
        <v>47</v>
      </c>
      <c r="I509" s="66" t="n">
        <v>0</v>
      </c>
      <c r="J509" s="66" t="n">
        <v>0</v>
      </c>
      <c r="K509" s="66" t="n">
        <v>0</v>
      </c>
      <c r="L509" s="66" t="n">
        <v>47</v>
      </c>
      <c r="M509" s="73" t="n">
        <v>0</v>
      </c>
      <c r="N509" s="73"/>
      <c r="O509" s="72"/>
      <c r="P509" s="67"/>
      <c r="Q509" s="64"/>
      <c r="R509" s="64"/>
      <c r="S509" s="64"/>
      <c r="T509" s="64"/>
      <c r="U509" s="64"/>
      <c r="V509" s="64"/>
      <c r="W509" s="64"/>
      <c r="X509" s="64"/>
      <c r="Y509" s="64"/>
      <c r="Z509" s="64"/>
      <c r="AA509" s="64"/>
    </row>
    <row r="510" customFormat="false" ht="15" hidden="false" customHeight="false" outlineLevel="0" collapsed="false">
      <c r="A510" s="65" t="n">
        <v>46304</v>
      </c>
      <c r="B510" s="66" t="s">
        <v>711</v>
      </c>
      <c r="C510" s="67" t="s">
        <v>707</v>
      </c>
      <c r="D510" s="67" t="s">
        <v>706</v>
      </c>
      <c r="E510" s="66" t="n">
        <v>0</v>
      </c>
      <c r="F510" s="66" t="n">
        <v>0</v>
      </c>
      <c r="G510" s="66" t="n">
        <v>0</v>
      </c>
      <c r="H510" s="66" t="n">
        <v>0</v>
      </c>
      <c r="I510" s="66" t="n">
        <v>0</v>
      </c>
      <c r="J510" s="66" t="n">
        <v>0</v>
      </c>
      <c r="K510" s="66" t="n">
        <v>0</v>
      </c>
      <c r="L510" s="66" t="n">
        <v>0</v>
      </c>
      <c r="M510" s="73" t="n">
        <v>0</v>
      </c>
      <c r="N510" s="73"/>
      <c r="O510" s="72"/>
      <c r="P510" s="67"/>
      <c r="Q510" s="64"/>
      <c r="R510" s="64"/>
      <c r="S510" s="64"/>
      <c r="T510" s="64"/>
      <c r="U510" s="64"/>
      <c r="V510" s="64"/>
      <c r="W510" s="64"/>
      <c r="X510" s="64"/>
      <c r="Y510" s="64"/>
      <c r="Z510" s="64"/>
      <c r="AA510" s="64"/>
    </row>
    <row r="511" customFormat="false" ht="15" hidden="false" customHeight="false" outlineLevel="0" collapsed="false">
      <c r="A511" s="65" t="n">
        <v>46304</v>
      </c>
      <c r="B511" s="66" t="s">
        <v>337</v>
      </c>
      <c r="C511" s="67" t="s">
        <v>676</v>
      </c>
      <c r="D511" s="67" t="s">
        <v>677</v>
      </c>
      <c r="E511" s="66" t="n">
        <v>0</v>
      </c>
      <c r="F511" s="66" t="n">
        <v>0</v>
      </c>
      <c r="G511" s="66" t="n">
        <v>0</v>
      </c>
      <c r="H511" s="66" t="n">
        <v>0</v>
      </c>
      <c r="I511" s="66" t="n">
        <v>0</v>
      </c>
      <c r="J511" s="66" t="n">
        <v>0</v>
      </c>
      <c r="K511" s="66" t="n">
        <v>0</v>
      </c>
      <c r="L511" s="66" t="n">
        <v>0</v>
      </c>
      <c r="M511" s="73" t="n">
        <v>0</v>
      </c>
      <c r="N511" s="73"/>
      <c r="O511" s="72"/>
      <c r="P511" s="67"/>
      <c r="Q511" s="64"/>
      <c r="R511" s="64"/>
      <c r="S511" s="64"/>
      <c r="T511" s="64"/>
      <c r="U511" s="64"/>
      <c r="V511" s="64"/>
      <c r="W511" s="64"/>
      <c r="X511" s="64"/>
      <c r="Y511" s="64"/>
      <c r="Z511" s="64"/>
      <c r="AA511" s="64"/>
    </row>
    <row r="512" customFormat="false" ht="15.75" hidden="false" customHeight="true" outlineLevel="0" collapsed="false">
      <c r="A512" s="65" t="n">
        <v>46305</v>
      </c>
      <c r="B512" s="66" t="s">
        <v>373</v>
      </c>
      <c r="C512" s="67" t="str">
        <f aca="false" t="array" ref="C512:C512">IF(B512="","",IFERROR(INDEX('CLM &amp; IM Mapping'!$B$2:$B$270,MATCH(TRIM(B512),'CLM &amp; IM Mapping'!$A$2:$A$270,0)),"Not Mapped"))</f>
        <v>Majid Kakatikar</v>
      </c>
      <c r="D512" s="67" t="str">
        <f aca="false" t="array" ref="D512:D512">IF(B512="","",IFERROR(INDEX('CLM &amp; IM Mapping'!$C$2:$C$270,MATCH(TRIM(B512),'CLM &amp; IM Mapping'!$A$2:$A$270,0)),"Not Mapped"))</f>
        <v>Kishor K</v>
      </c>
      <c r="E512" s="66" t="n">
        <v>0</v>
      </c>
      <c r="F512" s="66" t="n">
        <v>0</v>
      </c>
      <c r="G512" s="66" t="n">
        <v>0</v>
      </c>
      <c r="H512" s="66" t="n">
        <v>0</v>
      </c>
      <c r="I512" s="66" t="n">
        <v>0</v>
      </c>
      <c r="J512" s="66" t="n">
        <v>0</v>
      </c>
      <c r="K512" s="66" t="n">
        <v>0</v>
      </c>
      <c r="L512" s="66" t="n">
        <v>0</v>
      </c>
      <c r="M512" s="73" t="n">
        <v>0</v>
      </c>
      <c r="N512" s="73"/>
      <c r="O512" s="72"/>
      <c r="P512" s="67"/>
      <c r="Q512" s="64"/>
      <c r="R512" s="64"/>
      <c r="S512" s="64"/>
      <c r="T512" s="64"/>
      <c r="U512" s="64"/>
      <c r="V512" s="64"/>
      <c r="W512" s="64"/>
      <c r="X512" s="64"/>
      <c r="Y512" s="64"/>
      <c r="Z512" s="64"/>
      <c r="AA512" s="64"/>
    </row>
    <row r="513" customFormat="false" ht="15.75" hidden="false" customHeight="true" outlineLevel="0" collapsed="false">
      <c r="A513" s="65" t="n">
        <v>46305</v>
      </c>
      <c r="B513" s="66" t="s">
        <v>262</v>
      </c>
      <c r="C513" s="67" t="str">
        <f aca="false" t="array" ref="C513:C513">IF(B513="","",IFERROR(INDEX('CLM &amp; IM Mapping'!$B$2:$B$270,MATCH(TRIM(B513),'CLM &amp; IM Mapping'!$A$2:$A$270,0)),"Not Mapped"))</f>
        <v>Majid Kakatikar</v>
      </c>
      <c r="D513" s="67" t="str">
        <f aca="false" t="array" ref="D513:D513">IF(B513="","",IFERROR(INDEX('CLM &amp; IM Mapping'!$C$2:$C$270,MATCH(TRIM(B513),'CLM &amp; IM Mapping'!$A$2:$A$270,0)),"Not Mapped"))</f>
        <v>Kishor K</v>
      </c>
      <c r="E513" s="66" t="n">
        <v>2185</v>
      </c>
      <c r="F513" s="66" t="n">
        <v>0</v>
      </c>
      <c r="G513" s="66" t="n">
        <v>2185</v>
      </c>
      <c r="H513" s="66" t="n">
        <v>0</v>
      </c>
      <c r="I513" s="66" t="n">
        <v>0</v>
      </c>
      <c r="J513" s="66" t="n">
        <v>0</v>
      </c>
      <c r="K513" s="66" t="n">
        <v>0</v>
      </c>
      <c r="L513" s="66" t="n">
        <v>0</v>
      </c>
      <c r="M513" s="73" t="n">
        <v>0.011</v>
      </c>
      <c r="N513" s="73"/>
      <c r="O513" s="72"/>
      <c r="P513" s="67"/>
      <c r="Q513" s="64"/>
      <c r="R513" s="64"/>
      <c r="S513" s="64"/>
      <c r="T513" s="64"/>
      <c r="U513" s="64"/>
      <c r="V513" s="64"/>
      <c r="W513" s="64"/>
      <c r="X513" s="64"/>
      <c r="Y513" s="64"/>
      <c r="Z513" s="64"/>
      <c r="AA513" s="64"/>
    </row>
    <row r="514" customFormat="false" ht="15.75" hidden="false" customHeight="true" outlineLevel="0" collapsed="false">
      <c r="A514" s="65" t="n">
        <v>46305</v>
      </c>
      <c r="B514" s="66" t="s">
        <v>348</v>
      </c>
      <c r="C514" s="67" t="str">
        <f aca="false" t="array" ref="C514:C514">IF(B514="","",IFERROR(INDEX('CLM &amp; IM Mapping'!$B$2:$B$270,MATCH(TRIM(B514),'CLM &amp; IM Mapping'!$A$2:$A$270,0)),"Not Mapped"))</f>
        <v>Arun Raj</v>
      </c>
      <c r="D514" s="67" t="str">
        <f aca="false" t="array" ref="D514:D514">IF(B514="","",IFERROR(INDEX('CLM &amp; IM Mapping'!$C$2:$C$270,MATCH(TRIM(B514),'CLM &amp; IM Mapping'!$A$2:$A$270,0)),"Not Mapped"))</f>
        <v>Simon Manoharan</v>
      </c>
      <c r="E514" s="66" t="n">
        <v>2444</v>
      </c>
      <c r="F514" s="66" t="n">
        <v>0</v>
      </c>
      <c r="G514" s="66" t="n">
        <v>0</v>
      </c>
      <c r="H514" s="66" t="n">
        <v>2444</v>
      </c>
      <c r="I514" s="66" t="n">
        <v>0</v>
      </c>
      <c r="J514" s="66" t="n">
        <v>0</v>
      </c>
      <c r="K514" s="66" t="n">
        <v>0</v>
      </c>
      <c r="L514" s="66" t="n">
        <v>0</v>
      </c>
      <c r="M514" s="73"/>
      <c r="N514" s="73"/>
      <c r="O514" s="72"/>
      <c r="P514" s="67"/>
      <c r="Q514" s="64"/>
      <c r="R514" s="64"/>
      <c r="S514" s="64"/>
      <c r="T514" s="64"/>
      <c r="U514" s="64"/>
      <c r="V514" s="64"/>
      <c r="W514" s="64"/>
      <c r="X514" s="64"/>
      <c r="Y514" s="64"/>
      <c r="Z514" s="64"/>
      <c r="AA514" s="64"/>
    </row>
    <row r="515" customFormat="false" ht="15.75" hidden="false" customHeight="true" outlineLevel="0" collapsed="false">
      <c r="A515" s="65" t="n">
        <v>46305</v>
      </c>
      <c r="B515" s="66" t="s">
        <v>548</v>
      </c>
      <c r="C515" s="67" t="str">
        <f aca="false" t="array" ref="C515:C515">IF(B515="","",IFERROR(INDEX('CLM &amp; IM Mapping'!$B$2:$B$270,MATCH(TRIM(B515),'CLM &amp; IM Mapping'!$A$2:$A$270,0)),"Not Mapped"))</f>
        <v>Arun Raj</v>
      </c>
      <c r="D515" s="67" t="str">
        <f aca="false" t="array" ref="D515:D515">IF(B515="","",IFERROR(INDEX('CLM &amp; IM Mapping'!$C$2:$C$270,MATCH(TRIM(B515),'CLM &amp; IM Mapping'!$A$2:$A$270,0)),"Not Mapped"))</f>
        <v>Simon Manoharan</v>
      </c>
      <c r="E515" s="66" t="n">
        <v>359</v>
      </c>
      <c r="F515" s="66" t="n">
        <v>0</v>
      </c>
      <c r="G515" s="66" t="n">
        <v>0</v>
      </c>
      <c r="H515" s="66" t="n">
        <v>0</v>
      </c>
      <c r="I515" s="66" t="n">
        <v>0</v>
      </c>
      <c r="J515" s="66" t="n">
        <v>20</v>
      </c>
      <c r="K515" s="66" t="n">
        <v>339</v>
      </c>
      <c r="L515" s="66" t="n">
        <v>359</v>
      </c>
      <c r="M515" s="73"/>
      <c r="N515" s="73"/>
      <c r="O515" s="72"/>
      <c r="P515" s="67"/>
      <c r="Q515" s="64"/>
      <c r="R515" s="64"/>
      <c r="S515" s="64"/>
      <c r="T515" s="64"/>
      <c r="U515" s="64"/>
      <c r="V515" s="64"/>
      <c r="W515" s="64"/>
      <c r="X515" s="64"/>
      <c r="Y515" s="64"/>
      <c r="Z515" s="64"/>
      <c r="AA515" s="64"/>
    </row>
    <row r="516" customFormat="false" ht="15.75" hidden="false" customHeight="true" outlineLevel="0" collapsed="false">
      <c r="A516" s="65" t="n">
        <v>46305</v>
      </c>
      <c r="B516" s="66" t="s">
        <v>291</v>
      </c>
      <c r="C516" s="67" t="str">
        <f aca="false" t="array" ref="C516:C516">IF(B516="","",IFERROR(INDEX('CLM &amp; IM Mapping'!$B$2:$B$270,MATCH(TRIM(B516),'CLM &amp; IM Mapping'!$A$2:$A$270,0)),"Not Mapped"))</f>
        <v>Ashwath S</v>
      </c>
      <c r="D516" s="67" t="str">
        <f aca="false" t="array" ref="D516:D516">IF(B516="","",IFERROR(INDEX('CLM &amp; IM Mapping'!$C$2:$C$270,MATCH(TRIM(B516),'CLM &amp; IM Mapping'!$A$2:$A$270,0)),"Not Mapped"))</f>
        <v>Kantha Kumar</v>
      </c>
      <c r="E516" s="66" t="n">
        <v>0</v>
      </c>
      <c r="F516" s="66" t="n">
        <v>0</v>
      </c>
      <c r="G516" s="66" t="n">
        <v>0</v>
      </c>
      <c r="H516" s="66" t="n">
        <v>0</v>
      </c>
      <c r="I516" s="66" t="n">
        <v>0</v>
      </c>
      <c r="J516" s="66" t="n">
        <v>0</v>
      </c>
      <c r="K516" s="66" t="n">
        <v>0</v>
      </c>
      <c r="L516" s="66" t="n">
        <v>0</v>
      </c>
      <c r="M516" s="73" t="n">
        <v>0</v>
      </c>
      <c r="N516" s="73"/>
      <c r="O516" s="72"/>
      <c r="P516" s="67"/>
      <c r="Q516" s="64"/>
      <c r="R516" s="64"/>
      <c r="S516" s="64"/>
      <c r="T516" s="64"/>
      <c r="U516" s="64"/>
      <c r="V516" s="64"/>
      <c r="W516" s="64"/>
      <c r="X516" s="64"/>
      <c r="Y516" s="64"/>
      <c r="Z516" s="64"/>
      <c r="AA516" s="64"/>
    </row>
    <row r="517" customFormat="false" ht="15.75" hidden="false" customHeight="true" outlineLevel="0" collapsed="false">
      <c r="A517" s="65" t="n">
        <v>46305</v>
      </c>
      <c r="B517" s="66" t="s">
        <v>420</v>
      </c>
      <c r="C517" s="67" t="str">
        <f aca="false" t="array" ref="C517:C517">IF(B517="","",IFERROR(INDEX('CLM &amp; IM Mapping'!$B$2:$B$270,MATCH(TRIM(B517),'CLM &amp; IM Mapping'!$A$2:$A$270,0)),"Not Mapped"))</f>
        <v>Ravishankar gowda</v>
      </c>
      <c r="D517" s="67" t="str">
        <f aca="false" t="array" ref="D517:D517">IF(B517="","",IFERROR(INDEX('CLM &amp; IM Mapping'!$C$2:$C$270,MATCH(TRIM(B517),'CLM &amp; IM Mapping'!$A$2:$A$270,0)),"Not Mapped"))</f>
        <v>Kishor K</v>
      </c>
      <c r="E517" s="66" t="n">
        <v>995</v>
      </c>
      <c r="F517" s="66" t="n">
        <v>0</v>
      </c>
      <c r="G517" s="66" t="n">
        <v>995</v>
      </c>
      <c r="H517" s="66" t="n">
        <v>0</v>
      </c>
      <c r="I517" s="66" t="n">
        <v>0</v>
      </c>
      <c r="J517" s="66" t="n">
        <v>0</v>
      </c>
      <c r="K517" s="66" t="n">
        <v>0</v>
      </c>
      <c r="L517" s="66" t="n">
        <v>0</v>
      </c>
      <c r="M517" s="73" t="n">
        <v>0.003</v>
      </c>
      <c r="N517" s="73"/>
      <c r="O517" s="72"/>
      <c r="P517" s="67"/>
      <c r="Q517" s="64"/>
      <c r="R517" s="64"/>
      <c r="S517" s="64"/>
      <c r="T517" s="64"/>
      <c r="U517" s="64"/>
      <c r="V517" s="64"/>
      <c r="W517" s="64"/>
      <c r="X517" s="64"/>
      <c r="Y517" s="64"/>
      <c r="Z517" s="64"/>
      <c r="AA517" s="64"/>
    </row>
    <row r="518" customFormat="false" ht="15.75" hidden="false" customHeight="true" outlineLevel="0" collapsed="false">
      <c r="A518" s="65" t="n">
        <v>46305</v>
      </c>
      <c r="B518" s="66" t="s">
        <v>306</v>
      </c>
      <c r="C518" s="67" t="str">
        <f aca="false" t="array" ref="C518:C518">IF(B518="","",IFERROR(INDEX('CLM &amp; IM Mapping'!$B$2:$B$270,MATCH(TRIM(B518),'CLM &amp; IM Mapping'!$A$2:$A$270,0)),"Not Mapped"))</f>
        <v>Narasimhamurthy R</v>
      </c>
      <c r="D518" s="67" t="str">
        <f aca="false" t="array" ref="D518:D518">IF(B518="","",IFERROR(INDEX('CLM &amp; IM Mapping'!$C$2:$C$270,MATCH(TRIM(B518),'CLM &amp; IM Mapping'!$A$2:$A$270,0)),"Not Mapped"))</f>
        <v>Kishor K</v>
      </c>
      <c r="E518" s="66" t="n">
        <v>1851</v>
      </c>
      <c r="F518" s="66" t="n">
        <v>0</v>
      </c>
      <c r="G518" s="66" t="n">
        <v>1846</v>
      </c>
      <c r="H518" s="66" t="n">
        <v>0</v>
      </c>
      <c r="I518" s="66" t="n">
        <v>5</v>
      </c>
      <c r="J518" s="66" t="n">
        <v>0</v>
      </c>
      <c r="K518" s="66" t="n">
        <v>0</v>
      </c>
      <c r="L518" s="66" t="n">
        <v>5</v>
      </c>
      <c r="M518" s="73" t="n">
        <v>0.01</v>
      </c>
      <c r="N518" s="73"/>
      <c r="O518" s="72"/>
      <c r="P518" s="67"/>
      <c r="Q518" s="64"/>
      <c r="R518" s="64"/>
      <c r="S518" s="64"/>
      <c r="T518" s="64"/>
      <c r="U518" s="64"/>
      <c r="V518" s="64"/>
      <c r="W518" s="64"/>
      <c r="X518" s="64"/>
      <c r="Y518" s="64"/>
      <c r="Z518" s="64"/>
      <c r="AA518" s="64"/>
    </row>
    <row r="519" customFormat="false" ht="15.75" hidden="false" customHeight="true" outlineLevel="0" collapsed="false">
      <c r="A519" s="65" t="n">
        <v>46305</v>
      </c>
      <c r="B519" s="66" t="s">
        <v>528</v>
      </c>
      <c r="C519" s="67" t="str">
        <f aca="false" t="array" ref="C519:C519">IF(B519="","",IFERROR(INDEX('CLM &amp; IM Mapping'!$B$2:$B$270,MATCH(TRIM(B519),'CLM &amp; IM Mapping'!$A$2:$A$270,0)),"Not Mapped"))</f>
        <v>Saddam Hussain</v>
      </c>
      <c r="D519" s="67" t="str">
        <f aca="false" t="array" ref="D519:D519">IF(B519="","",IFERROR(INDEX('CLM &amp; IM Mapping'!$C$2:$C$270,MATCH(TRIM(B519),'CLM &amp; IM Mapping'!$A$2:$A$270,0)),"Not Mapped"))</f>
        <v>Un Mapped</v>
      </c>
      <c r="E519" s="66" t="n">
        <v>0</v>
      </c>
      <c r="F519" s="66" t="n">
        <v>0</v>
      </c>
      <c r="G519" s="66" t="n">
        <v>0</v>
      </c>
      <c r="H519" s="66" t="n">
        <v>0</v>
      </c>
      <c r="I519" s="66" t="n">
        <v>0</v>
      </c>
      <c r="J519" s="66" t="n">
        <v>0</v>
      </c>
      <c r="K519" s="66" t="n">
        <v>0</v>
      </c>
      <c r="L519" s="66" t="n">
        <v>0</v>
      </c>
      <c r="M519" s="73" t="n">
        <v>0</v>
      </c>
      <c r="N519" s="73"/>
      <c r="O519" s="72"/>
      <c r="P519" s="67"/>
      <c r="Q519" s="64"/>
      <c r="R519" s="64"/>
      <c r="S519" s="64"/>
      <c r="T519" s="64"/>
      <c r="U519" s="64"/>
      <c r="V519" s="64"/>
      <c r="W519" s="64"/>
      <c r="X519" s="64"/>
      <c r="Y519" s="64"/>
      <c r="Z519" s="64"/>
      <c r="AA519" s="64"/>
    </row>
    <row r="520" customFormat="false" ht="15.75" hidden="false" customHeight="true" outlineLevel="0" collapsed="false">
      <c r="A520" s="65" t="n">
        <v>46305</v>
      </c>
      <c r="B520" s="66" t="s">
        <v>379</v>
      </c>
      <c r="C520" s="67" t="str">
        <f aca="false" t="array" ref="C520:C520">IF(B520="","",IFERROR(INDEX('CLM &amp; IM Mapping'!$B$2:$B$270,MATCH(TRIM(B520),'CLM &amp; IM Mapping'!$A$2:$A$270,0)),"Not Mapped"))</f>
        <v>Richard Harris</v>
      </c>
      <c r="D520" s="67" t="str">
        <f aca="false" t="array" ref="D520:D520">IF(B520="","",IFERROR(INDEX('CLM &amp; IM Mapping'!$C$2:$C$270,MATCH(TRIM(B520),'CLM &amp; IM Mapping'!$A$2:$A$270,0)),"Not Mapped"))</f>
        <v>Kantha Kumar</v>
      </c>
      <c r="E520" s="66" t="n">
        <v>0</v>
      </c>
      <c r="F520" s="66" t="n">
        <v>0</v>
      </c>
      <c r="G520" s="66" t="n">
        <v>0</v>
      </c>
      <c r="H520" s="66" t="n">
        <v>0</v>
      </c>
      <c r="I520" s="66" t="n">
        <v>0</v>
      </c>
      <c r="J520" s="66" t="n">
        <v>0</v>
      </c>
      <c r="K520" s="66" t="n">
        <v>0</v>
      </c>
      <c r="L520" s="66" t="n">
        <v>0</v>
      </c>
      <c r="M520" s="73" t="n">
        <v>0</v>
      </c>
      <c r="N520" s="73"/>
      <c r="O520" s="72"/>
      <c r="P520" s="67"/>
      <c r="Q520" s="64"/>
      <c r="R520" s="64"/>
      <c r="S520" s="64"/>
      <c r="T520" s="64"/>
      <c r="U520" s="64"/>
      <c r="V520" s="64"/>
      <c r="W520" s="64"/>
      <c r="X520" s="64"/>
      <c r="Y520" s="64"/>
      <c r="Z520" s="64"/>
      <c r="AA520" s="64"/>
    </row>
    <row r="521" customFormat="false" ht="15.75" hidden="false" customHeight="true" outlineLevel="0" collapsed="false">
      <c r="A521" s="65" t="n">
        <v>46305</v>
      </c>
      <c r="B521" s="66" t="s">
        <v>189</v>
      </c>
      <c r="C521" s="67" t="str">
        <f aca="false" t="array" ref="C521:C521">IF(B521="","",IFERROR(INDEX('CLM &amp; IM Mapping'!$B$2:$B$270,MATCH(TRIM(B521),'CLM &amp; IM Mapping'!$A$2:$A$270,0)),"Not Mapped"))</f>
        <v>Girish N</v>
      </c>
      <c r="D521" s="67" t="str">
        <f aca="false" t="array" ref="D521:D521">IF(B521="","",IFERROR(INDEX('CLM &amp; IM Mapping'!$C$2:$C$270,MATCH(TRIM(B521),'CLM &amp; IM Mapping'!$A$2:$A$270,0)),"Not Mapped"))</f>
        <v>Un Mapped</v>
      </c>
      <c r="E521" s="66" t="n">
        <v>1400</v>
      </c>
      <c r="F521" s="66" t="n">
        <v>0</v>
      </c>
      <c r="G521" s="66" t="n">
        <v>1400</v>
      </c>
      <c r="H521" s="66" t="n">
        <v>0</v>
      </c>
      <c r="I521" s="66" t="n">
        <v>0</v>
      </c>
      <c r="J521" s="66" t="n">
        <v>0</v>
      </c>
      <c r="K521" s="66" t="n">
        <v>0</v>
      </c>
      <c r="L521" s="66" t="n">
        <v>0</v>
      </c>
      <c r="M521" s="73" t="n">
        <v>0.006</v>
      </c>
      <c r="N521" s="73"/>
      <c r="O521" s="72"/>
      <c r="P521" s="67"/>
      <c r="Q521" s="64"/>
      <c r="R521" s="64"/>
      <c r="S521" s="64"/>
      <c r="T521" s="64"/>
      <c r="U521" s="64"/>
      <c r="V521" s="64"/>
      <c r="W521" s="64"/>
      <c r="X521" s="64"/>
      <c r="Y521" s="64"/>
      <c r="Z521" s="64"/>
      <c r="AA521" s="64"/>
    </row>
    <row r="522" customFormat="false" ht="15.75" hidden="false" customHeight="true" outlineLevel="0" collapsed="false">
      <c r="A522" s="65" t="n">
        <v>46305</v>
      </c>
      <c r="B522" s="66" t="s">
        <v>444</v>
      </c>
      <c r="C522" s="67" t="str">
        <f aca="false" t="array" ref="C522:C522">IF(B522="","",IFERROR(INDEX('CLM &amp; IM Mapping'!$B$2:$B$270,MATCH(TRIM(B522),'CLM &amp; IM Mapping'!$A$2:$A$270,0)),"Not Mapped"))</f>
        <v>Narasimhamurthy R</v>
      </c>
      <c r="D522" s="67" t="str">
        <f aca="false" t="array" ref="D522:D522">IF(B522="","",IFERROR(INDEX('CLM &amp; IM Mapping'!$C$2:$C$270,MATCH(TRIM(B522),'CLM &amp; IM Mapping'!$A$2:$A$270,0)),"Not Mapped"))</f>
        <v>Kishor K</v>
      </c>
      <c r="E522" s="66" t="n">
        <v>4734</v>
      </c>
      <c r="F522" s="66" t="n">
        <v>4734</v>
      </c>
      <c r="G522" s="66" t="n">
        <v>0</v>
      </c>
      <c r="H522" s="66" t="n">
        <v>0</v>
      </c>
      <c r="I522" s="66" t="n">
        <v>0</v>
      </c>
      <c r="J522" s="66" t="n">
        <v>0</v>
      </c>
      <c r="K522" s="66" t="n">
        <v>0</v>
      </c>
      <c r="L522" s="66" t="n">
        <v>0</v>
      </c>
      <c r="M522" s="73" t="n">
        <v>0.008</v>
      </c>
      <c r="N522" s="73"/>
      <c r="O522" s="72"/>
      <c r="P522" s="67"/>
      <c r="Q522" s="64"/>
      <c r="R522" s="64"/>
      <c r="S522" s="64"/>
      <c r="T522" s="64"/>
      <c r="U522" s="64"/>
      <c r="V522" s="64"/>
      <c r="W522" s="64"/>
      <c r="X522" s="64"/>
      <c r="Y522" s="64"/>
      <c r="Z522" s="64"/>
      <c r="AA522" s="64"/>
    </row>
    <row r="523" customFormat="false" ht="15.75" hidden="false" customHeight="true" outlineLevel="0" collapsed="false">
      <c r="A523" s="65" t="n">
        <v>46305</v>
      </c>
      <c r="B523" s="66" t="s">
        <v>516</v>
      </c>
      <c r="C523" s="67" t="str">
        <f aca="false" t="array" ref="C523:C523">IF(B523="","",IFERROR(INDEX('CLM &amp; IM Mapping'!$B$2:$B$270,MATCH(TRIM(B523),'CLM &amp; IM Mapping'!$A$2:$A$270,0)),"Not Mapped"))</f>
        <v>Sundaresh S</v>
      </c>
      <c r="D523" s="67" t="str">
        <f aca="false" t="array" ref="D523:D523">IF(B523="","",IFERROR(INDEX('CLM &amp; IM Mapping'!$C$2:$C$270,MATCH(TRIM(B523),'CLM &amp; IM Mapping'!$A$2:$A$270,0)),"Not Mapped"))</f>
        <v>Un Mapped</v>
      </c>
      <c r="E523" s="66" t="n">
        <v>0</v>
      </c>
      <c r="F523" s="66" t="n">
        <v>0</v>
      </c>
      <c r="G523" s="66" t="n">
        <v>0</v>
      </c>
      <c r="H523" s="66" t="n">
        <v>0</v>
      </c>
      <c r="I523" s="66" t="n">
        <v>0</v>
      </c>
      <c r="J523" s="66" t="n">
        <v>0</v>
      </c>
      <c r="K523" s="66" t="n">
        <v>0</v>
      </c>
      <c r="L523" s="66" t="n">
        <v>0</v>
      </c>
      <c r="M523" s="73" t="n">
        <v>0</v>
      </c>
      <c r="N523" s="73"/>
      <c r="O523" s="72"/>
      <c r="P523" s="67"/>
      <c r="Q523" s="64"/>
      <c r="R523" s="64"/>
      <c r="S523" s="64"/>
      <c r="T523" s="64"/>
      <c r="U523" s="64"/>
      <c r="V523" s="64"/>
      <c r="W523" s="64"/>
      <c r="X523" s="64"/>
      <c r="Y523" s="64"/>
      <c r="Z523" s="64"/>
      <c r="AA523" s="64"/>
    </row>
    <row r="524" customFormat="false" ht="15.75" hidden="false" customHeight="true" outlineLevel="0" collapsed="false">
      <c r="A524" s="65" t="n">
        <v>46305</v>
      </c>
      <c r="B524" s="66" t="s">
        <v>484</v>
      </c>
      <c r="C524" s="67" t="str">
        <f aca="false" t="array" ref="C524:C524">IF(B524="","",IFERROR(INDEX('CLM &amp; IM Mapping'!$B$2:$B$270,MATCH(TRIM(B524),'CLM &amp; IM Mapping'!$A$2:$A$270,0)),"Not Mapped"))</f>
        <v>Raghavendra Vernekar</v>
      </c>
      <c r="D524" s="67" t="str">
        <f aca="false" t="array" ref="D524:D524">IF(B524="","",IFERROR(INDEX('CLM &amp; IM Mapping'!$C$2:$C$270,MATCH(TRIM(B524),'CLM &amp; IM Mapping'!$A$2:$A$270,0)),"Not Mapped"))</f>
        <v>Prakash BS</v>
      </c>
      <c r="E524" s="66" t="n">
        <v>3181</v>
      </c>
      <c r="F524" s="66" t="n">
        <v>2494</v>
      </c>
      <c r="G524" s="66" t="n">
        <v>277</v>
      </c>
      <c r="H524" s="66" t="n">
        <v>71</v>
      </c>
      <c r="I524" s="66" t="n">
        <v>128</v>
      </c>
      <c r="J524" s="66" t="n">
        <v>48</v>
      </c>
      <c r="K524" s="66" t="n">
        <v>163</v>
      </c>
      <c r="L524" s="66" t="n">
        <v>410</v>
      </c>
      <c r="M524" s="73" t="n">
        <v>0.009</v>
      </c>
      <c r="N524" s="73"/>
      <c r="O524" s="72"/>
      <c r="P524" s="67"/>
      <c r="Q524" s="64"/>
      <c r="R524" s="64"/>
      <c r="S524" s="64"/>
      <c r="T524" s="64"/>
      <c r="U524" s="64"/>
      <c r="V524" s="64"/>
      <c r="W524" s="64"/>
      <c r="X524" s="64"/>
      <c r="Y524" s="64"/>
      <c r="Z524" s="64"/>
      <c r="AA524" s="64"/>
    </row>
    <row r="525" customFormat="false" ht="15.75" hidden="false" customHeight="true" outlineLevel="0" collapsed="false">
      <c r="A525" s="65" t="n">
        <v>46305</v>
      </c>
      <c r="B525" s="66" t="s">
        <v>384</v>
      </c>
      <c r="C525" s="67" t="str">
        <f aca="false" t="array" ref="C525:C525">IF(B525="","",IFERROR(INDEX('CLM &amp; IM Mapping'!$B$2:$B$270,MATCH(TRIM(B525),'CLM &amp; IM Mapping'!$A$2:$A$270,0)),"Not Mapped"))</f>
        <v>Saddam Hussain</v>
      </c>
      <c r="D525" s="67" t="str">
        <f aca="false" t="array" ref="D525:D525">IF(B525="","",IFERROR(INDEX('CLM &amp; IM Mapping'!$C$2:$C$270,MATCH(TRIM(B525),'CLM &amp; IM Mapping'!$A$2:$A$270,0)),"Not Mapped"))</f>
        <v>Un Mapped</v>
      </c>
      <c r="E525" s="66" t="n">
        <v>16</v>
      </c>
      <c r="F525" s="66" t="n">
        <v>0</v>
      </c>
      <c r="G525" s="66" t="n">
        <v>0</v>
      </c>
      <c r="H525" s="66" t="n">
        <v>12</v>
      </c>
      <c r="I525" s="66" t="n">
        <v>0</v>
      </c>
      <c r="J525" s="66" t="n">
        <v>0</v>
      </c>
      <c r="K525" s="66" t="n">
        <v>4</v>
      </c>
      <c r="L525" s="66" t="n">
        <v>16</v>
      </c>
      <c r="M525" s="73" t="n">
        <v>0</v>
      </c>
      <c r="N525" s="73"/>
      <c r="O525" s="72"/>
      <c r="P525" s="67"/>
      <c r="Q525" s="64"/>
      <c r="R525" s="64"/>
      <c r="S525" s="64"/>
      <c r="T525" s="64"/>
      <c r="U525" s="64"/>
      <c r="V525" s="64"/>
      <c r="W525" s="64"/>
      <c r="X525" s="64"/>
      <c r="Y525" s="64"/>
      <c r="Z525" s="64"/>
      <c r="AA525" s="64"/>
    </row>
    <row r="526" customFormat="false" ht="15.75" hidden="false" customHeight="true" outlineLevel="0" collapsed="false">
      <c r="A526" s="65" t="n">
        <v>46305</v>
      </c>
      <c r="B526" s="66" t="s">
        <v>497</v>
      </c>
      <c r="C526" s="67" t="str">
        <f aca="false" t="array" ref="C526:C526">IF(B526="","",IFERROR(INDEX('CLM &amp; IM Mapping'!$B$2:$B$270,MATCH(TRIM(B526),'CLM &amp; IM Mapping'!$A$2:$A$270,0)),"Not Mapped"))</f>
        <v>Narasimhamurthy R</v>
      </c>
      <c r="D526" s="67" t="str">
        <f aca="false" t="array" ref="D526:D526">IF(B526="","",IFERROR(INDEX('CLM &amp; IM Mapping'!$C$2:$C$270,MATCH(TRIM(B526),'CLM &amp; IM Mapping'!$A$2:$A$270,0)),"Not Mapped"))</f>
        <v>Kishor K</v>
      </c>
      <c r="E526" s="66" t="n">
        <v>0</v>
      </c>
      <c r="F526" s="66" t="n">
        <v>0</v>
      </c>
      <c r="G526" s="66" t="n">
        <v>0</v>
      </c>
      <c r="H526" s="66" t="n">
        <v>0</v>
      </c>
      <c r="I526" s="66" t="n">
        <v>0</v>
      </c>
      <c r="J526" s="66" t="n">
        <v>0</v>
      </c>
      <c r="K526" s="66" t="n">
        <v>0</v>
      </c>
      <c r="L526" s="66" t="n">
        <v>0</v>
      </c>
      <c r="M526" s="73" t="n">
        <v>0</v>
      </c>
      <c r="N526" s="73"/>
      <c r="O526" s="72"/>
      <c r="P526" s="67"/>
      <c r="Q526" s="64"/>
      <c r="R526" s="64"/>
      <c r="S526" s="64"/>
      <c r="T526" s="64"/>
      <c r="U526" s="64"/>
      <c r="V526" s="64"/>
      <c r="W526" s="64"/>
      <c r="X526" s="64"/>
      <c r="Y526" s="64"/>
      <c r="Z526" s="64"/>
      <c r="AA526" s="64"/>
    </row>
    <row r="527" customFormat="false" ht="15.75" hidden="false" customHeight="true" outlineLevel="0" collapsed="false">
      <c r="A527" s="65" t="n">
        <v>46305</v>
      </c>
      <c r="B527" s="66" t="s">
        <v>44</v>
      </c>
      <c r="C527" s="67" t="str">
        <f aca="false" t="array" ref="C527:C527">IF(B527="","",IFERROR(INDEX('CLM &amp; IM Mapping'!$B$2:$B$270,MATCH(TRIM(B527),'CLM &amp; IM Mapping'!$A$2:$A$270,0)),"Not Mapped"))</f>
        <v>Rizwan Ahmed</v>
      </c>
      <c r="D527" s="67" t="str">
        <f aca="false" t="array" ref="D527:D527">IF(B527="","",IFERROR(INDEX('CLM &amp; IM Mapping'!$C$2:$C$270,MATCH(TRIM(B527),'CLM &amp; IM Mapping'!$A$2:$A$270,0)),"Not Mapped"))</f>
        <v>Un Mapped</v>
      </c>
      <c r="E527" s="66" t="n">
        <v>2252</v>
      </c>
      <c r="F527" s="66" t="n">
        <v>0</v>
      </c>
      <c r="G527" s="66" t="n">
        <v>2252</v>
      </c>
      <c r="H527" s="66" t="n">
        <v>0</v>
      </c>
      <c r="I527" s="66" t="n">
        <v>0</v>
      </c>
      <c r="J527" s="66" t="n">
        <v>0</v>
      </c>
      <c r="K527" s="66" t="n">
        <v>0</v>
      </c>
      <c r="L527" s="66" t="n">
        <v>0</v>
      </c>
      <c r="M527" s="73" t="n">
        <v>0.005</v>
      </c>
      <c r="N527" s="73"/>
      <c r="O527" s="72"/>
      <c r="P527" s="67"/>
      <c r="Q527" s="64"/>
      <c r="R527" s="64"/>
      <c r="S527" s="64"/>
      <c r="T527" s="64"/>
      <c r="U527" s="64"/>
      <c r="V527" s="64"/>
      <c r="W527" s="64"/>
      <c r="X527" s="64"/>
      <c r="Y527" s="64"/>
      <c r="Z527" s="64"/>
      <c r="AA527" s="64"/>
    </row>
    <row r="528" customFormat="false" ht="15.75" hidden="false" customHeight="true" outlineLevel="0" collapsed="false">
      <c r="A528" s="65" t="n">
        <v>46305</v>
      </c>
      <c r="B528" s="66" t="s">
        <v>426</v>
      </c>
      <c r="C528" s="67" t="str">
        <f aca="false" t="array" ref="C528:C528">IF(B528="","",IFERROR(INDEX('CLM &amp; IM Mapping'!$B$2:$B$270,MATCH(TRIM(B528),'CLM &amp; IM Mapping'!$A$2:$A$270,0)),"Not Mapped"))</f>
        <v>Silambarasan E</v>
      </c>
      <c r="D528" s="67" t="str">
        <f aca="false" t="array" ref="D528:D528">IF(B528="","",IFERROR(INDEX('CLM &amp; IM Mapping'!$C$2:$C$270,MATCH(TRIM(B528),'CLM &amp; IM Mapping'!$A$2:$A$270,0)),"Not Mapped"))</f>
        <v>Arivind S</v>
      </c>
      <c r="E528" s="66" t="n">
        <v>2324</v>
      </c>
      <c r="F528" s="66" t="n">
        <v>2324</v>
      </c>
      <c r="G528" s="66" t="n">
        <v>0</v>
      </c>
      <c r="H528" s="66" t="n">
        <v>0</v>
      </c>
      <c r="I528" s="66" t="n">
        <v>0</v>
      </c>
      <c r="J528" s="66" t="n">
        <v>0</v>
      </c>
      <c r="K528" s="66" t="n">
        <v>0</v>
      </c>
      <c r="L528" s="66" t="n">
        <v>0</v>
      </c>
      <c r="M528" s="73" t="n">
        <v>0.008</v>
      </c>
      <c r="N528" s="73"/>
      <c r="O528" s="72"/>
      <c r="P528" s="67"/>
      <c r="Q528" s="64"/>
      <c r="R528" s="64"/>
      <c r="S528" s="64"/>
      <c r="T528" s="64"/>
      <c r="U528" s="64"/>
      <c r="V528" s="64"/>
      <c r="W528" s="64"/>
      <c r="X528" s="64"/>
      <c r="Y528" s="64"/>
      <c r="Z528" s="64"/>
      <c r="AA528" s="64"/>
    </row>
    <row r="529" customFormat="false" ht="15.75" hidden="false" customHeight="true" outlineLevel="0" collapsed="false">
      <c r="A529" s="65" t="n">
        <v>46305</v>
      </c>
      <c r="B529" s="66" t="s">
        <v>248</v>
      </c>
      <c r="C529" s="67" t="str">
        <f aca="false" t="array" ref="C529:C529">IF(B529="","",IFERROR(INDEX('CLM &amp; IM Mapping'!$B$2:$B$270,MATCH(TRIM(B529),'CLM &amp; IM Mapping'!$A$2:$A$270,0)),"Not Mapped"))</f>
        <v>Arun Raj</v>
      </c>
      <c r="D529" s="67" t="str">
        <f aca="false" t="array" ref="D529:D529">IF(B529="","",IFERROR(INDEX('CLM &amp; IM Mapping'!$C$2:$C$270,MATCH(TRIM(B529),'CLM &amp; IM Mapping'!$A$2:$A$270,0)),"Not Mapped"))</f>
        <v>Simon Manoharan</v>
      </c>
      <c r="E529" s="66" t="n">
        <v>0</v>
      </c>
      <c r="F529" s="66" t="n">
        <v>0</v>
      </c>
      <c r="G529" s="66" t="n">
        <v>0</v>
      </c>
      <c r="H529" s="66" t="n">
        <v>0</v>
      </c>
      <c r="I529" s="66" t="n">
        <v>0</v>
      </c>
      <c r="J529" s="66" t="n">
        <v>0</v>
      </c>
      <c r="K529" s="66" t="n">
        <v>0</v>
      </c>
      <c r="L529" s="66" t="n">
        <v>0</v>
      </c>
      <c r="M529" s="73"/>
      <c r="N529" s="73"/>
      <c r="O529" s="72"/>
      <c r="P529" s="67"/>
      <c r="Q529" s="64"/>
      <c r="R529" s="64"/>
      <c r="S529" s="64"/>
      <c r="T529" s="64"/>
      <c r="U529" s="64"/>
      <c r="V529" s="64"/>
      <c r="W529" s="64"/>
      <c r="X529" s="64"/>
      <c r="Y529" s="64"/>
      <c r="Z529" s="64"/>
      <c r="AA529" s="64"/>
    </row>
    <row r="530" customFormat="false" ht="15.75" hidden="false" customHeight="true" outlineLevel="0" collapsed="false">
      <c r="A530" s="65" t="n">
        <v>46305</v>
      </c>
      <c r="B530" s="66" t="s">
        <v>381</v>
      </c>
      <c r="C530" s="67" t="str">
        <f aca="false" t="array" ref="C530:C530">IF(B530="","",IFERROR(INDEX('CLM &amp; IM Mapping'!$B$2:$B$270,MATCH(TRIM(B530),'CLM &amp; IM Mapping'!$A$2:$A$270,0)),"Not Mapped"))</f>
        <v>Balaji G</v>
      </c>
      <c r="D530" s="67" t="str">
        <f aca="false" t="array" ref="D530:D530">IF(B530="","",IFERROR(INDEX('CLM &amp; IM Mapping'!$C$2:$C$270,MATCH(TRIM(B530),'CLM &amp; IM Mapping'!$A$2:$A$270,0)),"Not Mapped"))</f>
        <v>Mohammed Akbar</v>
      </c>
      <c r="E530" s="66" t="n">
        <v>46</v>
      </c>
      <c r="F530" s="66" t="n">
        <v>0</v>
      </c>
      <c r="G530" s="66" t="n">
        <v>0</v>
      </c>
      <c r="H530" s="66" t="n">
        <v>46</v>
      </c>
      <c r="I530" s="66" t="n">
        <v>0</v>
      </c>
      <c r="J530" s="66" t="n">
        <v>0</v>
      </c>
      <c r="K530" s="66" t="n">
        <v>0</v>
      </c>
      <c r="L530" s="66" t="n">
        <v>46</v>
      </c>
      <c r="M530" s="73" t="n">
        <v>0</v>
      </c>
      <c r="N530" s="73"/>
      <c r="O530" s="72"/>
      <c r="P530" s="67"/>
      <c r="Q530" s="64"/>
      <c r="R530" s="64"/>
      <c r="S530" s="64"/>
      <c r="T530" s="64"/>
      <c r="U530" s="64"/>
      <c r="V530" s="64"/>
      <c r="W530" s="64"/>
      <c r="X530" s="64"/>
      <c r="Y530" s="64"/>
      <c r="Z530" s="64"/>
      <c r="AA530" s="64"/>
    </row>
    <row r="531" customFormat="false" ht="15.75" hidden="false" customHeight="true" outlineLevel="0" collapsed="false">
      <c r="A531" s="65" t="n">
        <v>46305</v>
      </c>
      <c r="B531" s="66" t="s">
        <v>281</v>
      </c>
      <c r="C531" s="67" t="str">
        <f aca="false" t="array" ref="C531:C531">IF(B531="","",IFERROR(INDEX('CLM &amp; IM Mapping'!$B$2:$B$270,MATCH(TRIM(B531),'CLM &amp; IM Mapping'!$A$2:$A$270,0)),"Not Mapped"))</f>
        <v>Balaji G</v>
      </c>
      <c r="D531" s="67" t="str">
        <f aca="false" t="array" ref="D531:D531">IF(B531="","",IFERROR(INDEX('CLM &amp; IM Mapping'!$C$2:$C$270,MATCH(TRIM(B531),'CLM &amp; IM Mapping'!$A$2:$A$270,0)),"Not Mapped"))</f>
        <v>Mohammed Akbar</v>
      </c>
      <c r="E531" s="66" t="n">
        <v>400</v>
      </c>
      <c r="F531" s="66" t="n">
        <v>212</v>
      </c>
      <c r="G531" s="66" t="n">
        <v>0</v>
      </c>
      <c r="H531" s="66" t="n">
        <v>188</v>
      </c>
      <c r="I531" s="66" t="n">
        <v>0</v>
      </c>
      <c r="J531" s="66" t="n">
        <v>0</v>
      </c>
      <c r="K531" s="66" t="n">
        <v>0</v>
      </c>
      <c r="L531" s="66" t="n">
        <v>188</v>
      </c>
      <c r="M531" s="73" t="n">
        <v>0.003</v>
      </c>
      <c r="N531" s="73"/>
      <c r="O531" s="72"/>
      <c r="P531" s="67"/>
      <c r="Q531" s="64"/>
      <c r="R531" s="64"/>
      <c r="S531" s="64"/>
      <c r="T531" s="64"/>
      <c r="U531" s="64"/>
      <c r="V531" s="64"/>
      <c r="W531" s="64"/>
      <c r="X531" s="64"/>
      <c r="Y531" s="64"/>
      <c r="Z531" s="64"/>
      <c r="AA531" s="64"/>
    </row>
    <row r="532" customFormat="false" ht="15.75" hidden="false" customHeight="true" outlineLevel="0" collapsed="false">
      <c r="A532" s="65" t="n">
        <v>46305</v>
      </c>
      <c r="B532" s="66" t="s">
        <v>120</v>
      </c>
      <c r="C532" s="67" t="str">
        <f aca="false" t="array" ref="C532:C532">IF(B532="","",IFERROR(INDEX('CLM &amp; IM Mapping'!$B$2:$B$270,MATCH(TRIM(B532),'CLM &amp; IM Mapping'!$A$2:$A$270,0)),"Not Mapped"))</f>
        <v>Balaji G</v>
      </c>
      <c r="D532" s="67" t="str">
        <f aca="false" t="array" ref="D532:D532">IF(B532="","",IFERROR(INDEX('CLM &amp; IM Mapping'!$C$2:$C$270,MATCH(TRIM(B532),'CLM &amp; IM Mapping'!$A$2:$A$270,0)),"Not Mapped"))</f>
        <v>Mohammed Akbar</v>
      </c>
      <c r="E532" s="66" t="n">
        <v>0</v>
      </c>
      <c r="F532" s="66" t="n">
        <v>0</v>
      </c>
      <c r="G532" s="66" t="n">
        <v>0</v>
      </c>
      <c r="H532" s="66" t="n">
        <v>0</v>
      </c>
      <c r="I532" s="66" t="n">
        <v>0</v>
      </c>
      <c r="J532" s="66" t="n">
        <v>0</v>
      </c>
      <c r="K532" s="66" t="n">
        <v>0</v>
      </c>
      <c r="L532" s="66" t="n">
        <v>0</v>
      </c>
      <c r="M532" s="73" t="n">
        <v>0</v>
      </c>
      <c r="N532" s="73"/>
      <c r="O532" s="72"/>
      <c r="P532" s="67"/>
      <c r="Q532" s="64"/>
      <c r="R532" s="64"/>
      <c r="S532" s="64"/>
      <c r="T532" s="64"/>
      <c r="U532" s="64"/>
      <c r="V532" s="64"/>
      <c r="W532" s="64"/>
      <c r="X532" s="64"/>
      <c r="Y532" s="64"/>
      <c r="Z532" s="64"/>
      <c r="AA532" s="64"/>
    </row>
    <row r="533" customFormat="false" ht="15.75" hidden="false" customHeight="true" outlineLevel="0" collapsed="false">
      <c r="A533" s="65" t="n">
        <v>46305</v>
      </c>
      <c r="B533" s="66" t="s">
        <v>433</v>
      </c>
      <c r="C533" s="67" t="str">
        <f aca="false" t="array" ref="C533:C533">IF(B533="","",IFERROR(INDEX('CLM &amp; IM Mapping'!$B$2:$B$270,MATCH(TRIM(B533),'CLM &amp; IM Mapping'!$A$2:$A$270,0)),"Not Mapped"))</f>
        <v>Silambarasan E</v>
      </c>
      <c r="D533" s="67" t="str">
        <f aca="false" t="array" ref="D533:D533">IF(B533="","",IFERROR(INDEX('CLM &amp; IM Mapping'!$C$2:$C$270,MATCH(TRIM(B533),'CLM &amp; IM Mapping'!$A$2:$A$270,0)),"Not Mapped"))</f>
        <v>Arivind S</v>
      </c>
      <c r="E533" s="66" t="n">
        <v>0</v>
      </c>
      <c r="F533" s="66" t="n">
        <v>0</v>
      </c>
      <c r="G533" s="66" t="n">
        <v>0</v>
      </c>
      <c r="H533" s="66" t="n">
        <v>0</v>
      </c>
      <c r="I533" s="66" t="n">
        <v>0</v>
      </c>
      <c r="J533" s="66" t="n">
        <v>0</v>
      </c>
      <c r="K533" s="66" t="n">
        <v>0</v>
      </c>
      <c r="L533" s="66" t="n">
        <v>0</v>
      </c>
      <c r="M533" s="73" t="n">
        <v>0</v>
      </c>
      <c r="N533" s="73"/>
      <c r="O533" s="72"/>
      <c r="P533" s="67"/>
      <c r="Q533" s="64"/>
      <c r="R533" s="64"/>
      <c r="S533" s="64"/>
      <c r="T533" s="64"/>
      <c r="U533" s="64"/>
      <c r="V533" s="64"/>
      <c r="W533" s="64"/>
      <c r="X533" s="64"/>
      <c r="Y533" s="64"/>
      <c r="Z533" s="64"/>
      <c r="AA533" s="64"/>
    </row>
    <row r="534" customFormat="false" ht="15.75" hidden="false" customHeight="true" outlineLevel="0" collapsed="false">
      <c r="A534" s="65" t="n">
        <v>46305</v>
      </c>
      <c r="B534" s="66" t="s">
        <v>508</v>
      </c>
      <c r="C534" s="67" t="str">
        <f aca="false" t="array" ref="C534:C534">IF(B534="","",IFERROR(INDEX('CLM &amp; IM Mapping'!$B$2:$B$270,MATCH(TRIM(B534),'CLM &amp; IM Mapping'!$A$2:$A$270,0)),"Not Mapped"))</f>
        <v>Ravishankar gowda</v>
      </c>
      <c r="D534" s="67" t="str">
        <f aca="false" t="array" ref="D534:D534">IF(B534="","",IFERROR(INDEX('CLM &amp; IM Mapping'!$C$2:$C$270,MATCH(TRIM(B534),'CLM &amp; IM Mapping'!$A$2:$A$270,0)),"Not Mapped"))</f>
        <v>Kishor K</v>
      </c>
      <c r="E534" s="66" t="n">
        <v>7079</v>
      </c>
      <c r="F534" s="66" t="n">
        <v>7079</v>
      </c>
      <c r="G534" s="66" t="n">
        <v>0</v>
      </c>
      <c r="H534" s="66" t="n">
        <v>0</v>
      </c>
      <c r="I534" s="66" t="n">
        <v>0</v>
      </c>
      <c r="J534" s="66" t="n">
        <v>0</v>
      </c>
      <c r="K534" s="66" t="n">
        <v>0</v>
      </c>
      <c r="L534" s="66" t="n">
        <v>0</v>
      </c>
      <c r="M534" s="73" t="n">
        <v>0</v>
      </c>
      <c r="N534" s="73"/>
      <c r="O534" s="72"/>
      <c r="P534" s="67"/>
      <c r="Q534" s="64"/>
      <c r="R534" s="64"/>
      <c r="S534" s="64"/>
      <c r="T534" s="64"/>
      <c r="U534" s="64"/>
      <c r="V534" s="64"/>
      <c r="W534" s="64"/>
      <c r="X534" s="64"/>
      <c r="Y534" s="64"/>
      <c r="Z534" s="64"/>
      <c r="AA534" s="64"/>
    </row>
    <row r="535" customFormat="false" ht="15.75" hidden="false" customHeight="true" outlineLevel="0" collapsed="false">
      <c r="A535" s="65" t="n">
        <v>46305</v>
      </c>
      <c r="B535" s="66" t="s">
        <v>173</v>
      </c>
      <c r="C535" s="67" t="str">
        <f aca="false" t="array" ref="C535:C535">IF(B535="","",IFERROR(INDEX('CLM &amp; IM Mapping'!$B$2:$B$270,MATCH(TRIM(B535),'CLM &amp; IM Mapping'!$A$2:$A$270,0)),"Not Mapped"))</f>
        <v>Akshay P</v>
      </c>
      <c r="D535" s="67" t="str">
        <f aca="false" t="array" ref="D535:D535">IF(B535="","",IFERROR(INDEX('CLM &amp; IM Mapping'!$C$2:$C$270,MATCH(TRIM(B535),'CLM &amp; IM Mapping'!$A$2:$A$270,0)),"Not Mapped"))</f>
        <v>Srittam Dhal</v>
      </c>
      <c r="E535" s="66" t="n">
        <v>1534</v>
      </c>
      <c r="F535" s="66" t="n">
        <v>898</v>
      </c>
      <c r="G535" s="66" t="n">
        <v>0</v>
      </c>
      <c r="H535" s="66" t="n">
        <v>636</v>
      </c>
      <c r="I535" s="66" t="n">
        <v>0</v>
      </c>
      <c r="J535" s="66" t="n">
        <v>0</v>
      </c>
      <c r="K535" s="66" t="n">
        <v>0</v>
      </c>
      <c r="L535" s="66" t="n">
        <v>636</v>
      </c>
      <c r="M535" s="73" t="n">
        <v>0.002</v>
      </c>
      <c r="N535" s="73"/>
      <c r="O535" s="72"/>
      <c r="P535" s="67"/>
      <c r="Q535" s="64"/>
      <c r="R535" s="64"/>
      <c r="S535" s="64"/>
      <c r="T535" s="64"/>
      <c r="U535" s="64"/>
      <c r="V535" s="64"/>
      <c r="W535" s="64"/>
      <c r="X535" s="64"/>
      <c r="Y535" s="64"/>
      <c r="Z535" s="64"/>
      <c r="AA535" s="64"/>
    </row>
    <row r="536" customFormat="false" ht="15.75" hidden="false" customHeight="true" outlineLevel="0" collapsed="false">
      <c r="A536" s="65" t="n">
        <v>46305</v>
      </c>
      <c r="B536" s="66" t="s">
        <v>460</v>
      </c>
      <c r="C536" s="67" t="str">
        <f aca="false" t="array" ref="C536:C536">IF(B536="","",IFERROR(INDEX('CLM &amp; IM Mapping'!$B$2:$B$270,MATCH(TRIM(B536),'CLM &amp; IM Mapping'!$A$2:$A$270,0)),"Not Mapped"))</f>
        <v>Vijay M</v>
      </c>
      <c r="D536" s="67" t="str">
        <f aca="false" t="array" ref="D536:D536">IF(B536="","",IFERROR(INDEX('CLM &amp; IM Mapping'!$C$2:$C$270,MATCH(TRIM(B536),'CLM &amp; IM Mapping'!$A$2:$A$270,0)),"Not Mapped"))</f>
        <v>Kantha Kumar</v>
      </c>
      <c r="E536" s="66" t="n">
        <v>11020</v>
      </c>
      <c r="F536" s="66" t="n">
        <v>25</v>
      </c>
      <c r="G536" s="66" t="n">
        <v>2594</v>
      </c>
      <c r="H536" s="66" t="n">
        <v>67</v>
      </c>
      <c r="I536" s="66" t="n">
        <v>2704</v>
      </c>
      <c r="J536" s="66" t="n">
        <v>2305</v>
      </c>
      <c r="K536" s="66" t="n">
        <v>3325</v>
      </c>
      <c r="L536" s="66" t="n">
        <v>8401</v>
      </c>
      <c r="M536" s="73" t="n">
        <v>0.155</v>
      </c>
      <c r="N536" s="73"/>
      <c r="O536" s="72"/>
      <c r="P536" s="67"/>
      <c r="Q536" s="64"/>
      <c r="R536" s="64"/>
      <c r="S536" s="64"/>
      <c r="T536" s="64"/>
      <c r="U536" s="64"/>
      <c r="V536" s="64"/>
      <c r="W536" s="64"/>
      <c r="X536" s="64"/>
      <c r="Y536" s="64"/>
      <c r="Z536" s="64"/>
      <c r="AA536" s="64"/>
    </row>
    <row r="537" customFormat="false" ht="15.75" hidden="false" customHeight="true" outlineLevel="0" collapsed="false">
      <c r="A537" s="65" t="n">
        <v>46305</v>
      </c>
      <c r="B537" s="66" t="s">
        <v>92</v>
      </c>
      <c r="C537" s="67" t="str">
        <f aca="false" t="array" ref="C537:C537">IF(B537="","",IFERROR(INDEX('CLM &amp; IM Mapping'!$B$2:$B$270,MATCH(TRIM(B537),'CLM &amp; IM Mapping'!$A$2:$A$270,0)),"Not Mapped"))</f>
        <v>Balaji G</v>
      </c>
      <c r="D537" s="67" t="str">
        <f aca="false" t="array" ref="D537:D537">IF(B537="","",IFERROR(INDEX('CLM &amp; IM Mapping'!$C$2:$C$270,MATCH(TRIM(B537),'CLM &amp; IM Mapping'!$A$2:$A$270,0)),"Not Mapped"))</f>
        <v>Mohammed Akbar</v>
      </c>
      <c r="E537" s="66" t="n">
        <v>0</v>
      </c>
      <c r="F537" s="66" t="n">
        <v>0</v>
      </c>
      <c r="G537" s="66" t="n">
        <v>0</v>
      </c>
      <c r="H537" s="66" t="n">
        <v>0</v>
      </c>
      <c r="I537" s="66" t="n">
        <v>0</v>
      </c>
      <c r="J537" s="66" t="n">
        <v>0</v>
      </c>
      <c r="K537" s="66" t="n">
        <v>0</v>
      </c>
      <c r="L537" s="66" t="n">
        <v>0</v>
      </c>
      <c r="M537" s="73" t="n">
        <v>0</v>
      </c>
      <c r="N537" s="73"/>
      <c r="O537" s="72"/>
      <c r="P537" s="67"/>
      <c r="Q537" s="64"/>
      <c r="R537" s="64"/>
      <c r="S537" s="64"/>
      <c r="T537" s="64"/>
      <c r="U537" s="64"/>
      <c r="V537" s="64"/>
      <c r="W537" s="64"/>
      <c r="X537" s="64"/>
      <c r="Y537" s="64"/>
      <c r="Z537" s="64"/>
      <c r="AA537" s="64"/>
    </row>
    <row r="538" customFormat="false" ht="15.75" hidden="false" customHeight="true" outlineLevel="0" collapsed="false">
      <c r="A538" s="65" t="n">
        <v>46305</v>
      </c>
      <c r="B538" s="66" t="s">
        <v>463</v>
      </c>
      <c r="C538" s="67" t="str">
        <f aca="false" t="array" ref="C538:C538">IF(B538="","",IFERROR(INDEX('CLM &amp; IM Mapping'!$B$2:$B$270,MATCH(TRIM(B538),'CLM &amp; IM Mapping'!$A$2:$A$270,0)),"Not Mapped"))</f>
        <v>Ashwath S</v>
      </c>
      <c r="D538" s="67" t="str">
        <f aca="false" t="array" ref="D538:D538">IF(B538="","",IFERROR(INDEX('CLM &amp; IM Mapping'!$C$2:$C$270,MATCH(TRIM(B538),'CLM &amp; IM Mapping'!$A$2:$A$270,0)),"Not Mapped"))</f>
        <v>Kantha Kumar</v>
      </c>
      <c r="E538" s="66" t="n">
        <v>1106</v>
      </c>
      <c r="F538" s="66" t="n">
        <v>707</v>
      </c>
      <c r="G538" s="66" t="n">
        <v>399</v>
      </c>
      <c r="H538" s="66" t="n">
        <v>0</v>
      </c>
      <c r="I538" s="66" t="n">
        <v>0</v>
      </c>
      <c r="J538" s="66" t="n">
        <v>0</v>
      </c>
      <c r="K538" s="66" t="n">
        <v>0</v>
      </c>
      <c r="L538" s="66" t="n">
        <v>0</v>
      </c>
      <c r="M538" s="73" t="n">
        <v>0.002</v>
      </c>
      <c r="N538" s="73"/>
      <c r="O538" s="72"/>
      <c r="P538" s="67"/>
      <c r="Q538" s="64"/>
      <c r="R538" s="64"/>
      <c r="S538" s="64"/>
      <c r="T538" s="64"/>
      <c r="U538" s="64"/>
      <c r="V538" s="64"/>
      <c r="W538" s="64"/>
      <c r="X538" s="64"/>
      <c r="Y538" s="64"/>
      <c r="Z538" s="64"/>
      <c r="AA538" s="64"/>
    </row>
    <row r="539" customFormat="false" ht="15.75" hidden="false" customHeight="true" outlineLevel="0" collapsed="false">
      <c r="A539" s="65" t="n">
        <v>46305</v>
      </c>
      <c r="B539" s="66" t="s">
        <v>454</v>
      </c>
      <c r="C539" s="67" t="str">
        <f aca="false" t="array" ref="C539:C539">IF(B539="","",IFERROR(INDEX('CLM &amp; IM Mapping'!$B$2:$B$270,MATCH(TRIM(B539),'CLM &amp; IM Mapping'!$A$2:$A$270,0)),"Not Mapped"))</f>
        <v>Balaji G</v>
      </c>
      <c r="D539" s="67" t="str">
        <f aca="false" t="array" ref="D539:D539">IF(B539="","",IFERROR(INDEX('CLM &amp; IM Mapping'!$C$2:$C$270,MATCH(TRIM(B539),'CLM &amp; IM Mapping'!$A$2:$A$270,0)),"Not Mapped"))</f>
        <v>Mohammed Akbar</v>
      </c>
      <c r="E539" s="66" t="n">
        <v>0</v>
      </c>
      <c r="F539" s="66" t="n">
        <v>0</v>
      </c>
      <c r="G539" s="66" t="n">
        <v>0</v>
      </c>
      <c r="H539" s="66" t="n">
        <v>0</v>
      </c>
      <c r="I539" s="66" t="n">
        <v>0</v>
      </c>
      <c r="J539" s="66" t="n">
        <v>0</v>
      </c>
      <c r="K539" s="66" t="n">
        <v>0</v>
      </c>
      <c r="L539" s="66" t="n">
        <v>0</v>
      </c>
      <c r="M539" s="73" t="n">
        <v>0</v>
      </c>
      <c r="N539" s="73"/>
      <c r="O539" s="72"/>
      <c r="P539" s="67"/>
      <c r="Q539" s="64"/>
      <c r="R539" s="64"/>
      <c r="S539" s="64"/>
      <c r="T539" s="64"/>
      <c r="U539" s="64"/>
      <c r="V539" s="64"/>
      <c r="W539" s="64"/>
      <c r="X539" s="64"/>
      <c r="Y539" s="64"/>
      <c r="Z539" s="64"/>
      <c r="AA539" s="64"/>
    </row>
    <row r="540" customFormat="false" ht="15.75" hidden="false" customHeight="true" outlineLevel="0" collapsed="false">
      <c r="A540" s="65" t="n">
        <v>46305</v>
      </c>
      <c r="B540" s="66" t="s">
        <v>134</v>
      </c>
      <c r="C540" s="67" t="str">
        <f aca="false" t="array" ref="C540:C540">IF(B540="","",IFERROR(INDEX('CLM &amp; IM Mapping'!$B$2:$B$270,MATCH(TRIM(B540),'CLM &amp; IM Mapping'!$A$2:$A$270,0)),"Not Mapped"))</f>
        <v>Raghavendra Vernekar</v>
      </c>
      <c r="D540" s="67" t="str">
        <f aca="false" t="array" ref="D540:D540">IF(B540="","",IFERROR(INDEX('CLM &amp; IM Mapping'!$C$2:$C$270,MATCH(TRIM(B540),'CLM &amp; IM Mapping'!$A$2:$A$270,0)),"Not Mapped"))</f>
        <v>Prakash BS</v>
      </c>
      <c r="E540" s="66" t="n">
        <v>2223</v>
      </c>
      <c r="F540" s="66" t="n">
        <v>0</v>
      </c>
      <c r="G540" s="66" t="n">
        <v>2207</v>
      </c>
      <c r="H540" s="66" t="n">
        <v>16</v>
      </c>
      <c r="I540" s="66" t="n">
        <v>0</v>
      </c>
      <c r="J540" s="66" t="n">
        <v>0</v>
      </c>
      <c r="K540" s="66" t="n">
        <v>0</v>
      </c>
      <c r="L540" s="66" t="n">
        <v>16</v>
      </c>
      <c r="M540" s="73" t="n">
        <v>0.005</v>
      </c>
      <c r="N540" s="73"/>
      <c r="O540" s="72"/>
      <c r="P540" s="67"/>
      <c r="Q540" s="64"/>
      <c r="R540" s="64"/>
      <c r="S540" s="64"/>
      <c r="T540" s="64"/>
      <c r="U540" s="64"/>
      <c r="V540" s="64"/>
      <c r="W540" s="64"/>
      <c r="X540" s="64"/>
      <c r="Y540" s="64"/>
      <c r="Z540" s="64"/>
      <c r="AA540" s="64"/>
    </row>
    <row r="541" customFormat="false" ht="15.75" hidden="false" customHeight="true" outlineLevel="0" collapsed="false">
      <c r="A541" s="65" t="n">
        <v>46305</v>
      </c>
      <c r="B541" s="66" t="s">
        <v>191</v>
      </c>
      <c r="C541" s="67" t="str">
        <f aca="false" t="array" ref="C541:C541">IF(B541="","",IFERROR(INDEX('CLM &amp; IM Mapping'!$B$2:$B$270,MATCH(TRIM(B541),'CLM &amp; IM Mapping'!$A$2:$A$270,0)),"Not Mapped"))</f>
        <v>Adhavan Subramani</v>
      </c>
      <c r="D541" s="67" t="str">
        <f aca="false" t="array" ref="D541:D541">IF(B541="","",IFERROR(INDEX('CLM &amp; IM Mapping'!$C$2:$C$270,MATCH(TRIM(B541),'CLM &amp; IM Mapping'!$A$2:$A$270,0)),"Not Mapped"))</f>
        <v>Mohammed Akbar</v>
      </c>
      <c r="E541" s="66" t="n">
        <v>0</v>
      </c>
      <c r="F541" s="66" t="n">
        <v>0</v>
      </c>
      <c r="G541" s="66" t="n">
        <v>0</v>
      </c>
      <c r="H541" s="66" t="n">
        <v>0</v>
      </c>
      <c r="I541" s="66" t="n">
        <v>0</v>
      </c>
      <c r="J541" s="66" t="n">
        <v>0</v>
      </c>
      <c r="K541" s="66" t="n">
        <v>0</v>
      </c>
      <c r="L541" s="66" t="n">
        <v>0</v>
      </c>
      <c r="M541" s="73"/>
      <c r="N541" s="73"/>
      <c r="O541" s="72"/>
      <c r="P541" s="67"/>
      <c r="Q541" s="64"/>
      <c r="R541" s="64"/>
      <c r="S541" s="64"/>
      <c r="T541" s="64"/>
      <c r="U541" s="64"/>
      <c r="V541" s="64"/>
      <c r="W541" s="64"/>
      <c r="X541" s="64"/>
      <c r="Y541" s="64"/>
      <c r="Z541" s="64"/>
      <c r="AA541" s="64"/>
    </row>
    <row r="542" customFormat="false" ht="15.75" hidden="false" customHeight="true" outlineLevel="0" collapsed="false">
      <c r="A542" s="65" t="n">
        <v>46305</v>
      </c>
      <c r="B542" s="66" t="s">
        <v>290</v>
      </c>
      <c r="C542" s="67" t="str">
        <f aca="false" t="array" ref="C542:C542">IF(B542="","",IFERROR(INDEX('CLM &amp; IM Mapping'!$B$2:$B$270,MATCH(TRIM(B542),'CLM &amp; IM Mapping'!$A$2:$A$270,0)),"Not Mapped"))</f>
        <v>Akshay P</v>
      </c>
      <c r="D542" s="67" t="str">
        <f aca="false" t="array" ref="D542:D542">IF(B542="","",IFERROR(INDEX('CLM &amp; IM Mapping'!$C$2:$C$270,MATCH(TRIM(B542),'CLM &amp; IM Mapping'!$A$2:$A$270,0)),"Not Mapped"))</f>
        <v>Srittam Dhal</v>
      </c>
      <c r="E542" s="66" t="n">
        <v>457</v>
      </c>
      <c r="F542" s="66" t="n">
        <v>79</v>
      </c>
      <c r="G542" s="66" t="n">
        <v>0</v>
      </c>
      <c r="H542" s="66" t="n">
        <v>378</v>
      </c>
      <c r="I542" s="66" t="n">
        <v>0</v>
      </c>
      <c r="J542" s="66" t="n">
        <v>0</v>
      </c>
      <c r="K542" s="66" t="n">
        <v>0</v>
      </c>
      <c r="L542" s="66" t="n">
        <v>378</v>
      </c>
      <c r="M542" s="73" t="n">
        <v>0.006</v>
      </c>
      <c r="N542" s="73"/>
      <c r="O542" s="72"/>
      <c r="P542" s="67"/>
      <c r="Q542" s="64"/>
      <c r="R542" s="64"/>
      <c r="S542" s="64"/>
      <c r="T542" s="64"/>
      <c r="U542" s="64"/>
      <c r="V542" s="64"/>
      <c r="W542" s="64"/>
      <c r="X542" s="64"/>
      <c r="Y542" s="64"/>
      <c r="Z542" s="64"/>
      <c r="AA542" s="64"/>
    </row>
    <row r="543" customFormat="false" ht="15.75" hidden="false" customHeight="true" outlineLevel="0" collapsed="false">
      <c r="A543" s="65" t="n">
        <v>46305</v>
      </c>
      <c r="B543" s="66" t="s">
        <v>339</v>
      </c>
      <c r="C543" s="67" t="str">
        <f aca="false" t="array" ref="C543:C543">IF(B543="","",IFERROR(INDEX('CLM &amp; IM Mapping'!$B$2:$B$270,MATCH(TRIM(B543),'CLM &amp; IM Mapping'!$A$2:$A$270,0)),"Not Mapped"))</f>
        <v>Ravishankar gowda</v>
      </c>
      <c r="D543" s="67" t="str">
        <f aca="false" t="array" ref="D543:D543">IF(B543="","",IFERROR(INDEX('CLM &amp; IM Mapping'!$C$2:$C$270,MATCH(TRIM(B543),'CLM &amp; IM Mapping'!$A$2:$A$270,0)),"Not Mapped"))</f>
        <v>Kishor K</v>
      </c>
      <c r="E543" s="66" t="n">
        <v>0</v>
      </c>
      <c r="F543" s="66" t="n">
        <v>0</v>
      </c>
      <c r="G543" s="66" t="n">
        <v>0</v>
      </c>
      <c r="H543" s="66" t="n">
        <v>0</v>
      </c>
      <c r="I543" s="66" t="n">
        <v>0</v>
      </c>
      <c r="J543" s="66" t="n">
        <v>0</v>
      </c>
      <c r="K543" s="66" t="n">
        <v>0</v>
      </c>
      <c r="L543" s="66" t="n">
        <v>0</v>
      </c>
      <c r="M543" s="73" t="n">
        <v>0</v>
      </c>
      <c r="N543" s="73"/>
      <c r="O543" s="72"/>
      <c r="P543" s="67"/>
      <c r="Q543" s="64"/>
      <c r="R543" s="64"/>
      <c r="S543" s="64"/>
      <c r="T543" s="64"/>
      <c r="U543" s="64"/>
      <c r="V543" s="64"/>
      <c r="W543" s="64"/>
      <c r="X543" s="64"/>
      <c r="Y543" s="64"/>
      <c r="Z543" s="64"/>
      <c r="AA543" s="64"/>
    </row>
    <row r="544" customFormat="false" ht="15.75" hidden="false" customHeight="true" outlineLevel="0" collapsed="false">
      <c r="A544" s="65" t="n">
        <v>46305</v>
      </c>
      <c r="B544" s="66" t="s">
        <v>500</v>
      </c>
      <c r="C544" s="67" t="str">
        <f aca="false" t="array" ref="C544:C544">IF(B544="","",IFERROR(INDEX('CLM &amp; IM Mapping'!$B$2:$B$270,MATCH(TRIM(B544),'CLM &amp; IM Mapping'!$A$2:$A$270,0)),"Not Mapped"))</f>
        <v>Ravishankar gowda</v>
      </c>
      <c r="D544" s="67" t="str">
        <f aca="false" t="array" ref="D544:D544">IF(B544="","",IFERROR(INDEX('CLM &amp; IM Mapping'!$C$2:$C$270,MATCH(TRIM(B544),'CLM &amp; IM Mapping'!$A$2:$A$270,0)),"Not Mapped"))</f>
        <v>Kishor K</v>
      </c>
      <c r="E544" s="66" t="n">
        <v>678</v>
      </c>
      <c r="F544" s="66" t="n">
        <v>0</v>
      </c>
      <c r="G544" s="66" t="n">
        <v>0</v>
      </c>
      <c r="H544" s="66" t="n">
        <v>678</v>
      </c>
      <c r="I544" s="66" t="n">
        <v>0</v>
      </c>
      <c r="J544" s="66" t="n">
        <v>0</v>
      </c>
      <c r="K544" s="66" t="n">
        <v>0</v>
      </c>
      <c r="L544" s="66" t="n">
        <v>678</v>
      </c>
      <c r="M544" s="73" t="n">
        <v>0.011</v>
      </c>
      <c r="N544" s="73"/>
      <c r="O544" s="72"/>
      <c r="P544" s="67"/>
      <c r="Q544" s="64"/>
      <c r="R544" s="64"/>
      <c r="S544" s="64"/>
      <c r="T544" s="64"/>
      <c r="U544" s="64"/>
      <c r="V544" s="64"/>
      <c r="W544" s="64"/>
      <c r="X544" s="64"/>
      <c r="Y544" s="64"/>
      <c r="Z544" s="64"/>
      <c r="AA544" s="64"/>
    </row>
    <row r="545" customFormat="false" ht="15.75" hidden="false" customHeight="true" outlineLevel="0" collapsed="false">
      <c r="A545" s="65" t="n">
        <v>46305</v>
      </c>
      <c r="B545" s="66" t="s">
        <v>129</v>
      </c>
      <c r="C545" s="67" t="str">
        <f aca="false" t="array" ref="C545:C545">IF(B545="","",IFERROR(INDEX('CLM &amp; IM Mapping'!$B$2:$B$270,MATCH(TRIM(B545),'CLM &amp; IM Mapping'!$A$2:$A$270,0)),"Not Mapped"))</f>
        <v>Ashwath S</v>
      </c>
      <c r="D545" s="67" t="str">
        <f aca="false" t="array" ref="D545:D545">IF(B545="","",IFERROR(INDEX('CLM &amp; IM Mapping'!$C$2:$C$270,MATCH(TRIM(B545),'CLM &amp; IM Mapping'!$A$2:$A$270,0)),"Not Mapped"))</f>
        <v>Kantha Kumar</v>
      </c>
      <c r="E545" s="66" t="n">
        <v>0</v>
      </c>
      <c r="F545" s="66" t="n">
        <v>0</v>
      </c>
      <c r="G545" s="66" t="n">
        <v>0</v>
      </c>
      <c r="H545" s="66" t="n">
        <v>0</v>
      </c>
      <c r="I545" s="66" t="n">
        <v>0</v>
      </c>
      <c r="J545" s="66" t="n">
        <v>0</v>
      </c>
      <c r="K545" s="66" t="n">
        <v>0</v>
      </c>
      <c r="L545" s="66" t="n">
        <v>0</v>
      </c>
      <c r="M545" s="73" t="n">
        <v>0</v>
      </c>
      <c r="N545" s="73"/>
      <c r="O545" s="72"/>
      <c r="P545" s="67"/>
      <c r="Q545" s="64"/>
      <c r="R545" s="64"/>
      <c r="S545" s="64"/>
      <c r="T545" s="64"/>
      <c r="U545" s="64"/>
      <c r="V545" s="64"/>
      <c r="W545" s="64"/>
      <c r="X545" s="64"/>
      <c r="Y545" s="64"/>
      <c r="Z545" s="64"/>
      <c r="AA545" s="64"/>
    </row>
    <row r="546" customFormat="false" ht="15.75" hidden="false" customHeight="true" outlineLevel="0" collapsed="false">
      <c r="A546" s="65" t="n">
        <v>46305</v>
      </c>
      <c r="B546" s="66" t="s">
        <v>312</v>
      </c>
      <c r="C546" s="67" t="str">
        <f aca="false" t="array" ref="C546:C546">IF(B546="","",IFERROR(INDEX('CLM &amp; IM Mapping'!$B$2:$B$270,MATCH(TRIM(B546),'CLM &amp; IM Mapping'!$A$2:$A$270,0)),"Not Mapped"))</f>
        <v>Manoj Kj</v>
      </c>
      <c r="D546" s="67" t="str">
        <f aca="false" t="array" ref="D546:D546">IF(B546="","",IFERROR(INDEX('CLM &amp; IM Mapping'!$C$2:$C$270,MATCH(TRIM(B546),'CLM &amp; IM Mapping'!$A$2:$A$270,0)),"Not Mapped"))</f>
        <v>Srittam Dhal</v>
      </c>
      <c r="E546" s="66" t="n">
        <v>0</v>
      </c>
      <c r="F546" s="66" t="n">
        <v>0</v>
      </c>
      <c r="G546" s="66" t="n">
        <v>0</v>
      </c>
      <c r="H546" s="66" t="n">
        <v>0</v>
      </c>
      <c r="I546" s="66" t="n">
        <v>0</v>
      </c>
      <c r="J546" s="66" t="n">
        <v>0</v>
      </c>
      <c r="K546" s="66" t="n">
        <v>0</v>
      </c>
      <c r="L546" s="66" t="n">
        <v>0</v>
      </c>
      <c r="M546" s="73" t="n">
        <v>0</v>
      </c>
      <c r="N546" s="73"/>
      <c r="O546" s="72"/>
      <c r="P546" s="67"/>
      <c r="Q546" s="64"/>
      <c r="R546" s="64"/>
      <c r="S546" s="64"/>
      <c r="T546" s="64"/>
      <c r="U546" s="64"/>
      <c r="V546" s="64"/>
      <c r="W546" s="64"/>
      <c r="X546" s="64"/>
      <c r="Y546" s="64"/>
      <c r="Z546" s="64"/>
      <c r="AA546" s="64"/>
    </row>
    <row r="547" customFormat="false" ht="15.75" hidden="false" customHeight="true" outlineLevel="0" collapsed="false">
      <c r="A547" s="65" t="n">
        <v>46305</v>
      </c>
      <c r="B547" s="66" t="s">
        <v>530</v>
      </c>
      <c r="C547" s="67" t="str">
        <f aca="false" t="array" ref="C547:C547">IF(B547="","",IFERROR(INDEX('CLM &amp; IM Mapping'!$B$2:$B$270,MATCH(TRIM(B547),'CLM &amp; IM Mapping'!$A$2:$A$270,0)),"Not Mapped"))</f>
        <v>Balaji G</v>
      </c>
      <c r="D547" s="67" t="str">
        <f aca="false" t="array" ref="D547:D547">IF(B547="","",IFERROR(INDEX('CLM &amp; IM Mapping'!$C$2:$C$270,MATCH(TRIM(B547),'CLM &amp; IM Mapping'!$A$2:$A$270,0)),"Not Mapped"))</f>
        <v>Mohammed Akbar</v>
      </c>
      <c r="E547" s="66" t="n">
        <v>1539</v>
      </c>
      <c r="F547" s="66" t="n">
        <v>0</v>
      </c>
      <c r="G547" s="66" t="n">
        <v>1367</v>
      </c>
      <c r="H547" s="66" t="n">
        <v>0</v>
      </c>
      <c r="I547" s="66" t="n">
        <v>172</v>
      </c>
      <c r="J547" s="66" t="n">
        <v>0</v>
      </c>
      <c r="K547" s="66" t="n">
        <v>0</v>
      </c>
      <c r="L547" s="66" t="n">
        <v>172</v>
      </c>
      <c r="M547" s="73" t="n">
        <v>0.004</v>
      </c>
      <c r="N547" s="73"/>
      <c r="O547" s="72"/>
      <c r="P547" s="67"/>
      <c r="Q547" s="64"/>
      <c r="R547" s="64"/>
      <c r="S547" s="64"/>
      <c r="T547" s="64"/>
      <c r="U547" s="64"/>
      <c r="V547" s="64"/>
      <c r="W547" s="64"/>
      <c r="X547" s="64"/>
      <c r="Y547" s="64"/>
      <c r="Z547" s="64"/>
      <c r="AA547" s="64"/>
    </row>
    <row r="548" customFormat="false" ht="15.75" hidden="false" customHeight="true" outlineLevel="0" collapsed="false">
      <c r="A548" s="65" t="n">
        <v>46305</v>
      </c>
      <c r="B548" s="66" t="s">
        <v>311</v>
      </c>
      <c r="C548" s="67" t="str">
        <f aca="false" t="array" ref="C548:C548">IF(B548="","",IFERROR(INDEX('CLM &amp; IM Mapping'!$B$2:$B$270,MATCH(TRIM(B548),'CLM &amp; IM Mapping'!$A$2:$A$270,0)),"Not Mapped"))</f>
        <v>Manjunatha V</v>
      </c>
      <c r="D548" s="67" t="str">
        <f aca="false" t="array" ref="D548:D548">IF(B548="","",IFERROR(INDEX('CLM &amp; IM Mapping'!$C$2:$C$270,MATCH(TRIM(B548),'CLM &amp; IM Mapping'!$A$2:$A$270,0)),"Not Mapped"))</f>
        <v>Un Mapped</v>
      </c>
      <c r="E548" s="66" t="n">
        <v>6643</v>
      </c>
      <c r="F548" s="66" t="n">
        <v>4</v>
      </c>
      <c r="G548" s="66" t="n">
        <v>4748</v>
      </c>
      <c r="H548" s="66" t="n">
        <v>17</v>
      </c>
      <c r="I548" s="66" t="n">
        <v>1770</v>
      </c>
      <c r="J548" s="66" t="n">
        <v>0</v>
      </c>
      <c r="K548" s="66" t="n">
        <v>104</v>
      </c>
      <c r="L548" s="66" t="n">
        <v>1891</v>
      </c>
      <c r="M548" s="73" t="n">
        <v>0.012</v>
      </c>
      <c r="N548" s="73"/>
      <c r="O548" s="72"/>
      <c r="P548" s="67"/>
      <c r="Q548" s="64"/>
      <c r="R548" s="64"/>
      <c r="S548" s="64"/>
      <c r="T548" s="64"/>
      <c r="U548" s="64"/>
      <c r="V548" s="64"/>
      <c r="W548" s="64"/>
      <c r="X548" s="64"/>
      <c r="Y548" s="64"/>
      <c r="Z548" s="64"/>
      <c r="AA548" s="64"/>
    </row>
    <row r="549" customFormat="false" ht="15.75" hidden="false" customHeight="true" outlineLevel="0" collapsed="false">
      <c r="A549" s="65" t="n">
        <v>46305</v>
      </c>
      <c r="B549" s="66" t="s">
        <v>218</v>
      </c>
      <c r="C549" s="67" t="str">
        <f aca="false" t="array" ref="C549:C549">IF(B549="","",IFERROR(INDEX('CLM &amp; IM Mapping'!$B$2:$B$270,MATCH(TRIM(B549),'CLM &amp; IM Mapping'!$A$2:$A$270,0)),"Not Mapped"))</f>
        <v>Ashwath S</v>
      </c>
      <c r="D549" s="67" t="str">
        <f aca="false" t="array" ref="D549:D549">IF(B549="","",IFERROR(INDEX('CLM &amp; IM Mapping'!$C$2:$C$270,MATCH(TRIM(B549),'CLM &amp; IM Mapping'!$A$2:$A$270,0)),"Not Mapped"))</f>
        <v>Kantha Kumar</v>
      </c>
      <c r="E549" s="66" t="n">
        <v>0</v>
      </c>
      <c r="F549" s="66" t="n">
        <v>0</v>
      </c>
      <c r="G549" s="66" t="n">
        <v>0</v>
      </c>
      <c r="H549" s="66" t="n">
        <v>0</v>
      </c>
      <c r="I549" s="66" t="n">
        <v>0</v>
      </c>
      <c r="J549" s="66" t="n">
        <v>0</v>
      </c>
      <c r="K549" s="66" t="n">
        <v>0</v>
      </c>
      <c r="L549" s="66" t="n">
        <v>0</v>
      </c>
      <c r="M549" s="73" t="n">
        <v>0</v>
      </c>
      <c r="N549" s="73"/>
      <c r="O549" s="72"/>
      <c r="P549" s="67"/>
      <c r="Q549" s="64"/>
      <c r="R549" s="64"/>
      <c r="S549" s="64"/>
      <c r="T549" s="64"/>
      <c r="U549" s="64"/>
      <c r="V549" s="64"/>
      <c r="W549" s="64"/>
      <c r="X549" s="64"/>
      <c r="Y549" s="64"/>
      <c r="Z549" s="64"/>
      <c r="AA549" s="64"/>
    </row>
    <row r="550" customFormat="false" ht="15.75" hidden="false" customHeight="true" outlineLevel="0" collapsed="false">
      <c r="A550" s="65" t="n">
        <v>46305</v>
      </c>
      <c r="B550" s="66" t="s">
        <v>216</v>
      </c>
      <c r="C550" s="67" t="str">
        <f aca="false" t="array" ref="C550:C550">IF(B550="","",IFERROR(INDEX('CLM &amp; IM Mapping'!$B$2:$B$270,MATCH(TRIM(B550),'CLM &amp; IM Mapping'!$A$2:$A$270,0)),"Not Mapped"))</f>
        <v>Silambarasan E</v>
      </c>
      <c r="D550" s="67" t="str">
        <f aca="false" t="array" ref="D550:D550">IF(B550="","",IFERROR(INDEX('CLM &amp; IM Mapping'!$C$2:$C$270,MATCH(TRIM(B550),'CLM &amp; IM Mapping'!$A$2:$A$270,0)),"Not Mapped"))</f>
        <v>Arivind S</v>
      </c>
      <c r="E550" s="66" t="n">
        <v>0</v>
      </c>
      <c r="F550" s="66" t="n">
        <v>0</v>
      </c>
      <c r="G550" s="66" t="n">
        <v>0</v>
      </c>
      <c r="H550" s="66" t="n">
        <v>0</v>
      </c>
      <c r="I550" s="66" t="n">
        <v>0</v>
      </c>
      <c r="J550" s="66" t="n">
        <v>0</v>
      </c>
      <c r="K550" s="66" t="n">
        <v>0</v>
      </c>
      <c r="L550" s="66" t="n">
        <v>0</v>
      </c>
      <c r="M550" s="73" t="n">
        <v>0</v>
      </c>
      <c r="N550" s="73"/>
      <c r="O550" s="72"/>
      <c r="P550" s="67"/>
      <c r="Q550" s="64"/>
      <c r="R550" s="64"/>
      <c r="S550" s="64"/>
      <c r="T550" s="64"/>
      <c r="U550" s="64"/>
      <c r="V550" s="64"/>
      <c r="W550" s="64"/>
      <c r="X550" s="64"/>
      <c r="Y550" s="64"/>
      <c r="Z550" s="64"/>
      <c r="AA550" s="64"/>
    </row>
    <row r="551" customFormat="false" ht="15.75" hidden="false" customHeight="true" outlineLevel="0" collapsed="false">
      <c r="A551" s="65" t="n">
        <v>46305</v>
      </c>
      <c r="B551" s="66" t="s">
        <v>505</v>
      </c>
      <c r="C551" s="67" t="str">
        <f aca="false" t="array" ref="C551:C551">IF(B551="","",IFERROR(INDEX('CLM &amp; IM Mapping'!$B$2:$B$270,MATCH(TRIM(B551),'CLM &amp; IM Mapping'!$A$2:$A$270,0)),"Not Mapped"))</f>
        <v>Basil Scariya</v>
      </c>
      <c r="D551" s="67" t="str">
        <f aca="false" t="array" ref="D551:D551">IF(B551="","",IFERROR(INDEX('CLM &amp; IM Mapping'!$C$2:$C$270,MATCH(TRIM(B551),'CLM &amp; IM Mapping'!$A$2:$A$270,0)),"Not Mapped"))</f>
        <v>Prakash BS</v>
      </c>
      <c r="E551" s="66" t="n">
        <v>0</v>
      </c>
      <c r="F551" s="66" t="n">
        <v>0</v>
      </c>
      <c r="G551" s="66" t="n">
        <v>0</v>
      </c>
      <c r="H551" s="66" t="n">
        <v>0</v>
      </c>
      <c r="I551" s="66" t="n">
        <v>0</v>
      </c>
      <c r="J551" s="66" t="n">
        <v>0</v>
      </c>
      <c r="K551" s="66" t="n">
        <v>0</v>
      </c>
      <c r="L551" s="66" t="n">
        <v>0</v>
      </c>
      <c r="M551" s="73" t="n">
        <v>0</v>
      </c>
      <c r="N551" s="73"/>
      <c r="O551" s="72"/>
      <c r="P551" s="67"/>
      <c r="Q551" s="64"/>
      <c r="R551" s="64"/>
      <c r="S551" s="64"/>
      <c r="T551" s="64"/>
      <c r="U551" s="64"/>
      <c r="V551" s="64"/>
      <c r="W551" s="64"/>
      <c r="X551" s="64"/>
      <c r="Y551" s="64"/>
      <c r="Z551" s="64"/>
      <c r="AA551" s="64"/>
    </row>
    <row r="552" customFormat="false" ht="15.75" hidden="false" customHeight="true" outlineLevel="0" collapsed="false">
      <c r="A552" s="65" t="n">
        <v>46305</v>
      </c>
      <c r="B552" s="66" t="s">
        <v>288</v>
      </c>
      <c r="C552" s="67" t="str">
        <f aca="false" t="array" ref="C552:C552">IF(B552="","",IFERROR(INDEX('CLM &amp; IM Mapping'!$B$2:$B$270,MATCH(TRIM(B552),'CLM &amp; IM Mapping'!$A$2:$A$270,0)),"Not Mapped"))</f>
        <v>Arun Raj</v>
      </c>
      <c r="D552" s="67" t="str">
        <f aca="false" t="array" ref="D552:D552">IF(B552="","",IFERROR(INDEX('CLM &amp; IM Mapping'!$C$2:$C$270,MATCH(TRIM(B552),'CLM &amp; IM Mapping'!$A$2:$A$270,0)),"Not Mapped"))</f>
        <v>Simon Manoharan</v>
      </c>
      <c r="E552" s="66" t="n">
        <v>1913</v>
      </c>
      <c r="F552" s="66" t="n">
        <v>0</v>
      </c>
      <c r="G552" s="66" t="n">
        <v>0</v>
      </c>
      <c r="H552" s="66" t="n">
        <v>1913</v>
      </c>
      <c r="I552" s="66" t="n">
        <v>0</v>
      </c>
      <c r="J552" s="66" t="n">
        <v>0</v>
      </c>
      <c r="K552" s="66" t="n">
        <v>0</v>
      </c>
      <c r="L552" s="66" t="n">
        <v>0</v>
      </c>
      <c r="M552" s="73"/>
      <c r="N552" s="73"/>
      <c r="O552" s="72"/>
      <c r="P552" s="67"/>
      <c r="Q552" s="64"/>
      <c r="R552" s="64"/>
      <c r="S552" s="64"/>
      <c r="T552" s="64"/>
      <c r="U552" s="64"/>
      <c r="V552" s="64"/>
      <c r="W552" s="64"/>
      <c r="X552" s="64"/>
      <c r="Y552" s="64"/>
      <c r="Z552" s="64"/>
      <c r="AA552" s="64"/>
    </row>
    <row r="553" customFormat="false" ht="15.75" hidden="false" customHeight="true" outlineLevel="0" collapsed="false">
      <c r="A553" s="65" t="n">
        <v>46305</v>
      </c>
      <c r="B553" s="66" t="s">
        <v>333</v>
      </c>
      <c r="C553" s="67" t="str">
        <f aca="false" t="array" ref="C553:C553">IF(B553="","",IFERROR(INDEX('CLM &amp; IM Mapping'!$B$2:$B$270,MATCH(TRIM(B553),'CLM &amp; IM Mapping'!$A$2:$A$270,0)),"Not Mapped"))</f>
        <v>Basil Scariya</v>
      </c>
      <c r="D553" s="67" t="str">
        <f aca="false" t="array" ref="D553:D553">IF(B553="","",IFERROR(INDEX('CLM &amp; IM Mapping'!$C$2:$C$270,MATCH(TRIM(B553),'CLM &amp; IM Mapping'!$A$2:$A$270,0)),"Not Mapped"))</f>
        <v>Prakash BS</v>
      </c>
      <c r="E553" s="66" t="n">
        <v>0</v>
      </c>
      <c r="F553" s="66" t="n">
        <v>0</v>
      </c>
      <c r="G553" s="66" t="n">
        <v>0</v>
      </c>
      <c r="H553" s="66" t="n">
        <v>0</v>
      </c>
      <c r="I553" s="66" t="n">
        <v>0</v>
      </c>
      <c r="J553" s="66" t="n">
        <v>0</v>
      </c>
      <c r="K553" s="66" t="n">
        <v>0</v>
      </c>
      <c r="L553" s="66" t="n">
        <v>0</v>
      </c>
      <c r="M553" s="73" t="n">
        <v>0</v>
      </c>
      <c r="N553" s="73"/>
      <c r="O553" s="72"/>
      <c r="P553" s="67"/>
      <c r="Q553" s="64"/>
      <c r="R553" s="64"/>
      <c r="S553" s="64"/>
      <c r="T553" s="64"/>
      <c r="U553" s="64"/>
      <c r="V553" s="64"/>
      <c r="W553" s="64"/>
      <c r="X553" s="64"/>
      <c r="Y553" s="64"/>
      <c r="Z553" s="64"/>
      <c r="AA553" s="64"/>
    </row>
    <row r="554" customFormat="false" ht="15.75" hidden="false" customHeight="true" outlineLevel="0" collapsed="false">
      <c r="A554" s="65" t="n">
        <v>46305</v>
      </c>
      <c r="B554" s="66" t="s">
        <v>525</v>
      </c>
      <c r="C554" s="67" t="str">
        <f aca="false" t="array" ref="C554:C554">IF(B554="","",IFERROR(INDEX('CLM &amp; IM Mapping'!$B$2:$B$270,MATCH(TRIM(B554),'CLM &amp; IM Mapping'!$A$2:$A$270,0)),"Not Mapped"))</f>
        <v>Saddam Hussain</v>
      </c>
      <c r="D554" s="67" t="str">
        <f aca="false" t="array" ref="D554:D554">IF(B554="","",IFERROR(INDEX('CLM &amp; IM Mapping'!$C$2:$C$270,MATCH(TRIM(B554),'CLM &amp; IM Mapping'!$A$2:$A$270,0)),"Not Mapped"))</f>
        <v>Un Mapped</v>
      </c>
      <c r="E554" s="66" t="n">
        <v>150</v>
      </c>
      <c r="F554" s="66" t="n">
        <v>0</v>
      </c>
      <c r="G554" s="66" t="n">
        <v>0</v>
      </c>
      <c r="H554" s="66" t="n">
        <v>150</v>
      </c>
      <c r="I554" s="66" t="n">
        <v>0</v>
      </c>
      <c r="J554" s="66" t="n">
        <v>0</v>
      </c>
      <c r="K554" s="66" t="n">
        <v>0</v>
      </c>
      <c r="L554" s="66" t="n">
        <v>150</v>
      </c>
      <c r="M554" s="73" t="n">
        <v>0</v>
      </c>
      <c r="N554" s="73"/>
      <c r="O554" s="72"/>
      <c r="P554" s="67"/>
      <c r="Q554" s="64"/>
      <c r="R554" s="64"/>
      <c r="S554" s="64"/>
      <c r="T554" s="64"/>
      <c r="U554" s="64"/>
      <c r="V554" s="64"/>
      <c r="W554" s="64"/>
      <c r="X554" s="64"/>
      <c r="Y554" s="64"/>
      <c r="Z554" s="64"/>
      <c r="AA554" s="64"/>
    </row>
    <row r="555" customFormat="false" ht="15.75" hidden="false" customHeight="true" outlineLevel="0" collapsed="false">
      <c r="A555" s="65" t="n">
        <v>46305</v>
      </c>
      <c r="B555" s="66" t="s">
        <v>357</v>
      </c>
      <c r="C555" s="67" t="str">
        <f aca="false" t="array" ref="C555:C555">IF(B555="","",IFERROR(INDEX('CLM &amp; IM Mapping'!$B$2:$B$270,MATCH(TRIM(B555),'CLM &amp; IM Mapping'!$A$2:$A$270,0)),"Not Mapped"))</f>
        <v>Arun Raj</v>
      </c>
      <c r="D555" s="67" t="str">
        <f aca="false" t="array" ref="D555:D555">IF(B555="","",IFERROR(INDEX('CLM &amp; IM Mapping'!$C$2:$C$270,MATCH(TRIM(B555),'CLM &amp; IM Mapping'!$A$2:$A$270,0)),"Not Mapped"))</f>
        <v>Simon Manoharan</v>
      </c>
      <c r="E555" s="66" t="n">
        <v>549</v>
      </c>
      <c r="F555" s="66" t="n">
        <v>0</v>
      </c>
      <c r="G555" s="66" t="n">
        <v>0</v>
      </c>
      <c r="H555" s="66" t="n">
        <v>0</v>
      </c>
      <c r="I555" s="66" t="n">
        <v>0</v>
      </c>
      <c r="J555" s="66" t="n">
        <v>549</v>
      </c>
      <c r="K555" s="66" t="n">
        <v>0</v>
      </c>
      <c r="L555" s="66" t="n">
        <v>549</v>
      </c>
      <c r="M555" s="73"/>
      <c r="N555" s="73"/>
      <c r="O555" s="72"/>
      <c r="P555" s="67"/>
      <c r="Q555" s="64"/>
      <c r="R555" s="64"/>
      <c r="S555" s="64"/>
      <c r="T555" s="64"/>
      <c r="U555" s="64"/>
      <c r="V555" s="64"/>
      <c r="W555" s="64"/>
      <c r="X555" s="64"/>
      <c r="Y555" s="64"/>
      <c r="Z555" s="64"/>
      <c r="AA555" s="64"/>
    </row>
    <row r="556" customFormat="false" ht="15.75" hidden="false" customHeight="true" outlineLevel="0" collapsed="false">
      <c r="A556" s="65" t="n">
        <v>46305</v>
      </c>
      <c r="B556" s="66" t="s">
        <v>512</v>
      </c>
      <c r="C556" s="67" t="str">
        <f aca="false" t="array" ref="C556:C556">IF(B556="","",IFERROR(INDEX('CLM &amp; IM Mapping'!$B$2:$B$270,MATCH(TRIM(B556),'CLM &amp; IM Mapping'!$A$2:$A$270,0)),"Not Mapped"))</f>
        <v>Saddam Hussain</v>
      </c>
      <c r="D556" s="67" t="str">
        <f aca="false" t="array" ref="D556:D556">IF(B556="","",IFERROR(INDEX('CLM &amp; IM Mapping'!$C$2:$C$270,MATCH(TRIM(B556),'CLM &amp; IM Mapping'!$A$2:$A$270,0)),"Not Mapped"))</f>
        <v>Un Mapped</v>
      </c>
      <c r="E556" s="66" t="n">
        <v>2320</v>
      </c>
      <c r="F556" s="66" t="n">
        <v>538</v>
      </c>
      <c r="G556" s="66" t="n">
        <v>1782</v>
      </c>
      <c r="H556" s="66" t="n">
        <v>0</v>
      </c>
      <c r="I556" s="66" t="n">
        <v>0</v>
      </c>
      <c r="J556" s="66" t="n">
        <v>0</v>
      </c>
      <c r="K556" s="66" t="n">
        <v>0</v>
      </c>
      <c r="L556" s="66" t="n">
        <v>0</v>
      </c>
      <c r="M556" s="73" t="n">
        <v>0.008</v>
      </c>
      <c r="N556" s="73"/>
      <c r="O556" s="72"/>
      <c r="P556" s="67"/>
      <c r="Q556" s="64"/>
      <c r="R556" s="64"/>
      <c r="S556" s="64"/>
      <c r="T556" s="64"/>
      <c r="U556" s="64"/>
      <c r="V556" s="64"/>
      <c r="W556" s="64"/>
      <c r="X556" s="64"/>
      <c r="Y556" s="64"/>
      <c r="Z556" s="64"/>
      <c r="AA556" s="64"/>
    </row>
    <row r="557" customFormat="false" ht="15.75" hidden="false" customHeight="true" outlineLevel="0" collapsed="false">
      <c r="A557" s="65" t="n">
        <v>46305</v>
      </c>
      <c r="B557" s="66" t="s">
        <v>367</v>
      </c>
      <c r="C557" s="67" t="str">
        <f aca="false" t="array" ref="C557:C557">IF(B557="","",IFERROR(INDEX('CLM &amp; IM Mapping'!$B$2:$B$270,MATCH(TRIM(B557),'CLM &amp; IM Mapping'!$A$2:$A$270,0)),"Not Mapped"))</f>
        <v>Akshay P</v>
      </c>
      <c r="D557" s="67" t="str">
        <f aca="false" t="array" ref="D557:D557">IF(B557="","",IFERROR(INDEX('CLM &amp; IM Mapping'!$C$2:$C$270,MATCH(TRIM(B557),'CLM &amp; IM Mapping'!$A$2:$A$270,0)),"Not Mapped"))</f>
        <v>Srittam Dhal</v>
      </c>
      <c r="E557" s="66" t="n">
        <v>0</v>
      </c>
      <c r="F557" s="66" t="n">
        <v>0</v>
      </c>
      <c r="G557" s="66" t="n">
        <v>0</v>
      </c>
      <c r="H557" s="66" t="n">
        <v>0</v>
      </c>
      <c r="I557" s="66" t="n">
        <v>0</v>
      </c>
      <c r="J557" s="66" t="n">
        <v>0</v>
      </c>
      <c r="K557" s="66" t="n">
        <v>0</v>
      </c>
      <c r="L557" s="66" t="n">
        <v>0</v>
      </c>
      <c r="M557" s="73"/>
      <c r="N557" s="73"/>
      <c r="O557" s="72"/>
      <c r="P557" s="67"/>
      <c r="Q557" s="64"/>
      <c r="R557" s="64"/>
      <c r="S557" s="64"/>
      <c r="T557" s="64"/>
      <c r="U557" s="64"/>
      <c r="V557" s="64"/>
      <c r="W557" s="64"/>
      <c r="X557" s="64"/>
      <c r="Y557" s="64"/>
      <c r="Z557" s="64"/>
      <c r="AA557" s="64"/>
    </row>
    <row r="558" customFormat="false" ht="15.75" hidden="false" customHeight="true" outlineLevel="0" collapsed="false">
      <c r="A558" s="65" t="n">
        <v>46305</v>
      </c>
      <c r="B558" s="66" t="s">
        <v>481</v>
      </c>
      <c r="C558" s="67" t="str">
        <f aca="false" t="array" ref="C558:C558">IF(B558="","",IFERROR(INDEX('CLM &amp; IM Mapping'!$B$2:$B$270,MATCH(TRIM(B558),'CLM &amp; IM Mapping'!$A$2:$A$270,0)),"Not Mapped"))</f>
        <v>Akshay P</v>
      </c>
      <c r="D558" s="67" t="str">
        <f aca="false" t="array" ref="D558:D558">IF(B558="","",IFERROR(INDEX('CLM &amp; IM Mapping'!$C$2:$C$270,MATCH(TRIM(B558),'CLM &amp; IM Mapping'!$A$2:$A$270,0)),"Not Mapped"))</f>
        <v>Srittam Dhal</v>
      </c>
      <c r="E558" s="66" t="n">
        <v>0</v>
      </c>
      <c r="F558" s="66" t="n">
        <v>0</v>
      </c>
      <c r="G558" s="66" t="n">
        <v>0</v>
      </c>
      <c r="H558" s="66" t="n">
        <v>0</v>
      </c>
      <c r="I558" s="66" t="n">
        <v>0</v>
      </c>
      <c r="J558" s="66" t="n">
        <v>0</v>
      </c>
      <c r="K558" s="66" t="n">
        <v>0</v>
      </c>
      <c r="L558" s="66" t="n">
        <v>0</v>
      </c>
      <c r="M558" s="73" t="n">
        <v>0</v>
      </c>
      <c r="N558" s="73"/>
      <c r="O558" s="72"/>
      <c r="P558" s="67"/>
      <c r="Q558" s="64"/>
      <c r="R558" s="64"/>
      <c r="S558" s="64"/>
      <c r="T558" s="64"/>
      <c r="U558" s="64"/>
      <c r="V558" s="64"/>
      <c r="W558" s="64"/>
      <c r="X558" s="64"/>
      <c r="Y558" s="64"/>
      <c r="Z558" s="64"/>
      <c r="AA558" s="64"/>
    </row>
    <row r="559" customFormat="false" ht="15.75" hidden="false" customHeight="true" outlineLevel="0" collapsed="false">
      <c r="A559" s="65" t="n">
        <v>46305</v>
      </c>
      <c r="B559" s="66" t="s">
        <v>298</v>
      </c>
      <c r="C559" s="67" t="str">
        <f aca="false" t="array" ref="C559:C559">IF(B559="","",IFERROR(INDEX('CLM &amp; IM Mapping'!$B$2:$B$270,MATCH(TRIM(B559),'CLM &amp; IM Mapping'!$A$2:$A$270,0)),"Not Mapped"))</f>
        <v>Ravishankar gowda</v>
      </c>
      <c r="D559" s="67" t="str">
        <f aca="false" t="array" ref="D559:D559">IF(B559="","",IFERROR(INDEX('CLM &amp; IM Mapping'!$C$2:$C$270,MATCH(TRIM(B559),'CLM &amp; IM Mapping'!$A$2:$A$270,0)),"Not Mapped"))</f>
        <v>Kishor K</v>
      </c>
      <c r="E559" s="66" t="n">
        <v>0</v>
      </c>
      <c r="F559" s="66" t="n">
        <v>0</v>
      </c>
      <c r="G559" s="66" t="n">
        <v>0</v>
      </c>
      <c r="H559" s="66" t="n">
        <v>0</v>
      </c>
      <c r="I559" s="66" t="n">
        <v>0</v>
      </c>
      <c r="J559" s="66" t="n">
        <v>0</v>
      </c>
      <c r="K559" s="66" t="n">
        <v>0</v>
      </c>
      <c r="L559" s="66" t="n">
        <v>0</v>
      </c>
      <c r="M559" s="73" t="n">
        <v>0</v>
      </c>
      <c r="N559" s="73"/>
      <c r="O559" s="72"/>
      <c r="P559" s="67"/>
      <c r="Q559" s="64"/>
      <c r="R559" s="64"/>
      <c r="S559" s="64"/>
      <c r="T559" s="64"/>
      <c r="U559" s="64"/>
      <c r="V559" s="64"/>
      <c r="W559" s="64"/>
      <c r="X559" s="64"/>
      <c r="Y559" s="64"/>
      <c r="Z559" s="64"/>
      <c r="AA559" s="64"/>
    </row>
    <row r="560" customFormat="false" ht="15.75" hidden="false" customHeight="true" outlineLevel="0" collapsed="false">
      <c r="A560" s="65" t="n">
        <v>46305</v>
      </c>
      <c r="B560" s="66" t="s">
        <v>227</v>
      </c>
      <c r="C560" s="67" t="str">
        <f aca="false" t="array" ref="C560:C560">IF(B560="","",IFERROR(INDEX('CLM &amp; IM Mapping'!$B$2:$B$270,MATCH(TRIM(B560),'CLM &amp; IM Mapping'!$A$2:$A$270,0)),"Not Mapped"))</f>
        <v>Vijay M</v>
      </c>
      <c r="D560" s="67" t="str">
        <f aca="false" t="array" ref="D560:D560">IF(B560="","",IFERROR(INDEX('CLM &amp; IM Mapping'!$C$2:$C$270,MATCH(TRIM(B560),'CLM &amp; IM Mapping'!$A$2:$A$270,0)),"Not Mapped"))</f>
        <v>Kantha Kumar</v>
      </c>
      <c r="E560" s="66" t="n">
        <v>992</v>
      </c>
      <c r="F560" s="66" t="n">
        <v>1</v>
      </c>
      <c r="G560" s="66" t="n">
        <v>955</v>
      </c>
      <c r="H560" s="66" t="n">
        <v>36</v>
      </c>
      <c r="I560" s="66" t="n">
        <v>0</v>
      </c>
      <c r="J560" s="66" t="n">
        <v>0</v>
      </c>
      <c r="K560" s="66" t="n">
        <v>0</v>
      </c>
      <c r="L560" s="66" t="n">
        <v>36</v>
      </c>
      <c r="M560" s="73" t="n">
        <v>0.031</v>
      </c>
      <c r="N560" s="73"/>
      <c r="O560" s="72"/>
      <c r="P560" s="67"/>
      <c r="Q560" s="64"/>
      <c r="R560" s="64"/>
      <c r="S560" s="64"/>
      <c r="T560" s="64"/>
      <c r="U560" s="64"/>
      <c r="V560" s="64"/>
      <c r="W560" s="64"/>
      <c r="X560" s="64"/>
      <c r="Y560" s="64"/>
      <c r="Z560" s="64"/>
      <c r="AA560" s="64"/>
    </row>
    <row r="561" customFormat="false" ht="15.75" hidden="false" customHeight="true" outlineLevel="0" collapsed="false">
      <c r="A561" s="65" t="n">
        <v>46305</v>
      </c>
      <c r="B561" s="66" t="s">
        <v>271</v>
      </c>
      <c r="C561" s="67" t="str">
        <f aca="false" t="array" ref="C561:C561">IF(B561="","",IFERROR(INDEX('CLM &amp; IM Mapping'!$B$2:$B$270,MATCH(TRIM(B561),'CLM &amp; IM Mapping'!$A$2:$A$270,0)),"Not Mapped"))</f>
        <v>Rizwan Ahmed</v>
      </c>
      <c r="D561" s="67" t="str">
        <f aca="false" t="array" ref="D561:D561">IF(B561="","",IFERROR(INDEX('CLM &amp; IM Mapping'!$C$2:$C$270,MATCH(TRIM(B561),'CLM &amp; IM Mapping'!$A$2:$A$270,0)),"Not Mapped"))</f>
        <v>Prakash BS</v>
      </c>
      <c r="E561" s="66" t="n">
        <v>3051</v>
      </c>
      <c r="F561" s="66" t="n">
        <v>0</v>
      </c>
      <c r="G561" s="66" t="n">
        <v>3000</v>
      </c>
      <c r="H561" s="66" t="n">
        <v>0</v>
      </c>
      <c r="I561" s="66" t="n">
        <v>51</v>
      </c>
      <c r="J561" s="66" t="n">
        <v>0</v>
      </c>
      <c r="K561" s="66" t="n">
        <v>0</v>
      </c>
      <c r="L561" s="66" t="n">
        <v>51</v>
      </c>
      <c r="M561" s="73" t="n">
        <v>0.006</v>
      </c>
      <c r="N561" s="73"/>
      <c r="O561" s="72"/>
      <c r="P561" s="67"/>
      <c r="Q561" s="64"/>
      <c r="R561" s="64"/>
      <c r="S561" s="64"/>
      <c r="T561" s="64"/>
      <c r="U561" s="64"/>
      <c r="V561" s="64"/>
      <c r="W561" s="64"/>
      <c r="X561" s="64"/>
      <c r="Y561" s="64"/>
      <c r="Z561" s="64"/>
      <c r="AA561" s="64"/>
    </row>
    <row r="562" customFormat="false" ht="15.75" hidden="false" customHeight="true" outlineLevel="0" collapsed="false">
      <c r="A562" s="65" t="n">
        <v>46305</v>
      </c>
      <c r="B562" s="66" t="s">
        <v>241</v>
      </c>
      <c r="C562" s="67" t="str">
        <f aca="false" t="array" ref="C562:C562">IF(B562="","",IFERROR(INDEX('CLM &amp; IM Mapping'!$B$2:$B$270,MATCH(TRIM(B562),'CLM &amp; IM Mapping'!$A$2:$A$270,0)),"Not Mapped"))</f>
        <v>Sundaresh S</v>
      </c>
      <c r="D562" s="67" t="str">
        <f aca="false" t="array" ref="D562:D562">IF(B562="","",IFERROR(INDEX('CLM &amp; IM Mapping'!$C$2:$C$270,MATCH(TRIM(B562),'CLM &amp; IM Mapping'!$A$2:$A$270,0)),"Not Mapped"))</f>
        <v>Un Mapped</v>
      </c>
      <c r="E562" s="66" t="n">
        <v>352</v>
      </c>
      <c r="F562" s="66" t="n">
        <v>0</v>
      </c>
      <c r="G562" s="66" t="n">
        <v>297</v>
      </c>
      <c r="H562" s="66" t="n">
        <v>0</v>
      </c>
      <c r="I562" s="66" t="n">
        <v>0</v>
      </c>
      <c r="J562" s="66" t="n">
        <v>55</v>
      </c>
      <c r="K562" s="66" t="n">
        <v>0</v>
      </c>
      <c r="L562" s="66" t="n">
        <v>55</v>
      </c>
      <c r="M562" s="73" t="n">
        <v>0.001</v>
      </c>
      <c r="N562" s="73"/>
      <c r="O562" s="72"/>
      <c r="P562" s="67"/>
      <c r="Q562" s="64"/>
      <c r="R562" s="64"/>
      <c r="S562" s="64"/>
      <c r="T562" s="64"/>
      <c r="U562" s="64"/>
      <c r="V562" s="64"/>
      <c r="W562" s="64"/>
      <c r="X562" s="64"/>
      <c r="Y562" s="64"/>
      <c r="Z562" s="64"/>
      <c r="AA562" s="64"/>
    </row>
    <row r="563" customFormat="false" ht="15.75" hidden="false" customHeight="true" outlineLevel="0" collapsed="false">
      <c r="A563" s="65" t="n">
        <v>46305</v>
      </c>
      <c r="B563" s="66" t="s">
        <v>257</v>
      </c>
      <c r="C563" s="67" t="str">
        <f aca="false" t="array" ref="C563:C563">IF(B563="","",IFERROR(INDEX('CLM &amp; IM Mapping'!$B$2:$B$270,MATCH(TRIM(B563),'CLM &amp; IM Mapping'!$A$2:$A$270,0)),"Not Mapped"))</f>
        <v>Raghavendra Vernekar</v>
      </c>
      <c r="D563" s="67" t="str">
        <f aca="false" t="array" ref="D563:D563">IF(B563="","",IFERROR(INDEX('CLM &amp; IM Mapping'!$C$2:$C$270,MATCH(TRIM(B563),'CLM &amp; IM Mapping'!$A$2:$A$270,0)),"Not Mapped"))</f>
        <v>Prakash BS</v>
      </c>
      <c r="E563" s="66" t="n">
        <v>6017</v>
      </c>
      <c r="F563" s="66" t="n">
        <v>1561</v>
      </c>
      <c r="G563" s="66" t="n">
        <v>3818</v>
      </c>
      <c r="H563" s="66" t="n">
        <v>0</v>
      </c>
      <c r="I563" s="66" t="n">
        <v>638</v>
      </c>
      <c r="J563" s="66" t="n">
        <v>0</v>
      </c>
      <c r="K563" s="66" t="n">
        <v>0</v>
      </c>
      <c r="L563" s="66" t="n">
        <v>638</v>
      </c>
      <c r="M563" s="73" t="n">
        <v>0.02</v>
      </c>
      <c r="N563" s="73"/>
      <c r="O563" s="72"/>
      <c r="P563" s="67"/>
      <c r="Q563" s="64"/>
      <c r="R563" s="64"/>
      <c r="S563" s="64"/>
      <c r="T563" s="64"/>
      <c r="U563" s="64"/>
      <c r="V563" s="64"/>
      <c r="W563" s="64"/>
      <c r="X563" s="64"/>
      <c r="Y563" s="64"/>
      <c r="Z563" s="64"/>
      <c r="AA563" s="64"/>
    </row>
    <row r="564" customFormat="false" ht="15.75" hidden="false" customHeight="true" outlineLevel="0" collapsed="false">
      <c r="A564" s="65" t="n">
        <v>46305</v>
      </c>
      <c r="B564" s="66" t="s">
        <v>296</v>
      </c>
      <c r="C564" s="67" t="str">
        <f aca="false" t="array" ref="C564:C564">IF(B564="","",IFERROR(INDEX('CLM &amp; IM Mapping'!$B$2:$B$270,MATCH(TRIM(B564),'CLM &amp; IM Mapping'!$A$2:$A$270,0)),"Not Mapped"))</f>
        <v>Balaji G</v>
      </c>
      <c r="D564" s="67" t="str">
        <f aca="false" t="array" ref="D564:D564">IF(B564="","",IFERROR(INDEX('CLM &amp; IM Mapping'!$C$2:$C$270,MATCH(TRIM(B564),'CLM &amp; IM Mapping'!$A$2:$A$270,0)),"Not Mapped"))</f>
        <v>Mohammed Akbar</v>
      </c>
      <c r="E564" s="66" t="n">
        <v>0</v>
      </c>
      <c r="F564" s="66" t="n">
        <v>0</v>
      </c>
      <c r="G564" s="66" t="n">
        <v>0</v>
      </c>
      <c r="H564" s="66" t="n">
        <v>0</v>
      </c>
      <c r="I564" s="66" t="n">
        <v>0</v>
      </c>
      <c r="J564" s="66" t="n">
        <v>0</v>
      </c>
      <c r="K564" s="66" t="n">
        <v>0</v>
      </c>
      <c r="L564" s="66" t="n">
        <v>0</v>
      </c>
      <c r="M564" s="73" t="n">
        <v>0</v>
      </c>
      <c r="N564" s="73"/>
      <c r="O564" s="72"/>
      <c r="P564" s="67"/>
      <c r="Q564" s="64"/>
      <c r="R564" s="64"/>
      <c r="S564" s="64"/>
      <c r="T564" s="64"/>
      <c r="U564" s="64"/>
      <c r="V564" s="64"/>
      <c r="W564" s="64"/>
      <c r="X564" s="64"/>
      <c r="Y564" s="64"/>
      <c r="Z564" s="64"/>
      <c r="AA564" s="64"/>
    </row>
    <row r="565" customFormat="false" ht="15.75" hidden="false" customHeight="true" outlineLevel="0" collapsed="false">
      <c r="A565" s="65" t="n">
        <v>46305</v>
      </c>
      <c r="B565" s="66" t="s">
        <v>491</v>
      </c>
      <c r="C565" s="67" t="str">
        <f aca="false" t="array" ref="C565:C565">IF(B565="","",IFERROR(INDEX('CLM &amp; IM Mapping'!$B$2:$B$270,MATCH(TRIM(B565),'CLM &amp; IM Mapping'!$A$2:$A$270,0)),"Not Mapped"))</f>
        <v>Manjunatha V</v>
      </c>
      <c r="D565" s="67" t="str">
        <f aca="false" t="array" ref="D565:D565">IF(B565="","",IFERROR(INDEX('CLM &amp; IM Mapping'!$C$2:$C$270,MATCH(TRIM(B565),'CLM &amp; IM Mapping'!$A$2:$A$270,0)),"Not Mapped"))</f>
        <v>Un Mapped</v>
      </c>
      <c r="E565" s="66" t="n">
        <v>3663</v>
      </c>
      <c r="F565" s="66" t="n">
        <v>3617</v>
      </c>
      <c r="G565" s="66" t="n">
        <v>0</v>
      </c>
      <c r="H565" s="66" t="n">
        <v>0</v>
      </c>
      <c r="I565" s="66" t="n">
        <v>46</v>
      </c>
      <c r="J565" s="66" t="n">
        <v>0</v>
      </c>
      <c r="K565" s="66" t="n">
        <v>0</v>
      </c>
      <c r="L565" s="66" t="n">
        <v>46</v>
      </c>
      <c r="M565" s="73" t="n">
        <v>0.01</v>
      </c>
      <c r="N565" s="73"/>
      <c r="O565" s="72"/>
      <c r="P565" s="67"/>
      <c r="Q565" s="64"/>
      <c r="R565" s="64"/>
      <c r="S565" s="64"/>
      <c r="T565" s="64"/>
      <c r="U565" s="64"/>
      <c r="V565" s="64"/>
      <c r="W565" s="64"/>
      <c r="X565" s="64"/>
      <c r="Y565" s="64"/>
      <c r="Z565" s="64"/>
      <c r="AA565" s="64"/>
    </row>
    <row r="566" customFormat="false" ht="15.75" hidden="false" customHeight="true" outlineLevel="0" collapsed="false">
      <c r="A566" s="65" t="n">
        <v>46305</v>
      </c>
      <c r="B566" s="66" t="s">
        <v>89</v>
      </c>
      <c r="C566" s="67" t="str">
        <f aca="false" t="array" ref="C566:C566">IF(B566="","",IFERROR(INDEX('CLM &amp; IM Mapping'!$B$2:$B$270,MATCH(TRIM(B566),'CLM &amp; IM Mapping'!$A$2:$A$270,0)),"Not Mapped"))</f>
        <v>Raghavendra Vernekar</v>
      </c>
      <c r="D566" s="67" t="str">
        <f aca="false" t="array" ref="D566:D566">IF(B566="","",IFERROR(INDEX('CLM &amp; IM Mapping'!$C$2:$C$270,MATCH(TRIM(B566),'CLM &amp; IM Mapping'!$A$2:$A$270,0)),"Not Mapped"))</f>
        <v>Prakash BS</v>
      </c>
      <c r="E566" s="66" t="n">
        <v>1886</v>
      </c>
      <c r="F566" s="66" t="n">
        <v>1886</v>
      </c>
      <c r="G566" s="66" t="n">
        <v>0</v>
      </c>
      <c r="H566" s="66" t="n">
        <v>0</v>
      </c>
      <c r="I566" s="66" t="n">
        <v>0</v>
      </c>
      <c r="J566" s="66" t="n">
        <v>0</v>
      </c>
      <c r="K566" s="66" t="n">
        <v>0</v>
      </c>
      <c r="L566" s="66" t="n">
        <v>0</v>
      </c>
      <c r="M566" s="73" t="n">
        <v>0.015</v>
      </c>
      <c r="N566" s="73"/>
      <c r="O566" s="72"/>
      <c r="P566" s="67"/>
      <c r="Q566" s="64"/>
      <c r="R566" s="64"/>
      <c r="S566" s="64"/>
      <c r="T566" s="64"/>
      <c r="U566" s="64"/>
      <c r="V566" s="64"/>
      <c r="W566" s="64"/>
      <c r="X566" s="64"/>
      <c r="Y566" s="64"/>
      <c r="Z566" s="64"/>
      <c r="AA566" s="64"/>
    </row>
    <row r="567" customFormat="false" ht="15.75" hidden="false" customHeight="true" outlineLevel="0" collapsed="false">
      <c r="A567" s="65" t="n">
        <v>46305</v>
      </c>
      <c r="B567" s="66" t="s">
        <v>317</v>
      </c>
      <c r="C567" s="67" t="str">
        <f aca="false" t="array" ref="C567:C567">IF(B567="","",IFERROR(INDEX('CLM &amp; IM Mapping'!$B$2:$B$270,MATCH(TRIM(B567),'CLM &amp; IM Mapping'!$A$2:$A$270,0)),"Not Mapped"))</f>
        <v>Akshay P</v>
      </c>
      <c r="D567" s="67" t="str">
        <f aca="false" t="array" ref="D567:D567">IF(B567="","",IFERROR(INDEX('CLM &amp; IM Mapping'!$C$2:$C$270,MATCH(TRIM(B567),'CLM &amp; IM Mapping'!$A$2:$A$270,0)),"Not Mapped"))</f>
        <v>Srittam Dhal</v>
      </c>
      <c r="E567" s="66" t="n">
        <v>2434</v>
      </c>
      <c r="F567" s="66" t="n">
        <v>1</v>
      </c>
      <c r="G567" s="66" t="n">
        <v>2433</v>
      </c>
      <c r="H567" s="66" t="n">
        <v>0</v>
      </c>
      <c r="I567" s="66" t="n">
        <v>0</v>
      </c>
      <c r="J567" s="66" t="n">
        <v>0</v>
      </c>
      <c r="K567" s="66" t="n">
        <v>0</v>
      </c>
      <c r="L567" s="66" t="n">
        <v>0</v>
      </c>
      <c r="M567" s="73" t="n">
        <v>0.017</v>
      </c>
      <c r="N567" s="73"/>
      <c r="O567" s="72"/>
      <c r="P567" s="67"/>
      <c r="Q567" s="64"/>
      <c r="R567" s="64"/>
      <c r="S567" s="64"/>
      <c r="T567" s="64"/>
      <c r="U567" s="64"/>
      <c r="V567" s="64"/>
      <c r="W567" s="64"/>
      <c r="X567" s="64"/>
      <c r="Y567" s="64"/>
      <c r="Z567" s="64"/>
      <c r="AA567" s="64"/>
    </row>
    <row r="568" customFormat="false" ht="15.75" hidden="false" customHeight="true" outlineLevel="0" collapsed="false">
      <c r="A568" s="65" t="n">
        <v>46305</v>
      </c>
      <c r="B568" s="66" t="s">
        <v>171</v>
      </c>
      <c r="C568" s="67" t="str">
        <f aca="false" t="array" ref="C568:C568">IF(B568="","",IFERROR(INDEX('CLM &amp; IM Mapping'!$B$2:$B$270,MATCH(TRIM(B568),'CLM &amp; IM Mapping'!$A$2:$A$270,0)),"Not Mapped"))</f>
        <v>Ashwath S</v>
      </c>
      <c r="D568" s="67" t="str">
        <f aca="false" t="array" ref="D568:D568">IF(B568="","",IFERROR(INDEX('CLM &amp; IM Mapping'!$C$2:$C$270,MATCH(TRIM(B568),'CLM &amp; IM Mapping'!$A$2:$A$270,0)),"Not Mapped"))</f>
        <v>Kantha Kumar</v>
      </c>
      <c r="E568" s="66" t="n">
        <v>12</v>
      </c>
      <c r="F568" s="66" t="n">
        <v>0</v>
      </c>
      <c r="G568" s="66" t="n">
        <v>12</v>
      </c>
      <c r="H568" s="66" t="n">
        <v>0</v>
      </c>
      <c r="I568" s="66" t="n">
        <v>0</v>
      </c>
      <c r="J568" s="66" t="n">
        <v>0</v>
      </c>
      <c r="K568" s="66" t="n">
        <v>0</v>
      </c>
      <c r="L568" s="66" t="n">
        <v>0</v>
      </c>
      <c r="M568" s="73" t="n">
        <v>0</v>
      </c>
      <c r="N568" s="73"/>
      <c r="O568" s="72"/>
      <c r="P568" s="67"/>
      <c r="Q568" s="64"/>
      <c r="R568" s="64"/>
      <c r="S568" s="64"/>
      <c r="T568" s="64"/>
      <c r="U568" s="64"/>
      <c r="V568" s="64"/>
      <c r="W568" s="64"/>
      <c r="X568" s="64"/>
      <c r="Y568" s="64"/>
      <c r="Z568" s="64"/>
      <c r="AA568" s="64"/>
    </row>
    <row r="569" customFormat="false" ht="15.75" hidden="false" customHeight="true" outlineLevel="0" collapsed="false">
      <c r="A569" s="65" t="n">
        <v>46305</v>
      </c>
      <c r="B569" s="66" t="s">
        <v>436</v>
      </c>
      <c r="C569" s="67" t="str">
        <f aca="false" t="array" ref="C569:C569">IF(B569="","",IFERROR(INDEX('CLM &amp; IM Mapping'!$B$2:$B$270,MATCH(TRIM(B569),'CLM &amp; IM Mapping'!$A$2:$A$270,0)),"Not Mapped"))</f>
        <v>Narasimhamurthy R</v>
      </c>
      <c r="D569" s="67" t="str">
        <f aca="false" t="array" ref="D569:D569">IF(B569="","",IFERROR(INDEX('CLM &amp; IM Mapping'!$C$2:$C$270,MATCH(TRIM(B569),'CLM &amp; IM Mapping'!$A$2:$A$270,0)),"Not Mapped"))</f>
        <v>Kishor K</v>
      </c>
      <c r="E569" s="66" t="n">
        <v>10</v>
      </c>
      <c r="F569" s="66" t="n">
        <v>0</v>
      </c>
      <c r="G569" s="66" t="n">
        <v>0</v>
      </c>
      <c r="H569" s="66" t="n">
        <v>10</v>
      </c>
      <c r="I569" s="66" t="n">
        <v>0</v>
      </c>
      <c r="J569" s="66" t="n">
        <v>0</v>
      </c>
      <c r="K569" s="66" t="n">
        <v>0</v>
      </c>
      <c r="L569" s="66" t="n">
        <v>10</v>
      </c>
      <c r="M569" s="73" t="n">
        <v>0</v>
      </c>
      <c r="N569" s="73"/>
      <c r="O569" s="72"/>
      <c r="P569" s="67"/>
      <c r="Q569" s="64"/>
      <c r="R569" s="64"/>
      <c r="S569" s="64"/>
      <c r="T569" s="64"/>
      <c r="U569" s="64"/>
      <c r="V569" s="64"/>
      <c r="W569" s="64"/>
      <c r="X569" s="64"/>
      <c r="Y569" s="64"/>
      <c r="Z569" s="64"/>
      <c r="AA569" s="64"/>
    </row>
    <row r="570" customFormat="false" ht="15.75" hidden="false" customHeight="true" outlineLevel="0" collapsed="false">
      <c r="A570" s="65" t="n">
        <v>46305</v>
      </c>
      <c r="B570" s="66" t="s">
        <v>410</v>
      </c>
      <c r="C570" s="67" t="str">
        <f aca="false" t="array" ref="C570:C570">IF(B570="","",IFERROR(INDEX('CLM &amp; IM Mapping'!$B$2:$B$270,MATCH(TRIM(B570),'CLM &amp; IM Mapping'!$A$2:$A$270,0)),"Not Mapped"))</f>
        <v>Akshay P</v>
      </c>
      <c r="D570" s="67" t="str">
        <f aca="false" t="array" ref="D570:D570">IF(B570="","",IFERROR(INDEX('CLM &amp; IM Mapping'!$C$2:$C$270,MATCH(TRIM(B570),'CLM &amp; IM Mapping'!$A$2:$A$270,0)),"Not Mapped"))</f>
        <v>Srittam Dhal</v>
      </c>
      <c r="E570" s="66" t="n">
        <v>0</v>
      </c>
      <c r="F570" s="66" t="n">
        <v>0</v>
      </c>
      <c r="G570" s="66" t="n">
        <v>0</v>
      </c>
      <c r="H570" s="66" t="n">
        <v>0</v>
      </c>
      <c r="I570" s="66" t="n">
        <v>0</v>
      </c>
      <c r="J570" s="66" t="n">
        <v>0</v>
      </c>
      <c r="K570" s="66" t="n">
        <v>0</v>
      </c>
      <c r="L570" s="66" t="n">
        <v>0</v>
      </c>
      <c r="M570" s="73" t="n">
        <v>0</v>
      </c>
      <c r="N570" s="73"/>
      <c r="O570" s="72"/>
      <c r="P570" s="67"/>
      <c r="Q570" s="64"/>
      <c r="R570" s="64"/>
      <c r="S570" s="64"/>
      <c r="T570" s="64"/>
      <c r="U570" s="64"/>
      <c r="V570" s="64"/>
      <c r="W570" s="64"/>
      <c r="X570" s="64"/>
      <c r="Y570" s="64"/>
      <c r="Z570" s="64"/>
      <c r="AA570" s="64"/>
    </row>
    <row r="571" customFormat="false" ht="15.75" hidden="false" customHeight="true" outlineLevel="0" collapsed="false">
      <c r="A571" s="65" t="n">
        <v>46305</v>
      </c>
      <c r="B571" s="66" t="s">
        <v>445</v>
      </c>
      <c r="C571" s="67" t="str">
        <f aca="false" t="array" ref="C571:C571">IF(B571="","",IFERROR(INDEX('CLM &amp; IM Mapping'!$B$2:$B$270,MATCH(TRIM(B571),'CLM &amp; IM Mapping'!$A$2:$A$270,0)),"Not Mapped"))</f>
        <v>Sundaresh S</v>
      </c>
      <c r="D571" s="67" t="str">
        <f aca="false" t="array" ref="D571:D571">IF(B571="","",IFERROR(INDEX('CLM &amp; IM Mapping'!$C$2:$C$270,MATCH(TRIM(B571),'CLM &amp; IM Mapping'!$A$2:$A$270,0)),"Not Mapped"))</f>
        <v>Un Mapped</v>
      </c>
      <c r="E571" s="66" t="n">
        <v>1278</v>
      </c>
      <c r="F571" s="66" t="n">
        <v>790</v>
      </c>
      <c r="G571" s="66" t="n">
        <v>488</v>
      </c>
      <c r="H571" s="66" t="n">
        <v>0</v>
      </c>
      <c r="I571" s="66" t="n">
        <v>0</v>
      </c>
      <c r="J571" s="66" t="n">
        <v>0</v>
      </c>
      <c r="K571" s="66" t="n">
        <v>0</v>
      </c>
      <c r="L571" s="66" t="n">
        <v>0</v>
      </c>
      <c r="M571" s="73" t="n">
        <v>0.006</v>
      </c>
      <c r="N571" s="73"/>
      <c r="O571" s="72"/>
      <c r="P571" s="67"/>
      <c r="Q571" s="64"/>
      <c r="R571" s="64"/>
      <c r="S571" s="64"/>
      <c r="T571" s="64"/>
      <c r="U571" s="64"/>
      <c r="V571" s="64"/>
      <c r="W571" s="64"/>
      <c r="X571" s="64"/>
      <c r="Y571" s="64"/>
      <c r="Z571" s="64"/>
      <c r="AA571" s="64"/>
    </row>
    <row r="572" customFormat="false" ht="15.75" hidden="false" customHeight="true" outlineLevel="0" collapsed="false">
      <c r="A572" s="65" t="n">
        <v>46305</v>
      </c>
      <c r="B572" s="66" t="s">
        <v>513</v>
      </c>
      <c r="C572" s="67" t="str">
        <f aca="false" t="array" ref="C572:C572">IF(B572="","",IFERROR(INDEX('CLM &amp; IM Mapping'!$B$2:$B$270,MATCH(TRIM(B572),'CLM &amp; IM Mapping'!$A$2:$A$270,0)),"Not Mapped"))</f>
        <v>Manoj Kj</v>
      </c>
      <c r="D572" s="67" t="str">
        <f aca="false" t="array" ref="D572:D572">IF(B572="","",IFERROR(INDEX('CLM &amp; IM Mapping'!$C$2:$C$270,MATCH(TRIM(B572),'CLM &amp; IM Mapping'!$A$2:$A$270,0)),"Not Mapped"))</f>
        <v>Srittam Dhal</v>
      </c>
      <c r="E572" s="66" t="n">
        <v>0</v>
      </c>
      <c r="F572" s="66" t="n">
        <v>0</v>
      </c>
      <c r="G572" s="66" t="n">
        <v>0</v>
      </c>
      <c r="H572" s="66" t="n">
        <v>0</v>
      </c>
      <c r="I572" s="66" t="n">
        <v>0</v>
      </c>
      <c r="J572" s="66" t="n">
        <v>0</v>
      </c>
      <c r="K572" s="66" t="n">
        <v>0</v>
      </c>
      <c r="L572" s="66" t="n">
        <v>0</v>
      </c>
      <c r="M572" s="73" t="n">
        <v>0</v>
      </c>
      <c r="N572" s="73"/>
      <c r="O572" s="72"/>
      <c r="P572" s="67"/>
      <c r="Q572" s="64"/>
      <c r="R572" s="64"/>
      <c r="S572" s="64"/>
      <c r="T572" s="64"/>
      <c r="U572" s="64"/>
      <c r="V572" s="64"/>
      <c r="W572" s="64"/>
      <c r="X572" s="64"/>
      <c r="Y572" s="64"/>
      <c r="Z572" s="64"/>
      <c r="AA572" s="64"/>
    </row>
    <row r="573" customFormat="false" ht="15.75" hidden="false" customHeight="true" outlineLevel="0" collapsed="false">
      <c r="A573" s="65" t="n">
        <v>46305</v>
      </c>
      <c r="B573" s="66" t="s">
        <v>147</v>
      </c>
      <c r="C573" s="67" t="str">
        <f aca="false" t="array" ref="C573:C573">IF(B573="","",IFERROR(INDEX('CLM &amp; IM Mapping'!$B$2:$B$270,MATCH(TRIM(B573),'CLM &amp; IM Mapping'!$A$2:$A$270,0)),"Not Mapped"))</f>
        <v>Manjunatha V</v>
      </c>
      <c r="D573" s="67" t="str">
        <f aca="false" t="array" ref="D573:D573">IF(B573="","",IFERROR(INDEX('CLM &amp; IM Mapping'!$C$2:$C$270,MATCH(TRIM(B573),'CLM &amp; IM Mapping'!$A$2:$A$270,0)),"Not Mapped"))</f>
        <v>Un Mapped</v>
      </c>
      <c r="E573" s="66" t="n">
        <v>9637</v>
      </c>
      <c r="F573" s="66" t="n">
        <v>7791</v>
      </c>
      <c r="G573" s="66" t="n">
        <v>0</v>
      </c>
      <c r="H573" s="66" t="n">
        <v>153</v>
      </c>
      <c r="I573" s="66" t="n">
        <v>1639</v>
      </c>
      <c r="J573" s="66" t="n">
        <v>0</v>
      </c>
      <c r="K573" s="66" t="n">
        <v>54</v>
      </c>
      <c r="L573" s="66" t="n">
        <v>1846</v>
      </c>
      <c r="M573" s="73" t="n">
        <v>0.024</v>
      </c>
      <c r="N573" s="73"/>
      <c r="O573" s="72"/>
      <c r="P573" s="67"/>
      <c r="Q573" s="64"/>
      <c r="R573" s="64"/>
      <c r="S573" s="64"/>
      <c r="T573" s="64"/>
      <c r="U573" s="64"/>
      <c r="V573" s="64"/>
      <c r="W573" s="64"/>
      <c r="X573" s="64"/>
      <c r="Y573" s="64"/>
      <c r="Z573" s="64"/>
      <c r="AA573" s="64"/>
    </row>
    <row r="574" customFormat="false" ht="15.75" hidden="false" customHeight="true" outlineLevel="0" collapsed="false">
      <c r="A574" s="65" t="n">
        <v>46305</v>
      </c>
      <c r="B574" s="66" t="s">
        <v>429</v>
      </c>
      <c r="C574" s="67" t="str">
        <f aca="false" t="array" ref="C574:C574">IF(B574="","",IFERROR(INDEX('CLM &amp; IM Mapping'!$B$2:$B$270,MATCH(TRIM(B574),'CLM &amp; IM Mapping'!$A$2:$A$270,0)),"Not Mapped"))</f>
        <v>Manjunatha V</v>
      </c>
      <c r="D574" s="67" t="str">
        <f aca="false" t="array" ref="D574:D574">IF(B574="","",IFERROR(INDEX('CLM &amp; IM Mapping'!$C$2:$C$270,MATCH(TRIM(B574),'CLM &amp; IM Mapping'!$A$2:$A$270,0)),"Not Mapped"))</f>
        <v>Un Mapped</v>
      </c>
      <c r="E574" s="66" t="n">
        <v>457</v>
      </c>
      <c r="F574" s="66" t="n">
        <v>0</v>
      </c>
      <c r="G574" s="66" t="n">
        <v>457</v>
      </c>
      <c r="H574" s="66" t="n">
        <v>0</v>
      </c>
      <c r="I574" s="66" t="n">
        <v>0</v>
      </c>
      <c r="J574" s="66" t="n">
        <v>0</v>
      </c>
      <c r="K574" s="66" t="n">
        <v>0</v>
      </c>
      <c r="L574" s="66" t="n">
        <v>0</v>
      </c>
      <c r="M574" s="73" t="n">
        <v>0.002</v>
      </c>
      <c r="N574" s="73"/>
      <c r="O574" s="72"/>
      <c r="P574" s="67"/>
      <c r="Q574" s="64"/>
      <c r="R574" s="64"/>
      <c r="S574" s="64"/>
      <c r="T574" s="64"/>
      <c r="U574" s="64"/>
      <c r="V574" s="64"/>
      <c r="W574" s="64"/>
      <c r="X574" s="64"/>
      <c r="Y574" s="64"/>
      <c r="Z574" s="64"/>
      <c r="AA574" s="64"/>
    </row>
    <row r="575" customFormat="false" ht="15.75" hidden="false" customHeight="true" outlineLevel="0" collapsed="false">
      <c r="A575" s="65" t="n">
        <v>46305</v>
      </c>
      <c r="B575" s="66" t="s">
        <v>412</v>
      </c>
      <c r="C575" s="67" t="str">
        <f aca="false" t="array" ref="C575:C575">IF(B575="","",IFERROR(INDEX('CLM &amp; IM Mapping'!$B$2:$B$270,MATCH(TRIM(B575),'CLM &amp; IM Mapping'!$A$2:$A$270,0)),"Not Mapped"))</f>
        <v>Richard Harris</v>
      </c>
      <c r="D575" s="67" t="str">
        <f aca="false" t="array" ref="D575:D575">IF(B575="","",IFERROR(INDEX('CLM &amp; IM Mapping'!$C$2:$C$270,MATCH(TRIM(B575),'CLM &amp; IM Mapping'!$A$2:$A$270,0)),"Not Mapped"))</f>
        <v>Kantha Kumar</v>
      </c>
      <c r="E575" s="66" t="n">
        <v>3133</v>
      </c>
      <c r="F575" s="66" t="n">
        <v>252</v>
      </c>
      <c r="G575" s="66" t="n">
        <v>2881</v>
      </c>
      <c r="H575" s="66" t="n">
        <v>0</v>
      </c>
      <c r="I575" s="66" t="n">
        <v>0</v>
      </c>
      <c r="J575" s="66" t="n">
        <v>0</v>
      </c>
      <c r="K575" s="66" t="n">
        <v>0</v>
      </c>
      <c r="L575" s="66" t="n">
        <v>0</v>
      </c>
      <c r="M575" s="73" t="n">
        <v>0.025</v>
      </c>
      <c r="N575" s="73"/>
      <c r="O575" s="72"/>
      <c r="P575" s="67"/>
      <c r="Q575" s="64"/>
      <c r="R575" s="64"/>
      <c r="S575" s="64"/>
      <c r="T575" s="64"/>
      <c r="U575" s="64"/>
      <c r="V575" s="64"/>
      <c r="W575" s="64"/>
      <c r="X575" s="64"/>
      <c r="Y575" s="64"/>
      <c r="Z575" s="64"/>
      <c r="AA575" s="64"/>
    </row>
    <row r="576" customFormat="false" ht="15.75" hidden="false" customHeight="true" outlineLevel="0" collapsed="false">
      <c r="A576" s="65" t="n">
        <v>46305</v>
      </c>
      <c r="B576" s="66" t="s">
        <v>56</v>
      </c>
      <c r="C576" s="67" t="str">
        <f aca="false" t="array" ref="C576:C576">IF(B576="","",IFERROR(INDEX('CLM &amp; IM Mapping'!$B$2:$B$270,MATCH(TRIM(B576),'CLM &amp; IM Mapping'!$A$2:$A$270,0)),"Not Mapped"))</f>
        <v>Keshav G</v>
      </c>
      <c r="D576" s="67" t="str">
        <f aca="false" t="array" ref="D576:D576">IF(B576="","",IFERROR(INDEX('CLM &amp; IM Mapping'!$C$2:$C$270,MATCH(TRIM(B576),'CLM &amp; IM Mapping'!$A$2:$A$270,0)),"Not Mapped"))</f>
        <v>Un Mapped</v>
      </c>
      <c r="E576" s="66" t="n">
        <v>5394</v>
      </c>
      <c r="F576" s="66" t="n">
        <v>1814</v>
      </c>
      <c r="G576" s="66" t="n">
        <v>3548</v>
      </c>
      <c r="H576" s="66" t="n">
        <v>0</v>
      </c>
      <c r="I576" s="66" t="n">
        <v>32</v>
      </c>
      <c r="J576" s="66" t="n">
        <v>0</v>
      </c>
      <c r="K576" s="66" t="n">
        <v>0</v>
      </c>
      <c r="L576" s="66" t="n">
        <v>32</v>
      </c>
      <c r="M576" s="73" t="n">
        <v>0.008</v>
      </c>
      <c r="N576" s="73"/>
      <c r="O576" s="72"/>
      <c r="P576" s="67"/>
      <c r="Q576" s="64"/>
      <c r="R576" s="64"/>
      <c r="S576" s="64"/>
      <c r="T576" s="64"/>
      <c r="U576" s="64"/>
      <c r="V576" s="64"/>
      <c r="W576" s="64"/>
      <c r="X576" s="64"/>
      <c r="Y576" s="64"/>
      <c r="Z576" s="64"/>
      <c r="AA576" s="64"/>
    </row>
    <row r="577" customFormat="false" ht="15.75" hidden="false" customHeight="true" outlineLevel="0" collapsed="false">
      <c r="A577" s="65" t="n">
        <v>46305</v>
      </c>
      <c r="B577" s="66" t="s">
        <v>29</v>
      </c>
      <c r="C577" s="67" t="str">
        <f aca="false" t="array" ref="C577:C577">IF(B577="","",IFERROR(INDEX('CLM &amp; IM Mapping'!$B$2:$B$270,MATCH(TRIM(B577),'CLM &amp; IM Mapping'!$A$2:$A$270,0)),"Not Mapped"))</f>
        <v>Arun Raj</v>
      </c>
      <c r="D577" s="67" t="str">
        <f aca="false" t="array" ref="D577:D577">IF(B577="","",IFERROR(INDEX('CLM &amp; IM Mapping'!$C$2:$C$270,MATCH(TRIM(B577),'CLM &amp; IM Mapping'!$A$2:$A$270,0)),"Not Mapped"))</f>
        <v>Simon Manoharan</v>
      </c>
      <c r="E577" s="66" t="n">
        <v>7118</v>
      </c>
      <c r="F577" s="66" t="n">
        <v>0</v>
      </c>
      <c r="G577" s="66" t="n">
        <v>0</v>
      </c>
      <c r="H577" s="66" t="n">
        <v>3358</v>
      </c>
      <c r="I577" s="66" t="n">
        <v>0</v>
      </c>
      <c r="J577" s="66" t="n">
        <v>3076</v>
      </c>
      <c r="K577" s="66" t="n">
        <v>684</v>
      </c>
      <c r="L577" s="66" t="n">
        <v>3760</v>
      </c>
      <c r="M577" s="73"/>
      <c r="N577" s="73"/>
      <c r="O577" s="72"/>
      <c r="P577" s="67"/>
      <c r="Q577" s="64"/>
      <c r="R577" s="64"/>
      <c r="S577" s="64"/>
      <c r="T577" s="64"/>
      <c r="U577" s="64"/>
      <c r="V577" s="64"/>
      <c r="W577" s="64"/>
      <c r="X577" s="64"/>
      <c r="Y577" s="64"/>
      <c r="Z577" s="64"/>
      <c r="AA577" s="64"/>
    </row>
    <row r="578" customFormat="false" ht="15.75" hidden="false" customHeight="true" outlineLevel="0" collapsed="false">
      <c r="A578" s="65" t="n">
        <v>46305</v>
      </c>
      <c r="B578" s="66" t="s">
        <v>564</v>
      </c>
      <c r="C578" s="67" t="str">
        <f aca="false" t="array" ref="C578:C578">IF(B578="","",IFERROR(INDEX('CLM &amp; IM Mapping'!$B$2:$B$270,MATCH(TRIM(B578),'CLM &amp; IM Mapping'!$A$2:$A$270,0)),"Not Mapped"))</f>
        <v>Basil Scariya</v>
      </c>
      <c r="D578" s="67" t="str">
        <f aca="false" t="array" ref="D578:D578">IF(B578="","",IFERROR(INDEX('CLM &amp; IM Mapping'!$C$2:$C$270,MATCH(TRIM(B578),'CLM &amp; IM Mapping'!$A$2:$A$270,0)),"Not Mapped"))</f>
        <v>Prakash BS</v>
      </c>
      <c r="E578" s="66" t="n">
        <v>0</v>
      </c>
      <c r="F578" s="66" t="n">
        <v>0</v>
      </c>
      <c r="G578" s="66" t="n">
        <v>0</v>
      </c>
      <c r="H578" s="66" t="n">
        <v>0</v>
      </c>
      <c r="I578" s="66" t="n">
        <v>0</v>
      </c>
      <c r="J578" s="66" t="n">
        <v>0</v>
      </c>
      <c r="K578" s="66" t="n">
        <v>0</v>
      </c>
      <c r="L578" s="66" t="n">
        <v>0</v>
      </c>
      <c r="M578" s="73"/>
      <c r="N578" s="73"/>
      <c r="O578" s="72"/>
      <c r="P578" s="67"/>
      <c r="Q578" s="64"/>
      <c r="R578" s="64"/>
      <c r="S578" s="64"/>
      <c r="T578" s="64"/>
      <c r="U578" s="64"/>
      <c r="V578" s="64"/>
      <c r="W578" s="64"/>
      <c r="X578" s="64"/>
      <c r="Y578" s="64"/>
      <c r="Z578" s="64"/>
      <c r="AA578" s="64"/>
    </row>
    <row r="579" customFormat="false" ht="15.75" hidden="false" customHeight="true" outlineLevel="0" collapsed="false">
      <c r="A579" s="65" t="n">
        <v>46305</v>
      </c>
      <c r="B579" s="66" t="s">
        <v>200</v>
      </c>
      <c r="C579" s="67" t="str">
        <f aca="false" t="array" ref="C579:C579">IF(B579="","",IFERROR(INDEX('CLM &amp; IM Mapping'!$B$2:$B$270,MATCH(TRIM(B579),'CLM &amp; IM Mapping'!$A$2:$A$270,0)),"Not Mapped"))</f>
        <v>Adhavan Subramani</v>
      </c>
      <c r="D579" s="67" t="str">
        <f aca="false" t="array" ref="D579:D579">IF(B579="","",IFERROR(INDEX('CLM &amp; IM Mapping'!$C$2:$C$270,MATCH(TRIM(B579),'CLM &amp; IM Mapping'!$A$2:$A$270,0)),"Not Mapped"))</f>
        <v>Mohammed Akbar</v>
      </c>
      <c r="E579" s="66" t="n">
        <v>2141</v>
      </c>
      <c r="F579" s="66" t="n">
        <v>3</v>
      </c>
      <c r="G579" s="66" t="n">
        <v>1836</v>
      </c>
      <c r="H579" s="66" t="n">
        <v>0</v>
      </c>
      <c r="I579" s="66" t="n">
        <v>0</v>
      </c>
      <c r="J579" s="66" t="n">
        <v>302</v>
      </c>
      <c r="K579" s="66" t="n">
        <v>0</v>
      </c>
      <c r="L579" s="66" t="n">
        <v>302</v>
      </c>
      <c r="M579" s="73" t="n">
        <v>0.022</v>
      </c>
      <c r="N579" s="73"/>
      <c r="O579" s="72"/>
      <c r="P579" s="67"/>
      <c r="Q579" s="64"/>
      <c r="R579" s="64"/>
      <c r="S579" s="64"/>
      <c r="T579" s="64"/>
      <c r="U579" s="64"/>
      <c r="V579" s="64"/>
      <c r="W579" s="64"/>
      <c r="X579" s="64"/>
      <c r="Y579" s="64"/>
      <c r="Z579" s="64"/>
      <c r="AA579" s="64"/>
    </row>
    <row r="580" customFormat="false" ht="15.75" hidden="false" customHeight="true" outlineLevel="0" collapsed="false">
      <c r="A580" s="65" t="n">
        <v>46305</v>
      </c>
      <c r="B580" s="66" t="s">
        <v>455</v>
      </c>
      <c r="C580" s="67" t="str">
        <f aca="false" t="array" ref="C580:C580">IF(B580="","",IFERROR(INDEX('CLM &amp; IM Mapping'!$B$2:$B$270,MATCH(TRIM(B580),'CLM &amp; IM Mapping'!$A$2:$A$270,0)),"Not Mapped"))</f>
        <v>Rizwan Ahmed</v>
      </c>
      <c r="D580" s="67" t="str">
        <f aca="false" t="array" ref="D580:D580">IF(B580="","",IFERROR(INDEX('CLM &amp; IM Mapping'!$C$2:$C$270,MATCH(TRIM(B580),'CLM &amp; IM Mapping'!$A$2:$A$270,0)),"Not Mapped"))</f>
        <v>Un Mapped</v>
      </c>
      <c r="E580" s="66" t="n">
        <v>1901</v>
      </c>
      <c r="F580" s="66" t="n">
        <v>0</v>
      </c>
      <c r="G580" s="66" t="n">
        <v>0</v>
      </c>
      <c r="H580" s="66" t="n">
        <v>1834</v>
      </c>
      <c r="I580" s="66" t="n">
        <v>0</v>
      </c>
      <c r="J580" s="66" t="n">
        <v>47</v>
      </c>
      <c r="K580" s="66" t="n">
        <v>20</v>
      </c>
      <c r="L580" s="66" t="n">
        <v>1901</v>
      </c>
      <c r="M580" s="73" t="n">
        <v>0.008</v>
      </c>
      <c r="N580" s="73"/>
      <c r="O580" s="72"/>
      <c r="P580" s="67"/>
      <c r="Q580" s="64"/>
      <c r="R580" s="64"/>
      <c r="S580" s="64"/>
      <c r="T580" s="64"/>
      <c r="U580" s="64"/>
      <c r="V580" s="64"/>
      <c r="W580" s="64"/>
      <c r="X580" s="64"/>
      <c r="Y580" s="64"/>
      <c r="Z580" s="64"/>
      <c r="AA580" s="64"/>
    </row>
    <row r="581" customFormat="false" ht="15.75" hidden="false" customHeight="true" outlineLevel="0" collapsed="false">
      <c r="A581" s="65" t="n">
        <v>46305</v>
      </c>
      <c r="B581" s="66" t="s">
        <v>97</v>
      </c>
      <c r="C581" s="67" t="str">
        <f aca="false" t="array" ref="C581:C581">IF(B581="","",IFERROR(INDEX('CLM &amp; IM Mapping'!$B$2:$B$270,MATCH(TRIM(B581),'CLM &amp; IM Mapping'!$A$2:$A$270,0)),"Not Mapped"))</f>
        <v>Raghavendra Vernekar</v>
      </c>
      <c r="D581" s="67" t="str">
        <f aca="false" t="array" ref="D581:D581">IF(B581="","",IFERROR(INDEX('CLM &amp; IM Mapping'!$C$2:$C$270,MATCH(TRIM(B581),'CLM &amp; IM Mapping'!$A$2:$A$270,0)),"Not Mapped"))</f>
        <v>Prakash BS</v>
      </c>
      <c r="E581" s="66" t="n">
        <v>1168</v>
      </c>
      <c r="F581" s="66" t="n">
        <v>0</v>
      </c>
      <c r="G581" s="66" t="n">
        <v>1142</v>
      </c>
      <c r="H581" s="66" t="n">
        <v>0</v>
      </c>
      <c r="I581" s="66" t="n">
        <v>0</v>
      </c>
      <c r="J581" s="66" t="n">
        <v>0</v>
      </c>
      <c r="K581" s="66" t="n">
        <v>26</v>
      </c>
      <c r="L581" s="66" t="n">
        <v>26</v>
      </c>
      <c r="M581" s="73" t="n">
        <v>0.004</v>
      </c>
      <c r="N581" s="73"/>
      <c r="O581" s="72"/>
      <c r="P581" s="67"/>
      <c r="Q581" s="64"/>
      <c r="R581" s="64"/>
      <c r="S581" s="64"/>
      <c r="T581" s="64"/>
      <c r="U581" s="64"/>
      <c r="V581" s="64"/>
      <c r="W581" s="64"/>
      <c r="X581" s="64"/>
      <c r="Y581" s="64"/>
      <c r="Z581" s="64"/>
      <c r="AA581" s="64"/>
    </row>
    <row r="582" customFormat="false" ht="15.75" hidden="false" customHeight="true" outlineLevel="0" collapsed="false">
      <c r="A582" s="65" t="n">
        <v>46305</v>
      </c>
      <c r="B582" s="66" t="s">
        <v>320</v>
      </c>
      <c r="C582" s="67" t="str">
        <f aca="false" t="array" ref="C582:C582">IF(B582="","",IFERROR(INDEX('CLM &amp; IM Mapping'!$B$2:$B$270,MATCH(TRIM(B582),'CLM &amp; IM Mapping'!$A$2:$A$270,0)),"Not Mapped"))</f>
        <v>Ashwath S</v>
      </c>
      <c r="D582" s="67" t="str">
        <f aca="false" t="array" ref="D582:D582">IF(B582="","",IFERROR(INDEX('CLM &amp; IM Mapping'!$C$2:$C$270,MATCH(TRIM(B582),'CLM &amp; IM Mapping'!$A$2:$A$270,0)),"Not Mapped"))</f>
        <v>Kantha Kumar</v>
      </c>
      <c r="E582" s="66" t="n">
        <v>0</v>
      </c>
      <c r="F582" s="66" t="n">
        <v>0</v>
      </c>
      <c r="G582" s="66" t="n">
        <v>0</v>
      </c>
      <c r="H582" s="66" t="n">
        <v>0</v>
      </c>
      <c r="I582" s="66" t="n">
        <v>0</v>
      </c>
      <c r="J582" s="66" t="n">
        <v>0</v>
      </c>
      <c r="K582" s="66" t="n">
        <v>0</v>
      </c>
      <c r="L582" s="66" t="n">
        <v>0</v>
      </c>
      <c r="M582" s="73" t="n">
        <v>0</v>
      </c>
      <c r="N582" s="73"/>
      <c r="O582" s="72"/>
      <c r="P582" s="67"/>
      <c r="Q582" s="64"/>
      <c r="R582" s="64"/>
      <c r="S582" s="64"/>
      <c r="T582" s="64"/>
      <c r="U582" s="64"/>
      <c r="V582" s="64"/>
      <c r="W582" s="64"/>
      <c r="X582" s="64"/>
      <c r="Y582" s="64"/>
      <c r="Z582" s="64"/>
      <c r="AA582" s="64"/>
    </row>
    <row r="583" customFormat="false" ht="15.75" hidden="false" customHeight="true" outlineLevel="0" collapsed="false">
      <c r="A583" s="65" t="n">
        <v>46305</v>
      </c>
      <c r="B583" s="66" t="s">
        <v>86</v>
      </c>
      <c r="C583" s="67" t="str">
        <f aca="false" t="array" ref="C583:C583">IF(B583="","",IFERROR(INDEX('CLM &amp; IM Mapping'!$B$2:$B$270,MATCH(TRIM(B583),'CLM &amp; IM Mapping'!$A$2:$A$270,0)),"Not Mapped"))</f>
        <v>Raghavendra Vernekar</v>
      </c>
      <c r="D583" s="67" t="str">
        <f aca="false" t="array" ref="D583:D583">IF(B583="","",IFERROR(INDEX('CLM &amp; IM Mapping'!$C$2:$C$270,MATCH(TRIM(B583),'CLM &amp; IM Mapping'!$A$2:$A$270,0)),"Not Mapped"))</f>
        <v>Prakash BS</v>
      </c>
      <c r="E583" s="66" t="n">
        <v>4809</v>
      </c>
      <c r="F583" s="66" t="n">
        <v>55</v>
      </c>
      <c r="G583" s="66" t="n">
        <v>4608</v>
      </c>
      <c r="H583" s="66" t="n">
        <v>0</v>
      </c>
      <c r="I583" s="66" t="n">
        <v>146</v>
      </c>
      <c r="J583" s="66" t="n">
        <v>0</v>
      </c>
      <c r="K583" s="66" t="n">
        <v>0</v>
      </c>
      <c r="L583" s="66" t="n">
        <v>146</v>
      </c>
      <c r="M583" s="73" t="n">
        <v>0.01</v>
      </c>
      <c r="N583" s="73"/>
      <c r="O583" s="72"/>
      <c r="P583" s="67"/>
      <c r="Q583" s="64"/>
      <c r="R583" s="64"/>
      <c r="S583" s="64"/>
      <c r="T583" s="64"/>
      <c r="U583" s="64"/>
      <c r="V583" s="64"/>
      <c r="W583" s="64"/>
      <c r="X583" s="64"/>
      <c r="Y583" s="64"/>
      <c r="Z583" s="64"/>
      <c r="AA583" s="64"/>
    </row>
    <row r="584" customFormat="false" ht="15.75" hidden="false" customHeight="true" outlineLevel="0" collapsed="false">
      <c r="A584" s="65" t="n">
        <v>46305</v>
      </c>
      <c r="B584" s="66" t="s">
        <v>494</v>
      </c>
      <c r="C584" s="67" t="str">
        <f aca="false" t="array" ref="C584:C584">IF(B584="","",IFERROR(INDEX('CLM &amp; IM Mapping'!$B$2:$B$270,MATCH(TRIM(B584),'CLM &amp; IM Mapping'!$A$2:$A$270,0)),"Not Mapped"))</f>
        <v>Arun Raj</v>
      </c>
      <c r="D584" s="67" t="str">
        <f aca="false" t="array" ref="D584:D584">IF(B584="","",IFERROR(INDEX('CLM &amp; IM Mapping'!$C$2:$C$270,MATCH(TRIM(B584),'CLM &amp; IM Mapping'!$A$2:$A$270,0)),"Not Mapped"))</f>
        <v>Simon Manoharan</v>
      </c>
      <c r="E584" s="66" t="n">
        <v>200</v>
      </c>
      <c r="F584" s="66" t="n">
        <v>0</v>
      </c>
      <c r="G584" s="66" t="n">
        <v>0</v>
      </c>
      <c r="H584" s="66" t="n">
        <v>199</v>
      </c>
      <c r="I584" s="66" t="n">
        <v>0</v>
      </c>
      <c r="J584" s="66" t="n">
        <v>1</v>
      </c>
      <c r="K584" s="66" t="n">
        <v>0</v>
      </c>
      <c r="L584" s="66" t="n">
        <v>1</v>
      </c>
      <c r="M584" s="73"/>
      <c r="N584" s="73"/>
      <c r="O584" s="72"/>
      <c r="P584" s="67"/>
      <c r="Q584" s="64"/>
      <c r="R584" s="64"/>
      <c r="S584" s="64"/>
      <c r="T584" s="64"/>
      <c r="U584" s="64"/>
      <c r="V584" s="64"/>
      <c r="W584" s="64"/>
      <c r="X584" s="64"/>
      <c r="Y584" s="64"/>
      <c r="Z584" s="64"/>
      <c r="AA584" s="64"/>
    </row>
    <row r="585" customFormat="false" ht="15.75" hidden="false" customHeight="true" outlineLevel="0" collapsed="false">
      <c r="A585" s="65" t="n">
        <v>46305</v>
      </c>
      <c r="B585" s="66" t="s">
        <v>515</v>
      </c>
      <c r="C585" s="67" t="str">
        <f aca="false" t="array" ref="C585:C585">IF(B585="","",IFERROR(INDEX('CLM &amp; IM Mapping'!$B$2:$B$270,MATCH(TRIM(B585),'CLM &amp; IM Mapping'!$A$2:$A$270,0)),"Not Mapped"))</f>
        <v>Balaji G</v>
      </c>
      <c r="D585" s="67" t="str">
        <f aca="false" t="array" ref="D585:D585">IF(B585="","",IFERROR(INDEX('CLM &amp; IM Mapping'!$C$2:$C$270,MATCH(TRIM(B585),'CLM &amp; IM Mapping'!$A$2:$A$270,0)),"Not Mapped"))</f>
        <v>Mohammed Akbar</v>
      </c>
      <c r="E585" s="66" t="n">
        <v>0</v>
      </c>
      <c r="F585" s="66" t="n">
        <v>0</v>
      </c>
      <c r="G585" s="66" t="n">
        <v>0</v>
      </c>
      <c r="H585" s="66" t="n">
        <v>0</v>
      </c>
      <c r="I585" s="66" t="n">
        <v>0</v>
      </c>
      <c r="J585" s="66" t="n">
        <v>0</v>
      </c>
      <c r="K585" s="66" t="n">
        <v>0</v>
      </c>
      <c r="L585" s="66" t="n">
        <v>0</v>
      </c>
      <c r="M585" s="73" t="n">
        <v>0</v>
      </c>
      <c r="N585" s="73"/>
      <c r="O585" s="72"/>
      <c r="P585" s="67"/>
      <c r="Q585" s="64"/>
      <c r="R585" s="64"/>
      <c r="S585" s="64"/>
      <c r="T585" s="64"/>
      <c r="U585" s="64"/>
      <c r="V585" s="64"/>
      <c r="W585" s="64"/>
      <c r="X585" s="64"/>
      <c r="Y585" s="64"/>
      <c r="Z585" s="64"/>
      <c r="AA585" s="64"/>
    </row>
    <row r="586" customFormat="false" ht="15.75" hidden="false" customHeight="true" outlineLevel="0" collapsed="false">
      <c r="A586" s="65" t="n">
        <v>46305</v>
      </c>
      <c r="B586" s="66" t="s">
        <v>532</v>
      </c>
      <c r="C586" s="67" t="str">
        <f aca="false" t="array" ref="C586:C586">IF(B586="","",IFERROR(INDEX('CLM &amp; IM Mapping'!$B$2:$B$270,MATCH(TRIM(B586),'CLM &amp; IM Mapping'!$A$2:$A$270,0)),"Not Mapped"))</f>
        <v>Arun Raj</v>
      </c>
      <c r="D586" s="67" t="str">
        <f aca="false" t="array" ref="D586:D586">IF(B586="","",IFERROR(INDEX('CLM &amp; IM Mapping'!$C$2:$C$270,MATCH(TRIM(B586),'CLM &amp; IM Mapping'!$A$2:$A$270,0)),"Not Mapped"))</f>
        <v>Simon Manoharan</v>
      </c>
      <c r="E586" s="66" t="n">
        <v>0</v>
      </c>
      <c r="F586" s="66" t="n">
        <v>0</v>
      </c>
      <c r="G586" s="66" t="n">
        <v>0</v>
      </c>
      <c r="H586" s="66" t="n">
        <v>0</v>
      </c>
      <c r="I586" s="66" t="n">
        <v>0</v>
      </c>
      <c r="J586" s="66" t="n">
        <v>0</v>
      </c>
      <c r="K586" s="66" t="n">
        <v>0</v>
      </c>
      <c r="L586" s="66" t="n">
        <v>0</v>
      </c>
      <c r="M586" s="73"/>
      <c r="N586" s="73"/>
      <c r="O586" s="72"/>
      <c r="P586" s="67"/>
      <c r="Q586" s="64"/>
      <c r="R586" s="64"/>
      <c r="S586" s="64"/>
      <c r="T586" s="64"/>
      <c r="U586" s="64"/>
      <c r="V586" s="64"/>
      <c r="W586" s="64"/>
      <c r="X586" s="64"/>
      <c r="Y586" s="64"/>
      <c r="Z586" s="64"/>
      <c r="AA586" s="64"/>
    </row>
    <row r="587" customFormat="false" ht="15.75" hidden="false" customHeight="true" outlineLevel="0" collapsed="false">
      <c r="A587" s="65" t="n">
        <v>46305</v>
      </c>
      <c r="B587" s="66" t="s">
        <v>205</v>
      </c>
      <c r="C587" s="67" t="str">
        <f aca="false" t="array" ref="C587:C587">IF(B587="","",IFERROR(INDEX('CLM &amp; IM Mapping'!$B$2:$B$270,MATCH(TRIM(B587),'CLM &amp; IM Mapping'!$A$2:$A$270,0)),"Not Mapped"))</f>
        <v>Akshay P</v>
      </c>
      <c r="D587" s="67" t="str">
        <f aca="false" t="array" ref="D587:D587">IF(B587="","",IFERROR(INDEX('CLM &amp; IM Mapping'!$C$2:$C$270,MATCH(TRIM(B587),'CLM &amp; IM Mapping'!$A$2:$A$270,0)),"Not Mapped"))</f>
        <v>Srittam Dhal</v>
      </c>
      <c r="E587" s="66" t="n">
        <v>5604</v>
      </c>
      <c r="F587" s="66" t="n">
        <v>0</v>
      </c>
      <c r="G587" s="66" t="n">
        <v>3370</v>
      </c>
      <c r="H587" s="66" t="n">
        <v>0</v>
      </c>
      <c r="I587" s="66" t="n">
        <v>0</v>
      </c>
      <c r="J587" s="66" t="n">
        <v>1091</v>
      </c>
      <c r="K587" s="66" t="n">
        <v>1143</v>
      </c>
      <c r="L587" s="66" t="n">
        <v>2234</v>
      </c>
      <c r="M587" s="73" t="n">
        <v>0.037</v>
      </c>
      <c r="N587" s="73"/>
      <c r="O587" s="72"/>
      <c r="P587" s="67"/>
      <c r="Q587" s="64"/>
      <c r="R587" s="64"/>
      <c r="S587" s="64"/>
      <c r="T587" s="64"/>
      <c r="U587" s="64"/>
      <c r="V587" s="64"/>
      <c r="W587" s="64"/>
      <c r="X587" s="64"/>
      <c r="Y587" s="64"/>
      <c r="Z587" s="64"/>
      <c r="AA587" s="64"/>
    </row>
    <row r="588" customFormat="false" ht="15.75" hidden="false" customHeight="true" outlineLevel="0" collapsed="false">
      <c r="A588" s="65" t="n">
        <v>46305</v>
      </c>
      <c r="B588" s="66" t="s">
        <v>168</v>
      </c>
      <c r="C588" s="67" t="str">
        <f aca="false" t="array" ref="C588:C588">IF(B588="","",IFERROR(INDEX('CLM &amp; IM Mapping'!$B$2:$B$270,MATCH(TRIM(B588),'CLM &amp; IM Mapping'!$A$2:$A$270,0)),"Not Mapped"))</f>
        <v>Vijay M</v>
      </c>
      <c r="D588" s="67" t="str">
        <f aca="false" t="array" ref="D588:D588">IF(B588="","",IFERROR(INDEX('CLM &amp; IM Mapping'!$C$2:$C$270,MATCH(TRIM(B588),'CLM &amp; IM Mapping'!$A$2:$A$270,0)),"Not Mapped"))</f>
        <v>Kantha Kumar</v>
      </c>
      <c r="E588" s="66" t="n">
        <v>3274</v>
      </c>
      <c r="F588" s="66" t="n">
        <v>0</v>
      </c>
      <c r="G588" s="66" t="n">
        <v>3274</v>
      </c>
      <c r="H588" s="66" t="n">
        <v>0</v>
      </c>
      <c r="I588" s="66" t="n">
        <v>0</v>
      </c>
      <c r="J588" s="66" t="n">
        <v>0</v>
      </c>
      <c r="K588" s="66" t="n">
        <v>0</v>
      </c>
      <c r="L588" s="66" t="n">
        <v>0</v>
      </c>
      <c r="M588" s="73" t="n">
        <v>0.014</v>
      </c>
      <c r="N588" s="73"/>
      <c r="O588" s="72"/>
      <c r="P588" s="67"/>
      <c r="Q588" s="64"/>
      <c r="R588" s="64"/>
      <c r="S588" s="64"/>
      <c r="T588" s="64"/>
      <c r="U588" s="64"/>
      <c r="V588" s="64"/>
      <c r="W588" s="64"/>
      <c r="X588" s="64"/>
      <c r="Y588" s="64"/>
      <c r="Z588" s="64"/>
      <c r="AA588" s="64"/>
    </row>
    <row r="589" customFormat="false" ht="15.75" hidden="false" customHeight="true" outlineLevel="0" collapsed="false">
      <c r="A589" s="65" t="n">
        <v>46305</v>
      </c>
      <c r="B589" s="66" t="s">
        <v>73</v>
      </c>
      <c r="C589" s="67" t="str">
        <f aca="false" t="array" ref="C589:C589">IF(B589="","",IFERROR(INDEX('CLM &amp; IM Mapping'!$B$2:$B$270,MATCH(TRIM(B589),'CLM &amp; IM Mapping'!$A$2:$A$270,0)),"Not Mapped"))</f>
        <v>Narasimhamurthy R</v>
      </c>
      <c r="D589" s="67" t="str">
        <f aca="false" t="array" ref="D589:D589">IF(B589="","",IFERROR(INDEX('CLM &amp; IM Mapping'!$C$2:$C$270,MATCH(TRIM(B589),'CLM &amp; IM Mapping'!$A$2:$A$270,0)),"Not Mapped"))</f>
        <v>Kishor K</v>
      </c>
      <c r="E589" s="66" t="n">
        <v>3979</v>
      </c>
      <c r="F589" s="66" t="n">
        <v>0</v>
      </c>
      <c r="G589" s="66" t="n">
        <v>0</v>
      </c>
      <c r="H589" s="66" t="n">
        <v>3979</v>
      </c>
      <c r="I589" s="66" t="n">
        <v>0</v>
      </c>
      <c r="J589" s="66" t="n">
        <v>0</v>
      </c>
      <c r="K589" s="66" t="n">
        <v>0</v>
      </c>
      <c r="L589" s="66" t="n">
        <v>3979</v>
      </c>
      <c r="M589" s="73" t="n">
        <v>0.043</v>
      </c>
      <c r="N589" s="73"/>
      <c r="O589" s="72"/>
      <c r="P589" s="67"/>
      <c r="Q589" s="64"/>
      <c r="R589" s="64"/>
      <c r="S589" s="64"/>
      <c r="T589" s="64"/>
      <c r="U589" s="64"/>
      <c r="V589" s="64"/>
      <c r="W589" s="64"/>
      <c r="X589" s="64"/>
      <c r="Y589" s="64"/>
      <c r="Z589" s="64"/>
      <c r="AA589" s="64"/>
    </row>
    <row r="590" customFormat="false" ht="15.75" hidden="false" customHeight="true" outlineLevel="0" collapsed="false">
      <c r="A590" s="65" t="n">
        <v>46305</v>
      </c>
      <c r="B590" s="66" t="s">
        <v>156</v>
      </c>
      <c r="C590" s="67" t="str">
        <f aca="false" t="array" ref="C590:C590">IF(B590="","",IFERROR(INDEX('CLM &amp; IM Mapping'!$B$2:$B$270,MATCH(TRIM(B590),'CLM &amp; IM Mapping'!$A$2:$A$270,0)),"Not Mapped"))</f>
        <v>Manoj Kj</v>
      </c>
      <c r="D590" s="67" t="str">
        <f aca="false" t="array" ref="D590:D590">IF(B590="","",IFERROR(INDEX('CLM &amp; IM Mapping'!$C$2:$C$270,MATCH(TRIM(B590),'CLM &amp; IM Mapping'!$A$2:$A$270,0)),"Not Mapped"))</f>
        <v>Srittam Dhal</v>
      </c>
      <c r="E590" s="66" t="n">
        <v>157</v>
      </c>
      <c r="F590" s="66" t="n">
        <v>0</v>
      </c>
      <c r="G590" s="66" t="n">
        <v>0</v>
      </c>
      <c r="H590" s="66" t="n">
        <v>157</v>
      </c>
      <c r="I590" s="66" t="n">
        <v>0</v>
      </c>
      <c r="J590" s="66" t="n">
        <v>0</v>
      </c>
      <c r="K590" s="66" t="n">
        <v>0</v>
      </c>
      <c r="L590" s="66" t="n">
        <v>157</v>
      </c>
      <c r="M590" s="73" t="n">
        <v>0.009</v>
      </c>
      <c r="N590" s="73"/>
      <c r="O590" s="72"/>
      <c r="P590" s="67"/>
      <c r="Q590" s="64"/>
      <c r="R590" s="64"/>
      <c r="S590" s="64"/>
      <c r="T590" s="64"/>
      <c r="U590" s="64"/>
      <c r="V590" s="64"/>
      <c r="W590" s="64"/>
      <c r="X590" s="64"/>
      <c r="Y590" s="64"/>
      <c r="Z590" s="64"/>
      <c r="AA590" s="64"/>
    </row>
    <row r="591" customFormat="false" ht="15.75" hidden="false" customHeight="true" outlineLevel="0" collapsed="false">
      <c r="A591" s="65" t="n">
        <v>46305</v>
      </c>
      <c r="B591" s="66" t="s">
        <v>198</v>
      </c>
      <c r="C591" s="67" t="str">
        <f aca="false" t="array" ref="C591:C591">IF(B591="","",IFERROR(INDEX('CLM &amp; IM Mapping'!$B$2:$B$270,MATCH(TRIM(B591),'CLM &amp; IM Mapping'!$A$2:$A$270,0)),"Not Mapped"))</f>
        <v>Manjunatha V</v>
      </c>
      <c r="D591" s="67" t="str">
        <f aca="false" t="array" ref="D591:D591">IF(B591="","",IFERROR(INDEX('CLM &amp; IM Mapping'!$C$2:$C$270,MATCH(TRIM(B591),'CLM &amp; IM Mapping'!$A$2:$A$270,0)),"Not Mapped"))</f>
        <v>Un Mapped</v>
      </c>
      <c r="E591" s="66" t="n">
        <v>1374</v>
      </c>
      <c r="F591" s="66" t="n">
        <v>0</v>
      </c>
      <c r="G591" s="66" t="n">
        <v>1374</v>
      </c>
      <c r="H591" s="66" t="n">
        <v>0</v>
      </c>
      <c r="I591" s="66" t="n">
        <v>0</v>
      </c>
      <c r="J591" s="66" t="n">
        <v>0</v>
      </c>
      <c r="K591" s="66" t="n">
        <v>0</v>
      </c>
      <c r="L591" s="66" t="n">
        <v>0</v>
      </c>
      <c r="M591" s="73" t="n">
        <v>0.003</v>
      </c>
      <c r="N591" s="73"/>
      <c r="O591" s="72"/>
      <c r="P591" s="67"/>
      <c r="Q591" s="64"/>
      <c r="R591" s="64"/>
      <c r="S591" s="64"/>
      <c r="T591" s="64"/>
      <c r="U591" s="64"/>
      <c r="V591" s="64"/>
      <c r="W591" s="64"/>
      <c r="X591" s="64"/>
      <c r="Y591" s="64"/>
      <c r="Z591" s="64"/>
      <c r="AA591" s="64"/>
    </row>
    <row r="592" customFormat="false" ht="15.75" hidden="false" customHeight="true" outlineLevel="0" collapsed="false">
      <c r="A592" s="65" t="n">
        <v>46305</v>
      </c>
      <c r="B592" s="66" t="s">
        <v>526</v>
      </c>
      <c r="C592" s="67" t="str">
        <f aca="false" t="array" ref="C592:C592">IF(B592="","",IFERROR(INDEX('CLM &amp; IM Mapping'!$B$2:$B$270,MATCH(TRIM(B592),'CLM &amp; IM Mapping'!$A$2:$A$270,0)),"Not Mapped"))</f>
        <v>Sundaresh S</v>
      </c>
      <c r="D592" s="67" t="str">
        <f aca="false" t="array" ref="D592:D592">IF(B592="","",IFERROR(INDEX('CLM &amp; IM Mapping'!$C$2:$C$270,MATCH(TRIM(B592),'CLM &amp; IM Mapping'!$A$2:$A$270,0)),"Not Mapped"))</f>
        <v>Un Mapped</v>
      </c>
      <c r="E592" s="66" t="n">
        <v>375</v>
      </c>
      <c r="F592" s="66" t="n">
        <v>334</v>
      </c>
      <c r="G592" s="66" t="n">
        <v>0</v>
      </c>
      <c r="H592" s="66" t="n">
        <v>6</v>
      </c>
      <c r="I592" s="66" t="n">
        <v>0</v>
      </c>
      <c r="J592" s="66" t="n">
        <v>35</v>
      </c>
      <c r="K592" s="66" t="n">
        <v>0</v>
      </c>
      <c r="L592" s="66" t="n">
        <v>41</v>
      </c>
      <c r="M592" s="73" t="n">
        <v>0</v>
      </c>
      <c r="N592" s="73"/>
      <c r="O592" s="72"/>
      <c r="P592" s="67"/>
      <c r="Q592" s="64"/>
      <c r="R592" s="64"/>
      <c r="S592" s="64"/>
      <c r="T592" s="64"/>
      <c r="U592" s="64"/>
      <c r="V592" s="64"/>
      <c r="W592" s="64"/>
      <c r="X592" s="64"/>
      <c r="Y592" s="64"/>
      <c r="Z592" s="64"/>
      <c r="AA592" s="64"/>
    </row>
    <row r="593" customFormat="false" ht="15.75" hidden="false" customHeight="true" outlineLevel="0" collapsed="false">
      <c r="A593" s="65" t="n">
        <v>46305</v>
      </c>
      <c r="B593" s="66" t="s">
        <v>219</v>
      </c>
      <c r="C593" s="67" t="str">
        <f aca="false" t="array" ref="C593:C593">IF(B593="","",IFERROR(INDEX('CLM &amp; IM Mapping'!$B$2:$B$270,MATCH(TRIM(B593),'CLM &amp; IM Mapping'!$A$2:$A$270,0)),"Not Mapped"))</f>
        <v>Arun Raj</v>
      </c>
      <c r="D593" s="67" t="str">
        <f aca="false" t="array" ref="D593:D593">IF(B593="","",IFERROR(INDEX('CLM &amp; IM Mapping'!$C$2:$C$270,MATCH(TRIM(B593),'CLM &amp; IM Mapping'!$A$2:$A$270,0)),"Not Mapped"))</f>
        <v>Simon Manoharan</v>
      </c>
      <c r="E593" s="66" t="n">
        <v>473</v>
      </c>
      <c r="F593" s="66" t="n">
        <v>0</v>
      </c>
      <c r="G593" s="66" t="n">
        <v>0</v>
      </c>
      <c r="H593" s="66" t="n">
        <v>473</v>
      </c>
      <c r="I593" s="66" t="n">
        <v>0</v>
      </c>
      <c r="J593" s="66" t="n">
        <v>0</v>
      </c>
      <c r="K593" s="66" t="n">
        <v>0</v>
      </c>
      <c r="L593" s="66" t="n">
        <v>0</v>
      </c>
      <c r="M593" s="73"/>
      <c r="N593" s="73"/>
      <c r="O593" s="72"/>
      <c r="P593" s="67"/>
      <c r="Q593" s="64"/>
      <c r="R593" s="64"/>
      <c r="S593" s="64"/>
      <c r="T593" s="64"/>
      <c r="U593" s="64"/>
      <c r="V593" s="64"/>
      <c r="W593" s="64"/>
      <c r="X593" s="64"/>
      <c r="Y593" s="64"/>
      <c r="Z593" s="64"/>
      <c r="AA593" s="64"/>
    </row>
    <row r="594" customFormat="false" ht="15.75" hidden="false" customHeight="true" outlineLevel="0" collapsed="false">
      <c r="A594" s="65" t="n">
        <v>46305</v>
      </c>
      <c r="B594" s="66" t="s">
        <v>362</v>
      </c>
      <c r="C594" s="67" t="str">
        <f aca="false" t="array" ref="C594:C594">IF(B594="","",IFERROR(INDEX('CLM &amp; IM Mapping'!$B$2:$B$270,MATCH(TRIM(B594),'CLM &amp; IM Mapping'!$A$2:$A$270,0)),"Not Mapped"))</f>
        <v>Ashwath S</v>
      </c>
      <c r="D594" s="67" t="str">
        <f aca="false" t="array" ref="D594:D594">IF(B594="","",IFERROR(INDEX('CLM &amp; IM Mapping'!$C$2:$C$270,MATCH(TRIM(B594),'CLM &amp; IM Mapping'!$A$2:$A$270,0)),"Not Mapped"))</f>
        <v>Kantha Kumar</v>
      </c>
      <c r="E594" s="66" t="n">
        <v>0</v>
      </c>
      <c r="F594" s="66" t="n">
        <v>0</v>
      </c>
      <c r="G594" s="66" t="n">
        <v>0</v>
      </c>
      <c r="H594" s="66" t="n">
        <v>0</v>
      </c>
      <c r="I594" s="66" t="n">
        <v>0</v>
      </c>
      <c r="J594" s="66" t="n">
        <v>0</v>
      </c>
      <c r="K594" s="66" t="n">
        <v>0</v>
      </c>
      <c r="L594" s="66" t="n">
        <v>0</v>
      </c>
      <c r="M594" s="73" t="n">
        <v>0</v>
      </c>
      <c r="N594" s="73"/>
      <c r="O594" s="72"/>
      <c r="P594" s="67"/>
      <c r="Q594" s="64"/>
      <c r="R594" s="64"/>
      <c r="S594" s="64"/>
      <c r="T594" s="64"/>
      <c r="U594" s="64"/>
      <c r="V594" s="64"/>
      <c r="W594" s="64"/>
      <c r="X594" s="64"/>
      <c r="Y594" s="64"/>
      <c r="Z594" s="64"/>
      <c r="AA594" s="64"/>
    </row>
    <row r="595" customFormat="false" ht="15.75" hidden="false" customHeight="true" outlineLevel="0" collapsed="false">
      <c r="A595" s="65" t="n">
        <v>46305</v>
      </c>
      <c r="B595" s="66" t="s">
        <v>396</v>
      </c>
      <c r="C595" s="67" t="str">
        <f aca="false" t="array" ref="C595:C595">IF(B595="","",IFERROR(INDEX('CLM &amp; IM Mapping'!$B$2:$B$270,MATCH(TRIM(B595),'CLM &amp; IM Mapping'!$A$2:$A$270,0)),"Not Mapped"))</f>
        <v>Ravishankar gowda</v>
      </c>
      <c r="D595" s="67" t="str">
        <f aca="false" t="array" ref="D595:D595">IF(B595="","",IFERROR(INDEX('CLM &amp; IM Mapping'!$C$2:$C$270,MATCH(TRIM(B595),'CLM &amp; IM Mapping'!$A$2:$A$270,0)),"Not Mapped"))</f>
        <v>Kishor K</v>
      </c>
      <c r="E595" s="66" t="n">
        <v>1091</v>
      </c>
      <c r="F595" s="66" t="n">
        <v>152</v>
      </c>
      <c r="G595" s="66" t="n">
        <v>0</v>
      </c>
      <c r="H595" s="66" t="n">
        <v>939</v>
      </c>
      <c r="I595" s="66" t="n">
        <v>0</v>
      </c>
      <c r="J595" s="66" t="n">
        <v>0</v>
      </c>
      <c r="K595" s="66" t="n">
        <v>0</v>
      </c>
      <c r="L595" s="66" t="n">
        <v>939</v>
      </c>
      <c r="M595" s="73" t="n">
        <v>0.006</v>
      </c>
      <c r="N595" s="73"/>
      <c r="O595" s="72"/>
      <c r="P595" s="67"/>
      <c r="Q595" s="64"/>
      <c r="R595" s="64"/>
      <c r="S595" s="64"/>
      <c r="T595" s="64"/>
      <c r="U595" s="64"/>
      <c r="V595" s="64"/>
      <c r="W595" s="64"/>
      <c r="X595" s="64"/>
      <c r="Y595" s="64"/>
      <c r="Z595" s="64"/>
      <c r="AA595" s="64"/>
    </row>
    <row r="596" customFormat="false" ht="15.75" hidden="false" customHeight="true" outlineLevel="0" collapsed="false">
      <c r="A596" s="65" t="n">
        <v>46305</v>
      </c>
      <c r="B596" s="66" t="s">
        <v>388</v>
      </c>
      <c r="C596" s="67" t="str">
        <f aca="false" t="array" ref="C596:C596">IF(B596="","",IFERROR(INDEX('CLM &amp; IM Mapping'!$B$2:$B$270,MATCH(TRIM(B596),'CLM &amp; IM Mapping'!$A$2:$A$270,0)),"Not Mapped"))</f>
        <v>Arun Raj</v>
      </c>
      <c r="D596" s="67" t="str">
        <f aca="false" t="array" ref="D596:D596">IF(B596="","",IFERROR(INDEX('CLM &amp; IM Mapping'!$C$2:$C$270,MATCH(TRIM(B596),'CLM &amp; IM Mapping'!$A$2:$A$270,0)),"Not Mapped"))</f>
        <v>Simon Manoharan</v>
      </c>
      <c r="E596" s="66" t="n">
        <v>0</v>
      </c>
      <c r="F596" s="66" t="n">
        <v>0</v>
      </c>
      <c r="G596" s="66" t="n">
        <v>0</v>
      </c>
      <c r="H596" s="66" t="n">
        <v>0</v>
      </c>
      <c r="I596" s="66" t="n">
        <v>0</v>
      </c>
      <c r="J596" s="66" t="n">
        <v>0</v>
      </c>
      <c r="K596" s="66" t="n">
        <v>0</v>
      </c>
      <c r="L596" s="66" t="n">
        <v>0</v>
      </c>
      <c r="M596" s="73"/>
      <c r="N596" s="73"/>
      <c r="O596" s="72"/>
      <c r="P596" s="67"/>
      <c r="Q596" s="64"/>
      <c r="R596" s="64"/>
      <c r="S596" s="64"/>
      <c r="T596" s="64"/>
      <c r="U596" s="64"/>
      <c r="V596" s="64"/>
      <c r="W596" s="64"/>
      <c r="X596" s="64"/>
      <c r="Y596" s="64"/>
      <c r="Z596" s="64"/>
      <c r="AA596" s="64"/>
    </row>
    <row r="597" customFormat="false" ht="15.75" hidden="false" customHeight="true" outlineLevel="0" collapsed="false">
      <c r="A597" s="65" t="n">
        <v>46305</v>
      </c>
      <c r="B597" s="66" t="s">
        <v>376</v>
      </c>
      <c r="C597" s="67" t="str">
        <f aca="false" t="array" ref="C597:C597">IF(B597="","",IFERROR(INDEX('CLM &amp; IM Mapping'!$B$2:$B$270,MATCH(TRIM(B597),'CLM &amp; IM Mapping'!$A$2:$A$270,0)),"Not Mapped"))</f>
        <v>Sundaresh S</v>
      </c>
      <c r="D597" s="67" t="str">
        <f aca="false" t="array" ref="D597:D597">IF(B597="","",IFERROR(INDEX('CLM &amp; IM Mapping'!$C$2:$C$270,MATCH(TRIM(B597),'CLM &amp; IM Mapping'!$A$2:$A$270,0)),"Not Mapped"))</f>
        <v>Un Mapped</v>
      </c>
      <c r="E597" s="66" t="n">
        <v>63</v>
      </c>
      <c r="F597" s="66" t="n">
        <v>0</v>
      </c>
      <c r="G597" s="66" t="n">
        <v>60</v>
      </c>
      <c r="H597" s="66" t="n">
        <v>1</v>
      </c>
      <c r="I597" s="66" t="n">
        <v>2</v>
      </c>
      <c r="J597" s="66" t="n">
        <v>0</v>
      </c>
      <c r="K597" s="66" t="n">
        <v>0</v>
      </c>
      <c r="L597" s="66" t="n">
        <v>3</v>
      </c>
      <c r="M597" s="73" t="n">
        <v>0</v>
      </c>
      <c r="N597" s="73"/>
      <c r="O597" s="72"/>
      <c r="P597" s="67"/>
      <c r="Q597" s="64"/>
      <c r="R597" s="64"/>
      <c r="S597" s="64"/>
      <c r="T597" s="64"/>
      <c r="U597" s="64"/>
      <c r="V597" s="64"/>
      <c r="W597" s="64"/>
      <c r="X597" s="64"/>
      <c r="Y597" s="64"/>
      <c r="Z597" s="64"/>
      <c r="AA597" s="64"/>
    </row>
    <row r="598" customFormat="false" ht="15.75" hidden="false" customHeight="true" outlineLevel="0" collapsed="false">
      <c r="A598" s="65" t="n">
        <v>46305</v>
      </c>
      <c r="B598" s="66" t="s">
        <v>408</v>
      </c>
      <c r="C598" s="67" t="str">
        <f aca="false" t="array" ref="C598:C598">IF(B598="","",IFERROR(INDEX('CLM &amp; IM Mapping'!$B$2:$B$270,MATCH(TRIM(B598),'CLM &amp; IM Mapping'!$A$2:$A$270,0)),"Not Mapped"))</f>
        <v>Ravishankar gowda</v>
      </c>
      <c r="D598" s="67" t="str">
        <f aca="false" t="array" ref="D598:D598">IF(B598="","",IFERROR(INDEX('CLM &amp; IM Mapping'!$C$2:$C$270,MATCH(TRIM(B598),'CLM &amp; IM Mapping'!$A$2:$A$270,0)),"Not Mapped"))</f>
        <v>Kishor K</v>
      </c>
      <c r="E598" s="66" t="n">
        <v>2</v>
      </c>
      <c r="F598" s="66" t="n">
        <v>0</v>
      </c>
      <c r="G598" s="66" t="n">
        <v>2</v>
      </c>
      <c r="H598" s="66" t="n">
        <v>0</v>
      </c>
      <c r="I598" s="66" t="n">
        <v>0</v>
      </c>
      <c r="J598" s="66" t="n">
        <v>0</v>
      </c>
      <c r="K598" s="66" t="n">
        <v>0</v>
      </c>
      <c r="L598" s="66" t="n">
        <v>0</v>
      </c>
      <c r="M598" s="73" t="n">
        <v>0</v>
      </c>
      <c r="N598" s="73"/>
      <c r="O598" s="72"/>
      <c r="P598" s="67"/>
      <c r="Q598" s="64"/>
      <c r="R598" s="64"/>
      <c r="S598" s="64"/>
      <c r="T598" s="64"/>
      <c r="U598" s="64"/>
      <c r="V598" s="64"/>
      <c r="W598" s="64"/>
      <c r="X598" s="64"/>
      <c r="Y598" s="64"/>
      <c r="Z598" s="64"/>
      <c r="AA598" s="64"/>
    </row>
    <row r="599" customFormat="false" ht="15.75" hidden="false" customHeight="true" outlineLevel="0" collapsed="false">
      <c r="A599" s="65" t="n">
        <v>46305</v>
      </c>
      <c r="B599" s="66" t="s">
        <v>195</v>
      </c>
      <c r="C599" s="67" t="str">
        <f aca="false" t="array" ref="C599:C599">IF(B599="","",IFERROR(INDEX('CLM &amp; IM Mapping'!$B$2:$B$270,MATCH(TRIM(B599),'CLM &amp; IM Mapping'!$A$2:$A$270,0)),"Not Mapped"))</f>
        <v>Adhavan Subramani</v>
      </c>
      <c r="D599" s="67" t="str">
        <f aca="false" t="array" ref="D599:D599">IF(B599="","",IFERROR(INDEX('CLM &amp; IM Mapping'!$C$2:$C$270,MATCH(TRIM(B599),'CLM &amp; IM Mapping'!$A$2:$A$270,0)),"Not Mapped"))</f>
        <v>Mohammed Akbar</v>
      </c>
      <c r="E599" s="66" t="n">
        <v>8044</v>
      </c>
      <c r="F599" s="66" t="n">
        <v>5342</v>
      </c>
      <c r="G599" s="66" t="n">
        <v>0</v>
      </c>
      <c r="H599" s="66" t="n">
        <v>0</v>
      </c>
      <c r="I599" s="66" t="n">
        <v>2702</v>
      </c>
      <c r="J599" s="66" t="n">
        <v>0</v>
      </c>
      <c r="K599" s="66" t="n">
        <v>0</v>
      </c>
      <c r="L599" s="66" t="n">
        <v>2702</v>
      </c>
      <c r="M599" s="73" t="n">
        <v>0.023</v>
      </c>
      <c r="N599" s="73"/>
      <c r="O599" s="72"/>
      <c r="P599" s="67"/>
      <c r="Q599" s="64"/>
      <c r="R599" s="64"/>
      <c r="S599" s="64"/>
      <c r="T599" s="64"/>
      <c r="U599" s="64"/>
      <c r="V599" s="64"/>
      <c r="W599" s="64"/>
      <c r="X599" s="64"/>
      <c r="Y599" s="64"/>
      <c r="Z599" s="64"/>
      <c r="AA599" s="64"/>
    </row>
    <row r="600" customFormat="false" ht="15.75" hidden="false" customHeight="true" outlineLevel="0" collapsed="false">
      <c r="A600" s="65" t="n">
        <v>46305</v>
      </c>
      <c r="B600" s="66" t="s">
        <v>344</v>
      </c>
      <c r="C600" s="67" t="str">
        <f aca="false" t="array" ref="C600:C600">IF(B600="","",IFERROR(INDEX('CLM &amp; IM Mapping'!$B$2:$B$270,MATCH(TRIM(B600),'CLM &amp; IM Mapping'!$A$2:$A$270,0)),"Not Mapped"))</f>
        <v>Arun Raj</v>
      </c>
      <c r="D600" s="67" t="str">
        <f aca="false" t="array" ref="D600:D600">IF(B600="","",IFERROR(INDEX('CLM &amp; IM Mapping'!$C$2:$C$270,MATCH(TRIM(B600),'CLM &amp; IM Mapping'!$A$2:$A$270,0)),"Not Mapped"))</f>
        <v>Simon Manoharan</v>
      </c>
      <c r="E600" s="66" t="n">
        <v>2139</v>
      </c>
      <c r="F600" s="66" t="n">
        <v>0</v>
      </c>
      <c r="G600" s="66" t="n">
        <v>0</v>
      </c>
      <c r="H600" s="66" t="n">
        <v>2068</v>
      </c>
      <c r="I600" s="66" t="n">
        <v>0</v>
      </c>
      <c r="J600" s="66" t="n">
        <v>68</v>
      </c>
      <c r="K600" s="66" t="n">
        <v>3</v>
      </c>
      <c r="L600" s="66" t="n">
        <v>71</v>
      </c>
      <c r="M600" s="73"/>
      <c r="N600" s="73"/>
      <c r="O600" s="72"/>
      <c r="P600" s="67"/>
      <c r="Q600" s="64"/>
      <c r="R600" s="64"/>
      <c r="S600" s="64"/>
      <c r="T600" s="64"/>
      <c r="U600" s="64"/>
      <c r="V600" s="64"/>
      <c r="W600" s="64"/>
      <c r="X600" s="64"/>
      <c r="Y600" s="64"/>
      <c r="Z600" s="64"/>
      <c r="AA600" s="64"/>
    </row>
    <row r="601" customFormat="false" ht="15.75" hidden="false" customHeight="true" outlineLevel="0" collapsed="false">
      <c r="A601" s="65" t="n">
        <v>46305</v>
      </c>
      <c r="B601" s="66" t="s">
        <v>461</v>
      </c>
      <c r="C601" s="67" t="str">
        <f aca="false" t="array" ref="C601:C601">IF(B601="","",IFERROR(INDEX('CLM &amp; IM Mapping'!$B$2:$B$270,MATCH(TRIM(B601),'CLM &amp; IM Mapping'!$A$2:$A$270,0)),"Not Mapped"))</f>
        <v>Arun Raj</v>
      </c>
      <c r="D601" s="67" t="str">
        <f aca="false" t="array" ref="D601:D601">IF(B601="","",IFERROR(INDEX('CLM &amp; IM Mapping'!$C$2:$C$270,MATCH(TRIM(B601),'CLM &amp; IM Mapping'!$A$2:$A$270,0)),"Not Mapped"))</f>
        <v>Simon Manoharan</v>
      </c>
      <c r="E601" s="66" t="n">
        <v>102</v>
      </c>
      <c r="F601" s="66" t="n">
        <v>102</v>
      </c>
      <c r="G601" s="66" t="n">
        <v>0</v>
      </c>
      <c r="H601" s="66" t="n">
        <v>0</v>
      </c>
      <c r="I601" s="66" t="n">
        <v>0</v>
      </c>
      <c r="J601" s="66" t="n">
        <v>0</v>
      </c>
      <c r="K601" s="66" t="n">
        <v>0</v>
      </c>
      <c r="L601" s="66" t="n">
        <v>0</v>
      </c>
      <c r="M601" s="73"/>
      <c r="N601" s="73"/>
      <c r="O601" s="72"/>
      <c r="P601" s="67"/>
      <c r="Q601" s="64"/>
      <c r="R601" s="64"/>
      <c r="S601" s="64"/>
      <c r="T601" s="64"/>
      <c r="U601" s="64"/>
      <c r="V601" s="64"/>
      <c r="W601" s="64"/>
      <c r="X601" s="64"/>
      <c r="Y601" s="64"/>
      <c r="Z601" s="64"/>
      <c r="AA601" s="64"/>
    </row>
    <row r="602" customFormat="false" ht="15.75" hidden="false" customHeight="true" outlineLevel="0" collapsed="false">
      <c r="A602" s="65" t="n">
        <v>46305</v>
      </c>
      <c r="B602" s="66" t="s">
        <v>76</v>
      </c>
      <c r="C602" s="67" t="str">
        <f aca="false" t="array" ref="C602:C602">IF(B602="","",IFERROR(INDEX('CLM &amp; IM Mapping'!$B$2:$B$270,MATCH(TRIM(B602),'CLM &amp; IM Mapping'!$A$2:$A$270,0)),"Not Mapped"))</f>
        <v>Silambarasan E</v>
      </c>
      <c r="D602" s="67" t="str">
        <f aca="false" t="array" ref="D602:D602">IF(B602="","",IFERROR(INDEX('CLM &amp; IM Mapping'!$C$2:$C$270,MATCH(TRIM(B602),'CLM &amp; IM Mapping'!$A$2:$A$270,0)),"Not Mapped"))</f>
        <v>Arivind S</v>
      </c>
      <c r="E602" s="66" t="n">
        <v>4072</v>
      </c>
      <c r="F602" s="66" t="n">
        <v>0</v>
      </c>
      <c r="G602" s="66" t="n">
        <v>221</v>
      </c>
      <c r="H602" s="66" t="n">
        <v>277</v>
      </c>
      <c r="I602" s="66" t="n">
        <v>0</v>
      </c>
      <c r="J602" s="66" t="n">
        <v>3324</v>
      </c>
      <c r="K602" s="66" t="n">
        <v>250</v>
      </c>
      <c r="L602" s="66" t="n">
        <v>3851</v>
      </c>
      <c r="M602" s="73" t="n">
        <v>0.03</v>
      </c>
      <c r="N602" s="73"/>
      <c r="O602" s="72"/>
      <c r="P602" s="67"/>
      <c r="Q602" s="64"/>
      <c r="R602" s="64"/>
      <c r="S602" s="64"/>
      <c r="T602" s="64"/>
      <c r="U602" s="64"/>
      <c r="V602" s="64"/>
      <c r="W602" s="64"/>
      <c r="X602" s="64"/>
      <c r="Y602" s="64"/>
      <c r="Z602" s="64"/>
      <c r="AA602" s="64"/>
    </row>
    <row r="603" customFormat="false" ht="15.75" hidden="false" customHeight="true" outlineLevel="0" collapsed="false">
      <c r="A603" s="65" t="n">
        <v>46305</v>
      </c>
      <c r="B603" s="66" t="s">
        <v>186</v>
      </c>
      <c r="C603" s="67" t="str">
        <f aca="false" t="array" ref="C603:C603">IF(B603="","",IFERROR(INDEX('CLM &amp; IM Mapping'!$B$2:$B$270,MATCH(TRIM(B603),'CLM &amp; IM Mapping'!$A$2:$A$270,0)),"Not Mapped"))</f>
        <v>Silambarasan E</v>
      </c>
      <c r="D603" s="67" t="str">
        <f aca="false" t="array" ref="D603:D603">IF(B603="","",IFERROR(INDEX('CLM &amp; IM Mapping'!$C$2:$C$270,MATCH(TRIM(B603),'CLM &amp; IM Mapping'!$A$2:$A$270,0)),"Not Mapped"))</f>
        <v>Arivind S</v>
      </c>
      <c r="E603" s="66" t="n">
        <v>709</v>
      </c>
      <c r="F603" s="66" t="n">
        <v>564</v>
      </c>
      <c r="G603" s="66" t="n">
        <v>0</v>
      </c>
      <c r="H603" s="66" t="n">
        <v>89</v>
      </c>
      <c r="I603" s="66" t="n">
        <v>0</v>
      </c>
      <c r="J603" s="66" t="n">
        <v>56</v>
      </c>
      <c r="K603" s="66" t="n">
        <v>0</v>
      </c>
      <c r="L603" s="66" t="n">
        <v>145</v>
      </c>
      <c r="M603" s="73" t="n">
        <v>0</v>
      </c>
      <c r="N603" s="73"/>
      <c r="O603" s="72"/>
      <c r="P603" s="67"/>
      <c r="Q603" s="64"/>
      <c r="R603" s="64"/>
      <c r="S603" s="64"/>
      <c r="T603" s="64"/>
      <c r="U603" s="64"/>
      <c r="V603" s="64"/>
      <c r="W603" s="64"/>
      <c r="X603" s="64"/>
      <c r="Y603" s="64"/>
      <c r="Z603" s="64"/>
      <c r="AA603" s="64"/>
    </row>
    <row r="604" customFormat="false" ht="15.75" hidden="false" customHeight="true" outlineLevel="0" collapsed="false">
      <c r="A604" s="65" t="n">
        <v>46305</v>
      </c>
      <c r="B604" s="66" t="s">
        <v>331</v>
      </c>
      <c r="C604" s="67" t="str">
        <f aca="false" t="array" ref="C604:C604">IF(B604="","",IFERROR(INDEX('CLM &amp; IM Mapping'!$B$2:$B$270,MATCH(TRIM(B604),'CLM &amp; IM Mapping'!$A$2:$A$270,0)),"Not Mapped"))</f>
        <v>Vijay M</v>
      </c>
      <c r="D604" s="67" t="str">
        <f aca="false" t="array" ref="D604:D604">IF(B604="","",IFERROR(INDEX('CLM &amp; IM Mapping'!$C$2:$C$270,MATCH(TRIM(B604),'CLM &amp; IM Mapping'!$A$2:$A$270,0)),"Not Mapped"))</f>
        <v>Kantha Kumar</v>
      </c>
      <c r="E604" s="66" t="n">
        <v>0</v>
      </c>
      <c r="F604" s="66" t="n">
        <v>0</v>
      </c>
      <c r="G604" s="66" t="n">
        <v>0</v>
      </c>
      <c r="H604" s="66" t="n">
        <v>0</v>
      </c>
      <c r="I604" s="66" t="n">
        <v>0</v>
      </c>
      <c r="J604" s="66" t="n">
        <v>0</v>
      </c>
      <c r="K604" s="66" t="n">
        <v>0</v>
      </c>
      <c r="L604" s="66" t="n">
        <v>0</v>
      </c>
      <c r="M604" s="73" t="n">
        <v>0</v>
      </c>
      <c r="N604" s="73"/>
      <c r="O604" s="72"/>
      <c r="P604" s="67"/>
      <c r="Q604" s="64"/>
      <c r="R604" s="64"/>
      <c r="S604" s="64"/>
      <c r="T604" s="64"/>
      <c r="U604" s="64"/>
      <c r="V604" s="64"/>
      <c r="W604" s="64"/>
      <c r="X604" s="64"/>
      <c r="Y604" s="64"/>
      <c r="Z604" s="64"/>
      <c r="AA604" s="64"/>
    </row>
    <row r="605" customFormat="false" ht="15.75" hidden="false" customHeight="true" outlineLevel="0" collapsed="false">
      <c r="A605" s="65" t="n">
        <v>46305</v>
      </c>
      <c r="B605" s="66" t="s">
        <v>250</v>
      </c>
      <c r="C605" s="67" t="str">
        <f aca="false" t="array" ref="C605:C605">IF(B605="","",IFERROR(INDEX('CLM &amp; IM Mapping'!$B$2:$B$270,MATCH(TRIM(B605),'CLM &amp; IM Mapping'!$A$2:$A$270,0)),"Not Mapped"))</f>
        <v>Akshay P</v>
      </c>
      <c r="D605" s="67" t="str">
        <f aca="false" t="array" ref="D605:D605">IF(B605="","",IFERROR(INDEX('CLM &amp; IM Mapping'!$C$2:$C$270,MATCH(TRIM(B605),'CLM &amp; IM Mapping'!$A$2:$A$270,0)),"Not Mapped"))</f>
        <v>Srittam Dhal</v>
      </c>
      <c r="E605" s="66" t="n">
        <v>10</v>
      </c>
      <c r="F605" s="66" t="n">
        <v>10</v>
      </c>
      <c r="G605" s="66" t="n">
        <v>0</v>
      </c>
      <c r="H605" s="66" t="n">
        <v>0</v>
      </c>
      <c r="I605" s="66" t="n">
        <v>0</v>
      </c>
      <c r="J605" s="66" t="n">
        <v>0</v>
      </c>
      <c r="K605" s="66" t="n">
        <v>0</v>
      </c>
      <c r="L605" s="66" t="n">
        <v>0</v>
      </c>
      <c r="M605" s="73" t="n">
        <v>0</v>
      </c>
      <c r="N605" s="73"/>
      <c r="O605" s="72"/>
      <c r="P605" s="67"/>
      <c r="Q605" s="64"/>
      <c r="R605" s="64"/>
      <c r="S605" s="64"/>
      <c r="T605" s="64"/>
      <c r="U605" s="64"/>
      <c r="V605" s="64"/>
      <c r="W605" s="64"/>
      <c r="X605" s="64"/>
      <c r="Y605" s="64"/>
      <c r="Z605" s="64"/>
      <c r="AA605" s="64"/>
    </row>
    <row r="606" customFormat="false" ht="15.75" hidden="false" customHeight="true" outlineLevel="0" collapsed="false">
      <c r="A606" s="65" t="n">
        <v>46305</v>
      </c>
      <c r="B606" s="66" t="s">
        <v>404</v>
      </c>
      <c r="C606" s="67" t="str">
        <f aca="false" t="array" ref="C606:C606">IF(B606="","",IFERROR(INDEX('CLM &amp; IM Mapping'!$B$2:$B$270,MATCH(TRIM(B606),'CLM &amp; IM Mapping'!$A$2:$A$270,0)),"Not Mapped"))</f>
        <v>Arun Raj</v>
      </c>
      <c r="D606" s="67" t="str">
        <f aca="false" t="array" ref="D606:D606">IF(B606="","",IFERROR(INDEX('CLM &amp; IM Mapping'!$C$2:$C$270,MATCH(TRIM(B606),'CLM &amp; IM Mapping'!$A$2:$A$270,0)),"Not Mapped"))</f>
        <v>Simon Manoharan</v>
      </c>
      <c r="E606" s="66" t="n">
        <v>2053</v>
      </c>
      <c r="F606" s="66" t="n">
        <v>0</v>
      </c>
      <c r="G606" s="66" t="n">
        <v>0</v>
      </c>
      <c r="H606" s="66" t="n">
        <v>2053</v>
      </c>
      <c r="I606" s="66" t="n">
        <v>0</v>
      </c>
      <c r="J606" s="66" t="n">
        <v>0</v>
      </c>
      <c r="K606" s="66" t="n">
        <v>0</v>
      </c>
      <c r="L606" s="66" t="n">
        <v>0</v>
      </c>
      <c r="M606" s="73"/>
      <c r="N606" s="73"/>
      <c r="O606" s="72"/>
      <c r="P606" s="67"/>
      <c r="Q606" s="64"/>
      <c r="R606" s="64"/>
      <c r="S606" s="64"/>
      <c r="T606" s="64"/>
      <c r="U606" s="64"/>
      <c r="V606" s="64"/>
      <c r="W606" s="64"/>
      <c r="X606" s="64"/>
      <c r="Y606" s="64"/>
      <c r="Z606" s="64"/>
      <c r="AA606" s="64"/>
    </row>
    <row r="607" customFormat="false" ht="15.75" hidden="false" customHeight="true" outlineLevel="0" collapsed="false">
      <c r="A607" s="65" t="n">
        <v>46305</v>
      </c>
      <c r="B607" s="66" t="s">
        <v>407</v>
      </c>
      <c r="C607" s="67" t="str">
        <f aca="false" t="array" ref="C607:C607">IF(B607="","",IFERROR(INDEX('CLM &amp; IM Mapping'!$B$2:$B$270,MATCH(TRIM(B607),'CLM &amp; IM Mapping'!$A$2:$A$270,0)),"Not Mapped"))</f>
        <v>Rizwan Ahmed</v>
      </c>
      <c r="D607" s="67" t="str">
        <f aca="false" t="array" ref="D607:D607">IF(B607="","",IFERROR(INDEX('CLM &amp; IM Mapping'!$C$2:$C$270,MATCH(TRIM(B607),'CLM &amp; IM Mapping'!$A$2:$A$270,0)),"Not Mapped"))</f>
        <v>Un Mapped</v>
      </c>
      <c r="E607" s="66" t="n">
        <v>253</v>
      </c>
      <c r="F607" s="66" t="n">
        <v>0</v>
      </c>
      <c r="G607" s="66" t="n">
        <v>0</v>
      </c>
      <c r="H607" s="66" t="n">
        <v>253</v>
      </c>
      <c r="I607" s="66" t="n">
        <v>0</v>
      </c>
      <c r="J607" s="66" t="n">
        <v>0</v>
      </c>
      <c r="K607" s="66" t="n">
        <v>0</v>
      </c>
      <c r="L607" s="66" t="n">
        <v>253</v>
      </c>
      <c r="M607" s="73" t="n">
        <v>0.001</v>
      </c>
      <c r="N607" s="73"/>
      <c r="O607" s="72"/>
      <c r="P607" s="67"/>
      <c r="Q607" s="64"/>
      <c r="R607" s="64"/>
      <c r="S607" s="64"/>
      <c r="T607" s="64"/>
      <c r="U607" s="64"/>
      <c r="V607" s="64"/>
      <c r="W607" s="64"/>
      <c r="X607" s="64"/>
      <c r="Y607" s="64"/>
      <c r="Z607" s="64"/>
      <c r="AA607" s="64"/>
    </row>
    <row r="608" customFormat="false" ht="15.75" hidden="false" customHeight="true" outlineLevel="0" collapsed="false">
      <c r="A608" s="65" t="n">
        <v>46305</v>
      </c>
      <c r="B608" s="66" t="s">
        <v>24</v>
      </c>
      <c r="C608" s="67" t="str">
        <f aca="false" t="array" ref="C608:C608">IF(B608="","",IFERROR(INDEX('CLM &amp; IM Mapping'!$B$2:$B$270,MATCH(TRIM(B608),'CLM &amp; IM Mapping'!$A$2:$A$270,0)),"Not Mapped"))</f>
        <v>Arun Raj</v>
      </c>
      <c r="D608" s="67" t="str">
        <f aca="false" t="array" ref="D608:D608">IF(B608="","",IFERROR(INDEX('CLM &amp; IM Mapping'!$C$2:$C$270,MATCH(TRIM(B608),'CLM &amp; IM Mapping'!$A$2:$A$270,0)),"Not Mapped"))</f>
        <v>Simon Manoharan</v>
      </c>
      <c r="E608" s="66" t="n">
        <v>2118</v>
      </c>
      <c r="F608" s="66" t="n">
        <v>0</v>
      </c>
      <c r="G608" s="66" t="n">
        <v>4</v>
      </c>
      <c r="H608" s="66" t="n">
        <v>1795</v>
      </c>
      <c r="I608" s="66" t="n">
        <v>0</v>
      </c>
      <c r="J608" s="66" t="n">
        <v>313</v>
      </c>
      <c r="K608" s="66" t="n">
        <v>6</v>
      </c>
      <c r="L608" s="66" t="n">
        <v>319</v>
      </c>
      <c r="M608" s="73"/>
      <c r="N608" s="73"/>
      <c r="O608" s="72"/>
      <c r="P608" s="67"/>
      <c r="Q608" s="64"/>
      <c r="R608" s="64"/>
      <c r="S608" s="64"/>
      <c r="T608" s="64"/>
      <c r="U608" s="64"/>
      <c r="V608" s="64"/>
      <c r="W608" s="64"/>
      <c r="X608" s="64"/>
      <c r="Y608" s="64"/>
      <c r="Z608" s="64"/>
      <c r="AA608" s="64"/>
    </row>
    <row r="609" customFormat="false" ht="15.75" hidden="false" customHeight="true" outlineLevel="0" collapsed="false">
      <c r="A609" s="65" t="n">
        <v>46305</v>
      </c>
      <c r="B609" s="66" t="s">
        <v>80</v>
      </c>
      <c r="C609" s="67" t="str">
        <f aca="false" t="array" ref="C609:C609">IF(B609="","",IFERROR(INDEX('CLM &amp; IM Mapping'!$B$2:$B$270,MATCH(TRIM(B609),'CLM &amp; IM Mapping'!$A$2:$A$270,0)),"Not Mapped"))</f>
        <v>Sundaresh S</v>
      </c>
      <c r="D609" s="67" t="str">
        <f aca="false" t="array" ref="D609:D609">IF(B609="","",IFERROR(INDEX('CLM &amp; IM Mapping'!$C$2:$C$270,MATCH(TRIM(B609),'CLM &amp; IM Mapping'!$A$2:$A$270,0)),"Not Mapped"))</f>
        <v>Un Mapped</v>
      </c>
      <c r="E609" s="66" t="n">
        <v>2908</v>
      </c>
      <c r="F609" s="66" t="n">
        <v>265</v>
      </c>
      <c r="G609" s="66" t="n">
        <v>0</v>
      </c>
      <c r="H609" s="66" t="n">
        <v>2566</v>
      </c>
      <c r="I609" s="66" t="n">
        <v>16</v>
      </c>
      <c r="J609" s="66" t="n">
        <v>19</v>
      </c>
      <c r="K609" s="66" t="n">
        <v>42</v>
      </c>
      <c r="L609" s="66" t="n">
        <v>2643</v>
      </c>
      <c r="M609" s="73" t="n">
        <v>0.019</v>
      </c>
      <c r="N609" s="73"/>
      <c r="O609" s="72"/>
      <c r="P609" s="67"/>
      <c r="Q609" s="64"/>
      <c r="R609" s="64"/>
      <c r="S609" s="64"/>
      <c r="T609" s="64"/>
      <c r="U609" s="64"/>
      <c r="V609" s="64"/>
      <c r="W609" s="64"/>
      <c r="X609" s="64"/>
      <c r="Y609" s="64"/>
      <c r="Z609" s="64"/>
      <c r="AA609" s="64"/>
    </row>
    <row r="610" customFormat="false" ht="15.75" hidden="false" customHeight="true" outlineLevel="0" collapsed="false">
      <c r="A610" s="65" t="n">
        <v>46305</v>
      </c>
      <c r="B610" s="66" t="s">
        <v>193</v>
      </c>
      <c r="C610" s="67" t="str">
        <f aca="false" t="array" ref="C610:C610">IF(B610="","",IFERROR(INDEX('CLM &amp; IM Mapping'!$B$2:$B$270,MATCH(TRIM(B610),'CLM &amp; IM Mapping'!$A$2:$A$270,0)),"Not Mapped"))</f>
        <v>Girish N</v>
      </c>
      <c r="D610" s="67" t="str">
        <f aca="false" t="array" ref="D610:D610">IF(B610="","",IFERROR(INDEX('CLM &amp; IM Mapping'!$C$2:$C$270,MATCH(TRIM(B610),'CLM &amp; IM Mapping'!$A$2:$A$270,0)),"Not Mapped"))</f>
        <v>Un Mapped</v>
      </c>
      <c r="E610" s="66" t="n">
        <v>3500</v>
      </c>
      <c r="F610" s="66" t="n">
        <v>0</v>
      </c>
      <c r="G610" s="66" t="n">
        <v>3496</v>
      </c>
      <c r="H610" s="66" t="n">
        <v>0</v>
      </c>
      <c r="I610" s="66" t="n">
        <v>0</v>
      </c>
      <c r="J610" s="66" t="n">
        <v>0</v>
      </c>
      <c r="K610" s="66" t="n">
        <v>4</v>
      </c>
      <c r="L610" s="66" t="n">
        <v>4</v>
      </c>
      <c r="M610" s="73" t="n">
        <v>0.017</v>
      </c>
      <c r="N610" s="73"/>
      <c r="O610" s="72"/>
      <c r="P610" s="67"/>
      <c r="Q610" s="64"/>
      <c r="R610" s="64"/>
      <c r="S610" s="64"/>
      <c r="T610" s="64"/>
      <c r="U610" s="64"/>
      <c r="V610" s="64"/>
      <c r="W610" s="64"/>
      <c r="X610" s="64"/>
      <c r="Y610" s="64"/>
      <c r="Z610" s="64"/>
      <c r="AA610" s="64"/>
    </row>
    <row r="611" customFormat="false" ht="15.75" hidden="false" customHeight="true" outlineLevel="0" collapsed="false">
      <c r="A611" s="65" t="n">
        <v>46305</v>
      </c>
      <c r="B611" s="66" t="s">
        <v>226</v>
      </c>
      <c r="C611" s="67" t="str">
        <f aca="false" t="array" ref="C611:C611">IF(B611="","",IFERROR(INDEX('CLM &amp; IM Mapping'!$B$2:$B$270,MATCH(TRIM(B611),'CLM &amp; IM Mapping'!$A$2:$A$270,0)),"Not Mapped"))</f>
        <v>Manoj Kj</v>
      </c>
      <c r="D611" s="67" t="str">
        <f aca="false" t="array" ref="D611:D611">IF(B611="","",IFERROR(INDEX('CLM &amp; IM Mapping'!$C$2:$C$270,MATCH(TRIM(B611),'CLM &amp; IM Mapping'!$A$2:$A$270,0)),"Not Mapped"))</f>
        <v>Srittam Dhal</v>
      </c>
      <c r="E611" s="66" t="n">
        <v>0</v>
      </c>
      <c r="F611" s="66" t="n">
        <v>0</v>
      </c>
      <c r="G611" s="66" t="n">
        <v>0</v>
      </c>
      <c r="H611" s="66" t="n">
        <v>0</v>
      </c>
      <c r="I611" s="66" t="n">
        <v>0</v>
      </c>
      <c r="J611" s="66" t="n">
        <v>0</v>
      </c>
      <c r="K611" s="66" t="n">
        <v>0</v>
      </c>
      <c r="L611" s="66" t="n">
        <v>0</v>
      </c>
      <c r="M611" s="73"/>
      <c r="N611" s="73"/>
      <c r="O611" s="72"/>
      <c r="P611" s="67"/>
      <c r="Q611" s="64"/>
      <c r="R611" s="64"/>
      <c r="S611" s="64"/>
      <c r="T611" s="64"/>
      <c r="U611" s="64"/>
      <c r="V611" s="64"/>
      <c r="W611" s="64"/>
      <c r="X611" s="64"/>
      <c r="Y611" s="64"/>
      <c r="Z611" s="64"/>
      <c r="AA611" s="64"/>
    </row>
    <row r="612" customFormat="false" ht="15.75" hidden="false" customHeight="true" outlineLevel="0" collapsed="false">
      <c r="A612" s="65" t="n">
        <v>46305</v>
      </c>
      <c r="B612" s="66" t="s">
        <v>150</v>
      </c>
      <c r="C612" s="67" t="str">
        <f aca="false" t="array" ref="C612:C612">IF(B612="","",IFERROR(INDEX('CLM &amp; IM Mapping'!$B$2:$B$270,MATCH(TRIM(B612),'CLM &amp; IM Mapping'!$A$2:$A$270,0)),"Not Mapped"))</f>
        <v>Akshay P</v>
      </c>
      <c r="D612" s="67" t="str">
        <f aca="false" t="array" ref="D612:D612">IF(B612="","",IFERROR(INDEX('CLM &amp; IM Mapping'!$C$2:$C$270,MATCH(TRIM(B612),'CLM &amp; IM Mapping'!$A$2:$A$270,0)),"Not Mapped"))</f>
        <v>Srittam Dhal</v>
      </c>
      <c r="E612" s="66" t="n">
        <v>9990</v>
      </c>
      <c r="F612" s="66" t="n">
        <v>2717</v>
      </c>
      <c r="G612" s="66" t="n">
        <v>4583</v>
      </c>
      <c r="H612" s="66" t="n">
        <v>8</v>
      </c>
      <c r="I612" s="66" t="n">
        <v>2134</v>
      </c>
      <c r="J612" s="66" t="n">
        <v>0</v>
      </c>
      <c r="K612" s="66" t="n">
        <v>548</v>
      </c>
      <c r="L612" s="66" t="n">
        <v>2690</v>
      </c>
      <c r="M612" s="73" t="n">
        <v>0.041</v>
      </c>
      <c r="N612" s="73"/>
      <c r="O612" s="72"/>
      <c r="P612" s="67"/>
      <c r="Q612" s="64"/>
      <c r="R612" s="64"/>
      <c r="S612" s="64"/>
      <c r="T612" s="64"/>
      <c r="U612" s="64"/>
      <c r="V612" s="64"/>
      <c r="W612" s="64"/>
      <c r="X612" s="64"/>
      <c r="Y612" s="64"/>
      <c r="Z612" s="64"/>
      <c r="AA612" s="64"/>
    </row>
    <row r="613" customFormat="false" ht="15.75" hidden="false" customHeight="true" outlineLevel="0" collapsed="false">
      <c r="A613" s="65" t="n">
        <v>46305</v>
      </c>
      <c r="B613" s="66" t="s">
        <v>132</v>
      </c>
      <c r="C613" s="67" t="str">
        <f aca="false" t="array" ref="C613:C613">IF(B613="","",IFERROR(INDEX('CLM &amp; IM Mapping'!$B$2:$B$270,MATCH(TRIM(B613),'CLM &amp; IM Mapping'!$A$2:$A$270,0)),"Not Mapped"))</f>
        <v>Saddam Hussain</v>
      </c>
      <c r="D613" s="67" t="str">
        <f aca="false" t="array" ref="D613:D613">IF(B613="","",IFERROR(INDEX('CLM &amp; IM Mapping'!$C$2:$C$270,MATCH(TRIM(B613),'CLM &amp; IM Mapping'!$A$2:$A$270,0)),"Not Mapped"))</f>
        <v>Un Mapped</v>
      </c>
      <c r="E613" s="66" t="n">
        <v>318</v>
      </c>
      <c r="F613" s="66" t="n">
        <v>0</v>
      </c>
      <c r="G613" s="66" t="n">
        <v>318</v>
      </c>
      <c r="H613" s="66" t="n">
        <v>0</v>
      </c>
      <c r="I613" s="66" t="n">
        <v>0</v>
      </c>
      <c r="J613" s="66" t="n">
        <v>0</v>
      </c>
      <c r="K613" s="66" t="n">
        <v>0</v>
      </c>
      <c r="L613" s="66" t="n">
        <v>0</v>
      </c>
      <c r="M613" s="73" t="n">
        <v>0.001</v>
      </c>
      <c r="N613" s="73"/>
      <c r="O613" s="72"/>
      <c r="P613" s="67"/>
      <c r="Q613" s="64"/>
      <c r="R613" s="64"/>
      <c r="S613" s="64"/>
      <c r="T613" s="64"/>
      <c r="U613" s="64"/>
      <c r="V613" s="64"/>
      <c r="W613" s="64"/>
      <c r="X613" s="64"/>
      <c r="Y613" s="64"/>
      <c r="Z613" s="64"/>
      <c r="AA613" s="64"/>
    </row>
    <row r="614" customFormat="false" ht="15.75" hidden="false" customHeight="true" outlineLevel="0" collapsed="false">
      <c r="A614" s="65" t="n">
        <v>46305</v>
      </c>
      <c r="B614" s="66" t="s">
        <v>293</v>
      </c>
      <c r="C614" s="67" t="str">
        <f aca="false" t="array" ref="C614:C614">IF(B614="","",IFERROR(INDEX('CLM &amp; IM Mapping'!$B$2:$B$270,MATCH(TRIM(B614),'CLM &amp; IM Mapping'!$A$2:$A$270,0)),"Not Mapped"))</f>
        <v>Suhas N</v>
      </c>
      <c r="D614" s="67" t="str">
        <f aca="false" t="array" ref="D614:D614">IF(B614="","",IFERROR(INDEX('CLM &amp; IM Mapping'!$C$2:$C$270,MATCH(TRIM(B614),'CLM &amp; IM Mapping'!$A$2:$A$270,0)),"Not Mapped"))</f>
        <v>Aravind S</v>
      </c>
      <c r="E614" s="66" t="n">
        <v>2290</v>
      </c>
      <c r="F614" s="66" t="n">
        <v>0</v>
      </c>
      <c r="G614" s="66" t="n">
        <v>2290</v>
      </c>
      <c r="H614" s="66" t="n">
        <v>0</v>
      </c>
      <c r="I614" s="66" t="n">
        <v>0</v>
      </c>
      <c r="J614" s="66" t="n">
        <v>0</v>
      </c>
      <c r="K614" s="66" t="n">
        <v>0</v>
      </c>
      <c r="L614" s="66" t="n">
        <v>0</v>
      </c>
      <c r="M614" s="73" t="n">
        <v>0.017</v>
      </c>
      <c r="N614" s="73"/>
      <c r="O614" s="72"/>
      <c r="P614" s="67"/>
      <c r="Q614" s="64"/>
      <c r="R614" s="64"/>
      <c r="S614" s="64"/>
      <c r="T614" s="64"/>
      <c r="U614" s="64"/>
      <c r="V614" s="64"/>
      <c r="W614" s="64"/>
      <c r="X614" s="64"/>
      <c r="Y614" s="64"/>
      <c r="Z614" s="64"/>
      <c r="AA614" s="64"/>
    </row>
    <row r="615" customFormat="false" ht="15.75" hidden="false" customHeight="true" outlineLevel="0" collapsed="false">
      <c r="A615" s="65" t="n">
        <v>46305</v>
      </c>
      <c r="B615" s="66" t="s">
        <v>473</v>
      </c>
      <c r="C615" s="67" t="str">
        <f aca="false" t="array" ref="C615:C615">IF(B615="","",IFERROR(INDEX('CLM &amp; IM Mapping'!$B$2:$B$270,MATCH(TRIM(B615),'CLM &amp; IM Mapping'!$A$2:$A$270,0)),"Not Mapped"))</f>
        <v>Raghavendra Vernekar</v>
      </c>
      <c r="D615" s="67" t="str">
        <f aca="false" t="array" ref="D615:D615">IF(B615="","",IFERROR(INDEX('CLM &amp; IM Mapping'!$C$2:$C$270,MATCH(TRIM(B615),'CLM &amp; IM Mapping'!$A$2:$A$270,0)),"Not Mapped"))</f>
        <v>Prakash BS</v>
      </c>
      <c r="E615" s="66" t="n">
        <v>0</v>
      </c>
      <c r="F615" s="66" t="n">
        <v>0</v>
      </c>
      <c r="G615" s="66" t="n">
        <v>0</v>
      </c>
      <c r="H615" s="66" t="n">
        <v>0</v>
      </c>
      <c r="I615" s="66" t="n">
        <v>0</v>
      </c>
      <c r="J615" s="66" t="n">
        <v>0</v>
      </c>
      <c r="K615" s="66" t="n">
        <v>0</v>
      </c>
      <c r="L615" s="66" t="n">
        <v>0</v>
      </c>
      <c r="M615" s="73" t="n">
        <v>0</v>
      </c>
      <c r="N615" s="73"/>
      <c r="O615" s="72"/>
      <c r="P615" s="67"/>
      <c r="Q615" s="64"/>
      <c r="R615" s="64"/>
      <c r="S615" s="64"/>
      <c r="T615" s="64"/>
      <c r="U615" s="64"/>
      <c r="V615" s="64"/>
      <c r="W615" s="64"/>
      <c r="X615" s="64"/>
      <c r="Y615" s="64"/>
      <c r="Z615" s="64"/>
      <c r="AA615" s="64"/>
    </row>
    <row r="616" customFormat="false" ht="15.75" hidden="false" customHeight="true" outlineLevel="0" collapsed="false">
      <c r="A616" s="65" t="n">
        <v>46305</v>
      </c>
      <c r="B616" s="66" t="s">
        <v>488</v>
      </c>
      <c r="C616" s="67" t="str">
        <f aca="false" t="array" ref="C616:C616">IF(B616="","",IFERROR(INDEX('CLM &amp; IM Mapping'!$B$2:$B$270,MATCH(TRIM(B616),'CLM &amp; IM Mapping'!$A$2:$A$270,0)),"Not Mapped"))</f>
        <v>Sundaresh S</v>
      </c>
      <c r="D616" s="67" t="str">
        <f aca="false" t="array" ref="D616:D616">IF(B616="","",IFERROR(INDEX('CLM &amp; IM Mapping'!$C$2:$C$270,MATCH(TRIM(B616),'CLM &amp; IM Mapping'!$A$2:$A$270,0)),"Not Mapped"))</f>
        <v>Un Mapped</v>
      </c>
      <c r="E616" s="66" t="n">
        <v>3579</v>
      </c>
      <c r="F616" s="66" t="n">
        <v>3142</v>
      </c>
      <c r="G616" s="66" t="n">
        <v>0</v>
      </c>
      <c r="H616" s="66" t="n">
        <v>0</v>
      </c>
      <c r="I616" s="66" t="n">
        <v>300</v>
      </c>
      <c r="J616" s="66" t="n">
        <v>0</v>
      </c>
      <c r="K616" s="66" t="n">
        <v>137</v>
      </c>
      <c r="L616" s="66" t="n">
        <v>437</v>
      </c>
      <c r="M616" s="73" t="n">
        <v>0.012</v>
      </c>
      <c r="N616" s="73"/>
      <c r="O616" s="72"/>
      <c r="P616" s="67"/>
      <c r="Q616" s="64"/>
      <c r="R616" s="64"/>
      <c r="S616" s="64"/>
      <c r="T616" s="64"/>
      <c r="U616" s="64"/>
      <c r="V616" s="64"/>
      <c r="W616" s="64"/>
      <c r="X616" s="64"/>
      <c r="Y616" s="64"/>
      <c r="Z616" s="64"/>
      <c r="AA616" s="64"/>
    </row>
    <row r="617" customFormat="false" ht="15.75" hidden="false" customHeight="true" outlineLevel="0" collapsed="false">
      <c r="A617" s="65" t="n">
        <v>46305</v>
      </c>
      <c r="B617" s="66" t="s">
        <v>62</v>
      </c>
      <c r="C617" s="67" t="str">
        <f aca="false" t="array" ref="C617:C617">IF(B617="","",IFERROR(INDEX('CLM &amp; IM Mapping'!$B$2:$B$270,MATCH(TRIM(B617),'CLM &amp; IM Mapping'!$A$2:$A$270,0)),"Not Mapped"))</f>
        <v>Basil Scariya</v>
      </c>
      <c r="D617" s="67" t="str">
        <f aca="false" t="array" ref="D617:D617">IF(B617="","",IFERROR(INDEX('CLM &amp; IM Mapping'!$C$2:$C$270,MATCH(TRIM(B617),'CLM &amp; IM Mapping'!$A$2:$A$270,0)),"Not Mapped"))</f>
        <v>Prakash BS</v>
      </c>
      <c r="E617" s="66" t="n">
        <v>0</v>
      </c>
      <c r="F617" s="66" t="n">
        <v>0</v>
      </c>
      <c r="G617" s="66" t="n">
        <v>0</v>
      </c>
      <c r="H617" s="66" t="n">
        <v>0</v>
      </c>
      <c r="I617" s="66" t="n">
        <v>0</v>
      </c>
      <c r="J617" s="66" t="n">
        <v>0</v>
      </c>
      <c r="K617" s="66" t="n">
        <v>0</v>
      </c>
      <c r="L617" s="66" t="n">
        <v>0</v>
      </c>
      <c r="M617" s="73" t="n">
        <v>0</v>
      </c>
      <c r="N617" s="73"/>
      <c r="O617" s="72"/>
      <c r="P617" s="67"/>
      <c r="Q617" s="64"/>
      <c r="R617" s="64"/>
      <c r="S617" s="64"/>
      <c r="T617" s="64"/>
      <c r="U617" s="64"/>
      <c r="V617" s="64"/>
      <c r="W617" s="64"/>
      <c r="X617" s="64"/>
      <c r="Y617" s="64"/>
      <c r="Z617" s="64"/>
      <c r="AA617" s="64"/>
    </row>
    <row r="618" customFormat="false" ht="15.75" hidden="false" customHeight="true" outlineLevel="0" collapsed="false">
      <c r="A618" s="65" t="n">
        <v>46305</v>
      </c>
      <c r="B618" s="66" t="s">
        <v>105</v>
      </c>
      <c r="C618" s="67" t="str">
        <f aca="false" t="array" ref="C618:C618">IF(B618="","",IFERROR(INDEX('CLM &amp; IM Mapping'!$B$2:$B$270,MATCH(TRIM(B618),'CLM &amp; IM Mapping'!$A$2:$A$270,0)),"Not Mapped"))</f>
        <v>Suhas N</v>
      </c>
      <c r="D618" s="67" t="str">
        <f aca="false" t="array" ref="D618:D618">IF(B618="","",IFERROR(INDEX('CLM &amp; IM Mapping'!$C$2:$C$270,MATCH(TRIM(B618),'CLM &amp; IM Mapping'!$A$2:$A$270,0)),"Not Mapped"))</f>
        <v>Aravind S</v>
      </c>
      <c r="E618" s="66" t="n">
        <v>12211</v>
      </c>
      <c r="F618" s="66" t="n">
        <v>440</v>
      </c>
      <c r="G618" s="66" t="n">
        <v>5768</v>
      </c>
      <c r="H618" s="66" t="n">
        <v>302</v>
      </c>
      <c r="I618" s="66" t="n">
        <v>5569</v>
      </c>
      <c r="J618" s="66" t="n">
        <v>70</v>
      </c>
      <c r="K618" s="66" t="n">
        <v>62</v>
      </c>
      <c r="L618" s="66" t="n">
        <v>6003</v>
      </c>
      <c r="M618" s="73" t="n">
        <v>0.043</v>
      </c>
      <c r="N618" s="73"/>
      <c r="O618" s="72"/>
      <c r="P618" s="67"/>
      <c r="Q618" s="64"/>
      <c r="R618" s="64"/>
      <c r="S618" s="64"/>
      <c r="T618" s="64"/>
      <c r="U618" s="64"/>
      <c r="V618" s="64"/>
      <c r="W618" s="64"/>
      <c r="X618" s="64"/>
      <c r="Y618" s="64"/>
      <c r="Z618" s="64"/>
      <c r="AA618" s="64"/>
    </row>
    <row r="619" customFormat="false" ht="15.75" hidden="false" customHeight="true" outlineLevel="0" collapsed="false">
      <c r="A619" s="65" t="n">
        <v>46305</v>
      </c>
      <c r="B619" s="66" t="s">
        <v>329</v>
      </c>
      <c r="C619" s="67" t="str">
        <f aca="false" t="array" ref="C619:C619">IF(B619="","",IFERROR(INDEX('CLM &amp; IM Mapping'!$B$2:$B$270,MATCH(TRIM(B619),'CLM &amp; IM Mapping'!$A$2:$A$270,0)),"Not Mapped"))</f>
        <v>Ashwath S</v>
      </c>
      <c r="D619" s="67" t="str">
        <f aca="false" t="array" ref="D619:D619">IF(B619="","",IFERROR(INDEX('CLM &amp; IM Mapping'!$C$2:$C$270,MATCH(TRIM(B619),'CLM &amp; IM Mapping'!$A$2:$A$270,0)),"Not Mapped"))</f>
        <v>Kantha Kumar</v>
      </c>
      <c r="E619" s="66" t="n">
        <v>0</v>
      </c>
      <c r="F619" s="66" t="n">
        <v>0</v>
      </c>
      <c r="G619" s="66" t="n">
        <v>0</v>
      </c>
      <c r="H619" s="66" t="n">
        <v>0</v>
      </c>
      <c r="I619" s="66" t="n">
        <v>0</v>
      </c>
      <c r="J619" s="66" t="n">
        <v>0</v>
      </c>
      <c r="K619" s="66" t="n">
        <v>0</v>
      </c>
      <c r="L619" s="66" t="n">
        <v>0</v>
      </c>
      <c r="M619" s="73" t="n">
        <v>0</v>
      </c>
      <c r="N619" s="73"/>
      <c r="O619" s="72"/>
      <c r="P619" s="67"/>
      <c r="Q619" s="64"/>
      <c r="R619" s="64"/>
      <c r="S619" s="64"/>
      <c r="T619" s="64"/>
      <c r="U619" s="64"/>
      <c r="V619" s="64"/>
      <c r="W619" s="64"/>
      <c r="X619" s="64"/>
      <c r="Y619" s="64"/>
      <c r="Z619" s="64"/>
      <c r="AA619" s="64"/>
    </row>
    <row r="620" customFormat="false" ht="15.75" hidden="false" customHeight="true" outlineLevel="0" collapsed="false">
      <c r="A620" s="65" t="n">
        <v>46305</v>
      </c>
      <c r="B620" s="66" t="s">
        <v>203</v>
      </c>
      <c r="C620" s="67" t="str">
        <f aca="false" t="array" ref="C620:C620">IF(B620="","",IFERROR(INDEX('CLM &amp; IM Mapping'!$B$2:$B$270,MATCH(TRIM(B620),'CLM &amp; IM Mapping'!$A$2:$A$270,0)),"Not Mapped"))</f>
        <v>Suhas N</v>
      </c>
      <c r="D620" s="67" t="str">
        <f aca="false" t="array" ref="D620:D620">IF(B620="","",IFERROR(INDEX('CLM &amp; IM Mapping'!$C$2:$C$270,MATCH(TRIM(B620),'CLM &amp; IM Mapping'!$A$2:$A$270,0)),"Not Mapped"))</f>
        <v>Aravind S</v>
      </c>
      <c r="E620" s="66" t="n">
        <v>5778</v>
      </c>
      <c r="F620" s="66" t="n">
        <v>890</v>
      </c>
      <c r="G620" s="66" t="n">
        <v>1946</v>
      </c>
      <c r="H620" s="66" t="n">
        <v>0</v>
      </c>
      <c r="I620" s="66" t="n">
        <v>2938</v>
      </c>
      <c r="J620" s="66" t="n">
        <v>0</v>
      </c>
      <c r="K620" s="66" t="n">
        <v>4</v>
      </c>
      <c r="L620" s="66" t="n">
        <v>2942</v>
      </c>
      <c r="M620" s="73" t="n">
        <v>0.015</v>
      </c>
      <c r="N620" s="73"/>
      <c r="O620" s="72"/>
      <c r="P620" s="67"/>
      <c r="Q620" s="64"/>
      <c r="R620" s="64"/>
      <c r="S620" s="64"/>
      <c r="T620" s="64"/>
      <c r="U620" s="64"/>
      <c r="V620" s="64"/>
      <c r="W620" s="64"/>
      <c r="X620" s="64"/>
      <c r="Y620" s="64"/>
      <c r="Z620" s="64"/>
      <c r="AA620" s="64"/>
    </row>
    <row r="621" customFormat="false" ht="15.75" hidden="false" customHeight="true" outlineLevel="0" collapsed="false">
      <c r="A621" s="65" t="n">
        <v>46305</v>
      </c>
      <c r="B621" s="66" t="s">
        <v>483</v>
      </c>
      <c r="C621" s="67" t="str">
        <f aca="false" t="array" ref="C621:C621">IF(B621="","",IFERROR(INDEX('CLM &amp; IM Mapping'!$B$2:$B$270,MATCH(TRIM(B621),'CLM &amp; IM Mapping'!$A$2:$A$270,0)),"Not Mapped"))</f>
        <v>Sundaresh S</v>
      </c>
      <c r="D621" s="67" t="str">
        <f aca="false" t="array" ref="D621:D621">IF(B621="","",IFERROR(INDEX('CLM &amp; IM Mapping'!$C$2:$C$270,MATCH(TRIM(B621),'CLM &amp; IM Mapping'!$A$2:$A$270,0)),"Not Mapped"))</f>
        <v>Un Mapped</v>
      </c>
      <c r="E621" s="66" t="n">
        <v>1595</v>
      </c>
      <c r="F621" s="66" t="n">
        <v>15</v>
      </c>
      <c r="G621" s="66" t="n">
        <v>1521</v>
      </c>
      <c r="H621" s="66" t="n">
        <v>0</v>
      </c>
      <c r="I621" s="66" t="n">
        <v>0</v>
      </c>
      <c r="J621" s="66" t="n">
        <v>0</v>
      </c>
      <c r="K621" s="66" t="n">
        <v>59</v>
      </c>
      <c r="L621" s="66" t="n">
        <v>59</v>
      </c>
      <c r="M621" s="73" t="n">
        <v>0.004</v>
      </c>
      <c r="N621" s="73"/>
      <c r="O621" s="72"/>
      <c r="P621" s="67"/>
      <c r="Q621" s="64"/>
      <c r="R621" s="64"/>
      <c r="S621" s="64"/>
      <c r="T621" s="64"/>
      <c r="U621" s="64"/>
      <c r="V621" s="64"/>
      <c r="W621" s="64"/>
      <c r="X621" s="64"/>
      <c r="Y621" s="64"/>
      <c r="Z621" s="64"/>
      <c r="AA621" s="64"/>
    </row>
    <row r="622" customFormat="false" ht="15.75" hidden="false" customHeight="true" outlineLevel="0" collapsed="false">
      <c r="A622" s="65" t="n">
        <v>46305</v>
      </c>
      <c r="B622" s="66" t="s">
        <v>527</v>
      </c>
      <c r="C622" s="67" t="str">
        <f aca="false" t="array" ref="C622:C622">IF(B622="","",IFERROR(INDEX('CLM &amp; IM Mapping'!$B$2:$B$270,MATCH(TRIM(B622),'CLM &amp; IM Mapping'!$A$2:$A$270,0)),"Not Mapped"))</f>
        <v>Suhas N</v>
      </c>
      <c r="D622" s="67" t="str">
        <f aca="false" t="array" ref="D622:D622">IF(B622="","",IFERROR(INDEX('CLM &amp; IM Mapping'!$C$2:$C$270,MATCH(TRIM(B622),'CLM &amp; IM Mapping'!$A$2:$A$270,0)),"Not Mapped"))</f>
        <v>Aravind S</v>
      </c>
      <c r="E622" s="66" t="n">
        <v>0</v>
      </c>
      <c r="F622" s="66" t="n">
        <v>0</v>
      </c>
      <c r="G622" s="66" t="n">
        <v>0</v>
      </c>
      <c r="H622" s="66" t="n">
        <v>0</v>
      </c>
      <c r="I622" s="66" t="n">
        <v>0</v>
      </c>
      <c r="J622" s="66" t="n">
        <v>0</v>
      </c>
      <c r="K622" s="66" t="n">
        <v>0</v>
      </c>
      <c r="L622" s="66" t="n">
        <v>0</v>
      </c>
      <c r="M622" s="73" t="n">
        <v>0</v>
      </c>
      <c r="N622" s="73"/>
      <c r="O622" s="72"/>
      <c r="P622" s="67"/>
      <c r="Q622" s="64"/>
      <c r="R622" s="64"/>
      <c r="S622" s="64"/>
      <c r="T622" s="64"/>
      <c r="U622" s="64"/>
      <c r="V622" s="64"/>
      <c r="W622" s="64"/>
      <c r="X622" s="64"/>
      <c r="Y622" s="64"/>
      <c r="Z622" s="64"/>
      <c r="AA622" s="64"/>
    </row>
    <row r="623" customFormat="false" ht="15.75" hidden="false" customHeight="true" outlineLevel="0" collapsed="false">
      <c r="A623" s="65" t="n">
        <v>46305</v>
      </c>
      <c r="B623" s="66" t="s">
        <v>118</v>
      </c>
      <c r="C623" s="67" t="str">
        <f aca="false" t="array" ref="C623:C623">IF(B623="","",IFERROR(INDEX('CLM &amp; IM Mapping'!$B$2:$B$270,MATCH(TRIM(B623),'CLM &amp; IM Mapping'!$A$2:$A$270,0)),"Not Mapped"))</f>
        <v>Adhavan Subramani</v>
      </c>
      <c r="D623" s="67" t="str">
        <f aca="false" t="array" ref="D623:D623">IF(B623="","",IFERROR(INDEX('CLM &amp; IM Mapping'!$C$2:$C$270,MATCH(TRIM(B623),'CLM &amp; IM Mapping'!$A$2:$A$270,0)),"Not Mapped"))</f>
        <v>Mohammed Akbar</v>
      </c>
      <c r="E623" s="66" t="n">
        <v>3092</v>
      </c>
      <c r="F623" s="66" t="n">
        <v>0</v>
      </c>
      <c r="G623" s="66" t="n">
        <v>3060</v>
      </c>
      <c r="H623" s="66" t="n">
        <v>0</v>
      </c>
      <c r="I623" s="66" t="n">
        <v>0</v>
      </c>
      <c r="J623" s="66" t="n">
        <v>0</v>
      </c>
      <c r="K623" s="66" t="n">
        <v>32</v>
      </c>
      <c r="L623" s="66" t="n">
        <v>32</v>
      </c>
      <c r="M623" s="73" t="n">
        <v>0.009</v>
      </c>
      <c r="N623" s="73"/>
      <c r="O623" s="72"/>
      <c r="P623" s="67"/>
      <c r="Q623" s="64"/>
      <c r="R623" s="64"/>
      <c r="S623" s="64"/>
      <c r="T623" s="64"/>
      <c r="U623" s="64"/>
      <c r="V623" s="64"/>
      <c r="W623" s="64"/>
      <c r="X623" s="64"/>
      <c r="Y623" s="64"/>
      <c r="Z623" s="64"/>
      <c r="AA623" s="64"/>
    </row>
    <row r="624" customFormat="false" ht="15.75" hidden="false" customHeight="true" outlineLevel="0" collapsed="false">
      <c r="A624" s="65" t="n">
        <v>46305</v>
      </c>
      <c r="B624" s="66" t="s">
        <v>496</v>
      </c>
      <c r="C624" s="67" t="str">
        <f aca="false" t="array" ref="C624:C624">IF(B624="","",IFERROR(INDEX('CLM &amp; IM Mapping'!$B$2:$B$270,MATCH(TRIM(B624),'CLM &amp; IM Mapping'!$A$2:$A$270,0)),"Not Mapped"))</f>
        <v>Keshav G</v>
      </c>
      <c r="D624" s="67" t="str">
        <f aca="false" t="array" ref="D624:D624">IF(B624="","",IFERROR(INDEX('CLM &amp; IM Mapping'!$C$2:$C$270,MATCH(TRIM(B624),'CLM &amp; IM Mapping'!$A$2:$A$270,0)),"Not Mapped"))</f>
        <v>Un Mapped</v>
      </c>
      <c r="E624" s="66" t="n">
        <v>0</v>
      </c>
      <c r="F624" s="66" t="n">
        <v>0</v>
      </c>
      <c r="G624" s="66" t="n">
        <v>0</v>
      </c>
      <c r="H624" s="66" t="n">
        <v>0</v>
      </c>
      <c r="I624" s="66" t="n">
        <v>0</v>
      </c>
      <c r="J624" s="66" t="n">
        <v>0</v>
      </c>
      <c r="K624" s="66" t="n">
        <v>0</v>
      </c>
      <c r="L624" s="66" t="n">
        <v>0</v>
      </c>
      <c r="M624" s="73" t="n">
        <v>0</v>
      </c>
      <c r="N624" s="73"/>
      <c r="O624" s="72"/>
      <c r="P624" s="67"/>
      <c r="Q624" s="64"/>
      <c r="R624" s="64"/>
      <c r="S624" s="64"/>
      <c r="T624" s="64"/>
      <c r="U624" s="64"/>
      <c r="V624" s="64"/>
      <c r="W624" s="64"/>
      <c r="X624" s="64"/>
      <c r="Y624" s="64"/>
      <c r="Z624" s="64"/>
      <c r="AA624" s="64"/>
    </row>
    <row r="625" customFormat="false" ht="15.75" hidden="false" customHeight="true" outlineLevel="0" collapsed="false">
      <c r="A625" s="65" t="n">
        <v>46305</v>
      </c>
      <c r="B625" s="66" t="s">
        <v>245</v>
      </c>
      <c r="C625" s="67" t="str">
        <f aca="false" t="array" ref="C625:C625">IF(B625="","",IFERROR(INDEX('CLM &amp; IM Mapping'!$B$2:$B$270,MATCH(TRIM(B625),'CLM &amp; IM Mapping'!$A$2:$A$270,0)),"Not Mapped"))</f>
        <v>Adhavan Subramani</v>
      </c>
      <c r="D625" s="67" t="str">
        <f aca="false" t="array" ref="D625:D625">IF(B625="","",IFERROR(INDEX('CLM &amp; IM Mapping'!$C$2:$C$270,MATCH(TRIM(B625),'CLM &amp; IM Mapping'!$A$2:$A$270,0)),"Not Mapped"))</f>
        <v>Mohammed Akbar</v>
      </c>
      <c r="E625" s="66" t="n">
        <v>6403</v>
      </c>
      <c r="F625" s="66" t="n">
        <v>52</v>
      </c>
      <c r="G625" s="66" t="n">
        <v>5114</v>
      </c>
      <c r="H625" s="66" t="n">
        <v>3</v>
      </c>
      <c r="I625" s="66" t="n">
        <v>1198</v>
      </c>
      <c r="J625" s="66" t="n">
        <v>0</v>
      </c>
      <c r="K625" s="66" t="n">
        <v>36</v>
      </c>
      <c r="L625" s="66" t="n">
        <v>1237</v>
      </c>
      <c r="M625" s="73" t="n">
        <v>0.017</v>
      </c>
      <c r="N625" s="73"/>
      <c r="O625" s="72"/>
      <c r="P625" s="67"/>
      <c r="Q625" s="64"/>
      <c r="R625" s="64"/>
      <c r="S625" s="64"/>
      <c r="T625" s="64"/>
      <c r="U625" s="64"/>
      <c r="V625" s="64"/>
      <c r="W625" s="64"/>
      <c r="X625" s="64"/>
      <c r="Y625" s="64"/>
      <c r="Z625" s="64"/>
      <c r="AA625" s="64"/>
    </row>
    <row r="626" customFormat="false" ht="15.75" hidden="false" customHeight="true" outlineLevel="0" collapsed="false">
      <c r="A626" s="65" t="n">
        <v>46305</v>
      </c>
      <c r="B626" s="66" t="s">
        <v>382</v>
      </c>
      <c r="C626" s="67" t="str">
        <f aca="false" t="array" ref="C626:C626">IF(B626="","",IFERROR(INDEX('CLM &amp; IM Mapping'!$B$2:$B$270,MATCH(TRIM(B626),'CLM &amp; IM Mapping'!$A$2:$A$270,0)),"Not Mapped"))</f>
        <v>Arun Raj</v>
      </c>
      <c r="D626" s="67" t="str">
        <f aca="false" t="array" ref="D626:D626">IF(B626="","",IFERROR(INDEX('CLM &amp; IM Mapping'!$C$2:$C$270,MATCH(TRIM(B626),'CLM &amp; IM Mapping'!$A$2:$A$270,0)),"Not Mapped"))</f>
        <v>Simon Manoharan</v>
      </c>
      <c r="E626" s="66" t="n">
        <v>827</v>
      </c>
      <c r="F626" s="66" t="n">
        <v>0</v>
      </c>
      <c r="G626" s="66" t="n">
        <v>0</v>
      </c>
      <c r="H626" s="66" t="n">
        <v>250</v>
      </c>
      <c r="I626" s="66" t="n">
        <v>0</v>
      </c>
      <c r="J626" s="66" t="n">
        <v>577</v>
      </c>
      <c r="K626" s="66" t="n">
        <v>0</v>
      </c>
      <c r="L626" s="66" t="n">
        <v>577</v>
      </c>
      <c r="M626" s="73"/>
      <c r="N626" s="73"/>
      <c r="O626" s="72"/>
      <c r="P626" s="67"/>
      <c r="Q626" s="64"/>
      <c r="R626" s="64"/>
      <c r="S626" s="64"/>
      <c r="T626" s="64"/>
      <c r="U626" s="64"/>
      <c r="V626" s="64"/>
      <c r="W626" s="64"/>
      <c r="X626" s="64"/>
      <c r="Y626" s="64"/>
      <c r="Z626" s="64"/>
      <c r="AA626" s="64"/>
    </row>
    <row r="627" customFormat="false" ht="15.75" hidden="false" customHeight="true" outlineLevel="0" collapsed="false">
      <c r="A627" s="65" t="n">
        <v>46305</v>
      </c>
      <c r="B627" s="66" t="s">
        <v>183</v>
      </c>
      <c r="C627" s="67" t="str">
        <f aca="false" t="array" ref="C627:C627">IF(B627="","",IFERROR(INDEX('CLM &amp; IM Mapping'!$B$2:$B$270,MATCH(TRIM(B627),'CLM &amp; IM Mapping'!$A$2:$A$270,0)),"Not Mapped"))</f>
        <v>Saddam Hussain</v>
      </c>
      <c r="D627" s="67" t="str">
        <f aca="false" t="array" ref="D627:D627">IF(B627="","",IFERROR(INDEX('CLM &amp; IM Mapping'!$C$2:$C$270,MATCH(TRIM(B627),'CLM &amp; IM Mapping'!$A$2:$A$270,0)),"Not Mapped"))</f>
        <v>Un Mapped</v>
      </c>
      <c r="E627" s="66" t="n">
        <v>6533</v>
      </c>
      <c r="F627" s="66" t="n">
        <v>4910</v>
      </c>
      <c r="G627" s="66" t="n">
        <v>0</v>
      </c>
      <c r="H627" s="66" t="n">
        <v>1611</v>
      </c>
      <c r="I627" s="66" t="n">
        <v>0</v>
      </c>
      <c r="J627" s="66" t="n">
        <v>12</v>
      </c>
      <c r="K627" s="66" t="n">
        <v>0</v>
      </c>
      <c r="L627" s="66" t="n">
        <v>1623</v>
      </c>
      <c r="M627" s="73" t="n">
        <v>0.005</v>
      </c>
      <c r="N627" s="73"/>
      <c r="O627" s="72"/>
      <c r="P627" s="67"/>
      <c r="Q627" s="64"/>
      <c r="R627" s="64"/>
      <c r="S627" s="64"/>
      <c r="T627" s="64"/>
      <c r="U627" s="64"/>
      <c r="V627" s="64"/>
      <c r="W627" s="64"/>
      <c r="X627" s="64"/>
      <c r="Y627" s="64"/>
      <c r="Z627" s="64"/>
      <c r="AA627" s="64"/>
    </row>
    <row r="628" customFormat="false" ht="15.75" hidden="false" customHeight="true" outlineLevel="0" collapsed="false">
      <c r="A628" s="65" t="n">
        <v>46305</v>
      </c>
      <c r="B628" s="66" t="s">
        <v>457</v>
      </c>
      <c r="C628" s="67" t="str">
        <f aca="false" t="array" ref="C628:C628">IF(B628="","",IFERROR(INDEX('CLM &amp; IM Mapping'!$B$2:$B$270,MATCH(TRIM(B628),'CLM &amp; IM Mapping'!$A$2:$A$270,0)),"Not Mapped"))</f>
        <v>Saddam Hussain</v>
      </c>
      <c r="D628" s="67" t="str">
        <f aca="false" t="array" ref="D628:D628">IF(B628="","",IFERROR(INDEX('CLM &amp; IM Mapping'!$C$2:$C$270,MATCH(TRIM(B628),'CLM &amp; IM Mapping'!$A$2:$A$270,0)),"Not Mapped"))</f>
        <v>Un Mapped</v>
      </c>
      <c r="E628" s="66" t="n">
        <v>0</v>
      </c>
      <c r="F628" s="66" t="n">
        <v>0</v>
      </c>
      <c r="G628" s="66" t="n">
        <v>0</v>
      </c>
      <c r="H628" s="66" t="n">
        <v>0</v>
      </c>
      <c r="I628" s="66" t="n">
        <v>0</v>
      </c>
      <c r="J628" s="66" t="n">
        <v>0</v>
      </c>
      <c r="K628" s="66" t="n">
        <v>0</v>
      </c>
      <c r="L628" s="66" t="n">
        <v>0</v>
      </c>
      <c r="M628" s="73" t="n">
        <v>0</v>
      </c>
      <c r="N628" s="73"/>
      <c r="O628" s="72"/>
      <c r="P628" s="67"/>
      <c r="Q628" s="64"/>
      <c r="R628" s="64"/>
      <c r="S628" s="64"/>
      <c r="T628" s="64"/>
      <c r="U628" s="64"/>
      <c r="V628" s="64"/>
      <c r="W628" s="64"/>
      <c r="X628" s="64"/>
      <c r="Y628" s="64"/>
      <c r="Z628" s="64"/>
      <c r="AA628" s="64"/>
    </row>
    <row r="629" customFormat="false" ht="15.75" hidden="false" customHeight="true" outlineLevel="0" collapsed="false">
      <c r="A629" s="65" t="n">
        <v>46305</v>
      </c>
      <c r="B629" s="66" t="s">
        <v>403</v>
      </c>
      <c r="C629" s="67" t="str">
        <f aca="false" t="array" ref="C629:C629">IF(B629="","",IFERROR(INDEX('CLM &amp; IM Mapping'!$B$2:$B$270,MATCH(TRIM(B629),'CLM &amp; IM Mapping'!$A$2:$A$270,0)),"Not Mapped"))</f>
        <v>Narasimhamurthy R</v>
      </c>
      <c r="D629" s="67" t="str">
        <f aca="false" t="array" ref="D629:D629">IF(B629="","",IFERROR(INDEX('CLM &amp; IM Mapping'!$C$2:$C$270,MATCH(TRIM(B629),'CLM &amp; IM Mapping'!$A$2:$A$270,0)),"Not Mapped"))</f>
        <v>Kishor K</v>
      </c>
      <c r="E629" s="66" t="n">
        <v>534</v>
      </c>
      <c r="F629" s="66" t="n">
        <v>0</v>
      </c>
      <c r="G629" s="66" t="n">
        <v>534</v>
      </c>
      <c r="H629" s="66" t="n">
        <v>0</v>
      </c>
      <c r="I629" s="66" t="n">
        <v>0</v>
      </c>
      <c r="J629" s="66" t="n">
        <v>0</v>
      </c>
      <c r="K629" s="66" t="n">
        <v>0</v>
      </c>
      <c r="L629" s="66" t="n">
        <v>0</v>
      </c>
      <c r="M629" s="73" t="n">
        <v>0.003</v>
      </c>
      <c r="N629" s="73"/>
      <c r="O629" s="72"/>
      <c r="P629" s="67"/>
      <c r="Q629" s="64"/>
      <c r="R629" s="64"/>
      <c r="S629" s="64"/>
      <c r="T629" s="64"/>
      <c r="U629" s="64"/>
      <c r="V629" s="64"/>
      <c r="W629" s="64"/>
      <c r="X629" s="64"/>
      <c r="Y629" s="64"/>
      <c r="Z629" s="64"/>
      <c r="AA629" s="64"/>
    </row>
    <row r="630" customFormat="false" ht="15.75" hidden="false" customHeight="true" outlineLevel="0" collapsed="false">
      <c r="A630" s="65" t="n">
        <v>46305</v>
      </c>
      <c r="B630" s="66" t="s">
        <v>279</v>
      </c>
      <c r="C630" s="67" t="str">
        <f aca="false" t="array" ref="C630:C630">IF(B630="","",IFERROR(INDEX('CLM &amp; IM Mapping'!$B$2:$B$270,MATCH(TRIM(B630),'CLM &amp; IM Mapping'!$A$2:$A$270,0)),"Not Mapped"))</f>
        <v>Rizwan Ahmed</v>
      </c>
      <c r="D630" s="67" t="str">
        <f aca="false" t="array" ref="D630:D630">IF(B630="","",IFERROR(INDEX('CLM &amp; IM Mapping'!$C$2:$C$270,MATCH(TRIM(B630),'CLM &amp; IM Mapping'!$A$2:$A$270,0)),"Not Mapped"))</f>
        <v>Un Mapped</v>
      </c>
      <c r="E630" s="66" t="n">
        <v>2423</v>
      </c>
      <c r="F630" s="66" t="n">
        <v>0</v>
      </c>
      <c r="G630" s="66" t="n">
        <v>2423</v>
      </c>
      <c r="H630" s="66" t="n">
        <v>0</v>
      </c>
      <c r="I630" s="66" t="n">
        <v>0</v>
      </c>
      <c r="J630" s="66" t="n">
        <v>0</v>
      </c>
      <c r="K630" s="66" t="n">
        <v>0</v>
      </c>
      <c r="L630" s="66" t="n">
        <v>0</v>
      </c>
      <c r="M630" s="73" t="n">
        <v>0.006</v>
      </c>
      <c r="N630" s="73"/>
      <c r="O630" s="72"/>
      <c r="P630" s="67"/>
      <c r="Q630" s="64"/>
      <c r="R630" s="64"/>
      <c r="S630" s="64"/>
      <c r="T630" s="64"/>
      <c r="U630" s="64"/>
      <c r="V630" s="64"/>
      <c r="W630" s="64"/>
      <c r="X630" s="64"/>
      <c r="Y630" s="64"/>
      <c r="Z630" s="64"/>
      <c r="AA630" s="64"/>
    </row>
    <row r="631" customFormat="false" ht="15.75" hidden="false" customHeight="true" outlineLevel="0" collapsed="false">
      <c r="A631" s="65" t="n">
        <v>46305</v>
      </c>
      <c r="B631" s="66" t="s">
        <v>510</v>
      </c>
      <c r="C631" s="67" t="str">
        <f aca="false" t="array" ref="C631:C631">IF(B631="","",IFERROR(INDEX('CLM &amp; IM Mapping'!$B$2:$B$270,MATCH(TRIM(B631),'CLM &amp; IM Mapping'!$A$2:$A$270,0)),"Not Mapped"))</f>
        <v>Manjunatha V</v>
      </c>
      <c r="D631" s="67" t="str">
        <f aca="false" t="array" ref="D631:D631">IF(B631="","",IFERROR(INDEX('CLM &amp; IM Mapping'!$C$2:$C$270,MATCH(TRIM(B631),'CLM &amp; IM Mapping'!$A$2:$A$270,0)),"Not Mapped"))</f>
        <v>Un Mapped</v>
      </c>
      <c r="E631" s="66" t="n">
        <v>0</v>
      </c>
      <c r="F631" s="66" t="n">
        <v>0</v>
      </c>
      <c r="G631" s="66" t="n">
        <v>0</v>
      </c>
      <c r="H631" s="66" t="n">
        <v>0</v>
      </c>
      <c r="I631" s="66" t="n">
        <v>0</v>
      </c>
      <c r="J631" s="66" t="n">
        <v>0</v>
      </c>
      <c r="K631" s="66" t="n">
        <v>0</v>
      </c>
      <c r="L631" s="66" t="n">
        <v>0</v>
      </c>
      <c r="M631" s="73" t="n">
        <v>0</v>
      </c>
      <c r="N631" s="73"/>
      <c r="O631" s="72"/>
      <c r="P631" s="67"/>
      <c r="Q631" s="64"/>
      <c r="R631" s="64"/>
      <c r="S631" s="64"/>
      <c r="T631" s="64"/>
      <c r="U631" s="64"/>
      <c r="V631" s="64"/>
      <c r="W631" s="64"/>
      <c r="X631" s="64"/>
      <c r="Y631" s="64"/>
      <c r="Z631" s="64"/>
      <c r="AA631" s="64"/>
    </row>
    <row r="632" customFormat="false" ht="15.75" hidden="false" customHeight="true" outlineLevel="0" collapsed="false">
      <c r="A632" s="65" t="n">
        <v>46305</v>
      </c>
      <c r="B632" s="66" t="s">
        <v>518</v>
      </c>
      <c r="C632" s="67" t="str">
        <f aca="false" t="array" ref="C632:C632">IF(B632="","",IFERROR(INDEX('CLM &amp; IM Mapping'!$B$2:$B$270,MATCH(TRIM(B632),'CLM &amp; IM Mapping'!$A$2:$A$270,0)),"Not Mapped"))</f>
        <v>Basil Scariya</v>
      </c>
      <c r="D632" s="67" t="str">
        <f aca="false" t="array" ref="D632:D632">IF(B632="","",IFERROR(INDEX('CLM &amp; IM Mapping'!$C$2:$C$270,MATCH(TRIM(B632),'CLM &amp; IM Mapping'!$A$2:$A$270,0)),"Not Mapped"))</f>
        <v>Prakash BS</v>
      </c>
      <c r="E632" s="66" t="n">
        <v>394</v>
      </c>
      <c r="F632" s="66" t="n">
        <v>28</v>
      </c>
      <c r="G632" s="66" t="n">
        <v>0</v>
      </c>
      <c r="H632" s="66" t="n">
        <v>366</v>
      </c>
      <c r="I632" s="66" t="n">
        <v>0</v>
      </c>
      <c r="J632" s="66" t="n">
        <v>0</v>
      </c>
      <c r="K632" s="66" t="n">
        <v>0</v>
      </c>
      <c r="L632" s="66" t="n">
        <v>366</v>
      </c>
      <c r="M632" s="73" t="n">
        <v>0.003</v>
      </c>
      <c r="N632" s="73"/>
      <c r="O632" s="72"/>
      <c r="P632" s="67"/>
      <c r="Q632" s="64"/>
      <c r="R632" s="64"/>
      <c r="S632" s="64"/>
      <c r="T632" s="64"/>
      <c r="U632" s="64"/>
      <c r="V632" s="64"/>
      <c r="W632" s="64"/>
      <c r="X632" s="64"/>
      <c r="Y632" s="64"/>
      <c r="Z632" s="64"/>
      <c r="AA632" s="64"/>
    </row>
    <row r="633" customFormat="false" ht="15.75" hidden="false" customHeight="true" outlineLevel="0" collapsed="false">
      <c r="A633" s="65" t="n">
        <v>46305</v>
      </c>
      <c r="B633" s="66" t="s">
        <v>305</v>
      </c>
      <c r="C633" s="67" t="str">
        <f aca="false" t="array" ref="C633:C633">IF(B633="","",IFERROR(INDEX('CLM &amp; IM Mapping'!$B$2:$B$270,MATCH(TRIM(B633),'CLM &amp; IM Mapping'!$A$2:$A$270,0)),"Not Mapped"))</f>
        <v>Manjunatha V</v>
      </c>
      <c r="D633" s="67" t="str">
        <f aca="false" t="array" ref="D633:D633">IF(B633="","",IFERROR(INDEX('CLM &amp; IM Mapping'!$C$2:$C$270,MATCH(TRIM(B633),'CLM &amp; IM Mapping'!$A$2:$A$270,0)),"Not Mapped"))</f>
        <v>Un Mapped</v>
      </c>
      <c r="E633" s="66" t="n">
        <v>2416</v>
      </c>
      <c r="F633" s="66" t="n">
        <v>259</v>
      </c>
      <c r="G633" s="66" t="n">
        <v>2157</v>
      </c>
      <c r="H633" s="66" t="n">
        <v>0</v>
      </c>
      <c r="I633" s="66" t="n">
        <v>0</v>
      </c>
      <c r="J633" s="66" t="n">
        <v>0</v>
      </c>
      <c r="K633" s="66" t="n">
        <v>0</v>
      </c>
      <c r="L633" s="66" t="n">
        <v>0</v>
      </c>
      <c r="M633" s="73" t="n">
        <v>0.016</v>
      </c>
      <c r="N633" s="73"/>
      <c r="O633" s="72"/>
      <c r="P633" s="67"/>
      <c r="Q633" s="64"/>
      <c r="R633" s="64"/>
      <c r="S633" s="64"/>
      <c r="T633" s="64"/>
      <c r="U633" s="64"/>
      <c r="V633" s="64"/>
      <c r="W633" s="64"/>
      <c r="X633" s="64"/>
      <c r="Y633" s="64"/>
      <c r="Z633" s="64"/>
      <c r="AA633" s="64"/>
    </row>
    <row r="634" customFormat="false" ht="15.75" hidden="false" customHeight="true" outlineLevel="0" collapsed="false">
      <c r="A634" s="65" t="n">
        <v>46305</v>
      </c>
      <c r="B634" s="66" t="s">
        <v>327</v>
      </c>
      <c r="C634" s="67" t="str">
        <f aca="false" t="array" ref="C634:C634">IF(B634="","",IFERROR(INDEX('CLM &amp; IM Mapping'!$B$2:$B$270,MATCH(TRIM(B634),'CLM &amp; IM Mapping'!$A$2:$A$270,0)),"Not Mapped"))</f>
        <v>Suhas N</v>
      </c>
      <c r="D634" s="67" t="str">
        <f aca="false" t="array" ref="D634:D634">IF(B634="","",IFERROR(INDEX('CLM &amp; IM Mapping'!$C$2:$C$270,MATCH(TRIM(B634),'CLM &amp; IM Mapping'!$A$2:$A$270,0)),"Not Mapped"))</f>
        <v>Aravind S</v>
      </c>
      <c r="E634" s="66" t="n">
        <v>978</v>
      </c>
      <c r="F634" s="66" t="n">
        <v>978</v>
      </c>
      <c r="G634" s="66" t="n">
        <v>0</v>
      </c>
      <c r="H634" s="66" t="n">
        <v>0</v>
      </c>
      <c r="I634" s="66" t="n">
        <v>0</v>
      </c>
      <c r="J634" s="66" t="n">
        <v>0</v>
      </c>
      <c r="K634" s="66" t="n">
        <v>0</v>
      </c>
      <c r="L634" s="66" t="n">
        <v>0</v>
      </c>
      <c r="M634" s="73" t="n">
        <v>0</v>
      </c>
      <c r="N634" s="73"/>
      <c r="O634" s="72"/>
      <c r="P634" s="67"/>
      <c r="Q634" s="64"/>
      <c r="R634" s="64"/>
      <c r="S634" s="64"/>
      <c r="T634" s="64"/>
      <c r="U634" s="64"/>
      <c r="V634" s="64"/>
      <c r="W634" s="64"/>
      <c r="X634" s="64"/>
      <c r="Y634" s="64"/>
      <c r="Z634" s="64"/>
      <c r="AA634" s="64"/>
    </row>
    <row r="635" customFormat="false" ht="15.75" hidden="false" customHeight="true" outlineLevel="0" collapsed="false">
      <c r="A635" s="65" t="n">
        <v>46305</v>
      </c>
      <c r="B635" s="66" t="s">
        <v>284</v>
      </c>
      <c r="C635" s="67" t="str">
        <f aca="false" t="array" ref="C635:C635">IF(B635="","",IFERROR(INDEX('CLM &amp; IM Mapping'!$B$2:$B$270,MATCH(TRIM(B635),'CLM &amp; IM Mapping'!$A$2:$A$270,0)),"Not Mapped"))</f>
        <v>Balaji G</v>
      </c>
      <c r="D635" s="67" t="str">
        <f aca="false" t="array" ref="D635:D635">IF(B635="","",IFERROR(INDEX('CLM &amp; IM Mapping'!$C$2:$C$270,MATCH(TRIM(B635),'CLM &amp; IM Mapping'!$A$2:$A$270,0)),"Not Mapped"))</f>
        <v>Mohammed Akbar</v>
      </c>
      <c r="E635" s="66" t="n">
        <v>7024</v>
      </c>
      <c r="F635" s="66" t="n">
        <v>7024</v>
      </c>
      <c r="G635" s="66" t="n">
        <v>0</v>
      </c>
      <c r="H635" s="66" t="n">
        <v>0</v>
      </c>
      <c r="I635" s="66" t="n">
        <v>0</v>
      </c>
      <c r="J635" s="66" t="n">
        <v>0</v>
      </c>
      <c r="K635" s="66" t="n">
        <v>0</v>
      </c>
      <c r="L635" s="66" t="n">
        <v>0</v>
      </c>
      <c r="M635" s="73" t="n">
        <v>0.023</v>
      </c>
      <c r="N635" s="73"/>
      <c r="O635" s="72"/>
      <c r="P635" s="67"/>
      <c r="Q635" s="64"/>
      <c r="R635" s="64"/>
      <c r="S635" s="64"/>
      <c r="T635" s="64"/>
      <c r="U635" s="64"/>
      <c r="V635" s="64"/>
      <c r="W635" s="64"/>
      <c r="X635" s="64"/>
      <c r="Y635" s="64"/>
      <c r="Z635" s="64"/>
      <c r="AA635" s="64"/>
    </row>
    <row r="636" customFormat="false" ht="15.75" hidden="false" customHeight="true" outlineLevel="0" collapsed="false">
      <c r="A636" s="65" t="n">
        <v>46305</v>
      </c>
      <c r="B636" s="66" t="s">
        <v>103</v>
      </c>
      <c r="C636" s="67" t="str">
        <f aca="false" t="array" ref="C636:C636">IF(B636="","",IFERROR(INDEX('CLM &amp; IM Mapping'!$B$2:$B$270,MATCH(TRIM(B636),'CLM &amp; IM Mapping'!$A$2:$A$270,0)),"Not Mapped"))</f>
        <v>Girish N</v>
      </c>
      <c r="D636" s="67" t="str">
        <f aca="false" t="array" ref="D636:D636">IF(B636="","",IFERROR(INDEX('CLM &amp; IM Mapping'!$C$2:$C$270,MATCH(TRIM(B636),'CLM &amp; IM Mapping'!$A$2:$A$270,0)),"Not Mapped"))</f>
        <v>Un Mapped</v>
      </c>
      <c r="E636" s="66" t="n">
        <v>935</v>
      </c>
      <c r="F636" s="66" t="n">
        <v>906</v>
      </c>
      <c r="G636" s="66" t="n">
        <v>29</v>
      </c>
      <c r="H636" s="66" t="n">
        <v>0</v>
      </c>
      <c r="I636" s="66" t="n">
        <v>0</v>
      </c>
      <c r="J636" s="66" t="n">
        <v>0</v>
      </c>
      <c r="K636" s="66" t="n">
        <v>0</v>
      </c>
      <c r="L636" s="66" t="n">
        <v>0</v>
      </c>
      <c r="M636" s="73" t="n">
        <v>0.002</v>
      </c>
      <c r="N636" s="73"/>
      <c r="O636" s="72"/>
      <c r="P636" s="67"/>
      <c r="Q636" s="64"/>
      <c r="R636" s="64"/>
      <c r="S636" s="64"/>
      <c r="T636" s="64"/>
      <c r="U636" s="64"/>
      <c r="V636" s="64"/>
      <c r="W636" s="64"/>
      <c r="X636" s="64"/>
      <c r="Y636" s="64"/>
      <c r="Z636" s="64"/>
      <c r="AA636" s="64"/>
    </row>
    <row r="637" customFormat="false" ht="15.75" hidden="false" customHeight="true" outlineLevel="0" collapsed="false">
      <c r="A637" s="65" t="n">
        <v>46305</v>
      </c>
      <c r="B637" s="66" t="s">
        <v>309</v>
      </c>
      <c r="C637" s="67" t="str">
        <f aca="false" t="array" ref="C637:C637">IF(B637="","",IFERROR(INDEX('CLM &amp; IM Mapping'!$B$2:$B$270,MATCH(TRIM(B637),'CLM &amp; IM Mapping'!$A$2:$A$270,0)),"Not Mapped"))</f>
        <v>Ashwath S</v>
      </c>
      <c r="D637" s="67" t="str">
        <f aca="false" t="array" ref="D637:D637">IF(B637="","",IFERROR(INDEX('CLM &amp; IM Mapping'!$C$2:$C$270,MATCH(TRIM(B637),'CLM &amp; IM Mapping'!$A$2:$A$270,0)),"Not Mapped"))</f>
        <v>Kantha Kumar</v>
      </c>
      <c r="E637" s="66" t="n">
        <v>187</v>
      </c>
      <c r="F637" s="66" t="n">
        <v>187</v>
      </c>
      <c r="G637" s="66" t="n">
        <v>0</v>
      </c>
      <c r="H637" s="66" t="n">
        <v>0</v>
      </c>
      <c r="I637" s="66" t="n">
        <v>0</v>
      </c>
      <c r="J637" s="66" t="n">
        <v>0</v>
      </c>
      <c r="K637" s="66" t="n">
        <v>0</v>
      </c>
      <c r="L637" s="66" t="n">
        <v>0</v>
      </c>
      <c r="M637" s="73" t="n">
        <v>0</v>
      </c>
      <c r="N637" s="73"/>
      <c r="O637" s="72"/>
      <c r="P637" s="67"/>
      <c r="Q637" s="64"/>
      <c r="R637" s="64"/>
      <c r="S637" s="64"/>
      <c r="T637" s="64"/>
      <c r="U637" s="64"/>
      <c r="V637" s="64"/>
      <c r="W637" s="64"/>
      <c r="X637" s="64"/>
      <c r="Y637" s="64"/>
      <c r="Z637" s="64"/>
      <c r="AA637" s="64"/>
    </row>
    <row r="638" customFormat="false" ht="15.75" hidden="false" customHeight="true" outlineLevel="0" collapsed="false">
      <c r="A638" s="65" t="n">
        <v>46305</v>
      </c>
      <c r="B638" s="66" t="s">
        <v>486</v>
      </c>
      <c r="C638" s="67" t="str">
        <f aca="false" t="array" ref="C638:C638">IF(B638="","",IFERROR(INDEX('CLM &amp; IM Mapping'!$B$2:$B$270,MATCH(TRIM(B638),'CLM &amp; IM Mapping'!$A$2:$A$270,0)),"Not Mapped"))</f>
        <v>Balaji G</v>
      </c>
      <c r="D638" s="67" t="str">
        <f aca="false" t="array" ref="D638:D638">IF(B638="","",IFERROR(INDEX('CLM &amp; IM Mapping'!$C$2:$C$270,MATCH(TRIM(B638),'CLM &amp; IM Mapping'!$A$2:$A$270,0)),"Not Mapped"))</f>
        <v>Mohammed Akbar</v>
      </c>
      <c r="E638" s="66" t="n">
        <v>271</v>
      </c>
      <c r="F638" s="66" t="n">
        <v>0</v>
      </c>
      <c r="G638" s="66" t="n">
        <v>271</v>
      </c>
      <c r="H638" s="66" t="n">
        <v>0</v>
      </c>
      <c r="I638" s="66" t="n">
        <v>0</v>
      </c>
      <c r="J638" s="66" t="n">
        <v>0</v>
      </c>
      <c r="K638" s="66" t="n">
        <v>0</v>
      </c>
      <c r="L638" s="66" t="n">
        <v>0</v>
      </c>
      <c r="M638" s="73" t="n">
        <v>0.002</v>
      </c>
      <c r="N638" s="73"/>
      <c r="O638" s="72"/>
      <c r="P638" s="67"/>
      <c r="Q638" s="64"/>
      <c r="R638" s="64"/>
      <c r="S638" s="64"/>
      <c r="T638" s="64"/>
      <c r="U638" s="64"/>
      <c r="V638" s="64"/>
      <c r="W638" s="64"/>
      <c r="X638" s="64"/>
      <c r="Y638" s="64"/>
      <c r="Z638" s="64"/>
      <c r="AA638" s="64"/>
    </row>
    <row r="639" customFormat="false" ht="15.75" hidden="false" customHeight="true" outlineLevel="0" collapsed="false">
      <c r="A639" s="65" t="n">
        <v>46305</v>
      </c>
      <c r="B639" s="66" t="s">
        <v>521</v>
      </c>
      <c r="C639" s="67" t="str">
        <f aca="false" t="array" ref="C639:C639">IF(B639="","",IFERROR(INDEX('CLM &amp; IM Mapping'!$B$2:$B$270,MATCH(TRIM(B639),'CLM &amp; IM Mapping'!$A$2:$A$270,0)),"Not Mapped"))</f>
        <v>Mohaideen DH</v>
      </c>
      <c r="D639" s="67" t="str">
        <f aca="false" t="array" ref="D639:D639">IF(B639="","",IFERROR(INDEX('CLM &amp; IM Mapping'!$C$2:$C$270,MATCH(TRIM(B639),'CLM &amp; IM Mapping'!$A$2:$A$270,0)),"Not Mapped"))</f>
        <v>Mohammed Akbar</v>
      </c>
      <c r="E639" s="66" t="n">
        <v>976</v>
      </c>
      <c r="F639" s="66" t="n">
        <v>250</v>
      </c>
      <c r="G639" s="66" t="n">
        <v>446</v>
      </c>
      <c r="H639" s="66" t="n">
        <v>0</v>
      </c>
      <c r="I639" s="66" t="n">
        <v>83</v>
      </c>
      <c r="J639" s="66" t="n">
        <v>0</v>
      </c>
      <c r="K639" s="66" t="n">
        <v>197</v>
      </c>
      <c r="L639" s="66" t="n">
        <v>280</v>
      </c>
      <c r="M639" s="73" t="n">
        <v>0.006</v>
      </c>
      <c r="N639" s="73"/>
      <c r="O639" s="72"/>
      <c r="P639" s="67"/>
      <c r="Q639" s="64"/>
      <c r="R639" s="64"/>
      <c r="S639" s="64"/>
      <c r="T639" s="64"/>
      <c r="U639" s="64"/>
      <c r="V639" s="64"/>
      <c r="W639" s="64"/>
      <c r="X639" s="64"/>
      <c r="Y639" s="64"/>
      <c r="Z639" s="64"/>
      <c r="AA639" s="64"/>
    </row>
    <row r="640" customFormat="false" ht="15.75" hidden="false" customHeight="true" outlineLevel="0" collapsed="false">
      <c r="A640" s="65" t="n">
        <v>46305</v>
      </c>
      <c r="B640" s="66" t="s">
        <v>144</v>
      </c>
      <c r="C640" s="67" t="str">
        <f aca="false" t="array" ref="C640:C640">IF(B640="","",IFERROR(INDEX('CLM &amp; IM Mapping'!$B$2:$B$270,MATCH(TRIM(B640),'CLM &amp; IM Mapping'!$A$2:$A$270,0)),"Not Mapped"))</f>
        <v>Mohaideen DH</v>
      </c>
      <c r="D640" s="67" t="str">
        <f aca="false" t="array" ref="D640:D640">IF(B640="","",IFERROR(INDEX('CLM &amp; IM Mapping'!$C$2:$C$270,MATCH(TRIM(B640),'CLM &amp; IM Mapping'!$A$2:$A$270,0)),"Not Mapped"))</f>
        <v>Mohammed Akbar</v>
      </c>
      <c r="E640" s="66" t="n">
        <v>3788</v>
      </c>
      <c r="F640" s="66" t="n">
        <v>0</v>
      </c>
      <c r="G640" s="66" t="n">
        <v>3788</v>
      </c>
      <c r="H640" s="66" t="n">
        <v>0</v>
      </c>
      <c r="I640" s="66" t="n">
        <v>0</v>
      </c>
      <c r="J640" s="66" t="n">
        <v>0</v>
      </c>
      <c r="K640" s="66" t="n">
        <v>0</v>
      </c>
      <c r="L640" s="66" t="n">
        <v>0</v>
      </c>
      <c r="M640" s="73" t="n">
        <v>0.019</v>
      </c>
      <c r="N640" s="73"/>
      <c r="O640" s="72"/>
      <c r="P640" s="67"/>
      <c r="Q640" s="64"/>
      <c r="R640" s="64"/>
      <c r="S640" s="64"/>
      <c r="T640" s="64"/>
      <c r="U640" s="64"/>
      <c r="V640" s="64"/>
      <c r="W640" s="64"/>
      <c r="X640" s="64"/>
      <c r="Y640" s="64"/>
      <c r="Z640" s="64"/>
      <c r="AA640" s="64"/>
    </row>
    <row r="641" customFormat="false" ht="15.75" hidden="false" customHeight="true" outlineLevel="0" collapsed="false">
      <c r="A641" s="65" t="n">
        <v>46305</v>
      </c>
      <c r="B641" s="66" t="s">
        <v>413</v>
      </c>
      <c r="C641" s="67" t="str">
        <f aca="false" t="array" ref="C641:C641">IF(B641="","",IFERROR(INDEX('CLM &amp; IM Mapping'!$B$2:$B$270,MATCH(TRIM(B641),'CLM &amp; IM Mapping'!$A$2:$A$270,0)),"Not Mapped"))</f>
        <v>Arun Raj</v>
      </c>
      <c r="D641" s="67" t="str">
        <f aca="false" t="array" ref="D641:D641">IF(B641="","",IFERROR(INDEX('CLM &amp; IM Mapping'!$C$2:$C$270,MATCH(TRIM(B641),'CLM &amp; IM Mapping'!$A$2:$A$270,0)),"Not Mapped"))</f>
        <v>Simon Manoharan</v>
      </c>
      <c r="E641" s="66" t="n">
        <v>247</v>
      </c>
      <c r="F641" s="66" t="n">
        <v>0</v>
      </c>
      <c r="G641" s="66" t="n">
        <v>0</v>
      </c>
      <c r="H641" s="66" t="n">
        <v>247</v>
      </c>
      <c r="I641" s="66" t="n">
        <v>0</v>
      </c>
      <c r="J641" s="66" t="n">
        <v>0</v>
      </c>
      <c r="K641" s="66" t="n">
        <v>0</v>
      </c>
      <c r="L641" s="66" t="n">
        <v>0</v>
      </c>
      <c r="M641" s="73"/>
      <c r="N641" s="73"/>
      <c r="O641" s="72"/>
      <c r="P641" s="67"/>
      <c r="Q641" s="64"/>
      <c r="R641" s="64"/>
      <c r="S641" s="64"/>
      <c r="T641" s="64"/>
      <c r="U641" s="64"/>
      <c r="V641" s="64"/>
      <c r="W641" s="64"/>
      <c r="X641" s="64"/>
      <c r="Y641" s="64"/>
      <c r="Z641" s="64"/>
      <c r="AA641" s="64"/>
    </row>
    <row r="642" customFormat="false" ht="15.75" hidden="false" customHeight="true" outlineLevel="0" collapsed="false">
      <c r="A642" s="65" t="n">
        <v>46305</v>
      </c>
      <c r="B642" s="66" t="s">
        <v>465</v>
      </c>
      <c r="C642" s="67" t="str">
        <f aca="false" t="array" ref="C642:C642">IF(B642="","",IFERROR(INDEX('CLM &amp; IM Mapping'!$B$2:$B$270,MATCH(TRIM(B642),'CLM &amp; IM Mapping'!$A$2:$A$270,0)),"Not Mapped"))</f>
        <v>Suhas N</v>
      </c>
      <c r="D642" s="67" t="str">
        <f aca="false" t="array" ref="D642:D642">IF(B642="","",IFERROR(INDEX('CLM &amp; IM Mapping'!$C$2:$C$270,MATCH(TRIM(B642),'CLM &amp; IM Mapping'!$A$2:$A$270,0)),"Not Mapped"))</f>
        <v>Aravind S</v>
      </c>
      <c r="E642" s="66" t="n">
        <v>1459</v>
      </c>
      <c r="F642" s="66" t="n">
        <v>6</v>
      </c>
      <c r="G642" s="66" t="n">
        <v>1453</v>
      </c>
      <c r="H642" s="66" t="n">
        <v>0</v>
      </c>
      <c r="I642" s="66" t="n">
        <v>0</v>
      </c>
      <c r="J642" s="66" t="n">
        <v>0</v>
      </c>
      <c r="K642" s="66" t="n">
        <v>0</v>
      </c>
      <c r="L642" s="66" t="n">
        <v>0</v>
      </c>
      <c r="M642" s="73" t="n">
        <v>0.005</v>
      </c>
      <c r="N642" s="73"/>
      <c r="O642" s="72"/>
      <c r="P642" s="67"/>
      <c r="Q642" s="64"/>
      <c r="R642" s="64"/>
      <c r="S642" s="64"/>
      <c r="T642" s="64"/>
      <c r="U642" s="64"/>
      <c r="V642" s="64"/>
      <c r="W642" s="64"/>
      <c r="X642" s="64"/>
      <c r="Y642" s="64"/>
      <c r="Z642" s="64"/>
      <c r="AA642" s="64"/>
    </row>
    <row r="643" customFormat="false" ht="15.75" hidden="false" customHeight="true" outlineLevel="0" collapsed="false">
      <c r="A643" s="65" t="n">
        <v>46305</v>
      </c>
      <c r="B643" s="66" t="s">
        <v>507</v>
      </c>
      <c r="C643" s="67" t="str">
        <f aca="false" t="array" ref="C643:C643">IF(B643="","",IFERROR(INDEX('CLM &amp; IM Mapping'!$B$2:$B$270,MATCH(TRIM(B643),'CLM &amp; IM Mapping'!$A$2:$A$270,0)),"Not Mapped"))</f>
        <v>Raghavendra Vernekar</v>
      </c>
      <c r="D643" s="67" t="str">
        <f aca="false" t="array" ref="D643:D643">IF(B643="","",IFERROR(INDEX('CLM &amp; IM Mapping'!$C$2:$C$270,MATCH(TRIM(B643),'CLM &amp; IM Mapping'!$A$2:$A$270,0)),"Not Mapped"))</f>
        <v>Prakash BS</v>
      </c>
      <c r="E643" s="66" t="n">
        <v>8265</v>
      </c>
      <c r="F643" s="66" t="n">
        <v>8116</v>
      </c>
      <c r="G643" s="66" t="n">
        <v>0</v>
      </c>
      <c r="H643" s="66" t="n">
        <v>51</v>
      </c>
      <c r="I643" s="66" t="n">
        <v>98</v>
      </c>
      <c r="J643" s="66" t="n">
        <v>0</v>
      </c>
      <c r="K643" s="66" t="n">
        <v>0</v>
      </c>
      <c r="L643" s="66" t="n">
        <v>149</v>
      </c>
      <c r="M643" s="73" t="n">
        <v>0.057</v>
      </c>
      <c r="N643" s="73"/>
      <c r="O643" s="72"/>
      <c r="P643" s="67"/>
      <c r="Q643" s="64"/>
      <c r="R643" s="64"/>
      <c r="S643" s="64"/>
      <c r="T643" s="64"/>
      <c r="U643" s="64"/>
      <c r="V643" s="64"/>
      <c r="W643" s="64"/>
      <c r="X643" s="64"/>
      <c r="Y643" s="64"/>
      <c r="Z643" s="64"/>
      <c r="AA643" s="64"/>
    </row>
    <row r="644" customFormat="false" ht="15.75" hidden="false" customHeight="true" outlineLevel="0" collapsed="false">
      <c r="A644" s="65" t="n">
        <v>46305</v>
      </c>
      <c r="B644" s="66" t="s">
        <v>375</v>
      </c>
      <c r="C644" s="67" t="str">
        <f aca="false" t="array" ref="C644:C644">IF(B644="","",IFERROR(INDEX('CLM &amp; IM Mapping'!$B$2:$B$270,MATCH(TRIM(B644),'CLM &amp; IM Mapping'!$A$2:$A$270,0)),"Not Mapped"))</f>
        <v>Saddam Hussain</v>
      </c>
      <c r="D644" s="67" t="str">
        <f aca="false" t="array" ref="D644:D644">IF(B644="","",IFERROR(INDEX('CLM &amp; IM Mapping'!$C$2:$C$270,MATCH(TRIM(B644),'CLM &amp; IM Mapping'!$A$2:$A$270,0)),"Not Mapped"))</f>
        <v>Un Mapped</v>
      </c>
      <c r="E644" s="66" t="n">
        <v>2706</v>
      </c>
      <c r="F644" s="66" t="n">
        <v>0</v>
      </c>
      <c r="G644" s="66" t="n">
        <v>2706</v>
      </c>
      <c r="H644" s="66" t="n">
        <v>0</v>
      </c>
      <c r="I644" s="66" t="n">
        <v>0</v>
      </c>
      <c r="J644" s="66" t="n">
        <v>0</v>
      </c>
      <c r="K644" s="66" t="n">
        <v>0</v>
      </c>
      <c r="L644" s="66" t="n">
        <v>0</v>
      </c>
      <c r="M644" s="73" t="n">
        <v>0.008</v>
      </c>
      <c r="N644" s="73"/>
      <c r="O644" s="72"/>
      <c r="P644" s="67"/>
      <c r="Q644" s="64"/>
      <c r="R644" s="64"/>
      <c r="S644" s="64"/>
      <c r="T644" s="64"/>
      <c r="U644" s="64"/>
      <c r="V644" s="64"/>
      <c r="W644" s="64"/>
      <c r="X644" s="64"/>
      <c r="Y644" s="64"/>
      <c r="Z644" s="64"/>
      <c r="AA644" s="64"/>
    </row>
    <row r="645" customFormat="false" ht="15.75" hidden="false" customHeight="true" outlineLevel="0" collapsed="false">
      <c r="A645" s="65" t="n">
        <v>46305</v>
      </c>
      <c r="B645" s="66" t="s">
        <v>111</v>
      </c>
      <c r="C645" s="67" t="str">
        <f aca="false" t="array" ref="C645:C645">IF(B645="","",IFERROR(INDEX('CLM &amp; IM Mapping'!$B$2:$B$270,MATCH(TRIM(B645),'CLM &amp; IM Mapping'!$A$2:$A$270,0)),"Not Mapped"))</f>
        <v>Narasimhamurthy R</v>
      </c>
      <c r="D645" s="67" t="str">
        <f aca="false" t="array" ref="D645:D645">IF(B645="","",IFERROR(INDEX('CLM &amp; IM Mapping'!$C$2:$C$270,MATCH(TRIM(B645),'CLM &amp; IM Mapping'!$A$2:$A$270,0)),"Not Mapped"))</f>
        <v>Kishor K</v>
      </c>
      <c r="E645" s="66" t="n">
        <v>6107</v>
      </c>
      <c r="F645" s="66" t="n">
        <v>6107</v>
      </c>
      <c r="G645" s="66" t="n">
        <v>0</v>
      </c>
      <c r="H645" s="66" t="n">
        <v>0</v>
      </c>
      <c r="I645" s="66" t="n">
        <v>0</v>
      </c>
      <c r="J645" s="66" t="n">
        <v>0</v>
      </c>
      <c r="K645" s="66" t="n">
        <v>0</v>
      </c>
      <c r="L645" s="66" t="n">
        <v>0</v>
      </c>
      <c r="M645" s="73" t="n">
        <v>0.034</v>
      </c>
      <c r="N645" s="73"/>
      <c r="O645" s="72"/>
      <c r="P645" s="67"/>
      <c r="Q645" s="64"/>
      <c r="R645" s="64"/>
      <c r="S645" s="64"/>
      <c r="T645" s="64"/>
      <c r="U645" s="64"/>
      <c r="V645" s="64"/>
      <c r="W645" s="64"/>
      <c r="X645" s="64"/>
      <c r="Y645" s="64"/>
      <c r="Z645" s="64"/>
      <c r="AA645" s="64"/>
    </row>
    <row r="646" customFormat="false" ht="15.75" hidden="false" customHeight="true" outlineLevel="0" collapsed="false">
      <c r="A646" s="65" t="n">
        <v>46305</v>
      </c>
      <c r="B646" s="66" t="s">
        <v>126</v>
      </c>
      <c r="C646" s="67" t="str">
        <f aca="false" t="array" ref="C646:C646">IF(B646="","",IFERROR(INDEX('CLM &amp; IM Mapping'!$B$2:$B$270,MATCH(TRIM(B646),'CLM &amp; IM Mapping'!$A$2:$A$270,0)),"Not Mapped"))</f>
        <v>Girish N</v>
      </c>
      <c r="D646" s="67" t="str">
        <f aca="false" t="array" ref="D646:D646">IF(B646="","",IFERROR(INDEX('CLM &amp; IM Mapping'!$C$2:$C$270,MATCH(TRIM(B646),'CLM &amp; IM Mapping'!$A$2:$A$270,0)),"Not Mapped"))</f>
        <v>Un Mapped</v>
      </c>
      <c r="E646" s="66" t="n">
        <v>6760</v>
      </c>
      <c r="F646" s="66" t="n">
        <v>944</v>
      </c>
      <c r="G646" s="66" t="n">
        <v>5695</v>
      </c>
      <c r="H646" s="66" t="n">
        <v>0</v>
      </c>
      <c r="I646" s="66" t="n">
        <v>0</v>
      </c>
      <c r="J646" s="66" t="n">
        <v>87</v>
      </c>
      <c r="K646" s="66" t="n">
        <v>34</v>
      </c>
      <c r="L646" s="66" t="n">
        <v>121</v>
      </c>
      <c r="M646" s="73" t="n">
        <v>0.033</v>
      </c>
      <c r="N646" s="73"/>
      <c r="O646" s="72"/>
      <c r="P646" s="67"/>
      <c r="Q646" s="64"/>
      <c r="R646" s="64"/>
      <c r="S646" s="64"/>
      <c r="T646" s="64"/>
      <c r="U646" s="64"/>
      <c r="V646" s="64"/>
      <c r="W646" s="64"/>
      <c r="X646" s="64"/>
      <c r="Y646" s="64"/>
      <c r="Z646" s="64"/>
      <c r="AA646" s="64"/>
    </row>
    <row r="647" customFormat="false" ht="15.75" hidden="false" customHeight="true" outlineLevel="0" collapsed="false">
      <c r="A647" s="65" t="n">
        <v>46305</v>
      </c>
      <c r="B647" s="66" t="s">
        <v>83</v>
      </c>
      <c r="C647" s="67" t="str">
        <f aca="false" t="array" ref="C647:C647">IF(B647="","",IFERROR(INDEX('CLM &amp; IM Mapping'!$B$2:$B$270,MATCH(TRIM(B647),'CLM &amp; IM Mapping'!$A$2:$A$270,0)),"Not Mapped"))</f>
        <v>Keshav G</v>
      </c>
      <c r="D647" s="67" t="str">
        <f aca="false" t="array" ref="D647:D647">IF(B647="","",IFERROR(INDEX('CLM &amp; IM Mapping'!$C$2:$C$270,MATCH(TRIM(B647),'CLM &amp; IM Mapping'!$A$2:$A$270,0)),"Not Mapped"))</f>
        <v>Mohammed Akbar</v>
      </c>
      <c r="E647" s="66" t="n">
        <v>1537</v>
      </c>
      <c r="F647" s="66" t="n">
        <v>25</v>
      </c>
      <c r="G647" s="66" t="n">
        <v>474</v>
      </c>
      <c r="H647" s="66" t="n">
        <v>1009</v>
      </c>
      <c r="I647" s="66" t="n">
        <v>0</v>
      </c>
      <c r="J647" s="66" t="n">
        <v>29</v>
      </c>
      <c r="K647" s="66" t="n">
        <v>0</v>
      </c>
      <c r="L647" s="66" t="n">
        <v>1038</v>
      </c>
      <c r="M647" s="73" t="n">
        <v>0.003</v>
      </c>
      <c r="N647" s="73"/>
      <c r="O647" s="72"/>
      <c r="P647" s="67"/>
      <c r="Q647" s="64"/>
      <c r="R647" s="64"/>
      <c r="S647" s="64"/>
      <c r="T647" s="64"/>
      <c r="U647" s="64"/>
      <c r="V647" s="64"/>
      <c r="W647" s="64"/>
      <c r="X647" s="64"/>
      <c r="Y647" s="64"/>
      <c r="Z647" s="64"/>
      <c r="AA647" s="64"/>
    </row>
    <row r="648" customFormat="false" ht="15.75" hidden="false" customHeight="true" outlineLevel="0" collapsed="false">
      <c r="A648" s="65" t="n">
        <v>46305</v>
      </c>
      <c r="B648" s="66" t="s">
        <v>139</v>
      </c>
      <c r="C648" s="67" t="str">
        <f aca="false" t="array" ref="C648:C648">IF(B648="","",IFERROR(INDEX('CLM &amp; IM Mapping'!$B$2:$B$270,MATCH(TRIM(B648),'CLM &amp; IM Mapping'!$A$2:$A$270,0)),"Not Mapped"))</f>
        <v>Mohaideen DH</v>
      </c>
      <c r="D648" s="67" t="str">
        <f aca="false" t="array" ref="D648:D648">IF(B648="","",IFERROR(INDEX('CLM &amp; IM Mapping'!$C$2:$C$270,MATCH(TRIM(B648),'CLM &amp; IM Mapping'!$A$2:$A$270,0)),"Not Mapped"))</f>
        <v>Mohammed Akbar</v>
      </c>
      <c r="E648" s="66" t="n">
        <v>90</v>
      </c>
      <c r="F648" s="66" t="n">
        <v>90</v>
      </c>
      <c r="G648" s="66" t="n">
        <v>0</v>
      </c>
      <c r="H648" s="66" t="n">
        <v>0</v>
      </c>
      <c r="I648" s="66" t="n">
        <v>0</v>
      </c>
      <c r="J648" s="66" t="n">
        <v>0</v>
      </c>
      <c r="K648" s="66" t="n">
        <v>0</v>
      </c>
      <c r="L648" s="66" t="n">
        <v>0</v>
      </c>
      <c r="M648" s="73" t="n">
        <v>0</v>
      </c>
      <c r="N648" s="73"/>
      <c r="O648" s="72"/>
      <c r="P648" s="67"/>
      <c r="Q648" s="64"/>
      <c r="R648" s="64"/>
      <c r="S648" s="64"/>
      <c r="T648" s="64"/>
      <c r="U648" s="64"/>
      <c r="V648" s="64"/>
      <c r="W648" s="64"/>
      <c r="X648" s="64"/>
      <c r="Y648" s="64"/>
      <c r="Z648" s="64"/>
      <c r="AA648" s="64"/>
    </row>
    <row r="649" customFormat="false" ht="15.75" hidden="false" customHeight="true" outlineLevel="0" collapsed="false">
      <c r="A649" s="65" t="n">
        <v>46305</v>
      </c>
      <c r="B649" s="66" t="s">
        <v>181</v>
      </c>
      <c r="C649" s="67" t="str">
        <f aca="false" t="array" ref="C649:C649">IF(B649="","",IFERROR(INDEX('CLM &amp; IM Mapping'!$B$2:$B$270,MATCH(TRIM(B649),'CLM &amp; IM Mapping'!$A$2:$A$270,0)),"Not Mapped"))</f>
        <v>Silambarasan E</v>
      </c>
      <c r="D649" s="67" t="str">
        <f aca="false" t="array" ref="D649:D649">IF(B649="","",IFERROR(INDEX('CLM &amp; IM Mapping'!$C$2:$C$270,MATCH(TRIM(B649),'CLM &amp; IM Mapping'!$A$2:$A$270,0)),"Not Mapped"))</f>
        <v>Arivind S</v>
      </c>
      <c r="E649" s="66" t="n">
        <v>430</v>
      </c>
      <c r="F649" s="66" t="n">
        <v>385</v>
      </c>
      <c r="G649" s="66" t="n">
        <v>0</v>
      </c>
      <c r="H649" s="66" t="n">
        <v>45</v>
      </c>
      <c r="I649" s="66" t="n">
        <v>0</v>
      </c>
      <c r="J649" s="66" t="n">
        <v>0</v>
      </c>
      <c r="K649" s="66" t="n">
        <v>0</v>
      </c>
      <c r="L649" s="66" t="n">
        <v>45</v>
      </c>
      <c r="M649" s="73" t="n">
        <v>0</v>
      </c>
      <c r="N649" s="73"/>
      <c r="O649" s="72"/>
      <c r="P649" s="67"/>
      <c r="Q649" s="64"/>
      <c r="R649" s="64"/>
      <c r="S649" s="64"/>
      <c r="T649" s="64"/>
      <c r="U649" s="64"/>
      <c r="V649" s="64"/>
      <c r="W649" s="64"/>
      <c r="X649" s="64"/>
      <c r="Y649" s="64"/>
      <c r="Z649" s="64"/>
      <c r="AA649" s="64"/>
    </row>
    <row r="650" customFormat="false" ht="15.75" hidden="false" customHeight="true" outlineLevel="0" collapsed="false">
      <c r="A650" s="65" t="n">
        <v>46305</v>
      </c>
      <c r="B650" s="66" t="s">
        <v>346</v>
      </c>
      <c r="C650" s="67" t="str">
        <f aca="false" t="array" ref="C650:C650">IF(B650="","",IFERROR(INDEX('CLM &amp; IM Mapping'!$B$2:$B$270,MATCH(TRIM(B650),'CLM &amp; IM Mapping'!$A$2:$A$270,0)),"Not Mapped"))</f>
        <v>Saddam Hussain</v>
      </c>
      <c r="D650" s="67" t="str">
        <f aca="false" t="array" ref="D650:D650">IF(B650="","",IFERROR(INDEX('CLM &amp; IM Mapping'!$C$2:$C$270,MATCH(TRIM(B650),'CLM &amp; IM Mapping'!$A$2:$A$270,0)),"Not Mapped"))</f>
        <v>Un Mapped</v>
      </c>
      <c r="E650" s="66" t="n">
        <v>2780</v>
      </c>
      <c r="F650" s="66" t="n">
        <v>41</v>
      </c>
      <c r="G650" s="66" t="n">
        <v>2739</v>
      </c>
      <c r="H650" s="66" t="n">
        <v>0</v>
      </c>
      <c r="I650" s="66" t="n">
        <v>0</v>
      </c>
      <c r="J650" s="66" t="n">
        <v>0</v>
      </c>
      <c r="K650" s="66" t="n">
        <v>0</v>
      </c>
      <c r="L650" s="66" t="n">
        <v>0</v>
      </c>
      <c r="M650" s="73" t="n">
        <v>0.009</v>
      </c>
      <c r="N650" s="73"/>
      <c r="O650" s="72"/>
      <c r="P650" s="67"/>
      <c r="Q650" s="64"/>
      <c r="R650" s="64"/>
      <c r="S650" s="64"/>
      <c r="T650" s="64"/>
      <c r="U650" s="64"/>
      <c r="V650" s="64"/>
      <c r="W650" s="64"/>
      <c r="X650" s="64"/>
      <c r="Y650" s="64"/>
      <c r="Z650" s="64"/>
      <c r="AA650" s="64"/>
    </row>
    <row r="651" customFormat="false" ht="15.75" hidden="false" customHeight="true" outlineLevel="0" collapsed="false">
      <c r="A651" s="65" t="n">
        <v>46305</v>
      </c>
      <c r="B651" s="66" t="s">
        <v>59</v>
      </c>
      <c r="C651" s="67" t="str">
        <f aca="false" t="array" ref="C651:C651">IF(B651="","",IFERROR(INDEX('CLM &amp; IM Mapping'!$B$2:$B$270,MATCH(TRIM(B651),'CLM &amp; IM Mapping'!$A$2:$A$270,0)),"Not Mapped"))</f>
        <v>Saddam Hussain</v>
      </c>
      <c r="D651" s="67" t="str">
        <f aca="false" t="array" ref="D651:D651">IF(B651="","",IFERROR(INDEX('CLM &amp; IM Mapping'!$C$2:$C$270,MATCH(TRIM(B651),'CLM &amp; IM Mapping'!$A$2:$A$270,0)),"Not Mapped"))</f>
        <v>Un Mapped</v>
      </c>
      <c r="E651" s="66" t="n">
        <v>11</v>
      </c>
      <c r="F651" s="66" t="n">
        <v>11</v>
      </c>
      <c r="G651" s="66" t="n">
        <v>0</v>
      </c>
      <c r="H651" s="66" t="n">
        <v>0</v>
      </c>
      <c r="I651" s="66" t="n">
        <v>0</v>
      </c>
      <c r="J651" s="66" t="n">
        <v>0</v>
      </c>
      <c r="K651" s="66" t="n">
        <v>0</v>
      </c>
      <c r="L651" s="66" t="n">
        <v>0</v>
      </c>
      <c r="M651" s="73" t="n">
        <v>0</v>
      </c>
      <c r="N651" s="73"/>
      <c r="O651" s="72"/>
      <c r="P651" s="67"/>
      <c r="Q651" s="64"/>
      <c r="R651" s="64"/>
      <c r="S651" s="64"/>
      <c r="T651" s="64"/>
      <c r="U651" s="64"/>
      <c r="V651" s="64"/>
      <c r="W651" s="64"/>
      <c r="X651" s="64"/>
      <c r="Y651" s="64"/>
      <c r="Z651" s="64"/>
      <c r="AA651" s="64"/>
    </row>
    <row r="652" customFormat="false" ht="15.75" hidden="false" customHeight="true" outlineLevel="0" collapsed="false">
      <c r="A652" s="65" t="n">
        <v>46305</v>
      </c>
      <c r="B652" s="66" t="s">
        <v>265</v>
      </c>
      <c r="C652" s="67" t="str">
        <f aca="false" t="array" ref="C652:C652">IF(B652="","",IFERROR(INDEX('CLM &amp; IM Mapping'!$B$2:$B$270,MATCH(TRIM(B652),'CLM &amp; IM Mapping'!$A$2:$A$270,0)),"Not Mapped"))</f>
        <v>Adhavan Subramani</v>
      </c>
      <c r="D652" s="67" t="str">
        <f aca="false" t="array" ref="D652:D652">IF(B652="","",IFERROR(INDEX('CLM &amp; IM Mapping'!$C$2:$C$270,MATCH(TRIM(B652),'CLM &amp; IM Mapping'!$A$2:$A$270,0)),"Not Mapped"))</f>
        <v>Mohammed Akbar</v>
      </c>
      <c r="E652" s="66" t="n">
        <v>5380</v>
      </c>
      <c r="F652" s="66" t="n">
        <v>548</v>
      </c>
      <c r="G652" s="66" t="n">
        <v>3777</v>
      </c>
      <c r="H652" s="66" t="n">
        <v>677</v>
      </c>
      <c r="I652" s="66" t="n">
        <v>50</v>
      </c>
      <c r="J652" s="66" t="n">
        <v>0</v>
      </c>
      <c r="K652" s="66" t="n">
        <v>328</v>
      </c>
      <c r="L652" s="66" t="n">
        <v>1055</v>
      </c>
      <c r="M652" s="73" t="n">
        <v>0.096</v>
      </c>
      <c r="N652" s="73"/>
      <c r="O652" s="72"/>
      <c r="P652" s="67"/>
      <c r="Q652" s="64"/>
      <c r="R652" s="64"/>
      <c r="S652" s="64"/>
      <c r="T652" s="64"/>
      <c r="U652" s="64"/>
      <c r="V652" s="64"/>
      <c r="W652" s="64"/>
      <c r="X652" s="64"/>
      <c r="Y652" s="64"/>
      <c r="Z652" s="64"/>
      <c r="AA652" s="64"/>
    </row>
    <row r="653" customFormat="false" ht="15.75" hidden="false" customHeight="true" outlineLevel="0" collapsed="false">
      <c r="A653" s="65" t="n">
        <v>46305</v>
      </c>
      <c r="B653" s="66" t="s">
        <v>517</v>
      </c>
      <c r="C653" s="67" t="str">
        <f aca="false" t="array" ref="C653:C653">IF(B653="","",IFERROR(INDEX('CLM &amp; IM Mapping'!$B$2:$B$270,MATCH(TRIM(B653),'CLM &amp; IM Mapping'!$A$2:$A$270,0)),"Not Mapped"))</f>
        <v>Manoj Kj</v>
      </c>
      <c r="D653" s="67" t="str">
        <f aca="false" t="array" ref="D653:D653">IF(B653="","",IFERROR(INDEX('CLM &amp; IM Mapping'!$C$2:$C$270,MATCH(TRIM(B653),'CLM &amp; IM Mapping'!$A$2:$A$270,0)),"Not Mapped"))</f>
        <v>Srittam Dhal</v>
      </c>
      <c r="E653" s="66" t="n">
        <v>2099</v>
      </c>
      <c r="F653" s="66" t="n">
        <v>1962</v>
      </c>
      <c r="G653" s="66" t="n">
        <v>0</v>
      </c>
      <c r="H653" s="66" t="n">
        <v>99</v>
      </c>
      <c r="I653" s="66" t="n">
        <v>38</v>
      </c>
      <c r="J653" s="66" t="n">
        <v>0</v>
      </c>
      <c r="K653" s="66" t="n">
        <v>0</v>
      </c>
      <c r="L653" s="66" t="n">
        <v>137</v>
      </c>
      <c r="M653" s="73" t="n">
        <v>0.001</v>
      </c>
      <c r="N653" s="73"/>
      <c r="O653" s="72"/>
      <c r="P653" s="67"/>
      <c r="Q653" s="64"/>
      <c r="R653" s="64"/>
      <c r="S653" s="64"/>
      <c r="T653" s="64"/>
      <c r="U653" s="64"/>
      <c r="V653" s="64"/>
      <c r="W653" s="64"/>
      <c r="X653" s="64"/>
      <c r="Y653" s="64"/>
      <c r="Z653" s="64"/>
      <c r="AA653" s="64"/>
    </row>
    <row r="654" customFormat="false" ht="15.75" hidden="false" customHeight="true" outlineLevel="0" collapsed="false">
      <c r="A654" s="65" t="n">
        <v>46305</v>
      </c>
      <c r="B654" s="66" t="s">
        <v>435</v>
      </c>
      <c r="C654" s="67" t="str">
        <f aca="false" t="array" ref="C654:C654">IF(B654="","",IFERROR(INDEX('CLM &amp; IM Mapping'!$B$2:$B$270,MATCH(TRIM(B654),'CLM &amp; IM Mapping'!$A$2:$A$270,0)),"Not Mapped"))</f>
        <v>Balaji G</v>
      </c>
      <c r="D654" s="67" t="str">
        <f aca="false" t="array" ref="D654:D654">IF(B654="","",IFERROR(INDEX('CLM &amp; IM Mapping'!$C$2:$C$270,MATCH(TRIM(B654),'CLM &amp; IM Mapping'!$A$2:$A$270,0)),"Not Mapped"))</f>
        <v>Mohammed Akbar</v>
      </c>
      <c r="E654" s="66" t="n">
        <v>0</v>
      </c>
      <c r="F654" s="66" t="n">
        <v>0</v>
      </c>
      <c r="G654" s="66" t="n">
        <v>0</v>
      </c>
      <c r="H654" s="66" t="n">
        <v>0</v>
      </c>
      <c r="I654" s="66" t="n">
        <v>0</v>
      </c>
      <c r="J654" s="66" t="n">
        <v>0</v>
      </c>
      <c r="K654" s="66" t="n">
        <v>0</v>
      </c>
      <c r="L654" s="66" t="n">
        <v>0</v>
      </c>
      <c r="M654" s="73" t="n">
        <v>0</v>
      </c>
      <c r="N654" s="73"/>
      <c r="O654" s="72"/>
      <c r="P654" s="67"/>
      <c r="Q654" s="64"/>
      <c r="R654" s="64"/>
      <c r="S654" s="64"/>
      <c r="T654" s="64"/>
      <c r="U654" s="64"/>
      <c r="V654" s="64"/>
      <c r="W654" s="64"/>
      <c r="X654" s="64"/>
      <c r="Y654" s="64"/>
      <c r="Z654" s="64"/>
      <c r="AA654" s="64"/>
    </row>
    <row r="655" customFormat="false" ht="15.75" hidden="false" customHeight="true" outlineLevel="0" collapsed="false">
      <c r="A655" s="65" t="n">
        <v>46305</v>
      </c>
      <c r="B655" s="66" t="s">
        <v>342</v>
      </c>
      <c r="C655" s="67" t="str">
        <f aca="false" t="array" ref="C655:C655">IF(B655="","",IFERROR(INDEX('CLM &amp; IM Mapping'!$B$2:$B$270,MATCH(TRIM(B655),'CLM &amp; IM Mapping'!$A$2:$A$270,0)),"Not Mapped"))</f>
        <v>Saddam Hussain</v>
      </c>
      <c r="D655" s="67" t="str">
        <f aca="false" t="array" ref="D655:D655">IF(B655="","",IFERROR(INDEX('CLM &amp; IM Mapping'!$C$2:$C$270,MATCH(TRIM(B655),'CLM &amp; IM Mapping'!$A$2:$A$270,0)),"Not Mapped"))</f>
        <v>Un Mapped</v>
      </c>
      <c r="E655" s="66" t="n">
        <v>0</v>
      </c>
      <c r="F655" s="66" t="n">
        <v>0</v>
      </c>
      <c r="G655" s="66" t="n">
        <v>0</v>
      </c>
      <c r="H655" s="66" t="n">
        <v>0</v>
      </c>
      <c r="I655" s="66" t="n">
        <v>0</v>
      </c>
      <c r="J655" s="66" t="n">
        <v>0</v>
      </c>
      <c r="K655" s="66" t="n">
        <v>0</v>
      </c>
      <c r="L655" s="66" t="n">
        <v>0</v>
      </c>
      <c r="M655" s="73" t="n">
        <v>0</v>
      </c>
      <c r="N655" s="73"/>
      <c r="O655" s="72"/>
      <c r="P655" s="67"/>
      <c r="Q655" s="64"/>
      <c r="R655" s="64"/>
      <c r="S655" s="64"/>
      <c r="T655" s="64"/>
      <c r="U655" s="64"/>
      <c r="V655" s="64"/>
      <c r="W655" s="64"/>
      <c r="X655" s="64"/>
      <c r="Y655" s="64"/>
      <c r="Z655" s="64"/>
      <c r="AA655" s="64"/>
    </row>
    <row r="656" customFormat="false" ht="15.75" hidden="false" customHeight="true" outlineLevel="0" collapsed="false">
      <c r="A656" s="65" t="n">
        <v>46305</v>
      </c>
      <c r="B656" s="66" t="s">
        <v>451</v>
      </c>
      <c r="C656" s="67" t="str">
        <f aca="false" t="array" ref="C656:C656">IF(B656="","",IFERROR(INDEX('CLM &amp; IM Mapping'!$B$2:$B$270,MATCH(TRIM(B656),'CLM &amp; IM Mapping'!$A$2:$A$270,0)),"Not Mapped"))</f>
        <v>Ashwath S</v>
      </c>
      <c r="D656" s="67" t="str">
        <f aca="false" t="array" ref="D656:D656">IF(B656="","",IFERROR(INDEX('CLM &amp; IM Mapping'!$C$2:$C$270,MATCH(TRIM(B656),'CLM &amp; IM Mapping'!$A$2:$A$270,0)),"Not Mapped"))</f>
        <v>Kantha Kumar</v>
      </c>
      <c r="E656" s="66" t="n">
        <v>0</v>
      </c>
      <c r="F656" s="66" t="n">
        <v>0</v>
      </c>
      <c r="G656" s="66" t="n">
        <v>0</v>
      </c>
      <c r="H656" s="66" t="n">
        <v>0</v>
      </c>
      <c r="I656" s="66" t="n">
        <v>0</v>
      </c>
      <c r="J656" s="66" t="n">
        <v>0</v>
      </c>
      <c r="K656" s="66" t="n">
        <v>0</v>
      </c>
      <c r="L656" s="66" t="n">
        <v>0</v>
      </c>
      <c r="M656" s="73" t="n">
        <v>0</v>
      </c>
      <c r="N656" s="73"/>
      <c r="O656" s="72"/>
      <c r="P656" s="67"/>
      <c r="Q656" s="64"/>
      <c r="R656" s="64"/>
      <c r="S656" s="64"/>
      <c r="T656" s="64"/>
      <c r="U656" s="64"/>
      <c r="V656" s="64"/>
      <c r="W656" s="64"/>
      <c r="X656" s="64"/>
      <c r="Y656" s="64"/>
      <c r="Z656" s="64"/>
      <c r="AA656" s="64"/>
    </row>
    <row r="657" customFormat="false" ht="15.75" hidden="false" customHeight="true" outlineLevel="0" collapsed="false">
      <c r="A657" s="65" t="n">
        <v>46305</v>
      </c>
      <c r="B657" s="66" t="s">
        <v>50</v>
      </c>
      <c r="C657" s="67" t="str">
        <f aca="false" t="array" ref="C657:C657">IF(B657="","",IFERROR(INDEX('CLM &amp; IM Mapping'!$B$2:$B$270,MATCH(TRIM(B657),'CLM &amp; IM Mapping'!$A$2:$A$270,0)),"Not Mapped"))</f>
        <v>Arun Raj</v>
      </c>
      <c r="D657" s="67" t="str">
        <f aca="false" t="array" ref="D657:D657">IF(B657="","",IFERROR(INDEX('CLM &amp; IM Mapping'!$C$2:$C$270,MATCH(TRIM(B657),'CLM &amp; IM Mapping'!$A$2:$A$270,0)),"Not Mapped"))</f>
        <v>Simon Manoharan</v>
      </c>
      <c r="E657" s="66" t="n">
        <v>2687</v>
      </c>
      <c r="F657" s="66" t="n">
        <v>0</v>
      </c>
      <c r="G657" s="66" t="n">
        <v>1086</v>
      </c>
      <c r="H657" s="66" t="n">
        <v>1601</v>
      </c>
      <c r="I657" s="66" t="n">
        <v>0</v>
      </c>
      <c r="J657" s="66" t="n">
        <v>0</v>
      </c>
      <c r="K657" s="66" t="n">
        <v>0</v>
      </c>
      <c r="L657" s="66" t="n">
        <v>0</v>
      </c>
      <c r="M657" s="73"/>
      <c r="N657" s="73"/>
      <c r="O657" s="72"/>
      <c r="P657" s="67"/>
      <c r="Q657" s="64"/>
      <c r="R657" s="64"/>
      <c r="S657" s="64"/>
      <c r="T657" s="64"/>
      <c r="U657" s="64"/>
      <c r="V657" s="64"/>
      <c r="W657" s="64"/>
      <c r="X657" s="64"/>
      <c r="Y657" s="64"/>
      <c r="Z657" s="64"/>
      <c r="AA657" s="64"/>
    </row>
    <row r="658" customFormat="false" ht="15.75" hidden="false" customHeight="true" outlineLevel="0" collapsed="false">
      <c r="A658" s="65" t="n">
        <v>46305</v>
      </c>
      <c r="B658" s="66" t="s">
        <v>322</v>
      </c>
      <c r="C658" s="67" t="str">
        <f aca="false" t="array" ref="C658:C658">IF(B658="","",IFERROR(INDEX('CLM &amp; IM Mapping'!$B$2:$B$270,MATCH(TRIM(B658),'CLM &amp; IM Mapping'!$A$2:$A$270,0)),"Not Mapped"))</f>
        <v>Ashwath S</v>
      </c>
      <c r="D658" s="67" t="str">
        <f aca="false" t="array" ref="D658:D658">IF(B658="","",IFERROR(INDEX('CLM &amp; IM Mapping'!$C$2:$C$270,MATCH(TRIM(B658),'CLM &amp; IM Mapping'!$A$2:$A$270,0)),"Not Mapped"))</f>
        <v>Kantha Kumar</v>
      </c>
      <c r="E658" s="66" t="n">
        <v>2674</v>
      </c>
      <c r="F658" s="66" t="n">
        <v>1017</v>
      </c>
      <c r="G658" s="66" t="n">
        <v>1274</v>
      </c>
      <c r="H658" s="66" t="n">
        <v>1</v>
      </c>
      <c r="I658" s="66" t="n">
        <v>382</v>
      </c>
      <c r="J658" s="66" t="n">
        <v>0</v>
      </c>
      <c r="K658" s="66" t="n">
        <v>0</v>
      </c>
      <c r="L658" s="66" t="n">
        <v>383</v>
      </c>
      <c r="M658" s="73" t="n">
        <v>0.008</v>
      </c>
      <c r="N658" s="73"/>
      <c r="O658" s="72"/>
      <c r="P658" s="67"/>
      <c r="Q658" s="64"/>
      <c r="R658" s="64"/>
      <c r="S658" s="64"/>
      <c r="T658" s="64"/>
      <c r="U658" s="64"/>
      <c r="V658" s="64"/>
      <c r="W658" s="64"/>
      <c r="X658" s="64"/>
      <c r="Y658" s="64"/>
      <c r="Z658" s="64"/>
      <c r="AA658" s="64"/>
    </row>
    <row r="659" customFormat="false" ht="15.75" hidden="false" customHeight="true" outlineLevel="0" collapsed="false">
      <c r="A659" s="65" t="n">
        <v>46305</v>
      </c>
      <c r="B659" s="66" t="s">
        <v>162</v>
      </c>
      <c r="C659" s="67" t="str">
        <f aca="false" t="array" ref="C659:C659">IF(B659="","",IFERROR(INDEX('CLM &amp; IM Mapping'!$B$2:$B$270,MATCH(TRIM(B659),'CLM &amp; IM Mapping'!$A$2:$A$270,0)),"Not Mapped"))</f>
        <v>Ashwath S</v>
      </c>
      <c r="D659" s="67" t="str">
        <f aca="false" t="array" ref="D659:D659">IF(B659="","",IFERROR(INDEX('CLM &amp; IM Mapping'!$C$2:$C$270,MATCH(TRIM(B659),'CLM &amp; IM Mapping'!$A$2:$A$270,0)),"Not Mapped"))</f>
        <v>Kantha Kumar</v>
      </c>
      <c r="E659" s="66" t="n">
        <v>3049</v>
      </c>
      <c r="F659" s="66" t="n">
        <v>50</v>
      </c>
      <c r="G659" s="66" t="n">
        <v>0</v>
      </c>
      <c r="H659" s="66" t="n">
        <v>2999</v>
      </c>
      <c r="I659" s="66" t="n">
        <v>0</v>
      </c>
      <c r="J659" s="66" t="n">
        <v>0</v>
      </c>
      <c r="K659" s="66" t="n">
        <v>0</v>
      </c>
      <c r="L659" s="66" t="n">
        <v>2999</v>
      </c>
      <c r="M659" s="73" t="n">
        <v>0.009</v>
      </c>
      <c r="N659" s="73"/>
      <c r="O659" s="72"/>
      <c r="P659" s="67"/>
      <c r="Q659" s="64"/>
      <c r="R659" s="64"/>
      <c r="S659" s="64"/>
      <c r="T659" s="64"/>
      <c r="U659" s="64"/>
      <c r="V659" s="64"/>
      <c r="W659" s="64"/>
      <c r="X659" s="64"/>
      <c r="Y659" s="64"/>
      <c r="Z659" s="64"/>
      <c r="AA659" s="64"/>
    </row>
    <row r="660" customFormat="false" ht="15.75" hidden="false" customHeight="true" outlineLevel="0" collapsed="false">
      <c r="A660" s="65" t="n">
        <v>46305</v>
      </c>
      <c r="B660" s="66" t="s">
        <v>523</v>
      </c>
      <c r="C660" s="67" t="str">
        <f aca="false" t="array" ref="C660:C660">IF(B660="","",IFERROR(INDEX('CLM &amp; IM Mapping'!$B$2:$B$270,MATCH(TRIM(B660),'CLM &amp; IM Mapping'!$A$2:$A$270,0)),"Not Mapped"))</f>
        <v>Sundaresh S</v>
      </c>
      <c r="D660" s="67" t="str">
        <f aca="false" t="array" ref="D660:D660">IF(B660="","",IFERROR(INDEX('CLM &amp; IM Mapping'!$C$2:$C$270,MATCH(TRIM(B660),'CLM &amp; IM Mapping'!$A$2:$A$270,0)),"Not Mapped"))</f>
        <v>Un Mapped</v>
      </c>
      <c r="E660" s="66" t="n">
        <v>7804</v>
      </c>
      <c r="F660" s="66" t="n">
        <v>1143</v>
      </c>
      <c r="G660" s="66" t="n">
        <v>49</v>
      </c>
      <c r="H660" s="66" t="n">
        <v>6612</v>
      </c>
      <c r="I660" s="66" t="n">
        <v>0</v>
      </c>
      <c r="J660" s="66" t="n">
        <v>0</v>
      </c>
      <c r="K660" s="66" t="n">
        <v>0</v>
      </c>
      <c r="L660" s="66" t="n">
        <v>6612</v>
      </c>
      <c r="M660" s="73" t="n">
        <v>0.035</v>
      </c>
      <c r="N660" s="73"/>
      <c r="O660" s="72"/>
      <c r="P660" s="67"/>
      <c r="Q660" s="64"/>
      <c r="R660" s="64"/>
      <c r="S660" s="64"/>
      <c r="T660" s="64"/>
      <c r="U660" s="64"/>
      <c r="V660" s="64"/>
      <c r="W660" s="64"/>
      <c r="X660" s="64"/>
      <c r="Y660" s="64"/>
      <c r="Z660" s="64"/>
      <c r="AA660" s="64"/>
    </row>
    <row r="661" customFormat="false" ht="15.75" hidden="false" customHeight="true" outlineLevel="0" collapsed="false">
      <c r="A661" s="65" t="n">
        <v>46305</v>
      </c>
      <c r="B661" s="66" t="s">
        <v>114</v>
      </c>
      <c r="C661" s="67" t="str">
        <f aca="false" t="array" ref="C661:C661">IF(B661="","",IFERROR(INDEX('CLM &amp; IM Mapping'!$B$2:$B$270,MATCH(TRIM(B661),'CLM &amp; IM Mapping'!$A$2:$A$270,0)),"Not Mapped"))</f>
        <v>Adhavan Subramani</v>
      </c>
      <c r="D661" s="67" t="str">
        <f aca="false" t="array" ref="D661:D661">IF(B661="","",IFERROR(INDEX('CLM &amp; IM Mapping'!$C$2:$C$270,MATCH(TRIM(B661),'CLM &amp; IM Mapping'!$A$2:$A$270,0)),"Not Mapped"))</f>
        <v>Mohammed Akbar</v>
      </c>
      <c r="E661" s="66" t="n">
        <v>826</v>
      </c>
      <c r="F661" s="66" t="n">
        <v>103</v>
      </c>
      <c r="G661" s="66" t="n">
        <v>0</v>
      </c>
      <c r="H661" s="66" t="n">
        <v>723</v>
      </c>
      <c r="I661" s="66" t="n">
        <v>0</v>
      </c>
      <c r="J661" s="66" t="n">
        <v>0</v>
      </c>
      <c r="K661" s="66" t="n">
        <v>0</v>
      </c>
      <c r="L661" s="66" t="n">
        <v>723</v>
      </c>
      <c r="M661" s="73" t="n">
        <v>0.003</v>
      </c>
      <c r="N661" s="73"/>
      <c r="O661" s="72"/>
      <c r="P661" s="67"/>
      <c r="Q661" s="64"/>
      <c r="R661" s="64"/>
      <c r="S661" s="64"/>
      <c r="T661" s="64"/>
      <c r="U661" s="64"/>
      <c r="V661" s="64"/>
      <c r="W661" s="64"/>
      <c r="X661" s="64"/>
      <c r="Y661" s="64"/>
      <c r="Z661" s="64"/>
      <c r="AA661" s="64"/>
    </row>
    <row r="662" customFormat="false" ht="15.75" hidden="false" customHeight="true" outlineLevel="0" collapsed="false">
      <c r="A662" s="65" t="n">
        <v>46305</v>
      </c>
      <c r="B662" s="66" t="s">
        <v>235</v>
      </c>
      <c r="C662" s="67" t="str">
        <f aca="false" t="array" ref="C662:C662">IF(B662="","",IFERROR(INDEX('CLM &amp; IM Mapping'!$B$2:$B$270,MATCH(TRIM(B662),'CLM &amp; IM Mapping'!$A$2:$A$270,0)),"Not Mapped"))</f>
        <v>Akshay P</v>
      </c>
      <c r="D662" s="67" t="str">
        <f aca="false" t="array" ref="D662:D662">IF(B662="","",IFERROR(INDEX('CLM &amp; IM Mapping'!$C$2:$C$270,MATCH(TRIM(B662),'CLM &amp; IM Mapping'!$A$2:$A$270,0)),"Not Mapped"))</f>
        <v>Srittam Dhal</v>
      </c>
      <c r="E662" s="66" t="n">
        <v>593</v>
      </c>
      <c r="F662" s="66" t="n">
        <v>0</v>
      </c>
      <c r="G662" s="66" t="n">
        <v>0</v>
      </c>
      <c r="H662" s="66" t="n">
        <v>593</v>
      </c>
      <c r="I662" s="66" t="n">
        <v>0</v>
      </c>
      <c r="J662" s="66" t="n">
        <v>0</v>
      </c>
      <c r="K662" s="66" t="n">
        <v>0</v>
      </c>
      <c r="L662" s="66" t="n">
        <v>593</v>
      </c>
      <c r="M662" s="73" t="n">
        <v>0.005</v>
      </c>
      <c r="N662" s="73"/>
      <c r="O662" s="72"/>
      <c r="P662" s="67"/>
      <c r="Q662" s="64"/>
      <c r="R662" s="64"/>
      <c r="S662" s="64"/>
      <c r="T662" s="64"/>
      <c r="U662" s="64"/>
      <c r="V662" s="64"/>
      <c r="W662" s="64"/>
      <c r="X662" s="64"/>
      <c r="Y662" s="64"/>
      <c r="Z662" s="64"/>
      <c r="AA662" s="64"/>
    </row>
    <row r="663" customFormat="false" ht="15.75" hidden="false" customHeight="true" outlineLevel="0" collapsed="false">
      <c r="A663" s="65" t="n">
        <v>46305</v>
      </c>
      <c r="B663" s="66" t="s">
        <v>68</v>
      </c>
      <c r="C663" s="67" t="str">
        <f aca="false" t="array" ref="C663:C663">IF(B663="","",IFERROR(INDEX('CLM &amp; IM Mapping'!$B$2:$B$270,MATCH(TRIM(B663),'CLM &amp; IM Mapping'!$A$2:$A$270,0)),"Not Mapped"))</f>
        <v>Girish N</v>
      </c>
      <c r="D663" s="67" t="str">
        <f aca="false" t="array" ref="D663:D663">IF(B663="","",IFERROR(INDEX('CLM &amp; IM Mapping'!$C$2:$C$270,MATCH(TRIM(B663),'CLM &amp; IM Mapping'!$A$2:$A$270,0)),"Not Mapped"))</f>
        <v>Un Mapped</v>
      </c>
      <c r="E663" s="66" t="n">
        <v>2464</v>
      </c>
      <c r="F663" s="66" t="n">
        <v>0</v>
      </c>
      <c r="G663" s="66" t="n">
        <v>2464</v>
      </c>
      <c r="H663" s="66" t="n">
        <v>0</v>
      </c>
      <c r="I663" s="66" t="n">
        <v>0</v>
      </c>
      <c r="J663" s="66" t="n">
        <v>0</v>
      </c>
      <c r="K663" s="66" t="n">
        <v>0</v>
      </c>
      <c r="L663" s="66" t="n">
        <v>0</v>
      </c>
      <c r="M663" s="73" t="n">
        <v>0.009</v>
      </c>
      <c r="N663" s="73"/>
      <c r="O663" s="72"/>
      <c r="P663" s="67"/>
      <c r="Q663" s="64"/>
      <c r="R663" s="64"/>
      <c r="S663" s="64"/>
      <c r="T663" s="64"/>
      <c r="U663" s="64"/>
      <c r="V663" s="64"/>
      <c r="W663" s="64"/>
      <c r="X663" s="64"/>
      <c r="Y663" s="64"/>
      <c r="Z663" s="64"/>
      <c r="AA663" s="64"/>
    </row>
    <row r="664" customFormat="false" ht="15.75" hidden="false" customHeight="true" outlineLevel="0" collapsed="false">
      <c r="A664" s="65" t="n">
        <v>46305</v>
      </c>
      <c r="B664" s="66" t="s">
        <v>390</v>
      </c>
      <c r="C664" s="67" t="str">
        <f aca="false" t="array" ref="C664:C664">IF(B664="","",IFERROR(INDEX('CLM &amp; IM Mapping'!$B$2:$B$270,MATCH(TRIM(B664),'CLM &amp; IM Mapping'!$A$2:$A$270,0)),"Not Mapped"))</f>
        <v>Sundaresh S</v>
      </c>
      <c r="D664" s="67" t="str">
        <f aca="false" t="array" ref="D664:D664">IF(B664="","",IFERROR(INDEX('CLM &amp; IM Mapping'!$C$2:$C$270,MATCH(TRIM(B664),'CLM &amp; IM Mapping'!$A$2:$A$270,0)),"Not Mapped"))</f>
        <v>Un Mapped</v>
      </c>
      <c r="E664" s="66" t="n">
        <v>212</v>
      </c>
      <c r="F664" s="66" t="n">
        <v>0</v>
      </c>
      <c r="G664" s="66" t="n">
        <v>0</v>
      </c>
      <c r="H664" s="66" t="n">
        <v>192</v>
      </c>
      <c r="I664" s="66" t="n">
        <v>0</v>
      </c>
      <c r="J664" s="66" t="n">
        <v>0</v>
      </c>
      <c r="K664" s="66" t="n">
        <v>20</v>
      </c>
      <c r="L664" s="66" t="n">
        <v>212</v>
      </c>
      <c r="M664" s="73" t="n">
        <v>0.002</v>
      </c>
      <c r="N664" s="73"/>
      <c r="O664" s="72"/>
      <c r="P664" s="67"/>
      <c r="Q664" s="64"/>
      <c r="R664" s="64"/>
      <c r="S664" s="64"/>
      <c r="T664" s="64"/>
      <c r="U664" s="64"/>
      <c r="V664" s="64"/>
      <c r="W664" s="64"/>
      <c r="X664" s="64"/>
      <c r="Y664" s="64"/>
      <c r="Z664" s="64"/>
      <c r="AA664" s="64"/>
    </row>
    <row r="665" customFormat="false" ht="15.75" hidden="false" customHeight="true" outlineLevel="0" collapsed="false">
      <c r="A665" s="65" t="n">
        <v>46305</v>
      </c>
      <c r="B665" s="66" t="s">
        <v>65</v>
      </c>
      <c r="C665" s="67" t="str">
        <f aca="false" t="array" ref="C665:C665">IF(B665="","",IFERROR(INDEX('CLM &amp; IM Mapping'!$B$2:$B$270,MATCH(TRIM(B665),'CLM &amp; IM Mapping'!$A$2:$A$270,0)),"Not Mapped"))</f>
        <v>Adhavan Subramani</v>
      </c>
      <c r="D665" s="67" t="str">
        <f aca="false" t="array" ref="D665:D665">IF(B665="","",IFERROR(INDEX('CLM &amp; IM Mapping'!$C$2:$C$270,MATCH(TRIM(B665),'CLM &amp; IM Mapping'!$A$2:$A$270,0)),"Not Mapped"))</f>
        <v>Mohammed Akbar</v>
      </c>
      <c r="E665" s="66" t="n">
        <v>3471</v>
      </c>
      <c r="F665" s="66" t="n">
        <v>2152</v>
      </c>
      <c r="G665" s="66" t="n">
        <v>0</v>
      </c>
      <c r="H665" s="66" t="n">
        <v>1251</v>
      </c>
      <c r="I665" s="66" t="n">
        <v>0</v>
      </c>
      <c r="J665" s="66" t="n">
        <v>0</v>
      </c>
      <c r="K665" s="66" t="n">
        <v>68</v>
      </c>
      <c r="L665" s="66" t="n">
        <v>1319</v>
      </c>
      <c r="M665" s="73" t="n">
        <v>0.006</v>
      </c>
      <c r="N665" s="73"/>
      <c r="O665" s="72"/>
      <c r="P665" s="67"/>
      <c r="Q665" s="64"/>
      <c r="R665" s="64"/>
      <c r="S665" s="64"/>
      <c r="T665" s="64"/>
      <c r="U665" s="64"/>
      <c r="V665" s="64"/>
      <c r="W665" s="64"/>
      <c r="X665" s="64"/>
      <c r="Y665" s="64"/>
      <c r="Z665" s="64"/>
      <c r="AA665" s="64"/>
    </row>
    <row r="666" customFormat="false" ht="15.75" hidden="false" customHeight="true" outlineLevel="0" collapsed="false">
      <c r="A666" s="65" t="n">
        <v>46305</v>
      </c>
      <c r="B666" s="66" t="s">
        <v>238</v>
      </c>
      <c r="C666" s="67" t="str">
        <f aca="false" t="array" ref="C666:C666">IF(B666="","",IFERROR(INDEX('CLM &amp; IM Mapping'!$B$2:$B$270,MATCH(TRIM(B666),'CLM &amp; IM Mapping'!$A$2:$A$270,0)),"Not Mapped"))</f>
        <v>Suhas N</v>
      </c>
      <c r="D666" s="67" t="str">
        <f aca="false" t="array" ref="D666:D666">IF(B666="","",IFERROR(INDEX('CLM &amp; IM Mapping'!$C$2:$C$270,MATCH(TRIM(B666),'CLM &amp; IM Mapping'!$A$2:$A$270,0)),"Not Mapped"))</f>
        <v>Aravind S</v>
      </c>
      <c r="E666" s="66" t="n">
        <v>214</v>
      </c>
      <c r="F666" s="66" t="n">
        <v>68</v>
      </c>
      <c r="G666" s="66" t="n">
        <v>142</v>
      </c>
      <c r="H666" s="66" t="n">
        <v>4</v>
      </c>
      <c r="I666" s="66" t="n">
        <v>0</v>
      </c>
      <c r="J666" s="66" t="n">
        <v>0</v>
      </c>
      <c r="K666" s="66" t="n">
        <v>0</v>
      </c>
      <c r="L666" s="66" t="n">
        <v>4</v>
      </c>
      <c r="M666" s="73" t="n">
        <v>0.002</v>
      </c>
      <c r="N666" s="73"/>
      <c r="O666" s="72"/>
      <c r="P666" s="67"/>
      <c r="Q666" s="64"/>
      <c r="R666" s="64"/>
      <c r="S666" s="64"/>
      <c r="T666" s="64"/>
      <c r="U666" s="64"/>
      <c r="V666" s="64"/>
      <c r="W666" s="64"/>
      <c r="X666" s="64"/>
      <c r="Y666" s="64"/>
      <c r="Z666" s="64"/>
      <c r="AA666" s="64"/>
    </row>
    <row r="667" customFormat="false" ht="15.75" hidden="false" customHeight="true" outlineLevel="0" collapsed="false">
      <c r="A667" s="65" t="n">
        <v>46305</v>
      </c>
      <c r="B667" s="66" t="s">
        <v>38</v>
      </c>
      <c r="C667" s="67" t="str">
        <f aca="false" t="array" ref="C667:C667">IF(B667="","",IFERROR(INDEX('CLM &amp; IM Mapping'!$B$2:$B$270,MATCH(TRIM(B667),'CLM &amp; IM Mapping'!$A$2:$A$270,0)),"Not Mapped"))</f>
        <v>Vijay M</v>
      </c>
      <c r="D667" s="67" t="str">
        <f aca="false" t="array" ref="D667:D667">IF(B667="","",IFERROR(INDEX('CLM &amp; IM Mapping'!$C$2:$C$270,MATCH(TRIM(B667),'CLM &amp; IM Mapping'!$A$2:$A$270,0)),"Not Mapped"))</f>
        <v>Kantha Kumar</v>
      </c>
      <c r="E667" s="66" t="n">
        <v>8426</v>
      </c>
      <c r="F667" s="66" t="n">
        <v>1021</v>
      </c>
      <c r="G667" s="66" t="n">
        <v>5545</v>
      </c>
      <c r="H667" s="66" t="n">
        <v>0</v>
      </c>
      <c r="I667" s="66" t="n">
        <v>1020</v>
      </c>
      <c r="J667" s="66" t="n">
        <v>0</v>
      </c>
      <c r="K667" s="66" t="n">
        <v>840</v>
      </c>
      <c r="L667" s="66" t="n">
        <v>1860</v>
      </c>
      <c r="M667" s="73" t="n">
        <v>0.04</v>
      </c>
      <c r="N667" s="73"/>
      <c r="O667" s="72"/>
      <c r="P667" s="67"/>
      <c r="Q667" s="64"/>
      <c r="R667" s="64"/>
      <c r="S667" s="64"/>
      <c r="T667" s="64"/>
      <c r="U667" s="64"/>
      <c r="V667" s="64"/>
      <c r="W667" s="64"/>
      <c r="X667" s="64"/>
      <c r="Y667" s="64"/>
      <c r="Z667" s="64"/>
      <c r="AA667" s="64"/>
    </row>
    <row r="668" customFormat="false" ht="15.75" hidden="false" customHeight="true" outlineLevel="0" collapsed="false">
      <c r="A668" s="65" t="n">
        <v>46305</v>
      </c>
      <c r="B668" s="66" t="s">
        <v>468</v>
      </c>
      <c r="C668" s="67" t="str">
        <f aca="false" t="array" ref="C668:C668">IF(B668="","",IFERROR(INDEX('CLM &amp; IM Mapping'!$B$2:$B$270,MATCH(TRIM(B668),'CLM &amp; IM Mapping'!$A$2:$A$270,0)),"Not Mapped"))</f>
        <v>Suhas N</v>
      </c>
      <c r="D668" s="67" t="str">
        <f aca="false" t="array" ref="D668:D668">IF(B668="","",IFERROR(INDEX('CLM &amp; IM Mapping'!$C$2:$C$270,MATCH(TRIM(B668),'CLM &amp; IM Mapping'!$A$2:$A$270,0)),"Not Mapped"))</f>
        <v>Aravind S</v>
      </c>
      <c r="E668" s="66" t="n">
        <v>1984</v>
      </c>
      <c r="F668" s="66" t="n">
        <v>0</v>
      </c>
      <c r="G668" s="66" t="n">
        <v>1916</v>
      </c>
      <c r="H668" s="66" t="n">
        <v>0</v>
      </c>
      <c r="I668" s="66" t="n">
        <v>68</v>
      </c>
      <c r="J668" s="66" t="n">
        <v>0</v>
      </c>
      <c r="K668" s="66" t="n">
        <v>0</v>
      </c>
      <c r="L668" s="66" t="n">
        <v>68</v>
      </c>
      <c r="M668" s="73" t="n">
        <v>0.007</v>
      </c>
      <c r="N668" s="73"/>
      <c r="O668" s="72"/>
      <c r="P668" s="67"/>
      <c r="Q668" s="64"/>
      <c r="R668" s="64"/>
      <c r="S668" s="64"/>
      <c r="T668" s="64"/>
      <c r="U668" s="64"/>
      <c r="V668" s="64"/>
      <c r="W668" s="64"/>
      <c r="X668" s="64"/>
      <c r="Y668" s="64"/>
      <c r="Z668" s="64"/>
      <c r="AA668" s="64"/>
    </row>
    <row r="669" customFormat="false" ht="15.75" hidden="false" customHeight="true" outlineLevel="0" collapsed="false">
      <c r="A669" s="65" t="n">
        <v>46305</v>
      </c>
      <c r="B669" s="66" t="s">
        <v>292</v>
      </c>
      <c r="C669" s="67" t="str">
        <f aca="false" t="array" ref="C669:C669">IF(B669="","",IFERROR(INDEX('CLM &amp; IM Mapping'!$B$2:$B$270,MATCH(TRIM(B669),'CLM &amp; IM Mapping'!$A$2:$A$270,0)),"Not Mapped"))</f>
        <v>Mohaideen DH</v>
      </c>
      <c r="D669" s="67" t="str">
        <f aca="false" t="array" ref="D669:D669">IF(B669="","",IFERROR(INDEX('CLM &amp; IM Mapping'!$C$2:$C$270,MATCH(TRIM(B669),'CLM &amp; IM Mapping'!$A$2:$A$270,0)),"Not Mapped"))</f>
        <v>Mohammed Akbar</v>
      </c>
      <c r="E669" s="66" t="n">
        <v>1693</v>
      </c>
      <c r="F669" s="66" t="n">
        <v>2</v>
      </c>
      <c r="G669" s="66" t="n">
        <v>1691</v>
      </c>
      <c r="H669" s="66" t="n">
        <v>0</v>
      </c>
      <c r="I669" s="66" t="n">
        <v>0</v>
      </c>
      <c r="J669" s="66" t="n">
        <v>0</v>
      </c>
      <c r="K669" s="66" t="n">
        <v>0</v>
      </c>
      <c r="L669" s="66" t="n">
        <v>0</v>
      </c>
      <c r="M669" s="73" t="n">
        <v>0.015</v>
      </c>
      <c r="N669" s="73"/>
      <c r="O669" s="72"/>
      <c r="P669" s="67"/>
      <c r="Q669" s="64"/>
      <c r="R669" s="64"/>
      <c r="S669" s="64"/>
      <c r="T669" s="64"/>
      <c r="U669" s="64"/>
      <c r="V669" s="64"/>
      <c r="W669" s="64"/>
      <c r="X669" s="64"/>
      <c r="Y669" s="64"/>
      <c r="Z669" s="64"/>
      <c r="AA669" s="64"/>
    </row>
    <row r="670" customFormat="false" ht="15.75" hidden="false" customHeight="true" outlineLevel="0" collapsed="false">
      <c r="A670" s="65" t="n">
        <v>46305</v>
      </c>
      <c r="B670" s="66" t="s">
        <v>398</v>
      </c>
      <c r="C670" s="67" t="str">
        <f aca="false" t="array" ref="C670:C670">IF(B670="","",IFERROR(INDEX('CLM &amp; IM Mapping'!$B$2:$B$270,MATCH(TRIM(B670),'CLM &amp; IM Mapping'!$A$2:$A$270,0)),"Not Mapped"))</f>
        <v>Raghavendra Vernekar</v>
      </c>
      <c r="D670" s="67" t="str">
        <f aca="false" t="array" ref="D670:D670">IF(B670="","",IFERROR(INDEX('CLM &amp; IM Mapping'!$C$2:$C$270,MATCH(TRIM(B670),'CLM &amp; IM Mapping'!$A$2:$A$270,0)),"Not Mapped"))</f>
        <v>Prakash BS</v>
      </c>
      <c r="E670" s="66" t="n">
        <v>50</v>
      </c>
      <c r="F670" s="66" t="n">
        <v>49</v>
      </c>
      <c r="G670" s="66" t="n">
        <v>1</v>
      </c>
      <c r="H670" s="66" t="n">
        <v>0</v>
      </c>
      <c r="I670" s="66" t="n">
        <v>0</v>
      </c>
      <c r="J670" s="66" t="n">
        <v>0</v>
      </c>
      <c r="K670" s="66" t="n">
        <v>0</v>
      </c>
      <c r="L670" s="66" t="n">
        <v>0</v>
      </c>
      <c r="M670" s="73" t="n">
        <v>0</v>
      </c>
      <c r="N670" s="73"/>
      <c r="O670" s="72"/>
      <c r="P670" s="67"/>
      <c r="Q670" s="64"/>
      <c r="R670" s="64"/>
      <c r="S670" s="64"/>
      <c r="T670" s="64"/>
      <c r="U670" s="64"/>
      <c r="V670" s="64"/>
      <c r="W670" s="64"/>
      <c r="X670" s="64"/>
      <c r="Y670" s="64"/>
      <c r="Z670" s="64"/>
      <c r="AA670" s="64"/>
    </row>
    <row r="671" customFormat="false" ht="15.75" hidden="false" customHeight="true" outlineLevel="0" collapsed="false">
      <c r="A671" s="65" t="n">
        <v>46305</v>
      </c>
      <c r="B671" s="66" t="s">
        <v>287</v>
      </c>
      <c r="C671" s="67" t="str">
        <f aca="false" t="array" ref="C671:C671">IF(B671="","",IFERROR(INDEX('CLM &amp; IM Mapping'!$B$2:$B$270,MATCH(TRIM(B671),'CLM &amp; IM Mapping'!$A$2:$A$270,0)),"Not Mapped"))</f>
        <v>Sundaresh S</v>
      </c>
      <c r="D671" s="67" t="str">
        <f aca="false" t="array" ref="D671:D671">IF(B671="","",IFERROR(INDEX('CLM &amp; IM Mapping'!$C$2:$C$270,MATCH(TRIM(B671),'CLM &amp; IM Mapping'!$A$2:$A$270,0)),"Not Mapped"))</f>
        <v>Un Mapped</v>
      </c>
      <c r="E671" s="66" t="n">
        <v>3263</v>
      </c>
      <c r="F671" s="66" t="n">
        <v>0</v>
      </c>
      <c r="G671" s="66" t="n">
        <v>3263</v>
      </c>
      <c r="H671" s="66" t="n">
        <v>0</v>
      </c>
      <c r="I671" s="66" t="n">
        <v>0</v>
      </c>
      <c r="J671" s="66" t="n">
        <v>0</v>
      </c>
      <c r="K671" s="66" t="n">
        <v>0</v>
      </c>
      <c r="L671" s="66" t="n">
        <v>0</v>
      </c>
      <c r="M671" s="73" t="n">
        <v>0.01</v>
      </c>
      <c r="N671" s="73"/>
      <c r="O671" s="72"/>
      <c r="P671" s="67"/>
      <c r="Q671" s="64"/>
      <c r="R671" s="64"/>
      <c r="S671" s="64"/>
      <c r="T671" s="64"/>
      <c r="U671" s="64"/>
      <c r="V671" s="64"/>
      <c r="W671" s="64"/>
      <c r="X671" s="64"/>
      <c r="Y671" s="64"/>
      <c r="Z671" s="64"/>
      <c r="AA671" s="64"/>
    </row>
    <row r="672" customFormat="false" ht="15.75" hidden="false" customHeight="true" outlineLevel="0" collapsed="false">
      <c r="A672" s="65" t="n">
        <v>46305</v>
      </c>
      <c r="B672" s="66" t="s">
        <v>437</v>
      </c>
      <c r="C672" s="67" t="str">
        <f aca="false" t="array" ref="C672:C672">IF(B672="","",IFERROR(INDEX('CLM &amp; IM Mapping'!$B$2:$B$270,MATCH(TRIM(B672),'CLM &amp; IM Mapping'!$A$2:$A$270,0)),"Not Mapped"))</f>
        <v>Balaji G</v>
      </c>
      <c r="D672" s="67" t="str">
        <f aca="false" t="array" ref="D672:D672">IF(B672="","",IFERROR(INDEX('CLM &amp; IM Mapping'!$C$2:$C$270,MATCH(TRIM(B672),'CLM &amp; IM Mapping'!$A$2:$A$270,0)),"Not Mapped"))</f>
        <v>Mohammed Akbar</v>
      </c>
      <c r="E672" s="66" t="n">
        <v>1215</v>
      </c>
      <c r="F672" s="66" t="n">
        <v>692</v>
      </c>
      <c r="G672" s="66" t="n">
        <v>0</v>
      </c>
      <c r="H672" s="66" t="n">
        <v>523</v>
      </c>
      <c r="I672" s="66" t="n">
        <v>0</v>
      </c>
      <c r="J672" s="66" t="n">
        <v>0</v>
      </c>
      <c r="K672" s="66" t="n">
        <v>0</v>
      </c>
      <c r="L672" s="66" t="n">
        <v>523</v>
      </c>
      <c r="M672" s="73" t="n">
        <v>0.008</v>
      </c>
      <c r="N672" s="73"/>
      <c r="O672" s="72"/>
      <c r="P672" s="67"/>
      <c r="Q672" s="64"/>
      <c r="R672" s="64"/>
      <c r="S672" s="64"/>
      <c r="T672" s="64"/>
      <c r="U672" s="64"/>
      <c r="V672" s="64"/>
      <c r="W672" s="64"/>
      <c r="X672" s="64"/>
      <c r="Y672" s="64"/>
      <c r="Z672" s="64"/>
      <c r="AA672" s="64"/>
    </row>
    <row r="673" customFormat="false" ht="15.75" hidden="false" customHeight="true" outlineLevel="0" collapsed="false">
      <c r="A673" s="65" t="n">
        <v>46305</v>
      </c>
      <c r="B673" s="66" t="s">
        <v>136</v>
      </c>
      <c r="C673" s="67" t="str">
        <f aca="false" t="array" ref="C673:C673">IF(B673="","",IFERROR(INDEX('CLM &amp; IM Mapping'!$B$2:$B$270,MATCH(TRIM(B673),'CLM &amp; IM Mapping'!$A$2:$A$270,0)),"Not Mapped"))</f>
        <v>Arun Raj</v>
      </c>
      <c r="D673" s="67" t="str">
        <f aca="false" t="array" ref="D673:D673">IF(B673="","",IFERROR(INDEX('CLM &amp; IM Mapping'!$C$2:$C$270,MATCH(TRIM(B673),'CLM &amp; IM Mapping'!$A$2:$A$270,0)),"Not Mapped"))</f>
        <v>Simon Manoharan</v>
      </c>
      <c r="E673" s="66" t="n">
        <v>1896</v>
      </c>
      <c r="F673" s="66" t="n">
        <v>0</v>
      </c>
      <c r="G673" s="66" t="n">
        <v>289</v>
      </c>
      <c r="H673" s="66" t="n">
        <v>1560</v>
      </c>
      <c r="I673" s="66" t="n">
        <v>0</v>
      </c>
      <c r="J673" s="66" t="n">
        <v>38</v>
      </c>
      <c r="K673" s="66" t="n">
        <v>9</v>
      </c>
      <c r="L673" s="66" t="n">
        <v>47</v>
      </c>
      <c r="M673" s="73"/>
      <c r="N673" s="73"/>
      <c r="O673" s="72"/>
      <c r="P673" s="67"/>
      <c r="Q673" s="64"/>
      <c r="R673" s="64"/>
      <c r="S673" s="64"/>
      <c r="T673" s="64"/>
      <c r="U673" s="64"/>
      <c r="V673" s="64"/>
      <c r="W673" s="64"/>
      <c r="X673" s="64"/>
      <c r="Y673" s="64"/>
      <c r="Z673" s="64"/>
      <c r="AA673" s="64"/>
    </row>
    <row r="674" customFormat="false" ht="15.75" hidden="false" customHeight="true" outlineLevel="0" collapsed="false">
      <c r="A674" s="65" t="n">
        <v>46305</v>
      </c>
      <c r="B674" s="66" t="s">
        <v>165</v>
      </c>
      <c r="C674" s="67" t="str">
        <f aca="false" t="array" ref="C674:C674">IF(B674="","",IFERROR(INDEX('CLM &amp; IM Mapping'!$B$2:$B$270,MATCH(TRIM(B674),'CLM &amp; IM Mapping'!$A$2:$A$270,0)),"Not Mapped"))</f>
        <v>Akshay P</v>
      </c>
      <c r="D674" s="67" t="str">
        <f aca="false" t="array" ref="D674:D674">IF(B674="","",IFERROR(INDEX('CLM &amp; IM Mapping'!$C$2:$C$270,MATCH(TRIM(B674),'CLM &amp; IM Mapping'!$A$2:$A$270,0)),"Not Mapped"))</f>
        <v>Srittam Dhal</v>
      </c>
      <c r="E674" s="66" t="n">
        <v>4471</v>
      </c>
      <c r="F674" s="66" t="n">
        <v>2909</v>
      </c>
      <c r="G674" s="66" t="n">
        <v>0</v>
      </c>
      <c r="H674" s="66" t="n">
        <v>0</v>
      </c>
      <c r="I674" s="66" t="n">
        <v>211</v>
      </c>
      <c r="J674" s="66" t="n">
        <v>0</v>
      </c>
      <c r="K674" s="66" t="n">
        <v>1351</v>
      </c>
      <c r="L674" s="66" t="n">
        <v>1562</v>
      </c>
      <c r="M674" s="73" t="n">
        <v>0.023</v>
      </c>
      <c r="N674" s="73"/>
      <c r="O674" s="72"/>
      <c r="P674" s="67"/>
      <c r="Q674" s="64"/>
      <c r="R674" s="64"/>
      <c r="S674" s="64"/>
      <c r="T674" s="64"/>
      <c r="U674" s="64"/>
      <c r="V674" s="64"/>
      <c r="W674" s="64"/>
      <c r="X674" s="64"/>
      <c r="Y674" s="64"/>
      <c r="Z674" s="64"/>
      <c r="AA674" s="64"/>
    </row>
    <row r="675" customFormat="false" ht="15.75" hidden="false" customHeight="true" outlineLevel="0" collapsed="false">
      <c r="A675" s="65" t="n">
        <v>46305</v>
      </c>
      <c r="B675" s="66" t="s">
        <v>443</v>
      </c>
      <c r="C675" s="67" t="str">
        <f aca="false" t="array" ref="C675:C675">IF(B675="","",IFERROR(INDEX('CLM &amp; IM Mapping'!$B$2:$B$270,MATCH(TRIM(B675),'CLM &amp; IM Mapping'!$A$2:$A$270,0)),"Not Mapped"))</f>
        <v>Manoj Kj</v>
      </c>
      <c r="D675" s="67" t="str">
        <f aca="false" t="array" ref="D675:D675">IF(B675="","",IFERROR(INDEX('CLM &amp; IM Mapping'!$C$2:$C$270,MATCH(TRIM(B675),'CLM &amp; IM Mapping'!$A$2:$A$270,0)),"Not Mapped"))</f>
        <v>Srittam Dhal</v>
      </c>
      <c r="E675" s="66" t="n">
        <v>1950</v>
      </c>
      <c r="F675" s="66" t="n">
        <v>41</v>
      </c>
      <c r="G675" s="66" t="n">
        <v>1909</v>
      </c>
      <c r="H675" s="66" t="n">
        <v>0</v>
      </c>
      <c r="I675" s="66" t="n">
        <v>0</v>
      </c>
      <c r="J675" s="66" t="n">
        <v>0</v>
      </c>
      <c r="K675" s="66" t="n">
        <v>0</v>
      </c>
      <c r="L675" s="66" t="n">
        <v>0</v>
      </c>
      <c r="M675" s="73" t="n">
        <v>0.01</v>
      </c>
      <c r="N675" s="73"/>
      <c r="O675" s="72"/>
      <c r="P675" s="67"/>
      <c r="Q675" s="64"/>
      <c r="R675" s="64"/>
      <c r="S675" s="64"/>
      <c r="T675" s="64"/>
      <c r="U675" s="64"/>
      <c r="V675" s="64"/>
      <c r="W675" s="64"/>
      <c r="X675" s="64"/>
      <c r="Y675" s="64"/>
      <c r="Z675" s="64"/>
      <c r="AA675" s="64"/>
    </row>
    <row r="676" customFormat="false" ht="15.75" hidden="false" customHeight="true" outlineLevel="0" collapsed="false">
      <c r="A676" s="65" t="n">
        <v>46305</v>
      </c>
      <c r="B676" s="66" t="s">
        <v>53</v>
      </c>
      <c r="C676" s="67" t="str">
        <f aca="false" t="array" ref="C676:C676">IF(B676="","",IFERROR(INDEX('CLM &amp; IM Mapping'!$B$2:$B$270,MATCH(TRIM(B676),'CLM &amp; IM Mapping'!$A$2:$A$270,0)),"Not Mapped"))</f>
        <v>Richard Harris</v>
      </c>
      <c r="D676" s="67" t="str">
        <f aca="false" t="array" ref="D676:D676">IF(B676="","",IFERROR(INDEX('CLM &amp; IM Mapping'!$C$2:$C$270,MATCH(TRIM(B676),'CLM &amp; IM Mapping'!$A$2:$A$270,0)),"Not Mapped"))</f>
        <v>Kantha Kumar</v>
      </c>
      <c r="E676" s="66" t="n">
        <v>3652</v>
      </c>
      <c r="F676" s="66" t="n">
        <v>0</v>
      </c>
      <c r="G676" s="66" t="n">
        <v>0</v>
      </c>
      <c r="H676" s="66" t="n">
        <v>2905</v>
      </c>
      <c r="I676" s="66" t="n">
        <v>0</v>
      </c>
      <c r="J676" s="66" t="n">
        <v>229</v>
      </c>
      <c r="K676" s="66" t="n">
        <v>518</v>
      </c>
      <c r="L676" s="66" t="n">
        <v>3652</v>
      </c>
      <c r="M676" s="73" t="n">
        <v>0.016</v>
      </c>
      <c r="N676" s="73"/>
      <c r="O676" s="72"/>
      <c r="P676" s="67"/>
      <c r="Q676" s="64"/>
      <c r="R676" s="64"/>
      <c r="S676" s="64"/>
      <c r="T676" s="64"/>
      <c r="U676" s="64"/>
      <c r="V676" s="64"/>
      <c r="W676" s="64"/>
      <c r="X676" s="64"/>
      <c r="Y676" s="64"/>
      <c r="Z676" s="64"/>
      <c r="AA676" s="64"/>
    </row>
    <row r="677" customFormat="false" ht="15.75" hidden="false" customHeight="true" outlineLevel="0" collapsed="false">
      <c r="A677" s="65" t="n">
        <v>46305</v>
      </c>
      <c r="B677" s="66" t="s">
        <v>70</v>
      </c>
      <c r="C677" s="67" t="str">
        <f aca="false" t="array" ref="C677:C677">IF(B677="","",IFERROR(INDEX('CLM &amp; IM Mapping'!$B$2:$B$270,MATCH(TRIM(B677),'CLM &amp; IM Mapping'!$A$2:$A$270,0)),"Not Mapped"))</f>
        <v>Rizwan Ahmed</v>
      </c>
      <c r="D677" s="67" t="str">
        <f aca="false" t="array" ref="D677:D677">IF(B677="","",IFERROR(INDEX('CLM &amp; IM Mapping'!$C$2:$C$270,MATCH(TRIM(B677),'CLM &amp; IM Mapping'!$A$2:$A$270,0)),"Not Mapped"))</f>
        <v>Un Mapped</v>
      </c>
      <c r="E677" s="66" t="n">
        <v>1163</v>
      </c>
      <c r="F677" s="66" t="n">
        <v>422</v>
      </c>
      <c r="G677" s="66" t="n">
        <v>0</v>
      </c>
      <c r="H677" s="66" t="n">
        <v>737</v>
      </c>
      <c r="I677" s="66" t="n">
        <v>0</v>
      </c>
      <c r="J677" s="66" t="n">
        <v>4</v>
      </c>
      <c r="K677" s="66" t="n">
        <v>0</v>
      </c>
      <c r="L677" s="66" t="n">
        <v>741</v>
      </c>
      <c r="M677" s="73" t="n">
        <v>0.009</v>
      </c>
      <c r="N677" s="73"/>
      <c r="O677" s="72"/>
      <c r="P677" s="67"/>
      <c r="Q677" s="64"/>
      <c r="R677" s="64"/>
      <c r="S677" s="64"/>
      <c r="T677" s="64"/>
      <c r="U677" s="64"/>
      <c r="V677" s="64"/>
      <c r="W677" s="64"/>
      <c r="X677" s="64"/>
      <c r="Y677" s="64"/>
      <c r="Z677" s="64"/>
      <c r="AA677" s="64"/>
    </row>
    <row r="678" customFormat="false" ht="15.75" hidden="false" customHeight="true" outlineLevel="0" collapsed="false">
      <c r="A678" s="65" t="n">
        <v>46305</v>
      </c>
      <c r="B678" s="66" t="s">
        <v>422</v>
      </c>
      <c r="C678" s="67" t="str">
        <f aca="false" t="array" ref="C678:C678">IF(B678="","",IFERROR(INDEX('CLM &amp; IM Mapping'!$B$2:$B$270,MATCH(TRIM(B678),'CLM &amp; IM Mapping'!$A$2:$A$270,0)),"Not Mapped"))</f>
        <v>Manjunatha V</v>
      </c>
      <c r="D678" s="67" t="str">
        <f aca="false" t="array" ref="D678:D678">IF(B678="","",IFERROR(INDEX('CLM &amp; IM Mapping'!$C$2:$C$270,MATCH(TRIM(B678),'CLM &amp; IM Mapping'!$A$2:$A$270,0)),"Not Mapped"))</f>
        <v>Un Mapped</v>
      </c>
      <c r="E678" s="66" t="n">
        <v>0</v>
      </c>
      <c r="F678" s="66" t="n">
        <v>0</v>
      </c>
      <c r="G678" s="66" t="n">
        <v>0</v>
      </c>
      <c r="H678" s="66" t="n">
        <v>0</v>
      </c>
      <c r="I678" s="66" t="n">
        <v>0</v>
      </c>
      <c r="J678" s="66" t="n">
        <v>0</v>
      </c>
      <c r="K678" s="66" t="n">
        <v>0</v>
      </c>
      <c r="L678" s="66" t="n">
        <v>0</v>
      </c>
      <c r="M678" s="73" t="n">
        <v>0</v>
      </c>
      <c r="N678" s="73"/>
      <c r="O678" s="72"/>
      <c r="P678" s="67"/>
      <c r="Q678" s="64"/>
      <c r="R678" s="64"/>
      <c r="S678" s="64"/>
      <c r="T678" s="64"/>
      <c r="U678" s="64"/>
      <c r="V678" s="64"/>
      <c r="W678" s="64"/>
      <c r="X678" s="64"/>
      <c r="Y678" s="64"/>
      <c r="Z678" s="64"/>
      <c r="AA678" s="64"/>
    </row>
    <row r="679" customFormat="false" ht="15.75" hidden="false" customHeight="true" outlineLevel="0" collapsed="false">
      <c r="A679" s="65" t="n">
        <v>46305</v>
      </c>
      <c r="B679" s="66" t="s">
        <v>353</v>
      </c>
      <c r="C679" s="67" t="str">
        <f aca="false" t="array" ref="C679:C679">IF(B679="","",IFERROR(INDEX('CLM &amp; IM Mapping'!$B$2:$B$270,MATCH(TRIM(B679),'CLM &amp; IM Mapping'!$A$2:$A$270,0)),"Not Mapped"))</f>
        <v>MH</v>
      </c>
      <c r="D679" s="67" t="str">
        <f aca="false" t="array" ref="D679:D679">IF(B679="","",IFERROR(INDEX('CLM &amp; IM Mapping'!$C$2:$C$270,MATCH(TRIM(B679),'CLM &amp; IM Mapping'!$A$2:$A$270,0)),"Not Mapped"))</f>
        <v>MH</v>
      </c>
      <c r="E679" s="66" t="n">
        <v>0</v>
      </c>
      <c r="F679" s="66" t="n">
        <v>0</v>
      </c>
      <c r="G679" s="66" t="n">
        <v>0</v>
      </c>
      <c r="H679" s="66" t="n">
        <v>0</v>
      </c>
      <c r="I679" s="66" t="n">
        <v>0</v>
      </c>
      <c r="J679" s="66" t="n">
        <v>0</v>
      </c>
      <c r="K679" s="66" t="n">
        <v>0</v>
      </c>
      <c r="L679" s="66" t="n">
        <v>0</v>
      </c>
      <c r="M679" s="73"/>
      <c r="N679" s="73"/>
      <c r="O679" s="72"/>
      <c r="P679" s="67"/>
      <c r="Q679" s="64"/>
      <c r="R679" s="64"/>
      <c r="S679" s="64"/>
      <c r="T679" s="64"/>
      <c r="U679" s="64"/>
      <c r="V679" s="64"/>
      <c r="W679" s="64"/>
      <c r="X679" s="64"/>
      <c r="Y679" s="64"/>
      <c r="Z679" s="64"/>
      <c r="AA679" s="64"/>
    </row>
    <row r="680" customFormat="false" ht="15.75" hidden="false" customHeight="true" outlineLevel="0" collapsed="false">
      <c r="A680" s="65" t="n">
        <v>46305</v>
      </c>
      <c r="B680" s="66" t="s">
        <v>314</v>
      </c>
      <c r="C680" s="67" t="str">
        <f aca="false" t="array" ref="C680:C680">IF(B680="","",IFERROR(INDEX('CLM &amp; IM Mapping'!$B$2:$B$270,MATCH(TRIM(B680),'CLM &amp; IM Mapping'!$A$2:$A$270,0)),"Not Mapped"))</f>
        <v>Basil Scariya</v>
      </c>
      <c r="D680" s="67" t="str">
        <f aca="false" t="array" ref="D680:D680">IF(B680="","",IFERROR(INDEX('CLM &amp; IM Mapping'!$C$2:$C$270,MATCH(TRIM(B680),'CLM &amp; IM Mapping'!$A$2:$A$270,0)),"Not Mapped"))</f>
        <v>Prakash BS</v>
      </c>
      <c r="E680" s="66" t="n">
        <v>6</v>
      </c>
      <c r="F680" s="66" t="n">
        <v>0</v>
      </c>
      <c r="G680" s="66" t="n">
        <v>0</v>
      </c>
      <c r="H680" s="66" t="n">
        <v>0</v>
      </c>
      <c r="I680" s="66" t="n">
        <v>0</v>
      </c>
      <c r="J680" s="66" t="n">
        <v>0</v>
      </c>
      <c r="K680" s="66" t="n">
        <v>6</v>
      </c>
      <c r="L680" s="66" t="n">
        <v>6</v>
      </c>
      <c r="M680" s="73" t="n">
        <v>0</v>
      </c>
      <c r="N680" s="73"/>
      <c r="O680" s="72"/>
      <c r="P680" s="67"/>
      <c r="Q680" s="64"/>
      <c r="R680" s="64"/>
      <c r="S680" s="64"/>
      <c r="T680" s="64"/>
      <c r="U680" s="64"/>
      <c r="V680" s="64"/>
      <c r="W680" s="64"/>
      <c r="X680" s="64"/>
      <c r="Y680" s="64"/>
      <c r="Z680" s="64"/>
      <c r="AA680" s="64"/>
    </row>
    <row r="681" customFormat="false" ht="15.75" hidden="false" customHeight="true" outlineLevel="0" collapsed="false">
      <c r="A681" s="65" t="n">
        <v>46305</v>
      </c>
      <c r="B681" s="66" t="s">
        <v>490</v>
      </c>
      <c r="C681" s="67" t="str">
        <f aca="false" t="array" ref="C681:C681">IF(B681="","",IFERROR(INDEX('CLM &amp; IM Mapping'!$B$2:$B$270,MATCH(TRIM(B681),'CLM &amp; IM Mapping'!$A$2:$A$270,0)),"Not Mapped"))</f>
        <v>Arun Raj</v>
      </c>
      <c r="D681" s="67" t="str">
        <f aca="false" t="array" ref="D681:D681">IF(B681="","",IFERROR(INDEX('CLM &amp; IM Mapping'!$C$2:$C$270,MATCH(TRIM(B681),'CLM &amp; IM Mapping'!$A$2:$A$270,0)),"Not Mapped"))</f>
        <v>Simon Manoharan</v>
      </c>
      <c r="E681" s="66" t="n">
        <v>1563</v>
      </c>
      <c r="F681" s="66" t="n">
        <v>0</v>
      </c>
      <c r="G681" s="66" t="n">
        <v>223</v>
      </c>
      <c r="H681" s="66" t="n">
        <v>1340</v>
      </c>
      <c r="I681" s="66" t="n">
        <v>0</v>
      </c>
      <c r="J681" s="66" t="n">
        <v>0</v>
      </c>
      <c r="K681" s="66" t="n">
        <v>0</v>
      </c>
      <c r="L681" s="66" t="n">
        <v>0</v>
      </c>
      <c r="M681" s="73"/>
      <c r="N681" s="73"/>
      <c r="O681" s="72"/>
      <c r="P681" s="67"/>
      <c r="Q681" s="64"/>
      <c r="R681" s="64"/>
      <c r="S681" s="64"/>
      <c r="T681" s="64"/>
      <c r="U681" s="64"/>
      <c r="V681" s="64"/>
      <c r="W681" s="64"/>
      <c r="X681" s="64"/>
      <c r="Y681" s="64"/>
      <c r="Z681" s="64"/>
      <c r="AA681" s="64"/>
    </row>
    <row r="682" customFormat="false" ht="15.75" hidden="false" customHeight="true" outlineLevel="0" collapsed="false">
      <c r="A682" s="65" t="n">
        <v>46305</v>
      </c>
      <c r="B682" s="66" t="s">
        <v>184</v>
      </c>
      <c r="C682" s="67" t="str">
        <f aca="false" t="array" ref="C682:C682">IF(B682="","",IFERROR(INDEX('CLM &amp; IM Mapping'!$B$2:$B$270,MATCH(TRIM(B682),'CLM &amp; IM Mapping'!$A$2:$A$270,0)),"Not Mapped"))</f>
        <v>Richard Harris</v>
      </c>
      <c r="D682" s="67" t="str">
        <f aca="false" t="array" ref="D682:D682">IF(B682="","",IFERROR(INDEX('CLM &amp; IM Mapping'!$C$2:$C$270,MATCH(TRIM(B682),'CLM &amp; IM Mapping'!$A$2:$A$270,0)),"Not Mapped"))</f>
        <v>Kantha Kumar</v>
      </c>
      <c r="E682" s="66" t="n">
        <v>3246</v>
      </c>
      <c r="F682" s="66" t="n">
        <v>6</v>
      </c>
      <c r="G682" s="66" t="n">
        <v>3217</v>
      </c>
      <c r="H682" s="66" t="n">
        <v>0</v>
      </c>
      <c r="I682" s="66" t="n">
        <v>0</v>
      </c>
      <c r="J682" s="66" t="n">
        <v>0</v>
      </c>
      <c r="K682" s="66" t="n">
        <v>23</v>
      </c>
      <c r="L682" s="66" t="n">
        <v>23</v>
      </c>
      <c r="M682" s="73" t="n">
        <v>0.011</v>
      </c>
      <c r="N682" s="73"/>
      <c r="O682" s="72"/>
      <c r="P682" s="67"/>
      <c r="Q682" s="64"/>
      <c r="R682" s="64"/>
      <c r="S682" s="64"/>
      <c r="T682" s="64"/>
      <c r="U682" s="64"/>
      <c r="V682" s="64"/>
      <c r="W682" s="64"/>
      <c r="X682" s="64"/>
      <c r="Y682" s="64"/>
      <c r="Z682" s="64"/>
      <c r="AA682" s="64"/>
    </row>
    <row r="683" customFormat="false" ht="15.75" hidden="false" customHeight="true" outlineLevel="0" collapsed="false">
      <c r="A683" s="65" t="n">
        <v>46305</v>
      </c>
      <c r="B683" s="66" t="s">
        <v>371</v>
      </c>
      <c r="C683" s="67" t="str">
        <f aca="false" t="array" ref="C683:C683">IF(B683="","",IFERROR(INDEX('CLM &amp; IM Mapping'!$B$2:$B$270,MATCH(TRIM(B683),'CLM &amp; IM Mapping'!$A$2:$A$270,0)),"Not Mapped"))</f>
        <v>Akshay P</v>
      </c>
      <c r="D683" s="67" t="str">
        <f aca="false" t="array" ref="D683:D683">IF(B683="","",IFERROR(INDEX('CLM &amp; IM Mapping'!$C$2:$C$270,MATCH(TRIM(B683),'CLM &amp; IM Mapping'!$A$2:$A$270,0)),"Not Mapped"))</f>
        <v>Srittam Dhal</v>
      </c>
      <c r="E683" s="66" t="n">
        <v>976</v>
      </c>
      <c r="F683" s="66" t="n">
        <v>0</v>
      </c>
      <c r="G683" s="66" t="n">
        <v>409</v>
      </c>
      <c r="H683" s="66" t="n">
        <v>567</v>
      </c>
      <c r="I683" s="66" t="n">
        <v>0</v>
      </c>
      <c r="J683" s="66" t="n">
        <v>0</v>
      </c>
      <c r="K683" s="66" t="n">
        <v>0</v>
      </c>
      <c r="L683" s="66" t="n">
        <v>567</v>
      </c>
      <c r="M683" s="73" t="n">
        <v>0.009</v>
      </c>
      <c r="N683" s="73"/>
      <c r="O683" s="72"/>
      <c r="P683" s="67"/>
      <c r="Q683" s="64"/>
      <c r="R683" s="64"/>
      <c r="S683" s="64"/>
      <c r="T683" s="64"/>
      <c r="U683" s="64"/>
      <c r="V683" s="64"/>
      <c r="W683" s="64"/>
      <c r="X683" s="64"/>
      <c r="Y683" s="64"/>
      <c r="Z683" s="64"/>
      <c r="AA683" s="64"/>
    </row>
    <row r="684" customFormat="false" ht="15.75" hidden="false" customHeight="true" outlineLevel="0" collapsed="false">
      <c r="A684" s="65" t="n">
        <v>46305</v>
      </c>
      <c r="B684" s="66" t="s">
        <v>188</v>
      </c>
      <c r="C684" s="67" t="str">
        <f aca="false" t="array" ref="C684:C684">IF(B684="","",IFERROR(INDEX('CLM &amp; IM Mapping'!$B$2:$B$270,MATCH(TRIM(B684),'CLM &amp; IM Mapping'!$A$2:$A$270,0)),"Not Mapped"))</f>
        <v>Richard Harris</v>
      </c>
      <c r="D684" s="67" t="str">
        <f aca="false" t="array" ref="D684:D684">IF(B684="","",IFERROR(INDEX('CLM &amp; IM Mapping'!$C$2:$C$270,MATCH(TRIM(B684),'CLM &amp; IM Mapping'!$A$2:$A$270,0)),"Not Mapped"))</f>
        <v>Kantha Kumar</v>
      </c>
      <c r="E684" s="66" t="n">
        <v>4395</v>
      </c>
      <c r="F684" s="66" t="n">
        <v>327</v>
      </c>
      <c r="G684" s="66" t="n">
        <v>0</v>
      </c>
      <c r="H684" s="66" t="n">
        <v>3676</v>
      </c>
      <c r="I684" s="66" t="n">
        <v>0</v>
      </c>
      <c r="J684" s="66" t="n">
        <v>258</v>
      </c>
      <c r="K684" s="66" t="n">
        <v>134</v>
      </c>
      <c r="L684" s="66" t="n">
        <v>4068</v>
      </c>
      <c r="M684" s="73" t="n">
        <v>0.01</v>
      </c>
      <c r="N684" s="73"/>
      <c r="O684" s="72"/>
      <c r="P684" s="67"/>
      <c r="Q684" s="64"/>
      <c r="R684" s="64"/>
      <c r="S684" s="64"/>
      <c r="T684" s="64"/>
      <c r="U684" s="64"/>
      <c r="V684" s="64"/>
      <c r="W684" s="64"/>
      <c r="X684" s="64"/>
      <c r="Y684" s="64"/>
      <c r="Z684" s="64"/>
      <c r="AA684" s="64"/>
    </row>
    <row r="685" customFormat="false" ht="15.75" hidden="false" customHeight="true" outlineLevel="0" collapsed="false">
      <c r="A685" s="65" t="n">
        <v>46305</v>
      </c>
      <c r="B685" s="66" t="s">
        <v>352</v>
      </c>
      <c r="C685" s="67" t="str">
        <f aca="false" t="array" ref="C685:C685">IF(B685="","",IFERROR(INDEX('CLM &amp; IM Mapping'!$B$2:$B$270,MATCH(TRIM(B685),'CLM &amp; IM Mapping'!$A$2:$A$270,0)),"Not Mapped"))</f>
        <v>Raghavendra Vernekar</v>
      </c>
      <c r="D685" s="67" t="str">
        <f aca="false" t="array" ref="D685:D685">IF(B685="","",IFERROR(INDEX('CLM &amp; IM Mapping'!$C$2:$C$270,MATCH(TRIM(B685),'CLM &amp; IM Mapping'!$A$2:$A$270,0)),"Not Mapped"))</f>
        <v>Prakash BS</v>
      </c>
      <c r="E685" s="66" t="n">
        <v>0</v>
      </c>
      <c r="F685" s="66" t="n">
        <v>0</v>
      </c>
      <c r="G685" s="66" t="n">
        <v>0</v>
      </c>
      <c r="H685" s="66" t="n">
        <v>0</v>
      </c>
      <c r="I685" s="66" t="n">
        <v>0</v>
      </c>
      <c r="J685" s="66" t="n">
        <v>0</v>
      </c>
      <c r="K685" s="66" t="n">
        <v>0</v>
      </c>
      <c r="L685" s="66" t="n">
        <v>0</v>
      </c>
      <c r="M685" s="73" t="n">
        <v>0</v>
      </c>
      <c r="N685" s="73"/>
      <c r="O685" s="72"/>
      <c r="P685" s="67"/>
      <c r="Q685" s="64"/>
      <c r="R685" s="64"/>
      <c r="S685" s="64"/>
      <c r="T685" s="64"/>
      <c r="U685" s="64"/>
      <c r="V685" s="64"/>
      <c r="W685" s="64"/>
      <c r="X685" s="64"/>
      <c r="Y685" s="64"/>
      <c r="Z685" s="64"/>
      <c r="AA685" s="64"/>
    </row>
    <row r="686" customFormat="false" ht="15.75" hidden="false" customHeight="true" outlineLevel="0" collapsed="false">
      <c r="A686" s="65" t="n">
        <v>46305</v>
      </c>
      <c r="B686" s="66" t="s">
        <v>254</v>
      </c>
      <c r="C686" s="67" t="str">
        <f aca="false" t="array" ref="C686:C686">IF(B686="","",IFERROR(INDEX('CLM &amp; IM Mapping'!$B$2:$B$270,MATCH(TRIM(B686),'CLM &amp; IM Mapping'!$A$2:$A$270,0)),"Not Mapped"))</f>
        <v>Basil Scariya</v>
      </c>
      <c r="D686" s="67" t="str">
        <f aca="false" t="array" ref="D686:D686">IF(B686="","",IFERROR(INDEX('CLM &amp; IM Mapping'!$C$2:$C$270,MATCH(TRIM(B686),'CLM &amp; IM Mapping'!$A$2:$A$270,0)),"Not Mapped"))</f>
        <v>Prakash BS</v>
      </c>
      <c r="E686" s="66" t="n">
        <v>302</v>
      </c>
      <c r="F686" s="66" t="n">
        <v>176</v>
      </c>
      <c r="G686" s="66" t="n">
        <v>0</v>
      </c>
      <c r="H686" s="66" t="n">
        <v>8</v>
      </c>
      <c r="I686" s="66" t="n">
        <v>29</v>
      </c>
      <c r="J686" s="66" t="n">
        <v>18</v>
      </c>
      <c r="K686" s="66" t="n">
        <v>71</v>
      </c>
      <c r="L686" s="66" t="n">
        <v>126</v>
      </c>
      <c r="M686" s="73" t="n">
        <v>0</v>
      </c>
      <c r="N686" s="73"/>
      <c r="O686" s="72"/>
      <c r="P686" s="67"/>
      <c r="Q686" s="64"/>
      <c r="R686" s="64"/>
      <c r="S686" s="64"/>
      <c r="T686" s="64"/>
      <c r="U686" s="64"/>
      <c r="V686" s="64"/>
      <c r="W686" s="64"/>
      <c r="X686" s="64"/>
      <c r="Y686" s="64"/>
      <c r="Z686" s="64"/>
      <c r="AA686" s="64"/>
    </row>
    <row r="687" customFormat="false" ht="15.75" hidden="false" customHeight="true" outlineLevel="0" collapsed="false">
      <c r="A687" s="65" t="n">
        <v>46305</v>
      </c>
      <c r="B687" s="66" t="s">
        <v>231</v>
      </c>
      <c r="C687" s="67" t="str">
        <f aca="false" t="array" ref="C687:C687">IF(B687="","",IFERROR(INDEX('CLM &amp; IM Mapping'!$B$2:$B$270,MATCH(TRIM(B687),'CLM &amp; IM Mapping'!$A$2:$A$270,0)),"Not Mapped"))</f>
        <v>Arun Raj</v>
      </c>
      <c r="D687" s="67" t="str">
        <f aca="false" t="array" ref="D687:D687">IF(B687="","",IFERROR(INDEX('CLM &amp; IM Mapping'!$C$2:$C$270,MATCH(TRIM(B687),'CLM &amp; IM Mapping'!$A$2:$A$270,0)),"Not Mapped"))</f>
        <v>Simon Manoharan</v>
      </c>
      <c r="E687" s="66" t="n">
        <v>0</v>
      </c>
      <c r="F687" s="66" t="n">
        <v>0</v>
      </c>
      <c r="G687" s="66" t="n">
        <v>0</v>
      </c>
      <c r="H687" s="66" t="n">
        <v>0</v>
      </c>
      <c r="I687" s="66" t="n">
        <v>0</v>
      </c>
      <c r="J687" s="66" t="n">
        <v>0</v>
      </c>
      <c r="K687" s="66" t="n">
        <v>0</v>
      </c>
      <c r="L687" s="66" t="n">
        <v>0</v>
      </c>
      <c r="M687" s="73"/>
      <c r="N687" s="73"/>
      <c r="O687" s="72"/>
      <c r="P687" s="67"/>
      <c r="Q687" s="64"/>
      <c r="R687" s="64"/>
      <c r="S687" s="64"/>
      <c r="T687" s="64"/>
      <c r="U687" s="64"/>
      <c r="V687" s="64"/>
      <c r="W687" s="64"/>
      <c r="X687" s="64"/>
      <c r="Y687" s="64"/>
      <c r="Z687" s="64"/>
      <c r="AA687" s="64"/>
    </row>
    <row r="688" customFormat="false" ht="15.75" hidden="false" customHeight="true" outlineLevel="0" collapsed="false">
      <c r="A688" s="65" t="n">
        <v>46305</v>
      </c>
      <c r="B688" s="66" t="s">
        <v>242</v>
      </c>
      <c r="C688" s="67" t="str">
        <f aca="false" t="array" ref="C688:C688">IF(B688="","",IFERROR(INDEX('CLM &amp; IM Mapping'!$B$2:$B$270,MATCH(TRIM(B688),'CLM &amp; IM Mapping'!$A$2:$A$270,0)),"Not Mapped"))</f>
        <v>Suhas N</v>
      </c>
      <c r="D688" s="67" t="str">
        <f aca="false" t="array" ref="D688:D688">IF(B688="","",IFERROR(INDEX('CLM &amp; IM Mapping'!$C$2:$C$270,MATCH(TRIM(B688),'CLM &amp; IM Mapping'!$A$2:$A$270,0)),"Not Mapped"))</f>
        <v>Aravind S</v>
      </c>
      <c r="E688" s="66" t="n">
        <v>4354</v>
      </c>
      <c r="F688" s="66" t="n">
        <v>0</v>
      </c>
      <c r="G688" s="66" t="n">
        <v>0</v>
      </c>
      <c r="H688" s="66" t="n">
        <v>0</v>
      </c>
      <c r="I688" s="66" t="n">
        <v>3495</v>
      </c>
      <c r="J688" s="66" t="n">
        <v>119</v>
      </c>
      <c r="K688" s="66" t="n">
        <v>740</v>
      </c>
      <c r="L688" s="66" t="n">
        <v>4354</v>
      </c>
      <c r="M688" s="73" t="n">
        <v>0.015</v>
      </c>
      <c r="N688" s="73"/>
      <c r="O688" s="72"/>
      <c r="P688" s="67"/>
      <c r="Q688" s="64"/>
      <c r="R688" s="64"/>
      <c r="S688" s="64"/>
      <c r="T688" s="64"/>
      <c r="U688" s="64"/>
      <c r="V688" s="64"/>
      <c r="W688" s="64"/>
      <c r="X688" s="64"/>
      <c r="Y688" s="64"/>
      <c r="Z688" s="64"/>
      <c r="AA688" s="64"/>
    </row>
    <row r="689" customFormat="false" ht="15.75" hidden="false" customHeight="true" outlineLevel="0" collapsed="false">
      <c r="A689" s="65" t="n">
        <v>46305</v>
      </c>
      <c r="B689" s="66" t="s">
        <v>47</v>
      </c>
      <c r="C689" s="67" t="str">
        <f aca="false" t="array" ref="C689:C689">IF(B689="","",IFERROR(INDEX('CLM &amp; IM Mapping'!$B$2:$B$270,MATCH(TRIM(B689),'CLM &amp; IM Mapping'!$A$2:$A$270,0)),"Not Mapped"))</f>
        <v>Saddam Hussain</v>
      </c>
      <c r="D689" s="67" t="str">
        <f aca="false" t="array" ref="D689:D689">IF(B689="","",IFERROR(INDEX('CLM &amp; IM Mapping'!$C$2:$C$270,MATCH(TRIM(B689),'CLM &amp; IM Mapping'!$A$2:$A$270,0)),"Not Mapped"))</f>
        <v>Un Mapped</v>
      </c>
      <c r="E689" s="66" t="n">
        <v>7622</v>
      </c>
      <c r="F689" s="66" t="n">
        <v>0</v>
      </c>
      <c r="G689" s="66" t="n">
        <v>5398</v>
      </c>
      <c r="H689" s="66" t="n">
        <v>1810</v>
      </c>
      <c r="I689" s="66" t="n">
        <v>0</v>
      </c>
      <c r="J689" s="66" t="n">
        <v>6</v>
      </c>
      <c r="K689" s="66" t="n">
        <v>408</v>
      </c>
      <c r="L689" s="66" t="n">
        <v>2224</v>
      </c>
      <c r="M689" s="73" t="n">
        <v>0.028</v>
      </c>
      <c r="N689" s="73"/>
      <c r="O689" s="72"/>
      <c r="P689" s="67"/>
      <c r="Q689" s="64"/>
      <c r="R689" s="64"/>
      <c r="S689" s="64"/>
      <c r="T689" s="64"/>
      <c r="U689" s="64"/>
      <c r="V689" s="64"/>
      <c r="W689" s="64"/>
      <c r="X689" s="64"/>
      <c r="Y689" s="64"/>
      <c r="Z689" s="64"/>
      <c r="AA689" s="64"/>
    </row>
    <row r="690" customFormat="false" ht="15.75" hidden="false" customHeight="true" outlineLevel="0" collapsed="false">
      <c r="A690" s="65" t="n">
        <v>46305</v>
      </c>
      <c r="B690" s="66" t="s">
        <v>386</v>
      </c>
      <c r="C690" s="67" t="str">
        <f aca="false" t="array" ref="C690:C690">IF(B690="","",IFERROR(INDEX('CLM &amp; IM Mapping'!$B$2:$B$270,MATCH(TRIM(B690),'CLM &amp; IM Mapping'!$A$2:$A$270,0)),"Not Mapped"))</f>
        <v>Arun Raj</v>
      </c>
      <c r="D690" s="67" t="str">
        <f aca="false" t="array" ref="D690:D690">IF(B690="","",IFERROR(INDEX('CLM &amp; IM Mapping'!$C$2:$C$270,MATCH(TRIM(B690),'CLM &amp; IM Mapping'!$A$2:$A$270,0)),"Not Mapped"))</f>
        <v>Simon Manoharan</v>
      </c>
      <c r="E690" s="66" t="n">
        <v>0</v>
      </c>
      <c r="F690" s="66" t="n">
        <v>0</v>
      </c>
      <c r="G690" s="66" t="n">
        <v>0</v>
      </c>
      <c r="H690" s="66" t="n">
        <v>0</v>
      </c>
      <c r="I690" s="66" t="n">
        <v>0</v>
      </c>
      <c r="J690" s="66" t="n">
        <v>0</v>
      </c>
      <c r="K690" s="66" t="n">
        <v>0</v>
      </c>
      <c r="L690" s="66" t="n">
        <v>0</v>
      </c>
      <c r="M690" s="73"/>
      <c r="N690" s="73"/>
      <c r="O690" s="72"/>
      <c r="P690" s="67"/>
      <c r="Q690" s="64"/>
      <c r="R690" s="64"/>
      <c r="S690" s="64"/>
      <c r="T690" s="64"/>
      <c r="U690" s="64"/>
      <c r="V690" s="64"/>
      <c r="W690" s="64"/>
      <c r="X690" s="64"/>
      <c r="Y690" s="64"/>
      <c r="Z690" s="64"/>
      <c r="AA690" s="64"/>
    </row>
    <row r="691" customFormat="false" ht="15.75" hidden="false" customHeight="true" outlineLevel="0" collapsed="false">
      <c r="A691" s="65" t="n">
        <v>46305</v>
      </c>
      <c r="B691" s="66" t="s">
        <v>492</v>
      </c>
      <c r="C691" s="67" t="str">
        <f aca="false" t="array" ref="C691:C691">IF(B691="","",IFERROR(INDEX('CLM &amp; IM Mapping'!$B$2:$B$270,MATCH(TRIM(B691),'CLM &amp; IM Mapping'!$A$2:$A$270,0)),"Not Mapped"))</f>
        <v>Balaji G</v>
      </c>
      <c r="D691" s="67" t="str">
        <f aca="false" t="array" ref="D691:D691">IF(B691="","",IFERROR(INDEX('CLM &amp; IM Mapping'!$C$2:$C$270,MATCH(TRIM(B691),'CLM &amp; IM Mapping'!$A$2:$A$270,0)),"Not Mapped"))</f>
        <v>Mohammed Akbar</v>
      </c>
      <c r="E691" s="66" t="n">
        <v>0</v>
      </c>
      <c r="F691" s="66" t="n">
        <v>0</v>
      </c>
      <c r="G691" s="66" t="n">
        <v>0</v>
      </c>
      <c r="H691" s="66" t="n">
        <v>0</v>
      </c>
      <c r="I691" s="66" t="n">
        <v>0</v>
      </c>
      <c r="J691" s="66" t="n">
        <v>0</v>
      </c>
      <c r="K691" s="66" t="n">
        <v>0</v>
      </c>
      <c r="L691" s="66" t="n">
        <v>0</v>
      </c>
      <c r="M691" s="73" t="n">
        <v>0</v>
      </c>
      <c r="N691" s="73"/>
      <c r="O691" s="72"/>
      <c r="P691" s="67"/>
      <c r="Q691" s="64"/>
      <c r="R691" s="64"/>
      <c r="S691" s="64"/>
      <c r="T691" s="64"/>
      <c r="U691" s="64"/>
      <c r="V691" s="64"/>
      <c r="W691" s="64"/>
      <c r="X691" s="64"/>
      <c r="Y691" s="64"/>
      <c r="Z691" s="64"/>
      <c r="AA691" s="64"/>
    </row>
    <row r="692" customFormat="false" ht="15.75" hidden="false" customHeight="true" outlineLevel="0" collapsed="false">
      <c r="A692" s="65" t="n">
        <v>46305</v>
      </c>
      <c r="B692" s="66" t="s">
        <v>142</v>
      </c>
      <c r="C692" s="67" t="str">
        <f aca="false" t="array" ref="C692:C692">IF(B692="","",IFERROR(INDEX('CLM &amp; IM Mapping'!$B$2:$B$270,MATCH(TRIM(B692),'CLM &amp; IM Mapping'!$A$2:$A$270,0)),"Not Mapped"))</f>
        <v>Sundaresh S</v>
      </c>
      <c r="D692" s="67" t="str">
        <f aca="false" t="array" ref="D692:D692">IF(B692="","",IFERROR(INDEX('CLM &amp; IM Mapping'!$C$2:$C$270,MATCH(TRIM(B692),'CLM &amp; IM Mapping'!$A$2:$A$270,0)),"Not Mapped"))</f>
        <v>Un Mapped</v>
      </c>
      <c r="E692" s="66" t="n">
        <v>7323</v>
      </c>
      <c r="F692" s="66" t="n">
        <v>2061</v>
      </c>
      <c r="G692" s="66" t="n">
        <v>4630</v>
      </c>
      <c r="H692" s="66" t="n">
        <v>0</v>
      </c>
      <c r="I692" s="66" t="n">
        <v>419</v>
      </c>
      <c r="J692" s="66" t="n">
        <v>0</v>
      </c>
      <c r="K692" s="66" t="n">
        <v>213</v>
      </c>
      <c r="L692" s="66" t="n">
        <v>632</v>
      </c>
      <c r="M692" s="73" t="n">
        <v>0.022</v>
      </c>
      <c r="N692" s="73"/>
      <c r="O692" s="72"/>
      <c r="P692" s="67"/>
      <c r="Q692" s="64"/>
      <c r="R692" s="64"/>
      <c r="S692" s="64"/>
      <c r="T692" s="64"/>
      <c r="U692" s="64"/>
      <c r="V692" s="64"/>
      <c r="W692" s="64"/>
      <c r="X692" s="64"/>
      <c r="Y692" s="64"/>
      <c r="Z692" s="64"/>
      <c r="AA692" s="64"/>
    </row>
    <row r="693" customFormat="false" ht="15.75" hidden="false" customHeight="true" outlineLevel="0" collapsed="false">
      <c r="A693" s="65" t="n">
        <v>46305</v>
      </c>
      <c r="B693" s="66" t="s">
        <v>229</v>
      </c>
      <c r="C693" s="67" t="str">
        <f aca="false" t="array" ref="C693:C693">IF(B693="","",IFERROR(INDEX('CLM &amp; IM Mapping'!$B$2:$B$270,MATCH(TRIM(B693),'CLM &amp; IM Mapping'!$A$2:$A$270,0)),"Not Mapped"))</f>
        <v>Arun Raj</v>
      </c>
      <c r="D693" s="67" t="str">
        <f aca="false" t="array" ref="D693:D693">IF(B693="","",IFERROR(INDEX('CLM &amp; IM Mapping'!$C$2:$C$270,MATCH(TRIM(B693),'CLM &amp; IM Mapping'!$A$2:$A$270,0)),"Not Mapped"))</f>
        <v>Simon Manoharan</v>
      </c>
      <c r="E693" s="66" t="n">
        <v>0</v>
      </c>
      <c r="F693" s="66" t="n">
        <v>0</v>
      </c>
      <c r="G693" s="66" t="n">
        <v>0</v>
      </c>
      <c r="H693" s="66" t="n">
        <v>0</v>
      </c>
      <c r="I693" s="66" t="n">
        <v>0</v>
      </c>
      <c r="J693" s="66" t="n">
        <v>0</v>
      </c>
      <c r="K693" s="66" t="n">
        <v>0</v>
      </c>
      <c r="L693" s="66" t="n">
        <v>0</v>
      </c>
      <c r="M693" s="73"/>
      <c r="N693" s="73"/>
      <c r="O693" s="72"/>
      <c r="P693" s="67"/>
      <c r="Q693" s="64"/>
      <c r="R693" s="64"/>
      <c r="S693" s="64"/>
      <c r="T693" s="64"/>
      <c r="U693" s="64"/>
      <c r="V693" s="64"/>
      <c r="W693" s="64"/>
      <c r="X693" s="64"/>
      <c r="Y693" s="64"/>
      <c r="Z693" s="64"/>
      <c r="AA693" s="64"/>
    </row>
    <row r="694" customFormat="false" ht="15.75" hidden="false" customHeight="true" outlineLevel="0" collapsed="false">
      <c r="A694" s="65" t="n">
        <v>46305</v>
      </c>
      <c r="B694" s="66" t="s">
        <v>123</v>
      </c>
      <c r="C694" s="67" t="str">
        <f aca="false" t="array" ref="C694:C694">IF(B694="","",IFERROR(INDEX('CLM &amp; IM Mapping'!$B$2:$B$270,MATCH(TRIM(B694),'CLM &amp; IM Mapping'!$A$2:$A$270,0)),"Not Mapped"))</f>
        <v>Silambarasan E</v>
      </c>
      <c r="D694" s="67" t="str">
        <f aca="false" t="array" ref="D694:D694">IF(B694="","",IFERROR(INDEX('CLM &amp; IM Mapping'!$C$2:$C$270,MATCH(TRIM(B694),'CLM &amp; IM Mapping'!$A$2:$A$270,0)),"Not Mapped"))</f>
        <v>Arivind S</v>
      </c>
      <c r="E694" s="66" t="n">
        <v>8192</v>
      </c>
      <c r="F694" s="66" t="n">
        <v>573</v>
      </c>
      <c r="G694" s="66" t="n">
        <v>2383</v>
      </c>
      <c r="H694" s="66" t="n">
        <v>3564</v>
      </c>
      <c r="I694" s="66" t="n">
        <v>104</v>
      </c>
      <c r="J694" s="66" t="n">
        <v>1344</v>
      </c>
      <c r="K694" s="66" t="n">
        <v>224</v>
      </c>
      <c r="L694" s="66" t="n">
        <v>5236</v>
      </c>
      <c r="M694" s="73" t="n">
        <v>0.074</v>
      </c>
      <c r="N694" s="73"/>
      <c r="O694" s="72"/>
      <c r="P694" s="67"/>
      <c r="Q694" s="64"/>
      <c r="R694" s="64"/>
      <c r="S694" s="64"/>
      <c r="T694" s="64"/>
      <c r="U694" s="64"/>
      <c r="V694" s="64"/>
      <c r="W694" s="64"/>
      <c r="X694" s="64"/>
      <c r="Y694" s="64"/>
      <c r="Z694" s="64"/>
      <c r="AA694" s="64"/>
    </row>
    <row r="695" customFormat="false" ht="15.75" hidden="false" customHeight="true" outlineLevel="0" collapsed="false">
      <c r="A695" s="65" t="n">
        <v>46305</v>
      </c>
      <c r="B695" s="66" t="s">
        <v>272</v>
      </c>
      <c r="C695" s="67" t="str">
        <f aca="false" t="array" ref="C695:C695">IF(B695="","",IFERROR(INDEX('CLM &amp; IM Mapping'!$B$2:$B$270,MATCH(TRIM(B695),'CLM &amp; IM Mapping'!$A$2:$A$270,0)),"Not Mapped"))</f>
        <v>Arun Raj</v>
      </c>
      <c r="D695" s="67" t="str">
        <f aca="false" t="array" ref="D695:D695">IF(B695="","",IFERROR(INDEX('CLM &amp; IM Mapping'!$C$2:$C$270,MATCH(TRIM(B695),'CLM &amp; IM Mapping'!$A$2:$A$270,0)),"Not Mapped"))</f>
        <v>Simon Manoharan</v>
      </c>
      <c r="E695" s="66" t="n">
        <v>0</v>
      </c>
      <c r="F695" s="66" t="n">
        <v>0</v>
      </c>
      <c r="G695" s="66" t="n">
        <v>0</v>
      </c>
      <c r="H695" s="66" t="n">
        <v>0</v>
      </c>
      <c r="I695" s="66" t="n">
        <v>0</v>
      </c>
      <c r="J695" s="66" t="n">
        <v>0</v>
      </c>
      <c r="K695" s="66" t="n">
        <v>0</v>
      </c>
      <c r="L695" s="66" t="n">
        <v>0</v>
      </c>
      <c r="M695" s="73"/>
      <c r="N695" s="73"/>
      <c r="O695" s="72"/>
      <c r="P695" s="67"/>
      <c r="Q695" s="64"/>
      <c r="R695" s="64"/>
      <c r="S695" s="64"/>
      <c r="T695" s="64"/>
      <c r="U695" s="64"/>
      <c r="V695" s="64"/>
      <c r="W695" s="64"/>
      <c r="X695" s="64"/>
      <c r="Y695" s="64"/>
      <c r="Z695" s="64"/>
      <c r="AA695" s="64"/>
    </row>
    <row r="696" customFormat="false" ht="15.75" hidden="false" customHeight="true" outlineLevel="0" collapsed="false">
      <c r="A696" s="65" t="n">
        <v>46305</v>
      </c>
      <c r="B696" s="66" t="s">
        <v>402</v>
      </c>
      <c r="C696" s="67" t="str">
        <f aca="false" t="array" ref="C696:C696">IF(B696="","",IFERROR(INDEX('CLM &amp; IM Mapping'!$B$2:$B$270,MATCH(TRIM(B696),'CLM &amp; IM Mapping'!$A$2:$A$270,0)),"Not Mapped"))</f>
        <v>Narasimhamurthy R</v>
      </c>
      <c r="D696" s="67" t="str">
        <f aca="false" t="array" ref="D696:D696">IF(B696="","",IFERROR(INDEX('CLM &amp; IM Mapping'!$C$2:$C$270,MATCH(TRIM(B696),'CLM &amp; IM Mapping'!$A$2:$A$270,0)),"Not Mapped"))</f>
        <v>Kishor K</v>
      </c>
      <c r="E696" s="66" t="n">
        <v>2653</v>
      </c>
      <c r="F696" s="66" t="n">
        <v>0</v>
      </c>
      <c r="G696" s="66" t="n">
        <v>2653</v>
      </c>
      <c r="H696" s="66" t="n">
        <v>0</v>
      </c>
      <c r="I696" s="66" t="n">
        <v>0</v>
      </c>
      <c r="J696" s="66" t="n">
        <v>0</v>
      </c>
      <c r="K696" s="66" t="n">
        <v>0</v>
      </c>
      <c r="L696" s="66" t="n">
        <v>0</v>
      </c>
      <c r="M696" s="73" t="n">
        <v>0.009</v>
      </c>
      <c r="N696" s="73"/>
      <c r="O696" s="72"/>
      <c r="P696" s="67"/>
      <c r="Q696" s="64"/>
      <c r="R696" s="64"/>
      <c r="S696" s="64"/>
      <c r="T696" s="64"/>
      <c r="U696" s="64"/>
      <c r="V696" s="64"/>
      <c r="W696" s="64"/>
      <c r="X696" s="64"/>
      <c r="Y696" s="64"/>
      <c r="Z696" s="64"/>
      <c r="AA696" s="64"/>
    </row>
    <row r="697" customFormat="false" ht="15.75" hidden="false" customHeight="true" outlineLevel="0" collapsed="false">
      <c r="A697" s="65" t="n">
        <v>46305</v>
      </c>
      <c r="B697" s="66" t="s">
        <v>397</v>
      </c>
      <c r="C697" s="67" t="str">
        <f aca="false" t="array" ref="C697:C697">IF(B697="","",IFERROR(INDEX('CLM &amp; IM Mapping'!$B$2:$B$270,MATCH(TRIM(B697),'CLM &amp; IM Mapping'!$A$2:$A$270,0)),"Not Mapped"))</f>
        <v>Akshay P</v>
      </c>
      <c r="D697" s="67" t="str">
        <f aca="false" t="array" ref="D697:D697">IF(B697="","",IFERROR(INDEX('CLM &amp; IM Mapping'!$C$2:$C$270,MATCH(TRIM(B697),'CLM &amp; IM Mapping'!$A$2:$A$270,0)),"Not Mapped"))</f>
        <v>Srittam Dhal</v>
      </c>
      <c r="E697" s="66" t="n">
        <v>1416</v>
      </c>
      <c r="F697" s="66" t="n">
        <v>3</v>
      </c>
      <c r="G697" s="66" t="n">
        <v>976</v>
      </c>
      <c r="H697" s="66" t="n">
        <v>0</v>
      </c>
      <c r="I697" s="66" t="n">
        <v>0</v>
      </c>
      <c r="J697" s="66" t="n">
        <v>340</v>
      </c>
      <c r="K697" s="66" t="n">
        <v>97</v>
      </c>
      <c r="L697" s="66" t="n">
        <v>437</v>
      </c>
      <c r="M697" s="73" t="n">
        <v>0.007</v>
      </c>
      <c r="N697" s="73"/>
      <c r="O697" s="72"/>
      <c r="P697" s="67"/>
      <c r="Q697" s="64"/>
      <c r="R697" s="64"/>
      <c r="S697" s="64"/>
      <c r="T697" s="64"/>
      <c r="U697" s="64"/>
      <c r="V697" s="64"/>
      <c r="W697" s="64"/>
      <c r="X697" s="64"/>
      <c r="Y697" s="64"/>
      <c r="Z697" s="64"/>
      <c r="AA697" s="64"/>
    </row>
    <row r="698" customFormat="false" ht="15.75" hidden="false" customHeight="true" outlineLevel="0" collapsed="false">
      <c r="A698" s="65" t="n">
        <v>46305</v>
      </c>
      <c r="B698" s="66" t="s">
        <v>364</v>
      </c>
      <c r="C698" s="67" t="str">
        <f aca="false" t="array" ref="C698:C698">IF(B698="","",IFERROR(INDEX('CLM &amp; IM Mapping'!$B$2:$B$270,MATCH(TRIM(B698),'CLM &amp; IM Mapping'!$A$2:$A$270,0)),"Not Mapped"))</f>
        <v>Raghavendra Vernekar</v>
      </c>
      <c r="D698" s="67" t="str">
        <f aca="false" t="array" ref="D698:D698">IF(B698="","",IFERROR(INDEX('CLM &amp; IM Mapping'!$C$2:$C$270,MATCH(TRIM(B698),'CLM &amp; IM Mapping'!$A$2:$A$270,0)),"Not Mapped"))</f>
        <v>Prakash BS</v>
      </c>
      <c r="E698" s="66" t="n">
        <v>4791</v>
      </c>
      <c r="F698" s="66" t="n">
        <v>4789</v>
      </c>
      <c r="G698" s="66" t="n">
        <v>0</v>
      </c>
      <c r="H698" s="66" t="n">
        <v>0</v>
      </c>
      <c r="I698" s="66" t="n">
        <v>0</v>
      </c>
      <c r="J698" s="66" t="n">
        <v>0</v>
      </c>
      <c r="K698" s="66" t="n">
        <v>2</v>
      </c>
      <c r="L698" s="66" t="n">
        <v>2</v>
      </c>
      <c r="M698" s="73" t="n">
        <v>0.021</v>
      </c>
      <c r="N698" s="73"/>
      <c r="O698" s="72"/>
      <c r="P698" s="67"/>
      <c r="Q698" s="64"/>
      <c r="R698" s="64"/>
      <c r="S698" s="64"/>
      <c r="T698" s="64"/>
      <c r="U698" s="64"/>
      <c r="V698" s="64"/>
      <c r="W698" s="64"/>
      <c r="X698" s="64"/>
      <c r="Y698" s="64"/>
      <c r="Z698" s="64"/>
      <c r="AA698" s="64"/>
    </row>
    <row r="699" customFormat="false" ht="15.75" hidden="false" customHeight="true" outlineLevel="0" collapsed="false">
      <c r="A699" s="65" t="n">
        <v>46305</v>
      </c>
      <c r="B699" s="66" t="s">
        <v>175</v>
      </c>
      <c r="C699" s="67" t="str">
        <f aca="false" t="array" ref="C699:C699">IF(B699="","",IFERROR(INDEX('CLM &amp; IM Mapping'!$B$2:$B$270,MATCH(TRIM(B699),'CLM &amp; IM Mapping'!$A$2:$A$270,0)),"Not Mapped"))</f>
        <v>Arun Raj</v>
      </c>
      <c r="D699" s="67" t="str">
        <f aca="false" t="array" ref="D699:D699">IF(B699="","",IFERROR(INDEX('CLM &amp; IM Mapping'!$C$2:$C$270,MATCH(TRIM(B699),'CLM &amp; IM Mapping'!$A$2:$A$270,0)),"Not Mapped"))</f>
        <v>Simon Manoharan</v>
      </c>
      <c r="E699" s="66" t="n">
        <v>1395</v>
      </c>
      <c r="F699" s="66" t="n">
        <v>0</v>
      </c>
      <c r="G699" s="66" t="n">
        <v>0</v>
      </c>
      <c r="H699" s="66" t="n">
        <v>1395</v>
      </c>
      <c r="I699" s="66" t="n">
        <v>0</v>
      </c>
      <c r="J699" s="66" t="n">
        <v>0</v>
      </c>
      <c r="K699" s="66" t="n">
        <v>0</v>
      </c>
      <c r="L699" s="66" t="n">
        <v>0</v>
      </c>
      <c r="M699" s="73"/>
      <c r="N699" s="73"/>
      <c r="O699" s="72"/>
      <c r="P699" s="67"/>
      <c r="Q699" s="64"/>
      <c r="R699" s="64"/>
      <c r="S699" s="64"/>
      <c r="T699" s="64"/>
      <c r="U699" s="64"/>
      <c r="V699" s="64"/>
      <c r="W699" s="64"/>
      <c r="X699" s="64"/>
      <c r="Y699" s="64"/>
      <c r="Z699" s="64"/>
      <c r="AA699" s="64"/>
    </row>
    <row r="700" customFormat="false" ht="15.75" hidden="false" customHeight="true" outlineLevel="0" collapsed="false">
      <c r="A700" s="65" t="n">
        <v>46305</v>
      </c>
      <c r="B700" s="66" t="s">
        <v>441</v>
      </c>
      <c r="C700" s="67" t="str">
        <f aca="false" t="array" ref="C700:C700">IF(B700="","",IFERROR(INDEX('CLM &amp; IM Mapping'!$B$2:$B$270,MATCH(TRIM(B700),'CLM &amp; IM Mapping'!$A$2:$A$270,0)),"Not Mapped"))</f>
        <v>Vijay M</v>
      </c>
      <c r="D700" s="67" t="str">
        <f aca="false" t="array" ref="D700:D700">IF(B700="","",IFERROR(INDEX('CLM &amp; IM Mapping'!$C$2:$C$270,MATCH(TRIM(B700),'CLM &amp; IM Mapping'!$A$2:$A$270,0)),"Not Mapped"))</f>
        <v>Kantha Kumar</v>
      </c>
      <c r="E700" s="66" t="n">
        <v>3635</v>
      </c>
      <c r="F700" s="66" t="n">
        <v>0</v>
      </c>
      <c r="G700" s="66" t="n">
        <v>0</v>
      </c>
      <c r="H700" s="66" t="n">
        <v>0</v>
      </c>
      <c r="I700" s="66" t="n">
        <v>3635</v>
      </c>
      <c r="J700" s="66" t="n">
        <v>0</v>
      </c>
      <c r="K700" s="66" t="n">
        <v>0</v>
      </c>
      <c r="L700" s="66" t="n">
        <v>3635</v>
      </c>
      <c r="M700" s="73" t="n">
        <v>0.043</v>
      </c>
      <c r="N700" s="73"/>
      <c r="O700" s="72"/>
      <c r="P700" s="67"/>
      <c r="Q700" s="64"/>
      <c r="R700" s="64"/>
      <c r="S700" s="64"/>
      <c r="T700" s="64"/>
      <c r="U700" s="64"/>
      <c r="V700" s="64"/>
      <c r="W700" s="64"/>
      <c r="X700" s="64"/>
      <c r="Y700" s="64"/>
      <c r="Z700" s="64"/>
      <c r="AA700" s="64"/>
    </row>
    <row r="701" customFormat="false" ht="15.75" hidden="false" customHeight="true" outlineLevel="0" collapsed="false">
      <c r="A701" s="65" t="n">
        <v>46305</v>
      </c>
      <c r="B701" s="66" t="s">
        <v>233</v>
      </c>
      <c r="C701" s="67" t="str">
        <f aca="false" t="array" ref="C701:C701">IF(B701="","",IFERROR(INDEX('CLM &amp; IM Mapping'!$B$2:$B$270,MATCH(TRIM(B701),'CLM &amp; IM Mapping'!$A$2:$A$270,0)),"Not Mapped"))</f>
        <v>Suhas N</v>
      </c>
      <c r="D701" s="67" t="str">
        <f aca="false" t="array" ref="D701:D701">IF(B701="","",IFERROR(INDEX('CLM &amp; IM Mapping'!$C$2:$C$270,MATCH(TRIM(B701),'CLM &amp; IM Mapping'!$A$2:$A$270,0)),"Not Mapped"))</f>
        <v>Aravind S</v>
      </c>
      <c r="E701" s="66" t="n">
        <v>394</v>
      </c>
      <c r="F701" s="66" t="n">
        <v>96</v>
      </c>
      <c r="G701" s="66" t="n">
        <v>66</v>
      </c>
      <c r="H701" s="66" t="n">
        <v>232</v>
      </c>
      <c r="I701" s="66" t="n">
        <v>0</v>
      </c>
      <c r="J701" s="66" t="n">
        <v>0</v>
      </c>
      <c r="K701" s="66" t="n">
        <v>0</v>
      </c>
      <c r="L701" s="66" t="n">
        <v>232</v>
      </c>
      <c r="M701" s="73" t="n">
        <v>0.004</v>
      </c>
      <c r="N701" s="73"/>
      <c r="O701" s="72"/>
      <c r="P701" s="67"/>
      <c r="Q701" s="64"/>
      <c r="R701" s="64"/>
      <c r="S701" s="64"/>
      <c r="T701" s="64"/>
      <c r="U701" s="64"/>
      <c r="V701" s="64"/>
      <c r="W701" s="64"/>
      <c r="X701" s="64"/>
      <c r="Y701" s="64"/>
      <c r="Z701" s="64"/>
      <c r="AA701" s="64"/>
    </row>
    <row r="702" customFormat="false" ht="15.75" hidden="false" customHeight="true" outlineLevel="0" collapsed="false">
      <c r="A702" s="65" t="n">
        <v>46305</v>
      </c>
      <c r="B702" s="66" t="s">
        <v>449</v>
      </c>
      <c r="C702" s="67" t="str">
        <f aca="false" t="array" ref="C702:C702">IF(B702="","",IFERROR(INDEX('CLM &amp; IM Mapping'!$B$2:$B$270,MATCH(TRIM(B702),'CLM &amp; IM Mapping'!$A$2:$A$270,0)),"Not Mapped"))</f>
        <v>Manjunatha V</v>
      </c>
      <c r="D702" s="67" t="str">
        <f aca="false" t="array" ref="D702:D702">IF(B702="","",IFERROR(INDEX('CLM &amp; IM Mapping'!$C$2:$C$270,MATCH(TRIM(B702),'CLM &amp; IM Mapping'!$A$2:$A$270,0)),"Not Mapped"))</f>
        <v>Un Mapped</v>
      </c>
      <c r="E702" s="66" t="n">
        <v>2854</v>
      </c>
      <c r="F702" s="66" t="n">
        <v>2735</v>
      </c>
      <c r="G702" s="66" t="n">
        <v>0</v>
      </c>
      <c r="H702" s="66" t="n">
        <v>0</v>
      </c>
      <c r="I702" s="66" t="n">
        <v>119</v>
      </c>
      <c r="J702" s="66" t="n">
        <v>0</v>
      </c>
      <c r="K702" s="66" t="n">
        <v>0</v>
      </c>
      <c r="L702" s="66" t="n">
        <v>119</v>
      </c>
      <c r="M702" s="73" t="n">
        <v>0.006</v>
      </c>
      <c r="N702" s="73"/>
      <c r="O702" s="72"/>
      <c r="P702" s="67"/>
      <c r="Q702" s="64"/>
      <c r="R702" s="64"/>
      <c r="S702" s="64"/>
      <c r="T702" s="64"/>
      <c r="U702" s="64"/>
      <c r="V702" s="64"/>
      <c r="W702" s="64"/>
      <c r="X702" s="64"/>
      <c r="Y702" s="64"/>
      <c r="Z702" s="64"/>
      <c r="AA702" s="64"/>
    </row>
    <row r="703" customFormat="false" ht="15.75" hidden="false" customHeight="true" outlineLevel="0" collapsed="false">
      <c r="A703" s="65" t="n">
        <v>46305</v>
      </c>
      <c r="B703" s="66" t="s">
        <v>100</v>
      </c>
      <c r="C703" s="67" t="str">
        <f aca="false" t="array" ref="C703:C703">IF(B703="","",IFERROR(INDEX('CLM &amp; IM Mapping'!$B$2:$B$270,MATCH(TRIM(B703),'CLM &amp; IM Mapping'!$A$2:$A$270,0)),"Not Mapped"))</f>
        <v>Sundaresh S</v>
      </c>
      <c r="D703" s="67" t="str">
        <f aca="false" t="array" ref="D703:D703">IF(B703="","",IFERROR(INDEX('CLM &amp; IM Mapping'!$C$2:$C$270,MATCH(TRIM(B703),'CLM &amp; IM Mapping'!$A$2:$A$270,0)),"Not Mapped"))</f>
        <v>Un Mapped</v>
      </c>
      <c r="E703" s="66" t="n">
        <v>5286</v>
      </c>
      <c r="F703" s="66" t="n">
        <v>0</v>
      </c>
      <c r="G703" s="66" t="n">
        <v>5258</v>
      </c>
      <c r="H703" s="66" t="n">
        <v>0</v>
      </c>
      <c r="I703" s="66" t="n">
        <v>5</v>
      </c>
      <c r="J703" s="66" t="n">
        <v>23</v>
      </c>
      <c r="K703" s="66" t="n">
        <v>0</v>
      </c>
      <c r="L703" s="66" t="n">
        <v>28</v>
      </c>
      <c r="M703" s="73" t="n">
        <v>0.016</v>
      </c>
      <c r="N703" s="73"/>
      <c r="O703" s="72"/>
      <c r="P703" s="67"/>
      <c r="Q703" s="64"/>
      <c r="R703" s="64"/>
      <c r="S703" s="64"/>
      <c r="T703" s="64"/>
      <c r="U703" s="64"/>
      <c r="V703" s="64"/>
      <c r="W703" s="64"/>
      <c r="X703" s="64"/>
      <c r="Y703" s="64"/>
      <c r="Z703" s="64"/>
      <c r="AA703" s="64"/>
    </row>
    <row r="704" customFormat="false" ht="15.75" hidden="false" customHeight="true" outlineLevel="0" collapsed="false">
      <c r="A704" s="65" t="n">
        <v>46305</v>
      </c>
      <c r="B704" s="66" t="s">
        <v>524</v>
      </c>
      <c r="C704" s="67" t="str">
        <f aca="false" t="array" ref="C704:C704">IF(B704="","",IFERROR(INDEX('CLM &amp; IM Mapping'!$B$2:$B$270,MATCH(TRIM(B704),'CLM &amp; IM Mapping'!$A$2:$A$270,0)),"Not Mapped"))</f>
        <v>Balaji G</v>
      </c>
      <c r="D704" s="67" t="str">
        <f aca="false" t="array" ref="D704:D704">IF(B704="","",IFERROR(INDEX('CLM &amp; IM Mapping'!$C$2:$C$270,MATCH(TRIM(B704),'CLM &amp; IM Mapping'!$A$2:$A$270,0)),"Not Mapped"))</f>
        <v>Mohammed Akbar</v>
      </c>
      <c r="E704" s="66" t="n">
        <v>2605</v>
      </c>
      <c r="F704" s="66" t="n">
        <v>1502</v>
      </c>
      <c r="G704" s="66" t="n">
        <v>53</v>
      </c>
      <c r="H704" s="66" t="n">
        <v>1050</v>
      </c>
      <c r="I704" s="66" t="n">
        <v>0</v>
      </c>
      <c r="J704" s="66" t="n">
        <v>0</v>
      </c>
      <c r="K704" s="66" t="n">
        <v>0</v>
      </c>
      <c r="L704" s="66" t="n">
        <v>1050</v>
      </c>
      <c r="M704" s="73" t="n">
        <v>0.008</v>
      </c>
      <c r="N704" s="73"/>
      <c r="O704" s="72"/>
      <c r="P704" s="67"/>
      <c r="Q704" s="64"/>
      <c r="R704" s="64"/>
      <c r="S704" s="64"/>
      <c r="T704" s="64"/>
      <c r="U704" s="64"/>
      <c r="V704" s="64"/>
      <c r="W704" s="64"/>
      <c r="X704" s="64"/>
      <c r="Y704" s="64"/>
      <c r="Z704" s="64"/>
      <c r="AA704" s="64"/>
    </row>
    <row r="705" customFormat="false" ht="15.75" hidden="false" customHeight="true" outlineLevel="0" collapsed="false">
      <c r="A705" s="65" t="n">
        <v>46305</v>
      </c>
      <c r="B705" s="66" t="s">
        <v>474</v>
      </c>
      <c r="C705" s="67" t="str">
        <f aca="false" t="array" ref="C705:C705">IF(B705="","",IFERROR(INDEX('CLM &amp; IM Mapping'!$B$2:$B$270,MATCH(TRIM(B705),'CLM &amp; IM Mapping'!$A$2:$A$270,0)),"Not Mapped"))</f>
        <v>Silambarasan E</v>
      </c>
      <c r="D705" s="67" t="str">
        <f aca="false" t="array" ref="D705:D705">IF(B705="","",IFERROR(INDEX('CLM &amp; IM Mapping'!$C$2:$C$270,MATCH(TRIM(B705),'CLM &amp; IM Mapping'!$A$2:$A$270,0)),"Not Mapped"))</f>
        <v>Arivind S</v>
      </c>
      <c r="E705" s="66" t="n">
        <v>104</v>
      </c>
      <c r="F705" s="66" t="n">
        <v>104</v>
      </c>
      <c r="G705" s="66" t="n">
        <v>0</v>
      </c>
      <c r="H705" s="66" t="n">
        <v>0</v>
      </c>
      <c r="I705" s="66" t="n">
        <v>0</v>
      </c>
      <c r="J705" s="66" t="n">
        <v>0</v>
      </c>
      <c r="K705" s="66" t="n">
        <v>0</v>
      </c>
      <c r="L705" s="66" t="n">
        <v>0</v>
      </c>
      <c r="M705" s="73" t="n">
        <v>0</v>
      </c>
      <c r="N705" s="73"/>
      <c r="O705" s="72"/>
      <c r="P705" s="67"/>
      <c r="Q705" s="64"/>
      <c r="R705" s="64"/>
      <c r="S705" s="64"/>
      <c r="T705" s="64"/>
      <c r="U705" s="64"/>
      <c r="V705" s="64"/>
      <c r="W705" s="64"/>
      <c r="X705" s="64"/>
      <c r="Y705" s="64"/>
      <c r="Z705" s="64"/>
      <c r="AA705" s="64"/>
    </row>
    <row r="706" customFormat="false" ht="15.75" hidden="false" customHeight="true" outlineLevel="0" collapsed="false">
      <c r="A706" s="65" t="n">
        <v>46305</v>
      </c>
      <c r="B706" s="66" t="s">
        <v>392</v>
      </c>
      <c r="C706" s="67" t="str">
        <f aca="false" t="array" ref="C706:C706">IF(B706="","",IFERROR(INDEX('CLM &amp; IM Mapping'!$B$2:$B$270,MATCH(TRIM(B706),'CLM &amp; IM Mapping'!$A$2:$A$270,0)),"Not Mapped"))</f>
        <v>Balaji G</v>
      </c>
      <c r="D706" s="67" t="str">
        <f aca="false" t="array" ref="D706:D706">IF(B706="","",IFERROR(INDEX('CLM &amp; IM Mapping'!$C$2:$C$270,MATCH(TRIM(B706),'CLM &amp; IM Mapping'!$A$2:$A$270,0)),"Not Mapped"))</f>
        <v>Mohammed Akbar</v>
      </c>
      <c r="E706" s="66" t="n">
        <v>0</v>
      </c>
      <c r="F706" s="66" t="n">
        <v>0</v>
      </c>
      <c r="G706" s="66" t="n">
        <v>0</v>
      </c>
      <c r="H706" s="66" t="n">
        <v>0</v>
      </c>
      <c r="I706" s="66" t="n">
        <v>0</v>
      </c>
      <c r="J706" s="66" t="n">
        <v>0</v>
      </c>
      <c r="K706" s="66" t="n">
        <v>0</v>
      </c>
      <c r="L706" s="66" t="n">
        <v>0</v>
      </c>
      <c r="M706" s="73" t="n">
        <v>0</v>
      </c>
      <c r="N706" s="73"/>
      <c r="O706" s="72"/>
      <c r="P706" s="67"/>
      <c r="Q706" s="64"/>
      <c r="R706" s="64"/>
      <c r="S706" s="64"/>
      <c r="T706" s="64"/>
      <c r="U706" s="64"/>
      <c r="V706" s="64"/>
      <c r="W706" s="64"/>
      <c r="X706" s="64"/>
      <c r="Y706" s="64"/>
      <c r="Z706" s="64"/>
      <c r="AA706" s="64"/>
    </row>
    <row r="707" customFormat="false" ht="15.75" hidden="false" customHeight="true" outlineLevel="0" collapsed="false">
      <c r="A707" s="65" t="n">
        <v>46305</v>
      </c>
      <c r="B707" s="66" t="s">
        <v>159</v>
      </c>
      <c r="C707" s="67" t="str">
        <f aca="false" t="array" ref="C707:C707">IF(B707="","",IFERROR(INDEX('CLM &amp; IM Mapping'!$B$2:$B$270,MATCH(TRIM(B707),'CLM &amp; IM Mapping'!$A$2:$A$270,0)),"Not Mapped"))</f>
        <v>Rizwan Ahmed</v>
      </c>
      <c r="D707" s="67" t="str">
        <f aca="false" t="array" ref="D707:D707">IF(B707="","",IFERROR(INDEX('CLM &amp; IM Mapping'!$C$2:$C$270,MATCH(TRIM(B707),'CLM &amp; IM Mapping'!$A$2:$A$270,0)),"Not Mapped"))</f>
        <v>Un Mapped</v>
      </c>
      <c r="E707" s="66" t="n">
        <v>0</v>
      </c>
      <c r="F707" s="66" t="n">
        <v>0</v>
      </c>
      <c r="G707" s="66" t="n">
        <v>0</v>
      </c>
      <c r="H707" s="66" t="n">
        <v>0</v>
      </c>
      <c r="I707" s="66" t="n">
        <v>0</v>
      </c>
      <c r="J707" s="66" t="n">
        <v>0</v>
      </c>
      <c r="K707" s="66" t="n">
        <v>0</v>
      </c>
      <c r="L707" s="66" t="n">
        <v>0</v>
      </c>
      <c r="M707" s="73" t="n">
        <v>0</v>
      </c>
      <c r="N707" s="73"/>
      <c r="O707" s="72"/>
      <c r="P707" s="67"/>
      <c r="Q707" s="64"/>
      <c r="R707" s="64"/>
      <c r="S707" s="64"/>
      <c r="T707" s="64"/>
      <c r="U707" s="64"/>
      <c r="V707" s="64"/>
      <c r="W707" s="64"/>
      <c r="X707" s="64"/>
      <c r="Y707" s="64"/>
      <c r="Z707" s="64"/>
      <c r="AA707" s="64"/>
    </row>
    <row r="708" customFormat="false" ht="15.75" hidden="false" customHeight="true" outlineLevel="0" collapsed="false">
      <c r="A708" s="65" t="n">
        <v>46305</v>
      </c>
      <c r="B708" s="66" t="s">
        <v>153</v>
      </c>
      <c r="C708" s="67" t="str">
        <f aca="false" t="array" ref="C708:C708">IF(B708="","",IFERROR(INDEX('CLM &amp; IM Mapping'!$B$2:$B$270,MATCH(TRIM(B708),'CLM &amp; IM Mapping'!$A$2:$A$270,0)),"Not Mapped"))</f>
        <v>Ashwath S</v>
      </c>
      <c r="D708" s="67" t="str">
        <f aca="false" t="array" ref="D708:D708">IF(B708="","",IFERROR(INDEX('CLM &amp; IM Mapping'!$C$2:$C$270,MATCH(TRIM(B708),'CLM &amp; IM Mapping'!$A$2:$A$270,0)),"Not Mapped"))</f>
        <v>Kantha Kumar</v>
      </c>
      <c r="E708" s="66" t="n">
        <v>398</v>
      </c>
      <c r="F708" s="66" t="n">
        <v>147</v>
      </c>
      <c r="G708" s="66" t="n">
        <v>0</v>
      </c>
      <c r="H708" s="66" t="n">
        <v>251</v>
      </c>
      <c r="I708" s="66" t="n">
        <v>0</v>
      </c>
      <c r="J708" s="66" t="n">
        <v>0</v>
      </c>
      <c r="K708" s="66" t="n">
        <v>0</v>
      </c>
      <c r="L708" s="66" t="n">
        <v>251</v>
      </c>
      <c r="M708" s="73" t="n">
        <v>0.001</v>
      </c>
      <c r="N708" s="73"/>
      <c r="O708" s="72"/>
      <c r="P708" s="67"/>
      <c r="Q708" s="64"/>
      <c r="R708" s="64"/>
      <c r="S708" s="64"/>
      <c r="T708" s="64"/>
      <c r="U708" s="64"/>
      <c r="V708" s="64"/>
      <c r="W708" s="64"/>
      <c r="X708" s="64"/>
      <c r="Y708" s="64"/>
      <c r="Z708" s="64"/>
      <c r="AA708" s="64"/>
    </row>
    <row r="709" customFormat="false" ht="15.75" hidden="false" customHeight="true" outlineLevel="0" collapsed="false">
      <c r="A709" s="65" t="n">
        <v>46305</v>
      </c>
      <c r="B709" s="66" t="s">
        <v>41</v>
      </c>
      <c r="C709" s="67" t="str">
        <f aca="false" t="array" ref="C709:C709">IF(B709="","",IFERROR(INDEX('CLM &amp; IM Mapping'!$B$2:$B$270,MATCH(TRIM(B709),'CLM &amp; IM Mapping'!$A$2:$A$270,0)),"Not Mapped"))</f>
        <v>Rizwan Ahmed</v>
      </c>
      <c r="D709" s="67" t="str">
        <f aca="false" t="array" ref="D709:D709">IF(B709="","",IFERROR(INDEX('CLM &amp; IM Mapping'!$C$2:$C$270,MATCH(TRIM(B709),'CLM &amp; IM Mapping'!$A$2:$A$270,0)),"Not Mapped"))</f>
        <v>Un Mapped</v>
      </c>
      <c r="E709" s="66" t="n">
        <v>1787</v>
      </c>
      <c r="F709" s="66" t="n">
        <v>158</v>
      </c>
      <c r="G709" s="66" t="n">
        <v>0</v>
      </c>
      <c r="H709" s="66" t="n">
        <v>0</v>
      </c>
      <c r="I709" s="66" t="n">
        <v>1595</v>
      </c>
      <c r="J709" s="66" t="n">
        <v>0</v>
      </c>
      <c r="K709" s="66" t="n">
        <v>34</v>
      </c>
      <c r="L709" s="66" t="n">
        <v>1629</v>
      </c>
      <c r="M709" s="73" t="n">
        <v>0.023</v>
      </c>
      <c r="N709" s="73"/>
      <c r="O709" s="72"/>
      <c r="P709" s="67"/>
      <c r="Q709" s="64"/>
      <c r="R709" s="64"/>
      <c r="S709" s="64"/>
      <c r="T709" s="64"/>
      <c r="U709" s="64"/>
      <c r="V709" s="64"/>
      <c r="W709" s="64"/>
      <c r="X709" s="64"/>
      <c r="Y709" s="64"/>
      <c r="Z709" s="64"/>
      <c r="AA709" s="64"/>
    </row>
    <row r="710" customFormat="false" ht="15.75" hidden="false" customHeight="true" outlineLevel="0" collapsed="false">
      <c r="A710" s="65" t="n">
        <v>46305</v>
      </c>
      <c r="B710" s="66" t="s">
        <v>94</v>
      </c>
      <c r="C710" s="67" t="str">
        <f aca="false" t="array" ref="C710:C710">IF(B710="","",IFERROR(INDEX('CLM &amp; IM Mapping'!$B$2:$B$270,MATCH(TRIM(B710),'CLM &amp; IM Mapping'!$A$2:$A$270,0)),"Not Mapped"))</f>
        <v>Ashwath S</v>
      </c>
      <c r="D710" s="67" t="str">
        <f aca="false" t="array" ref="D710:D710">IF(B710="","",IFERROR(INDEX('CLM &amp; IM Mapping'!$C$2:$C$270,MATCH(TRIM(B710),'CLM &amp; IM Mapping'!$A$2:$A$270,0)),"Not Mapped"))</f>
        <v>Kantha Kumar</v>
      </c>
      <c r="E710" s="66" t="n">
        <v>2080</v>
      </c>
      <c r="F710" s="66" t="n">
        <v>0</v>
      </c>
      <c r="G710" s="66" t="n">
        <v>1943</v>
      </c>
      <c r="H710" s="66" t="n">
        <v>0</v>
      </c>
      <c r="I710" s="66" t="n">
        <v>137</v>
      </c>
      <c r="J710" s="66" t="n">
        <v>0</v>
      </c>
      <c r="K710" s="66" t="n">
        <v>0</v>
      </c>
      <c r="L710" s="66" t="n">
        <v>137</v>
      </c>
      <c r="M710" s="73" t="n">
        <v>0.005</v>
      </c>
      <c r="N710" s="73"/>
      <c r="O710" s="72"/>
      <c r="P710" s="67"/>
      <c r="Q710" s="64"/>
      <c r="R710" s="64"/>
      <c r="S710" s="64"/>
      <c r="T710" s="64"/>
      <c r="U710" s="64"/>
      <c r="V710" s="64"/>
      <c r="W710" s="64"/>
      <c r="X710" s="64"/>
      <c r="Y710" s="64"/>
      <c r="Z710" s="64"/>
      <c r="AA710" s="64"/>
    </row>
    <row r="711" customFormat="false" ht="15.75" hidden="false" customHeight="true" outlineLevel="0" collapsed="false">
      <c r="A711" s="65" t="n">
        <v>46305</v>
      </c>
      <c r="B711" s="66" t="s">
        <v>423</v>
      </c>
      <c r="C711" s="67" t="str">
        <f aca="false" t="array" ref="C711:C711">IF(B711="","",IFERROR(INDEX('CLM &amp; IM Mapping'!$B$2:$B$270,MATCH(TRIM(B711),'CLM &amp; IM Mapping'!$A$2:$A$270,0)),"Not Mapped"))</f>
        <v>Ashwath S</v>
      </c>
      <c r="D711" s="67" t="str">
        <f aca="false" t="array" ref="D711:D711">IF(B711="","",IFERROR(INDEX('CLM &amp; IM Mapping'!$C$2:$C$270,MATCH(TRIM(B711),'CLM &amp; IM Mapping'!$A$2:$A$270,0)),"Not Mapped"))</f>
        <v>Kantha Kumar</v>
      </c>
      <c r="E711" s="66" t="n">
        <v>0</v>
      </c>
      <c r="F711" s="66" t="n">
        <v>0</v>
      </c>
      <c r="G711" s="66" t="n">
        <v>0</v>
      </c>
      <c r="H711" s="66" t="n">
        <v>0</v>
      </c>
      <c r="I711" s="66" t="n">
        <v>0</v>
      </c>
      <c r="J711" s="66" t="n">
        <v>0</v>
      </c>
      <c r="K711" s="66" t="n">
        <v>0</v>
      </c>
      <c r="L711" s="66" t="n">
        <v>0</v>
      </c>
      <c r="M711" s="73" t="n">
        <v>0</v>
      </c>
      <c r="N711" s="73"/>
      <c r="O711" s="72"/>
      <c r="P711" s="67"/>
      <c r="Q711" s="64"/>
      <c r="R711" s="64"/>
      <c r="S711" s="64"/>
      <c r="T711" s="64"/>
      <c r="U711" s="64"/>
      <c r="V711" s="64"/>
      <c r="W711" s="64"/>
      <c r="X711" s="64"/>
      <c r="Y711" s="64"/>
      <c r="Z711" s="64"/>
      <c r="AA711" s="64"/>
    </row>
    <row r="712" customFormat="false" ht="15.75" hidden="false" customHeight="true" outlineLevel="0" collapsed="false">
      <c r="A712" s="65" t="n">
        <v>46305</v>
      </c>
      <c r="B712" s="66" t="s">
        <v>33</v>
      </c>
      <c r="C712" s="67" t="str">
        <f aca="false" t="array" ref="C712:C712">IF(B712="","",IFERROR(INDEX('CLM &amp; IM Mapping'!$B$2:$B$270,MATCH(TRIM(B712),'CLM &amp; IM Mapping'!$A$2:$A$270,0)),"Not Mapped"))</f>
        <v>Manoj Kj</v>
      </c>
      <c r="D712" s="67" t="str">
        <f aca="false" t="array" ref="D712:D712">IF(B712="","",IFERROR(INDEX('CLM &amp; IM Mapping'!$C$2:$C$270,MATCH(TRIM(B712),'CLM &amp; IM Mapping'!$A$2:$A$270,0)),"Not Mapped"))</f>
        <v>Srittam Dhal</v>
      </c>
      <c r="E712" s="66" t="n">
        <v>0</v>
      </c>
      <c r="F712" s="66" t="n">
        <v>0</v>
      </c>
      <c r="G712" s="66" t="n">
        <v>0</v>
      </c>
      <c r="H712" s="66" t="n">
        <v>0</v>
      </c>
      <c r="I712" s="66" t="n">
        <v>0</v>
      </c>
      <c r="J712" s="66" t="n">
        <v>0</v>
      </c>
      <c r="K712" s="66" t="n">
        <v>0</v>
      </c>
      <c r="L712" s="66" t="n">
        <v>0</v>
      </c>
      <c r="M712" s="73"/>
      <c r="N712" s="73"/>
      <c r="O712" s="72"/>
      <c r="P712" s="67"/>
    </row>
    <row r="713" customFormat="false" ht="15.75" hidden="false" customHeight="true" outlineLevel="0" collapsed="false">
      <c r="A713" s="65" t="n">
        <v>46305</v>
      </c>
      <c r="B713" s="66" t="s">
        <v>259</v>
      </c>
      <c r="C713" s="67" t="str">
        <f aca="false" t="array" ref="C713:C713">IF(B713="","",IFERROR(INDEX('CLM &amp; IM Mapping'!$B$2:$B$270,MATCH(TRIM(B713),'CLM &amp; IM Mapping'!$A$2:$A$270,0)),"Not Mapped"))</f>
        <v>Raghavendra Vernekar</v>
      </c>
      <c r="D713" s="67" t="str">
        <f aca="false" t="array" ref="D713:D713">IF(B713="","",IFERROR(INDEX('CLM &amp; IM Mapping'!$C$2:$C$270,MATCH(TRIM(B713),'CLM &amp; IM Mapping'!$A$2:$A$270,0)),"Not Mapped"))</f>
        <v>Prakash BS</v>
      </c>
      <c r="E713" s="66" t="n">
        <v>932</v>
      </c>
      <c r="F713" s="66" t="n">
        <v>0</v>
      </c>
      <c r="G713" s="66" t="n">
        <v>932</v>
      </c>
      <c r="H713" s="66" t="n">
        <v>0</v>
      </c>
      <c r="I713" s="66" t="n">
        <v>0</v>
      </c>
      <c r="J713" s="66" t="n">
        <v>0</v>
      </c>
      <c r="K713" s="66" t="n">
        <v>0</v>
      </c>
      <c r="L713" s="66" t="n">
        <v>0</v>
      </c>
      <c r="M713" s="73" t="n">
        <v>0.002</v>
      </c>
      <c r="N713" s="73"/>
      <c r="O713" s="72"/>
      <c r="P713" s="67"/>
    </row>
    <row r="714" customFormat="false" ht="15.75" hidden="false" customHeight="true" outlineLevel="0" collapsed="false">
      <c r="A714" s="65" t="n">
        <v>46305</v>
      </c>
      <c r="B714" s="66" t="s">
        <v>416</v>
      </c>
      <c r="C714" s="67" t="str">
        <f aca="false" t="array" ref="C714:C714">IF(B714="","",IFERROR(INDEX('CLM &amp; IM Mapping'!$B$2:$B$270,MATCH(TRIM(B714),'CLM &amp; IM Mapping'!$A$2:$A$270,0)),"Not Mapped"))</f>
        <v>Girish N</v>
      </c>
      <c r="D714" s="67" t="str">
        <f aca="false" t="array" ref="D714:D714">IF(B714="","",IFERROR(INDEX('CLM &amp; IM Mapping'!$C$2:$C$270,MATCH(TRIM(B714),'CLM &amp; IM Mapping'!$A$2:$A$270,0)),"Not Mapped"))</f>
        <v>Un Mapped</v>
      </c>
      <c r="E714" s="66" t="n">
        <v>1047</v>
      </c>
      <c r="F714" s="66" t="n">
        <v>67</v>
      </c>
      <c r="G714" s="66" t="n">
        <v>980</v>
      </c>
      <c r="H714" s="66" t="n">
        <v>0</v>
      </c>
      <c r="I714" s="66" t="n">
        <v>0</v>
      </c>
      <c r="J714" s="66" t="n">
        <v>0</v>
      </c>
      <c r="K714" s="66" t="n">
        <v>0</v>
      </c>
      <c r="L714" s="66" t="n">
        <v>0</v>
      </c>
      <c r="M714" s="73" t="n">
        <v>0.003</v>
      </c>
      <c r="N714" s="73"/>
      <c r="O714" s="72"/>
      <c r="P714" s="67"/>
    </row>
    <row r="715" customFormat="false" ht="15.75" hidden="false" customHeight="true" outlineLevel="0" collapsed="false">
      <c r="A715" s="65" t="n">
        <v>46305</v>
      </c>
      <c r="B715" s="66" t="s">
        <v>334</v>
      </c>
      <c r="C715" s="67" t="str">
        <f aca="false" t="array" ref="C715:C715">IF(B715="","",IFERROR(INDEX('CLM &amp; IM Mapping'!$B$2:$B$270,MATCH(TRIM(B715),'CLM &amp; IM Mapping'!$A$2:$A$270,0)),"Not Mapped"))</f>
        <v>Akshay P</v>
      </c>
      <c r="D715" s="67" t="str">
        <f aca="false" t="array" ref="D715:D715">IF(B715="","",IFERROR(INDEX('CLM &amp; IM Mapping'!$C$2:$C$270,MATCH(TRIM(B715),'CLM &amp; IM Mapping'!$A$2:$A$270,0)),"Not Mapped"))</f>
        <v>Srittam Dhal</v>
      </c>
      <c r="E715" s="66" t="n">
        <v>0</v>
      </c>
      <c r="F715" s="66" t="n">
        <v>0</v>
      </c>
      <c r="G715" s="66" t="n">
        <v>0</v>
      </c>
      <c r="H715" s="66" t="n">
        <v>0</v>
      </c>
      <c r="I715" s="66" t="n">
        <v>0</v>
      </c>
      <c r="J715" s="66" t="n">
        <v>0</v>
      </c>
      <c r="K715" s="66" t="n">
        <v>0</v>
      </c>
      <c r="L715" s="66" t="n">
        <v>0</v>
      </c>
      <c r="M715" s="73" t="n">
        <v>0</v>
      </c>
      <c r="N715" s="73"/>
      <c r="O715" s="72"/>
      <c r="P715" s="67"/>
    </row>
    <row r="716" customFormat="false" ht="15.75" hidden="false" customHeight="true" outlineLevel="0" collapsed="false">
      <c r="A716" s="65" t="n">
        <v>46305</v>
      </c>
      <c r="B716" s="66" t="s">
        <v>267</v>
      </c>
      <c r="C716" s="67" t="str">
        <f aca="false" t="array" ref="C716:C716">IF(B716="","",IFERROR(INDEX('CLM &amp; IM Mapping'!$B$2:$B$270,MATCH(TRIM(B716),'CLM &amp; IM Mapping'!$A$2:$A$270,0)),"Not Mapped"))</f>
        <v>Balaji G</v>
      </c>
      <c r="D716" s="67" t="str">
        <f aca="false" t="array" ref="D716:D716">IF(B716="","",IFERROR(INDEX('CLM &amp; IM Mapping'!$C$2:$C$270,MATCH(TRIM(B716),'CLM &amp; IM Mapping'!$A$2:$A$270,0)),"Not Mapped"))</f>
        <v>Mohammed Akbar</v>
      </c>
      <c r="E716" s="66" t="n">
        <v>676</v>
      </c>
      <c r="F716" s="66" t="n">
        <v>281</v>
      </c>
      <c r="G716" s="66" t="n">
        <v>395</v>
      </c>
      <c r="H716" s="66" t="n">
        <v>0</v>
      </c>
      <c r="I716" s="66" t="n">
        <v>0</v>
      </c>
      <c r="J716" s="66" t="n">
        <v>0</v>
      </c>
      <c r="K716" s="66" t="n">
        <v>0</v>
      </c>
      <c r="L716" s="66" t="n">
        <v>0</v>
      </c>
      <c r="M716" s="73" t="n">
        <v>0.003</v>
      </c>
      <c r="N716" s="73"/>
      <c r="O716" s="72"/>
      <c r="P716" s="67"/>
    </row>
    <row r="717" customFormat="false" ht="15.75" hidden="false" customHeight="true" outlineLevel="0" collapsed="false">
      <c r="A717" s="65" t="n">
        <v>46305</v>
      </c>
      <c r="B717" s="66" t="s">
        <v>294</v>
      </c>
      <c r="C717" s="67" t="str">
        <f aca="false" t="array" ref="C717:C717">IF(B717="","",IFERROR(INDEX('CLM &amp; IM Mapping'!$B$2:$B$270,MATCH(TRIM(B717),'CLM &amp; IM Mapping'!$A$2:$A$270,0)),"Not Mapped"))</f>
        <v>Manoj Kj</v>
      </c>
      <c r="D717" s="67" t="str">
        <f aca="false" t="array" ref="D717:D717">IF(B717="","",IFERROR(INDEX('CLM &amp; IM Mapping'!$C$2:$C$270,MATCH(TRIM(B717),'CLM &amp; IM Mapping'!$A$2:$A$270,0)),"Not Mapped"))</f>
        <v>Srittam Dhal</v>
      </c>
      <c r="E717" s="66" t="n">
        <v>1841</v>
      </c>
      <c r="F717" s="66" t="n">
        <v>0</v>
      </c>
      <c r="G717" s="66" t="n">
        <v>1841</v>
      </c>
      <c r="H717" s="66" t="n">
        <v>0</v>
      </c>
      <c r="I717" s="66" t="n">
        <v>0</v>
      </c>
      <c r="J717" s="66" t="n">
        <v>0</v>
      </c>
      <c r="K717" s="66" t="n">
        <v>0</v>
      </c>
      <c r="L717" s="66" t="n">
        <v>0</v>
      </c>
      <c r="M717" s="73" t="n">
        <v>0.014</v>
      </c>
      <c r="N717" s="73"/>
      <c r="O717" s="72"/>
      <c r="P717" s="67"/>
    </row>
    <row r="718" customFormat="false" ht="15.75" hidden="false" customHeight="true" outlineLevel="0" collapsed="false">
      <c r="A718" s="65" t="n">
        <v>46305</v>
      </c>
      <c r="B718" s="66" t="s">
        <v>208</v>
      </c>
      <c r="C718" s="67" t="str">
        <f aca="false" t="array" ref="C718:C718">IF(B718="","",IFERROR(INDEX('CLM &amp; IM Mapping'!$B$2:$B$270,MATCH(TRIM(B718),'CLM &amp; IM Mapping'!$A$2:$A$270,0)),"Not Mapped"))</f>
        <v>Silambarasan E</v>
      </c>
      <c r="D718" s="67" t="str">
        <f aca="false" t="array" ref="D718:D718">IF(B718="","",IFERROR(INDEX('CLM &amp; IM Mapping'!$C$2:$C$270,MATCH(TRIM(B718),'CLM &amp; IM Mapping'!$A$2:$A$270,0)),"Not Mapped"))</f>
        <v>Arivind S</v>
      </c>
      <c r="E718" s="66" t="n">
        <v>14847</v>
      </c>
      <c r="F718" s="66" t="n">
        <v>2989</v>
      </c>
      <c r="G718" s="66" t="n">
        <v>5775</v>
      </c>
      <c r="H718" s="66" t="n">
        <v>0</v>
      </c>
      <c r="I718" s="66" t="n">
        <v>5404</v>
      </c>
      <c r="J718" s="66" t="n">
        <v>135</v>
      </c>
      <c r="K718" s="66" t="n">
        <v>544</v>
      </c>
      <c r="L718" s="66" t="n">
        <v>6083</v>
      </c>
      <c r="M718" s="73" t="n">
        <v>0.052</v>
      </c>
      <c r="N718" s="73"/>
      <c r="O718" s="72"/>
      <c r="P718" s="67"/>
    </row>
    <row r="719" customFormat="false" ht="15.75" hidden="false" customHeight="true" outlineLevel="0" collapsed="false">
      <c r="A719" s="65" t="n">
        <v>46305</v>
      </c>
      <c r="B719" s="66" t="s">
        <v>498</v>
      </c>
      <c r="C719" s="67" t="str">
        <f aca="false" t="array" ref="C719:C719">IF(B719="","",IFERROR(INDEX('CLM &amp; IM Mapping'!$B$2:$B$270,MATCH(TRIM(B719),'CLM &amp; IM Mapping'!$A$2:$A$270,0)),"Not Mapped"))</f>
        <v>Adhavan Subramani</v>
      </c>
      <c r="D719" s="67" t="str">
        <f aca="false" t="array" ref="D719:D719">IF(B719="","",IFERROR(INDEX('CLM &amp; IM Mapping'!$C$2:$C$270,MATCH(TRIM(B719),'CLM &amp; IM Mapping'!$A$2:$A$270,0)),"Not Mapped"))</f>
        <v>Mohammed Akbar</v>
      </c>
      <c r="E719" s="66" t="n">
        <v>588</v>
      </c>
      <c r="F719" s="66" t="n">
        <v>36</v>
      </c>
      <c r="G719" s="66" t="n">
        <v>521</v>
      </c>
      <c r="H719" s="66" t="n">
        <v>0</v>
      </c>
      <c r="I719" s="66" t="n">
        <v>0</v>
      </c>
      <c r="J719" s="66" t="n">
        <v>0</v>
      </c>
      <c r="K719" s="66" t="n">
        <v>31</v>
      </c>
      <c r="L719" s="66" t="n">
        <v>31</v>
      </c>
      <c r="M719" s="73" t="n">
        <v>0.002</v>
      </c>
      <c r="N719" s="73"/>
      <c r="O719" s="72"/>
      <c r="P719" s="67"/>
    </row>
    <row r="720" customFormat="false" ht="15.75" hidden="false" customHeight="true" outlineLevel="0" collapsed="false">
      <c r="A720" s="65" t="n">
        <v>46305</v>
      </c>
      <c r="B720" s="66" t="s">
        <v>405</v>
      </c>
      <c r="C720" s="67" t="str">
        <f aca="false" t="array" ref="C720:C720">IF(B720="","",IFERROR(INDEX('CLM &amp; IM Mapping'!$B$2:$B$270,MATCH(TRIM(B720),'CLM &amp; IM Mapping'!$A$2:$A$270,0)),"Not Mapped"))</f>
        <v>Adhavan Subramani</v>
      </c>
      <c r="D720" s="67" t="str">
        <f aca="false" t="array" ref="D720:D720">IF(B720="","",IFERROR(INDEX('CLM &amp; IM Mapping'!$C$2:$C$270,MATCH(TRIM(B720),'CLM &amp; IM Mapping'!$A$2:$A$270,0)),"Not Mapped"))</f>
        <v>Mohammed Akbar</v>
      </c>
      <c r="E720" s="66" t="n">
        <v>1676</v>
      </c>
      <c r="F720" s="66" t="n">
        <v>0</v>
      </c>
      <c r="G720" s="66" t="n">
        <v>1634</v>
      </c>
      <c r="H720" s="66" t="n">
        <v>0</v>
      </c>
      <c r="I720" s="66" t="n">
        <v>1</v>
      </c>
      <c r="J720" s="66" t="n">
        <v>0</v>
      </c>
      <c r="K720" s="66" t="n">
        <v>41</v>
      </c>
      <c r="L720" s="66" t="n">
        <v>42</v>
      </c>
      <c r="M720" s="73" t="n">
        <v>0.012</v>
      </c>
      <c r="N720" s="73"/>
      <c r="O720" s="72"/>
      <c r="P720" s="67"/>
    </row>
    <row r="721" customFormat="false" ht="15.75" hidden="false" customHeight="true" outlineLevel="0" collapsed="false">
      <c r="A721" s="65" t="n">
        <v>46305</v>
      </c>
      <c r="B721" s="66" t="s">
        <v>477</v>
      </c>
      <c r="C721" s="67" t="str">
        <f aca="false" t="array" ref="C721:C721">IF(B721="","",IFERROR(INDEX('CLM &amp; IM Mapping'!$B$2:$B$270,MATCH(TRIM(B721),'CLM &amp; IM Mapping'!$A$2:$A$270,0)),"Not Mapped"))</f>
        <v>MH</v>
      </c>
      <c r="D721" s="67" t="str">
        <f aca="false" t="array" ref="D721:D721">IF(B721="","",IFERROR(INDEX('CLM &amp; IM Mapping'!$C$2:$C$270,MATCH(TRIM(B721),'CLM &amp; IM Mapping'!$A$2:$A$270,0)),"Not Mapped"))</f>
        <v>MH</v>
      </c>
      <c r="E721" s="66"/>
      <c r="F721" s="66"/>
      <c r="G721" s="66"/>
      <c r="H721" s="66"/>
      <c r="I721" s="66"/>
      <c r="J721" s="66"/>
      <c r="K721" s="66"/>
      <c r="L721" s="66" t="n">
        <v>0</v>
      </c>
      <c r="M721" s="73"/>
      <c r="N721" s="73"/>
      <c r="O721" s="72"/>
      <c r="P721" s="67"/>
    </row>
    <row r="722" customFormat="false" ht="15.75" hidden="false" customHeight="true" outlineLevel="0" collapsed="false">
      <c r="A722" s="65" t="n">
        <v>46305</v>
      </c>
      <c r="B722" s="66" t="s">
        <v>427</v>
      </c>
      <c r="C722" s="67" t="str">
        <f aca="false" t="array" ref="C722:C722">IF(B722="","",IFERROR(INDEX('CLM &amp; IM Mapping'!$B$2:$B$270,MATCH(TRIM(B722),'CLM &amp; IM Mapping'!$A$2:$A$270,0)),"Not Mapped"))</f>
        <v>John Britto</v>
      </c>
      <c r="D722" s="67" t="str">
        <f aca="false" t="array" ref="D722:D722">IF(B722="","",IFERROR(INDEX('CLM &amp; IM Mapping'!$C$2:$C$270,MATCH(TRIM(B722),'CLM &amp; IM Mapping'!$A$2:$A$270,0)),"Not Mapped"))</f>
        <v>Aravind S</v>
      </c>
      <c r="E722" s="66" t="n">
        <v>0</v>
      </c>
      <c r="F722" s="66" t="n">
        <v>0</v>
      </c>
      <c r="G722" s="66" t="n">
        <v>0</v>
      </c>
      <c r="H722" s="66" t="n">
        <v>0</v>
      </c>
      <c r="I722" s="66" t="n">
        <v>0</v>
      </c>
      <c r="J722" s="66" t="n">
        <v>0</v>
      </c>
      <c r="K722" s="66" t="n">
        <v>0</v>
      </c>
      <c r="L722" s="66" t="n">
        <v>0</v>
      </c>
      <c r="M722" s="73" t="n">
        <v>0</v>
      </c>
      <c r="N722" s="73"/>
      <c r="O722" s="72"/>
      <c r="P722" s="67"/>
    </row>
    <row r="723" customFormat="false" ht="15.75" hidden="false" customHeight="true" outlineLevel="0" collapsed="false">
      <c r="A723" s="65" t="n">
        <v>46305</v>
      </c>
      <c r="B723" s="66" t="s">
        <v>345</v>
      </c>
      <c r="C723" s="67" t="str">
        <f aca="false" t="array" ref="C723:C723">IF(B723="","",IFERROR(INDEX('CLM &amp; IM Mapping'!$B$2:$B$270,MATCH(TRIM(B723),'CLM &amp; IM Mapping'!$A$2:$A$270,0)),"Not Mapped"))</f>
        <v>John Britto</v>
      </c>
      <c r="D723" s="67" t="str">
        <f aca="false" t="array" ref="D723:D723">IF(B723="","",IFERROR(INDEX('CLM &amp; IM Mapping'!$C$2:$C$270,MATCH(TRIM(B723),'CLM &amp; IM Mapping'!$A$2:$A$270,0)),"Not Mapped"))</f>
        <v>Aravind S</v>
      </c>
      <c r="E723" s="66" t="n">
        <v>632</v>
      </c>
      <c r="F723" s="66" t="n">
        <v>0</v>
      </c>
      <c r="G723" s="66" t="n">
        <v>0</v>
      </c>
      <c r="H723" s="66" t="n">
        <v>632</v>
      </c>
      <c r="I723" s="66" t="n">
        <v>0</v>
      </c>
      <c r="J723" s="66" t="n">
        <v>0</v>
      </c>
      <c r="K723" s="66" t="n">
        <v>0</v>
      </c>
      <c r="L723" s="66" t="n">
        <v>632</v>
      </c>
      <c r="M723" s="73" t="n">
        <v>0.005</v>
      </c>
      <c r="N723" s="73"/>
      <c r="O723" s="72"/>
      <c r="P723" s="67"/>
    </row>
    <row r="724" customFormat="false" ht="15.75" hidden="false" customHeight="true" outlineLevel="0" collapsed="false">
      <c r="A724" s="65" t="n">
        <v>46305</v>
      </c>
      <c r="B724" s="66" t="s">
        <v>475</v>
      </c>
      <c r="C724" s="67" t="str">
        <f aca="false" t="array" ref="C724:C724">IF(B724="","",IFERROR(INDEX('CLM &amp; IM Mapping'!$B$2:$B$270,MATCH(TRIM(B724),'CLM &amp; IM Mapping'!$A$2:$A$270,0)),"Not Mapped"))</f>
        <v>John Britto</v>
      </c>
      <c r="D724" s="67" t="str">
        <f aca="false" t="array" ref="D724:D724">IF(B724="","",IFERROR(INDEX('CLM &amp; IM Mapping'!$C$2:$C$270,MATCH(TRIM(B724),'CLM &amp; IM Mapping'!$A$2:$A$270,0)),"Not Mapped"))</f>
        <v>Aravind S</v>
      </c>
      <c r="E724" s="66" t="n">
        <v>0</v>
      </c>
      <c r="F724" s="66" t="n">
        <v>0</v>
      </c>
      <c r="G724" s="66" t="n">
        <v>0</v>
      </c>
      <c r="H724" s="66" t="n">
        <v>0</v>
      </c>
      <c r="I724" s="66" t="n">
        <v>0</v>
      </c>
      <c r="J724" s="66" t="n">
        <v>0</v>
      </c>
      <c r="K724" s="66" t="n">
        <v>0</v>
      </c>
      <c r="L724" s="66" t="n">
        <v>0</v>
      </c>
      <c r="M724" s="73" t="n">
        <v>0</v>
      </c>
      <c r="N724" s="73"/>
      <c r="O724" s="72"/>
      <c r="P724" s="67"/>
    </row>
    <row r="725" customFormat="false" ht="15.75" hidden="false" customHeight="true" outlineLevel="0" collapsed="false">
      <c r="A725" s="65" t="n">
        <v>46305</v>
      </c>
      <c r="B725" s="66" t="s">
        <v>391</v>
      </c>
      <c r="C725" s="67" t="str">
        <f aca="false" t="array" ref="C725:C725">IF(B725="","",IFERROR(INDEX('CLM &amp; IM Mapping'!$B$2:$B$270,MATCH(TRIM(B725),'CLM &amp; IM Mapping'!$A$2:$A$270,0)),"Not Mapped"))</f>
        <v>John Britto</v>
      </c>
      <c r="D725" s="67" t="str">
        <f aca="false" t="array" ref="D725:D725">IF(B725="","",IFERROR(INDEX('CLM &amp; IM Mapping'!$C$2:$C$270,MATCH(TRIM(B725),'CLM &amp; IM Mapping'!$A$2:$A$270,0)),"Not Mapped"))</f>
        <v>Aravind S</v>
      </c>
      <c r="E725" s="66" t="n">
        <v>0</v>
      </c>
      <c r="F725" s="66" t="n">
        <v>0</v>
      </c>
      <c r="G725" s="66" t="n">
        <v>0</v>
      </c>
      <c r="H725" s="66" t="n">
        <v>0</v>
      </c>
      <c r="I725" s="66" t="n">
        <v>0</v>
      </c>
      <c r="J725" s="66" t="n">
        <v>0</v>
      </c>
      <c r="K725" s="66" t="n">
        <v>0</v>
      </c>
      <c r="L725" s="66" t="n">
        <v>0</v>
      </c>
      <c r="M725" s="73" t="n">
        <v>0</v>
      </c>
      <c r="N725" s="73"/>
      <c r="O725" s="72"/>
      <c r="P725" s="67"/>
    </row>
    <row r="726" customFormat="false" ht="15.75" hidden="false" customHeight="true" outlineLevel="0" collapsed="false">
      <c r="A726" s="65" t="n">
        <v>46305</v>
      </c>
      <c r="B726" s="66" t="s">
        <v>304</v>
      </c>
      <c r="C726" s="67" t="str">
        <f aca="false" t="array" ref="C726:C726">IF(B726="","",IFERROR(INDEX('CLM &amp; IM Mapping'!$B$2:$B$270,MATCH(TRIM(B726),'CLM &amp; IM Mapping'!$A$2:$A$270,0)),"Not Mapped"))</f>
        <v>John Britto</v>
      </c>
      <c r="D726" s="67" t="str">
        <f aca="false" t="array" ref="D726:D726">IF(B726="","",IFERROR(INDEX('CLM &amp; IM Mapping'!$C$2:$C$270,MATCH(TRIM(B726),'CLM &amp; IM Mapping'!$A$2:$A$270,0)),"Not Mapped"))</f>
        <v>Aravind S</v>
      </c>
      <c r="E726" s="66" t="n">
        <v>0</v>
      </c>
      <c r="F726" s="66" t="n">
        <v>0</v>
      </c>
      <c r="G726" s="66" t="n">
        <v>0</v>
      </c>
      <c r="H726" s="66" t="n">
        <v>0</v>
      </c>
      <c r="I726" s="66" t="n">
        <v>0</v>
      </c>
      <c r="J726" s="66" t="n">
        <v>0</v>
      </c>
      <c r="K726" s="66" t="n">
        <v>0</v>
      </c>
      <c r="L726" s="66" t="n">
        <v>0</v>
      </c>
      <c r="M726" s="73" t="n">
        <v>0</v>
      </c>
      <c r="N726" s="73"/>
      <c r="O726" s="72"/>
      <c r="P726" s="67"/>
    </row>
    <row r="727" customFormat="false" ht="15.75" hidden="false" customHeight="true" outlineLevel="0" collapsed="false">
      <c r="A727" s="65" t="n">
        <v>46305</v>
      </c>
      <c r="B727" s="66" t="s">
        <v>319</v>
      </c>
      <c r="C727" s="67" t="str">
        <f aca="false" t="array" ref="C727:C727">IF(B727="","",IFERROR(INDEX('CLM &amp; IM Mapping'!$B$2:$B$270,MATCH(TRIM(B727),'CLM &amp; IM Mapping'!$A$2:$A$270,0)),"Not Mapped"))</f>
        <v>John Britto</v>
      </c>
      <c r="D727" s="67" t="str">
        <f aca="false" t="array" ref="D727:D727">IF(B727="","",IFERROR(INDEX('CLM &amp; IM Mapping'!$C$2:$C$270,MATCH(TRIM(B727),'CLM &amp; IM Mapping'!$A$2:$A$270,0)),"Not Mapped"))</f>
        <v>Aravind S</v>
      </c>
      <c r="E727" s="66" t="n">
        <v>1655</v>
      </c>
      <c r="F727" s="66" t="n">
        <v>0</v>
      </c>
      <c r="G727" s="66" t="n">
        <v>0</v>
      </c>
      <c r="H727" s="66" t="n">
        <v>1002</v>
      </c>
      <c r="I727" s="66" t="n">
        <v>0</v>
      </c>
      <c r="J727" s="66" t="n">
        <v>653</v>
      </c>
      <c r="K727" s="66" t="n">
        <v>0</v>
      </c>
      <c r="L727" s="66" t="n">
        <v>1655</v>
      </c>
      <c r="M727" s="73" t="n">
        <v>0.019</v>
      </c>
      <c r="N727" s="73"/>
      <c r="O727" s="72"/>
      <c r="P727" s="67"/>
    </row>
    <row r="728" customFormat="false" ht="15.75" hidden="false" customHeight="true" outlineLevel="0" collapsed="false">
      <c r="A728" s="65" t="n">
        <v>46305</v>
      </c>
      <c r="B728" s="66" t="s">
        <v>399</v>
      </c>
      <c r="C728" s="67" t="str">
        <f aca="false" t="array" ref="C728:C728">IF(B728="","",IFERROR(INDEX('CLM &amp; IM Mapping'!$B$2:$B$270,MATCH(TRIM(B728),'CLM &amp; IM Mapping'!$A$2:$A$270,0)),"Not Mapped"))</f>
        <v>John Britto</v>
      </c>
      <c r="D728" s="67" t="str">
        <f aca="false" t="array" ref="D728:D728">IF(B728="","",IFERROR(INDEX('CLM &amp; IM Mapping'!$C$2:$C$270,MATCH(TRIM(B728),'CLM &amp; IM Mapping'!$A$2:$A$270,0)),"Not Mapped"))</f>
        <v>Aravind S</v>
      </c>
      <c r="E728" s="66" t="n">
        <v>0</v>
      </c>
      <c r="F728" s="66" t="n">
        <v>0</v>
      </c>
      <c r="G728" s="66" t="n">
        <v>0</v>
      </c>
      <c r="H728" s="66" t="n">
        <v>0</v>
      </c>
      <c r="I728" s="66" t="n">
        <v>0</v>
      </c>
      <c r="J728" s="66" t="n">
        <v>0</v>
      </c>
      <c r="K728" s="66" t="n">
        <v>0</v>
      </c>
      <c r="L728" s="66" t="n">
        <v>0</v>
      </c>
      <c r="M728" s="73" t="n">
        <v>0</v>
      </c>
      <c r="N728" s="73"/>
      <c r="O728" s="72"/>
      <c r="P728" s="67"/>
    </row>
    <row r="729" customFormat="false" ht="15.75" hidden="false" customHeight="true" outlineLevel="0" collapsed="false">
      <c r="A729" s="65" t="n">
        <v>46305</v>
      </c>
      <c r="B729" s="66" t="s">
        <v>458</v>
      </c>
      <c r="C729" s="67" t="str">
        <f aca="false" t="array" ref="C729:C729">IF(B729="","",IFERROR(INDEX('CLM &amp; IM Mapping'!$B$2:$B$270,MATCH(TRIM(B729),'CLM &amp; IM Mapping'!$A$2:$A$270,0)),"Not Mapped"))</f>
        <v>John Britto</v>
      </c>
      <c r="D729" s="67" t="str">
        <f aca="false" t="array" ref="D729:D729">IF(B729="","",IFERROR(INDEX('CLM &amp; IM Mapping'!$C$2:$C$270,MATCH(TRIM(B729),'CLM &amp; IM Mapping'!$A$2:$A$270,0)),"Not Mapped"))</f>
        <v>Aravind S</v>
      </c>
      <c r="E729" s="66" t="n">
        <v>0</v>
      </c>
      <c r="F729" s="66" t="n">
        <v>0</v>
      </c>
      <c r="G729" s="66" t="n">
        <v>0</v>
      </c>
      <c r="H729" s="66" t="n">
        <v>0</v>
      </c>
      <c r="I729" s="66" t="n">
        <v>0</v>
      </c>
      <c r="J729" s="66" t="n">
        <v>0</v>
      </c>
      <c r="K729" s="66" t="n">
        <v>0</v>
      </c>
      <c r="L729" s="66" t="n">
        <v>0</v>
      </c>
      <c r="M729" s="73" t="n">
        <v>0</v>
      </c>
      <c r="N729" s="73"/>
      <c r="O729" s="72"/>
      <c r="P729" s="67"/>
    </row>
    <row r="730" customFormat="false" ht="15.75" hidden="false" customHeight="true" outlineLevel="0" collapsed="false">
      <c r="A730" s="65" t="n">
        <v>46305</v>
      </c>
      <c r="B730" s="66" t="s">
        <v>520</v>
      </c>
      <c r="C730" s="67" t="str">
        <f aca="false" t="array" ref="C730:C730">IF(B730="","",IFERROR(INDEX('CLM &amp; IM Mapping'!$B$2:$B$270,MATCH(TRIM(B730),'CLM &amp; IM Mapping'!$A$2:$A$270,0)),"Not Mapped"))</f>
        <v>John Britto</v>
      </c>
      <c r="D730" s="67" t="str">
        <f aca="false" t="array" ref="D730:D730">IF(B730="","",IFERROR(INDEX('CLM &amp; IM Mapping'!$C$2:$C$270,MATCH(TRIM(B730),'CLM &amp; IM Mapping'!$A$2:$A$270,0)),"Not Mapped"))</f>
        <v>Aravind S</v>
      </c>
      <c r="E730" s="66" t="n">
        <v>0</v>
      </c>
      <c r="F730" s="66" t="n">
        <v>0</v>
      </c>
      <c r="G730" s="66" t="n">
        <v>0</v>
      </c>
      <c r="H730" s="66" t="n">
        <v>0</v>
      </c>
      <c r="I730" s="66" t="n">
        <v>0</v>
      </c>
      <c r="J730" s="66" t="n">
        <v>0</v>
      </c>
      <c r="K730" s="66" t="n">
        <v>0</v>
      </c>
      <c r="L730" s="66" t="n">
        <v>0</v>
      </c>
      <c r="M730" s="73" t="n">
        <v>0</v>
      </c>
      <c r="N730" s="73"/>
      <c r="O730" s="72"/>
      <c r="P730" s="67"/>
    </row>
    <row r="731" customFormat="false" ht="15.75" hidden="false" customHeight="true" outlineLevel="0" collapsed="false">
      <c r="A731" s="65" t="n">
        <v>46305</v>
      </c>
      <c r="B731" s="66" t="s">
        <v>447</v>
      </c>
      <c r="C731" s="67" t="str">
        <f aca="false" t="array" ref="C731:C731">IF(B731="","",IFERROR(INDEX('CLM &amp; IM Mapping'!$B$2:$B$270,MATCH(TRIM(B731),'CLM &amp; IM Mapping'!$A$2:$A$270,0)),"Not Mapped"))</f>
        <v>John Britto</v>
      </c>
      <c r="D731" s="67" t="str">
        <f aca="false" t="array" ref="D731:D731">IF(B731="","",IFERROR(INDEX('CLM &amp; IM Mapping'!$C$2:$C$270,MATCH(TRIM(B731),'CLM &amp; IM Mapping'!$A$2:$A$270,0)),"Not Mapped"))</f>
        <v>Aravind S</v>
      </c>
      <c r="E731" s="66" t="n">
        <v>0</v>
      </c>
      <c r="F731" s="66" t="n">
        <v>0</v>
      </c>
      <c r="G731" s="66" t="n">
        <v>0</v>
      </c>
      <c r="H731" s="66" t="n">
        <v>0</v>
      </c>
      <c r="I731" s="66" t="n">
        <v>0</v>
      </c>
      <c r="J731" s="66" t="n">
        <v>0</v>
      </c>
      <c r="K731" s="66" t="n">
        <v>0</v>
      </c>
      <c r="L731" s="66" t="n">
        <v>0</v>
      </c>
      <c r="M731" s="73" t="n">
        <v>0</v>
      </c>
      <c r="N731" s="73"/>
      <c r="O731" s="72"/>
      <c r="P731" s="67"/>
    </row>
    <row r="732" customFormat="false" ht="15.75" hidden="false" customHeight="true" outlineLevel="0" collapsed="false">
      <c r="A732" s="65" t="n">
        <v>46305</v>
      </c>
      <c r="B732" s="66" t="s">
        <v>400</v>
      </c>
      <c r="C732" s="67" t="str">
        <f aca="false" t="array" ref="C732:C732">IF(B732="","",IFERROR(INDEX('CLM &amp; IM Mapping'!$B$2:$B$270,MATCH(TRIM(B732),'CLM &amp; IM Mapping'!$A$2:$A$270,0)),"Not Mapped"))</f>
        <v>Bangareppa CS</v>
      </c>
      <c r="D732" s="67" t="str">
        <f aca="false" t="array" ref="D732:D732">IF(B732="","",IFERROR(INDEX('CLM &amp; IM Mapping'!$C$2:$C$270,MATCH(TRIM(B732),'CLM &amp; IM Mapping'!$A$2:$A$270,0)),"Not Mapped"))</f>
        <v>Kishor K</v>
      </c>
      <c r="E732" s="66" t="n">
        <v>3776</v>
      </c>
      <c r="F732" s="66" t="n">
        <v>2391</v>
      </c>
      <c r="G732" s="66" t="n">
        <v>1385</v>
      </c>
      <c r="H732" s="66" t="n">
        <v>0</v>
      </c>
      <c r="I732" s="66" t="n">
        <v>0</v>
      </c>
      <c r="J732" s="66" t="n">
        <v>0</v>
      </c>
      <c r="K732" s="66" t="n">
        <v>0</v>
      </c>
      <c r="L732" s="66" t="n">
        <v>0</v>
      </c>
      <c r="M732" s="73" t="n">
        <v>0.017</v>
      </c>
      <c r="N732" s="73"/>
      <c r="O732" s="72"/>
      <c r="P732" s="67"/>
    </row>
    <row r="733" customFormat="false" ht="15.75" hidden="false" customHeight="true" outlineLevel="0" collapsed="false">
      <c r="A733" s="65" t="n">
        <v>46305</v>
      </c>
      <c r="B733" s="66" t="s">
        <v>395</v>
      </c>
      <c r="C733" s="67" t="str">
        <f aca="false" t="array" ref="C733:C733">IF(B733="","",IFERROR(INDEX('CLM &amp; IM Mapping'!$B$2:$B$270,MATCH(TRIM(B733),'CLM &amp; IM Mapping'!$A$2:$A$270,0)),"Not Mapped"))</f>
        <v>Bangareppa CS</v>
      </c>
      <c r="D733" s="67" t="str">
        <f aca="false" t="array" ref="D733:D733">IF(B733="","",IFERROR(INDEX('CLM &amp; IM Mapping'!$C$2:$C$270,MATCH(TRIM(B733),'CLM &amp; IM Mapping'!$A$2:$A$270,0)),"Not Mapped"))</f>
        <v>Kishor K</v>
      </c>
      <c r="E733" s="66" t="n">
        <v>1889</v>
      </c>
      <c r="F733" s="66" t="n">
        <v>1889</v>
      </c>
      <c r="G733" s="66" t="n">
        <v>0</v>
      </c>
      <c r="H733" s="66" t="n">
        <v>0</v>
      </c>
      <c r="I733" s="66" t="n">
        <v>0</v>
      </c>
      <c r="J733" s="66" t="n">
        <v>0</v>
      </c>
      <c r="K733" s="66" t="n">
        <v>0</v>
      </c>
      <c r="L733" s="66" t="n">
        <v>0</v>
      </c>
      <c r="M733" s="73" t="n">
        <v>0</v>
      </c>
      <c r="N733" s="73"/>
      <c r="O733" s="72"/>
      <c r="P733" s="67"/>
    </row>
    <row r="734" customFormat="false" ht="15.75" hidden="false" customHeight="true" outlineLevel="0" collapsed="false">
      <c r="A734" s="65" t="n">
        <v>46305</v>
      </c>
      <c r="B734" s="66" t="s">
        <v>178</v>
      </c>
      <c r="C734" s="67" t="str">
        <f aca="false" t="array" ref="C734:C734">IF(B734="","",IFERROR(INDEX('CLM &amp; IM Mapping'!$B$2:$B$270,MATCH(TRIM(B734),'CLM &amp; IM Mapping'!$A$2:$A$270,0)),"Not Mapped"))</f>
        <v>Balaji G</v>
      </c>
      <c r="D734" s="67" t="str">
        <f aca="false" t="array" ref="D734:D734">IF(B734="","",IFERROR(INDEX('CLM &amp; IM Mapping'!$C$2:$C$270,MATCH(TRIM(B734),'CLM &amp; IM Mapping'!$A$2:$A$270,0)),"Not Mapped"))</f>
        <v>Mohammed Akbar</v>
      </c>
      <c r="E734" s="66" t="n">
        <v>8066</v>
      </c>
      <c r="F734" s="66" t="n">
        <v>894</v>
      </c>
      <c r="G734" s="66" t="n">
        <v>4928</v>
      </c>
      <c r="H734" s="66" t="n">
        <v>0</v>
      </c>
      <c r="I734" s="66" t="n">
        <v>2244</v>
      </c>
      <c r="J734" s="66" t="n">
        <v>0</v>
      </c>
      <c r="K734" s="66" t="n">
        <v>0</v>
      </c>
      <c r="L734" s="66" t="n">
        <v>2244</v>
      </c>
      <c r="M734" s="73" t="n">
        <v>0.038</v>
      </c>
      <c r="N734" s="73"/>
      <c r="O734" s="72"/>
      <c r="P734" s="67"/>
    </row>
    <row r="735" customFormat="false" ht="15.75" hidden="false" customHeight="true" outlineLevel="0" collapsed="false">
      <c r="A735" s="65" t="n">
        <v>46305</v>
      </c>
      <c r="B735" s="66" t="s">
        <v>300</v>
      </c>
      <c r="C735" s="67" t="str">
        <f aca="false" t="array" ref="C735:C735">IF(B735="","",IFERROR(INDEX('CLM &amp; IM Mapping'!$B$2:$B$270,MATCH(TRIM(B735),'CLM &amp; IM Mapping'!$A$2:$A$270,0)),"Not Mapped"))</f>
        <v>Bangareppa CS</v>
      </c>
      <c r="D735" s="67" t="str">
        <f aca="false" t="array" ref="D735:D735">IF(B735="","",IFERROR(INDEX('CLM &amp; IM Mapping'!$C$2:$C$270,MATCH(TRIM(B735),'CLM &amp; IM Mapping'!$A$2:$A$270,0)),"Not Mapped"))</f>
        <v>Kishor K</v>
      </c>
      <c r="E735" s="66" t="n">
        <v>2</v>
      </c>
      <c r="F735" s="66" t="n">
        <v>0</v>
      </c>
      <c r="G735" s="66" t="n">
        <v>2</v>
      </c>
      <c r="H735" s="66" t="n">
        <v>0</v>
      </c>
      <c r="I735" s="66" t="n">
        <v>0</v>
      </c>
      <c r="J735" s="66" t="n">
        <v>0</v>
      </c>
      <c r="K735" s="66" t="n">
        <v>0</v>
      </c>
      <c r="L735" s="66" t="n">
        <v>0</v>
      </c>
      <c r="M735" s="73" t="n">
        <v>0.001</v>
      </c>
      <c r="N735" s="73"/>
      <c r="O735" s="72"/>
      <c r="P735" s="67"/>
    </row>
    <row r="736" customFormat="false" ht="15.75" hidden="false" customHeight="true" outlineLevel="0" collapsed="false">
      <c r="A736" s="65" t="n">
        <v>46305</v>
      </c>
      <c r="B736" s="66" t="s">
        <v>213</v>
      </c>
      <c r="C736" s="67" t="str">
        <f aca="false" t="array" ref="C736:C736">IF(B736="","",IFERROR(INDEX('CLM &amp; IM Mapping'!$B$2:$B$270,MATCH(TRIM(B736),'CLM &amp; IM Mapping'!$A$2:$A$270,0)),"Not Mapped"))</f>
        <v>Bangareppa CS</v>
      </c>
      <c r="D736" s="67" t="str">
        <f aca="false" t="array" ref="D736:D736">IF(B736="","",IFERROR(INDEX('CLM &amp; IM Mapping'!$C$2:$C$270,MATCH(TRIM(B736),'CLM &amp; IM Mapping'!$A$2:$A$270,0)),"Not Mapped"))</f>
        <v>Kishor K</v>
      </c>
      <c r="E736" s="66" t="n">
        <v>26</v>
      </c>
      <c r="F736" s="66" t="n">
        <v>0</v>
      </c>
      <c r="G736" s="66" t="n">
        <v>26</v>
      </c>
      <c r="H736" s="66" t="n">
        <v>0</v>
      </c>
      <c r="I736" s="66" t="n">
        <v>0</v>
      </c>
      <c r="J736" s="66" t="n">
        <v>0</v>
      </c>
      <c r="K736" s="66" t="n">
        <v>0</v>
      </c>
      <c r="L736" s="66" t="n">
        <v>0</v>
      </c>
      <c r="M736" s="73" t="n">
        <v>0</v>
      </c>
      <c r="N736" s="73"/>
      <c r="O736" s="72"/>
      <c r="P736" s="67"/>
    </row>
    <row r="737" customFormat="false" ht="15.75" hidden="false" customHeight="true" outlineLevel="0" collapsed="false">
      <c r="A737" s="65" t="n">
        <v>46305</v>
      </c>
      <c r="B737" s="66" t="s">
        <v>472</v>
      </c>
      <c r="C737" s="67" t="str">
        <f aca="false" t="array" ref="C737:C737">IF(B737="","",IFERROR(INDEX('CLM &amp; IM Mapping'!$B$2:$B$270,MATCH(TRIM(B737),'CLM &amp; IM Mapping'!$A$2:$A$270,0)),"Not Mapped"))</f>
        <v>Bangareppa CS</v>
      </c>
      <c r="D737" s="67" t="str">
        <f aca="false" t="array" ref="D737:D737">IF(B737="","",IFERROR(INDEX('CLM &amp; IM Mapping'!$C$2:$C$270,MATCH(TRIM(B737),'CLM &amp; IM Mapping'!$A$2:$A$270,0)),"Not Mapped"))</f>
        <v>Kishor K</v>
      </c>
      <c r="E737" s="66" t="n">
        <v>400</v>
      </c>
      <c r="F737" s="66" t="n">
        <v>0</v>
      </c>
      <c r="G737" s="66" t="n">
        <v>400</v>
      </c>
      <c r="H737" s="66" t="n">
        <v>0</v>
      </c>
      <c r="I737" s="66" t="n">
        <v>0</v>
      </c>
      <c r="J737" s="66" t="n">
        <v>0</v>
      </c>
      <c r="K737" s="66" t="n">
        <v>0</v>
      </c>
      <c r="L737" s="66" t="n">
        <v>0</v>
      </c>
      <c r="M737" s="73" t="n">
        <v>0.001</v>
      </c>
      <c r="N737" s="73"/>
      <c r="O737" s="72"/>
      <c r="P737" s="67"/>
    </row>
    <row r="738" customFormat="false" ht="15.75" hidden="false" customHeight="true" outlineLevel="0" collapsed="false">
      <c r="A738" s="65" t="n">
        <v>46305</v>
      </c>
      <c r="B738" s="66" t="s">
        <v>440</v>
      </c>
      <c r="C738" s="67" t="str">
        <f aca="false" t="array" ref="C738:C738">IF(B738="","",IFERROR(INDEX('CLM &amp; IM Mapping'!$B$2:$B$270,MATCH(TRIM(B738),'CLM &amp; IM Mapping'!$A$2:$A$270,0)),"Not Mapped"))</f>
        <v>Bangareppa CS</v>
      </c>
      <c r="D738" s="67" t="str">
        <f aca="false" t="array" ref="D738:D738">IF(B738="","",IFERROR(INDEX('CLM &amp; IM Mapping'!$C$2:$C$270,MATCH(TRIM(B738),'CLM &amp; IM Mapping'!$A$2:$A$270,0)),"Not Mapped"))</f>
        <v>Kishor K</v>
      </c>
      <c r="E738" s="66" t="n">
        <v>0</v>
      </c>
      <c r="F738" s="66" t="n">
        <v>0</v>
      </c>
      <c r="G738" s="66" t="n">
        <v>0</v>
      </c>
      <c r="H738" s="66" t="n">
        <v>0</v>
      </c>
      <c r="I738" s="66" t="n">
        <v>0</v>
      </c>
      <c r="J738" s="66" t="n">
        <v>0</v>
      </c>
      <c r="K738" s="66" t="n">
        <v>0</v>
      </c>
      <c r="L738" s="66" t="n">
        <v>0</v>
      </c>
      <c r="M738" s="73" t="n">
        <v>0</v>
      </c>
      <c r="N738" s="73"/>
      <c r="O738" s="72"/>
      <c r="P738" s="67"/>
    </row>
    <row r="739" customFormat="false" ht="15.75" hidden="false" customHeight="true" outlineLevel="0" collapsed="false">
      <c r="A739" s="65" t="n">
        <v>46305</v>
      </c>
      <c r="B739" s="66" t="s">
        <v>466</v>
      </c>
      <c r="C739" s="67" t="str">
        <f aca="false" t="array" ref="C739:C739">IF(B739="","",IFERROR(INDEX('CLM &amp; IM Mapping'!$B$2:$B$270,MATCH(TRIM(B739),'CLM &amp; IM Mapping'!$A$2:$A$270,0)),"Not Mapped"))</f>
        <v>Vishnu V</v>
      </c>
      <c r="D739" s="67" t="str">
        <f aca="false" t="array" ref="D739:D739">IF(B739="","",IFERROR(INDEX('CLM &amp; IM Mapping'!$C$2:$C$270,MATCH(TRIM(B739),'CLM &amp; IM Mapping'!$A$2:$A$270,0)),"Not Mapped"))</f>
        <v>Arivind S</v>
      </c>
      <c r="E739" s="66" t="n">
        <v>3671</v>
      </c>
      <c r="F739" s="66" t="n">
        <v>328</v>
      </c>
      <c r="G739" s="66" t="n">
        <v>3295</v>
      </c>
      <c r="H739" s="66" t="n">
        <v>0</v>
      </c>
      <c r="I739" s="66" t="n">
        <v>48</v>
      </c>
      <c r="J739" s="66" t="n">
        <v>0</v>
      </c>
      <c r="K739" s="66" t="n">
        <v>0</v>
      </c>
      <c r="L739" s="66" t="n">
        <v>48</v>
      </c>
      <c r="M739" s="73" t="n">
        <v>0.02</v>
      </c>
      <c r="N739" s="73"/>
      <c r="O739" s="72"/>
      <c r="P739" s="67"/>
    </row>
    <row r="740" customFormat="false" ht="15.75" hidden="false" customHeight="true" outlineLevel="0" collapsed="false">
      <c r="A740" s="65" t="n">
        <v>46305</v>
      </c>
      <c r="B740" s="66" t="s">
        <v>478</v>
      </c>
      <c r="C740" s="67" t="str">
        <f aca="false" t="array" ref="C740:C740">IF(B740="","",IFERROR(INDEX('CLM &amp; IM Mapping'!$B$2:$B$270,MATCH(TRIM(B740),'CLM &amp; IM Mapping'!$A$2:$A$270,0)),"Not Mapped"))</f>
        <v>Vishnu V</v>
      </c>
      <c r="D740" s="67" t="str">
        <f aca="false" t="array" ref="D740:D740">IF(B740="","",IFERROR(INDEX('CLM &amp; IM Mapping'!$C$2:$C$270,MATCH(TRIM(B740),'CLM &amp; IM Mapping'!$A$2:$A$270,0)),"Not Mapped"))</f>
        <v>Arivind S</v>
      </c>
      <c r="E740" s="66" t="n">
        <v>594</v>
      </c>
      <c r="F740" s="66" t="n">
        <v>0</v>
      </c>
      <c r="G740" s="66" t="n">
        <v>0</v>
      </c>
      <c r="H740" s="66" t="n">
        <v>594</v>
      </c>
      <c r="I740" s="66" t="n">
        <v>0</v>
      </c>
      <c r="J740" s="66" t="n">
        <v>0</v>
      </c>
      <c r="K740" s="66" t="n">
        <v>0</v>
      </c>
      <c r="L740" s="66" t="n">
        <v>594</v>
      </c>
      <c r="M740" s="73" t="n">
        <v>0.001</v>
      </c>
      <c r="N740" s="73"/>
      <c r="O740" s="72"/>
      <c r="P740" s="67"/>
    </row>
    <row r="741" customFormat="false" ht="15.75" hidden="false" customHeight="true" outlineLevel="0" collapsed="false">
      <c r="A741" s="65" t="n">
        <v>46305</v>
      </c>
      <c r="B741" s="66" t="s">
        <v>224</v>
      </c>
      <c r="C741" s="67" t="str">
        <f aca="false" t="array" ref="C741:C741">IF(B741="","",IFERROR(INDEX('CLM &amp; IM Mapping'!$B$2:$B$270,MATCH(TRIM(B741),'CLM &amp; IM Mapping'!$A$2:$A$270,0)),"Not Mapped"))</f>
        <v>Vishnu V</v>
      </c>
      <c r="D741" s="67" t="str">
        <f aca="false" t="array" ref="D741:D741">IF(B741="","",IFERROR(INDEX('CLM &amp; IM Mapping'!$C$2:$C$270,MATCH(TRIM(B741),'CLM &amp; IM Mapping'!$A$2:$A$270,0)),"Not Mapped"))</f>
        <v>Arivind S</v>
      </c>
      <c r="E741" s="66" t="n">
        <v>3978</v>
      </c>
      <c r="F741" s="66" t="n">
        <v>0</v>
      </c>
      <c r="G741" s="66" t="n">
        <v>0</v>
      </c>
      <c r="H741" s="66" t="n">
        <v>3978</v>
      </c>
      <c r="I741" s="66" t="n">
        <v>0</v>
      </c>
      <c r="J741" s="66" t="n">
        <v>0</v>
      </c>
      <c r="K741" s="66" t="n">
        <v>0</v>
      </c>
      <c r="L741" s="66" t="n">
        <v>0</v>
      </c>
      <c r="M741" s="73"/>
      <c r="N741" s="73"/>
      <c r="O741" s="72"/>
      <c r="P741" s="67"/>
    </row>
    <row r="742" customFormat="false" ht="15.75" hidden="false" customHeight="true" outlineLevel="0" collapsed="false">
      <c r="A742" s="65" t="n">
        <v>46305</v>
      </c>
      <c r="B742" s="66" t="s">
        <v>222</v>
      </c>
      <c r="C742" s="67" t="str">
        <f aca="false" t="array" ref="C742:C742">IF(B742="","",IFERROR(INDEX('CLM &amp; IM Mapping'!$B$2:$B$270,MATCH(TRIM(B742),'CLM &amp; IM Mapping'!$A$2:$A$270,0)),"Not Mapped"))</f>
        <v>Vishnu V</v>
      </c>
      <c r="D742" s="67" t="str">
        <f aca="false" t="array" ref="D742:D742">IF(B742="","",IFERROR(INDEX('CLM &amp; IM Mapping'!$C$2:$C$270,MATCH(TRIM(B742),'CLM &amp; IM Mapping'!$A$2:$A$270,0)),"Not Mapped"))</f>
        <v>Arivind S</v>
      </c>
      <c r="E742" s="66" t="n">
        <v>3191</v>
      </c>
      <c r="F742" s="66" t="n">
        <v>0</v>
      </c>
      <c r="G742" s="66" t="n">
        <v>3191</v>
      </c>
      <c r="H742" s="66" t="n">
        <v>0</v>
      </c>
      <c r="I742" s="66" t="n">
        <v>0</v>
      </c>
      <c r="J742" s="66" t="n">
        <v>0</v>
      </c>
      <c r="K742" s="66" t="n">
        <v>0</v>
      </c>
      <c r="L742" s="66" t="n">
        <v>0</v>
      </c>
      <c r="M742" s="73" t="n">
        <v>0.009</v>
      </c>
      <c r="N742" s="73"/>
      <c r="O742" s="72"/>
      <c r="P742" s="67"/>
    </row>
    <row r="743" customFormat="false" ht="15.75" hidden="false" customHeight="true" outlineLevel="0" collapsed="false">
      <c r="A743" s="65" t="n">
        <v>46305</v>
      </c>
      <c r="B743" s="66" t="s">
        <v>431</v>
      </c>
      <c r="C743" s="67" t="str">
        <f aca="false" t="array" ref="C743:C743">IF(B743="","",IFERROR(INDEX('CLM &amp; IM Mapping'!$B$2:$B$270,MATCH(TRIM(B743),'CLM &amp; IM Mapping'!$A$2:$A$270,0)),"Not Mapped"))</f>
        <v>Vishnu V</v>
      </c>
      <c r="D743" s="67" t="str">
        <f aca="false" t="array" ref="D743:D743">IF(B743="","",IFERROR(INDEX('CLM &amp; IM Mapping'!$C$2:$C$270,MATCH(TRIM(B743),'CLM &amp; IM Mapping'!$A$2:$A$270,0)),"Not Mapped"))</f>
        <v>Arivind S</v>
      </c>
      <c r="E743" s="66" t="n">
        <v>0</v>
      </c>
      <c r="F743" s="66" t="n">
        <v>0</v>
      </c>
      <c r="G743" s="66" t="n">
        <v>0</v>
      </c>
      <c r="H743" s="66" t="n">
        <v>0</v>
      </c>
      <c r="I743" s="66" t="n">
        <v>0</v>
      </c>
      <c r="J743" s="66" t="n">
        <v>0</v>
      </c>
      <c r="K743" s="66" t="n">
        <v>0</v>
      </c>
      <c r="L743" s="66" t="n">
        <v>0</v>
      </c>
      <c r="M743" s="73" t="n">
        <v>0</v>
      </c>
      <c r="N743" s="73"/>
      <c r="O743" s="72"/>
      <c r="P743" s="67"/>
    </row>
    <row r="744" customFormat="false" ht="15.75" hidden="false" customHeight="true" outlineLevel="0" collapsed="false">
      <c r="A744" s="65" t="n">
        <v>46305</v>
      </c>
      <c r="B744" s="66" t="s">
        <v>411</v>
      </c>
      <c r="C744" s="67" t="str">
        <f aca="false" t="array" ref="C744:C744">IF(B744="","",IFERROR(INDEX('CLM &amp; IM Mapping'!$B$2:$B$270,MATCH(TRIM(B744),'CLM &amp; IM Mapping'!$A$2:$A$270,0)),"Not Mapped"))</f>
        <v>Vishnu V</v>
      </c>
      <c r="D744" s="67" t="str">
        <f aca="false" t="array" ref="D744:D744">IF(B744="","",IFERROR(INDEX('CLM &amp; IM Mapping'!$C$2:$C$270,MATCH(TRIM(B744),'CLM &amp; IM Mapping'!$A$2:$A$270,0)),"Not Mapped"))</f>
        <v>Arivind S</v>
      </c>
      <c r="E744" s="66" t="n">
        <v>1653</v>
      </c>
      <c r="F744" s="66" t="n">
        <v>634</v>
      </c>
      <c r="G744" s="66" t="n">
        <v>1015</v>
      </c>
      <c r="H744" s="66" t="n">
        <v>4</v>
      </c>
      <c r="I744" s="66" t="n">
        <v>0</v>
      </c>
      <c r="J744" s="66" t="n">
        <v>0</v>
      </c>
      <c r="K744" s="66" t="n">
        <v>0</v>
      </c>
      <c r="L744" s="66" t="n">
        <v>4</v>
      </c>
      <c r="M744" s="73" t="n">
        <v>0.005</v>
      </c>
      <c r="N744" s="73"/>
      <c r="O744" s="72"/>
      <c r="P744" s="67"/>
    </row>
    <row r="745" customFormat="false" ht="15.75" hidden="false" customHeight="true" outlineLevel="0" collapsed="false">
      <c r="A745" s="65" t="n">
        <v>46305</v>
      </c>
      <c r="B745" s="66" t="s">
        <v>274</v>
      </c>
      <c r="C745" s="67" t="str">
        <f aca="false" t="array" ref="C745:C745">IF(B745="","",IFERROR(INDEX('CLM &amp; IM Mapping'!$B$2:$B$270,MATCH(TRIM(B745),'CLM &amp; IM Mapping'!$A$2:$A$270,0)),"Not Mapped"))</f>
        <v>Vishnu V</v>
      </c>
      <c r="D745" s="67" t="str">
        <f aca="false" t="array" ref="D745:D745">IF(B745="","",IFERROR(INDEX('CLM &amp; IM Mapping'!$C$2:$C$270,MATCH(TRIM(B745),'CLM &amp; IM Mapping'!$A$2:$A$270,0)),"Not Mapped"))</f>
        <v>Arivind S</v>
      </c>
      <c r="E745" s="66" t="n">
        <v>38</v>
      </c>
      <c r="F745" s="66" t="n">
        <v>0</v>
      </c>
      <c r="G745" s="66" t="n">
        <v>0</v>
      </c>
      <c r="H745" s="66" t="n">
        <v>38</v>
      </c>
      <c r="I745" s="66" t="n">
        <v>0</v>
      </c>
      <c r="J745" s="66" t="n">
        <v>0</v>
      </c>
      <c r="K745" s="66" t="n">
        <v>0</v>
      </c>
      <c r="L745" s="66" t="n">
        <v>38</v>
      </c>
      <c r="M745" s="73" t="n">
        <v>0.001</v>
      </c>
      <c r="N745" s="73"/>
      <c r="O745" s="72"/>
      <c r="P745" s="67"/>
    </row>
    <row r="746" customFormat="false" ht="15.75" hidden="false" customHeight="true" outlineLevel="0" collapsed="false">
      <c r="A746" s="65" t="n">
        <v>46305</v>
      </c>
      <c r="B746" s="66" t="s">
        <v>323</v>
      </c>
      <c r="C746" s="67" t="str">
        <f aca="false" t="array" ref="C746:C746">IF(B746="","",IFERROR(INDEX('CLM &amp; IM Mapping'!$B$2:$B$270,MATCH(TRIM(B746),'CLM &amp; IM Mapping'!$A$2:$A$270,0)),"Not Mapped"))</f>
        <v>Vishnu V</v>
      </c>
      <c r="D746" s="67" t="str">
        <f aca="false" t="array" ref="D746:D746">IF(B746="","",IFERROR(INDEX('CLM &amp; IM Mapping'!$C$2:$C$270,MATCH(TRIM(B746),'CLM &amp; IM Mapping'!$A$2:$A$270,0)),"Not Mapped"))</f>
        <v>Arivind S</v>
      </c>
      <c r="E746" s="66" t="n">
        <v>1</v>
      </c>
      <c r="F746" s="66" t="n">
        <v>1</v>
      </c>
      <c r="G746" s="66" t="n">
        <v>0</v>
      </c>
      <c r="H746" s="66" t="n">
        <v>0</v>
      </c>
      <c r="I746" s="66" t="n">
        <v>0</v>
      </c>
      <c r="J746" s="66" t="n">
        <v>0</v>
      </c>
      <c r="K746" s="66" t="n">
        <v>0</v>
      </c>
      <c r="L746" s="66" t="n">
        <v>0</v>
      </c>
      <c r="M746" s="73" t="n">
        <v>0</v>
      </c>
      <c r="N746" s="73"/>
      <c r="O746" s="72"/>
      <c r="P746" s="67"/>
    </row>
    <row r="747" customFormat="false" ht="15.75" hidden="false" customHeight="true" outlineLevel="0" collapsed="false">
      <c r="A747" s="65" t="n">
        <v>46305</v>
      </c>
      <c r="B747" s="66" t="s">
        <v>415</v>
      </c>
      <c r="C747" s="67" t="str">
        <f aca="false" t="array" ref="C747:C747">IF(B747="","",IFERROR(INDEX('CLM &amp; IM Mapping'!$B$2:$B$270,MATCH(TRIM(B747),'CLM &amp; IM Mapping'!$A$2:$A$270,0)),"Not Mapped"))</f>
        <v>Vishnu V</v>
      </c>
      <c r="D747" s="67" t="str">
        <f aca="false" t="array" ref="D747:D747">IF(B747="","",IFERROR(INDEX('CLM &amp; IM Mapping'!$C$2:$C$270,MATCH(TRIM(B747),'CLM &amp; IM Mapping'!$A$2:$A$270,0)),"Not Mapped"))</f>
        <v>Arivind S</v>
      </c>
      <c r="E747" s="66" t="n">
        <v>0</v>
      </c>
      <c r="F747" s="66" t="n">
        <v>0</v>
      </c>
      <c r="G747" s="66" t="n">
        <v>0</v>
      </c>
      <c r="H747" s="66" t="n">
        <v>0</v>
      </c>
      <c r="I747" s="66" t="n">
        <v>0</v>
      </c>
      <c r="J747" s="66" t="n">
        <v>0</v>
      </c>
      <c r="K747" s="66" t="n">
        <v>0</v>
      </c>
      <c r="L747" s="66" t="n">
        <v>0</v>
      </c>
      <c r="M747" s="73" t="n">
        <v>0</v>
      </c>
      <c r="N747" s="73"/>
      <c r="O747" s="72"/>
      <c r="P747" s="67"/>
    </row>
    <row r="748" customFormat="false" ht="15.75" hidden="false" customHeight="true" outlineLevel="0" collapsed="false">
      <c r="A748" s="65" t="n">
        <v>46305</v>
      </c>
      <c r="B748" s="66" t="s">
        <v>252</v>
      </c>
      <c r="C748" s="67" t="str">
        <f aca="false" t="array" ref="C748:C748">IF(B748="","",IFERROR(INDEX('CLM &amp; IM Mapping'!$B$2:$B$270,MATCH(TRIM(B748),'CLM &amp; IM Mapping'!$A$2:$A$270,0)),"Not Mapped"))</f>
        <v>Vishnu V</v>
      </c>
      <c r="D748" s="67" t="str">
        <f aca="false" t="array" ref="D748:D748">IF(B748="","",IFERROR(INDEX('CLM &amp; IM Mapping'!$C$2:$C$270,MATCH(TRIM(B748),'CLM &amp; IM Mapping'!$A$2:$A$270,0)),"Not Mapped"))</f>
        <v>Arivind S</v>
      </c>
      <c r="E748" s="66" t="n">
        <v>2347</v>
      </c>
      <c r="F748" s="66" t="n">
        <v>66</v>
      </c>
      <c r="G748" s="66" t="n">
        <v>245</v>
      </c>
      <c r="H748" s="66" t="n">
        <v>2033</v>
      </c>
      <c r="I748" s="66" t="n">
        <v>3</v>
      </c>
      <c r="J748" s="66" t="n">
        <v>0</v>
      </c>
      <c r="K748" s="66" t="n">
        <v>0</v>
      </c>
      <c r="L748" s="66" t="n">
        <v>2036</v>
      </c>
      <c r="M748" s="73" t="n">
        <v>0.007</v>
      </c>
      <c r="N748" s="73"/>
      <c r="O748" s="72"/>
      <c r="P748" s="67"/>
    </row>
    <row r="749" customFormat="false" ht="15.75" hidden="false" customHeight="true" outlineLevel="0" collapsed="false">
      <c r="A749" s="65" t="n">
        <v>46305</v>
      </c>
      <c r="B749" s="66" t="s">
        <v>470</v>
      </c>
      <c r="C749" s="67" t="str">
        <f aca="false" t="array" ref="C749:C749">IF(B749="","",IFERROR(INDEX('CLM &amp; IM Mapping'!$B$2:$B$270,MATCH(TRIM(B749),'CLM &amp; IM Mapping'!$A$2:$A$270,0)),"Not Mapped"))</f>
        <v>Vishnu V</v>
      </c>
      <c r="D749" s="67" t="str">
        <f aca="false" t="array" ref="D749:D749">IF(B749="","",IFERROR(INDEX('CLM &amp; IM Mapping'!$C$2:$C$270,MATCH(TRIM(B749),'CLM &amp; IM Mapping'!$A$2:$A$270,0)),"Not Mapped"))</f>
        <v>Arivind S</v>
      </c>
      <c r="E749" s="66" t="n">
        <v>420</v>
      </c>
      <c r="F749" s="66" t="n">
        <v>0</v>
      </c>
      <c r="G749" s="66" t="n">
        <v>0</v>
      </c>
      <c r="H749" s="66" t="n">
        <v>420</v>
      </c>
      <c r="I749" s="66" t="n">
        <v>0</v>
      </c>
      <c r="J749" s="66" t="n">
        <v>0</v>
      </c>
      <c r="K749" s="66" t="n">
        <v>0</v>
      </c>
      <c r="L749" s="66" t="n">
        <v>420</v>
      </c>
      <c r="M749" s="73" t="n">
        <v>0.004</v>
      </c>
      <c r="N749" s="73"/>
      <c r="O749" s="72"/>
      <c r="P749" s="67"/>
    </row>
    <row r="750" customFormat="false" ht="15.75" hidden="false" customHeight="true" outlineLevel="0" collapsed="false">
      <c r="A750" s="65" t="n">
        <v>46305</v>
      </c>
      <c r="B750" s="66" t="s">
        <v>350</v>
      </c>
      <c r="C750" s="67" t="str">
        <f aca="false" t="array" ref="C750:C750">IF(B750="","",IFERROR(INDEX('CLM &amp; IM Mapping'!$B$2:$B$270,MATCH(TRIM(B750),'CLM &amp; IM Mapping'!$A$2:$A$270,0)),"Not Mapped"))</f>
        <v>Vishnu V</v>
      </c>
      <c r="D750" s="67" t="str">
        <f aca="false" t="array" ref="D750:D750">IF(B750="","",IFERROR(INDEX('CLM &amp; IM Mapping'!$C$2:$C$270,MATCH(TRIM(B750),'CLM &amp; IM Mapping'!$A$2:$A$270,0)),"Not Mapped"))</f>
        <v>Arivind S</v>
      </c>
      <c r="E750" s="66" t="n">
        <v>899</v>
      </c>
      <c r="F750" s="66" t="n">
        <v>0</v>
      </c>
      <c r="G750" s="66" t="n">
        <v>0</v>
      </c>
      <c r="H750" s="66" t="n">
        <v>899</v>
      </c>
      <c r="I750" s="66" t="n">
        <v>0</v>
      </c>
      <c r="J750" s="66" t="n">
        <v>0</v>
      </c>
      <c r="K750" s="66" t="n">
        <v>0</v>
      </c>
      <c r="L750" s="66" t="n">
        <v>899</v>
      </c>
      <c r="M750" s="73" t="n">
        <v>0.007</v>
      </c>
      <c r="N750" s="73"/>
      <c r="O750" s="72"/>
      <c r="P750" s="67"/>
    </row>
    <row r="751" customFormat="false" ht="15.75" hidden="false" customHeight="true" outlineLevel="0" collapsed="false">
      <c r="A751" s="65" t="n">
        <v>46305</v>
      </c>
      <c r="B751" s="66" t="s">
        <v>316</v>
      </c>
      <c r="C751" s="67" t="str">
        <f aca="false" t="array" ref="C751:C751">IF(B751="","",IFERROR(INDEX('CLM &amp; IM Mapping'!$B$2:$B$270,MATCH(TRIM(B751),'CLM &amp; IM Mapping'!$A$2:$A$270,0)),"Not Mapped"))</f>
        <v>Vishnu V</v>
      </c>
      <c r="D751" s="67" t="str">
        <f aca="false" t="array" ref="D751:D751">IF(B751="","",IFERROR(INDEX('CLM &amp; IM Mapping'!$C$2:$C$270,MATCH(TRIM(B751),'CLM &amp; IM Mapping'!$A$2:$A$270,0)),"Not Mapped"))</f>
        <v>Arivind S</v>
      </c>
      <c r="E751" s="66" t="n">
        <v>2508</v>
      </c>
      <c r="F751" s="66" t="n">
        <v>0</v>
      </c>
      <c r="G751" s="66" t="n">
        <v>0</v>
      </c>
      <c r="H751" s="66" t="n">
        <v>2508</v>
      </c>
      <c r="I751" s="66" t="n">
        <v>0</v>
      </c>
      <c r="J751" s="66" t="n">
        <v>0</v>
      </c>
      <c r="K751" s="66" t="n">
        <v>0</v>
      </c>
      <c r="L751" s="66" t="n">
        <v>2508</v>
      </c>
      <c r="M751" s="73" t="n">
        <v>0.023</v>
      </c>
      <c r="N751" s="73"/>
      <c r="O751" s="72"/>
      <c r="P751" s="67"/>
    </row>
    <row r="752" customFormat="false" ht="15.75" hidden="false" customHeight="true" outlineLevel="0" collapsed="false">
      <c r="A752" s="65" t="n">
        <v>46305</v>
      </c>
      <c r="B752" s="66" t="s">
        <v>378</v>
      </c>
      <c r="C752" s="67" t="str">
        <f aca="false" t="array" ref="C752:C752">IF(B752="","",IFERROR(INDEX('CLM &amp; IM Mapping'!$B$2:$B$270,MATCH(TRIM(B752),'CLM &amp; IM Mapping'!$A$2:$A$270,0)),"Not Mapped"))</f>
        <v>Vishnu V</v>
      </c>
      <c r="D752" s="67" t="str">
        <f aca="false" t="array" ref="D752:D752">IF(B752="","",IFERROR(INDEX('CLM &amp; IM Mapping'!$C$2:$C$270,MATCH(TRIM(B752),'CLM &amp; IM Mapping'!$A$2:$A$270,0)),"Not Mapped"))</f>
        <v>Arivind S</v>
      </c>
      <c r="E752" s="66" t="n">
        <v>796</v>
      </c>
      <c r="F752" s="66" t="n">
        <v>752</v>
      </c>
      <c r="G752" s="66" t="n">
        <v>0</v>
      </c>
      <c r="H752" s="66" t="n">
        <v>0</v>
      </c>
      <c r="I752" s="66" t="n">
        <v>0</v>
      </c>
      <c r="J752" s="66" t="n">
        <v>0</v>
      </c>
      <c r="K752" s="66" t="n">
        <v>44</v>
      </c>
      <c r="L752" s="66" t="n">
        <v>44</v>
      </c>
      <c r="M752" s="73" t="n">
        <v>0</v>
      </c>
      <c r="N752" s="73"/>
      <c r="O752" s="72"/>
      <c r="P752" s="67"/>
    </row>
    <row r="753" customFormat="false" ht="15.75" hidden="false" customHeight="true" outlineLevel="0" collapsed="false">
      <c r="A753" s="65" t="n">
        <v>46305</v>
      </c>
      <c r="B753" s="66" t="s">
        <v>503</v>
      </c>
      <c r="C753" s="67" t="str">
        <f aca="false" t="array" ref="C753:C753">IF(B753="","",IFERROR(INDEX('CLM &amp; IM Mapping'!$B$2:$B$270,MATCH(TRIM(B753),'CLM &amp; IM Mapping'!$A$2:$A$270,0)),"Not Mapped"))</f>
        <v>Santhosha M</v>
      </c>
      <c r="D753" s="67" t="str">
        <f aca="false" t="array" ref="D753:D753">IF(B753="","",IFERROR(INDEX('CLM &amp; IM Mapping'!$C$2:$C$270,MATCH(TRIM(B753),'CLM &amp; IM Mapping'!$A$2:$A$270,0)),"Not Mapped"))</f>
        <v>Aravind S</v>
      </c>
      <c r="E753" s="66" t="n">
        <v>0</v>
      </c>
      <c r="F753" s="66" t="n">
        <v>0</v>
      </c>
      <c r="G753" s="66" t="n">
        <v>0</v>
      </c>
      <c r="H753" s="66" t="n">
        <v>0</v>
      </c>
      <c r="I753" s="66" t="n">
        <v>0</v>
      </c>
      <c r="J753" s="66" t="n">
        <v>0</v>
      </c>
      <c r="K753" s="66" t="n">
        <v>0</v>
      </c>
      <c r="L753" s="66" t="n">
        <v>0</v>
      </c>
      <c r="M753" s="73" t="n">
        <v>0</v>
      </c>
      <c r="N753" s="73"/>
      <c r="O753" s="72"/>
      <c r="P753" s="67"/>
    </row>
    <row r="754" customFormat="false" ht="15.75" hidden="false" customHeight="true" outlineLevel="0" collapsed="false">
      <c r="A754" s="65" t="n">
        <v>46305</v>
      </c>
      <c r="B754" s="66" t="s">
        <v>421</v>
      </c>
      <c r="C754" s="67" t="str">
        <f aca="false" t="array" ref="C754:C754">IF(B754="","",IFERROR(INDEX('CLM &amp; IM Mapping'!$B$2:$B$270,MATCH(TRIM(B754),'CLM &amp; IM Mapping'!$A$2:$A$270,0)),"Not Mapped"))</f>
        <v>Santhosha M</v>
      </c>
      <c r="D754" s="67" t="str">
        <f aca="false" t="array" ref="D754:D754">IF(B754="","",IFERROR(INDEX('CLM &amp; IM Mapping'!$C$2:$C$270,MATCH(TRIM(B754),'CLM &amp; IM Mapping'!$A$2:$A$270,0)),"Not Mapped"))</f>
        <v>Aravind S</v>
      </c>
      <c r="E754" s="66" t="n">
        <v>1817</v>
      </c>
      <c r="F754" s="66" t="n">
        <v>1817</v>
      </c>
      <c r="G754" s="66" t="n">
        <v>0</v>
      </c>
      <c r="H754" s="66" t="n">
        <v>0</v>
      </c>
      <c r="I754" s="66" t="n">
        <v>0</v>
      </c>
      <c r="J754" s="66" t="n">
        <v>0</v>
      </c>
      <c r="K754" s="66" t="n">
        <v>0</v>
      </c>
      <c r="L754" s="66" t="n">
        <v>0</v>
      </c>
      <c r="M754" s="73" t="n">
        <v>0.016</v>
      </c>
      <c r="N754" s="73"/>
      <c r="O754" s="72"/>
      <c r="P754" s="67"/>
    </row>
    <row r="755" customFormat="false" ht="15.75" hidden="false" customHeight="true" outlineLevel="0" collapsed="false">
      <c r="A755" s="65" t="n">
        <v>46305</v>
      </c>
      <c r="B755" s="66" t="s">
        <v>325</v>
      </c>
      <c r="C755" s="67" t="str">
        <f aca="false" t="array" ref="C755:C755">IF(B755="","",IFERROR(INDEX('CLM &amp; IM Mapping'!$B$2:$B$270,MATCH(TRIM(B755),'CLM &amp; IM Mapping'!$A$2:$A$270,0)),"Not Mapped"))</f>
        <v>Santhosha M</v>
      </c>
      <c r="D755" s="67" t="str">
        <f aca="false" t="array" ref="D755:D755">IF(B755="","",IFERROR(INDEX('CLM &amp; IM Mapping'!$C$2:$C$270,MATCH(TRIM(B755),'CLM &amp; IM Mapping'!$A$2:$A$270,0)),"Not Mapped"))</f>
        <v>Aravind S</v>
      </c>
      <c r="E755" s="66" t="n">
        <v>4111</v>
      </c>
      <c r="F755" s="66" t="n">
        <v>4111</v>
      </c>
      <c r="G755" s="66" t="n">
        <v>0</v>
      </c>
      <c r="H755" s="66" t="n">
        <v>0</v>
      </c>
      <c r="I755" s="66" t="n">
        <v>0</v>
      </c>
      <c r="J755" s="66" t="n">
        <v>0</v>
      </c>
      <c r="K755" s="66" t="n">
        <v>0</v>
      </c>
      <c r="L755" s="66" t="n">
        <v>0</v>
      </c>
      <c r="M755" s="73" t="n">
        <v>0.032</v>
      </c>
      <c r="N755" s="73"/>
      <c r="O755" s="72"/>
      <c r="P755" s="67"/>
    </row>
    <row r="756" customFormat="false" ht="15.75" hidden="false" customHeight="true" outlineLevel="0" collapsed="false">
      <c r="A756" s="65" t="n">
        <v>46305</v>
      </c>
      <c r="B756" s="66" t="s">
        <v>450</v>
      </c>
      <c r="C756" s="67" t="str">
        <f aca="false" t="array" ref="C756:C756">IF(B756="","",IFERROR(INDEX('CLM &amp; IM Mapping'!$B$2:$B$270,MATCH(TRIM(B756),'CLM &amp; IM Mapping'!$A$2:$A$270,0)),"Not Mapped"))</f>
        <v>Santhosha M</v>
      </c>
      <c r="D756" s="67" t="str">
        <f aca="false" t="array" ref="D756:D756">IF(B756="","",IFERROR(INDEX('CLM &amp; IM Mapping'!$C$2:$C$270,MATCH(TRIM(B756),'CLM &amp; IM Mapping'!$A$2:$A$270,0)),"Not Mapped"))</f>
        <v>Aravind S</v>
      </c>
      <c r="E756" s="66" t="n">
        <v>124</v>
      </c>
      <c r="F756" s="66" t="n">
        <v>124</v>
      </c>
      <c r="G756" s="66" t="n">
        <v>0</v>
      </c>
      <c r="H756" s="66" t="n">
        <v>0</v>
      </c>
      <c r="I756" s="66" t="n">
        <v>0</v>
      </c>
      <c r="J756" s="66" t="n">
        <v>0</v>
      </c>
      <c r="K756" s="66" t="n">
        <v>0</v>
      </c>
      <c r="L756" s="66" t="n">
        <v>0</v>
      </c>
      <c r="M756" s="73" t="n">
        <v>0.001</v>
      </c>
      <c r="N756" s="73"/>
      <c r="O756" s="72"/>
      <c r="P756" s="67"/>
    </row>
    <row r="757" customFormat="false" ht="15.75" hidden="false" customHeight="true" outlineLevel="0" collapsed="false">
      <c r="A757" s="65" t="n">
        <v>46305</v>
      </c>
      <c r="B757" s="66" t="s">
        <v>359</v>
      </c>
      <c r="C757" s="67" t="str">
        <f aca="false" t="array" ref="C757:C757">IF(B757="","",IFERROR(INDEX('CLM &amp; IM Mapping'!$B$2:$B$270,MATCH(TRIM(B757),'CLM &amp; IM Mapping'!$A$2:$A$270,0)),"Not Mapped"))</f>
        <v>Santhosha M</v>
      </c>
      <c r="D757" s="67" t="str">
        <f aca="false" t="array" ref="D757:D757">IF(B757="","",IFERROR(INDEX('CLM &amp; IM Mapping'!$C$2:$C$270,MATCH(TRIM(B757),'CLM &amp; IM Mapping'!$A$2:$A$270,0)),"Not Mapped"))</f>
        <v>Aravind S</v>
      </c>
      <c r="E757" s="66" t="n">
        <v>2121</v>
      </c>
      <c r="F757" s="66" t="n">
        <v>2121</v>
      </c>
      <c r="G757" s="66" t="n">
        <v>0</v>
      </c>
      <c r="H757" s="66" t="n">
        <v>0</v>
      </c>
      <c r="I757" s="66" t="n">
        <v>0</v>
      </c>
      <c r="J757" s="66" t="n">
        <v>0</v>
      </c>
      <c r="K757" s="66" t="n">
        <v>0</v>
      </c>
      <c r="L757" s="66" t="n">
        <v>0</v>
      </c>
      <c r="M757" s="73" t="n">
        <v>0.022</v>
      </c>
      <c r="N757" s="73"/>
      <c r="O757" s="72"/>
      <c r="P757" s="67"/>
    </row>
    <row r="758" customFormat="false" ht="15.75" hidden="false" customHeight="true" outlineLevel="0" collapsed="false">
      <c r="A758" s="65" t="n">
        <v>46305</v>
      </c>
      <c r="B758" s="66" t="s">
        <v>493</v>
      </c>
      <c r="C758" s="67" t="str">
        <f aca="false" t="array" ref="C758:C758">IF(B758="","",IFERROR(INDEX('CLM &amp; IM Mapping'!$B$2:$B$270,MATCH(TRIM(B758),'CLM &amp; IM Mapping'!$A$2:$A$270,0)),"Not Mapped"))</f>
        <v>Santhosha M</v>
      </c>
      <c r="D758" s="67" t="str">
        <f aca="false" t="array" ref="D758:D758">IF(B758="","",IFERROR(INDEX('CLM &amp; IM Mapping'!$C$2:$C$270,MATCH(TRIM(B758),'CLM &amp; IM Mapping'!$A$2:$A$270,0)),"Not Mapped"))</f>
        <v>Aravind S</v>
      </c>
      <c r="E758" s="66" t="n">
        <v>0</v>
      </c>
      <c r="F758" s="66" t="n">
        <v>0</v>
      </c>
      <c r="G758" s="66" t="n">
        <v>0</v>
      </c>
      <c r="H758" s="66" t="n">
        <v>0</v>
      </c>
      <c r="I758" s="66" t="n">
        <v>0</v>
      </c>
      <c r="J758" s="66" t="n">
        <v>0</v>
      </c>
      <c r="K758" s="66" t="n">
        <v>0</v>
      </c>
      <c r="L758" s="66" t="n">
        <v>0</v>
      </c>
      <c r="M758" s="73" t="n">
        <v>0</v>
      </c>
      <c r="N758" s="73"/>
      <c r="O758" s="72"/>
      <c r="P758" s="67"/>
    </row>
    <row r="759" customFormat="false" ht="15.75" hidden="false" customHeight="true" outlineLevel="0" collapsed="false">
      <c r="A759" s="65" t="n">
        <v>46305</v>
      </c>
      <c r="B759" s="66" t="s">
        <v>425</v>
      </c>
      <c r="C759" s="67" t="str">
        <f aca="false" t="array" ref="C759:C759">IF(B759="","",IFERROR(INDEX('CLM &amp; IM Mapping'!$B$2:$B$270,MATCH(TRIM(B759),'CLM &amp; IM Mapping'!$A$2:$A$270,0)),"Not Mapped"))</f>
        <v>Santhosha M</v>
      </c>
      <c r="D759" s="67" t="str">
        <f aca="false" t="array" ref="D759:D759">IF(B759="","",IFERROR(INDEX('CLM &amp; IM Mapping'!$C$2:$C$270,MATCH(TRIM(B759),'CLM &amp; IM Mapping'!$A$2:$A$270,0)),"Not Mapped"))</f>
        <v>Aravind S</v>
      </c>
      <c r="E759" s="66" t="n">
        <v>1166</v>
      </c>
      <c r="F759" s="66" t="n">
        <v>0</v>
      </c>
      <c r="G759" s="66" t="n">
        <v>1166</v>
      </c>
      <c r="H759" s="66" t="n">
        <v>0</v>
      </c>
      <c r="I759" s="66" t="n">
        <v>0</v>
      </c>
      <c r="J759" s="66" t="n">
        <v>0</v>
      </c>
      <c r="K759" s="66" t="n">
        <v>0</v>
      </c>
      <c r="L759" s="66" t="n">
        <v>0</v>
      </c>
      <c r="M759" s="73" t="n">
        <v>0.008</v>
      </c>
      <c r="N759" s="73"/>
      <c r="O759" s="72"/>
      <c r="P759" s="67"/>
    </row>
    <row r="760" customFormat="false" ht="15.75" hidden="false" customHeight="true" outlineLevel="0" collapsed="false">
      <c r="A760" s="65" t="n">
        <v>46305</v>
      </c>
      <c r="B760" s="66" t="s">
        <v>277</v>
      </c>
      <c r="C760" s="67" t="str">
        <f aca="false" t="array" ref="C760:C760">IF(B760="","",IFERROR(INDEX('CLM &amp; IM Mapping'!$B$2:$B$270,MATCH(TRIM(B760),'CLM &amp; IM Mapping'!$A$2:$A$270,0)),"Not Mapped"))</f>
        <v>Santhosha M</v>
      </c>
      <c r="D760" s="67" t="str">
        <f aca="false" t="array" ref="D760:D760">IF(B760="","",IFERROR(INDEX('CLM &amp; IM Mapping'!$C$2:$C$270,MATCH(TRIM(B760),'CLM &amp; IM Mapping'!$A$2:$A$270,0)),"Not Mapped"))</f>
        <v>Aravind S</v>
      </c>
      <c r="E760" s="66" t="n">
        <v>4604</v>
      </c>
      <c r="F760" s="66" t="n">
        <v>4604</v>
      </c>
      <c r="G760" s="66" t="n">
        <v>0</v>
      </c>
      <c r="H760" s="66" t="n">
        <v>0</v>
      </c>
      <c r="I760" s="66" t="n">
        <v>0</v>
      </c>
      <c r="J760" s="66" t="n">
        <v>0</v>
      </c>
      <c r="K760" s="66" t="n">
        <v>0</v>
      </c>
      <c r="L760" s="66" t="n">
        <v>0</v>
      </c>
      <c r="M760" s="73" t="n">
        <v>0.03</v>
      </c>
      <c r="N760" s="73"/>
      <c r="O760" s="72"/>
      <c r="P760" s="67"/>
    </row>
    <row r="761" customFormat="false" ht="15.75" hidden="false" customHeight="true" outlineLevel="0" collapsed="false">
      <c r="A761" s="65" t="n">
        <v>46305</v>
      </c>
      <c r="B761" s="66" t="s">
        <v>361</v>
      </c>
      <c r="C761" s="67" t="str">
        <f aca="false" t="array" ref="C761:C761">IF(B761="","",IFERROR(INDEX('CLM &amp; IM Mapping'!$B$2:$B$270,MATCH(TRIM(B761),'CLM &amp; IM Mapping'!$A$2:$A$270,0)),"Not Mapped"))</f>
        <v>Santhosha M</v>
      </c>
      <c r="D761" s="67" t="str">
        <f aca="false" t="array" ref="D761:D761">IF(B761="","",IFERROR(INDEX('CLM &amp; IM Mapping'!$C$2:$C$270,MATCH(TRIM(B761),'CLM &amp; IM Mapping'!$A$2:$A$270,0)),"Not Mapped"))</f>
        <v>Aravind S</v>
      </c>
      <c r="E761" s="66" t="n">
        <v>1360</v>
      </c>
      <c r="F761" s="66" t="n">
        <v>0</v>
      </c>
      <c r="G761" s="66" t="n">
        <v>1360</v>
      </c>
      <c r="H761" s="66" t="n">
        <v>0</v>
      </c>
      <c r="I761" s="66" t="n">
        <v>0</v>
      </c>
      <c r="J761" s="66" t="n">
        <v>0</v>
      </c>
      <c r="K761" s="66" t="n">
        <v>0</v>
      </c>
      <c r="L761" s="66" t="n">
        <v>0</v>
      </c>
      <c r="M761" s="73" t="n">
        <v>0.009</v>
      </c>
      <c r="N761" s="73"/>
      <c r="O761" s="72"/>
      <c r="P761" s="67"/>
    </row>
    <row r="762" customFormat="false" ht="15.75" hidden="false" customHeight="true" outlineLevel="0" collapsed="false">
      <c r="A762" s="65" t="n">
        <v>46305</v>
      </c>
      <c r="B762" s="66" t="s">
        <v>439</v>
      </c>
      <c r="C762" s="67" t="str">
        <f aca="false" t="array" ref="C762:C762">IF(B762="","",IFERROR(INDEX('CLM &amp; IM Mapping'!$B$2:$B$270,MATCH(TRIM(B762),'CLM &amp; IM Mapping'!$A$2:$A$270,0)),"Not Mapped"))</f>
        <v>Vishnu V</v>
      </c>
      <c r="D762" s="67" t="str">
        <f aca="false" t="array" ref="D762:D762">IF(B762="","",IFERROR(INDEX('CLM &amp; IM Mapping'!$C$2:$C$270,MATCH(TRIM(B762),'CLM &amp; IM Mapping'!$A$2:$A$270,0)),"Not Mapped"))</f>
        <v>Arivind S</v>
      </c>
      <c r="E762" s="66" t="n">
        <v>0</v>
      </c>
      <c r="F762" s="66" t="n">
        <v>0</v>
      </c>
      <c r="G762" s="66" t="n">
        <v>0</v>
      </c>
      <c r="H762" s="66" t="n">
        <v>0</v>
      </c>
      <c r="I762" s="66" t="n">
        <v>0</v>
      </c>
      <c r="J762" s="66" t="n">
        <v>0</v>
      </c>
      <c r="K762" s="66" t="n">
        <v>0</v>
      </c>
      <c r="L762" s="66" t="n">
        <v>0</v>
      </c>
      <c r="M762" s="73" t="n">
        <v>0</v>
      </c>
      <c r="N762" s="73"/>
      <c r="O762" s="72"/>
      <c r="P762" s="67"/>
    </row>
    <row r="763" customFormat="false" ht="15.75" hidden="false" customHeight="true" outlineLevel="0" collapsed="false">
      <c r="A763" s="65" t="n">
        <v>46305</v>
      </c>
      <c r="B763" s="66" t="s">
        <v>418</v>
      </c>
      <c r="C763" s="67" t="str">
        <f aca="false" t="array" ref="C763:C763">IF(B763="","",IFERROR(INDEX('CLM &amp; IM Mapping'!$B$2:$B$270,MATCH(TRIM(B763),'CLM &amp; IM Mapping'!$A$2:$A$270,0)),"Not Mapped"))</f>
        <v>Vishnu V</v>
      </c>
      <c r="D763" s="67" t="str">
        <f aca="false" t="array" ref="D763:D763">IF(B763="","",IFERROR(INDEX('CLM &amp; IM Mapping'!$C$2:$C$270,MATCH(TRIM(B763),'CLM &amp; IM Mapping'!$A$2:$A$270,0)),"Not Mapped"))</f>
        <v>Arivind S</v>
      </c>
      <c r="E763" s="66" t="n">
        <v>584</v>
      </c>
      <c r="F763" s="66" t="n">
        <v>0</v>
      </c>
      <c r="G763" s="66" t="n">
        <v>0</v>
      </c>
      <c r="H763" s="66" t="n">
        <v>584</v>
      </c>
      <c r="I763" s="66" t="n">
        <v>0</v>
      </c>
      <c r="J763" s="66" t="n">
        <v>0</v>
      </c>
      <c r="K763" s="66" t="n">
        <v>0</v>
      </c>
      <c r="L763" s="66" t="n">
        <v>584</v>
      </c>
      <c r="M763" s="73" t="n">
        <v>0.005</v>
      </c>
      <c r="N763" s="73"/>
      <c r="O763" s="72"/>
      <c r="P763" s="67"/>
    </row>
    <row r="764" customFormat="false" ht="15.75" hidden="false" customHeight="true" outlineLevel="0" collapsed="false">
      <c r="A764" s="65" t="n">
        <v>46305</v>
      </c>
      <c r="B764" s="66" t="s">
        <v>452</v>
      </c>
      <c r="C764" s="67" t="str">
        <f aca="false" t="array" ref="C764:C764">IF(B764="","",IFERROR(INDEX('CLM &amp; IM Mapping'!$B$2:$B$270,MATCH(TRIM(B764),'CLM &amp; IM Mapping'!$A$2:$A$270,0)),"Not Mapped"))</f>
        <v>Vishnu V</v>
      </c>
      <c r="D764" s="67" t="str">
        <f aca="false" t="array" ref="D764:D764">IF(B764="","",IFERROR(INDEX('CLM &amp; IM Mapping'!$C$2:$C$270,MATCH(TRIM(B764),'CLM &amp; IM Mapping'!$A$2:$A$270,0)),"Not Mapped"))</f>
        <v>Arivind S</v>
      </c>
      <c r="E764" s="66" t="n">
        <v>0</v>
      </c>
      <c r="F764" s="66" t="n">
        <v>0</v>
      </c>
      <c r="G764" s="66" t="n">
        <v>0</v>
      </c>
      <c r="H764" s="66" t="n">
        <v>0</v>
      </c>
      <c r="I764" s="66" t="n">
        <v>0</v>
      </c>
      <c r="J764" s="66" t="n">
        <v>0</v>
      </c>
      <c r="K764" s="66" t="n">
        <v>0</v>
      </c>
      <c r="L764" s="66" t="n">
        <v>0</v>
      </c>
      <c r="M764" s="73" t="n">
        <v>0</v>
      </c>
      <c r="N764" s="73"/>
      <c r="O764" s="72"/>
      <c r="P764" s="67"/>
    </row>
    <row r="765" customFormat="false" ht="15.75" hidden="false" customHeight="true" outlineLevel="0" collapsed="false">
      <c r="A765" s="65" t="n">
        <v>46305</v>
      </c>
      <c r="B765" s="66" t="s">
        <v>710</v>
      </c>
      <c r="C765" s="67" t="str">
        <f aca="false" t="array" ref="C765:C765">IF(B765="","",IFERROR(INDEX('CLM &amp; IM Mapping'!$B$2:$B$270,MATCH(TRIM(B765),'CLM &amp; IM Mapping'!$A$2:$A$270,0)),"Not Mapped"))</f>
        <v>John Britto</v>
      </c>
      <c r="D765" s="67" t="str">
        <f aca="false" t="array" ref="D765:D765">IF(B765="","",IFERROR(INDEX('CLM &amp; IM Mapping'!$C$2:$C$270,MATCH(TRIM(B765),'CLM &amp; IM Mapping'!$A$2:$A$270,0)),"Not Mapped"))</f>
        <v>Aravind S</v>
      </c>
      <c r="E765" s="66" t="n">
        <v>47</v>
      </c>
      <c r="F765" s="66" t="n">
        <v>0</v>
      </c>
      <c r="G765" s="66" t="n">
        <v>0</v>
      </c>
      <c r="H765" s="66" t="n">
        <v>0</v>
      </c>
      <c r="I765" s="66" t="n">
        <v>0</v>
      </c>
      <c r="J765" s="66" t="n">
        <v>47</v>
      </c>
      <c r="K765" s="66" t="n">
        <v>0</v>
      </c>
      <c r="L765" s="66" t="n">
        <v>47</v>
      </c>
      <c r="M765" s="73" t="n">
        <v>0</v>
      </c>
      <c r="N765" s="73"/>
      <c r="O765" s="72"/>
      <c r="P765" s="67"/>
    </row>
    <row r="766" customFormat="false" ht="15.75" hidden="false" customHeight="true" outlineLevel="0" collapsed="false">
      <c r="A766" s="65" t="n">
        <v>46305</v>
      </c>
      <c r="B766" s="66" t="s">
        <v>711</v>
      </c>
      <c r="C766" s="67" t="str">
        <f aca="false" t="array" ref="C766:C766">IF(B766="","",IFERROR(INDEX('CLM &amp; IM Mapping'!$B$2:$B$270,MATCH(TRIM(B766),'CLM &amp; IM Mapping'!$A$2:$A$270,0)),"Not Mapped"))</f>
        <v>John Britto</v>
      </c>
      <c r="D766" s="67" t="str">
        <f aca="false" t="array" ref="D766:D766">IF(B766="","",IFERROR(INDEX('CLM &amp; IM Mapping'!$C$2:$C$270,MATCH(TRIM(B766),'CLM &amp; IM Mapping'!$A$2:$A$270,0)),"Not Mapped"))</f>
        <v>Aravind S</v>
      </c>
      <c r="E766" s="66" t="n">
        <v>0</v>
      </c>
      <c r="F766" s="66" t="n">
        <v>0</v>
      </c>
      <c r="G766" s="66" t="n">
        <v>0</v>
      </c>
      <c r="H766" s="66" t="n">
        <v>0</v>
      </c>
      <c r="I766" s="66" t="n">
        <v>0</v>
      </c>
      <c r="J766" s="66" t="n">
        <v>0</v>
      </c>
      <c r="K766" s="66" t="n">
        <v>0</v>
      </c>
      <c r="L766" s="66" t="n">
        <v>0</v>
      </c>
      <c r="M766" s="73" t="n">
        <v>0</v>
      </c>
      <c r="N766" s="73"/>
      <c r="O766" s="72"/>
      <c r="P766" s="67"/>
    </row>
    <row r="767" customFormat="false" ht="15.75" hidden="false" customHeight="true" outlineLevel="0" collapsed="false">
      <c r="A767" s="65" t="n">
        <v>46305</v>
      </c>
      <c r="B767" s="66" t="s">
        <v>337</v>
      </c>
      <c r="C767" s="67" t="str">
        <f aca="false" t="array" ref="C767:C767">IF(B767="","",IFERROR(INDEX('CLM &amp; IM Mapping'!$B$2:$B$270,MATCH(TRIM(B767),'CLM &amp; IM Mapping'!$A$2:$A$270,0)),"Not Mapped"))</f>
        <v>Akshay P</v>
      </c>
      <c r="D767" s="67" t="str">
        <f aca="false" t="array" ref="D767:D767">IF(B767="","",IFERROR(INDEX('CLM &amp; IM Mapping'!$C$2:$C$270,MATCH(TRIM(B767),'CLM &amp; IM Mapping'!$A$2:$A$270,0)),"Not Mapped"))</f>
        <v>Srittam Dhal</v>
      </c>
      <c r="E767" s="66" t="n">
        <v>0</v>
      </c>
      <c r="F767" s="66" t="n">
        <v>0</v>
      </c>
      <c r="G767" s="66" t="n">
        <v>0</v>
      </c>
      <c r="H767" s="66" t="n">
        <v>0</v>
      </c>
      <c r="I767" s="66" t="n">
        <v>0</v>
      </c>
      <c r="J767" s="66" t="n">
        <v>0</v>
      </c>
      <c r="K767" s="66" t="n">
        <v>0</v>
      </c>
      <c r="L767" s="66" t="n">
        <v>0</v>
      </c>
      <c r="M767" s="73" t="n">
        <v>0</v>
      </c>
      <c r="N767" s="73"/>
      <c r="O767" s="72"/>
      <c r="P767" s="67"/>
    </row>
    <row r="768" customFormat="false" ht="15.75" hidden="false" customHeight="true" outlineLevel="0" collapsed="false">
      <c r="N768" s="74"/>
    </row>
    <row r="769" customFormat="false" ht="15.75" hidden="false" customHeight="true" outlineLevel="0" collapsed="false">
      <c r="N769" s="74"/>
    </row>
    <row r="770" customFormat="false" ht="15.75" hidden="false" customHeight="true" outlineLevel="0" collapsed="false">
      <c r="N770" s="74"/>
    </row>
    <row r="771" customFormat="false" ht="15.75" hidden="false" customHeight="true" outlineLevel="0" collapsed="false">
      <c r="N771" s="74"/>
    </row>
    <row r="772" customFormat="false" ht="15.75" hidden="false" customHeight="true" outlineLevel="0" collapsed="false">
      <c r="N772" s="74"/>
    </row>
    <row r="773" customFormat="false" ht="15.75" hidden="false" customHeight="true" outlineLevel="0" collapsed="false">
      <c r="N773" s="74"/>
    </row>
    <row r="774" customFormat="false" ht="15.75" hidden="false" customHeight="true" outlineLevel="0" collapsed="false">
      <c r="N774" s="74"/>
    </row>
    <row r="775" customFormat="false" ht="15.75" hidden="false" customHeight="true" outlineLevel="0" collapsed="false">
      <c r="N775" s="74"/>
    </row>
    <row r="776" customFormat="false" ht="15.75" hidden="false" customHeight="true" outlineLevel="0" collapsed="false">
      <c r="N776" s="74"/>
    </row>
    <row r="777" customFormat="false" ht="15.75" hidden="false" customHeight="true" outlineLevel="0" collapsed="false">
      <c r="N777" s="74"/>
    </row>
    <row r="778" customFormat="false" ht="15.75" hidden="false" customHeight="true" outlineLevel="0" collapsed="false">
      <c r="N778" s="74"/>
    </row>
    <row r="779" customFormat="false" ht="15.75" hidden="false" customHeight="true" outlineLevel="0" collapsed="false">
      <c r="N779" s="74"/>
    </row>
    <row r="780" customFormat="false" ht="15.75" hidden="false" customHeight="true" outlineLevel="0" collapsed="false">
      <c r="N780" s="74"/>
    </row>
    <row r="781" customFormat="false" ht="15.75" hidden="false" customHeight="true" outlineLevel="0" collapsed="false">
      <c r="N781" s="74"/>
    </row>
    <row r="782" customFormat="false" ht="15.75" hidden="false" customHeight="true" outlineLevel="0" collapsed="false">
      <c r="N782" s="74"/>
    </row>
    <row r="783" customFormat="false" ht="15.75" hidden="false" customHeight="true" outlineLevel="0" collapsed="false">
      <c r="N783" s="74"/>
    </row>
    <row r="784" customFormat="false" ht="15.75" hidden="false" customHeight="true" outlineLevel="0" collapsed="false">
      <c r="N784" s="74"/>
    </row>
    <row r="785" customFormat="false" ht="15.75" hidden="false" customHeight="true" outlineLevel="0" collapsed="false">
      <c r="N785" s="74"/>
    </row>
    <row r="786" customFormat="false" ht="15.75" hidden="false" customHeight="true" outlineLevel="0" collapsed="false">
      <c r="N786" s="74"/>
    </row>
    <row r="787" customFormat="false" ht="15.75" hidden="false" customHeight="true" outlineLevel="0" collapsed="false">
      <c r="N787" s="74"/>
    </row>
    <row r="788" customFormat="false" ht="15.75" hidden="false" customHeight="true" outlineLevel="0" collapsed="false">
      <c r="N788" s="74"/>
    </row>
    <row r="789" customFormat="false" ht="15.75" hidden="false" customHeight="true" outlineLevel="0" collapsed="false">
      <c r="N789" s="74"/>
    </row>
    <row r="790" customFormat="false" ht="15.75" hidden="false" customHeight="true" outlineLevel="0" collapsed="false">
      <c r="N790" s="74"/>
    </row>
    <row r="791" customFormat="false" ht="15.75" hidden="false" customHeight="true" outlineLevel="0" collapsed="false">
      <c r="N791" s="74"/>
    </row>
    <row r="792" customFormat="false" ht="15.75" hidden="false" customHeight="true" outlineLevel="0" collapsed="false">
      <c r="N792" s="74"/>
    </row>
    <row r="793" customFormat="false" ht="15.75" hidden="false" customHeight="true" outlineLevel="0" collapsed="false">
      <c r="N793" s="74"/>
    </row>
    <row r="794" customFormat="false" ht="15.75" hidden="false" customHeight="true" outlineLevel="0" collapsed="false">
      <c r="N794" s="74"/>
    </row>
    <row r="795" customFormat="false" ht="15.75" hidden="false" customHeight="true" outlineLevel="0" collapsed="false">
      <c r="N795" s="74"/>
    </row>
    <row r="796" customFormat="false" ht="15.75" hidden="false" customHeight="true" outlineLevel="0" collapsed="false">
      <c r="N796" s="74"/>
    </row>
    <row r="797" customFormat="false" ht="15.75" hidden="false" customHeight="true" outlineLevel="0" collapsed="false">
      <c r="N797" s="74"/>
    </row>
    <row r="798" customFormat="false" ht="15.75" hidden="false" customHeight="true" outlineLevel="0" collapsed="false">
      <c r="N798" s="74"/>
    </row>
    <row r="799" customFormat="false" ht="15.75" hidden="false" customHeight="true" outlineLevel="0" collapsed="false">
      <c r="N799" s="74"/>
    </row>
    <row r="800" customFormat="false" ht="15.75" hidden="false" customHeight="true" outlineLevel="0" collapsed="false">
      <c r="N800" s="74"/>
    </row>
    <row r="801" customFormat="false" ht="15.75" hidden="false" customHeight="true" outlineLevel="0" collapsed="false">
      <c r="N801" s="74"/>
    </row>
    <row r="802" customFormat="false" ht="15.75" hidden="false" customHeight="true" outlineLevel="0" collapsed="false">
      <c r="N802" s="74"/>
    </row>
    <row r="803" customFormat="false" ht="15.75" hidden="false" customHeight="true" outlineLevel="0" collapsed="false">
      <c r="N803" s="74"/>
    </row>
    <row r="804" customFormat="false" ht="15.75" hidden="false" customHeight="true" outlineLevel="0" collapsed="false">
      <c r="N804" s="74"/>
    </row>
    <row r="805" customFormat="false" ht="15.75" hidden="false" customHeight="true" outlineLevel="0" collapsed="false">
      <c r="N805" s="74"/>
    </row>
    <row r="806" customFormat="false" ht="15.75" hidden="false" customHeight="true" outlineLevel="0" collapsed="false">
      <c r="N806" s="74"/>
    </row>
    <row r="807" customFormat="false" ht="15.75" hidden="false" customHeight="true" outlineLevel="0" collapsed="false">
      <c r="N807" s="74"/>
    </row>
    <row r="808" customFormat="false" ht="15.75" hidden="false" customHeight="true" outlineLevel="0" collapsed="false">
      <c r="N808" s="74"/>
    </row>
    <row r="809" customFormat="false" ht="15.75" hidden="false" customHeight="true" outlineLevel="0" collapsed="false">
      <c r="N809" s="74"/>
    </row>
    <row r="810" customFormat="false" ht="15.75" hidden="false" customHeight="true" outlineLevel="0" collapsed="false">
      <c r="N810" s="74"/>
    </row>
    <row r="811" customFormat="false" ht="15.75" hidden="false" customHeight="true" outlineLevel="0" collapsed="false">
      <c r="N811" s="74"/>
    </row>
    <row r="812" customFormat="false" ht="15.75" hidden="false" customHeight="true" outlineLevel="0" collapsed="false">
      <c r="N812" s="74"/>
    </row>
    <row r="813" customFormat="false" ht="15.75" hidden="false" customHeight="true" outlineLevel="0" collapsed="false">
      <c r="N813" s="74"/>
    </row>
    <row r="814" customFormat="false" ht="15.75" hidden="false" customHeight="true" outlineLevel="0" collapsed="false">
      <c r="N814" s="74"/>
    </row>
    <row r="815" customFormat="false" ht="15.75" hidden="false" customHeight="true" outlineLevel="0" collapsed="false">
      <c r="N815" s="74"/>
    </row>
    <row r="816" customFormat="false" ht="15.75" hidden="false" customHeight="true" outlineLevel="0" collapsed="false">
      <c r="N816" s="74"/>
    </row>
    <row r="817" customFormat="false" ht="15.75" hidden="false" customHeight="true" outlineLevel="0" collapsed="false">
      <c r="N817" s="74"/>
    </row>
    <row r="818" customFormat="false" ht="15.75" hidden="false" customHeight="true" outlineLevel="0" collapsed="false">
      <c r="N818" s="74"/>
    </row>
    <row r="819" customFormat="false" ht="15.75" hidden="false" customHeight="true" outlineLevel="0" collapsed="false">
      <c r="N819" s="74"/>
    </row>
    <row r="820" customFormat="false" ht="15.75" hidden="false" customHeight="true" outlineLevel="0" collapsed="false">
      <c r="N820" s="74"/>
    </row>
    <row r="821" customFormat="false" ht="15.75" hidden="false" customHeight="true" outlineLevel="0" collapsed="false">
      <c r="N821" s="74"/>
    </row>
    <row r="822" customFormat="false" ht="15.75" hidden="false" customHeight="true" outlineLevel="0" collapsed="false">
      <c r="N822" s="74"/>
    </row>
    <row r="823" customFormat="false" ht="15.75" hidden="false" customHeight="true" outlineLevel="0" collapsed="false">
      <c r="N823" s="74"/>
    </row>
    <row r="824" customFormat="false" ht="15.75" hidden="false" customHeight="true" outlineLevel="0" collapsed="false">
      <c r="N824" s="74"/>
    </row>
    <row r="825" customFormat="false" ht="15.75" hidden="false" customHeight="true" outlineLevel="0" collapsed="false">
      <c r="N825" s="74"/>
    </row>
    <row r="826" customFormat="false" ht="15.75" hidden="false" customHeight="true" outlineLevel="0" collapsed="false">
      <c r="N826" s="74"/>
    </row>
    <row r="827" customFormat="false" ht="15.75" hidden="false" customHeight="true" outlineLevel="0" collapsed="false">
      <c r="N827" s="74"/>
    </row>
    <row r="828" customFormat="false" ht="15.75" hidden="false" customHeight="true" outlineLevel="0" collapsed="false">
      <c r="N828" s="74"/>
    </row>
    <row r="829" customFormat="false" ht="15.75" hidden="false" customHeight="true" outlineLevel="0" collapsed="false">
      <c r="N829" s="74"/>
    </row>
    <row r="830" customFormat="false" ht="15.75" hidden="false" customHeight="true" outlineLevel="0" collapsed="false">
      <c r="N830" s="74"/>
    </row>
    <row r="831" customFormat="false" ht="15.75" hidden="false" customHeight="true" outlineLevel="0" collapsed="false">
      <c r="N831" s="74"/>
    </row>
    <row r="832" customFormat="false" ht="15.75" hidden="false" customHeight="true" outlineLevel="0" collapsed="false">
      <c r="N832" s="74"/>
    </row>
    <row r="833" customFormat="false" ht="15.75" hidden="false" customHeight="true" outlineLevel="0" collapsed="false">
      <c r="N833" s="74"/>
    </row>
    <row r="834" customFormat="false" ht="15.75" hidden="false" customHeight="true" outlineLevel="0" collapsed="false">
      <c r="N834" s="74"/>
    </row>
    <row r="835" customFormat="false" ht="15.75" hidden="false" customHeight="true" outlineLevel="0" collapsed="false">
      <c r="N835" s="74"/>
    </row>
    <row r="836" customFormat="false" ht="15.75" hidden="false" customHeight="true" outlineLevel="0" collapsed="false">
      <c r="N836" s="74"/>
    </row>
    <row r="837" customFormat="false" ht="15.75" hidden="false" customHeight="true" outlineLevel="0" collapsed="false">
      <c r="N837" s="74"/>
    </row>
    <row r="838" customFormat="false" ht="15.75" hidden="false" customHeight="true" outlineLevel="0" collapsed="false">
      <c r="N838" s="74"/>
    </row>
    <row r="839" customFormat="false" ht="15.75" hidden="false" customHeight="true" outlineLevel="0" collapsed="false">
      <c r="N839" s="74"/>
    </row>
    <row r="840" customFormat="false" ht="15.75" hidden="false" customHeight="true" outlineLevel="0" collapsed="false">
      <c r="N840" s="74"/>
    </row>
    <row r="841" customFormat="false" ht="15.75" hidden="false" customHeight="true" outlineLevel="0" collapsed="false">
      <c r="N841" s="74"/>
    </row>
    <row r="842" customFormat="false" ht="15.75" hidden="false" customHeight="true" outlineLevel="0" collapsed="false">
      <c r="N842" s="74"/>
    </row>
    <row r="843" customFormat="false" ht="15.75" hidden="false" customHeight="true" outlineLevel="0" collapsed="false">
      <c r="N843" s="74"/>
    </row>
    <row r="844" customFormat="false" ht="15.75" hidden="false" customHeight="true" outlineLevel="0" collapsed="false">
      <c r="N844" s="74"/>
    </row>
    <row r="845" customFormat="false" ht="15.75" hidden="false" customHeight="true" outlineLevel="0" collapsed="false">
      <c r="N845" s="74"/>
    </row>
    <row r="846" customFormat="false" ht="15.75" hidden="false" customHeight="true" outlineLevel="0" collapsed="false">
      <c r="N846" s="74"/>
    </row>
    <row r="847" customFormat="false" ht="15.75" hidden="false" customHeight="true" outlineLevel="0" collapsed="false">
      <c r="N847" s="74"/>
    </row>
    <row r="848" customFormat="false" ht="15.75" hidden="false" customHeight="true" outlineLevel="0" collapsed="false">
      <c r="N848" s="74"/>
    </row>
    <row r="849" customFormat="false" ht="15.75" hidden="false" customHeight="true" outlineLevel="0" collapsed="false">
      <c r="N849" s="74"/>
    </row>
    <row r="850" customFormat="false" ht="15.75" hidden="false" customHeight="true" outlineLevel="0" collapsed="false">
      <c r="N850" s="74"/>
    </row>
    <row r="851" customFormat="false" ht="15.75" hidden="false" customHeight="true" outlineLevel="0" collapsed="false">
      <c r="N851" s="74"/>
    </row>
    <row r="852" customFormat="false" ht="15.75" hidden="false" customHeight="true" outlineLevel="0" collapsed="false">
      <c r="N852" s="74"/>
    </row>
    <row r="853" customFormat="false" ht="15.75" hidden="false" customHeight="true" outlineLevel="0" collapsed="false">
      <c r="N853" s="74"/>
    </row>
    <row r="854" customFormat="false" ht="15.75" hidden="false" customHeight="true" outlineLevel="0" collapsed="false">
      <c r="N854" s="74"/>
    </row>
    <row r="855" customFormat="false" ht="15.75" hidden="false" customHeight="true" outlineLevel="0" collapsed="false">
      <c r="N855" s="74"/>
    </row>
    <row r="856" customFormat="false" ht="15.75" hidden="false" customHeight="true" outlineLevel="0" collapsed="false">
      <c r="N856" s="74"/>
    </row>
    <row r="857" customFormat="false" ht="15.75" hidden="false" customHeight="true" outlineLevel="0" collapsed="false">
      <c r="N857" s="74"/>
    </row>
    <row r="858" customFormat="false" ht="15.75" hidden="false" customHeight="true" outlineLevel="0" collapsed="false">
      <c r="N858" s="74"/>
    </row>
    <row r="859" customFormat="false" ht="15.75" hidden="false" customHeight="true" outlineLevel="0" collapsed="false">
      <c r="N859" s="74"/>
    </row>
    <row r="860" customFormat="false" ht="15.75" hidden="false" customHeight="true" outlineLevel="0" collapsed="false">
      <c r="N860" s="74"/>
    </row>
    <row r="861" customFormat="false" ht="15.75" hidden="false" customHeight="true" outlineLevel="0" collapsed="false">
      <c r="N861" s="74"/>
    </row>
    <row r="862" customFormat="false" ht="15.75" hidden="false" customHeight="true" outlineLevel="0" collapsed="false">
      <c r="N862" s="74"/>
    </row>
    <row r="863" customFormat="false" ht="15.75" hidden="false" customHeight="true" outlineLevel="0" collapsed="false">
      <c r="N863" s="74"/>
    </row>
    <row r="864" customFormat="false" ht="15.75" hidden="false" customHeight="true" outlineLevel="0" collapsed="false">
      <c r="N864" s="74"/>
    </row>
    <row r="865" customFormat="false" ht="15.75" hidden="false" customHeight="true" outlineLevel="0" collapsed="false">
      <c r="N865" s="74"/>
    </row>
    <row r="866" customFormat="false" ht="15.75" hidden="false" customHeight="true" outlineLevel="0" collapsed="false">
      <c r="N866" s="74"/>
    </row>
    <row r="867" customFormat="false" ht="15.75" hidden="false" customHeight="true" outlineLevel="0" collapsed="false">
      <c r="N867" s="74"/>
    </row>
    <row r="868" customFormat="false" ht="15.75" hidden="false" customHeight="true" outlineLevel="0" collapsed="false">
      <c r="N868" s="74"/>
    </row>
    <row r="869" customFormat="false" ht="15.75" hidden="false" customHeight="true" outlineLevel="0" collapsed="false">
      <c r="N869" s="74"/>
    </row>
    <row r="870" customFormat="false" ht="15.75" hidden="false" customHeight="true" outlineLevel="0" collapsed="false">
      <c r="N870" s="74"/>
    </row>
    <row r="871" customFormat="false" ht="15.75" hidden="false" customHeight="true" outlineLevel="0" collapsed="false">
      <c r="N871" s="74"/>
    </row>
    <row r="872" customFormat="false" ht="15.75" hidden="false" customHeight="true" outlineLevel="0" collapsed="false">
      <c r="N872" s="74"/>
    </row>
    <row r="873" customFormat="false" ht="15.75" hidden="false" customHeight="true" outlineLevel="0" collapsed="false">
      <c r="N873" s="74"/>
    </row>
    <row r="874" customFormat="false" ht="15.75" hidden="false" customHeight="true" outlineLevel="0" collapsed="false">
      <c r="N874" s="74"/>
    </row>
    <row r="875" customFormat="false" ht="15.75" hidden="false" customHeight="true" outlineLevel="0" collapsed="false">
      <c r="N875" s="74"/>
    </row>
    <row r="876" customFormat="false" ht="15.75" hidden="false" customHeight="true" outlineLevel="0" collapsed="false">
      <c r="N876" s="74"/>
    </row>
    <row r="877" customFormat="false" ht="15.75" hidden="false" customHeight="true" outlineLevel="0" collapsed="false">
      <c r="N877" s="74"/>
    </row>
    <row r="878" customFormat="false" ht="15.75" hidden="false" customHeight="true" outlineLevel="0" collapsed="false">
      <c r="N878" s="74"/>
    </row>
    <row r="879" customFormat="false" ht="15.75" hidden="false" customHeight="true" outlineLevel="0" collapsed="false">
      <c r="N879" s="74"/>
    </row>
    <row r="880" customFormat="false" ht="15.75" hidden="false" customHeight="true" outlineLevel="0" collapsed="false">
      <c r="N880" s="74"/>
    </row>
    <row r="881" customFormat="false" ht="15.75" hidden="false" customHeight="true" outlineLevel="0" collapsed="false">
      <c r="N881" s="74"/>
    </row>
    <row r="882" customFormat="false" ht="15.75" hidden="false" customHeight="true" outlineLevel="0" collapsed="false">
      <c r="N882" s="74"/>
    </row>
    <row r="883" customFormat="false" ht="15.75" hidden="false" customHeight="true" outlineLevel="0" collapsed="false">
      <c r="N883" s="74"/>
    </row>
    <row r="884" customFormat="false" ht="15.75" hidden="false" customHeight="true" outlineLevel="0" collapsed="false">
      <c r="N884" s="74"/>
    </row>
    <row r="885" customFormat="false" ht="15.75" hidden="false" customHeight="true" outlineLevel="0" collapsed="false">
      <c r="N885" s="74"/>
    </row>
    <row r="886" customFormat="false" ht="15.75" hidden="false" customHeight="true" outlineLevel="0" collapsed="false">
      <c r="N886" s="74"/>
    </row>
    <row r="887" customFormat="false" ht="15.75" hidden="false" customHeight="true" outlineLevel="0" collapsed="false">
      <c r="N887" s="74"/>
    </row>
    <row r="888" customFormat="false" ht="15.75" hidden="false" customHeight="true" outlineLevel="0" collapsed="false">
      <c r="N888" s="74"/>
    </row>
    <row r="889" customFormat="false" ht="15.75" hidden="false" customHeight="true" outlineLevel="0" collapsed="false">
      <c r="N889" s="74"/>
    </row>
    <row r="890" customFormat="false" ht="15.75" hidden="false" customHeight="true" outlineLevel="0" collapsed="false">
      <c r="N890" s="74"/>
    </row>
    <row r="891" customFormat="false" ht="15.75" hidden="false" customHeight="true" outlineLevel="0" collapsed="false">
      <c r="N891" s="74"/>
    </row>
    <row r="892" customFormat="false" ht="15.75" hidden="false" customHeight="true" outlineLevel="0" collapsed="false">
      <c r="N892" s="74"/>
    </row>
    <row r="893" customFormat="false" ht="15.75" hidden="false" customHeight="true" outlineLevel="0" collapsed="false">
      <c r="N893" s="74"/>
    </row>
    <row r="894" customFormat="false" ht="15.75" hidden="false" customHeight="true" outlineLevel="0" collapsed="false">
      <c r="N894" s="74"/>
    </row>
    <row r="895" customFormat="false" ht="15.75" hidden="false" customHeight="true" outlineLevel="0" collapsed="false">
      <c r="N895" s="74"/>
    </row>
    <row r="896" customFormat="false" ht="15.75" hidden="false" customHeight="true" outlineLevel="0" collapsed="false">
      <c r="N896" s="74"/>
    </row>
    <row r="897" customFormat="false" ht="15.75" hidden="false" customHeight="true" outlineLevel="0" collapsed="false">
      <c r="N897" s="74"/>
    </row>
    <row r="898" customFormat="false" ht="15.75" hidden="false" customHeight="true" outlineLevel="0" collapsed="false">
      <c r="N898" s="74"/>
    </row>
    <row r="899" customFormat="false" ht="15.75" hidden="false" customHeight="true" outlineLevel="0" collapsed="false">
      <c r="N899" s="74"/>
    </row>
    <row r="900" customFormat="false" ht="15.75" hidden="false" customHeight="true" outlineLevel="0" collapsed="false">
      <c r="N900" s="74"/>
    </row>
    <row r="901" customFormat="false" ht="15.75" hidden="false" customHeight="true" outlineLevel="0" collapsed="false">
      <c r="N901" s="74"/>
    </row>
    <row r="902" customFormat="false" ht="15.75" hidden="false" customHeight="true" outlineLevel="0" collapsed="false">
      <c r="N902" s="74"/>
    </row>
    <row r="903" customFormat="false" ht="15.75" hidden="false" customHeight="true" outlineLevel="0" collapsed="false">
      <c r="N903" s="74"/>
    </row>
    <row r="904" customFormat="false" ht="15.75" hidden="false" customHeight="true" outlineLevel="0" collapsed="false">
      <c r="N904" s="74"/>
    </row>
    <row r="905" customFormat="false" ht="15.75" hidden="false" customHeight="true" outlineLevel="0" collapsed="false">
      <c r="N905" s="74"/>
    </row>
    <row r="906" customFormat="false" ht="15.75" hidden="false" customHeight="true" outlineLevel="0" collapsed="false">
      <c r="N906" s="74"/>
    </row>
    <row r="907" customFormat="false" ht="15.75" hidden="false" customHeight="true" outlineLevel="0" collapsed="false">
      <c r="N907" s="74"/>
    </row>
    <row r="908" customFormat="false" ht="15.75" hidden="false" customHeight="true" outlineLevel="0" collapsed="false">
      <c r="N908" s="74"/>
    </row>
    <row r="909" customFormat="false" ht="15.75" hidden="false" customHeight="true" outlineLevel="0" collapsed="false">
      <c r="N909" s="74"/>
    </row>
    <row r="910" customFormat="false" ht="15.75" hidden="false" customHeight="true" outlineLevel="0" collapsed="false">
      <c r="N910" s="74"/>
    </row>
    <row r="911" customFormat="false" ht="15.75" hidden="false" customHeight="true" outlineLevel="0" collapsed="false">
      <c r="N911" s="74"/>
    </row>
    <row r="912" customFormat="false" ht="15.75" hidden="false" customHeight="true" outlineLevel="0" collapsed="false">
      <c r="N912" s="74"/>
    </row>
    <row r="913" customFormat="false" ht="15.75" hidden="false" customHeight="true" outlineLevel="0" collapsed="false">
      <c r="N913" s="74"/>
    </row>
    <row r="914" customFormat="false" ht="15.75" hidden="false" customHeight="true" outlineLevel="0" collapsed="false">
      <c r="N914" s="74"/>
    </row>
    <row r="915" customFormat="false" ht="15.75" hidden="false" customHeight="true" outlineLevel="0" collapsed="false">
      <c r="N915" s="74"/>
    </row>
    <row r="916" customFormat="false" ht="15.75" hidden="false" customHeight="true" outlineLevel="0" collapsed="false">
      <c r="N916" s="74"/>
    </row>
    <row r="917" customFormat="false" ht="15.75" hidden="false" customHeight="true" outlineLevel="0" collapsed="false">
      <c r="N917" s="74"/>
    </row>
    <row r="918" customFormat="false" ht="15.75" hidden="false" customHeight="true" outlineLevel="0" collapsed="false">
      <c r="N918" s="74"/>
    </row>
    <row r="919" customFormat="false" ht="15.75" hidden="false" customHeight="true" outlineLevel="0" collapsed="false">
      <c r="N919" s="74"/>
    </row>
    <row r="920" customFormat="false" ht="15.75" hidden="false" customHeight="true" outlineLevel="0" collapsed="false">
      <c r="N920" s="74"/>
    </row>
    <row r="921" customFormat="false" ht="15.75" hidden="false" customHeight="true" outlineLevel="0" collapsed="false">
      <c r="N921" s="74"/>
    </row>
    <row r="922" customFormat="false" ht="15.75" hidden="false" customHeight="true" outlineLevel="0" collapsed="false">
      <c r="N922" s="74"/>
    </row>
    <row r="923" customFormat="false" ht="15.75" hidden="false" customHeight="true" outlineLevel="0" collapsed="false">
      <c r="N923" s="74"/>
    </row>
    <row r="924" customFormat="false" ht="15.75" hidden="false" customHeight="true" outlineLevel="0" collapsed="false">
      <c r="N924" s="74"/>
    </row>
    <row r="925" customFormat="false" ht="15.75" hidden="false" customHeight="true" outlineLevel="0" collapsed="false">
      <c r="N925" s="74"/>
    </row>
    <row r="926" customFormat="false" ht="15.75" hidden="false" customHeight="true" outlineLevel="0" collapsed="false">
      <c r="N926" s="74"/>
    </row>
    <row r="927" customFormat="false" ht="15.75" hidden="false" customHeight="true" outlineLevel="0" collapsed="false">
      <c r="N927" s="74"/>
    </row>
    <row r="928" customFormat="false" ht="15.75" hidden="false" customHeight="true" outlineLevel="0" collapsed="false">
      <c r="N928" s="74"/>
    </row>
    <row r="929" customFormat="false" ht="15.75" hidden="false" customHeight="true" outlineLevel="0" collapsed="false">
      <c r="N929" s="74"/>
    </row>
    <row r="930" customFormat="false" ht="15.75" hidden="false" customHeight="true" outlineLevel="0" collapsed="false">
      <c r="N930" s="74"/>
    </row>
    <row r="931" customFormat="false" ht="15.75" hidden="false" customHeight="true" outlineLevel="0" collapsed="false">
      <c r="N931" s="74"/>
    </row>
    <row r="932" customFormat="false" ht="15.75" hidden="false" customHeight="true" outlineLevel="0" collapsed="false">
      <c r="N932" s="74"/>
    </row>
    <row r="933" customFormat="false" ht="15.75" hidden="false" customHeight="true" outlineLevel="0" collapsed="false">
      <c r="N933" s="74"/>
    </row>
    <row r="934" customFormat="false" ht="15.75" hidden="false" customHeight="true" outlineLevel="0" collapsed="false">
      <c r="N934" s="74"/>
    </row>
    <row r="935" customFormat="false" ht="15.75" hidden="false" customHeight="true" outlineLevel="0" collapsed="false">
      <c r="N935" s="74"/>
    </row>
    <row r="936" customFormat="false" ht="15.75" hidden="false" customHeight="true" outlineLevel="0" collapsed="false">
      <c r="N936" s="74"/>
    </row>
    <row r="937" customFormat="false" ht="15.75" hidden="false" customHeight="true" outlineLevel="0" collapsed="false">
      <c r="N937" s="74"/>
    </row>
    <row r="938" customFormat="false" ht="15.75" hidden="false" customHeight="true" outlineLevel="0" collapsed="false">
      <c r="N938" s="74"/>
    </row>
    <row r="939" customFormat="false" ht="15.75" hidden="false" customHeight="true" outlineLevel="0" collapsed="false">
      <c r="N939" s="74"/>
    </row>
    <row r="940" customFormat="false" ht="15.75" hidden="false" customHeight="true" outlineLevel="0" collapsed="false">
      <c r="N940" s="74"/>
    </row>
    <row r="941" customFormat="false" ht="15.75" hidden="false" customHeight="true" outlineLevel="0" collapsed="false">
      <c r="N941" s="74"/>
    </row>
    <row r="942" customFormat="false" ht="15.75" hidden="false" customHeight="true" outlineLevel="0" collapsed="false">
      <c r="N942" s="74"/>
    </row>
    <row r="943" customFormat="false" ht="15.75" hidden="false" customHeight="true" outlineLevel="0" collapsed="false">
      <c r="N943" s="74"/>
    </row>
    <row r="944" customFormat="false" ht="15.75" hidden="false" customHeight="true" outlineLevel="0" collapsed="false">
      <c r="N944" s="74"/>
    </row>
    <row r="945" customFormat="false" ht="15.75" hidden="false" customHeight="true" outlineLevel="0" collapsed="false">
      <c r="N945" s="74"/>
    </row>
    <row r="946" customFormat="false" ht="15.75" hidden="false" customHeight="true" outlineLevel="0" collapsed="false">
      <c r="N946" s="74"/>
    </row>
    <row r="947" customFormat="false" ht="15.75" hidden="false" customHeight="true" outlineLevel="0" collapsed="false">
      <c r="N947" s="74"/>
    </row>
    <row r="948" customFormat="false" ht="15.75" hidden="false" customHeight="true" outlineLevel="0" collapsed="false">
      <c r="N948" s="74"/>
    </row>
    <row r="949" customFormat="false" ht="15.75" hidden="false" customHeight="true" outlineLevel="0" collapsed="false">
      <c r="N949" s="74"/>
    </row>
    <row r="950" customFormat="false" ht="15.75" hidden="false" customHeight="true" outlineLevel="0" collapsed="false">
      <c r="N950" s="74"/>
    </row>
    <row r="951" customFormat="false" ht="15.75" hidden="false" customHeight="true" outlineLevel="0" collapsed="false">
      <c r="N951" s="74"/>
    </row>
    <row r="952" customFormat="false" ht="15.75" hidden="false" customHeight="true" outlineLevel="0" collapsed="false">
      <c r="N952" s="74"/>
    </row>
    <row r="953" customFormat="false" ht="15.75" hidden="false" customHeight="true" outlineLevel="0" collapsed="false">
      <c r="N953" s="74"/>
    </row>
    <row r="954" customFormat="false" ht="15.75" hidden="false" customHeight="true" outlineLevel="0" collapsed="false">
      <c r="N954" s="74"/>
    </row>
    <row r="955" customFormat="false" ht="15.75" hidden="false" customHeight="true" outlineLevel="0" collapsed="false">
      <c r="N955" s="74"/>
    </row>
    <row r="956" customFormat="false" ht="15.75" hidden="false" customHeight="true" outlineLevel="0" collapsed="false">
      <c r="N956" s="74"/>
    </row>
    <row r="957" customFormat="false" ht="15.75" hidden="false" customHeight="true" outlineLevel="0" collapsed="false">
      <c r="N957" s="74"/>
    </row>
    <row r="958" customFormat="false" ht="15.75" hidden="false" customHeight="true" outlineLevel="0" collapsed="false">
      <c r="N958" s="74"/>
    </row>
    <row r="959" customFormat="false" ht="15.75" hidden="false" customHeight="true" outlineLevel="0" collapsed="false">
      <c r="N959" s="74"/>
    </row>
    <row r="960" customFormat="false" ht="15.75" hidden="false" customHeight="true" outlineLevel="0" collapsed="false">
      <c r="N960" s="74"/>
    </row>
    <row r="961" customFormat="false" ht="15.75" hidden="false" customHeight="true" outlineLevel="0" collapsed="false">
      <c r="N961" s="74"/>
    </row>
    <row r="962" customFormat="false" ht="15.75" hidden="false" customHeight="true" outlineLevel="0" collapsed="false">
      <c r="N962" s="74"/>
    </row>
    <row r="963" customFormat="false" ht="15.75" hidden="false" customHeight="true" outlineLevel="0" collapsed="false">
      <c r="N963" s="74"/>
    </row>
    <row r="964" customFormat="false" ht="15.75" hidden="false" customHeight="true" outlineLevel="0" collapsed="false">
      <c r="N964" s="74"/>
    </row>
    <row r="965" customFormat="false" ht="15.75" hidden="false" customHeight="true" outlineLevel="0" collapsed="false">
      <c r="N965" s="74"/>
    </row>
    <row r="966" customFormat="false" ht="15.75" hidden="false" customHeight="true" outlineLevel="0" collapsed="false">
      <c r="N966" s="74"/>
    </row>
    <row r="967" customFormat="false" ht="15.75" hidden="false" customHeight="true" outlineLevel="0" collapsed="false">
      <c r="N967" s="74"/>
    </row>
    <row r="968" customFormat="false" ht="15.75" hidden="false" customHeight="true" outlineLevel="0" collapsed="false">
      <c r="N968" s="74"/>
    </row>
    <row r="969" customFormat="false" ht="15.75" hidden="false" customHeight="true" outlineLevel="0" collapsed="false">
      <c r="N969" s="74"/>
    </row>
    <row r="970" customFormat="false" ht="15.75" hidden="false" customHeight="true" outlineLevel="0" collapsed="false">
      <c r="N970" s="74"/>
    </row>
    <row r="971" customFormat="false" ht="15.75" hidden="false" customHeight="true" outlineLevel="0" collapsed="false">
      <c r="N971" s="74"/>
    </row>
    <row r="972" customFormat="false" ht="15.75" hidden="false" customHeight="true" outlineLevel="0" collapsed="false">
      <c r="N972" s="74"/>
    </row>
    <row r="973" customFormat="false" ht="15.75" hidden="false" customHeight="true" outlineLevel="0" collapsed="false">
      <c r="N973" s="74"/>
    </row>
    <row r="974" customFormat="false" ht="15.75" hidden="false" customHeight="true" outlineLevel="0" collapsed="false">
      <c r="N974" s="74"/>
    </row>
    <row r="975" customFormat="false" ht="15.75" hidden="false" customHeight="true" outlineLevel="0" collapsed="false">
      <c r="N975" s="74"/>
    </row>
    <row r="976" customFormat="false" ht="15.75" hidden="false" customHeight="true" outlineLevel="0" collapsed="false">
      <c r="N976" s="74"/>
    </row>
    <row r="977" customFormat="false" ht="15.75" hidden="false" customHeight="true" outlineLevel="0" collapsed="false">
      <c r="N977" s="74"/>
    </row>
    <row r="978" customFormat="false" ht="15.75" hidden="false" customHeight="true" outlineLevel="0" collapsed="false">
      <c r="N978" s="74"/>
    </row>
    <row r="979" customFormat="false" ht="15.75" hidden="false" customHeight="true" outlineLevel="0" collapsed="false">
      <c r="N979" s="74"/>
    </row>
    <row r="980" customFormat="false" ht="15.75" hidden="false" customHeight="true" outlineLevel="0" collapsed="false">
      <c r="N980" s="74"/>
    </row>
    <row r="981" customFormat="false" ht="15.75" hidden="false" customHeight="true" outlineLevel="0" collapsed="false">
      <c r="N981" s="74"/>
    </row>
    <row r="982" customFormat="false" ht="15.75" hidden="false" customHeight="true" outlineLevel="0" collapsed="false">
      <c r="N982" s="74"/>
    </row>
    <row r="983" customFormat="false" ht="15.75" hidden="false" customHeight="true" outlineLevel="0" collapsed="false">
      <c r="N983" s="74"/>
    </row>
    <row r="984" customFormat="false" ht="15.75" hidden="false" customHeight="true" outlineLevel="0" collapsed="false">
      <c r="N984" s="74"/>
    </row>
    <row r="985" customFormat="false" ht="15.75" hidden="false" customHeight="true" outlineLevel="0" collapsed="false">
      <c r="N985" s="74"/>
    </row>
    <row r="986" customFormat="false" ht="15.75" hidden="false" customHeight="true" outlineLevel="0" collapsed="false">
      <c r="N986" s="74"/>
    </row>
    <row r="987" customFormat="false" ht="15.75" hidden="false" customHeight="true" outlineLevel="0" collapsed="false">
      <c r="N987" s="74"/>
    </row>
    <row r="988" customFormat="false" ht="15.75" hidden="false" customHeight="true" outlineLevel="0" collapsed="false">
      <c r="N988" s="74"/>
    </row>
    <row r="989" customFormat="false" ht="15.75" hidden="false" customHeight="true" outlineLevel="0" collapsed="false">
      <c r="N989" s="74"/>
    </row>
    <row r="990" customFormat="false" ht="15.75" hidden="false" customHeight="true" outlineLevel="0" collapsed="false">
      <c r="N990" s="74"/>
    </row>
    <row r="991" customFormat="false" ht="15.75" hidden="false" customHeight="true" outlineLevel="0" collapsed="false">
      <c r="N991" s="74"/>
    </row>
    <row r="992" customFormat="false" ht="15.75" hidden="false" customHeight="true" outlineLevel="0" collapsed="false">
      <c r="N992" s="74"/>
    </row>
    <row r="993" customFormat="false" ht="15.75" hidden="false" customHeight="true" outlineLevel="0" collapsed="false">
      <c r="N993" s="74"/>
    </row>
    <row r="994" customFormat="false" ht="15.75" hidden="false" customHeight="true" outlineLevel="0" collapsed="false">
      <c r="N994" s="74"/>
    </row>
    <row r="995" customFormat="false" ht="15.75" hidden="false" customHeight="true" outlineLevel="0" collapsed="false">
      <c r="N995" s="74"/>
    </row>
    <row r="996" customFormat="false" ht="15.75" hidden="false" customHeight="true" outlineLevel="0" collapsed="false">
      <c r="N996" s="74"/>
    </row>
    <row r="997" customFormat="false" ht="15.75" hidden="false" customHeight="true" outlineLevel="0" collapsed="false">
      <c r="N997" s="74"/>
    </row>
    <row r="998" customFormat="false" ht="15.75" hidden="false" customHeight="true" outlineLevel="0" collapsed="false">
      <c r="N998" s="74"/>
    </row>
    <row r="999" customFormat="false" ht="15.75" hidden="false" customHeight="true" outlineLevel="0" collapsed="false">
      <c r="N999" s="74"/>
    </row>
    <row r="1000" customFormat="false" ht="15.75" hidden="false" customHeight="true" outlineLevel="0" collapsed="false">
      <c r="N1000" s="74"/>
    </row>
  </sheetData>
  <conditionalFormatting sqref="E2:E1000">
    <cfRule type="colorScale" priority="2">
      <colorScale>
        <cfvo type="min" val="0"/>
        <cfvo type="percentile" val="50"/>
        <cfvo type="max" val="0"/>
        <color rgb="FF63BE7B"/>
        <color rgb="FFFFEB84"/>
        <color rgb="FFF8696B"/>
      </colorScale>
    </cfRule>
  </conditionalFormatting>
  <conditionalFormatting sqref="F2:F1000">
    <cfRule type="colorScale" priority="3">
      <colorScale>
        <cfvo type="min" val="0"/>
        <cfvo type="percentile" val="50"/>
        <cfvo type="max" val="0"/>
        <color rgb="FF63BE7B"/>
        <color rgb="FFFFEB84"/>
        <color rgb="FFF8696B"/>
      </colorScale>
    </cfRule>
  </conditionalFormatting>
  <conditionalFormatting sqref="G2:G1000">
    <cfRule type="colorScale" priority="4">
      <colorScale>
        <cfvo type="min" val="0"/>
        <cfvo type="percentile" val="50"/>
        <cfvo type="max" val="0"/>
        <color rgb="FF63BE7B"/>
        <color rgb="FFFFEB84"/>
        <color rgb="FFF8696B"/>
      </colorScale>
    </cfRule>
  </conditionalFormatting>
  <conditionalFormatting sqref="H2:H1000">
    <cfRule type="colorScale" priority="5">
      <colorScale>
        <cfvo type="min" val="0"/>
        <cfvo type="percentile" val="50"/>
        <cfvo type="max" val="0"/>
        <color rgb="FF63BE7B"/>
        <color rgb="FFFFEB84"/>
        <color rgb="FFF8696B"/>
      </colorScale>
    </cfRule>
  </conditionalFormatting>
  <conditionalFormatting sqref="I2:I1000">
    <cfRule type="colorScale" priority="6">
      <colorScale>
        <cfvo type="min" val="0"/>
        <cfvo type="percentile" val="50"/>
        <cfvo type="max" val="0"/>
        <color rgb="FF63BE7B"/>
        <color rgb="FFFFEB84"/>
        <color rgb="FFF8696B"/>
      </colorScale>
    </cfRule>
  </conditionalFormatting>
  <conditionalFormatting sqref="J2:J1000">
    <cfRule type="colorScale" priority="7">
      <colorScale>
        <cfvo type="min" val="0"/>
        <cfvo type="percentile" val="50"/>
        <cfvo type="max" val="0"/>
        <color rgb="FF63BE7B"/>
        <color rgb="FFFFEB84"/>
        <color rgb="FFF8696B"/>
      </colorScale>
    </cfRule>
  </conditionalFormatting>
  <conditionalFormatting sqref="K2:K1000">
    <cfRule type="colorScale" priority="8">
      <colorScale>
        <cfvo type="min" val="0"/>
        <cfvo type="percentile" val="50"/>
        <cfvo type="max" val="0"/>
        <color rgb="FF63BE7B"/>
        <color rgb="FFFFEB84"/>
        <color rgb="FFF8696B"/>
      </colorScale>
    </cfRule>
  </conditionalFormatting>
  <conditionalFormatting sqref="L2:L1000">
    <cfRule type="colorScale" priority="9">
      <colorScale>
        <cfvo type="min" val="0"/>
        <cfvo type="percentile" val="50"/>
        <cfvo type="max" val="0"/>
        <color rgb="FF63BE7B"/>
        <color rgb="FFFFEB84"/>
        <color rgb="FFF8696B"/>
      </colorScale>
    </cfRule>
  </conditionalFormatting>
  <dataValidations count="2">
    <dataValidation allowBlank="true" errorStyle="stop" operator="between" showDropDown="false" showErrorMessage="true" showInputMessage="false" sqref="N2:N6 N8:N9 N11:N1000" type="list">
      <formula1>"Backlog PP,Bin suggestion issue,Closed,Cross utilization,Device Shortage,DH Miss,DH monitoring gap,High Demand,High Inbound,IR Issues,Lift Issue,Loaders Issue,Manpower delta,MH Miss,Mismatch product received,MP Behavior issue,MP ID Issue,New Manpower (IPP"&amp;" low),No response from DH,No update for IB utilization,Not visible in WMS,Operational issue,Other Issues,Planogram Issue,Productivity issue,Rain,RE Issues,Received before 12AM (D0),Shortage Validation,Space Issue,Store Closed By MCD,Tech Issue,Vehicle Del"&amp;"ays,Wifi Issue,MP Absent,pOWER CUT ISSUE,Pharma,Multiple vehicle arrived,Unloading got delayed"</formula1>
      <formula2>0</formula2>
    </dataValidation>
    <dataValidation allowBlank="true" errorStyle="stop" operator="between" showDropDown="false" showErrorMessage="true" showInputMessage="false" sqref="N7 N10" type="list">
      <formula1>"Backlog PP,Bin suggestion issue,Closed,Cross utilization,Device Shortage,DH Miss,DH monitoring gap,High Demand,High Inbound,IR Issues,Lift Issue,Loaders Issue,Manpower delta,MH Miss,Mismatch product received,MP Behavior issue,MP ID Issue,New Manpower (IPP"&amp;" low),No response from DH,No update for IB utilization,Not visible in WMS,Operational issue,Other Issues,Planogram Issue,Productivity issue,Rain,RE Issues,Received before 12AM (D0),Shortage Validation,Space Issue,Store Closed By MCD,Tech Issue,Vehicle Del"&amp;"ays,Wifi Issue,MP Absent,pOWER CUT ISSUE,Pharma,Vehicle Slot Change,Multiple Vehicle Arrived,SS Pendency,Unloading got delayed"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D3" activeCellId="0" sqref="D3"/>
    </sheetView>
  </sheetViews>
  <sheetFormatPr defaultColWidth="12.6328125" defaultRowHeight="15" zeroHeight="false" outlineLevelRow="0" outlineLevelCol="0"/>
  <cols>
    <col collapsed="false" customWidth="true" hidden="false" outlineLevel="0" max="1" min="1" style="0" width="35"/>
    <col collapsed="false" customWidth="true" hidden="false" outlineLevel="0" max="2" min="2" style="0" width="21.12"/>
    <col collapsed="false" customWidth="true" hidden="false" outlineLevel="0" max="3" min="3" style="0" width="17.13"/>
    <col collapsed="false" customWidth="true" hidden="false" outlineLevel="0" max="5" min="5" style="0" width="14"/>
    <col collapsed="false" customWidth="true" hidden="false" outlineLevel="0" max="6" min="6" style="0" width="14.13"/>
    <col collapsed="false" customWidth="true" hidden="false" outlineLevel="0" max="7" min="7" style="0" width="11.63"/>
    <col collapsed="false" customWidth="true" hidden="false" outlineLevel="0" max="8" min="8" style="0" width="12.5"/>
    <col collapsed="false" customWidth="true" hidden="false" outlineLevel="0" max="9" min="9" style="0" width="13.25"/>
    <col collapsed="false" customWidth="true" hidden="false" outlineLevel="0" max="10" min="10" style="0" width="9.75"/>
    <col collapsed="false" customWidth="true" hidden="false" outlineLevel="0" max="11" min="11" style="0" width="14.38"/>
    <col collapsed="false" customWidth="true" hidden="false" outlineLevel="0" max="12" min="12" style="0" width="25.51"/>
    <col collapsed="false" customWidth="true" hidden="false" outlineLevel="0" max="13" min="13" style="0" width="14.51"/>
    <col collapsed="false" customWidth="true" hidden="false" outlineLevel="0" max="14" min="14" style="0" width="14"/>
    <col collapsed="false" customWidth="true" hidden="false" outlineLevel="0" max="15" min="15" style="0" width="14.13"/>
    <col collapsed="false" customWidth="true" hidden="false" outlineLevel="0" max="16" min="16" style="0" width="14.51"/>
    <col collapsed="false" customWidth="true" hidden="false" outlineLevel="0" max="17" min="17" style="0" width="12.5"/>
    <col collapsed="false" customWidth="true" hidden="false" outlineLevel="0" max="18" min="18" style="0" width="13.25"/>
    <col collapsed="false" customWidth="true" hidden="false" outlineLevel="0" max="19" min="19" style="0" width="9.75"/>
    <col collapsed="false" customWidth="true" hidden="false" outlineLevel="0" max="22" min="20" style="0" width="15"/>
    <col collapsed="false" customWidth="true" hidden="false" outlineLevel="0" max="34" min="23" style="0" width="24.51"/>
  </cols>
  <sheetData>
    <row r="1" customFormat="false" ht="42" hidden="false" customHeight="true" outlineLevel="0" collapsed="false">
      <c r="A1" s="75" t="s">
        <v>3</v>
      </c>
      <c r="B1" s="75" t="s">
        <v>4</v>
      </c>
      <c r="C1" s="75" t="s">
        <v>5</v>
      </c>
      <c r="D1" s="76" t="s">
        <v>942</v>
      </c>
      <c r="E1" s="75" t="s">
        <v>943</v>
      </c>
      <c r="F1" s="75" t="s">
        <v>944</v>
      </c>
      <c r="G1" s="75" t="s">
        <v>945</v>
      </c>
      <c r="H1" s="75" t="s">
        <v>946</v>
      </c>
      <c r="I1" s="75" t="s">
        <v>947</v>
      </c>
      <c r="J1" s="75" t="s">
        <v>854</v>
      </c>
      <c r="K1" s="75" t="s">
        <v>948</v>
      </c>
      <c r="L1" s="75" t="s">
        <v>5</v>
      </c>
      <c r="M1" s="76" t="s">
        <v>942</v>
      </c>
      <c r="N1" s="75" t="s">
        <v>943</v>
      </c>
      <c r="O1" s="75" t="s">
        <v>944</v>
      </c>
      <c r="P1" s="75" t="s">
        <v>945</v>
      </c>
      <c r="Q1" s="75" t="s">
        <v>946</v>
      </c>
      <c r="R1" s="75" t="s">
        <v>947</v>
      </c>
      <c r="S1" s="75" t="s">
        <v>854</v>
      </c>
      <c r="T1" s="23"/>
      <c r="U1" s="23"/>
      <c r="V1" s="23"/>
      <c r="W1" s="23"/>
      <c r="X1" s="23"/>
      <c r="Y1" s="23"/>
      <c r="Z1" s="23"/>
      <c r="AA1" s="23"/>
      <c r="AB1" s="23"/>
      <c r="AC1" s="23"/>
      <c r="AD1" s="23"/>
      <c r="AE1" s="23"/>
      <c r="AF1" s="23"/>
      <c r="AG1" s="23"/>
      <c r="AH1" s="23"/>
    </row>
    <row r="2" customFormat="false" ht="15" hidden="false" customHeight="false" outlineLevel="0" collapsed="false">
      <c r="A2" s="77" t="str">
        <f aca="false">"GRAND TOTAL - "&amp;TEXT($K$2,"dd-mmm-yyyy")</f>
        <v>GRAND TOTAL - 10-Oct-2026</v>
      </c>
      <c r="B2" s="77" t="str">
        <f aca="false">COUNTA(A3:A262)&amp;" stores"</f>
        <v>260 stores</v>
      </c>
      <c r="C2" s="77"/>
      <c r="D2" s="78" t="n">
        <f aca="false">SUM(D3:D262)</f>
        <v>1482135</v>
      </c>
      <c r="E2" s="79" t="n">
        <f aca="false">IFERROR(AVERAGE(E3:E262),0)</f>
        <v>0.652391627977266</v>
      </c>
      <c r="F2" s="77" t="n">
        <f aca="false">SUM(F3:F262)</f>
        <v>32701</v>
      </c>
      <c r="G2" s="77" t="n">
        <f aca="false">SUM(G3:G262)</f>
        <v>0</v>
      </c>
      <c r="H2" s="77" t="n">
        <f aca="false">SUM(H3:H262)</f>
        <v>39722</v>
      </c>
      <c r="I2" s="77" t="n">
        <f aca="false">SUM(I3:I262)</f>
        <v>462981</v>
      </c>
      <c r="J2" s="77" t="n">
        <f aca="false">SUM(J3:J262)</f>
        <v>122840</v>
      </c>
      <c r="K2" s="80" t="n">
        <v>46305</v>
      </c>
      <c r="L2" s="77" t="str">
        <f aca="false">"GRAND TOTAL - "&amp;TEXT($K$2,"dd-mmm-yyyy")</f>
        <v>GRAND TOTAL - 10-Oct-2026</v>
      </c>
      <c r="M2" s="78" t="n">
        <f aca="false">SUM(M3:M262)</f>
        <v>1482135</v>
      </c>
      <c r="N2" s="79" t="n">
        <f aca="false">IFERROR(AVERAGE(N3:N262),0)</f>
        <v>0.651046517271216</v>
      </c>
      <c r="O2" s="77" t="n">
        <f aca="false">SUM(O3:O262)</f>
        <v>32701</v>
      </c>
      <c r="P2" s="77" t="n">
        <f aca="false">SUM(P3:P262)</f>
        <v>0</v>
      </c>
      <c r="Q2" s="77" t="n">
        <f aca="false">SUM(Q3:Q262)</f>
        <v>39722</v>
      </c>
      <c r="R2" s="77" t="n">
        <f aca="false">SUM(R3:R262)</f>
        <v>462981</v>
      </c>
      <c r="S2" s="77" t="n">
        <f aca="false">SUM(S3:S262)</f>
        <v>122840</v>
      </c>
      <c r="T2" s="23"/>
      <c r="U2" s="23"/>
      <c r="V2" s="23"/>
      <c r="W2" s="23"/>
      <c r="X2" s="23"/>
      <c r="Y2" s="23"/>
      <c r="Z2" s="23"/>
      <c r="AA2" s="23"/>
      <c r="AB2" s="23"/>
      <c r="AC2" s="23"/>
      <c r="AD2" s="23"/>
      <c r="AE2" s="23"/>
      <c r="AF2" s="23"/>
      <c r="AG2" s="23"/>
      <c r="AH2" s="23"/>
    </row>
    <row r="3" customFormat="false" ht="15" hidden="false" customHeight="false" outlineLevel="0" collapsed="false">
      <c r="A3" s="81" t="s">
        <v>183</v>
      </c>
      <c r="B3" s="81" t="str">
        <f aca="false" t="array" ref="B3:B3">IFERROR(INDEX('CLM &amp; IM Mapping'!$B$2:$B$270,MATCH($A3,'CLM &amp; IM Mapping'!$A$2:$A$270,0)),"Not Mapped")</f>
        <v>Saddam Hussain</v>
      </c>
      <c r="C3" s="81" t="str">
        <f aca="false" t="array" ref="C3:C3">IFERROR(INDEX('CLM &amp; IM Mapping'!$C$2:$C$270,MATCH($A3,'CLM &amp; IM Mapping'!$A$2:$A$270,0)),"Not Mapped")</f>
        <v>Un Mapped</v>
      </c>
      <c r="D3" s="82" t="n">
        <f aca="false">IF(COUNTIFS(Shrinkage!$A$2:$A$3000,$K$2,Shrinkage!$D$2:$D$3000,$A3)&gt;0,SUMIFS(Shrinkage!$P$2:$P$3000,Shrinkage!$A$2:$A$3000,$K$2,Shrinkage!$D$2:$D$3000,$A3),IF(COUNTIFS(Shrinkage!$A$2:$A$3000,$K$2,Shrinkage!$D$2:$D$3000,SUBSTITUTE($A3," SS","  SS"))&gt;0,SUMIFS(Shrinkage!$P$2:$P$3000,Shrinkage!$A$2:$A$3000,$K$2,Shrinkage!$D$2:$D$3000,SUBSTITUTE($A3," SS","  SS")),"NA"))</f>
        <v>27108</v>
      </c>
      <c r="E3" s="83" t="n">
        <f aca="false">IF(COUNTIFS('Inventory Hygiene'!$A$2:$A$3000,$K$2,'Inventory Hygiene'!$B$2:$B$3000,$A3)&gt;0,AVERAGEIFS('Inventory Hygiene'!$J$2:$J$3000,'Inventory Hygiene'!$A$2:$A$3000,$K$2,'Inventory Hygiene'!$B$2:$B$3000,$A3),IF(COUNTIFS('Inventory Hygiene'!$A$2:$A$3000,$K$2,'Inventory Hygiene'!$B$2:$B$3000,SUBSTITUTE($A3," SS","  SS"))&gt;0,AVERAGEIFS('Inventory Hygiene'!$J$2:$J$3000,'Inventory Hygiene'!$A$2:$A$3000,$K$2,'Inventory Hygiene'!$B$2:$B$3000,SUBSTITUTE($A3," SS","  SS")),"NA"))</f>
        <v>0.710429856714429</v>
      </c>
      <c r="F3" s="81" t="n">
        <f aca="false">IF(COUNTIFS('Bad Bins'!$A$2:$A$3000,$K$2,'Bad Bins'!$B$2:$B$3000,$A3)&gt;0,SUMIFS('Bad Bins'!$K$2:$K$3000,'Bad Bins'!$A$2:$A$3000,$K$2,'Bad Bins'!$B$2:$B$3000,$A3),IF(COUNTIFS('Bad Bins'!$A$2:$A$3000,$K$2,'Bad Bins'!$B$2:$B$3000,SUBSTITUTE($A3," SS","  SS"))&gt;0,SUMIFS('Bad Bins'!$K$2:$K$3000,'Bad Bins'!$A$2:$A$3000,$K$2,'Bad Bins'!$B$2:$B$3000,SUBSTITUTE($A3," SS","  SS")),"NA"))</f>
        <v>152</v>
      </c>
      <c r="G3" s="81" t="str">
        <f aca="false">IF(COUNTIFS('RSTO &gt; 48hrs'!$A$2:$A$3000,$K$2,'RSTO &gt; 48hrs'!$B$2:$B$3000,$A3)&gt;0,SUMIFS('RSTO &gt; 48hrs'!$H$2:$H$3000,'RSTO &gt; 48hrs'!$A$2:$A$3000,$K$2,'RSTO &gt; 48hrs'!$B$2:$B$3000,$A3),IF(COUNTIFS('RSTO &gt; 48hrs'!$A$2:$A$3000,$K$2,'RSTO &gt; 48hrs'!$B$2:$B$3000,SUBSTITUTE($A3," SS","  SS"))&gt;0,SUMIFS('RSTO &gt; 48hrs'!$H$2:$H$3000,'RSTO &gt; 48hrs'!$A$2:$A$3000,$K$2,'RSTO &gt; 48hrs'!$B$2:$B$3000,SUBSTITUTE($A3," SS","  SS")),"NA"))</f>
        <v>NA</v>
      </c>
      <c r="H3" s="81" t="str">
        <f aca="false">IF(COUNTIFS('Recirculation &gt; 24 hrs'!$A$2:$A$3000,$K$2,'Recirculation &gt; 24 hrs'!$B$2:$B$3000,$A3)&gt;0,SUMIFS('Recirculation &gt; 24 hrs'!$K$2:$K$3000,'Recirculation &gt; 24 hrs'!$A$2:$A$3000,$K$2,'Recirculation &gt; 24 hrs'!$B$2:$B$3000,$A3),IF(COUNTIFS('Recirculation &gt; 24 hrs'!$A$2:$A$3000,$K$2,'Recirculation &gt; 24 hrs'!$B$2:$B$3000,SUBSTITUTE($A3," SS","  SS"))&gt;0,SUMIFS('Recirculation &gt; 24 hrs'!$K$2:$K$3000,'Recirculation &gt; 24 hrs'!$A$2:$A$3000,$K$2,'Recirculation &gt; 24 hrs'!$B$2:$B$3000,SUBSTITUTE($A3," SS","  SS")),"NA"))</f>
        <v>NA</v>
      </c>
      <c r="I3" s="81" t="n">
        <f aca="false">IF(COUNTIFS('Pending Putaway'!$A$2:$A$3000,$K$2,'Pending Putaway'!$B$2:$B$3000,$A3)&gt;0,SUMIFS('Pending Putaway'!$E$2:$E$3000,'Pending Putaway'!$A$2:$A$3000,$K$2,'Pending Putaway'!$B$2:$B$3000,$A3),IF(COUNTIFS('Pending Putaway'!$A$2:$A$3000,$K$2,'Pending Putaway'!$B$2:$B$3000,SUBSTITUTE($A3," SS","  SS"))&gt;0,SUMIFS('Pending Putaway'!$E$2:$E$3000,'Pending Putaway'!$A$2:$A$3000,$K$2,'Pending Putaway'!$B$2:$B$3000,SUBSTITUTE($A3," SS","  SS")),"NA"))</f>
        <v>6533</v>
      </c>
      <c r="J3" s="81" t="n">
        <f aca="false">IF(COUNTIFS('Pending Putaway'!$A$2:$A$3000,$K$2,'Pending Putaway'!$B$2:$B$3000,$A3)&gt;0,SUMIFS('Pending Putaway'!$L$2:$L$3000,'Pending Putaway'!$A$2:$A$3000,$K$2,'Pending Putaway'!$B$2:$B$3000,$A3),IF(COUNTIFS('Pending Putaway'!$A$2:$A$3000,$K$2,'Pending Putaway'!$B$2:$B$3000,SUBSTITUTE($A3," SS","  SS"))&gt;0,SUMIFS('Pending Putaway'!$L$2:$L$3000,'Pending Putaway'!$A$2:$A$3000,$K$2,'Pending Putaway'!$B$2:$B$3000,SUBSTITUTE($A3," SS","  SS")),"NA"))</f>
        <v>1623</v>
      </c>
      <c r="K3" s="23"/>
      <c r="L3" s="84" t="s">
        <v>669</v>
      </c>
      <c r="M3" s="85" t="n">
        <f aca="false">SUMIFS($D$3:$D$300,$C$3:$C$300,$L3)</f>
        <v>498985</v>
      </c>
      <c r="N3" s="86" t="n">
        <f aca="false">IFERROR(AVERAGEIFS($E$3:$E$300,$C$3:$C$300,$L3),"NA")</f>
        <v>0.66627785774546</v>
      </c>
      <c r="O3" s="85" t="n">
        <f aca="false">SUMIFS($F$3:$F$300,$C$3:$C$300,$L3)</f>
        <v>8051</v>
      </c>
      <c r="P3" s="85" t="n">
        <f aca="false">SUMIFS($G$3:$G$300,$C$3:$C$300,$L3)</f>
        <v>0</v>
      </c>
      <c r="Q3" s="85" t="n">
        <f aca="false">SUMIFS($H$3:$H$300,$C$3:$C$300,$L3)</f>
        <v>12629</v>
      </c>
      <c r="R3" s="85" t="n">
        <f aca="false">SUMIFS($I$3:$I$300,$C$3:$C$300,$L3)</f>
        <v>114817</v>
      </c>
      <c r="S3" s="85" t="n">
        <f aca="false">SUMIFS($J$3:$J$300,$C$3:$C$300,$L3)</f>
        <v>23318</v>
      </c>
      <c r="T3" s="23"/>
      <c r="U3" s="23"/>
      <c r="V3" s="23"/>
      <c r="W3" s="23"/>
      <c r="X3" s="23"/>
      <c r="Y3" s="23"/>
      <c r="Z3" s="23"/>
      <c r="AA3" s="23"/>
      <c r="AB3" s="23"/>
      <c r="AC3" s="23"/>
      <c r="AD3" s="23"/>
      <c r="AE3" s="23"/>
      <c r="AF3" s="23"/>
      <c r="AG3" s="23"/>
      <c r="AH3" s="23"/>
    </row>
    <row r="4" customFormat="false" ht="15" hidden="false" customHeight="false" outlineLevel="0" collapsed="false">
      <c r="A4" s="81" t="s">
        <v>342</v>
      </c>
      <c r="B4" s="81" t="str">
        <f aca="false" t="array" ref="B4:B4">IFERROR(INDEX('CLM &amp; IM Mapping'!$B$2:$B$270,MATCH($A4,'CLM &amp; IM Mapping'!$A$2:$A$270,0)),"Not Mapped")</f>
        <v>Saddam Hussain</v>
      </c>
      <c r="C4" s="81" t="str">
        <f aca="false" t="array" ref="C4:C4">IFERROR(INDEX('CLM &amp; IM Mapping'!$C$2:$C$270,MATCH($A4,'CLM &amp; IM Mapping'!$A$2:$A$270,0)),"Not Mapped")</f>
        <v>Un Mapped</v>
      </c>
      <c r="D4" s="82" t="n">
        <f aca="false">IF(COUNTIFS(Shrinkage!$A$2:$A$3000,$K$2,Shrinkage!$D$2:$D$3000,$A4)&gt;0,SUMIFS(Shrinkage!$P$2:$P$3000,Shrinkage!$A$2:$A$3000,$K$2,Shrinkage!$D$2:$D$3000,$A4),IF(COUNTIFS(Shrinkage!$A$2:$A$3000,$K$2,Shrinkage!$D$2:$D$3000,SUBSTITUTE($A4," SS","  SS"))&gt;0,SUMIFS(Shrinkage!$P$2:$P$3000,Shrinkage!$A$2:$A$3000,$K$2,Shrinkage!$D$2:$D$3000,SUBSTITUTE($A4," SS","  SS")),"NA"))</f>
        <v>3394</v>
      </c>
      <c r="E4" s="83" t="n">
        <f aca="false">IF(COUNTIFS('Inventory Hygiene'!$A$2:$A$3000,$K$2,'Inventory Hygiene'!$B$2:$B$3000,$A4)&gt;0,AVERAGEIFS('Inventory Hygiene'!$J$2:$J$3000,'Inventory Hygiene'!$A$2:$A$3000,$K$2,'Inventory Hygiene'!$B$2:$B$3000,$A4),IF(COUNTIFS('Inventory Hygiene'!$A$2:$A$3000,$K$2,'Inventory Hygiene'!$B$2:$B$3000,SUBSTITUTE($A4," SS","  SS"))&gt;0,AVERAGEIFS('Inventory Hygiene'!$J$2:$J$3000,'Inventory Hygiene'!$A$2:$A$3000,$K$2,'Inventory Hygiene'!$B$2:$B$3000,SUBSTITUTE($A4," SS","  SS")),"NA"))</f>
        <v>0.794401101422671</v>
      </c>
      <c r="F4" s="81" t="n">
        <f aca="false">IF(COUNTIFS('Bad Bins'!$A$2:$A$3000,$K$2,'Bad Bins'!$B$2:$B$3000,$A4)&gt;0,SUMIFS('Bad Bins'!$K$2:$K$3000,'Bad Bins'!$A$2:$A$3000,$K$2,'Bad Bins'!$B$2:$B$3000,$A4),IF(COUNTIFS('Bad Bins'!$A$2:$A$3000,$K$2,'Bad Bins'!$B$2:$B$3000,SUBSTITUTE($A4," SS","  SS"))&gt;0,SUMIFS('Bad Bins'!$K$2:$K$3000,'Bad Bins'!$A$2:$A$3000,$K$2,'Bad Bins'!$B$2:$B$3000,SUBSTITUTE($A4," SS","  SS")),"NA"))</f>
        <v>228</v>
      </c>
      <c r="G4" s="81" t="str">
        <f aca="false">IF(COUNTIFS('RSTO &gt; 48hrs'!$A$2:$A$3000,$K$2,'RSTO &gt; 48hrs'!$B$2:$B$3000,$A4)&gt;0,SUMIFS('RSTO &gt; 48hrs'!$H$2:$H$3000,'RSTO &gt; 48hrs'!$A$2:$A$3000,$K$2,'RSTO &gt; 48hrs'!$B$2:$B$3000,$A4),IF(COUNTIFS('RSTO &gt; 48hrs'!$A$2:$A$3000,$K$2,'RSTO &gt; 48hrs'!$B$2:$B$3000,SUBSTITUTE($A4," SS","  SS"))&gt;0,SUMIFS('RSTO &gt; 48hrs'!$H$2:$H$3000,'RSTO &gt; 48hrs'!$A$2:$A$3000,$K$2,'RSTO &gt; 48hrs'!$B$2:$B$3000,SUBSTITUTE($A4," SS","  SS")),"NA"))</f>
        <v>NA</v>
      </c>
      <c r="H4" s="81" t="str">
        <f aca="false">IF(COUNTIFS('Recirculation &gt; 24 hrs'!$A$2:$A$3000,$K$2,'Recirculation &gt; 24 hrs'!$B$2:$B$3000,$A4)&gt;0,SUMIFS('Recirculation &gt; 24 hrs'!$K$2:$K$3000,'Recirculation &gt; 24 hrs'!$A$2:$A$3000,$K$2,'Recirculation &gt; 24 hrs'!$B$2:$B$3000,$A4),IF(COUNTIFS('Recirculation &gt; 24 hrs'!$A$2:$A$3000,$K$2,'Recirculation &gt; 24 hrs'!$B$2:$B$3000,SUBSTITUTE($A4," SS","  SS"))&gt;0,SUMIFS('Recirculation &gt; 24 hrs'!$K$2:$K$3000,'Recirculation &gt; 24 hrs'!$A$2:$A$3000,$K$2,'Recirculation &gt; 24 hrs'!$B$2:$B$3000,SUBSTITUTE($A4," SS","  SS")),"NA"))</f>
        <v>NA</v>
      </c>
      <c r="I4" s="81" t="n">
        <f aca="false">IF(COUNTIFS('Pending Putaway'!$A$2:$A$3000,$K$2,'Pending Putaway'!$B$2:$B$3000,$A4)&gt;0,SUMIFS('Pending Putaway'!$E$2:$E$3000,'Pending Putaway'!$A$2:$A$3000,$K$2,'Pending Putaway'!$B$2:$B$3000,$A4),IF(COUNTIFS('Pending Putaway'!$A$2:$A$3000,$K$2,'Pending Putaway'!$B$2:$B$3000,SUBSTITUTE($A4," SS","  SS"))&gt;0,SUMIFS('Pending Putaway'!$E$2:$E$3000,'Pending Putaway'!$A$2:$A$3000,$K$2,'Pending Putaway'!$B$2:$B$3000,SUBSTITUTE($A4," SS","  SS")),"NA"))</f>
        <v>0</v>
      </c>
      <c r="J4" s="81" t="n">
        <f aca="false">IF(COUNTIFS('Pending Putaway'!$A$2:$A$3000,$K$2,'Pending Putaway'!$B$2:$B$3000,$A4)&gt;0,SUMIFS('Pending Putaway'!$L$2:$L$3000,'Pending Putaway'!$A$2:$A$3000,$K$2,'Pending Putaway'!$B$2:$B$3000,$A4),IF(COUNTIFS('Pending Putaway'!$A$2:$A$3000,$K$2,'Pending Putaway'!$B$2:$B$3000,SUBSTITUTE($A4," SS","  SS"))&gt;0,SUMIFS('Pending Putaway'!$L$2:$L$3000,'Pending Putaway'!$A$2:$A$3000,$K$2,'Pending Putaway'!$B$2:$B$3000,SUBSTITUTE($A4," SS","  SS")),"NA"))</f>
        <v>0</v>
      </c>
      <c r="K4" s="23"/>
      <c r="L4" s="84" t="s">
        <v>680</v>
      </c>
      <c r="M4" s="85" t="n">
        <f aca="false">SUMIFS($D$3:$D$300,$C$3:$C$300,$L4)</f>
        <v>178463</v>
      </c>
      <c r="N4" s="86" t="n">
        <f aca="false">IFERROR(AVERAGEIFS($E$3:$E$300,$C$3:$C$300,$L4),"NA")</f>
        <v>0.370985606463485</v>
      </c>
      <c r="O4" s="85" t="n">
        <f aca="false">SUMIFS($F$3:$F$300,$C$3:$C$300,$L4)</f>
        <v>508</v>
      </c>
      <c r="P4" s="85" t="n">
        <f aca="false">SUMIFS($G$3:$G$300,$C$3:$C$300,$L4)</f>
        <v>0</v>
      </c>
      <c r="Q4" s="85" t="n">
        <f aca="false">SUMIFS($H$3:$H$300,$C$3:$C$300,$L4)</f>
        <v>4196</v>
      </c>
      <c r="R4" s="85" t="n">
        <f aca="false">SUMIFS($I$3:$I$300,$C$3:$C$300,$L4)</f>
        <v>28083</v>
      </c>
      <c r="S4" s="85" t="n">
        <f aca="false">SUMIFS($J$3:$J$300,$C$3:$C$300,$L4)</f>
        <v>5683</v>
      </c>
      <c r="T4" s="23"/>
      <c r="U4" s="23"/>
      <c r="V4" s="23"/>
      <c r="W4" s="23"/>
      <c r="X4" s="23"/>
      <c r="Y4" s="23"/>
      <c r="Z4" s="23"/>
      <c r="AA4" s="23"/>
      <c r="AB4" s="23"/>
      <c r="AC4" s="23"/>
      <c r="AD4" s="23"/>
      <c r="AE4" s="23"/>
      <c r="AF4" s="23"/>
      <c r="AG4" s="23"/>
      <c r="AH4" s="23"/>
    </row>
    <row r="5" customFormat="false" ht="15" hidden="false" customHeight="false" outlineLevel="0" collapsed="false">
      <c r="A5" s="81" t="s">
        <v>279</v>
      </c>
      <c r="B5" s="81" t="str">
        <f aca="false" t="array" ref="B5:B5">IFERROR(INDEX('CLM &amp; IM Mapping'!$B$2:$B$270,MATCH($A5,'CLM &amp; IM Mapping'!$A$2:$A$270,0)),"Not Mapped")</f>
        <v>Rizwan Ahmed</v>
      </c>
      <c r="C5" s="81" t="str">
        <f aca="false" t="array" ref="C5:C5">IFERROR(INDEX('CLM &amp; IM Mapping'!$C$2:$C$270,MATCH($A5,'CLM &amp; IM Mapping'!$A$2:$A$270,0)),"Not Mapped")</f>
        <v>Un Mapped</v>
      </c>
      <c r="D5" s="82" t="n">
        <f aca="false">IF(COUNTIFS(Shrinkage!$A$2:$A$3000,$K$2,Shrinkage!$D$2:$D$3000,$A5)&gt;0,SUMIFS(Shrinkage!$P$2:$P$3000,Shrinkage!$A$2:$A$3000,$K$2,Shrinkage!$D$2:$D$3000,$A5),IF(COUNTIFS(Shrinkage!$A$2:$A$3000,$K$2,Shrinkage!$D$2:$D$3000,SUBSTITUTE($A5," SS","  SS"))&gt;0,SUMIFS(Shrinkage!$P$2:$P$3000,Shrinkage!$A$2:$A$3000,$K$2,Shrinkage!$D$2:$D$3000,SUBSTITUTE($A5," SS","  SS")),"NA"))</f>
        <v>11315</v>
      </c>
      <c r="E5" s="83" t="n">
        <f aca="false">IF(COUNTIFS('Inventory Hygiene'!$A$2:$A$3000,$K$2,'Inventory Hygiene'!$B$2:$B$3000,$A5)&gt;0,AVERAGEIFS('Inventory Hygiene'!$J$2:$J$3000,'Inventory Hygiene'!$A$2:$A$3000,$K$2,'Inventory Hygiene'!$B$2:$B$3000,$A5),IF(COUNTIFS('Inventory Hygiene'!$A$2:$A$3000,$K$2,'Inventory Hygiene'!$B$2:$B$3000,SUBSTITUTE($A5," SS","  SS"))&gt;0,AVERAGEIFS('Inventory Hygiene'!$J$2:$J$3000,'Inventory Hygiene'!$A$2:$A$3000,$K$2,'Inventory Hygiene'!$B$2:$B$3000,SUBSTITUTE($A5," SS","  SS")),"NA"))</f>
        <v>0.665259680675353</v>
      </c>
      <c r="F5" s="81" t="n">
        <f aca="false">IF(COUNTIFS('Bad Bins'!$A$2:$A$3000,$K$2,'Bad Bins'!$B$2:$B$3000,$A5)&gt;0,SUMIFS('Bad Bins'!$K$2:$K$3000,'Bad Bins'!$A$2:$A$3000,$K$2,'Bad Bins'!$B$2:$B$3000,$A5),IF(COUNTIFS('Bad Bins'!$A$2:$A$3000,$K$2,'Bad Bins'!$B$2:$B$3000,SUBSTITUTE($A5," SS","  SS"))&gt;0,SUMIFS('Bad Bins'!$K$2:$K$3000,'Bad Bins'!$A$2:$A$3000,$K$2,'Bad Bins'!$B$2:$B$3000,SUBSTITUTE($A5," SS","  SS")),"NA"))</f>
        <v>157</v>
      </c>
      <c r="G5" s="81" t="str">
        <f aca="false">IF(COUNTIFS('RSTO &gt; 48hrs'!$A$2:$A$3000,$K$2,'RSTO &gt; 48hrs'!$B$2:$B$3000,$A5)&gt;0,SUMIFS('RSTO &gt; 48hrs'!$H$2:$H$3000,'RSTO &gt; 48hrs'!$A$2:$A$3000,$K$2,'RSTO &gt; 48hrs'!$B$2:$B$3000,$A5),IF(COUNTIFS('RSTO &gt; 48hrs'!$A$2:$A$3000,$K$2,'RSTO &gt; 48hrs'!$B$2:$B$3000,SUBSTITUTE($A5," SS","  SS"))&gt;0,SUMIFS('RSTO &gt; 48hrs'!$H$2:$H$3000,'RSTO &gt; 48hrs'!$A$2:$A$3000,$K$2,'RSTO &gt; 48hrs'!$B$2:$B$3000,SUBSTITUTE($A5," SS","  SS")),"NA"))</f>
        <v>NA</v>
      </c>
      <c r="H5" s="81" t="str">
        <f aca="false">IF(COUNTIFS('Recirculation &gt; 24 hrs'!$A$2:$A$3000,$K$2,'Recirculation &gt; 24 hrs'!$B$2:$B$3000,$A5)&gt;0,SUMIFS('Recirculation &gt; 24 hrs'!$K$2:$K$3000,'Recirculation &gt; 24 hrs'!$A$2:$A$3000,$K$2,'Recirculation &gt; 24 hrs'!$B$2:$B$3000,$A5),IF(COUNTIFS('Recirculation &gt; 24 hrs'!$A$2:$A$3000,$K$2,'Recirculation &gt; 24 hrs'!$B$2:$B$3000,SUBSTITUTE($A5," SS","  SS"))&gt;0,SUMIFS('Recirculation &gt; 24 hrs'!$K$2:$K$3000,'Recirculation &gt; 24 hrs'!$A$2:$A$3000,$K$2,'Recirculation &gt; 24 hrs'!$B$2:$B$3000,SUBSTITUTE($A5," SS","  SS")),"NA"))</f>
        <v>NA</v>
      </c>
      <c r="I5" s="81" t="n">
        <f aca="false">IF(COUNTIFS('Pending Putaway'!$A$2:$A$3000,$K$2,'Pending Putaway'!$B$2:$B$3000,$A5)&gt;0,SUMIFS('Pending Putaway'!$E$2:$E$3000,'Pending Putaway'!$A$2:$A$3000,$K$2,'Pending Putaway'!$B$2:$B$3000,$A5),IF(COUNTIFS('Pending Putaway'!$A$2:$A$3000,$K$2,'Pending Putaway'!$B$2:$B$3000,SUBSTITUTE($A5," SS","  SS"))&gt;0,SUMIFS('Pending Putaway'!$E$2:$E$3000,'Pending Putaway'!$A$2:$A$3000,$K$2,'Pending Putaway'!$B$2:$B$3000,SUBSTITUTE($A5," SS","  SS")),"NA"))</f>
        <v>2423</v>
      </c>
      <c r="J5" s="81" t="n">
        <f aca="false">IF(COUNTIFS('Pending Putaway'!$A$2:$A$3000,$K$2,'Pending Putaway'!$B$2:$B$3000,$A5)&gt;0,SUMIFS('Pending Putaway'!$L$2:$L$3000,'Pending Putaway'!$A$2:$A$3000,$K$2,'Pending Putaway'!$B$2:$B$3000,$A5),IF(COUNTIFS('Pending Putaway'!$A$2:$A$3000,$K$2,'Pending Putaway'!$B$2:$B$3000,SUBSTITUTE($A5," SS","  SS"))&gt;0,SUMIFS('Pending Putaway'!$L$2:$L$3000,'Pending Putaway'!$A$2:$A$3000,$K$2,'Pending Putaway'!$B$2:$B$3000,SUBSTITUTE($A5," SS","  SS")),"NA"))</f>
        <v>0</v>
      </c>
      <c r="K5" s="23"/>
      <c r="L5" s="84" t="s">
        <v>697</v>
      </c>
      <c r="M5" s="85" t="n">
        <f aca="false">SUMIFS($D$3:$D$300,$C$3:$C$300,$L5)</f>
        <v>317678</v>
      </c>
      <c r="N5" s="86" t="n">
        <f aca="false">IFERROR(AVERAGEIFS($E$3:$E$300,$C$3:$C$300,$L5),"NA")</f>
        <v>0.68230740468827</v>
      </c>
      <c r="O5" s="85" t="n">
        <f aca="false">SUMIFS($F$3:$F$300,$C$3:$C$300,$L5)</f>
        <v>5414</v>
      </c>
      <c r="P5" s="85" t="n">
        <f aca="false">SUMIFS($G$3:$G$300,$C$3:$C$300,$L5)</f>
        <v>0</v>
      </c>
      <c r="Q5" s="85" t="n">
        <f aca="false">SUMIFS($H$3:$H$300,$C$3:$C$300,$L5)</f>
        <v>6274</v>
      </c>
      <c r="R5" s="85" t="n">
        <f aca="false">SUMIFS($I$3:$I$300,$C$3:$C$300,$L5)</f>
        <v>51279</v>
      </c>
      <c r="S5" s="85" t="n">
        <f aca="false">SUMIFS($J$3:$J$300,$C$3:$C$300,$L5)</f>
        <v>25445</v>
      </c>
      <c r="T5" s="23"/>
      <c r="U5" s="23"/>
      <c r="V5" s="23"/>
      <c r="W5" s="23"/>
      <c r="X5" s="23"/>
      <c r="Y5" s="23"/>
      <c r="Z5" s="23"/>
      <c r="AA5" s="23"/>
      <c r="AB5" s="23"/>
      <c r="AC5" s="23"/>
      <c r="AD5" s="23"/>
      <c r="AE5" s="23"/>
      <c r="AF5" s="23"/>
      <c r="AG5" s="23"/>
      <c r="AH5" s="23"/>
    </row>
    <row r="6" customFormat="false" ht="15" hidden="false" customHeight="false" outlineLevel="0" collapsed="false">
      <c r="A6" s="81" t="s">
        <v>376</v>
      </c>
      <c r="B6" s="81" t="str">
        <f aca="false" t="array" ref="B6:B6">IFERROR(INDEX('CLM &amp; IM Mapping'!$B$2:$B$270,MATCH($A6,'CLM &amp; IM Mapping'!$A$2:$A$270,0)),"Not Mapped")</f>
        <v>Sundaresh S</v>
      </c>
      <c r="C6" s="81" t="str">
        <f aca="false" t="array" ref="C6:C6">IFERROR(INDEX('CLM &amp; IM Mapping'!$C$2:$C$270,MATCH($A6,'CLM &amp; IM Mapping'!$A$2:$A$270,0)),"Not Mapped")</f>
        <v>Un Mapped</v>
      </c>
      <c r="D6" s="82" t="n">
        <f aca="false">IF(COUNTIFS(Shrinkage!$A$2:$A$3000,$K$2,Shrinkage!$D$2:$D$3000,$A6)&gt;0,SUMIFS(Shrinkage!$P$2:$P$3000,Shrinkage!$A$2:$A$3000,$K$2,Shrinkage!$D$2:$D$3000,$A6),IF(COUNTIFS(Shrinkage!$A$2:$A$3000,$K$2,Shrinkage!$D$2:$D$3000,SUBSTITUTE($A6," SS","  SS"))&gt;0,SUMIFS(Shrinkage!$P$2:$P$3000,Shrinkage!$A$2:$A$3000,$K$2,Shrinkage!$D$2:$D$3000,SUBSTITUTE($A6," SS","  SS")),"NA"))</f>
        <v>5944</v>
      </c>
      <c r="E6" s="83" t="n">
        <f aca="false">IF(COUNTIFS('Inventory Hygiene'!$A$2:$A$3000,$K$2,'Inventory Hygiene'!$B$2:$B$3000,$A6)&gt;0,AVERAGEIFS('Inventory Hygiene'!$J$2:$J$3000,'Inventory Hygiene'!$A$2:$A$3000,$K$2,'Inventory Hygiene'!$B$2:$B$3000,$A6),IF(COUNTIFS('Inventory Hygiene'!$A$2:$A$3000,$K$2,'Inventory Hygiene'!$B$2:$B$3000,SUBSTITUTE($A6," SS","  SS"))&gt;0,AVERAGEIFS('Inventory Hygiene'!$J$2:$J$3000,'Inventory Hygiene'!$A$2:$A$3000,$K$2,'Inventory Hygiene'!$B$2:$B$3000,SUBSTITUTE($A6," SS","  SS")),"NA"))</f>
        <v>0.742643695685318</v>
      </c>
      <c r="F6" s="81" t="n">
        <f aca="false">IF(COUNTIFS('Bad Bins'!$A$2:$A$3000,$K$2,'Bad Bins'!$B$2:$B$3000,$A6)&gt;0,SUMIFS('Bad Bins'!$K$2:$K$3000,'Bad Bins'!$A$2:$A$3000,$K$2,'Bad Bins'!$B$2:$B$3000,$A6),IF(COUNTIFS('Bad Bins'!$A$2:$A$3000,$K$2,'Bad Bins'!$B$2:$B$3000,SUBSTITUTE($A6," SS","  SS"))&gt;0,SUMIFS('Bad Bins'!$K$2:$K$3000,'Bad Bins'!$A$2:$A$3000,$K$2,'Bad Bins'!$B$2:$B$3000,SUBSTITUTE($A6," SS","  SS")),"NA"))</f>
        <v>109</v>
      </c>
      <c r="G6" s="81" t="str">
        <f aca="false">IF(COUNTIFS('RSTO &gt; 48hrs'!$A$2:$A$3000,$K$2,'RSTO &gt; 48hrs'!$B$2:$B$3000,$A6)&gt;0,SUMIFS('RSTO &gt; 48hrs'!$H$2:$H$3000,'RSTO &gt; 48hrs'!$A$2:$A$3000,$K$2,'RSTO &gt; 48hrs'!$B$2:$B$3000,$A6),IF(COUNTIFS('RSTO &gt; 48hrs'!$A$2:$A$3000,$K$2,'RSTO &gt; 48hrs'!$B$2:$B$3000,SUBSTITUTE($A6," SS","  SS"))&gt;0,SUMIFS('RSTO &gt; 48hrs'!$H$2:$H$3000,'RSTO &gt; 48hrs'!$A$2:$A$3000,$K$2,'RSTO &gt; 48hrs'!$B$2:$B$3000,SUBSTITUTE($A6," SS","  SS")),"NA"))</f>
        <v>NA</v>
      </c>
      <c r="H6" s="81" t="str">
        <f aca="false">IF(COUNTIFS('Recirculation &gt; 24 hrs'!$A$2:$A$3000,$K$2,'Recirculation &gt; 24 hrs'!$B$2:$B$3000,$A6)&gt;0,SUMIFS('Recirculation &gt; 24 hrs'!$K$2:$K$3000,'Recirculation &gt; 24 hrs'!$A$2:$A$3000,$K$2,'Recirculation &gt; 24 hrs'!$B$2:$B$3000,$A6),IF(COUNTIFS('Recirculation &gt; 24 hrs'!$A$2:$A$3000,$K$2,'Recirculation &gt; 24 hrs'!$B$2:$B$3000,SUBSTITUTE($A6," SS","  SS"))&gt;0,SUMIFS('Recirculation &gt; 24 hrs'!$K$2:$K$3000,'Recirculation &gt; 24 hrs'!$A$2:$A$3000,$K$2,'Recirculation &gt; 24 hrs'!$B$2:$B$3000,SUBSTITUTE($A6," SS","  SS")),"NA"))</f>
        <v>NA</v>
      </c>
      <c r="I6" s="81" t="n">
        <f aca="false">IF(COUNTIFS('Pending Putaway'!$A$2:$A$3000,$K$2,'Pending Putaway'!$B$2:$B$3000,$A6)&gt;0,SUMIFS('Pending Putaway'!$E$2:$E$3000,'Pending Putaway'!$A$2:$A$3000,$K$2,'Pending Putaway'!$B$2:$B$3000,$A6),IF(COUNTIFS('Pending Putaway'!$A$2:$A$3000,$K$2,'Pending Putaway'!$B$2:$B$3000,SUBSTITUTE($A6," SS","  SS"))&gt;0,SUMIFS('Pending Putaway'!$E$2:$E$3000,'Pending Putaway'!$A$2:$A$3000,$K$2,'Pending Putaway'!$B$2:$B$3000,SUBSTITUTE($A6," SS","  SS")),"NA"))</f>
        <v>63</v>
      </c>
      <c r="J6" s="81" t="n">
        <f aca="false">IF(COUNTIFS('Pending Putaway'!$A$2:$A$3000,$K$2,'Pending Putaway'!$B$2:$B$3000,$A6)&gt;0,SUMIFS('Pending Putaway'!$L$2:$L$3000,'Pending Putaway'!$A$2:$A$3000,$K$2,'Pending Putaway'!$B$2:$B$3000,$A6),IF(COUNTIFS('Pending Putaway'!$A$2:$A$3000,$K$2,'Pending Putaway'!$B$2:$B$3000,SUBSTITUTE($A6," SS","  SS"))&gt;0,SUMIFS('Pending Putaway'!$L$2:$L$3000,'Pending Putaway'!$A$2:$A$3000,$K$2,'Pending Putaway'!$B$2:$B$3000,SUBSTITUTE($A6," SS","  SS")),"NA"))</f>
        <v>3</v>
      </c>
      <c r="K6" s="23"/>
      <c r="L6" s="84" t="s">
        <v>686</v>
      </c>
      <c r="M6" s="85" t="n">
        <f aca="false">SUMIFS($D$3:$D$300,$C$3:$C$300,$L6)</f>
        <v>178392</v>
      </c>
      <c r="N6" s="86" t="n">
        <f aca="false">IFERROR(AVERAGEIFS($E$3:$E$300,$C$3:$C$300,$L6),"NA")</f>
        <v>0.758435703635331</v>
      </c>
      <c r="O6" s="85" t="n">
        <f aca="false">SUMIFS($F$3:$F$300,$C$3:$C$300,$L6)</f>
        <v>4728</v>
      </c>
      <c r="P6" s="85" t="n">
        <f aca="false">SUMIFS($G$3:$G$300,$C$3:$C$300,$L6)</f>
        <v>0</v>
      </c>
      <c r="Q6" s="85" t="n">
        <f aca="false">SUMIFS($H$3:$H$300,$C$3:$C$300,$L6)</f>
        <v>8902</v>
      </c>
      <c r="R6" s="85" t="n">
        <f aca="false">SUMIFS($I$3:$I$300,$C$3:$C$300,$L6)</f>
        <v>61547</v>
      </c>
      <c r="S6" s="85" t="n">
        <f aca="false">SUMIFS($J$3:$J$300,$C$3:$C$300,$L6)</f>
        <v>12984</v>
      </c>
      <c r="T6" s="23"/>
      <c r="U6" s="23"/>
      <c r="V6" s="23"/>
      <c r="W6" s="23"/>
      <c r="X6" s="23"/>
      <c r="Y6" s="23"/>
      <c r="Z6" s="23"/>
      <c r="AA6" s="23"/>
      <c r="AB6" s="23"/>
      <c r="AC6" s="23"/>
      <c r="AD6" s="23"/>
      <c r="AE6" s="23"/>
      <c r="AF6" s="23"/>
      <c r="AG6" s="23"/>
      <c r="AH6" s="23"/>
    </row>
    <row r="7" customFormat="false" ht="15" hidden="false" customHeight="false" outlineLevel="0" collapsed="false">
      <c r="A7" s="81" t="s">
        <v>525</v>
      </c>
      <c r="B7" s="81" t="str">
        <f aca="false" t="array" ref="B7:B7">IFERROR(INDEX('CLM &amp; IM Mapping'!$B$2:$B$270,MATCH($A7,'CLM &amp; IM Mapping'!$A$2:$A$270,0)),"Not Mapped")</f>
        <v>Saddam Hussain</v>
      </c>
      <c r="C7" s="81" t="str">
        <f aca="false" t="array" ref="C7:C7">IFERROR(INDEX('CLM &amp; IM Mapping'!$C$2:$C$270,MATCH($A7,'CLM &amp; IM Mapping'!$A$2:$A$270,0)),"Not Mapped")</f>
        <v>Un Mapped</v>
      </c>
      <c r="D7" s="82" t="n">
        <f aca="false">IF(COUNTIFS(Shrinkage!$A$2:$A$3000,$K$2,Shrinkage!$D$2:$D$3000,$A7)&gt;0,SUMIFS(Shrinkage!$P$2:$P$3000,Shrinkage!$A$2:$A$3000,$K$2,Shrinkage!$D$2:$D$3000,$A7),IF(COUNTIFS(Shrinkage!$A$2:$A$3000,$K$2,Shrinkage!$D$2:$D$3000,SUBSTITUTE($A7," SS","  SS"))&gt;0,SUMIFS(Shrinkage!$P$2:$P$3000,Shrinkage!$A$2:$A$3000,$K$2,Shrinkage!$D$2:$D$3000,SUBSTITUTE($A7," SS","  SS")),"NA"))</f>
        <v>-43666</v>
      </c>
      <c r="E7" s="83" t="n">
        <f aca="false">IF(COUNTIFS('Inventory Hygiene'!$A$2:$A$3000,$K$2,'Inventory Hygiene'!$B$2:$B$3000,$A7)&gt;0,AVERAGEIFS('Inventory Hygiene'!$J$2:$J$3000,'Inventory Hygiene'!$A$2:$A$3000,$K$2,'Inventory Hygiene'!$B$2:$B$3000,$A7),IF(COUNTIFS('Inventory Hygiene'!$A$2:$A$3000,$K$2,'Inventory Hygiene'!$B$2:$B$3000,SUBSTITUTE($A7," SS","  SS"))&gt;0,AVERAGEIFS('Inventory Hygiene'!$J$2:$J$3000,'Inventory Hygiene'!$A$2:$A$3000,$K$2,'Inventory Hygiene'!$B$2:$B$3000,SUBSTITUTE($A7," SS","  SS")),"NA"))</f>
        <v>0.975933769734309</v>
      </c>
      <c r="F7" s="81" t="n">
        <f aca="false">IF(COUNTIFS('Bad Bins'!$A$2:$A$3000,$K$2,'Bad Bins'!$B$2:$B$3000,$A7)&gt;0,SUMIFS('Bad Bins'!$K$2:$K$3000,'Bad Bins'!$A$2:$A$3000,$K$2,'Bad Bins'!$B$2:$B$3000,$A7),IF(COUNTIFS('Bad Bins'!$A$2:$A$3000,$K$2,'Bad Bins'!$B$2:$B$3000,SUBSTITUTE($A7," SS","  SS"))&gt;0,SUMIFS('Bad Bins'!$K$2:$K$3000,'Bad Bins'!$A$2:$A$3000,$K$2,'Bad Bins'!$B$2:$B$3000,SUBSTITUTE($A7," SS","  SS")),"NA"))</f>
        <v>218</v>
      </c>
      <c r="G7" s="81" t="str">
        <f aca="false">IF(COUNTIFS('RSTO &gt; 48hrs'!$A$2:$A$3000,$K$2,'RSTO &gt; 48hrs'!$B$2:$B$3000,$A7)&gt;0,SUMIFS('RSTO &gt; 48hrs'!$H$2:$H$3000,'RSTO &gt; 48hrs'!$A$2:$A$3000,$K$2,'RSTO &gt; 48hrs'!$B$2:$B$3000,$A7),IF(COUNTIFS('RSTO &gt; 48hrs'!$A$2:$A$3000,$K$2,'RSTO &gt; 48hrs'!$B$2:$B$3000,SUBSTITUTE($A7," SS","  SS"))&gt;0,SUMIFS('RSTO &gt; 48hrs'!$H$2:$H$3000,'RSTO &gt; 48hrs'!$A$2:$A$3000,$K$2,'RSTO &gt; 48hrs'!$B$2:$B$3000,SUBSTITUTE($A7," SS","  SS")),"NA"))</f>
        <v>NA</v>
      </c>
      <c r="H7" s="81" t="str">
        <f aca="false">IF(COUNTIFS('Recirculation &gt; 24 hrs'!$A$2:$A$3000,$K$2,'Recirculation &gt; 24 hrs'!$B$2:$B$3000,$A7)&gt;0,SUMIFS('Recirculation &gt; 24 hrs'!$K$2:$K$3000,'Recirculation &gt; 24 hrs'!$A$2:$A$3000,$K$2,'Recirculation &gt; 24 hrs'!$B$2:$B$3000,$A7),IF(COUNTIFS('Recirculation &gt; 24 hrs'!$A$2:$A$3000,$K$2,'Recirculation &gt; 24 hrs'!$B$2:$B$3000,SUBSTITUTE($A7," SS","  SS"))&gt;0,SUMIFS('Recirculation &gt; 24 hrs'!$K$2:$K$3000,'Recirculation &gt; 24 hrs'!$A$2:$A$3000,$K$2,'Recirculation &gt; 24 hrs'!$B$2:$B$3000,SUBSTITUTE($A7," SS","  SS")),"NA"))</f>
        <v>NA</v>
      </c>
      <c r="I7" s="81" t="n">
        <f aca="false">IF(COUNTIFS('Pending Putaway'!$A$2:$A$3000,$K$2,'Pending Putaway'!$B$2:$B$3000,$A7)&gt;0,SUMIFS('Pending Putaway'!$E$2:$E$3000,'Pending Putaway'!$A$2:$A$3000,$K$2,'Pending Putaway'!$B$2:$B$3000,$A7),IF(COUNTIFS('Pending Putaway'!$A$2:$A$3000,$K$2,'Pending Putaway'!$B$2:$B$3000,SUBSTITUTE($A7," SS","  SS"))&gt;0,SUMIFS('Pending Putaway'!$E$2:$E$3000,'Pending Putaway'!$A$2:$A$3000,$K$2,'Pending Putaway'!$B$2:$B$3000,SUBSTITUTE($A7," SS","  SS")),"NA"))</f>
        <v>150</v>
      </c>
      <c r="J7" s="81" t="n">
        <f aca="false">IF(COUNTIFS('Pending Putaway'!$A$2:$A$3000,$K$2,'Pending Putaway'!$B$2:$B$3000,$A7)&gt;0,SUMIFS('Pending Putaway'!$L$2:$L$3000,'Pending Putaway'!$A$2:$A$3000,$K$2,'Pending Putaway'!$B$2:$B$3000,$A7),IF(COUNTIFS('Pending Putaway'!$A$2:$A$3000,$K$2,'Pending Putaway'!$B$2:$B$3000,SUBSTITUTE($A7," SS","  SS"))&gt;0,SUMIFS('Pending Putaway'!$L$2:$L$3000,'Pending Putaway'!$A$2:$A$3000,$K$2,'Pending Putaway'!$B$2:$B$3000,SUBSTITUTE($A7," SS","  SS")),"NA"))</f>
        <v>150</v>
      </c>
      <c r="K7" s="23"/>
      <c r="L7" s="84" t="s">
        <v>677</v>
      </c>
      <c r="M7" s="85" t="n">
        <f aca="false">SUMIFS($D$3:$D$300,$C$3:$C$300,$L7)</f>
        <v>188895</v>
      </c>
      <c r="N7" s="86" t="n">
        <f aca="false">IFERROR(AVERAGEIFS($E$3:$E$300,$C$3:$C$300,$L7),"NA")</f>
        <v>0.744383882274045</v>
      </c>
      <c r="O7" s="85" t="n">
        <f aca="false">SUMIFS($F$3:$F$300,$C$3:$C$300,$L7)</f>
        <v>2787</v>
      </c>
      <c r="P7" s="85" t="n">
        <f aca="false">SUMIFS($G$3:$G$300,$C$3:$C$300,$L7)</f>
        <v>0</v>
      </c>
      <c r="Q7" s="85" t="n">
        <f aca="false">SUMIFS($H$3:$H$300,$C$3:$C$300,$L7)</f>
        <v>1478</v>
      </c>
      <c r="R7" s="85" t="n">
        <f aca="false">SUMIFS($I$3:$I$300,$C$3:$C$300,$L7)</f>
        <v>33532</v>
      </c>
      <c r="S7" s="85" t="n">
        <f aca="false">SUMIFS($J$3:$J$300,$C$3:$C$300,$L7)</f>
        <v>9391</v>
      </c>
      <c r="T7" s="23"/>
      <c r="U7" s="23"/>
      <c r="V7" s="23"/>
      <c r="W7" s="23"/>
      <c r="X7" s="23"/>
      <c r="Y7" s="23"/>
      <c r="Z7" s="23"/>
      <c r="AA7" s="23"/>
      <c r="AB7" s="23"/>
      <c r="AC7" s="23"/>
      <c r="AD7" s="23"/>
      <c r="AE7" s="23"/>
      <c r="AF7" s="23"/>
      <c r="AG7" s="23"/>
      <c r="AH7" s="23"/>
    </row>
    <row r="8" customFormat="false" ht="15" hidden="false" customHeight="false" outlineLevel="0" collapsed="false">
      <c r="A8" s="81" t="s">
        <v>41</v>
      </c>
      <c r="B8" s="81" t="str">
        <f aca="false" t="array" ref="B8:B8">IFERROR(INDEX('CLM &amp; IM Mapping'!$B$2:$B$270,MATCH($A8,'CLM &amp; IM Mapping'!$A$2:$A$270,0)),"Not Mapped")</f>
        <v>Rizwan Ahmed</v>
      </c>
      <c r="C8" s="81" t="str">
        <f aca="false" t="array" ref="C8:C8">IFERROR(INDEX('CLM &amp; IM Mapping'!$C$2:$C$270,MATCH($A8,'CLM &amp; IM Mapping'!$A$2:$A$270,0)),"Not Mapped")</f>
        <v>Un Mapped</v>
      </c>
      <c r="D8" s="82" t="n">
        <f aca="false">IF(COUNTIFS(Shrinkage!$A$2:$A$3000,$K$2,Shrinkage!$D$2:$D$3000,$A8)&gt;0,SUMIFS(Shrinkage!$P$2:$P$3000,Shrinkage!$A$2:$A$3000,$K$2,Shrinkage!$D$2:$D$3000,$A8),IF(COUNTIFS(Shrinkage!$A$2:$A$3000,$K$2,Shrinkage!$D$2:$D$3000,SUBSTITUTE($A8," SS","  SS"))&gt;0,SUMIFS(Shrinkage!$P$2:$P$3000,Shrinkage!$A$2:$A$3000,$K$2,Shrinkage!$D$2:$D$3000,SUBSTITUTE($A8," SS","  SS")),"NA"))</f>
        <v>98172</v>
      </c>
      <c r="E8" s="83" t="n">
        <f aca="false">IF(COUNTIFS('Inventory Hygiene'!$A$2:$A$3000,$K$2,'Inventory Hygiene'!$B$2:$B$3000,$A8)&gt;0,AVERAGEIFS('Inventory Hygiene'!$J$2:$J$3000,'Inventory Hygiene'!$A$2:$A$3000,$K$2,'Inventory Hygiene'!$B$2:$B$3000,$A8),IF(COUNTIFS('Inventory Hygiene'!$A$2:$A$3000,$K$2,'Inventory Hygiene'!$B$2:$B$3000,SUBSTITUTE($A8," SS","  SS"))&gt;0,AVERAGEIFS('Inventory Hygiene'!$J$2:$J$3000,'Inventory Hygiene'!$A$2:$A$3000,$K$2,'Inventory Hygiene'!$B$2:$B$3000,SUBSTITUTE($A8," SS","  SS")),"NA"))</f>
        <v>0.565217391304348</v>
      </c>
      <c r="F8" s="81" t="n">
        <f aca="false">IF(COUNTIFS('Bad Bins'!$A$2:$A$3000,$K$2,'Bad Bins'!$B$2:$B$3000,$A8)&gt;0,SUMIFS('Bad Bins'!$K$2:$K$3000,'Bad Bins'!$A$2:$A$3000,$K$2,'Bad Bins'!$B$2:$B$3000,$A8),IF(COUNTIFS('Bad Bins'!$A$2:$A$3000,$K$2,'Bad Bins'!$B$2:$B$3000,SUBSTITUTE($A8," SS","  SS"))&gt;0,SUMIFS('Bad Bins'!$K$2:$K$3000,'Bad Bins'!$A$2:$A$3000,$K$2,'Bad Bins'!$B$2:$B$3000,SUBSTITUTE($A8," SS","  SS")),"NA"))</f>
        <v>141</v>
      </c>
      <c r="G8" s="81" t="str">
        <f aca="false">IF(COUNTIFS('RSTO &gt; 48hrs'!$A$2:$A$3000,$K$2,'RSTO &gt; 48hrs'!$B$2:$B$3000,$A8)&gt;0,SUMIFS('RSTO &gt; 48hrs'!$H$2:$H$3000,'RSTO &gt; 48hrs'!$A$2:$A$3000,$K$2,'RSTO &gt; 48hrs'!$B$2:$B$3000,$A8),IF(COUNTIFS('RSTO &gt; 48hrs'!$A$2:$A$3000,$K$2,'RSTO &gt; 48hrs'!$B$2:$B$3000,SUBSTITUTE($A8," SS","  SS"))&gt;0,SUMIFS('RSTO &gt; 48hrs'!$H$2:$H$3000,'RSTO &gt; 48hrs'!$A$2:$A$3000,$K$2,'RSTO &gt; 48hrs'!$B$2:$B$3000,SUBSTITUTE($A8," SS","  SS")),"NA"))</f>
        <v>NA</v>
      </c>
      <c r="H8" s="81" t="n">
        <f aca="false">IF(COUNTIFS('Recirculation &gt; 24 hrs'!$A$2:$A$3000,$K$2,'Recirculation &gt; 24 hrs'!$B$2:$B$3000,$A8)&gt;0,SUMIFS('Recirculation &gt; 24 hrs'!$K$2:$K$3000,'Recirculation &gt; 24 hrs'!$A$2:$A$3000,$K$2,'Recirculation &gt; 24 hrs'!$B$2:$B$3000,$A8),IF(COUNTIFS('Recirculation &gt; 24 hrs'!$A$2:$A$3000,$K$2,'Recirculation &gt; 24 hrs'!$B$2:$B$3000,SUBSTITUTE($A8," SS","  SS"))&gt;0,SUMIFS('Recirculation &gt; 24 hrs'!$K$2:$K$3000,'Recirculation &gt; 24 hrs'!$A$2:$A$3000,$K$2,'Recirculation &gt; 24 hrs'!$B$2:$B$3000,SUBSTITUTE($A8," SS","  SS")),"NA"))</f>
        <v>1</v>
      </c>
      <c r="I8" s="81" t="n">
        <f aca="false">IF(COUNTIFS('Pending Putaway'!$A$2:$A$3000,$K$2,'Pending Putaway'!$B$2:$B$3000,$A8)&gt;0,SUMIFS('Pending Putaway'!$E$2:$E$3000,'Pending Putaway'!$A$2:$A$3000,$K$2,'Pending Putaway'!$B$2:$B$3000,$A8),IF(COUNTIFS('Pending Putaway'!$A$2:$A$3000,$K$2,'Pending Putaway'!$B$2:$B$3000,SUBSTITUTE($A8," SS","  SS"))&gt;0,SUMIFS('Pending Putaway'!$E$2:$E$3000,'Pending Putaway'!$A$2:$A$3000,$K$2,'Pending Putaway'!$B$2:$B$3000,SUBSTITUTE($A8," SS","  SS")),"NA"))</f>
        <v>1787</v>
      </c>
      <c r="J8" s="81" t="n">
        <f aca="false">IF(COUNTIFS('Pending Putaway'!$A$2:$A$3000,$K$2,'Pending Putaway'!$B$2:$B$3000,$A8)&gt;0,SUMIFS('Pending Putaway'!$L$2:$L$3000,'Pending Putaway'!$A$2:$A$3000,$K$2,'Pending Putaway'!$B$2:$B$3000,$A8),IF(COUNTIFS('Pending Putaway'!$A$2:$A$3000,$K$2,'Pending Putaway'!$B$2:$B$3000,SUBSTITUTE($A8," SS","  SS"))&gt;0,SUMIFS('Pending Putaway'!$L$2:$L$3000,'Pending Putaway'!$A$2:$A$3000,$K$2,'Pending Putaway'!$B$2:$B$3000,SUBSTITUTE($A8," SS","  SS")),"NA"))</f>
        <v>1629</v>
      </c>
      <c r="K8" s="23"/>
      <c r="L8" s="84" t="s">
        <v>703</v>
      </c>
      <c r="M8" s="85" t="n">
        <f aca="false">SUMIFS($D$3:$D$300,$C$3:$C$300,$L8)</f>
        <v>155395</v>
      </c>
      <c r="N8" s="86" t="n">
        <f aca="false">IFERROR(AVERAGEIFS($E$3:$E$300,$C$3:$C$300,$L8),"NA")</f>
        <v>0.628885566542324</v>
      </c>
      <c r="O8" s="85" t="n">
        <f aca="false">SUMIFS($F$3:$F$300,$C$3:$C$300,$L8)</f>
        <v>4248</v>
      </c>
      <c r="P8" s="85" t="n">
        <f aca="false">SUMIFS($G$3:$G$300,$C$3:$C$300,$L8)</f>
        <v>0</v>
      </c>
      <c r="Q8" s="85" t="n">
        <f aca="false">SUMIFS($H$3:$H$300,$C$3:$C$300,$L8)</f>
        <v>609</v>
      </c>
      <c r="R8" s="85" t="n">
        <f aca="false">SUMIFS($I$3:$I$300,$C$3:$C$300,$L8)</f>
        <v>51358</v>
      </c>
      <c r="S8" s="85" t="n">
        <f aca="false">SUMIFS($J$3:$J$300,$C$3:$C$300,$L8)</f>
        <v>22535</v>
      </c>
      <c r="T8" s="23"/>
      <c r="U8" s="23"/>
      <c r="V8" s="23"/>
      <c r="W8" s="23"/>
      <c r="X8" s="23"/>
      <c r="Y8" s="23"/>
      <c r="Z8" s="23"/>
      <c r="AA8" s="23"/>
      <c r="AB8" s="23"/>
      <c r="AC8" s="23"/>
      <c r="AD8" s="23"/>
      <c r="AE8" s="23"/>
      <c r="AF8" s="23"/>
      <c r="AG8" s="23"/>
      <c r="AH8" s="23"/>
    </row>
    <row r="9" customFormat="false" ht="15" hidden="false" customHeight="false" outlineLevel="0" collapsed="false">
      <c r="A9" s="81" t="s">
        <v>80</v>
      </c>
      <c r="B9" s="81" t="str">
        <f aca="false" t="array" ref="B9:B9">IFERROR(INDEX('CLM &amp; IM Mapping'!$B$2:$B$270,MATCH($A9,'CLM &amp; IM Mapping'!$A$2:$A$270,0)),"Not Mapped")</f>
        <v>Sundaresh S</v>
      </c>
      <c r="C9" s="81" t="str">
        <f aca="false" t="array" ref="C9:C9">IFERROR(INDEX('CLM &amp; IM Mapping'!$C$2:$C$270,MATCH($A9,'CLM &amp; IM Mapping'!$A$2:$A$270,0)),"Not Mapped")</f>
        <v>Un Mapped</v>
      </c>
      <c r="D9" s="82" t="n">
        <f aca="false">IF(COUNTIFS(Shrinkage!$A$2:$A$3000,$K$2,Shrinkage!$D$2:$D$3000,$A9)&gt;0,SUMIFS(Shrinkage!$P$2:$P$3000,Shrinkage!$A$2:$A$3000,$K$2,Shrinkage!$D$2:$D$3000,$A9),IF(COUNTIFS(Shrinkage!$A$2:$A$3000,$K$2,Shrinkage!$D$2:$D$3000,SUBSTITUTE($A9," SS","  SS"))&gt;0,SUMIFS(Shrinkage!$P$2:$P$3000,Shrinkage!$A$2:$A$3000,$K$2,Shrinkage!$D$2:$D$3000,SUBSTITUTE($A9," SS","  SS")),"NA"))</f>
        <v>-4005</v>
      </c>
      <c r="E9" s="83" t="n">
        <f aca="false">IF(COUNTIFS('Inventory Hygiene'!$A$2:$A$3000,$K$2,'Inventory Hygiene'!$B$2:$B$3000,$A9)&gt;0,AVERAGEIFS('Inventory Hygiene'!$J$2:$J$3000,'Inventory Hygiene'!$A$2:$A$3000,$K$2,'Inventory Hygiene'!$B$2:$B$3000,$A9),IF(COUNTIFS('Inventory Hygiene'!$A$2:$A$3000,$K$2,'Inventory Hygiene'!$B$2:$B$3000,SUBSTITUTE($A9," SS","  SS"))&gt;0,AVERAGEIFS('Inventory Hygiene'!$J$2:$J$3000,'Inventory Hygiene'!$A$2:$A$3000,$K$2,'Inventory Hygiene'!$B$2:$B$3000,SUBSTITUTE($A9," SS","  SS")),"NA"))</f>
        <v>0.387717121588089</v>
      </c>
      <c r="F9" s="81" t="n">
        <f aca="false">IF(COUNTIFS('Bad Bins'!$A$2:$A$3000,$K$2,'Bad Bins'!$B$2:$B$3000,$A9)&gt;0,SUMIFS('Bad Bins'!$K$2:$K$3000,'Bad Bins'!$A$2:$A$3000,$K$2,'Bad Bins'!$B$2:$B$3000,$A9),IF(COUNTIFS('Bad Bins'!$A$2:$A$3000,$K$2,'Bad Bins'!$B$2:$B$3000,SUBSTITUTE($A9," SS","  SS"))&gt;0,SUMIFS('Bad Bins'!$K$2:$K$3000,'Bad Bins'!$A$2:$A$3000,$K$2,'Bad Bins'!$B$2:$B$3000,SUBSTITUTE($A9," SS","  SS")),"NA"))</f>
        <v>279</v>
      </c>
      <c r="G9" s="81" t="str">
        <f aca="false">IF(COUNTIFS('RSTO &gt; 48hrs'!$A$2:$A$3000,$K$2,'RSTO &gt; 48hrs'!$B$2:$B$3000,$A9)&gt;0,SUMIFS('RSTO &gt; 48hrs'!$H$2:$H$3000,'RSTO &gt; 48hrs'!$A$2:$A$3000,$K$2,'RSTO &gt; 48hrs'!$B$2:$B$3000,$A9),IF(COUNTIFS('RSTO &gt; 48hrs'!$A$2:$A$3000,$K$2,'RSTO &gt; 48hrs'!$B$2:$B$3000,SUBSTITUTE($A9," SS","  SS"))&gt;0,SUMIFS('RSTO &gt; 48hrs'!$H$2:$H$3000,'RSTO &gt; 48hrs'!$A$2:$A$3000,$K$2,'RSTO &gt; 48hrs'!$B$2:$B$3000,SUBSTITUTE($A9," SS","  SS")),"NA"))</f>
        <v>NA</v>
      </c>
      <c r="H9" s="81" t="n">
        <f aca="false">IF(COUNTIFS('Recirculation &gt; 24 hrs'!$A$2:$A$3000,$K$2,'Recirculation &gt; 24 hrs'!$B$2:$B$3000,$A9)&gt;0,SUMIFS('Recirculation &gt; 24 hrs'!$K$2:$K$3000,'Recirculation &gt; 24 hrs'!$A$2:$A$3000,$K$2,'Recirculation &gt; 24 hrs'!$B$2:$B$3000,$A9),IF(COUNTIFS('Recirculation &gt; 24 hrs'!$A$2:$A$3000,$K$2,'Recirculation &gt; 24 hrs'!$B$2:$B$3000,SUBSTITUTE($A9," SS","  SS"))&gt;0,SUMIFS('Recirculation &gt; 24 hrs'!$K$2:$K$3000,'Recirculation &gt; 24 hrs'!$A$2:$A$3000,$K$2,'Recirculation &gt; 24 hrs'!$B$2:$B$3000,SUBSTITUTE($A9," SS","  SS")),"NA"))</f>
        <v>766</v>
      </c>
      <c r="I9" s="81" t="n">
        <f aca="false">IF(COUNTIFS('Pending Putaway'!$A$2:$A$3000,$K$2,'Pending Putaway'!$B$2:$B$3000,$A9)&gt;0,SUMIFS('Pending Putaway'!$E$2:$E$3000,'Pending Putaway'!$A$2:$A$3000,$K$2,'Pending Putaway'!$B$2:$B$3000,$A9),IF(COUNTIFS('Pending Putaway'!$A$2:$A$3000,$K$2,'Pending Putaway'!$B$2:$B$3000,SUBSTITUTE($A9," SS","  SS"))&gt;0,SUMIFS('Pending Putaway'!$E$2:$E$3000,'Pending Putaway'!$A$2:$A$3000,$K$2,'Pending Putaway'!$B$2:$B$3000,SUBSTITUTE($A9," SS","  SS")),"NA"))</f>
        <v>2908</v>
      </c>
      <c r="J9" s="81" t="n">
        <f aca="false">IF(COUNTIFS('Pending Putaway'!$A$2:$A$3000,$K$2,'Pending Putaway'!$B$2:$B$3000,$A9)&gt;0,SUMIFS('Pending Putaway'!$L$2:$L$3000,'Pending Putaway'!$A$2:$A$3000,$K$2,'Pending Putaway'!$B$2:$B$3000,$A9),IF(COUNTIFS('Pending Putaway'!$A$2:$A$3000,$K$2,'Pending Putaway'!$B$2:$B$3000,SUBSTITUTE($A9," SS","  SS"))&gt;0,SUMIFS('Pending Putaway'!$L$2:$L$3000,'Pending Putaway'!$A$2:$A$3000,$K$2,'Pending Putaway'!$B$2:$B$3000,SUBSTITUTE($A9," SS","  SS")),"NA"))</f>
        <v>2643</v>
      </c>
      <c r="K9" s="23"/>
      <c r="L9" s="84" t="s">
        <v>682</v>
      </c>
      <c r="M9" s="85" t="n">
        <f aca="false">SUMIFS($D$3:$D$300,$C$3:$C$300,$L9)</f>
        <v>89044</v>
      </c>
      <c r="N9" s="86" t="n">
        <f aca="false">IFERROR(AVERAGEIFS($E$3:$E$300,$C$3:$C$300,$L9),"NA")</f>
        <v>0.682885579388628</v>
      </c>
      <c r="O9" s="85" t="n">
        <f aca="false">SUMIFS($F$3:$F$300,$C$3:$C$300,$L9)</f>
        <v>2715</v>
      </c>
      <c r="P9" s="85" t="n">
        <f aca="false">SUMIFS($G$3:$G$300,$C$3:$C$300,$L9)</f>
        <v>0</v>
      </c>
      <c r="Q9" s="85" t="n">
        <f aca="false">SUMIFS($H$3:$H$300,$C$3:$C$300,$L9)</f>
        <v>2163</v>
      </c>
      <c r="R9" s="85" t="n">
        <f aca="false">SUMIFS($I$3:$I$300,$C$3:$C$300,$L9)</f>
        <v>37075</v>
      </c>
      <c r="S9" s="85" t="n">
        <f aca="false">SUMIFS($J$3:$J$300,$C$3:$C$300,$L9)</f>
        <v>1936</v>
      </c>
      <c r="T9" s="23"/>
      <c r="U9" s="23"/>
      <c r="V9" s="23"/>
      <c r="W9" s="23"/>
      <c r="X9" s="23"/>
      <c r="Y9" s="23"/>
      <c r="Z9" s="23"/>
      <c r="AA9" s="23"/>
      <c r="AB9" s="23"/>
      <c r="AC9" s="23"/>
      <c r="AD9" s="23"/>
      <c r="AE9" s="23"/>
      <c r="AF9" s="23"/>
      <c r="AG9" s="23"/>
      <c r="AH9" s="23"/>
    </row>
    <row r="10" customFormat="false" ht="15" hidden="false" customHeight="false" outlineLevel="0" collapsed="false">
      <c r="A10" s="81" t="s">
        <v>375</v>
      </c>
      <c r="B10" s="81" t="str">
        <f aca="false" t="array" ref="B10:B10">IFERROR(INDEX('CLM &amp; IM Mapping'!$B$2:$B$270,MATCH($A10,'CLM &amp; IM Mapping'!$A$2:$A$270,0)),"Not Mapped")</f>
        <v>Saddam Hussain</v>
      </c>
      <c r="C10" s="81" t="str">
        <f aca="false" t="array" ref="C10:C10">IFERROR(INDEX('CLM &amp; IM Mapping'!$C$2:$C$270,MATCH($A10,'CLM &amp; IM Mapping'!$A$2:$A$270,0)),"Not Mapped")</f>
        <v>Un Mapped</v>
      </c>
      <c r="D10" s="82" t="n">
        <f aca="false">IF(COUNTIFS(Shrinkage!$A$2:$A$3000,$K$2,Shrinkage!$D$2:$D$3000,$A10)&gt;0,SUMIFS(Shrinkage!$P$2:$P$3000,Shrinkage!$A$2:$A$3000,$K$2,Shrinkage!$D$2:$D$3000,$A10),IF(COUNTIFS(Shrinkage!$A$2:$A$3000,$K$2,Shrinkage!$D$2:$D$3000,SUBSTITUTE($A10," SS","  SS"))&gt;0,SUMIFS(Shrinkage!$P$2:$P$3000,Shrinkage!$A$2:$A$3000,$K$2,Shrinkage!$D$2:$D$3000,SUBSTITUTE($A10," SS","  SS")),"NA"))</f>
        <v>-434</v>
      </c>
      <c r="E10" s="83" t="n">
        <f aca="false">IF(COUNTIFS('Inventory Hygiene'!$A$2:$A$3000,$K$2,'Inventory Hygiene'!$B$2:$B$3000,$A10)&gt;0,AVERAGEIFS('Inventory Hygiene'!$J$2:$J$3000,'Inventory Hygiene'!$A$2:$A$3000,$K$2,'Inventory Hygiene'!$B$2:$B$3000,$A10),IF(COUNTIFS('Inventory Hygiene'!$A$2:$A$3000,$K$2,'Inventory Hygiene'!$B$2:$B$3000,SUBSTITUTE($A10," SS","  SS"))&gt;0,AVERAGEIFS('Inventory Hygiene'!$J$2:$J$3000,'Inventory Hygiene'!$A$2:$A$3000,$K$2,'Inventory Hygiene'!$B$2:$B$3000,SUBSTITUTE($A10," SS","  SS")),"NA"))</f>
        <v>0.510224948875256</v>
      </c>
      <c r="F10" s="81" t="n">
        <f aca="false">IF(COUNTIFS('Bad Bins'!$A$2:$A$3000,$K$2,'Bad Bins'!$B$2:$B$3000,$A10)&gt;0,SUMIFS('Bad Bins'!$K$2:$K$3000,'Bad Bins'!$A$2:$A$3000,$K$2,'Bad Bins'!$B$2:$B$3000,$A10),IF(COUNTIFS('Bad Bins'!$A$2:$A$3000,$K$2,'Bad Bins'!$B$2:$B$3000,SUBSTITUTE($A10," SS","  SS"))&gt;0,SUMIFS('Bad Bins'!$K$2:$K$3000,'Bad Bins'!$A$2:$A$3000,$K$2,'Bad Bins'!$B$2:$B$3000,SUBSTITUTE($A10," SS","  SS")),"NA"))</f>
        <v>162</v>
      </c>
      <c r="G10" s="81" t="str">
        <f aca="false">IF(COUNTIFS('RSTO &gt; 48hrs'!$A$2:$A$3000,$K$2,'RSTO &gt; 48hrs'!$B$2:$B$3000,$A10)&gt;0,SUMIFS('RSTO &gt; 48hrs'!$H$2:$H$3000,'RSTO &gt; 48hrs'!$A$2:$A$3000,$K$2,'RSTO &gt; 48hrs'!$B$2:$B$3000,$A10),IF(COUNTIFS('RSTO &gt; 48hrs'!$A$2:$A$3000,$K$2,'RSTO &gt; 48hrs'!$B$2:$B$3000,SUBSTITUTE($A10," SS","  SS"))&gt;0,SUMIFS('RSTO &gt; 48hrs'!$H$2:$H$3000,'RSTO &gt; 48hrs'!$A$2:$A$3000,$K$2,'RSTO &gt; 48hrs'!$B$2:$B$3000,SUBSTITUTE($A10," SS","  SS")),"NA"))</f>
        <v>NA</v>
      </c>
      <c r="H10" s="81" t="str">
        <f aca="false">IF(COUNTIFS('Recirculation &gt; 24 hrs'!$A$2:$A$3000,$K$2,'Recirculation &gt; 24 hrs'!$B$2:$B$3000,$A10)&gt;0,SUMIFS('Recirculation &gt; 24 hrs'!$K$2:$K$3000,'Recirculation &gt; 24 hrs'!$A$2:$A$3000,$K$2,'Recirculation &gt; 24 hrs'!$B$2:$B$3000,$A10),IF(COUNTIFS('Recirculation &gt; 24 hrs'!$A$2:$A$3000,$K$2,'Recirculation &gt; 24 hrs'!$B$2:$B$3000,SUBSTITUTE($A10," SS","  SS"))&gt;0,SUMIFS('Recirculation &gt; 24 hrs'!$K$2:$K$3000,'Recirculation &gt; 24 hrs'!$A$2:$A$3000,$K$2,'Recirculation &gt; 24 hrs'!$B$2:$B$3000,SUBSTITUTE($A10," SS","  SS")),"NA"))</f>
        <v>NA</v>
      </c>
      <c r="I10" s="81" t="n">
        <f aca="false">IF(COUNTIFS('Pending Putaway'!$A$2:$A$3000,$K$2,'Pending Putaway'!$B$2:$B$3000,$A10)&gt;0,SUMIFS('Pending Putaway'!$E$2:$E$3000,'Pending Putaway'!$A$2:$A$3000,$K$2,'Pending Putaway'!$B$2:$B$3000,$A10),IF(COUNTIFS('Pending Putaway'!$A$2:$A$3000,$K$2,'Pending Putaway'!$B$2:$B$3000,SUBSTITUTE($A10," SS","  SS"))&gt;0,SUMIFS('Pending Putaway'!$E$2:$E$3000,'Pending Putaway'!$A$2:$A$3000,$K$2,'Pending Putaway'!$B$2:$B$3000,SUBSTITUTE($A10," SS","  SS")),"NA"))</f>
        <v>2706</v>
      </c>
      <c r="J10" s="81" t="n">
        <f aca="false">IF(COUNTIFS('Pending Putaway'!$A$2:$A$3000,$K$2,'Pending Putaway'!$B$2:$B$3000,$A10)&gt;0,SUMIFS('Pending Putaway'!$L$2:$L$3000,'Pending Putaway'!$A$2:$A$3000,$K$2,'Pending Putaway'!$B$2:$B$3000,$A10),IF(COUNTIFS('Pending Putaway'!$A$2:$A$3000,$K$2,'Pending Putaway'!$B$2:$B$3000,SUBSTITUTE($A10," SS","  SS"))&gt;0,SUMIFS('Pending Putaway'!$L$2:$L$3000,'Pending Putaway'!$A$2:$A$3000,$K$2,'Pending Putaway'!$B$2:$B$3000,SUBSTITUTE($A10," SS","  SS")),"NA"))</f>
        <v>0</v>
      </c>
      <c r="K10" s="23"/>
      <c r="L10" s="84" t="s">
        <v>692</v>
      </c>
      <c r="M10" s="85" t="n">
        <f aca="false">SUMIFS($D$3:$D$300,$C$3:$C$300,$L10)</f>
        <v>-50223</v>
      </c>
      <c r="N10" s="86" t="n">
        <f aca="false">IFERROR(AVERAGEIFS($E$3:$E$300,$C$3:$C$300,$L10),"NA")</f>
        <v>0.663865376272154</v>
      </c>
      <c r="O10" s="85" t="n">
        <f aca="false">SUMIFS($F$3:$F$300,$C$3:$C$300,$L10)</f>
        <v>1957</v>
      </c>
      <c r="P10" s="85" t="n">
        <f aca="false">SUMIFS($G$3:$G$300,$C$3:$C$300,$L10)</f>
        <v>0</v>
      </c>
      <c r="Q10" s="85" t="n">
        <f aca="false">SUMIFS($H$3:$H$300,$C$3:$C$300,$L10)</f>
        <v>2064</v>
      </c>
      <c r="R10" s="85" t="n">
        <f aca="false">SUMIFS($I$3:$I$300,$C$3:$C$300,$L10)</f>
        <v>37991</v>
      </c>
      <c r="S10" s="85" t="n">
        <f aca="false">SUMIFS($J$3:$J$300,$C$3:$C$300,$L10)</f>
        <v>5611</v>
      </c>
      <c r="T10" s="23"/>
      <c r="U10" s="23"/>
      <c r="V10" s="23"/>
      <c r="W10" s="23"/>
      <c r="X10" s="23"/>
      <c r="Y10" s="23"/>
      <c r="Z10" s="23"/>
      <c r="AA10" s="23"/>
      <c r="AB10" s="23"/>
      <c r="AC10" s="23"/>
      <c r="AD10" s="23"/>
      <c r="AE10" s="23"/>
      <c r="AF10" s="23"/>
      <c r="AG10" s="23"/>
      <c r="AH10" s="23"/>
    </row>
    <row r="11" customFormat="false" ht="15" hidden="false" customHeight="false" outlineLevel="0" collapsed="false">
      <c r="A11" s="81" t="s">
        <v>455</v>
      </c>
      <c r="B11" s="81" t="str">
        <f aca="false" t="array" ref="B11:B11">IFERROR(INDEX('CLM &amp; IM Mapping'!$B$2:$B$270,MATCH($A11,'CLM &amp; IM Mapping'!$A$2:$A$270,0)),"Not Mapped")</f>
        <v>Rizwan Ahmed</v>
      </c>
      <c r="C11" s="81" t="str">
        <f aca="false" t="array" ref="C11:C11">IFERROR(INDEX('CLM &amp; IM Mapping'!$C$2:$C$270,MATCH($A11,'CLM &amp; IM Mapping'!$A$2:$A$270,0)),"Not Mapped")</f>
        <v>Un Mapped</v>
      </c>
      <c r="D11" s="82" t="n">
        <f aca="false">IF(COUNTIFS(Shrinkage!$A$2:$A$3000,$K$2,Shrinkage!$D$2:$D$3000,$A11)&gt;0,SUMIFS(Shrinkage!$P$2:$P$3000,Shrinkage!$A$2:$A$3000,$K$2,Shrinkage!$D$2:$D$3000,$A11),IF(COUNTIFS(Shrinkage!$A$2:$A$3000,$K$2,Shrinkage!$D$2:$D$3000,SUBSTITUTE($A11," SS","  SS"))&gt;0,SUMIFS(Shrinkage!$P$2:$P$3000,Shrinkage!$A$2:$A$3000,$K$2,Shrinkage!$D$2:$D$3000,SUBSTITUTE($A11," SS","  SS")),"NA"))</f>
        <v>-16395</v>
      </c>
      <c r="E11" s="83" t="n">
        <f aca="false">IF(COUNTIFS('Inventory Hygiene'!$A$2:$A$3000,$K$2,'Inventory Hygiene'!$B$2:$B$3000,$A11)&gt;0,AVERAGEIFS('Inventory Hygiene'!$J$2:$J$3000,'Inventory Hygiene'!$A$2:$A$3000,$K$2,'Inventory Hygiene'!$B$2:$B$3000,$A11),IF(COUNTIFS('Inventory Hygiene'!$A$2:$A$3000,$K$2,'Inventory Hygiene'!$B$2:$B$3000,SUBSTITUTE($A11," SS","  SS"))&gt;0,AVERAGEIFS('Inventory Hygiene'!$J$2:$J$3000,'Inventory Hygiene'!$A$2:$A$3000,$K$2,'Inventory Hygiene'!$B$2:$B$3000,SUBSTITUTE($A11," SS","  SS")),"NA"))</f>
        <v>0.666194968553459</v>
      </c>
      <c r="F11" s="81" t="n">
        <f aca="false">IF(COUNTIFS('Bad Bins'!$A$2:$A$3000,$K$2,'Bad Bins'!$B$2:$B$3000,$A11)&gt;0,SUMIFS('Bad Bins'!$K$2:$K$3000,'Bad Bins'!$A$2:$A$3000,$K$2,'Bad Bins'!$B$2:$B$3000,$A11),IF(COUNTIFS('Bad Bins'!$A$2:$A$3000,$K$2,'Bad Bins'!$B$2:$B$3000,SUBSTITUTE($A11," SS","  SS"))&gt;0,SUMIFS('Bad Bins'!$K$2:$K$3000,'Bad Bins'!$A$2:$A$3000,$K$2,'Bad Bins'!$B$2:$B$3000,SUBSTITUTE($A11," SS","  SS")),"NA"))</f>
        <v>95</v>
      </c>
      <c r="G11" s="81" t="str">
        <f aca="false">IF(COUNTIFS('RSTO &gt; 48hrs'!$A$2:$A$3000,$K$2,'RSTO &gt; 48hrs'!$B$2:$B$3000,$A11)&gt;0,SUMIFS('RSTO &gt; 48hrs'!$H$2:$H$3000,'RSTO &gt; 48hrs'!$A$2:$A$3000,$K$2,'RSTO &gt; 48hrs'!$B$2:$B$3000,$A11),IF(COUNTIFS('RSTO &gt; 48hrs'!$A$2:$A$3000,$K$2,'RSTO &gt; 48hrs'!$B$2:$B$3000,SUBSTITUTE($A11," SS","  SS"))&gt;0,SUMIFS('RSTO &gt; 48hrs'!$H$2:$H$3000,'RSTO &gt; 48hrs'!$A$2:$A$3000,$K$2,'RSTO &gt; 48hrs'!$B$2:$B$3000,SUBSTITUTE($A11," SS","  SS")),"NA"))</f>
        <v>NA</v>
      </c>
      <c r="H11" s="81" t="n">
        <f aca="false">IF(COUNTIFS('Recirculation &gt; 24 hrs'!$A$2:$A$3000,$K$2,'Recirculation &gt; 24 hrs'!$B$2:$B$3000,$A11)&gt;0,SUMIFS('Recirculation &gt; 24 hrs'!$K$2:$K$3000,'Recirculation &gt; 24 hrs'!$A$2:$A$3000,$K$2,'Recirculation &gt; 24 hrs'!$B$2:$B$3000,$A11),IF(COUNTIFS('Recirculation &gt; 24 hrs'!$A$2:$A$3000,$K$2,'Recirculation &gt; 24 hrs'!$B$2:$B$3000,SUBSTITUTE($A11," SS","  SS"))&gt;0,SUMIFS('Recirculation &gt; 24 hrs'!$K$2:$K$3000,'Recirculation &gt; 24 hrs'!$A$2:$A$3000,$K$2,'Recirculation &gt; 24 hrs'!$B$2:$B$3000,SUBSTITUTE($A11," SS","  SS")),"NA"))</f>
        <v>2</v>
      </c>
      <c r="I11" s="81" t="n">
        <f aca="false">IF(COUNTIFS('Pending Putaway'!$A$2:$A$3000,$K$2,'Pending Putaway'!$B$2:$B$3000,$A11)&gt;0,SUMIFS('Pending Putaway'!$E$2:$E$3000,'Pending Putaway'!$A$2:$A$3000,$K$2,'Pending Putaway'!$B$2:$B$3000,$A11),IF(COUNTIFS('Pending Putaway'!$A$2:$A$3000,$K$2,'Pending Putaway'!$B$2:$B$3000,SUBSTITUTE($A11," SS","  SS"))&gt;0,SUMIFS('Pending Putaway'!$E$2:$E$3000,'Pending Putaway'!$A$2:$A$3000,$K$2,'Pending Putaway'!$B$2:$B$3000,SUBSTITUTE($A11," SS","  SS")),"NA"))</f>
        <v>1901</v>
      </c>
      <c r="J11" s="81" t="n">
        <f aca="false">IF(COUNTIFS('Pending Putaway'!$A$2:$A$3000,$K$2,'Pending Putaway'!$B$2:$B$3000,$A11)&gt;0,SUMIFS('Pending Putaway'!$L$2:$L$3000,'Pending Putaway'!$A$2:$A$3000,$K$2,'Pending Putaway'!$B$2:$B$3000,$A11),IF(COUNTIFS('Pending Putaway'!$A$2:$A$3000,$K$2,'Pending Putaway'!$B$2:$B$3000,SUBSTITUTE($A11," SS","  SS"))&gt;0,SUMIFS('Pending Putaway'!$L$2:$L$3000,'Pending Putaway'!$A$2:$A$3000,$K$2,'Pending Putaway'!$B$2:$B$3000,SUBSTITUTE($A11," SS","  SS")),"NA"))</f>
        <v>1901</v>
      </c>
      <c r="K11" s="23"/>
      <c r="L11" s="84" t="s">
        <v>706</v>
      </c>
      <c r="M11" s="85" t="n">
        <f aca="false">SUMIFS($D$3:$D$300,$C$3:$C$300,$L11)</f>
        <v>-74494</v>
      </c>
      <c r="N11" s="86" t="n">
        <f aca="false">IFERROR(AVERAGEIFS($E$3:$E$300,$C$3:$C$300,$L11),"NA")</f>
        <v>0.66139167843125</v>
      </c>
      <c r="O11" s="85" t="n">
        <f aca="false">SUMIFS($F$3:$F$300,$C$3:$C$300,$L11)</f>
        <v>2293</v>
      </c>
      <c r="P11" s="85" t="n">
        <f aca="false">SUMIFS($G$3:$G$300,$C$3:$C$300,$L11)</f>
        <v>0</v>
      </c>
      <c r="Q11" s="85" t="n">
        <f aca="false">SUMIFS($H$3:$H$300,$C$3:$C$300,$L11)</f>
        <v>1407</v>
      </c>
      <c r="R11" s="85" t="n">
        <f aca="false">SUMIFS($I$3:$I$300,$C$3:$C$300,$L11)</f>
        <v>47299</v>
      </c>
      <c r="S11" s="85" t="n">
        <f aca="false">SUMIFS($J$3:$J$300,$C$3:$C$300,$L11)</f>
        <v>15937</v>
      </c>
      <c r="T11" s="23"/>
      <c r="U11" s="23"/>
      <c r="V11" s="23"/>
      <c r="W11" s="23"/>
      <c r="X11" s="23"/>
      <c r="Y11" s="23"/>
      <c r="Z11" s="23"/>
      <c r="AA11" s="23"/>
      <c r="AB11" s="23"/>
      <c r="AC11" s="23"/>
      <c r="AD11" s="23"/>
      <c r="AE11" s="23"/>
      <c r="AF11" s="23"/>
      <c r="AG11" s="23"/>
      <c r="AH11" s="23"/>
    </row>
    <row r="12" customFormat="false" ht="15" hidden="false" customHeight="false" outlineLevel="0" collapsed="false">
      <c r="A12" s="81" t="s">
        <v>70</v>
      </c>
      <c r="B12" s="81" t="str">
        <f aca="false" t="array" ref="B12:B12">IFERROR(INDEX('CLM &amp; IM Mapping'!$B$2:$B$270,MATCH($A12,'CLM &amp; IM Mapping'!$A$2:$A$270,0)),"Not Mapped")</f>
        <v>Rizwan Ahmed</v>
      </c>
      <c r="C12" s="81" t="str">
        <f aca="false" t="array" ref="C12:C12">IFERROR(INDEX('CLM &amp; IM Mapping'!$C$2:$C$270,MATCH($A12,'CLM &amp; IM Mapping'!$A$2:$A$270,0)),"Not Mapped")</f>
        <v>Un Mapped</v>
      </c>
      <c r="D12" s="82" t="n">
        <f aca="false">IF(COUNTIFS(Shrinkage!$A$2:$A$3000,$K$2,Shrinkage!$D$2:$D$3000,$A12)&gt;0,SUMIFS(Shrinkage!$P$2:$P$3000,Shrinkage!$A$2:$A$3000,$K$2,Shrinkage!$D$2:$D$3000,$A12),IF(COUNTIFS(Shrinkage!$A$2:$A$3000,$K$2,Shrinkage!$D$2:$D$3000,SUBSTITUTE($A12," SS","  SS"))&gt;0,SUMIFS(Shrinkage!$P$2:$P$3000,Shrinkage!$A$2:$A$3000,$K$2,Shrinkage!$D$2:$D$3000,SUBSTITUTE($A12," SS","  SS")),"NA"))</f>
        <v>-9444</v>
      </c>
      <c r="E12" s="83" t="n">
        <f aca="false">IF(COUNTIFS('Inventory Hygiene'!$A$2:$A$3000,$K$2,'Inventory Hygiene'!$B$2:$B$3000,$A12)&gt;0,AVERAGEIFS('Inventory Hygiene'!$J$2:$J$3000,'Inventory Hygiene'!$A$2:$A$3000,$K$2,'Inventory Hygiene'!$B$2:$B$3000,$A12),IF(COUNTIFS('Inventory Hygiene'!$A$2:$A$3000,$K$2,'Inventory Hygiene'!$B$2:$B$3000,SUBSTITUTE($A12," SS","  SS"))&gt;0,AVERAGEIFS('Inventory Hygiene'!$J$2:$J$3000,'Inventory Hygiene'!$A$2:$A$3000,$K$2,'Inventory Hygiene'!$B$2:$B$3000,SUBSTITUTE($A12," SS","  SS")),"NA"))</f>
        <v>0.831895352073476</v>
      </c>
      <c r="F12" s="81" t="n">
        <f aca="false">IF(COUNTIFS('Bad Bins'!$A$2:$A$3000,$K$2,'Bad Bins'!$B$2:$B$3000,$A12)&gt;0,SUMIFS('Bad Bins'!$K$2:$K$3000,'Bad Bins'!$A$2:$A$3000,$K$2,'Bad Bins'!$B$2:$B$3000,$A12),IF(COUNTIFS('Bad Bins'!$A$2:$A$3000,$K$2,'Bad Bins'!$B$2:$B$3000,SUBSTITUTE($A12," SS","  SS"))&gt;0,SUMIFS('Bad Bins'!$K$2:$K$3000,'Bad Bins'!$A$2:$A$3000,$K$2,'Bad Bins'!$B$2:$B$3000,SUBSTITUTE($A12," SS","  SS")),"NA"))</f>
        <v>349</v>
      </c>
      <c r="G12" s="81" t="str">
        <f aca="false">IF(COUNTIFS('RSTO &gt; 48hrs'!$A$2:$A$3000,$K$2,'RSTO &gt; 48hrs'!$B$2:$B$3000,$A12)&gt;0,SUMIFS('RSTO &gt; 48hrs'!$H$2:$H$3000,'RSTO &gt; 48hrs'!$A$2:$A$3000,$K$2,'RSTO &gt; 48hrs'!$B$2:$B$3000,$A12),IF(COUNTIFS('RSTO &gt; 48hrs'!$A$2:$A$3000,$K$2,'RSTO &gt; 48hrs'!$B$2:$B$3000,SUBSTITUTE($A12," SS","  SS"))&gt;0,SUMIFS('RSTO &gt; 48hrs'!$H$2:$H$3000,'RSTO &gt; 48hrs'!$A$2:$A$3000,$K$2,'RSTO &gt; 48hrs'!$B$2:$B$3000,SUBSTITUTE($A12," SS","  SS")),"NA"))</f>
        <v>NA</v>
      </c>
      <c r="H12" s="81" t="n">
        <f aca="false">IF(COUNTIFS('Recirculation &gt; 24 hrs'!$A$2:$A$3000,$K$2,'Recirculation &gt; 24 hrs'!$B$2:$B$3000,$A12)&gt;0,SUMIFS('Recirculation &gt; 24 hrs'!$K$2:$K$3000,'Recirculation &gt; 24 hrs'!$A$2:$A$3000,$K$2,'Recirculation &gt; 24 hrs'!$B$2:$B$3000,$A12),IF(COUNTIFS('Recirculation &gt; 24 hrs'!$A$2:$A$3000,$K$2,'Recirculation &gt; 24 hrs'!$B$2:$B$3000,SUBSTITUTE($A12," SS","  SS"))&gt;0,SUMIFS('Recirculation &gt; 24 hrs'!$K$2:$K$3000,'Recirculation &gt; 24 hrs'!$A$2:$A$3000,$K$2,'Recirculation &gt; 24 hrs'!$B$2:$B$3000,SUBSTITUTE($A12," SS","  SS")),"NA"))</f>
        <v>4</v>
      </c>
      <c r="I12" s="81" t="n">
        <f aca="false">IF(COUNTIFS('Pending Putaway'!$A$2:$A$3000,$K$2,'Pending Putaway'!$B$2:$B$3000,$A12)&gt;0,SUMIFS('Pending Putaway'!$E$2:$E$3000,'Pending Putaway'!$A$2:$A$3000,$K$2,'Pending Putaway'!$B$2:$B$3000,$A12),IF(COUNTIFS('Pending Putaway'!$A$2:$A$3000,$K$2,'Pending Putaway'!$B$2:$B$3000,SUBSTITUTE($A12," SS","  SS"))&gt;0,SUMIFS('Pending Putaway'!$E$2:$E$3000,'Pending Putaway'!$A$2:$A$3000,$K$2,'Pending Putaway'!$B$2:$B$3000,SUBSTITUTE($A12," SS","  SS")),"NA"))</f>
        <v>1163</v>
      </c>
      <c r="J12" s="81" t="n">
        <f aca="false">IF(COUNTIFS('Pending Putaway'!$A$2:$A$3000,$K$2,'Pending Putaway'!$B$2:$B$3000,$A12)&gt;0,SUMIFS('Pending Putaway'!$L$2:$L$3000,'Pending Putaway'!$A$2:$A$3000,$K$2,'Pending Putaway'!$B$2:$B$3000,$A12),IF(COUNTIFS('Pending Putaway'!$A$2:$A$3000,$K$2,'Pending Putaway'!$B$2:$B$3000,SUBSTITUTE($A12," SS","  SS"))&gt;0,SUMIFS('Pending Putaway'!$L$2:$L$3000,'Pending Putaway'!$A$2:$A$3000,$K$2,'Pending Putaway'!$B$2:$B$3000,SUBSTITUTE($A12," SS","  SS")),"NA"))</f>
        <v>741</v>
      </c>
      <c r="K12" s="23"/>
      <c r="L12" s="87"/>
      <c r="M12" s="23"/>
      <c r="N12" s="23"/>
      <c r="O12" s="23"/>
      <c r="P12" s="23"/>
      <c r="Q12" s="23"/>
      <c r="R12" s="23"/>
      <c r="S12" s="23"/>
      <c r="T12" s="23"/>
      <c r="U12" s="23"/>
      <c r="V12" s="23"/>
      <c r="W12" s="23"/>
      <c r="X12" s="23"/>
      <c r="Y12" s="23"/>
      <c r="Z12" s="23"/>
      <c r="AA12" s="23"/>
      <c r="AB12" s="23"/>
      <c r="AC12" s="23"/>
      <c r="AD12" s="23"/>
      <c r="AE12" s="23"/>
      <c r="AF12" s="23"/>
      <c r="AG12" s="23"/>
      <c r="AH12" s="23"/>
    </row>
    <row r="13" customFormat="false" ht="15" hidden="false" customHeight="false" outlineLevel="0" collapsed="false">
      <c r="A13" s="81" t="s">
        <v>407</v>
      </c>
      <c r="B13" s="81" t="str">
        <f aca="false" t="array" ref="B13:B13">IFERROR(INDEX('CLM &amp; IM Mapping'!$B$2:$B$270,MATCH($A13,'CLM &amp; IM Mapping'!$A$2:$A$270,0)),"Not Mapped")</f>
        <v>Rizwan Ahmed</v>
      </c>
      <c r="C13" s="81" t="str">
        <f aca="false" t="array" ref="C13:C13">IFERROR(INDEX('CLM &amp; IM Mapping'!$C$2:$C$270,MATCH($A13,'CLM &amp; IM Mapping'!$A$2:$A$270,0)),"Not Mapped")</f>
        <v>Un Mapped</v>
      </c>
      <c r="D13" s="82" t="n">
        <f aca="false">IF(COUNTIFS(Shrinkage!$A$2:$A$3000,$K$2,Shrinkage!$D$2:$D$3000,$A13)&gt;0,SUMIFS(Shrinkage!$P$2:$P$3000,Shrinkage!$A$2:$A$3000,$K$2,Shrinkage!$D$2:$D$3000,$A13),IF(COUNTIFS(Shrinkage!$A$2:$A$3000,$K$2,Shrinkage!$D$2:$D$3000,SUBSTITUTE($A13," SS","  SS"))&gt;0,SUMIFS(Shrinkage!$P$2:$P$3000,Shrinkage!$A$2:$A$3000,$K$2,Shrinkage!$D$2:$D$3000,SUBSTITUTE($A13," SS","  SS")),"NA"))</f>
        <v>-12223</v>
      </c>
      <c r="E13" s="83" t="n">
        <f aca="false">IF(COUNTIFS('Inventory Hygiene'!$A$2:$A$3000,$K$2,'Inventory Hygiene'!$B$2:$B$3000,$A13)&gt;0,AVERAGEIFS('Inventory Hygiene'!$J$2:$J$3000,'Inventory Hygiene'!$A$2:$A$3000,$K$2,'Inventory Hygiene'!$B$2:$B$3000,$A13),IF(COUNTIFS('Inventory Hygiene'!$A$2:$A$3000,$K$2,'Inventory Hygiene'!$B$2:$B$3000,SUBSTITUTE($A13," SS","  SS"))&gt;0,AVERAGEIFS('Inventory Hygiene'!$J$2:$J$3000,'Inventory Hygiene'!$A$2:$A$3000,$K$2,'Inventory Hygiene'!$B$2:$B$3000,SUBSTITUTE($A13," SS","  SS")),"NA"))</f>
        <v>0.504550050556117</v>
      </c>
      <c r="F13" s="81" t="n">
        <f aca="false">IF(COUNTIFS('Bad Bins'!$A$2:$A$3000,$K$2,'Bad Bins'!$B$2:$B$3000,$A13)&gt;0,SUMIFS('Bad Bins'!$K$2:$K$3000,'Bad Bins'!$A$2:$A$3000,$K$2,'Bad Bins'!$B$2:$B$3000,$A13),IF(COUNTIFS('Bad Bins'!$A$2:$A$3000,$K$2,'Bad Bins'!$B$2:$B$3000,SUBSTITUTE($A13," SS","  SS"))&gt;0,SUMIFS('Bad Bins'!$K$2:$K$3000,'Bad Bins'!$A$2:$A$3000,$K$2,'Bad Bins'!$B$2:$B$3000,SUBSTITUTE($A13," SS","  SS")),"NA"))</f>
        <v>150</v>
      </c>
      <c r="G13" s="81" t="str">
        <f aca="false">IF(COUNTIFS('RSTO &gt; 48hrs'!$A$2:$A$3000,$K$2,'RSTO &gt; 48hrs'!$B$2:$B$3000,$A13)&gt;0,SUMIFS('RSTO &gt; 48hrs'!$H$2:$H$3000,'RSTO &gt; 48hrs'!$A$2:$A$3000,$K$2,'RSTO &gt; 48hrs'!$B$2:$B$3000,$A13),IF(COUNTIFS('RSTO &gt; 48hrs'!$A$2:$A$3000,$K$2,'RSTO &gt; 48hrs'!$B$2:$B$3000,SUBSTITUTE($A13," SS","  SS"))&gt;0,SUMIFS('RSTO &gt; 48hrs'!$H$2:$H$3000,'RSTO &gt; 48hrs'!$A$2:$A$3000,$K$2,'RSTO &gt; 48hrs'!$B$2:$B$3000,SUBSTITUTE($A13," SS","  SS")),"NA"))</f>
        <v>NA</v>
      </c>
      <c r="H13" s="81" t="str">
        <f aca="false">IF(COUNTIFS('Recirculation &gt; 24 hrs'!$A$2:$A$3000,$K$2,'Recirculation &gt; 24 hrs'!$B$2:$B$3000,$A13)&gt;0,SUMIFS('Recirculation &gt; 24 hrs'!$K$2:$K$3000,'Recirculation &gt; 24 hrs'!$A$2:$A$3000,$K$2,'Recirculation &gt; 24 hrs'!$B$2:$B$3000,$A13),IF(COUNTIFS('Recirculation &gt; 24 hrs'!$A$2:$A$3000,$K$2,'Recirculation &gt; 24 hrs'!$B$2:$B$3000,SUBSTITUTE($A13," SS","  SS"))&gt;0,SUMIFS('Recirculation &gt; 24 hrs'!$K$2:$K$3000,'Recirculation &gt; 24 hrs'!$A$2:$A$3000,$K$2,'Recirculation &gt; 24 hrs'!$B$2:$B$3000,SUBSTITUTE($A13," SS","  SS")),"NA"))</f>
        <v>NA</v>
      </c>
      <c r="I13" s="81" t="n">
        <f aca="false">IF(COUNTIFS('Pending Putaway'!$A$2:$A$3000,$K$2,'Pending Putaway'!$B$2:$B$3000,$A13)&gt;0,SUMIFS('Pending Putaway'!$E$2:$E$3000,'Pending Putaway'!$A$2:$A$3000,$K$2,'Pending Putaway'!$B$2:$B$3000,$A13),IF(COUNTIFS('Pending Putaway'!$A$2:$A$3000,$K$2,'Pending Putaway'!$B$2:$B$3000,SUBSTITUTE($A13," SS","  SS"))&gt;0,SUMIFS('Pending Putaway'!$E$2:$E$3000,'Pending Putaway'!$A$2:$A$3000,$K$2,'Pending Putaway'!$B$2:$B$3000,SUBSTITUTE($A13," SS","  SS")),"NA"))</f>
        <v>253</v>
      </c>
      <c r="J13" s="81" t="n">
        <f aca="false">IF(COUNTIFS('Pending Putaway'!$A$2:$A$3000,$K$2,'Pending Putaway'!$B$2:$B$3000,$A13)&gt;0,SUMIFS('Pending Putaway'!$L$2:$L$3000,'Pending Putaway'!$A$2:$A$3000,$K$2,'Pending Putaway'!$B$2:$B$3000,$A13),IF(COUNTIFS('Pending Putaway'!$A$2:$A$3000,$K$2,'Pending Putaway'!$B$2:$B$3000,SUBSTITUTE($A13," SS","  SS"))&gt;0,SUMIFS('Pending Putaway'!$L$2:$L$3000,'Pending Putaway'!$A$2:$A$3000,$K$2,'Pending Putaway'!$B$2:$B$3000,SUBSTITUTE($A13," SS","  SS")),"NA"))</f>
        <v>253</v>
      </c>
      <c r="K13" s="23"/>
      <c r="L13" s="87"/>
      <c r="M13" s="23"/>
      <c r="N13" s="23"/>
      <c r="O13" s="23"/>
      <c r="P13" s="23"/>
      <c r="Q13" s="23"/>
      <c r="R13" s="23"/>
      <c r="S13" s="23"/>
      <c r="T13" s="23"/>
      <c r="U13" s="23"/>
      <c r="V13" s="23"/>
      <c r="W13" s="23"/>
      <c r="X13" s="23"/>
      <c r="Y13" s="23"/>
      <c r="Z13" s="23"/>
      <c r="AA13" s="23"/>
      <c r="AB13" s="23"/>
      <c r="AC13" s="23"/>
      <c r="AD13" s="23"/>
      <c r="AE13" s="23"/>
      <c r="AF13" s="23"/>
      <c r="AG13" s="23"/>
      <c r="AH13" s="23"/>
    </row>
    <row r="14" customFormat="false" ht="15" hidden="false" customHeight="false" outlineLevel="0" collapsed="false">
      <c r="A14" s="81" t="s">
        <v>159</v>
      </c>
      <c r="B14" s="81" t="str">
        <f aca="false" t="array" ref="B14:B14">IFERROR(INDEX('CLM &amp; IM Mapping'!$B$2:$B$270,MATCH($A14,'CLM &amp; IM Mapping'!$A$2:$A$270,0)),"Not Mapped")</f>
        <v>Rizwan Ahmed</v>
      </c>
      <c r="C14" s="81" t="str">
        <f aca="false" t="array" ref="C14:C14">IFERROR(INDEX('CLM &amp; IM Mapping'!$C$2:$C$270,MATCH($A14,'CLM &amp; IM Mapping'!$A$2:$A$270,0)),"Not Mapped")</f>
        <v>Un Mapped</v>
      </c>
      <c r="D14" s="82" t="n">
        <f aca="false">IF(COUNTIFS(Shrinkage!$A$2:$A$3000,$K$2,Shrinkage!$D$2:$D$3000,$A14)&gt;0,SUMIFS(Shrinkage!$P$2:$P$3000,Shrinkage!$A$2:$A$3000,$K$2,Shrinkage!$D$2:$D$3000,$A14),IF(COUNTIFS(Shrinkage!$A$2:$A$3000,$K$2,Shrinkage!$D$2:$D$3000,SUBSTITUTE($A14," SS","  SS"))&gt;0,SUMIFS(Shrinkage!$P$2:$P$3000,Shrinkage!$A$2:$A$3000,$K$2,Shrinkage!$D$2:$D$3000,SUBSTITUTE($A14," SS","  SS")),"NA"))</f>
        <v>35777</v>
      </c>
      <c r="E14" s="83" t="n">
        <f aca="false">IF(COUNTIFS('Inventory Hygiene'!$A$2:$A$3000,$K$2,'Inventory Hygiene'!$B$2:$B$3000,$A14)&gt;0,AVERAGEIFS('Inventory Hygiene'!$J$2:$J$3000,'Inventory Hygiene'!$A$2:$A$3000,$K$2,'Inventory Hygiene'!$B$2:$B$3000,$A14),IF(COUNTIFS('Inventory Hygiene'!$A$2:$A$3000,$K$2,'Inventory Hygiene'!$B$2:$B$3000,SUBSTITUTE($A14," SS","  SS"))&gt;0,AVERAGEIFS('Inventory Hygiene'!$J$2:$J$3000,'Inventory Hygiene'!$A$2:$A$3000,$K$2,'Inventory Hygiene'!$B$2:$B$3000,SUBSTITUTE($A14," SS","  SS")),"NA"))</f>
        <v>0.448397382111093</v>
      </c>
      <c r="F14" s="81" t="n">
        <f aca="false">IF(COUNTIFS('Bad Bins'!$A$2:$A$3000,$K$2,'Bad Bins'!$B$2:$B$3000,$A14)&gt;0,SUMIFS('Bad Bins'!$K$2:$K$3000,'Bad Bins'!$A$2:$A$3000,$K$2,'Bad Bins'!$B$2:$B$3000,$A14),IF(COUNTIFS('Bad Bins'!$A$2:$A$3000,$K$2,'Bad Bins'!$B$2:$B$3000,SUBSTITUTE($A14," SS","  SS"))&gt;0,SUMIFS('Bad Bins'!$K$2:$K$3000,'Bad Bins'!$A$2:$A$3000,$K$2,'Bad Bins'!$B$2:$B$3000,SUBSTITUTE($A14," SS","  SS")),"NA"))</f>
        <v>176</v>
      </c>
      <c r="G14" s="81" t="str">
        <f aca="false">IF(COUNTIFS('RSTO &gt; 48hrs'!$A$2:$A$3000,$K$2,'RSTO &gt; 48hrs'!$B$2:$B$3000,$A14)&gt;0,SUMIFS('RSTO &gt; 48hrs'!$H$2:$H$3000,'RSTO &gt; 48hrs'!$A$2:$A$3000,$K$2,'RSTO &gt; 48hrs'!$B$2:$B$3000,$A14),IF(COUNTIFS('RSTO &gt; 48hrs'!$A$2:$A$3000,$K$2,'RSTO &gt; 48hrs'!$B$2:$B$3000,SUBSTITUTE($A14," SS","  SS"))&gt;0,SUMIFS('RSTO &gt; 48hrs'!$H$2:$H$3000,'RSTO &gt; 48hrs'!$A$2:$A$3000,$K$2,'RSTO &gt; 48hrs'!$B$2:$B$3000,SUBSTITUTE($A14," SS","  SS")),"NA"))</f>
        <v>NA</v>
      </c>
      <c r="H14" s="81" t="n">
        <f aca="false">IF(COUNTIFS('Recirculation &gt; 24 hrs'!$A$2:$A$3000,$K$2,'Recirculation &gt; 24 hrs'!$B$2:$B$3000,$A14)&gt;0,SUMIFS('Recirculation &gt; 24 hrs'!$K$2:$K$3000,'Recirculation &gt; 24 hrs'!$A$2:$A$3000,$K$2,'Recirculation &gt; 24 hrs'!$B$2:$B$3000,$A14),IF(COUNTIFS('Recirculation &gt; 24 hrs'!$A$2:$A$3000,$K$2,'Recirculation &gt; 24 hrs'!$B$2:$B$3000,SUBSTITUTE($A14," SS","  SS"))&gt;0,SUMIFS('Recirculation &gt; 24 hrs'!$K$2:$K$3000,'Recirculation &gt; 24 hrs'!$A$2:$A$3000,$K$2,'Recirculation &gt; 24 hrs'!$B$2:$B$3000,SUBSTITUTE($A14," SS","  SS")),"NA"))</f>
        <v>845</v>
      </c>
      <c r="I14" s="81" t="n">
        <f aca="false">IF(COUNTIFS('Pending Putaway'!$A$2:$A$3000,$K$2,'Pending Putaway'!$B$2:$B$3000,$A14)&gt;0,SUMIFS('Pending Putaway'!$E$2:$E$3000,'Pending Putaway'!$A$2:$A$3000,$K$2,'Pending Putaway'!$B$2:$B$3000,$A14),IF(COUNTIFS('Pending Putaway'!$A$2:$A$3000,$K$2,'Pending Putaway'!$B$2:$B$3000,SUBSTITUTE($A14," SS","  SS"))&gt;0,SUMIFS('Pending Putaway'!$E$2:$E$3000,'Pending Putaway'!$A$2:$A$3000,$K$2,'Pending Putaway'!$B$2:$B$3000,SUBSTITUTE($A14," SS","  SS")),"NA"))</f>
        <v>0</v>
      </c>
      <c r="J14" s="81" t="n">
        <f aca="false">IF(COUNTIFS('Pending Putaway'!$A$2:$A$3000,$K$2,'Pending Putaway'!$B$2:$B$3000,$A14)&gt;0,SUMIFS('Pending Putaway'!$L$2:$L$3000,'Pending Putaway'!$A$2:$A$3000,$K$2,'Pending Putaway'!$B$2:$B$3000,$A14),IF(COUNTIFS('Pending Putaway'!$A$2:$A$3000,$K$2,'Pending Putaway'!$B$2:$B$3000,SUBSTITUTE($A14," SS","  SS"))&gt;0,SUMIFS('Pending Putaway'!$L$2:$L$3000,'Pending Putaway'!$A$2:$A$3000,$K$2,'Pending Putaway'!$B$2:$B$3000,SUBSTITUTE($A14," SS","  SS")),"NA"))</f>
        <v>0</v>
      </c>
      <c r="K14" s="23"/>
      <c r="L14" s="23"/>
      <c r="M14" s="23"/>
      <c r="N14" s="23"/>
      <c r="O14" s="23"/>
      <c r="P14" s="23"/>
      <c r="Q14" s="23"/>
      <c r="R14" s="23"/>
      <c r="S14" s="23"/>
      <c r="T14" s="23"/>
      <c r="U14" s="23"/>
      <c r="V14" s="23"/>
      <c r="W14" s="23"/>
      <c r="X14" s="23"/>
      <c r="Y14" s="23"/>
      <c r="Z14" s="23"/>
      <c r="AA14" s="23"/>
      <c r="AB14" s="23"/>
      <c r="AC14" s="23"/>
      <c r="AD14" s="23"/>
      <c r="AE14" s="23"/>
      <c r="AF14" s="23"/>
      <c r="AG14" s="23"/>
      <c r="AH14" s="23"/>
    </row>
    <row r="15" customFormat="false" ht="15" hidden="false" customHeight="false" outlineLevel="0" collapsed="false">
      <c r="A15" s="81" t="s">
        <v>44</v>
      </c>
      <c r="B15" s="81" t="str">
        <f aca="false" t="array" ref="B15:B15">IFERROR(INDEX('CLM &amp; IM Mapping'!$B$2:$B$270,MATCH($A15,'CLM &amp; IM Mapping'!$A$2:$A$270,0)),"Not Mapped")</f>
        <v>Rizwan Ahmed</v>
      </c>
      <c r="C15" s="81" t="str">
        <f aca="false" t="array" ref="C15:C15">IFERROR(INDEX('CLM &amp; IM Mapping'!$C$2:$C$270,MATCH($A15,'CLM &amp; IM Mapping'!$A$2:$A$270,0)),"Not Mapped")</f>
        <v>Un Mapped</v>
      </c>
      <c r="D15" s="82" t="n">
        <f aca="false">IF(COUNTIFS(Shrinkage!$A$2:$A$3000,$K$2,Shrinkage!$D$2:$D$3000,$A15)&gt;0,SUMIFS(Shrinkage!$P$2:$P$3000,Shrinkage!$A$2:$A$3000,$K$2,Shrinkage!$D$2:$D$3000,$A15),IF(COUNTIFS(Shrinkage!$A$2:$A$3000,$K$2,Shrinkage!$D$2:$D$3000,SUBSTITUTE($A15," SS","  SS"))&gt;0,SUMIFS(Shrinkage!$P$2:$P$3000,Shrinkage!$A$2:$A$3000,$K$2,Shrinkage!$D$2:$D$3000,SUBSTITUTE($A15," SS","  SS")),"NA"))</f>
        <v>57782</v>
      </c>
      <c r="E15" s="83" t="n">
        <f aca="false">IF(COUNTIFS('Inventory Hygiene'!$A$2:$A$3000,$K$2,'Inventory Hygiene'!$B$2:$B$3000,$A15)&gt;0,AVERAGEIFS('Inventory Hygiene'!$J$2:$J$3000,'Inventory Hygiene'!$A$2:$A$3000,$K$2,'Inventory Hygiene'!$B$2:$B$3000,$A15),IF(COUNTIFS('Inventory Hygiene'!$A$2:$A$3000,$K$2,'Inventory Hygiene'!$B$2:$B$3000,SUBSTITUTE($A15," SS","  SS"))&gt;0,AVERAGEIFS('Inventory Hygiene'!$J$2:$J$3000,'Inventory Hygiene'!$A$2:$A$3000,$K$2,'Inventory Hygiene'!$B$2:$B$3000,SUBSTITUTE($A15," SS","  SS")),"NA"))</f>
        <v>0.974582053906516</v>
      </c>
      <c r="F15" s="81" t="n">
        <f aca="false">IF(COUNTIFS('Bad Bins'!$A$2:$A$3000,$K$2,'Bad Bins'!$B$2:$B$3000,$A15)&gt;0,SUMIFS('Bad Bins'!$K$2:$K$3000,'Bad Bins'!$A$2:$A$3000,$K$2,'Bad Bins'!$B$2:$B$3000,$A15),IF(COUNTIFS('Bad Bins'!$A$2:$A$3000,$K$2,'Bad Bins'!$B$2:$B$3000,SUBSTITUTE($A15," SS","  SS"))&gt;0,SUMIFS('Bad Bins'!$K$2:$K$3000,'Bad Bins'!$A$2:$A$3000,$K$2,'Bad Bins'!$B$2:$B$3000,SUBSTITUTE($A15," SS","  SS")),"NA"))</f>
        <v>208</v>
      </c>
      <c r="G15" s="81" t="str">
        <f aca="false">IF(COUNTIFS('RSTO &gt; 48hrs'!$A$2:$A$3000,$K$2,'RSTO &gt; 48hrs'!$B$2:$B$3000,$A15)&gt;0,SUMIFS('RSTO &gt; 48hrs'!$H$2:$H$3000,'RSTO &gt; 48hrs'!$A$2:$A$3000,$K$2,'RSTO &gt; 48hrs'!$B$2:$B$3000,$A15),IF(COUNTIFS('RSTO &gt; 48hrs'!$A$2:$A$3000,$K$2,'RSTO &gt; 48hrs'!$B$2:$B$3000,SUBSTITUTE($A15," SS","  SS"))&gt;0,SUMIFS('RSTO &gt; 48hrs'!$H$2:$H$3000,'RSTO &gt; 48hrs'!$A$2:$A$3000,$K$2,'RSTO &gt; 48hrs'!$B$2:$B$3000,SUBSTITUTE($A15," SS","  SS")),"NA"))</f>
        <v>NA</v>
      </c>
      <c r="H15" s="81" t="str">
        <f aca="false">IF(COUNTIFS('Recirculation &gt; 24 hrs'!$A$2:$A$3000,$K$2,'Recirculation &gt; 24 hrs'!$B$2:$B$3000,$A15)&gt;0,SUMIFS('Recirculation &gt; 24 hrs'!$K$2:$K$3000,'Recirculation &gt; 24 hrs'!$A$2:$A$3000,$K$2,'Recirculation &gt; 24 hrs'!$B$2:$B$3000,$A15),IF(COUNTIFS('Recirculation &gt; 24 hrs'!$A$2:$A$3000,$K$2,'Recirculation &gt; 24 hrs'!$B$2:$B$3000,SUBSTITUTE($A15," SS","  SS"))&gt;0,SUMIFS('Recirculation &gt; 24 hrs'!$K$2:$K$3000,'Recirculation &gt; 24 hrs'!$A$2:$A$3000,$K$2,'Recirculation &gt; 24 hrs'!$B$2:$B$3000,SUBSTITUTE($A15," SS","  SS")),"NA"))</f>
        <v>NA</v>
      </c>
      <c r="I15" s="81" t="n">
        <f aca="false">IF(COUNTIFS('Pending Putaway'!$A$2:$A$3000,$K$2,'Pending Putaway'!$B$2:$B$3000,$A15)&gt;0,SUMIFS('Pending Putaway'!$E$2:$E$3000,'Pending Putaway'!$A$2:$A$3000,$K$2,'Pending Putaway'!$B$2:$B$3000,$A15),IF(COUNTIFS('Pending Putaway'!$A$2:$A$3000,$K$2,'Pending Putaway'!$B$2:$B$3000,SUBSTITUTE($A15," SS","  SS"))&gt;0,SUMIFS('Pending Putaway'!$E$2:$E$3000,'Pending Putaway'!$A$2:$A$3000,$K$2,'Pending Putaway'!$B$2:$B$3000,SUBSTITUTE($A15," SS","  SS")),"NA"))</f>
        <v>2252</v>
      </c>
      <c r="J15" s="81" t="n">
        <f aca="false">IF(COUNTIFS('Pending Putaway'!$A$2:$A$3000,$K$2,'Pending Putaway'!$B$2:$B$3000,$A15)&gt;0,SUMIFS('Pending Putaway'!$L$2:$L$3000,'Pending Putaway'!$A$2:$A$3000,$K$2,'Pending Putaway'!$B$2:$B$3000,$A15),IF(COUNTIFS('Pending Putaway'!$A$2:$A$3000,$K$2,'Pending Putaway'!$B$2:$B$3000,SUBSTITUTE($A15," SS","  SS"))&gt;0,SUMIFS('Pending Putaway'!$L$2:$L$3000,'Pending Putaway'!$A$2:$A$3000,$K$2,'Pending Putaway'!$B$2:$B$3000,SUBSTITUTE($A15," SS","  SS")),"NA"))</f>
        <v>0</v>
      </c>
      <c r="K15" s="23"/>
      <c r="L15" s="23"/>
      <c r="M15" s="23"/>
      <c r="N15" s="23"/>
      <c r="O15" s="23"/>
      <c r="P15" s="23"/>
      <c r="Q15" s="23"/>
      <c r="R15" s="23"/>
      <c r="S15" s="23"/>
      <c r="T15" s="23"/>
      <c r="U15" s="23"/>
      <c r="V15" s="23"/>
      <c r="W15" s="23"/>
      <c r="X15" s="23"/>
      <c r="Y15" s="23"/>
      <c r="Z15" s="23"/>
      <c r="AA15" s="23"/>
      <c r="AB15" s="23"/>
      <c r="AC15" s="23"/>
      <c r="AD15" s="23"/>
      <c r="AE15" s="23"/>
      <c r="AF15" s="23"/>
      <c r="AG15" s="23"/>
      <c r="AH15" s="23"/>
    </row>
    <row r="16" customFormat="false" ht="15" hidden="false" customHeight="false" outlineLevel="0" collapsed="false">
      <c r="A16" s="81" t="s">
        <v>193</v>
      </c>
      <c r="B16" s="81" t="str">
        <f aca="false" t="array" ref="B16:B16">IFERROR(INDEX('CLM &amp; IM Mapping'!$B$2:$B$270,MATCH($A16,'CLM &amp; IM Mapping'!$A$2:$A$270,0)),"Not Mapped")</f>
        <v>Girish N</v>
      </c>
      <c r="C16" s="81" t="str">
        <f aca="false" t="array" ref="C16:C16">IFERROR(INDEX('CLM &amp; IM Mapping'!$C$2:$C$270,MATCH($A16,'CLM &amp; IM Mapping'!$A$2:$A$270,0)),"Not Mapped")</f>
        <v>Un Mapped</v>
      </c>
      <c r="D16" s="82" t="n">
        <f aca="false">IF(COUNTIFS(Shrinkage!$A$2:$A$3000,$K$2,Shrinkage!$D$2:$D$3000,$A16)&gt;0,SUMIFS(Shrinkage!$P$2:$P$3000,Shrinkage!$A$2:$A$3000,$K$2,Shrinkage!$D$2:$D$3000,$A16),IF(COUNTIFS(Shrinkage!$A$2:$A$3000,$K$2,Shrinkage!$D$2:$D$3000,SUBSTITUTE($A16," SS","  SS"))&gt;0,SUMIFS(Shrinkage!$P$2:$P$3000,Shrinkage!$A$2:$A$3000,$K$2,Shrinkage!$D$2:$D$3000,SUBSTITUTE($A16," SS","  SS")),"NA"))</f>
        <v>17566</v>
      </c>
      <c r="E16" s="83" t="n">
        <f aca="false">IF(COUNTIFS('Inventory Hygiene'!$A$2:$A$3000,$K$2,'Inventory Hygiene'!$B$2:$B$3000,$A16)&gt;0,AVERAGEIFS('Inventory Hygiene'!$J$2:$J$3000,'Inventory Hygiene'!$A$2:$A$3000,$K$2,'Inventory Hygiene'!$B$2:$B$3000,$A16),IF(COUNTIFS('Inventory Hygiene'!$A$2:$A$3000,$K$2,'Inventory Hygiene'!$B$2:$B$3000,SUBSTITUTE($A16," SS","  SS"))&gt;0,AVERAGEIFS('Inventory Hygiene'!$J$2:$J$3000,'Inventory Hygiene'!$A$2:$A$3000,$K$2,'Inventory Hygiene'!$B$2:$B$3000,SUBSTITUTE($A16," SS","  SS")),"NA"))</f>
        <v>0.739421531869309</v>
      </c>
      <c r="F16" s="81" t="n">
        <f aca="false">IF(COUNTIFS('Bad Bins'!$A$2:$A$3000,$K$2,'Bad Bins'!$B$2:$B$3000,$A16)&gt;0,SUMIFS('Bad Bins'!$K$2:$K$3000,'Bad Bins'!$A$2:$A$3000,$K$2,'Bad Bins'!$B$2:$B$3000,$A16),IF(COUNTIFS('Bad Bins'!$A$2:$A$3000,$K$2,'Bad Bins'!$B$2:$B$3000,SUBSTITUTE($A16," SS","  SS"))&gt;0,SUMIFS('Bad Bins'!$K$2:$K$3000,'Bad Bins'!$A$2:$A$3000,$K$2,'Bad Bins'!$B$2:$B$3000,SUBSTITUTE($A16," SS","  SS")),"NA"))</f>
        <v>70</v>
      </c>
      <c r="G16" s="81" t="str">
        <f aca="false">IF(COUNTIFS('RSTO &gt; 48hrs'!$A$2:$A$3000,$K$2,'RSTO &gt; 48hrs'!$B$2:$B$3000,$A16)&gt;0,SUMIFS('RSTO &gt; 48hrs'!$H$2:$H$3000,'RSTO &gt; 48hrs'!$A$2:$A$3000,$K$2,'RSTO &gt; 48hrs'!$B$2:$B$3000,$A16),IF(COUNTIFS('RSTO &gt; 48hrs'!$A$2:$A$3000,$K$2,'RSTO &gt; 48hrs'!$B$2:$B$3000,SUBSTITUTE($A16," SS","  SS"))&gt;0,SUMIFS('RSTO &gt; 48hrs'!$H$2:$H$3000,'RSTO &gt; 48hrs'!$A$2:$A$3000,$K$2,'RSTO &gt; 48hrs'!$B$2:$B$3000,SUBSTITUTE($A16," SS","  SS")),"NA"))</f>
        <v>NA</v>
      </c>
      <c r="H16" s="81" t="n">
        <f aca="false">IF(COUNTIFS('Recirculation &gt; 24 hrs'!$A$2:$A$3000,$K$2,'Recirculation &gt; 24 hrs'!$B$2:$B$3000,$A16)&gt;0,SUMIFS('Recirculation &gt; 24 hrs'!$K$2:$K$3000,'Recirculation &gt; 24 hrs'!$A$2:$A$3000,$K$2,'Recirculation &gt; 24 hrs'!$B$2:$B$3000,$A16),IF(COUNTIFS('Recirculation &gt; 24 hrs'!$A$2:$A$3000,$K$2,'Recirculation &gt; 24 hrs'!$B$2:$B$3000,SUBSTITUTE($A16," SS","  SS"))&gt;0,SUMIFS('Recirculation &gt; 24 hrs'!$K$2:$K$3000,'Recirculation &gt; 24 hrs'!$A$2:$A$3000,$K$2,'Recirculation &gt; 24 hrs'!$B$2:$B$3000,SUBSTITUTE($A16," SS","  SS")),"NA"))</f>
        <v>636</v>
      </c>
      <c r="I16" s="81" t="n">
        <f aca="false">IF(COUNTIFS('Pending Putaway'!$A$2:$A$3000,$K$2,'Pending Putaway'!$B$2:$B$3000,$A16)&gt;0,SUMIFS('Pending Putaway'!$E$2:$E$3000,'Pending Putaway'!$A$2:$A$3000,$K$2,'Pending Putaway'!$B$2:$B$3000,$A16),IF(COUNTIFS('Pending Putaway'!$A$2:$A$3000,$K$2,'Pending Putaway'!$B$2:$B$3000,SUBSTITUTE($A16," SS","  SS"))&gt;0,SUMIFS('Pending Putaway'!$E$2:$E$3000,'Pending Putaway'!$A$2:$A$3000,$K$2,'Pending Putaway'!$B$2:$B$3000,SUBSTITUTE($A16," SS","  SS")),"NA"))</f>
        <v>3500</v>
      </c>
      <c r="J16" s="81" t="n">
        <f aca="false">IF(COUNTIFS('Pending Putaway'!$A$2:$A$3000,$K$2,'Pending Putaway'!$B$2:$B$3000,$A16)&gt;0,SUMIFS('Pending Putaway'!$L$2:$L$3000,'Pending Putaway'!$A$2:$A$3000,$K$2,'Pending Putaway'!$B$2:$B$3000,$A16),IF(COUNTIFS('Pending Putaway'!$A$2:$A$3000,$K$2,'Pending Putaway'!$B$2:$B$3000,SUBSTITUTE($A16," SS","  SS"))&gt;0,SUMIFS('Pending Putaway'!$L$2:$L$3000,'Pending Putaway'!$A$2:$A$3000,$K$2,'Pending Putaway'!$B$2:$B$3000,SUBSTITUTE($A16," SS","  SS")),"NA"))</f>
        <v>4</v>
      </c>
      <c r="K16" s="23"/>
      <c r="L16" s="23"/>
      <c r="M16" s="23"/>
      <c r="N16" s="23"/>
      <c r="O16" s="23"/>
      <c r="P16" s="23"/>
      <c r="Q16" s="23"/>
      <c r="R16" s="23"/>
      <c r="S16" s="23"/>
      <c r="T16" s="23"/>
      <c r="U16" s="23"/>
      <c r="V16" s="23"/>
      <c r="W16" s="23"/>
      <c r="X16" s="23"/>
      <c r="Y16" s="23"/>
      <c r="Z16" s="23"/>
      <c r="AA16" s="23"/>
      <c r="AB16" s="23"/>
      <c r="AC16" s="23"/>
      <c r="AD16" s="23"/>
      <c r="AE16" s="23"/>
      <c r="AF16" s="23"/>
      <c r="AG16" s="23"/>
      <c r="AH16" s="23"/>
    </row>
    <row r="17" customFormat="false" ht="15" hidden="false" customHeight="false" outlineLevel="0" collapsed="false">
      <c r="A17" s="81" t="s">
        <v>68</v>
      </c>
      <c r="B17" s="81" t="str">
        <f aca="false" t="array" ref="B17:B17">IFERROR(INDEX('CLM &amp; IM Mapping'!$B$2:$B$270,MATCH($A17,'CLM &amp; IM Mapping'!$A$2:$A$270,0)),"Not Mapped")</f>
        <v>Girish N</v>
      </c>
      <c r="C17" s="81" t="str">
        <f aca="false" t="array" ref="C17:C17">IFERROR(INDEX('CLM &amp; IM Mapping'!$C$2:$C$270,MATCH($A17,'CLM &amp; IM Mapping'!$A$2:$A$270,0)),"Not Mapped")</f>
        <v>Un Mapped</v>
      </c>
      <c r="D17" s="82" t="n">
        <f aca="false">IF(COUNTIFS(Shrinkage!$A$2:$A$3000,$K$2,Shrinkage!$D$2:$D$3000,$A17)&gt;0,SUMIFS(Shrinkage!$P$2:$P$3000,Shrinkage!$A$2:$A$3000,$K$2,Shrinkage!$D$2:$D$3000,$A17),IF(COUNTIFS(Shrinkage!$A$2:$A$3000,$K$2,Shrinkage!$D$2:$D$3000,SUBSTITUTE($A17," SS","  SS"))&gt;0,SUMIFS(Shrinkage!$P$2:$P$3000,Shrinkage!$A$2:$A$3000,$K$2,Shrinkage!$D$2:$D$3000,SUBSTITUTE($A17," SS","  SS")),"NA"))</f>
        <v>62910</v>
      </c>
      <c r="E17" s="83" t="n">
        <f aca="false">IF(COUNTIFS('Inventory Hygiene'!$A$2:$A$3000,$K$2,'Inventory Hygiene'!$B$2:$B$3000,$A17)&gt;0,AVERAGEIFS('Inventory Hygiene'!$J$2:$J$3000,'Inventory Hygiene'!$A$2:$A$3000,$K$2,'Inventory Hygiene'!$B$2:$B$3000,$A17),IF(COUNTIFS('Inventory Hygiene'!$A$2:$A$3000,$K$2,'Inventory Hygiene'!$B$2:$B$3000,SUBSTITUTE($A17," SS","  SS"))&gt;0,AVERAGEIFS('Inventory Hygiene'!$J$2:$J$3000,'Inventory Hygiene'!$A$2:$A$3000,$K$2,'Inventory Hygiene'!$B$2:$B$3000,SUBSTITUTE($A17," SS","  SS")),"NA"))</f>
        <v>0.616338207247298</v>
      </c>
      <c r="F17" s="81" t="n">
        <f aca="false">IF(COUNTIFS('Bad Bins'!$A$2:$A$3000,$K$2,'Bad Bins'!$B$2:$B$3000,$A17)&gt;0,SUMIFS('Bad Bins'!$K$2:$K$3000,'Bad Bins'!$A$2:$A$3000,$K$2,'Bad Bins'!$B$2:$B$3000,$A17),IF(COUNTIFS('Bad Bins'!$A$2:$A$3000,$K$2,'Bad Bins'!$B$2:$B$3000,SUBSTITUTE($A17," SS","  SS"))&gt;0,SUMIFS('Bad Bins'!$K$2:$K$3000,'Bad Bins'!$A$2:$A$3000,$K$2,'Bad Bins'!$B$2:$B$3000,SUBSTITUTE($A17," SS","  SS")),"NA"))</f>
        <v>141</v>
      </c>
      <c r="G17" s="81" t="str">
        <f aca="false">IF(COUNTIFS('RSTO &gt; 48hrs'!$A$2:$A$3000,$K$2,'RSTO &gt; 48hrs'!$B$2:$B$3000,$A17)&gt;0,SUMIFS('RSTO &gt; 48hrs'!$H$2:$H$3000,'RSTO &gt; 48hrs'!$A$2:$A$3000,$K$2,'RSTO &gt; 48hrs'!$B$2:$B$3000,$A17),IF(COUNTIFS('RSTO &gt; 48hrs'!$A$2:$A$3000,$K$2,'RSTO &gt; 48hrs'!$B$2:$B$3000,SUBSTITUTE($A17," SS","  SS"))&gt;0,SUMIFS('RSTO &gt; 48hrs'!$H$2:$H$3000,'RSTO &gt; 48hrs'!$A$2:$A$3000,$K$2,'RSTO &gt; 48hrs'!$B$2:$B$3000,SUBSTITUTE($A17," SS","  SS")),"NA"))</f>
        <v>NA</v>
      </c>
      <c r="H17" s="81" t="str">
        <f aca="false">IF(COUNTIFS('Recirculation &gt; 24 hrs'!$A$2:$A$3000,$K$2,'Recirculation &gt; 24 hrs'!$B$2:$B$3000,$A17)&gt;0,SUMIFS('Recirculation &gt; 24 hrs'!$K$2:$K$3000,'Recirculation &gt; 24 hrs'!$A$2:$A$3000,$K$2,'Recirculation &gt; 24 hrs'!$B$2:$B$3000,$A17),IF(COUNTIFS('Recirculation &gt; 24 hrs'!$A$2:$A$3000,$K$2,'Recirculation &gt; 24 hrs'!$B$2:$B$3000,SUBSTITUTE($A17," SS","  SS"))&gt;0,SUMIFS('Recirculation &gt; 24 hrs'!$K$2:$K$3000,'Recirculation &gt; 24 hrs'!$A$2:$A$3000,$K$2,'Recirculation &gt; 24 hrs'!$B$2:$B$3000,SUBSTITUTE($A17," SS","  SS")),"NA"))</f>
        <v>NA</v>
      </c>
      <c r="I17" s="81" t="n">
        <f aca="false">IF(COUNTIFS('Pending Putaway'!$A$2:$A$3000,$K$2,'Pending Putaway'!$B$2:$B$3000,$A17)&gt;0,SUMIFS('Pending Putaway'!$E$2:$E$3000,'Pending Putaway'!$A$2:$A$3000,$K$2,'Pending Putaway'!$B$2:$B$3000,$A17),IF(COUNTIFS('Pending Putaway'!$A$2:$A$3000,$K$2,'Pending Putaway'!$B$2:$B$3000,SUBSTITUTE($A17," SS","  SS"))&gt;0,SUMIFS('Pending Putaway'!$E$2:$E$3000,'Pending Putaway'!$A$2:$A$3000,$K$2,'Pending Putaway'!$B$2:$B$3000,SUBSTITUTE($A17," SS","  SS")),"NA"))</f>
        <v>2464</v>
      </c>
      <c r="J17" s="81" t="n">
        <f aca="false">IF(COUNTIFS('Pending Putaway'!$A$2:$A$3000,$K$2,'Pending Putaway'!$B$2:$B$3000,$A17)&gt;0,SUMIFS('Pending Putaway'!$L$2:$L$3000,'Pending Putaway'!$A$2:$A$3000,$K$2,'Pending Putaway'!$B$2:$B$3000,$A17),IF(COUNTIFS('Pending Putaway'!$A$2:$A$3000,$K$2,'Pending Putaway'!$B$2:$B$3000,SUBSTITUTE($A17," SS","  SS"))&gt;0,SUMIFS('Pending Putaway'!$L$2:$L$3000,'Pending Putaway'!$A$2:$A$3000,$K$2,'Pending Putaway'!$B$2:$B$3000,SUBSTITUTE($A17," SS","  SS")),"NA"))</f>
        <v>0</v>
      </c>
      <c r="K17" s="23"/>
      <c r="L17" s="23"/>
      <c r="M17" s="23"/>
      <c r="N17" s="23"/>
      <c r="O17" s="23"/>
      <c r="P17" s="23"/>
      <c r="Q17" s="23"/>
      <c r="R17" s="23"/>
      <c r="S17" s="23"/>
      <c r="T17" s="23"/>
      <c r="U17" s="23"/>
      <c r="V17" s="23"/>
      <c r="W17" s="23"/>
      <c r="X17" s="23"/>
      <c r="Y17" s="23"/>
      <c r="Z17" s="23"/>
      <c r="AA17" s="23"/>
      <c r="AB17" s="23"/>
      <c r="AC17" s="23"/>
      <c r="AD17" s="23"/>
      <c r="AE17" s="23"/>
      <c r="AF17" s="23"/>
      <c r="AG17" s="23"/>
      <c r="AH17" s="23"/>
    </row>
    <row r="18" customFormat="false" ht="15.75" hidden="false" customHeight="true" outlineLevel="0" collapsed="false">
      <c r="A18" s="81" t="s">
        <v>103</v>
      </c>
      <c r="B18" s="81" t="str">
        <f aca="false" t="array" ref="B18:B18">IFERROR(INDEX('CLM &amp; IM Mapping'!$B$2:$B$270,MATCH($A18,'CLM &amp; IM Mapping'!$A$2:$A$270,0)),"Not Mapped")</f>
        <v>Girish N</v>
      </c>
      <c r="C18" s="81" t="str">
        <f aca="false" t="array" ref="C18:C18">IFERROR(INDEX('CLM &amp; IM Mapping'!$C$2:$C$270,MATCH($A18,'CLM &amp; IM Mapping'!$A$2:$A$270,0)),"Not Mapped")</f>
        <v>Un Mapped</v>
      </c>
      <c r="D18" s="82" t="n">
        <f aca="false">IF(COUNTIFS(Shrinkage!$A$2:$A$3000,$K$2,Shrinkage!$D$2:$D$3000,$A18)&gt;0,SUMIFS(Shrinkage!$P$2:$P$3000,Shrinkage!$A$2:$A$3000,$K$2,Shrinkage!$D$2:$D$3000,$A18),IF(COUNTIFS(Shrinkage!$A$2:$A$3000,$K$2,Shrinkage!$D$2:$D$3000,SUBSTITUTE($A18," SS","  SS"))&gt;0,SUMIFS(Shrinkage!$P$2:$P$3000,Shrinkage!$A$2:$A$3000,$K$2,Shrinkage!$D$2:$D$3000,SUBSTITUTE($A18," SS","  SS")),"NA"))</f>
        <v>75287</v>
      </c>
      <c r="E18" s="83" t="n">
        <f aca="false">IF(COUNTIFS('Inventory Hygiene'!$A$2:$A$3000,$K$2,'Inventory Hygiene'!$B$2:$B$3000,$A18)&gt;0,AVERAGEIFS('Inventory Hygiene'!$J$2:$J$3000,'Inventory Hygiene'!$A$2:$A$3000,$K$2,'Inventory Hygiene'!$B$2:$B$3000,$A18),IF(COUNTIFS('Inventory Hygiene'!$A$2:$A$3000,$K$2,'Inventory Hygiene'!$B$2:$B$3000,SUBSTITUTE($A18," SS","  SS"))&gt;0,AVERAGEIFS('Inventory Hygiene'!$J$2:$J$3000,'Inventory Hygiene'!$A$2:$A$3000,$K$2,'Inventory Hygiene'!$B$2:$B$3000,SUBSTITUTE($A18," SS","  SS")),"NA"))</f>
        <v>0.289569805194805</v>
      </c>
      <c r="F18" s="81" t="n">
        <f aca="false">IF(COUNTIFS('Bad Bins'!$A$2:$A$3000,$K$2,'Bad Bins'!$B$2:$B$3000,$A18)&gt;0,SUMIFS('Bad Bins'!$K$2:$K$3000,'Bad Bins'!$A$2:$A$3000,$K$2,'Bad Bins'!$B$2:$B$3000,$A18),IF(COUNTIFS('Bad Bins'!$A$2:$A$3000,$K$2,'Bad Bins'!$B$2:$B$3000,SUBSTITUTE($A18," SS","  SS"))&gt;0,SUMIFS('Bad Bins'!$K$2:$K$3000,'Bad Bins'!$A$2:$A$3000,$K$2,'Bad Bins'!$B$2:$B$3000,SUBSTITUTE($A18," SS","  SS")),"NA"))</f>
        <v>64</v>
      </c>
      <c r="G18" s="81" t="str">
        <f aca="false">IF(COUNTIFS('RSTO &gt; 48hrs'!$A$2:$A$3000,$K$2,'RSTO &gt; 48hrs'!$B$2:$B$3000,$A18)&gt;0,SUMIFS('RSTO &gt; 48hrs'!$H$2:$H$3000,'RSTO &gt; 48hrs'!$A$2:$A$3000,$K$2,'RSTO &gt; 48hrs'!$B$2:$B$3000,$A18),IF(COUNTIFS('RSTO &gt; 48hrs'!$A$2:$A$3000,$K$2,'RSTO &gt; 48hrs'!$B$2:$B$3000,SUBSTITUTE($A18," SS","  SS"))&gt;0,SUMIFS('RSTO &gt; 48hrs'!$H$2:$H$3000,'RSTO &gt; 48hrs'!$A$2:$A$3000,$K$2,'RSTO &gt; 48hrs'!$B$2:$B$3000,SUBSTITUTE($A18," SS","  SS")),"NA"))</f>
        <v>NA</v>
      </c>
      <c r="H18" s="81" t="n">
        <f aca="false">IF(COUNTIFS('Recirculation &gt; 24 hrs'!$A$2:$A$3000,$K$2,'Recirculation &gt; 24 hrs'!$B$2:$B$3000,$A18)&gt;0,SUMIFS('Recirculation &gt; 24 hrs'!$K$2:$K$3000,'Recirculation &gt; 24 hrs'!$A$2:$A$3000,$K$2,'Recirculation &gt; 24 hrs'!$B$2:$B$3000,$A18),IF(COUNTIFS('Recirculation &gt; 24 hrs'!$A$2:$A$3000,$K$2,'Recirculation &gt; 24 hrs'!$B$2:$B$3000,SUBSTITUTE($A18," SS","  SS"))&gt;0,SUMIFS('Recirculation &gt; 24 hrs'!$K$2:$K$3000,'Recirculation &gt; 24 hrs'!$A$2:$A$3000,$K$2,'Recirculation &gt; 24 hrs'!$B$2:$B$3000,SUBSTITUTE($A18," SS","  SS")),"NA"))</f>
        <v>1</v>
      </c>
      <c r="I18" s="81" t="n">
        <f aca="false">IF(COUNTIFS('Pending Putaway'!$A$2:$A$3000,$K$2,'Pending Putaway'!$B$2:$B$3000,$A18)&gt;0,SUMIFS('Pending Putaway'!$E$2:$E$3000,'Pending Putaway'!$A$2:$A$3000,$K$2,'Pending Putaway'!$B$2:$B$3000,$A18),IF(COUNTIFS('Pending Putaway'!$A$2:$A$3000,$K$2,'Pending Putaway'!$B$2:$B$3000,SUBSTITUTE($A18," SS","  SS"))&gt;0,SUMIFS('Pending Putaway'!$E$2:$E$3000,'Pending Putaway'!$A$2:$A$3000,$K$2,'Pending Putaway'!$B$2:$B$3000,SUBSTITUTE($A18," SS","  SS")),"NA"))</f>
        <v>935</v>
      </c>
      <c r="J18" s="81" t="n">
        <f aca="false">IF(COUNTIFS('Pending Putaway'!$A$2:$A$3000,$K$2,'Pending Putaway'!$B$2:$B$3000,$A18)&gt;0,SUMIFS('Pending Putaway'!$L$2:$L$3000,'Pending Putaway'!$A$2:$A$3000,$K$2,'Pending Putaway'!$B$2:$B$3000,$A18),IF(COUNTIFS('Pending Putaway'!$A$2:$A$3000,$K$2,'Pending Putaway'!$B$2:$B$3000,SUBSTITUTE($A18," SS","  SS"))&gt;0,SUMIFS('Pending Putaway'!$L$2:$L$3000,'Pending Putaway'!$A$2:$A$3000,$K$2,'Pending Putaway'!$B$2:$B$3000,SUBSTITUTE($A18," SS","  SS")),"NA"))</f>
        <v>0</v>
      </c>
      <c r="K18" s="23"/>
      <c r="L18" s="23"/>
      <c r="M18" s="23"/>
      <c r="N18" s="23"/>
      <c r="O18" s="23"/>
      <c r="P18" s="23"/>
      <c r="Q18" s="23"/>
      <c r="R18" s="23"/>
      <c r="S18" s="23"/>
      <c r="T18" s="23"/>
      <c r="U18" s="23"/>
      <c r="V18" s="23"/>
      <c r="W18" s="23"/>
      <c r="X18" s="23"/>
      <c r="Y18" s="23"/>
      <c r="Z18" s="23"/>
      <c r="AA18" s="23"/>
      <c r="AB18" s="23"/>
      <c r="AC18" s="23"/>
      <c r="AD18" s="23"/>
      <c r="AE18" s="23"/>
      <c r="AF18" s="23"/>
      <c r="AG18" s="23"/>
      <c r="AH18" s="23"/>
    </row>
    <row r="19" customFormat="false" ht="15.75" hidden="false" customHeight="true" outlineLevel="0" collapsed="false">
      <c r="A19" s="81" t="s">
        <v>189</v>
      </c>
      <c r="B19" s="81" t="str">
        <f aca="false" t="array" ref="B19:B19">IFERROR(INDEX('CLM &amp; IM Mapping'!$B$2:$B$270,MATCH($A19,'CLM &amp; IM Mapping'!$A$2:$A$270,0)),"Not Mapped")</f>
        <v>Girish N</v>
      </c>
      <c r="C19" s="81" t="str">
        <f aca="false" t="array" ref="C19:C19">IFERROR(INDEX('CLM &amp; IM Mapping'!$C$2:$C$270,MATCH($A19,'CLM &amp; IM Mapping'!$A$2:$A$270,0)),"Not Mapped")</f>
        <v>Un Mapped</v>
      </c>
      <c r="D19" s="82" t="n">
        <f aca="false">IF(COUNTIFS(Shrinkage!$A$2:$A$3000,$K$2,Shrinkage!$D$2:$D$3000,$A19)&gt;0,SUMIFS(Shrinkage!$P$2:$P$3000,Shrinkage!$A$2:$A$3000,$K$2,Shrinkage!$D$2:$D$3000,$A19),IF(COUNTIFS(Shrinkage!$A$2:$A$3000,$K$2,Shrinkage!$D$2:$D$3000,SUBSTITUTE($A19," SS","  SS"))&gt;0,SUMIFS(Shrinkage!$P$2:$P$3000,Shrinkage!$A$2:$A$3000,$K$2,Shrinkage!$D$2:$D$3000,SUBSTITUTE($A19," SS","  SS")),"NA"))</f>
        <v>24356</v>
      </c>
      <c r="E19" s="83" t="n">
        <f aca="false">IF(COUNTIFS('Inventory Hygiene'!$A$2:$A$3000,$K$2,'Inventory Hygiene'!$B$2:$B$3000,$A19)&gt;0,AVERAGEIFS('Inventory Hygiene'!$J$2:$J$3000,'Inventory Hygiene'!$A$2:$A$3000,$K$2,'Inventory Hygiene'!$B$2:$B$3000,$A19),IF(COUNTIFS('Inventory Hygiene'!$A$2:$A$3000,$K$2,'Inventory Hygiene'!$B$2:$B$3000,SUBSTITUTE($A19," SS","  SS"))&gt;0,AVERAGEIFS('Inventory Hygiene'!$J$2:$J$3000,'Inventory Hygiene'!$A$2:$A$3000,$K$2,'Inventory Hygiene'!$B$2:$B$3000,SUBSTITUTE($A19," SS","  SS")),"NA"))</f>
        <v>0.43871975019516</v>
      </c>
      <c r="F19" s="81" t="n">
        <f aca="false">IF(COUNTIFS('Bad Bins'!$A$2:$A$3000,$K$2,'Bad Bins'!$B$2:$B$3000,$A19)&gt;0,SUMIFS('Bad Bins'!$K$2:$K$3000,'Bad Bins'!$A$2:$A$3000,$K$2,'Bad Bins'!$B$2:$B$3000,$A19),IF(COUNTIFS('Bad Bins'!$A$2:$A$3000,$K$2,'Bad Bins'!$B$2:$B$3000,SUBSTITUTE($A19," SS","  SS"))&gt;0,SUMIFS('Bad Bins'!$K$2:$K$3000,'Bad Bins'!$A$2:$A$3000,$K$2,'Bad Bins'!$B$2:$B$3000,SUBSTITUTE($A19," SS","  SS")),"NA"))</f>
        <v>23</v>
      </c>
      <c r="G19" s="81" t="str">
        <f aca="false">IF(COUNTIFS('RSTO &gt; 48hrs'!$A$2:$A$3000,$K$2,'RSTO &gt; 48hrs'!$B$2:$B$3000,$A19)&gt;0,SUMIFS('RSTO &gt; 48hrs'!$H$2:$H$3000,'RSTO &gt; 48hrs'!$A$2:$A$3000,$K$2,'RSTO &gt; 48hrs'!$B$2:$B$3000,$A19),IF(COUNTIFS('RSTO &gt; 48hrs'!$A$2:$A$3000,$K$2,'RSTO &gt; 48hrs'!$B$2:$B$3000,SUBSTITUTE($A19," SS","  SS"))&gt;0,SUMIFS('RSTO &gt; 48hrs'!$H$2:$H$3000,'RSTO &gt; 48hrs'!$A$2:$A$3000,$K$2,'RSTO &gt; 48hrs'!$B$2:$B$3000,SUBSTITUTE($A19," SS","  SS")),"NA"))</f>
        <v>NA</v>
      </c>
      <c r="H19" s="81" t="n">
        <f aca="false">IF(COUNTIFS('Recirculation &gt; 24 hrs'!$A$2:$A$3000,$K$2,'Recirculation &gt; 24 hrs'!$B$2:$B$3000,$A19)&gt;0,SUMIFS('Recirculation &gt; 24 hrs'!$K$2:$K$3000,'Recirculation &gt; 24 hrs'!$A$2:$A$3000,$K$2,'Recirculation &gt; 24 hrs'!$B$2:$B$3000,$A19),IF(COUNTIFS('Recirculation &gt; 24 hrs'!$A$2:$A$3000,$K$2,'Recirculation &gt; 24 hrs'!$B$2:$B$3000,SUBSTITUTE($A19," SS","  SS"))&gt;0,SUMIFS('Recirculation &gt; 24 hrs'!$K$2:$K$3000,'Recirculation &gt; 24 hrs'!$A$2:$A$3000,$K$2,'Recirculation &gt; 24 hrs'!$B$2:$B$3000,SUBSTITUTE($A19," SS","  SS")),"NA"))</f>
        <v>1420</v>
      </c>
      <c r="I19" s="81" t="n">
        <f aca="false">IF(COUNTIFS('Pending Putaway'!$A$2:$A$3000,$K$2,'Pending Putaway'!$B$2:$B$3000,$A19)&gt;0,SUMIFS('Pending Putaway'!$E$2:$E$3000,'Pending Putaway'!$A$2:$A$3000,$K$2,'Pending Putaway'!$B$2:$B$3000,$A19),IF(COUNTIFS('Pending Putaway'!$A$2:$A$3000,$K$2,'Pending Putaway'!$B$2:$B$3000,SUBSTITUTE($A19," SS","  SS"))&gt;0,SUMIFS('Pending Putaway'!$E$2:$E$3000,'Pending Putaway'!$A$2:$A$3000,$K$2,'Pending Putaway'!$B$2:$B$3000,SUBSTITUTE($A19," SS","  SS")),"NA"))</f>
        <v>1400</v>
      </c>
      <c r="J19" s="81" t="n">
        <f aca="false">IF(COUNTIFS('Pending Putaway'!$A$2:$A$3000,$K$2,'Pending Putaway'!$B$2:$B$3000,$A19)&gt;0,SUMIFS('Pending Putaway'!$L$2:$L$3000,'Pending Putaway'!$A$2:$A$3000,$K$2,'Pending Putaway'!$B$2:$B$3000,$A19),IF(COUNTIFS('Pending Putaway'!$A$2:$A$3000,$K$2,'Pending Putaway'!$B$2:$B$3000,SUBSTITUTE($A19," SS","  SS"))&gt;0,SUMIFS('Pending Putaway'!$L$2:$L$3000,'Pending Putaway'!$A$2:$A$3000,$K$2,'Pending Putaway'!$B$2:$B$3000,SUBSTITUTE($A19," SS","  SS")),"NA"))</f>
        <v>0</v>
      </c>
      <c r="K19" s="23"/>
      <c r="L19" s="23"/>
      <c r="M19" s="23"/>
      <c r="N19" s="23"/>
      <c r="O19" s="23"/>
      <c r="P19" s="23"/>
      <c r="Q19" s="23"/>
      <c r="R19" s="23"/>
      <c r="S19" s="23"/>
      <c r="T19" s="23"/>
      <c r="U19" s="23"/>
      <c r="V19" s="23"/>
      <c r="W19" s="23"/>
      <c r="X19" s="23"/>
      <c r="Y19" s="23"/>
      <c r="Z19" s="23"/>
      <c r="AA19" s="23"/>
      <c r="AB19" s="23"/>
      <c r="AC19" s="23"/>
      <c r="AD19" s="23"/>
      <c r="AE19" s="23"/>
      <c r="AF19" s="23"/>
      <c r="AG19" s="23"/>
      <c r="AH19" s="23"/>
    </row>
    <row r="20" customFormat="false" ht="15.75" hidden="false" customHeight="true" outlineLevel="0" collapsed="false">
      <c r="A20" s="81" t="s">
        <v>416</v>
      </c>
      <c r="B20" s="81" t="str">
        <f aca="false" t="array" ref="B20:B20">IFERROR(INDEX('CLM &amp; IM Mapping'!$B$2:$B$270,MATCH($A20,'CLM &amp; IM Mapping'!$A$2:$A$270,0)),"Not Mapped")</f>
        <v>Girish N</v>
      </c>
      <c r="C20" s="81" t="str">
        <f aca="false" t="array" ref="C20:C20">IFERROR(INDEX('CLM &amp; IM Mapping'!$C$2:$C$270,MATCH($A20,'CLM &amp; IM Mapping'!$A$2:$A$270,0)),"Not Mapped")</f>
        <v>Un Mapped</v>
      </c>
      <c r="D20" s="82" t="n">
        <f aca="false">IF(COUNTIFS(Shrinkage!$A$2:$A$3000,$K$2,Shrinkage!$D$2:$D$3000,$A20)&gt;0,SUMIFS(Shrinkage!$P$2:$P$3000,Shrinkage!$A$2:$A$3000,$K$2,Shrinkage!$D$2:$D$3000,$A20),IF(COUNTIFS(Shrinkage!$A$2:$A$3000,$K$2,Shrinkage!$D$2:$D$3000,SUBSTITUTE($A20," SS","  SS"))&gt;0,SUMIFS(Shrinkage!$P$2:$P$3000,Shrinkage!$A$2:$A$3000,$K$2,Shrinkage!$D$2:$D$3000,SUBSTITUTE($A20," SS","  SS")),"NA"))</f>
        <v>-6712</v>
      </c>
      <c r="E20" s="83" t="n">
        <f aca="false">IF(COUNTIFS('Inventory Hygiene'!$A$2:$A$3000,$K$2,'Inventory Hygiene'!$B$2:$B$3000,$A20)&gt;0,AVERAGEIFS('Inventory Hygiene'!$J$2:$J$3000,'Inventory Hygiene'!$A$2:$A$3000,$K$2,'Inventory Hygiene'!$B$2:$B$3000,$A20),IF(COUNTIFS('Inventory Hygiene'!$A$2:$A$3000,$K$2,'Inventory Hygiene'!$B$2:$B$3000,SUBSTITUTE($A20," SS","  SS"))&gt;0,AVERAGEIFS('Inventory Hygiene'!$J$2:$J$3000,'Inventory Hygiene'!$A$2:$A$3000,$K$2,'Inventory Hygiene'!$B$2:$B$3000,SUBSTITUTE($A20," SS","  SS")),"NA"))</f>
        <v>0.70063150708312</v>
      </c>
      <c r="F20" s="81" t="n">
        <f aca="false">IF(COUNTIFS('Bad Bins'!$A$2:$A$3000,$K$2,'Bad Bins'!$B$2:$B$3000,$A20)&gt;0,SUMIFS('Bad Bins'!$K$2:$K$3000,'Bad Bins'!$A$2:$A$3000,$K$2,'Bad Bins'!$B$2:$B$3000,$A20),IF(COUNTIFS('Bad Bins'!$A$2:$A$3000,$K$2,'Bad Bins'!$B$2:$B$3000,SUBSTITUTE($A20," SS","  SS"))&gt;0,SUMIFS('Bad Bins'!$K$2:$K$3000,'Bad Bins'!$A$2:$A$3000,$K$2,'Bad Bins'!$B$2:$B$3000,SUBSTITUTE($A20," SS","  SS")),"NA"))</f>
        <v>48</v>
      </c>
      <c r="G20" s="81" t="str">
        <f aca="false">IF(COUNTIFS('RSTO &gt; 48hrs'!$A$2:$A$3000,$K$2,'RSTO &gt; 48hrs'!$B$2:$B$3000,$A20)&gt;0,SUMIFS('RSTO &gt; 48hrs'!$H$2:$H$3000,'RSTO &gt; 48hrs'!$A$2:$A$3000,$K$2,'RSTO &gt; 48hrs'!$B$2:$B$3000,$A20),IF(COUNTIFS('RSTO &gt; 48hrs'!$A$2:$A$3000,$K$2,'RSTO &gt; 48hrs'!$B$2:$B$3000,SUBSTITUTE($A20," SS","  SS"))&gt;0,SUMIFS('RSTO &gt; 48hrs'!$H$2:$H$3000,'RSTO &gt; 48hrs'!$A$2:$A$3000,$K$2,'RSTO &gt; 48hrs'!$B$2:$B$3000,SUBSTITUTE($A20," SS","  SS")),"NA"))</f>
        <v>NA</v>
      </c>
      <c r="H20" s="81" t="str">
        <f aca="false">IF(COUNTIFS('Recirculation &gt; 24 hrs'!$A$2:$A$3000,$K$2,'Recirculation &gt; 24 hrs'!$B$2:$B$3000,$A20)&gt;0,SUMIFS('Recirculation &gt; 24 hrs'!$K$2:$K$3000,'Recirculation &gt; 24 hrs'!$A$2:$A$3000,$K$2,'Recirculation &gt; 24 hrs'!$B$2:$B$3000,$A20),IF(COUNTIFS('Recirculation &gt; 24 hrs'!$A$2:$A$3000,$K$2,'Recirculation &gt; 24 hrs'!$B$2:$B$3000,SUBSTITUTE($A20," SS","  SS"))&gt;0,SUMIFS('Recirculation &gt; 24 hrs'!$K$2:$K$3000,'Recirculation &gt; 24 hrs'!$A$2:$A$3000,$K$2,'Recirculation &gt; 24 hrs'!$B$2:$B$3000,SUBSTITUTE($A20," SS","  SS")),"NA"))</f>
        <v>NA</v>
      </c>
      <c r="I20" s="81" t="n">
        <f aca="false">IF(COUNTIFS('Pending Putaway'!$A$2:$A$3000,$K$2,'Pending Putaway'!$B$2:$B$3000,$A20)&gt;0,SUMIFS('Pending Putaway'!$E$2:$E$3000,'Pending Putaway'!$A$2:$A$3000,$K$2,'Pending Putaway'!$B$2:$B$3000,$A20),IF(COUNTIFS('Pending Putaway'!$A$2:$A$3000,$K$2,'Pending Putaway'!$B$2:$B$3000,SUBSTITUTE($A20," SS","  SS"))&gt;0,SUMIFS('Pending Putaway'!$E$2:$E$3000,'Pending Putaway'!$A$2:$A$3000,$K$2,'Pending Putaway'!$B$2:$B$3000,SUBSTITUTE($A20," SS","  SS")),"NA"))</f>
        <v>1047</v>
      </c>
      <c r="J20" s="81" t="n">
        <f aca="false">IF(COUNTIFS('Pending Putaway'!$A$2:$A$3000,$K$2,'Pending Putaway'!$B$2:$B$3000,$A20)&gt;0,SUMIFS('Pending Putaway'!$L$2:$L$3000,'Pending Putaway'!$A$2:$A$3000,$K$2,'Pending Putaway'!$B$2:$B$3000,$A20),IF(COUNTIFS('Pending Putaway'!$A$2:$A$3000,$K$2,'Pending Putaway'!$B$2:$B$3000,SUBSTITUTE($A20," SS","  SS"))&gt;0,SUMIFS('Pending Putaway'!$L$2:$L$3000,'Pending Putaway'!$A$2:$A$3000,$K$2,'Pending Putaway'!$B$2:$B$3000,SUBSTITUTE($A20," SS","  SS")),"NA"))</f>
        <v>0</v>
      </c>
      <c r="K20" s="23"/>
      <c r="L20" s="23"/>
      <c r="M20" s="23"/>
      <c r="N20" s="23"/>
      <c r="O20" s="23"/>
      <c r="P20" s="23"/>
      <c r="Q20" s="23"/>
      <c r="R20" s="23"/>
      <c r="S20" s="23"/>
      <c r="T20" s="23"/>
      <c r="U20" s="23"/>
      <c r="V20" s="23"/>
      <c r="W20" s="23"/>
      <c r="X20" s="23"/>
      <c r="Y20" s="23"/>
      <c r="Z20" s="23"/>
      <c r="AA20" s="23"/>
      <c r="AB20" s="23"/>
      <c r="AC20" s="23"/>
      <c r="AD20" s="23"/>
      <c r="AE20" s="23"/>
      <c r="AF20" s="23"/>
      <c r="AG20" s="23"/>
      <c r="AH20" s="23"/>
    </row>
    <row r="21" customFormat="false" ht="15.75" hidden="false" customHeight="true" outlineLevel="0" collapsed="false">
      <c r="A21" s="81" t="s">
        <v>126</v>
      </c>
      <c r="B21" s="81" t="str">
        <f aca="false" t="array" ref="B21:B21">IFERROR(INDEX('CLM &amp; IM Mapping'!$B$2:$B$270,MATCH($A21,'CLM &amp; IM Mapping'!$A$2:$A$270,0)),"Not Mapped")</f>
        <v>Girish N</v>
      </c>
      <c r="C21" s="81" t="str">
        <f aca="false" t="array" ref="C21:C21">IFERROR(INDEX('CLM &amp; IM Mapping'!$C$2:$C$270,MATCH($A21,'CLM &amp; IM Mapping'!$A$2:$A$270,0)),"Not Mapped")</f>
        <v>Un Mapped</v>
      </c>
      <c r="D21" s="82" t="n">
        <f aca="false">IF(COUNTIFS(Shrinkage!$A$2:$A$3000,$K$2,Shrinkage!$D$2:$D$3000,$A21)&gt;0,SUMIFS(Shrinkage!$P$2:$P$3000,Shrinkage!$A$2:$A$3000,$K$2,Shrinkage!$D$2:$D$3000,$A21),IF(COUNTIFS(Shrinkage!$A$2:$A$3000,$K$2,Shrinkage!$D$2:$D$3000,SUBSTITUTE($A21," SS","  SS"))&gt;0,SUMIFS(Shrinkage!$P$2:$P$3000,Shrinkage!$A$2:$A$3000,$K$2,Shrinkage!$D$2:$D$3000,SUBSTITUTE($A21," SS","  SS")),"NA"))</f>
        <v>58671</v>
      </c>
      <c r="E21" s="83" t="n">
        <f aca="false">IF(COUNTIFS('Inventory Hygiene'!$A$2:$A$3000,$K$2,'Inventory Hygiene'!$B$2:$B$3000,$A21)&gt;0,AVERAGEIFS('Inventory Hygiene'!$J$2:$J$3000,'Inventory Hygiene'!$A$2:$A$3000,$K$2,'Inventory Hygiene'!$B$2:$B$3000,$A21),IF(COUNTIFS('Inventory Hygiene'!$A$2:$A$3000,$K$2,'Inventory Hygiene'!$B$2:$B$3000,SUBSTITUTE($A21," SS","  SS"))&gt;0,AVERAGEIFS('Inventory Hygiene'!$J$2:$J$3000,'Inventory Hygiene'!$A$2:$A$3000,$K$2,'Inventory Hygiene'!$B$2:$B$3000,SUBSTITUTE($A21," SS","  SS")),"NA"))</f>
        <v>0.425928930715561</v>
      </c>
      <c r="F21" s="81" t="n">
        <f aca="false">IF(COUNTIFS('Bad Bins'!$A$2:$A$3000,$K$2,'Bad Bins'!$B$2:$B$3000,$A21)&gt;0,SUMIFS('Bad Bins'!$K$2:$K$3000,'Bad Bins'!$A$2:$A$3000,$K$2,'Bad Bins'!$B$2:$B$3000,$A21),IF(COUNTIFS('Bad Bins'!$A$2:$A$3000,$K$2,'Bad Bins'!$B$2:$B$3000,SUBSTITUTE($A21," SS","  SS"))&gt;0,SUMIFS('Bad Bins'!$K$2:$K$3000,'Bad Bins'!$A$2:$A$3000,$K$2,'Bad Bins'!$B$2:$B$3000,SUBSTITUTE($A21," SS","  SS")),"NA"))</f>
        <v>121</v>
      </c>
      <c r="G21" s="81" t="str">
        <f aca="false">IF(COUNTIFS('RSTO &gt; 48hrs'!$A$2:$A$3000,$K$2,'RSTO &gt; 48hrs'!$B$2:$B$3000,$A21)&gt;0,SUMIFS('RSTO &gt; 48hrs'!$H$2:$H$3000,'RSTO &gt; 48hrs'!$A$2:$A$3000,$K$2,'RSTO &gt; 48hrs'!$B$2:$B$3000,$A21),IF(COUNTIFS('RSTO &gt; 48hrs'!$A$2:$A$3000,$K$2,'RSTO &gt; 48hrs'!$B$2:$B$3000,SUBSTITUTE($A21," SS","  SS"))&gt;0,SUMIFS('RSTO &gt; 48hrs'!$H$2:$H$3000,'RSTO &gt; 48hrs'!$A$2:$A$3000,$K$2,'RSTO &gt; 48hrs'!$B$2:$B$3000,SUBSTITUTE($A21," SS","  SS")),"NA"))</f>
        <v>NA</v>
      </c>
      <c r="H21" s="81" t="str">
        <f aca="false">IF(COUNTIFS('Recirculation &gt; 24 hrs'!$A$2:$A$3000,$K$2,'Recirculation &gt; 24 hrs'!$B$2:$B$3000,$A21)&gt;0,SUMIFS('Recirculation &gt; 24 hrs'!$K$2:$K$3000,'Recirculation &gt; 24 hrs'!$A$2:$A$3000,$K$2,'Recirculation &gt; 24 hrs'!$B$2:$B$3000,$A21),IF(COUNTIFS('Recirculation &gt; 24 hrs'!$A$2:$A$3000,$K$2,'Recirculation &gt; 24 hrs'!$B$2:$B$3000,SUBSTITUTE($A21," SS","  SS"))&gt;0,SUMIFS('Recirculation &gt; 24 hrs'!$K$2:$K$3000,'Recirculation &gt; 24 hrs'!$A$2:$A$3000,$K$2,'Recirculation &gt; 24 hrs'!$B$2:$B$3000,SUBSTITUTE($A21," SS","  SS")),"NA"))</f>
        <v>NA</v>
      </c>
      <c r="I21" s="81" t="n">
        <f aca="false">IF(COUNTIFS('Pending Putaway'!$A$2:$A$3000,$K$2,'Pending Putaway'!$B$2:$B$3000,$A21)&gt;0,SUMIFS('Pending Putaway'!$E$2:$E$3000,'Pending Putaway'!$A$2:$A$3000,$K$2,'Pending Putaway'!$B$2:$B$3000,$A21),IF(COUNTIFS('Pending Putaway'!$A$2:$A$3000,$K$2,'Pending Putaway'!$B$2:$B$3000,SUBSTITUTE($A21," SS","  SS"))&gt;0,SUMIFS('Pending Putaway'!$E$2:$E$3000,'Pending Putaway'!$A$2:$A$3000,$K$2,'Pending Putaway'!$B$2:$B$3000,SUBSTITUTE($A21," SS","  SS")),"NA"))</f>
        <v>6760</v>
      </c>
      <c r="J21" s="81" t="n">
        <f aca="false">IF(COUNTIFS('Pending Putaway'!$A$2:$A$3000,$K$2,'Pending Putaway'!$B$2:$B$3000,$A21)&gt;0,SUMIFS('Pending Putaway'!$L$2:$L$3000,'Pending Putaway'!$A$2:$A$3000,$K$2,'Pending Putaway'!$B$2:$B$3000,$A21),IF(COUNTIFS('Pending Putaway'!$A$2:$A$3000,$K$2,'Pending Putaway'!$B$2:$B$3000,SUBSTITUTE($A21," SS","  SS"))&gt;0,SUMIFS('Pending Putaway'!$L$2:$L$3000,'Pending Putaway'!$A$2:$A$3000,$K$2,'Pending Putaway'!$B$2:$B$3000,SUBSTITUTE($A21," SS","  SS")),"NA"))</f>
        <v>121</v>
      </c>
      <c r="K21" s="23"/>
      <c r="L21" s="23"/>
      <c r="M21" s="23"/>
      <c r="N21" s="23"/>
      <c r="O21" s="23"/>
      <c r="P21" s="23"/>
      <c r="Q21" s="23"/>
      <c r="R21" s="23"/>
      <c r="S21" s="23"/>
      <c r="T21" s="23"/>
      <c r="U21" s="23"/>
      <c r="V21" s="23"/>
      <c r="W21" s="23"/>
      <c r="X21" s="23"/>
      <c r="Y21" s="23"/>
      <c r="Z21" s="23"/>
      <c r="AA21" s="23"/>
      <c r="AB21" s="23"/>
      <c r="AC21" s="23"/>
      <c r="AD21" s="23"/>
      <c r="AE21" s="23"/>
      <c r="AF21" s="23"/>
      <c r="AG21" s="23"/>
      <c r="AH21" s="23"/>
    </row>
    <row r="22" customFormat="false" ht="15.75" hidden="false" customHeight="true" outlineLevel="0" collapsed="false">
      <c r="A22" s="81" t="s">
        <v>422</v>
      </c>
      <c r="B22" s="81" t="str">
        <f aca="false" t="array" ref="B22:B22">IFERROR(INDEX('CLM &amp; IM Mapping'!$B$2:$B$270,MATCH($A22,'CLM &amp; IM Mapping'!$A$2:$A$270,0)),"Not Mapped")</f>
        <v>Manjunatha V</v>
      </c>
      <c r="C22" s="81" t="str">
        <f aca="false" t="array" ref="C22:C22">IFERROR(INDEX('CLM &amp; IM Mapping'!$C$2:$C$270,MATCH($A22,'CLM &amp; IM Mapping'!$A$2:$A$270,0)),"Not Mapped")</f>
        <v>Un Mapped</v>
      </c>
      <c r="D22" s="82" t="n">
        <f aca="false">IF(COUNTIFS(Shrinkage!$A$2:$A$3000,$K$2,Shrinkage!$D$2:$D$3000,$A22)&gt;0,SUMIFS(Shrinkage!$P$2:$P$3000,Shrinkage!$A$2:$A$3000,$K$2,Shrinkage!$D$2:$D$3000,$A22),IF(COUNTIFS(Shrinkage!$A$2:$A$3000,$K$2,Shrinkage!$D$2:$D$3000,SUBSTITUTE($A22," SS","  SS"))&gt;0,SUMIFS(Shrinkage!$P$2:$P$3000,Shrinkage!$A$2:$A$3000,$K$2,Shrinkage!$D$2:$D$3000,SUBSTITUTE($A22," SS","  SS")),"NA"))</f>
        <v>-6328</v>
      </c>
      <c r="E22" s="83" t="n">
        <f aca="false">IF(COUNTIFS('Inventory Hygiene'!$A$2:$A$3000,$K$2,'Inventory Hygiene'!$B$2:$B$3000,$A22)&gt;0,AVERAGEIFS('Inventory Hygiene'!$J$2:$J$3000,'Inventory Hygiene'!$A$2:$A$3000,$K$2,'Inventory Hygiene'!$B$2:$B$3000,$A22),IF(COUNTIFS('Inventory Hygiene'!$A$2:$A$3000,$K$2,'Inventory Hygiene'!$B$2:$B$3000,SUBSTITUTE($A22," SS","  SS"))&gt;0,AVERAGEIFS('Inventory Hygiene'!$J$2:$J$3000,'Inventory Hygiene'!$A$2:$A$3000,$K$2,'Inventory Hygiene'!$B$2:$B$3000,SUBSTITUTE($A22," SS","  SS")),"NA"))</f>
        <v>0.666791744840525</v>
      </c>
      <c r="F22" s="81" t="n">
        <f aca="false">IF(COUNTIFS('Bad Bins'!$A$2:$A$3000,$K$2,'Bad Bins'!$B$2:$B$3000,$A22)&gt;0,SUMIFS('Bad Bins'!$K$2:$K$3000,'Bad Bins'!$A$2:$A$3000,$K$2,'Bad Bins'!$B$2:$B$3000,$A22),IF(COUNTIFS('Bad Bins'!$A$2:$A$3000,$K$2,'Bad Bins'!$B$2:$B$3000,SUBSTITUTE($A22," SS","  SS"))&gt;0,SUMIFS('Bad Bins'!$K$2:$K$3000,'Bad Bins'!$A$2:$A$3000,$K$2,'Bad Bins'!$B$2:$B$3000,SUBSTITUTE($A22," SS","  SS")),"NA"))</f>
        <v>163</v>
      </c>
      <c r="G22" s="81" t="str">
        <f aca="false">IF(COUNTIFS('RSTO &gt; 48hrs'!$A$2:$A$3000,$K$2,'RSTO &gt; 48hrs'!$B$2:$B$3000,$A22)&gt;0,SUMIFS('RSTO &gt; 48hrs'!$H$2:$H$3000,'RSTO &gt; 48hrs'!$A$2:$A$3000,$K$2,'RSTO &gt; 48hrs'!$B$2:$B$3000,$A22),IF(COUNTIFS('RSTO &gt; 48hrs'!$A$2:$A$3000,$K$2,'RSTO &gt; 48hrs'!$B$2:$B$3000,SUBSTITUTE($A22," SS","  SS"))&gt;0,SUMIFS('RSTO &gt; 48hrs'!$H$2:$H$3000,'RSTO &gt; 48hrs'!$A$2:$A$3000,$K$2,'RSTO &gt; 48hrs'!$B$2:$B$3000,SUBSTITUTE($A22," SS","  SS")),"NA"))</f>
        <v>NA</v>
      </c>
      <c r="H22" s="81" t="str">
        <f aca="false">IF(COUNTIFS('Recirculation &gt; 24 hrs'!$A$2:$A$3000,$K$2,'Recirculation &gt; 24 hrs'!$B$2:$B$3000,$A22)&gt;0,SUMIFS('Recirculation &gt; 24 hrs'!$K$2:$K$3000,'Recirculation &gt; 24 hrs'!$A$2:$A$3000,$K$2,'Recirculation &gt; 24 hrs'!$B$2:$B$3000,$A22),IF(COUNTIFS('Recirculation &gt; 24 hrs'!$A$2:$A$3000,$K$2,'Recirculation &gt; 24 hrs'!$B$2:$B$3000,SUBSTITUTE($A22," SS","  SS"))&gt;0,SUMIFS('Recirculation &gt; 24 hrs'!$K$2:$K$3000,'Recirculation &gt; 24 hrs'!$A$2:$A$3000,$K$2,'Recirculation &gt; 24 hrs'!$B$2:$B$3000,SUBSTITUTE($A22," SS","  SS")),"NA"))</f>
        <v>NA</v>
      </c>
      <c r="I22" s="81" t="n">
        <f aca="false">IF(COUNTIFS('Pending Putaway'!$A$2:$A$3000,$K$2,'Pending Putaway'!$B$2:$B$3000,$A22)&gt;0,SUMIFS('Pending Putaway'!$E$2:$E$3000,'Pending Putaway'!$A$2:$A$3000,$K$2,'Pending Putaway'!$B$2:$B$3000,$A22),IF(COUNTIFS('Pending Putaway'!$A$2:$A$3000,$K$2,'Pending Putaway'!$B$2:$B$3000,SUBSTITUTE($A22," SS","  SS"))&gt;0,SUMIFS('Pending Putaway'!$E$2:$E$3000,'Pending Putaway'!$A$2:$A$3000,$K$2,'Pending Putaway'!$B$2:$B$3000,SUBSTITUTE($A22," SS","  SS")),"NA"))</f>
        <v>0</v>
      </c>
      <c r="J22" s="81" t="n">
        <f aca="false">IF(COUNTIFS('Pending Putaway'!$A$2:$A$3000,$K$2,'Pending Putaway'!$B$2:$B$3000,$A22)&gt;0,SUMIFS('Pending Putaway'!$L$2:$L$3000,'Pending Putaway'!$A$2:$A$3000,$K$2,'Pending Putaway'!$B$2:$B$3000,$A22),IF(COUNTIFS('Pending Putaway'!$A$2:$A$3000,$K$2,'Pending Putaway'!$B$2:$B$3000,SUBSTITUTE($A22," SS","  SS"))&gt;0,SUMIFS('Pending Putaway'!$L$2:$L$3000,'Pending Putaway'!$A$2:$A$3000,$K$2,'Pending Putaway'!$B$2:$B$3000,SUBSTITUTE($A22," SS","  SS")),"NA"))</f>
        <v>0</v>
      </c>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customFormat="false" ht="15.75" hidden="false" customHeight="true" outlineLevel="0" collapsed="false">
      <c r="A23" s="81" t="s">
        <v>198</v>
      </c>
      <c r="B23" s="81" t="str">
        <f aca="false" t="array" ref="B23:B23">IFERROR(INDEX('CLM &amp; IM Mapping'!$B$2:$B$270,MATCH($A23,'CLM &amp; IM Mapping'!$A$2:$A$270,0)),"Not Mapped")</f>
        <v>Manjunatha V</v>
      </c>
      <c r="C23" s="81" t="str">
        <f aca="false" t="array" ref="C23:C23">IFERROR(INDEX('CLM &amp; IM Mapping'!$C$2:$C$270,MATCH($A23,'CLM &amp; IM Mapping'!$A$2:$A$270,0)),"Not Mapped")</f>
        <v>Un Mapped</v>
      </c>
      <c r="D23" s="82" t="n">
        <f aca="false">IF(COUNTIFS(Shrinkage!$A$2:$A$3000,$K$2,Shrinkage!$D$2:$D$3000,$A23)&gt;0,SUMIFS(Shrinkage!$P$2:$P$3000,Shrinkage!$A$2:$A$3000,$K$2,Shrinkage!$D$2:$D$3000,$A23),IF(COUNTIFS(Shrinkage!$A$2:$A$3000,$K$2,Shrinkage!$D$2:$D$3000,SUBSTITUTE($A23," SS","  SS"))&gt;0,SUMIFS(Shrinkage!$P$2:$P$3000,Shrinkage!$A$2:$A$3000,$K$2,Shrinkage!$D$2:$D$3000,SUBSTITUTE($A23," SS","  SS")),"NA"))</f>
        <v>17152</v>
      </c>
      <c r="E23" s="83" t="n">
        <f aca="false">IF(COUNTIFS('Inventory Hygiene'!$A$2:$A$3000,$K$2,'Inventory Hygiene'!$B$2:$B$3000,$A23)&gt;0,AVERAGEIFS('Inventory Hygiene'!$J$2:$J$3000,'Inventory Hygiene'!$A$2:$A$3000,$K$2,'Inventory Hygiene'!$B$2:$B$3000,$A23),IF(COUNTIFS('Inventory Hygiene'!$A$2:$A$3000,$K$2,'Inventory Hygiene'!$B$2:$B$3000,SUBSTITUTE($A23," SS","  SS"))&gt;0,AVERAGEIFS('Inventory Hygiene'!$J$2:$J$3000,'Inventory Hygiene'!$A$2:$A$3000,$K$2,'Inventory Hygiene'!$B$2:$B$3000,SUBSTITUTE($A23," SS","  SS")),"NA"))</f>
        <v>0.81420313790256</v>
      </c>
      <c r="F23" s="81" t="n">
        <f aca="false">IF(COUNTIFS('Bad Bins'!$A$2:$A$3000,$K$2,'Bad Bins'!$B$2:$B$3000,$A23)&gt;0,SUMIFS('Bad Bins'!$K$2:$K$3000,'Bad Bins'!$A$2:$A$3000,$K$2,'Bad Bins'!$B$2:$B$3000,$A23),IF(COUNTIFS('Bad Bins'!$A$2:$A$3000,$K$2,'Bad Bins'!$B$2:$B$3000,SUBSTITUTE($A23," SS","  SS"))&gt;0,SUMIFS('Bad Bins'!$K$2:$K$3000,'Bad Bins'!$A$2:$A$3000,$K$2,'Bad Bins'!$B$2:$B$3000,SUBSTITUTE($A23," SS","  SS")),"NA"))</f>
        <v>173</v>
      </c>
      <c r="G23" s="81" t="str">
        <f aca="false">IF(COUNTIFS('RSTO &gt; 48hrs'!$A$2:$A$3000,$K$2,'RSTO &gt; 48hrs'!$B$2:$B$3000,$A23)&gt;0,SUMIFS('RSTO &gt; 48hrs'!$H$2:$H$3000,'RSTO &gt; 48hrs'!$A$2:$A$3000,$K$2,'RSTO &gt; 48hrs'!$B$2:$B$3000,$A23),IF(COUNTIFS('RSTO &gt; 48hrs'!$A$2:$A$3000,$K$2,'RSTO &gt; 48hrs'!$B$2:$B$3000,SUBSTITUTE($A23," SS","  SS"))&gt;0,SUMIFS('RSTO &gt; 48hrs'!$H$2:$H$3000,'RSTO &gt; 48hrs'!$A$2:$A$3000,$K$2,'RSTO &gt; 48hrs'!$B$2:$B$3000,SUBSTITUTE($A23," SS","  SS")),"NA"))</f>
        <v>NA</v>
      </c>
      <c r="H23" s="81" t="str">
        <f aca="false">IF(COUNTIFS('Recirculation &gt; 24 hrs'!$A$2:$A$3000,$K$2,'Recirculation &gt; 24 hrs'!$B$2:$B$3000,$A23)&gt;0,SUMIFS('Recirculation &gt; 24 hrs'!$K$2:$K$3000,'Recirculation &gt; 24 hrs'!$A$2:$A$3000,$K$2,'Recirculation &gt; 24 hrs'!$B$2:$B$3000,$A23),IF(COUNTIFS('Recirculation &gt; 24 hrs'!$A$2:$A$3000,$K$2,'Recirculation &gt; 24 hrs'!$B$2:$B$3000,SUBSTITUTE($A23," SS","  SS"))&gt;0,SUMIFS('Recirculation &gt; 24 hrs'!$K$2:$K$3000,'Recirculation &gt; 24 hrs'!$A$2:$A$3000,$K$2,'Recirculation &gt; 24 hrs'!$B$2:$B$3000,SUBSTITUTE($A23," SS","  SS")),"NA"))</f>
        <v>NA</v>
      </c>
      <c r="I23" s="81" t="n">
        <f aca="false">IF(COUNTIFS('Pending Putaway'!$A$2:$A$3000,$K$2,'Pending Putaway'!$B$2:$B$3000,$A23)&gt;0,SUMIFS('Pending Putaway'!$E$2:$E$3000,'Pending Putaway'!$A$2:$A$3000,$K$2,'Pending Putaway'!$B$2:$B$3000,$A23),IF(COUNTIFS('Pending Putaway'!$A$2:$A$3000,$K$2,'Pending Putaway'!$B$2:$B$3000,SUBSTITUTE($A23," SS","  SS"))&gt;0,SUMIFS('Pending Putaway'!$E$2:$E$3000,'Pending Putaway'!$A$2:$A$3000,$K$2,'Pending Putaway'!$B$2:$B$3000,SUBSTITUTE($A23," SS","  SS")),"NA"))</f>
        <v>1374</v>
      </c>
      <c r="J23" s="81" t="n">
        <f aca="false">IF(COUNTIFS('Pending Putaway'!$A$2:$A$3000,$K$2,'Pending Putaway'!$B$2:$B$3000,$A23)&gt;0,SUMIFS('Pending Putaway'!$L$2:$L$3000,'Pending Putaway'!$A$2:$A$3000,$K$2,'Pending Putaway'!$B$2:$B$3000,$A23),IF(COUNTIFS('Pending Putaway'!$A$2:$A$3000,$K$2,'Pending Putaway'!$B$2:$B$3000,SUBSTITUTE($A23," SS","  SS"))&gt;0,SUMIFS('Pending Putaway'!$L$2:$L$3000,'Pending Putaway'!$A$2:$A$3000,$K$2,'Pending Putaway'!$B$2:$B$3000,SUBSTITUTE($A23," SS","  SS")),"NA"))</f>
        <v>0</v>
      </c>
      <c r="K23" s="23"/>
      <c r="L23" s="23"/>
      <c r="M23" s="23"/>
      <c r="N23" s="23"/>
      <c r="O23" s="23"/>
      <c r="P23" s="23"/>
      <c r="Q23" s="23"/>
      <c r="R23" s="23"/>
      <c r="S23" s="23"/>
      <c r="T23" s="23"/>
      <c r="U23" s="23"/>
      <c r="V23" s="23"/>
      <c r="W23" s="23"/>
      <c r="X23" s="23"/>
      <c r="Y23" s="23"/>
      <c r="Z23" s="23"/>
      <c r="AA23" s="23"/>
      <c r="AB23" s="23"/>
      <c r="AC23" s="23"/>
      <c r="AD23" s="23"/>
      <c r="AE23" s="23"/>
      <c r="AF23" s="23"/>
      <c r="AG23" s="23"/>
      <c r="AH23" s="23"/>
    </row>
    <row r="24" customFormat="false" ht="15.75" hidden="false" customHeight="true" outlineLevel="0" collapsed="false">
      <c r="A24" s="81" t="s">
        <v>311</v>
      </c>
      <c r="B24" s="81" t="str">
        <f aca="false" t="array" ref="B24:B24">IFERROR(INDEX('CLM &amp; IM Mapping'!$B$2:$B$270,MATCH($A24,'CLM &amp; IM Mapping'!$A$2:$A$270,0)),"Not Mapped")</f>
        <v>Manjunatha V</v>
      </c>
      <c r="C24" s="81" t="str">
        <f aca="false" t="array" ref="C24:C24">IFERROR(INDEX('CLM &amp; IM Mapping'!$C$2:$C$270,MATCH($A24,'CLM &amp; IM Mapping'!$A$2:$A$270,0)),"Not Mapped")</f>
        <v>Un Mapped</v>
      </c>
      <c r="D24" s="82" t="n">
        <f aca="false">IF(COUNTIFS(Shrinkage!$A$2:$A$3000,$K$2,Shrinkage!$D$2:$D$3000,$A24)&gt;0,SUMIFS(Shrinkage!$P$2:$P$3000,Shrinkage!$A$2:$A$3000,$K$2,Shrinkage!$D$2:$D$3000,$A24),IF(COUNTIFS(Shrinkage!$A$2:$A$3000,$K$2,Shrinkage!$D$2:$D$3000,SUBSTITUTE($A24," SS","  SS"))&gt;0,SUMIFS(Shrinkage!$P$2:$P$3000,Shrinkage!$A$2:$A$3000,$K$2,Shrinkage!$D$2:$D$3000,SUBSTITUTE($A24," SS","  SS")),"NA"))</f>
        <v>2135</v>
      </c>
      <c r="E24" s="83" t="n">
        <f aca="false">IF(COUNTIFS('Inventory Hygiene'!$A$2:$A$3000,$K$2,'Inventory Hygiene'!$B$2:$B$3000,$A24)&gt;0,AVERAGEIFS('Inventory Hygiene'!$J$2:$J$3000,'Inventory Hygiene'!$A$2:$A$3000,$K$2,'Inventory Hygiene'!$B$2:$B$3000,$A24),IF(COUNTIFS('Inventory Hygiene'!$A$2:$A$3000,$K$2,'Inventory Hygiene'!$B$2:$B$3000,SUBSTITUTE($A24," SS","  SS"))&gt;0,AVERAGEIFS('Inventory Hygiene'!$J$2:$J$3000,'Inventory Hygiene'!$A$2:$A$3000,$K$2,'Inventory Hygiene'!$B$2:$B$3000,SUBSTITUTE($A24," SS","  SS")),"NA"))</f>
        <v>0.752776713902719</v>
      </c>
      <c r="F24" s="81" t="n">
        <f aca="false">IF(COUNTIFS('Bad Bins'!$A$2:$A$3000,$K$2,'Bad Bins'!$B$2:$B$3000,$A24)&gt;0,SUMIFS('Bad Bins'!$K$2:$K$3000,'Bad Bins'!$A$2:$A$3000,$K$2,'Bad Bins'!$B$2:$B$3000,$A24),IF(COUNTIFS('Bad Bins'!$A$2:$A$3000,$K$2,'Bad Bins'!$B$2:$B$3000,SUBSTITUTE($A24," SS","  SS"))&gt;0,SUMIFS('Bad Bins'!$K$2:$K$3000,'Bad Bins'!$A$2:$A$3000,$K$2,'Bad Bins'!$B$2:$B$3000,SUBSTITUTE($A24," SS","  SS")),"NA"))</f>
        <v>96</v>
      </c>
      <c r="G24" s="81" t="str">
        <f aca="false">IF(COUNTIFS('RSTO &gt; 48hrs'!$A$2:$A$3000,$K$2,'RSTO &gt; 48hrs'!$B$2:$B$3000,$A24)&gt;0,SUMIFS('RSTO &gt; 48hrs'!$H$2:$H$3000,'RSTO &gt; 48hrs'!$A$2:$A$3000,$K$2,'RSTO &gt; 48hrs'!$B$2:$B$3000,$A24),IF(COUNTIFS('RSTO &gt; 48hrs'!$A$2:$A$3000,$K$2,'RSTO &gt; 48hrs'!$B$2:$B$3000,SUBSTITUTE($A24," SS","  SS"))&gt;0,SUMIFS('RSTO &gt; 48hrs'!$H$2:$H$3000,'RSTO &gt; 48hrs'!$A$2:$A$3000,$K$2,'RSTO &gt; 48hrs'!$B$2:$B$3000,SUBSTITUTE($A24," SS","  SS")),"NA"))</f>
        <v>NA</v>
      </c>
      <c r="H24" s="81" t="n">
        <f aca="false">IF(COUNTIFS('Recirculation &gt; 24 hrs'!$A$2:$A$3000,$K$2,'Recirculation &gt; 24 hrs'!$B$2:$B$3000,$A24)&gt;0,SUMIFS('Recirculation &gt; 24 hrs'!$K$2:$K$3000,'Recirculation &gt; 24 hrs'!$A$2:$A$3000,$K$2,'Recirculation &gt; 24 hrs'!$B$2:$B$3000,$A24),IF(COUNTIFS('Recirculation &gt; 24 hrs'!$A$2:$A$3000,$K$2,'Recirculation &gt; 24 hrs'!$B$2:$B$3000,SUBSTITUTE($A24," SS","  SS"))&gt;0,SUMIFS('Recirculation &gt; 24 hrs'!$K$2:$K$3000,'Recirculation &gt; 24 hrs'!$A$2:$A$3000,$K$2,'Recirculation &gt; 24 hrs'!$B$2:$B$3000,SUBSTITUTE($A24," SS","  SS")),"NA"))</f>
        <v>944</v>
      </c>
      <c r="I24" s="81" t="n">
        <f aca="false">IF(COUNTIFS('Pending Putaway'!$A$2:$A$3000,$K$2,'Pending Putaway'!$B$2:$B$3000,$A24)&gt;0,SUMIFS('Pending Putaway'!$E$2:$E$3000,'Pending Putaway'!$A$2:$A$3000,$K$2,'Pending Putaway'!$B$2:$B$3000,$A24),IF(COUNTIFS('Pending Putaway'!$A$2:$A$3000,$K$2,'Pending Putaway'!$B$2:$B$3000,SUBSTITUTE($A24," SS","  SS"))&gt;0,SUMIFS('Pending Putaway'!$E$2:$E$3000,'Pending Putaway'!$A$2:$A$3000,$K$2,'Pending Putaway'!$B$2:$B$3000,SUBSTITUTE($A24," SS","  SS")),"NA"))</f>
        <v>6643</v>
      </c>
      <c r="J24" s="81" t="n">
        <f aca="false">IF(COUNTIFS('Pending Putaway'!$A$2:$A$3000,$K$2,'Pending Putaway'!$B$2:$B$3000,$A24)&gt;0,SUMIFS('Pending Putaway'!$L$2:$L$3000,'Pending Putaway'!$A$2:$A$3000,$K$2,'Pending Putaway'!$B$2:$B$3000,$A24),IF(COUNTIFS('Pending Putaway'!$A$2:$A$3000,$K$2,'Pending Putaway'!$B$2:$B$3000,SUBSTITUTE($A24," SS","  SS"))&gt;0,SUMIFS('Pending Putaway'!$L$2:$L$3000,'Pending Putaway'!$A$2:$A$3000,$K$2,'Pending Putaway'!$B$2:$B$3000,SUBSTITUTE($A24," SS","  SS")),"NA"))</f>
        <v>1891</v>
      </c>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customFormat="false" ht="15.75" hidden="false" customHeight="true" outlineLevel="0" collapsed="false">
      <c r="A25" s="81" t="s">
        <v>491</v>
      </c>
      <c r="B25" s="81" t="str">
        <f aca="false" t="array" ref="B25:B25">IFERROR(INDEX('CLM &amp; IM Mapping'!$B$2:$B$270,MATCH($A25,'CLM &amp; IM Mapping'!$A$2:$A$270,0)),"Not Mapped")</f>
        <v>Manjunatha V</v>
      </c>
      <c r="C25" s="81" t="str">
        <f aca="false" t="array" ref="C25:C25">IFERROR(INDEX('CLM &amp; IM Mapping'!$C$2:$C$270,MATCH($A25,'CLM &amp; IM Mapping'!$A$2:$A$270,0)),"Not Mapped")</f>
        <v>Un Mapped</v>
      </c>
      <c r="D25" s="82" t="n">
        <f aca="false">IF(COUNTIFS(Shrinkage!$A$2:$A$3000,$K$2,Shrinkage!$D$2:$D$3000,$A25)&gt;0,SUMIFS(Shrinkage!$P$2:$P$3000,Shrinkage!$A$2:$A$3000,$K$2,Shrinkage!$D$2:$D$3000,$A25),IF(COUNTIFS(Shrinkage!$A$2:$A$3000,$K$2,Shrinkage!$D$2:$D$3000,SUBSTITUTE($A25," SS","  SS"))&gt;0,SUMIFS(Shrinkage!$P$2:$P$3000,Shrinkage!$A$2:$A$3000,$K$2,Shrinkage!$D$2:$D$3000,SUBSTITUTE($A25," SS","  SS")),"NA"))</f>
        <v>-14247</v>
      </c>
      <c r="E25" s="83" t="n">
        <f aca="false">IF(COUNTIFS('Inventory Hygiene'!$A$2:$A$3000,$K$2,'Inventory Hygiene'!$B$2:$B$3000,$A25)&gt;0,AVERAGEIFS('Inventory Hygiene'!$J$2:$J$3000,'Inventory Hygiene'!$A$2:$A$3000,$K$2,'Inventory Hygiene'!$B$2:$B$3000,$A25),IF(COUNTIFS('Inventory Hygiene'!$A$2:$A$3000,$K$2,'Inventory Hygiene'!$B$2:$B$3000,SUBSTITUTE($A25," SS","  SS"))&gt;0,AVERAGEIFS('Inventory Hygiene'!$J$2:$J$3000,'Inventory Hygiene'!$A$2:$A$3000,$K$2,'Inventory Hygiene'!$B$2:$B$3000,SUBSTITUTE($A25," SS","  SS")),"NA"))</f>
        <v>0.567702110712863</v>
      </c>
      <c r="F25" s="81" t="n">
        <f aca="false">IF(COUNTIFS('Bad Bins'!$A$2:$A$3000,$K$2,'Bad Bins'!$B$2:$B$3000,$A25)&gt;0,SUMIFS('Bad Bins'!$K$2:$K$3000,'Bad Bins'!$A$2:$A$3000,$K$2,'Bad Bins'!$B$2:$B$3000,$A25),IF(COUNTIFS('Bad Bins'!$A$2:$A$3000,$K$2,'Bad Bins'!$B$2:$B$3000,SUBSTITUTE($A25," SS","  SS"))&gt;0,SUMIFS('Bad Bins'!$K$2:$K$3000,'Bad Bins'!$A$2:$A$3000,$K$2,'Bad Bins'!$B$2:$B$3000,SUBSTITUTE($A25," SS","  SS")),"NA"))</f>
        <v>246</v>
      </c>
      <c r="G25" s="81" t="str">
        <f aca="false">IF(COUNTIFS('RSTO &gt; 48hrs'!$A$2:$A$3000,$K$2,'RSTO &gt; 48hrs'!$B$2:$B$3000,$A25)&gt;0,SUMIFS('RSTO &gt; 48hrs'!$H$2:$H$3000,'RSTO &gt; 48hrs'!$A$2:$A$3000,$K$2,'RSTO &gt; 48hrs'!$B$2:$B$3000,$A25),IF(COUNTIFS('RSTO &gt; 48hrs'!$A$2:$A$3000,$K$2,'RSTO &gt; 48hrs'!$B$2:$B$3000,SUBSTITUTE($A25," SS","  SS"))&gt;0,SUMIFS('RSTO &gt; 48hrs'!$H$2:$H$3000,'RSTO &gt; 48hrs'!$A$2:$A$3000,$K$2,'RSTO &gt; 48hrs'!$B$2:$B$3000,SUBSTITUTE($A25," SS","  SS")),"NA"))</f>
        <v>NA</v>
      </c>
      <c r="H25" s="81" t="n">
        <f aca="false">IF(COUNTIFS('Recirculation &gt; 24 hrs'!$A$2:$A$3000,$K$2,'Recirculation &gt; 24 hrs'!$B$2:$B$3000,$A25)&gt;0,SUMIFS('Recirculation &gt; 24 hrs'!$K$2:$K$3000,'Recirculation &gt; 24 hrs'!$A$2:$A$3000,$K$2,'Recirculation &gt; 24 hrs'!$B$2:$B$3000,$A25),IF(COUNTIFS('Recirculation &gt; 24 hrs'!$A$2:$A$3000,$K$2,'Recirculation &gt; 24 hrs'!$B$2:$B$3000,SUBSTITUTE($A25," SS","  SS"))&gt;0,SUMIFS('Recirculation &gt; 24 hrs'!$K$2:$K$3000,'Recirculation &gt; 24 hrs'!$A$2:$A$3000,$K$2,'Recirculation &gt; 24 hrs'!$B$2:$B$3000,SUBSTITUTE($A25," SS","  SS")),"NA"))</f>
        <v>16</v>
      </c>
      <c r="I25" s="81" t="n">
        <f aca="false">IF(COUNTIFS('Pending Putaway'!$A$2:$A$3000,$K$2,'Pending Putaway'!$B$2:$B$3000,$A25)&gt;0,SUMIFS('Pending Putaway'!$E$2:$E$3000,'Pending Putaway'!$A$2:$A$3000,$K$2,'Pending Putaway'!$B$2:$B$3000,$A25),IF(COUNTIFS('Pending Putaway'!$A$2:$A$3000,$K$2,'Pending Putaway'!$B$2:$B$3000,SUBSTITUTE($A25," SS","  SS"))&gt;0,SUMIFS('Pending Putaway'!$E$2:$E$3000,'Pending Putaway'!$A$2:$A$3000,$K$2,'Pending Putaway'!$B$2:$B$3000,SUBSTITUTE($A25," SS","  SS")),"NA"))</f>
        <v>3663</v>
      </c>
      <c r="J25" s="81" t="n">
        <f aca="false">IF(COUNTIFS('Pending Putaway'!$A$2:$A$3000,$K$2,'Pending Putaway'!$B$2:$B$3000,$A25)&gt;0,SUMIFS('Pending Putaway'!$L$2:$L$3000,'Pending Putaway'!$A$2:$A$3000,$K$2,'Pending Putaway'!$B$2:$B$3000,$A25),IF(COUNTIFS('Pending Putaway'!$A$2:$A$3000,$K$2,'Pending Putaway'!$B$2:$B$3000,SUBSTITUTE($A25," SS","  SS"))&gt;0,SUMIFS('Pending Putaway'!$L$2:$L$3000,'Pending Putaway'!$A$2:$A$3000,$K$2,'Pending Putaway'!$B$2:$B$3000,SUBSTITUTE($A25," SS","  SS")),"NA"))</f>
        <v>46</v>
      </c>
      <c r="K25" s="23"/>
      <c r="L25" s="23"/>
      <c r="M25" s="23"/>
      <c r="N25" s="23"/>
      <c r="O25" s="23"/>
      <c r="P25" s="23"/>
      <c r="Q25" s="23"/>
      <c r="R25" s="23"/>
      <c r="S25" s="23"/>
      <c r="T25" s="23"/>
      <c r="U25" s="23"/>
      <c r="V25" s="23"/>
      <c r="W25" s="23"/>
      <c r="X25" s="23"/>
      <c r="Y25" s="23"/>
      <c r="Z25" s="23"/>
      <c r="AA25" s="23"/>
      <c r="AB25" s="23"/>
      <c r="AC25" s="23"/>
      <c r="AD25" s="23"/>
      <c r="AE25" s="23"/>
      <c r="AF25" s="23"/>
      <c r="AG25" s="23"/>
      <c r="AH25" s="23"/>
    </row>
    <row r="26" customFormat="false" ht="15.75" hidden="false" customHeight="true" outlineLevel="0" collapsed="false">
      <c r="A26" s="81" t="s">
        <v>510</v>
      </c>
      <c r="B26" s="81" t="str">
        <f aca="false" t="array" ref="B26:B26">IFERROR(INDEX('CLM &amp; IM Mapping'!$B$2:$B$270,MATCH($A26,'CLM &amp; IM Mapping'!$A$2:$A$270,0)),"Not Mapped")</f>
        <v>Manjunatha V</v>
      </c>
      <c r="C26" s="81" t="str">
        <f aca="false" t="array" ref="C26:C26">IFERROR(INDEX('CLM &amp; IM Mapping'!$C$2:$C$270,MATCH($A26,'CLM &amp; IM Mapping'!$A$2:$A$270,0)),"Not Mapped")</f>
        <v>Un Mapped</v>
      </c>
      <c r="D26" s="82" t="n">
        <f aca="false">IF(COUNTIFS(Shrinkage!$A$2:$A$3000,$K$2,Shrinkage!$D$2:$D$3000,$A26)&gt;0,SUMIFS(Shrinkage!$P$2:$P$3000,Shrinkage!$A$2:$A$3000,$K$2,Shrinkage!$D$2:$D$3000,$A26),IF(COUNTIFS(Shrinkage!$A$2:$A$3000,$K$2,Shrinkage!$D$2:$D$3000,SUBSTITUTE($A26," SS","  SS"))&gt;0,SUMIFS(Shrinkage!$P$2:$P$3000,Shrinkage!$A$2:$A$3000,$K$2,Shrinkage!$D$2:$D$3000,SUBSTITUTE($A26," SS","  SS")),"NA"))</f>
        <v>-12707</v>
      </c>
      <c r="E26" s="83" t="n">
        <f aca="false">IF(COUNTIFS('Inventory Hygiene'!$A$2:$A$3000,$K$2,'Inventory Hygiene'!$B$2:$B$3000,$A26)&gt;0,AVERAGEIFS('Inventory Hygiene'!$J$2:$J$3000,'Inventory Hygiene'!$A$2:$A$3000,$K$2,'Inventory Hygiene'!$B$2:$B$3000,$A26),IF(COUNTIFS('Inventory Hygiene'!$A$2:$A$3000,$K$2,'Inventory Hygiene'!$B$2:$B$3000,SUBSTITUTE($A26," SS","  SS"))&gt;0,AVERAGEIFS('Inventory Hygiene'!$J$2:$J$3000,'Inventory Hygiene'!$A$2:$A$3000,$K$2,'Inventory Hygiene'!$B$2:$B$3000,SUBSTITUTE($A26," SS","  SS")),"NA"))</f>
        <v>0.848442906574395</v>
      </c>
      <c r="F26" s="81" t="n">
        <f aca="false">IF(COUNTIFS('Bad Bins'!$A$2:$A$3000,$K$2,'Bad Bins'!$B$2:$B$3000,$A26)&gt;0,SUMIFS('Bad Bins'!$K$2:$K$3000,'Bad Bins'!$A$2:$A$3000,$K$2,'Bad Bins'!$B$2:$B$3000,$A26),IF(COUNTIFS('Bad Bins'!$A$2:$A$3000,$K$2,'Bad Bins'!$B$2:$B$3000,SUBSTITUTE($A26," SS","  SS"))&gt;0,SUMIFS('Bad Bins'!$K$2:$K$3000,'Bad Bins'!$A$2:$A$3000,$K$2,'Bad Bins'!$B$2:$B$3000,SUBSTITUTE($A26," SS","  SS")),"NA"))</f>
        <v>218</v>
      </c>
      <c r="G26" s="81" t="str">
        <f aca="false">IF(COUNTIFS('RSTO &gt; 48hrs'!$A$2:$A$3000,$K$2,'RSTO &gt; 48hrs'!$B$2:$B$3000,$A26)&gt;0,SUMIFS('RSTO &gt; 48hrs'!$H$2:$H$3000,'RSTO &gt; 48hrs'!$A$2:$A$3000,$K$2,'RSTO &gt; 48hrs'!$B$2:$B$3000,$A26),IF(COUNTIFS('RSTO &gt; 48hrs'!$A$2:$A$3000,$K$2,'RSTO &gt; 48hrs'!$B$2:$B$3000,SUBSTITUTE($A26," SS","  SS"))&gt;0,SUMIFS('RSTO &gt; 48hrs'!$H$2:$H$3000,'RSTO &gt; 48hrs'!$A$2:$A$3000,$K$2,'RSTO &gt; 48hrs'!$B$2:$B$3000,SUBSTITUTE($A26," SS","  SS")),"NA"))</f>
        <v>NA</v>
      </c>
      <c r="H26" s="81" t="str">
        <f aca="false">IF(COUNTIFS('Recirculation &gt; 24 hrs'!$A$2:$A$3000,$K$2,'Recirculation &gt; 24 hrs'!$B$2:$B$3000,$A26)&gt;0,SUMIFS('Recirculation &gt; 24 hrs'!$K$2:$K$3000,'Recirculation &gt; 24 hrs'!$A$2:$A$3000,$K$2,'Recirculation &gt; 24 hrs'!$B$2:$B$3000,$A26),IF(COUNTIFS('Recirculation &gt; 24 hrs'!$A$2:$A$3000,$K$2,'Recirculation &gt; 24 hrs'!$B$2:$B$3000,SUBSTITUTE($A26," SS","  SS"))&gt;0,SUMIFS('Recirculation &gt; 24 hrs'!$K$2:$K$3000,'Recirculation &gt; 24 hrs'!$A$2:$A$3000,$K$2,'Recirculation &gt; 24 hrs'!$B$2:$B$3000,SUBSTITUTE($A26," SS","  SS")),"NA"))</f>
        <v>NA</v>
      </c>
      <c r="I26" s="81" t="n">
        <f aca="false">IF(COUNTIFS('Pending Putaway'!$A$2:$A$3000,$K$2,'Pending Putaway'!$B$2:$B$3000,$A26)&gt;0,SUMIFS('Pending Putaway'!$E$2:$E$3000,'Pending Putaway'!$A$2:$A$3000,$K$2,'Pending Putaway'!$B$2:$B$3000,$A26),IF(COUNTIFS('Pending Putaway'!$A$2:$A$3000,$K$2,'Pending Putaway'!$B$2:$B$3000,SUBSTITUTE($A26," SS","  SS"))&gt;0,SUMIFS('Pending Putaway'!$E$2:$E$3000,'Pending Putaway'!$A$2:$A$3000,$K$2,'Pending Putaway'!$B$2:$B$3000,SUBSTITUTE($A26," SS","  SS")),"NA"))</f>
        <v>0</v>
      </c>
      <c r="J26" s="81" t="n">
        <f aca="false">IF(COUNTIFS('Pending Putaway'!$A$2:$A$3000,$K$2,'Pending Putaway'!$B$2:$B$3000,$A26)&gt;0,SUMIFS('Pending Putaway'!$L$2:$L$3000,'Pending Putaway'!$A$2:$A$3000,$K$2,'Pending Putaway'!$B$2:$B$3000,$A26),IF(COUNTIFS('Pending Putaway'!$A$2:$A$3000,$K$2,'Pending Putaway'!$B$2:$B$3000,SUBSTITUTE($A26," SS","  SS"))&gt;0,SUMIFS('Pending Putaway'!$L$2:$L$3000,'Pending Putaway'!$A$2:$A$3000,$K$2,'Pending Putaway'!$B$2:$B$3000,SUBSTITUTE($A26," SS","  SS")),"NA"))</f>
        <v>0</v>
      </c>
      <c r="K26" s="23"/>
      <c r="L26" s="23"/>
      <c r="M26" s="23"/>
      <c r="N26" s="23"/>
      <c r="O26" s="23"/>
      <c r="P26" s="23"/>
      <c r="Q26" s="23"/>
      <c r="R26" s="23"/>
      <c r="S26" s="23"/>
      <c r="T26" s="23"/>
      <c r="U26" s="23"/>
      <c r="V26" s="23"/>
      <c r="W26" s="23"/>
      <c r="X26" s="23"/>
      <c r="Y26" s="23"/>
      <c r="Z26" s="23"/>
      <c r="AA26" s="23"/>
      <c r="AB26" s="23"/>
      <c r="AC26" s="23"/>
      <c r="AD26" s="23"/>
      <c r="AE26" s="23"/>
      <c r="AF26" s="23"/>
      <c r="AG26" s="23"/>
      <c r="AH26" s="23"/>
    </row>
    <row r="27" customFormat="false" ht="15.75" hidden="false" customHeight="true" outlineLevel="0" collapsed="false">
      <c r="A27" s="81" t="s">
        <v>305</v>
      </c>
      <c r="B27" s="81" t="str">
        <f aca="false" t="array" ref="B27:B27">IFERROR(INDEX('CLM &amp; IM Mapping'!$B$2:$B$270,MATCH($A27,'CLM &amp; IM Mapping'!$A$2:$A$270,0)),"Not Mapped")</f>
        <v>Manjunatha V</v>
      </c>
      <c r="C27" s="81" t="str">
        <f aca="false" t="array" ref="C27:C27">IFERROR(INDEX('CLM &amp; IM Mapping'!$C$2:$C$270,MATCH($A27,'CLM &amp; IM Mapping'!$A$2:$A$270,0)),"Not Mapped")</f>
        <v>Un Mapped</v>
      </c>
      <c r="D27" s="82" t="n">
        <f aca="false">IF(COUNTIFS(Shrinkage!$A$2:$A$3000,$K$2,Shrinkage!$D$2:$D$3000,$A27)&gt;0,SUMIFS(Shrinkage!$P$2:$P$3000,Shrinkage!$A$2:$A$3000,$K$2,Shrinkage!$D$2:$D$3000,$A27),IF(COUNTIFS(Shrinkage!$A$2:$A$3000,$K$2,Shrinkage!$D$2:$D$3000,SUBSTITUTE($A27," SS","  SS"))&gt;0,SUMIFS(Shrinkage!$P$2:$P$3000,Shrinkage!$A$2:$A$3000,$K$2,Shrinkage!$D$2:$D$3000,SUBSTITUTE($A27," SS","  SS")),"NA"))</f>
        <v>9724</v>
      </c>
      <c r="E27" s="83" t="n">
        <f aca="false">IF(COUNTIFS('Inventory Hygiene'!$A$2:$A$3000,$K$2,'Inventory Hygiene'!$B$2:$B$3000,$A27)&gt;0,AVERAGEIFS('Inventory Hygiene'!$J$2:$J$3000,'Inventory Hygiene'!$A$2:$A$3000,$K$2,'Inventory Hygiene'!$B$2:$B$3000,$A27),IF(COUNTIFS('Inventory Hygiene'!$A$2:$A$3000,$K$2,'Inventory Hygiene'!$B$2:$B$3000,SUBSTITUTE($A27," SS","  SS"))&gt;0,AVERAGEIFS('Inventory Hygiene'!$J$2:$J$3000,'Inventory Hygiene'!$A$2:$A$3000,$K$2,'Inventory Hygiene'!$B$2:$B$3000,SUBSTITUTE($A27," SS","  SS")),"NA"))</f>
        <v>0.339067210498315</v>
      </c>
      <c r="F27" s="81" t="n">
        <f aca="false">IF(COUNTIFS('Bad Bins'!$A$2:$A$3000,$K$2,'Bad Bins'!$B$2:$B$3000,$A27)&gt;0,SUMIFS('Bad Bins'!$K$2:$K$3000,'Bad Bins'!$A$2:$A$3000,$K$2,'Bad Bins'!$B$2:$B$3000,$A27),IF(COUNTIFS('Bad Bins'!$A$2:$A$3000,$K$2,'Bad Bins'!$B$2:$B$3000,SUBSTITUTE($A27," SS","  SS"))&gt;0,SUMIFS('Bad Bins'!$K$2:$K$3000,'Bad Bins'!$A$2:$A$3000,$K$2,'Bad Bins'!$B$2:$B$3000,SUBSTITUTE($A27," SS","  SS")),"NA"))</f>
        <v>268</v>
      </c>
      <c r="G27" s="81" t="str">
        <f aca="false">IF(COUNTIFS('RSTO &gt; 48hrs'!$A$2:$A$3000,$K$2,'RSTO &gt; 48hrs'!$B$2:$B$3000,$A27)&gt;0,SUMIFS('RSTO &gt; 48hrs'!$H$2:$H$3000,'RSTO &gt; 48hrs'!$A$2:$A$3000,$K$2,'RSTO &gt; 48hrs'!$B$2:$B$3000,$A27),IF(COUNTIFS('RSTO &gt; 48hrs'!$A$2:$A$3000,$K$2,'RSTO &gt; 48hrs'!$B$2:$B$3000,SUBSTITUTE($A27," SS","  SS"))&gt;0,SUMIFS('RSTO &gt; 48hrs'!$H$2:$H$3000,'RSTO &gt; 48hrs'!$A$2:$A$3000,$K$2,'RSTO &gt; 48hrs'!$B$2:$B$3000,SUBSTITUTE($A27," SS","  SS")),"NA"))</f>
        <v>NA</v>
      </c>
      <c r="H27" s="81" t="str">
        <f aca="false">IF(COUNTIFS('Recirculation &gt; 24 hrs'!$A$2:$A$3000,$K$2,'Recirculation &gt; 24 hrs'!$B$2:$B$3000,$A27)&gt;0,SUMIFS('Recirculation &gt; 24 hrs'!$K$2:$K$3000,'Recirculation &gt; 24 hrs'!$A$2:$A$3000,$K$2,'Recirculation &gt; 24 hrs'!$B$2:$B$3000,$A27),IF(COUNTIFS('Recirculation &gt; 24 hrs'!$A$2:$A$3000,$K$2,'Recirculation &gt; 24 hrs'!$B$2:$B$3000,SUBSTITUTE($A27," SS","  SS"))&gt;0,SUMIFS('Recirculation &gt; 24 hrs'!$K$2:$K$3000,'Recirculation &gt; 24 hrs'!$A$2:$A$3000,$K$2,'Recirculation &gt; 24 hrs'!$B$2:$B$3000,SUBSTITUTE($A27," SS","  SS")),"NA"))</f>
        <v>NA</v>
      </c>
      <c r="I27" s="81" t="n">
        <f aca="false">IF(COUNTIFS('Pending Putaway'!$A$2:$A$3000,$K$2,'Pending Putaway'!$B$2:$B$3000,$A27)&gt;0,SUMIFS('Pending Putaway'!$E$2:$E$3000,'Pending Putaway'!$A$2:$A$3000,$K$2,'Pending Putaway'!$B$2:$B$3000,$A27),IF(COUNTIFS('Pending Putaway'!$A$2:$A$3000,$K$2,'Pending Putaway'!$B$2:$B$3000,SUBSTITUTE($A27," SS","  SS"))&gt;0,SUMIFS('Pending Putaway'!$E$2:$E$3000,'Pending Putaway'!$A$2:$A$3000,$K$2,'Pending Putaway'!$B$2:$B$3000,SUBSTITUTE($A27," SS","  SS")),"NA"))</f>
        <v>2416</v>
      </c>
      <c r="J27" s="81" t="n">
        <f aca="false">IF(COUNTIFS('Pending Putaway'!$A$2:$A$3000,$K$2,'Pending Putaway'!$B$2:$B$3000,$A27)&gt;0,SUMIFS('Pending Putaway'!$L$2:$L$3000,'Pending Putaway'!$A$2:$A$3000,$K$2,'Pending Putaway'!$B$2:$B$3000,$A27),IF(COUNTIFS('Pending Putaway'!$A$2:$A$3000,$K$2,'Pending Putaway'!$B$2:$B$3000,SUBSTITUTE($A27," SS","  SS"))&gt;0,SUMIFS('Pending Putaway'!$L$2:$L$3000,'Pending Putaway'!$A$2:$A$3000,$K$2,'Pending Putaway'!$B$2:$B$3000,SUBSTITUTE($A27," SS","  SS")),"NA"))</f>
        <v>0</v>
      </c>
      <c r="K27" s="23"/>
      <c r="L27" s="23"/>
      <c r="M27" s="23"/>
      <c r="N27" s="23"/>
      <c r="O27" s="23"/>
      <c r="P27" s="23"/>
      <c r="Q27" s="23"/>
      <c r="R27" s="23"/>
      <c r="S27" s="23"/>
      <c r="T27" s="23"/>
      <c r="U27" s="23"/>
      <c r="V27" s="23"/>
      <c r="W27" s="23"/>
      <c r="X27" s="23"/>
      <c r="Y27" s="23"/>
      <c r="Z27" s="23"/>
      <c r="AA27" s="23"/>
      <c r="AB27" s="23"/>
      <c r="AC27" s="23"/>
      <c r="AD27" s="23"/>
      <c r="AE27" s="23"/>
      <c r="AF27" s="23"/>
      <c r="AG27" s="23"/>
      <c r="AH27" s="23"/>
    </row>
    <row r="28" customFormat="false" ht="15.75" hidden="false" customHeight="true" outlineLevel="0" collapsed="false">
      <c r="A28" s="81" t="s">
        <v>449</v>
      </c>
      <c r="B28" s="81" t="str">
        <f aca="false" t="array" ref="B28:B28">IFERROR(INDEX('CLM &amp; IM Mapping'!$B$2:$B$270,MATCH($A28,'CLM &amp; IM Mapping'!$A$2:$A$270,0)),"Not Mapped")</f>
        <v>Manjunatha V</v>
      </c>
      <c r="C28" s="81" t="str">
        <f aca="false" t="array" ref="C28:C28">IFERROR(INDEX('CLM &amp; IM Mapping'!$C$2:$C$270,MATCH($A28,'CLM &amp; IM Mapping'!$A$2:$A$270,0)),"Not Mapped")</f>
        <v>Un Mapped</v>
      </c>
      <c r="D28" s="82" t="n">
        <f aca="false">IF(COUNTIFS(Shrinkage!$A$2:$A$3000,$K$2,Shrinkage!$D$2:$D$3000,$A28)&gt;0,SUMIFS(Shrinkage!$P$2:$P$3000,Shrinkage!$A$2:$A$3000,$K$2,Shrinkage!$D$2:$D$3000,$A28),IF(COUNTIFS(Shrinkage!$A$2:$A$3000,$K$2,Shrinkage!$D$2:$D$3000,SUBSTITUTE($A28," SS","  SS"))&gt;0,SUMIFS(Shrinkage!$P$2:$P$3000,Shrinkage!$A$2:$A$3000,$K$2,Shrinkage!$D$2:$D$3000,SUBSTITUTE($A28," SS","  SS")),"NA"))</f>
        <v>-20775</v>
      </c>
      <c r="E28" s="83" t="n">
        <f aca="false">IF(COUNTIFS('Inventory Hygiene'!$A$2:$A$3000,$K$2,'Inventory Hygiene'!$B$2:$B$3000,$A28)&gt;0,AVERAGEIFS('Inventory Hygiene'!$J$2:$J$3000,'Inventory Hygiene'!$A$2:$A$3000,$K$2,'Inventory Hygiene'!$B$2:$B$3000,$A28),IF(COUNTIFS('Inventory Hygiene'!$A$2:$A$3000,$K$2,'Inventory Hygiene'!$B$2:$B$3000,SUBSTITUTE($A28," SS","  SS"))&gt;0,AVERAGEIFS('Inventory Hygiene'!$J$2:$J$3000,'Inventory Hygiene'!$A$2:$A$3000,$K$2,'Inventory Hygiene'!$B$2:$B$3000,SUBSTITUTE($A28," SS","  SS")),"NA"))</f>
        <v>0.897976754197159</v>
      </c>
      <c r="F28" s="81" t="n">
        <f aca="false">IF(COUNTIFS('Bad Bins'!$A$2:$A$3000,$K$2,'Bad Bins'!$B$2:$B$3000,$A28)&gt;0,SUMIFS('Bad Bins'!$K$2:$K$3000,'Bad Bins'!$A$2:$A$3000,$K$2,'Bad Bins'!$B$2:$B$3000,$A28),IF(COUNTIFS('Bad Bins'!$A$2:$A$3000,$K$2,'Bad Bins'!$B$2:$B$3000,SUBSTITUTE($A28," SS","  SS"))&gt;0,SUMIFS('Bad Bins'!$K$2:$K$3000,'Bad Bins'!$A$2:$A$3000,$K$2,'Bad Bins'!$B$2:$B$3000,SUBSTITUTE($A28," SS","  SS")),"NA"))</f>
        <v>85</v>
      </c>
      <c r="G28" s="81" t="str">
        <f aca="false">IF(COUNTIFS('RSTO &gt; 48hrs'!$A$2:$A$3000,$K$2,'RSTO &gt; 48hrs'!$B$2:$B$3000,$A28)&gt;0,SUMIFS('RSTO &gt; 48hrs'!$H$2:$H$3000,'RSTO &gt; 48hrs'!$A$2:$A$3000,$K$2,'RSTO &gt; 48hrs'!$B$2:$B$3000,$A28),IF(COUNTIFS('RSTO &gt; 48hrs'!$A$2:$A$3000,$K$2,'RSTO &gt; 48hrs'!$B$2:$B$3000,SUBSTITUTE($A28," SS","  SS"))&gt;0,SUMIFS('RSTO &gt; 48hrs'!$H$2:$H$3000,'RSTO &gt; 48hrs'!$A$2:$A$3000,$K$2,'RSTO &gt; 48hrs'!$B$2:$B$3000,SUBSTITUTE($A28," SS","  SS")),"NA"))</f>
        <v>NA</v>
      </c>
      <c r="H28" s="81" t="str">
        <f aca="false">IF(COUNTIFS('Recirculation &gt; 24 hrs'!$A$2:$A$3000,$K$2,'Recirculation &gt; 24 hrs'!$B$2:$B$3000,$A28)&gt;0,SUMIFS('Recirculation &gt; 24 hrs'!$K$2:$K$3000,'Recirculation &gt; 24 hrs'!$A$2:$A$3000,$K$2,'Recirculation &gt; 24 hrs'!$B$2:$B$3000,$A28),IF(COUNTIFS('Recirculation &gt; 24 hrs'!$A$2:$A$3000,$K$2,'Recirculation &gt; 24 hrs'!$B$2:$B$3000,SUBSTITUTE($A28," SS","  SS"))&gt;0,SUMIFS('Recirculation &gt; 24 hrs'!$K$2:$K$3000,'Recirculation &gt; 24 hrs'!$A$2:$A$3000,$K$2,'Recirculation &gt; 24 hrs'!$B$2:$B$3000,SUBSTITUTE($A28," SS","  SS")),"NA"))</f>
        <v>NA</v>
      </c>
      <c r="I28" s="81" t="n">
        <f aca="false">IF(COUNTIFS('Pending Putaway'!$A$2:$A$3000,$K$2,'Pending Putaway'!$B$2:$B$3000,$A28)&gt;0,SUMIFS('Pending Putaway'!$E$2:$E$3000,'Pending Putaway'!$A$2:$A$3000,$K$2,'Pending Putaway'!$B$2:$B$3000,$A28),IF(COUNTIFS('Pending Putaway'!$A$2:$A$3000,$K$2,'Pending Putaway'!$B$2:$B$3000,SUBSTITUTE($A28," SS","  SS"))&gt;0,SUMIFS('Pending Putaway'!$E$2:$E$3000,'Pending Putaway'!$A$2:$A$3000,$K$2,'Pending Putaway'!$B$2:$B$3000,SUBSTITUTE($A28," SS","  SS")),"NA"))</f>
        <v>2854</v>
      </c>
      <c r="J28" s="81" t="n">
        <f aca="false">IF(COUNTIFS('Pending Putaway'!$A$2:$A$3000,$K$2,'Pending Putaway'!$B$2:$B$3000,$A28)&gt;0,SUMIFS('Pending Putaway'!$L$2:$L$3000,'Pending Putaway'!$A$2:$A$3000,$K$2,'Pending Putaway'!$B$2:$B$3000,$A28),IF(COUNTIFS('Pending Putaway'!$A$2:$A$3000,$K$2,'Pending Putaway'!$B$2:$B$3000,SUBSTITUTE($A28," SS","  SS"))&gt;0,SUMIFS('Pending Putaway'!$L$2:$L$3000,'Pending Putaway'!$A$2:$A$3000,$K$2,'Pending Putaway'!$B$2:$B$3000,SUBSTITUTE($A28," SS","  SS")),"NA"))</f>
        <v>119</v>
      </c>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customFormat="false" ht="15.75" hidden="false" customHeight="true" outlineLevel="0" collapsed="false">
      <c r="A29" s="81" t="s">
        <v>502</v>
      </c>
      <c r="B29" s="81" t="str">
        <f aca="false" t="array" ref="B29:B29">IFERROR(INDEX('CLM &amp; IM Mapping'!$B$2:$B$270,MATCH($A29,'CLM &amp; IM Mapping'!$A$2:$A$270,0)),"Not Mapped")</f>
        <v>Manjunatha V</v>
      </c>
      <c r="C29" s="81" t="str">
        <f aca="false" t="array" ref="C29:C29">IFERROR(INDEX('CLM &amp; IM Mapping'!$C$2:$C$270,MATCH($A29,'CLM &amp; IM Mapping'!$A$2:$A$270,0)),"Not Mapped")</f>
        <v>Un Mapped</v>
      </c>
      <c r="D29" s="82" t="n">
        <f aca="false">IF(COUNTIFS(Shrinkage!$A$2:$A$3000,$K$2,Shrinkage!$D$2:$D$3000,$A29)&gt;0,SUMIFS(Shrinkage!$P$2:$P$3000,Shrinkage!$A$2:$A$3000,$K$2,Shrinkage!$D$2:$D$3000,$A29),IF(COUNTIFS(Shrinkage!$A$2:$A$3000,$K$2,Shrinkage!$D$2:$D$3000,SUBSTITUTE($A29," SS","  SS"))&gt;0,SUMIFS(Shrinkage!$P$2:$P$3000,Shrinkage!$A$2:$A$3000,$K$2,Shrinkage!$D$2:$D$3000,SUBSTITUTE($A29," SS","  SS")),"NA"))</f>
        <v>-12968</v>
      </c>
      <c r="E29" s="83" t="str">
        <f aca="false">IF(COUNTIFS('Inventory Hygiene'!$A$2:$A$3000,$K$2,'Inventory Hygiene'!$B$2:$B$3000,$A29)&gt;0,AVERAGEIFS('Inventory Hygiene'!$J$2:$J$3000,'Inventory Hygiene'!$A$2:$A$3000,$K$2,'Inventory Hygiene'!$B$2:$B$3000,$A29),IF(COUNTIFS('Inventory Hygiene'!$A$2:$A$3000,$K$2,'Inventory Hygiene'!$B$2:$B$3000,SUBSTITUTE($A29," SS","  SS"))&gt;0,AVERAGEIFS('Inventory Hygiene'!$J$2:$J$3000,'Inventory Hygiene'!$A$2:$A$3000,$K$2,'Inventory Hygiene'!$B$2:$B$3000,SUBSTITUTE($A29," SS","  SS")),"NA"))</f>
        <v>NA</v>
      </c>
      <c r="F29" s="81" t="str">
        <f aca="false">IF(COUNTIFS('Bad Bins'!$A$2:$A$3000,$K$2,'Bad Bins'!$B$2:$B$3000,$A29)&gt;0,SUMIFS('Bad Bins'!$K$2:$K$3000,'Bad Bins'!$A$2:$A$3000,$K$2,'Bad Bins'!$B$2:$B$3000,$A29),IF(COUNTIFS('Bad Bins'!$A$2:$A$3000,$K$2,'Bad Bins'!$B$2:$B$3000,SUBSTITUTE($A29," SS","  SS"))&gt;0,SUMIFS('Bad Bins'!$K$2:$K$3000,'Bad Bins'!$A$2:$A$3000,$K$2,'Bad Bins'!$B$2:$B$3000,SUBSTITUTE($A29," SS","  SS")),"NA"))</f>
        <v>NA</v>
      </c>
      <c r="G29" s="81" t="str">
        <f aca="false">IF(COUNTIFS('RSTO &gt; 48hrs'!$A$2:$A$3000,$K$2,'RSTO &gt; 48hrs'!$B$2:$B$3000,$A29)&gt;0,SUMIFS('RSTO &gt; 48hrs'!$H$2:$H$3000,'RSTO &gt; 48hrs'!$A$2:$A$3000,$K$2,'RSTO &gt; 48hrs'!$B$2:$B$3000,$A29),IF(COUNTIFS('RSTO &gt; 48hrs'!$A$2:$A$3000,$K$2,'RSTO &gt; 48hrs'!$B$2:$B$3000,SUBSTITUTE($A29," SS","  SS"))&gt;0,SUMIFS('RSTO &gt; 48hrs'!$H$2:$H$3000,'RSTO &gt; 48hrs'!$A$2:$A$3000,$K$2,'RSTO &gt; 48hrs'!$B$2:$B$3000,SUBSTITUTE($A29," SS","  SS")),"NA"))</f>
        <v>NA</v>
      </c>
      <c r="H29" s="81" t="n">
        <f aca="false">IF(COUNTIFS('Recirculation &gt; 24 hrs'!$A$2:$A$3000,$K$2,'Recirculation &gt; 24 hrs'!$B$2:$B$3000,$A29)&gt;0,SUMIFS('Recirculation &gt; 24 hrs'!$K$2:$K$3000,'Recirculation &gt; 24 hrs'!$A$2:$A$3000,$K$2,'Recirculation &gt; 24 hrs'!$B$2:$B$3000,$A29),IF(COUNTIFS('Recirculation &gt; 24 hrs'!$A$2:$A$3000,$K$2,'Recirculation &gt; 24 hrs'!$B$2:$B$3000,SUBSTITUTE($A29," SS","  SS"))&gt;0,SUMIFS('Recirculation &gt; 24 hrs'!$K$2:$K$3000,'Recirculation &gt; 24 hrs'!$A$2:$A$3000,$K$2,'Recirculation &gt; 24 hrs'!$B$2:$B$3000,SUBSTITUTE($A29," SS","  SS")),"NA"))</f>
        <v>22</v>
      </c>
      <c r="I29" s="81" t="str">
        <f aca="false">IF(COUNTIFS('Pending Putaway'!$A$2:$A$3000,$K$2,'Pending Putaway'!$B$2:$B$3000,$A29)&gt;0,SUMIFS('Pending Putaway'!$E$2:$E$3000,'Pending Putaway'!$A$2:$A$3000,$K$2,'Pending Putaway'!$B$2:$B$3000,$A29),IF(COUNTIFS('Pending Putaway'!$A$2:$A$3000,$K$2,'Pending Putaway'!$B$2:$B$3000,SUBSTITUTE($A29," SS","  SS"))&gt;0,SUMIFS('Pending Putaway'!$E$2:$E$3000,'Pending Putaway'!$A$2:$A$3000,$K$2,'Pending Putaway'!$B$2:$B$3000,SUBSTITUTE($A29," SS","  SS")),"NA"))</f>
        <v>NA</v>
      </c>
      <c r="J29" s="81" t="str">
        <f aca="false">IF(COUNTIFS('Pending Putaway'!$A$2:$A$3000,$K$2,'Pending Putaway'!$B$2:$B$3000,$A29)&gt;0,SUMIFS('Pending Putaway'!$L$2:$L$3000,'Pending Putaway'!$A$2:$A$3000,$K$2,'Pending Putaway'!$B$2:$B$3000,$A29),IF(COUNTIFS('Pending Putaway'!$A$2:$A$3000,$K$2,'Pending Putaway'!$B$2:$B$3000,SUBSTITUTE($A29," SS","  SS"))&gt;0,SUMIFS('Pending Putaway'!$L$2:$L$3000,'Pending Putaway'!$A$2:$A$3000,$K$2,'Pending Putaway'!$B$2:$B$3000,SUBSTITUTE($A29," SS","  SS")),"NA"))</f>
        <v>NA</v>
      </c>
      <c r="K29" s="23"/>
      <c r="L29" s="23"/>
      <c r="M29" s="23"/>
      <c r="N29" s="23"/>
      <c r="O29" s="23"/>
      <c r="P29" s="23"/>
      <c r="Q29" s="23"/>
      <c r="R29" s="23"/>
      <c r="S29" s="23"/>
      <c r="T29" s="23"/>
      <c r="U29" s="23"/>
      <c r="V29" s="23"/>
      <c r="W29" s="23"/>
      <c r="X29" s="23"/>
      <c r="Y29" s="23"/>
      <c r="Z29" s="23"/>
      <c r="AA29" s="23"/>
      <c r="AB29" s="23"/>
      <c r="AC29" s="23"/>
      <c r="AD29" s="23"/>
      <c r="AE29" s="23"/>
      <c r="AF29" s="23"/>
      <c r="AG29" s="23"/>
      <c r="AH29" s="23"/>
    </row>
    <row r="30" customFormat="false" ht="15.75" hidden="false" customHeight="true" outlineLevel="0" collapsed="false">
      <c r="A30" s="81" t="s">
        <v>429</v>
      </c>
      <c r="B30" s="81" t="str">
        <f aca="false" t="array" ref="B30:B30">IFERROR(INDEX('CLM &amp; IM Mapping'!$B$2:$B$270,MATCH($A30,'CLM &amp; IM Mapping'!$A$2:$A$270,0)),"Not Mapped")</f>
        <v>Manjunatha V</v>
      </c>
      <c r="C30" s="81" t="str">
        <f aca="false" t="array" ref="C30:C30">IFERROR(INDEX('CLM &amp; IM Mapping'!$C$2:$C$270,MATCH($A30,'CLM &amp; IM Mapping'!$A$2:$A$270,0)),"Not Mapped")</f>
        <v>Un Mapped</v>
      </c>
      <c r="D30" s="82" t="n">
        <f aca="false">IF(COUNTIFS(Shrinkage!$A$2:$A$3000,$K$2,Shrinkage!$D$2:$D$3000,$A30)&gt;0,SUMIFS(Shrinkage!$P$2:$P$3000,Shrinkage!$A$2:$A$3000,$K$2,Shrinkage!$D$2:$D$3000,$A30),IF(COUNTIFS(Shrinkage!$A$2:$A$3000,$K$2,Shrinkage!$D$2:$D$3000,SUBSTITUTE($A30," SS","  SS"))&gt;0,SUMIFS(Shrinkage!$P$2:$P$3000,Shrinkage!$A$2:$A$3000,$K$2,Shrinkage!$D$2:$D$3000,SUBSTITUTE($A30," SS","  SS")),"NA"))</f>
        <v>-5664</v>
      </c>
      <c r="E30" s="83" t="n">
        <f aca="false">IF(COUNTIFS('Inventory Hygiene'!$A$2:$A$3000,$K$2,'Inventory Hygiene'!$B$2:$B$3000,$A30)&gt;0,AVERAGEIFS('Inventory Hygiene'!$J$2:$J$3000,'Inventory Hygiene'!$A$2:$A$3000,$K$2,'Inventory Hygiene'!$B$2:$B$3000,$A30),IF(COUNTIFS('Inventory Hygiene'!$A$2:$A$3000,$K$2,'Inventory Hygiene'!$B$2:$B$3000,SUBSTITUTE($A30," SS","  SS"))&gt;0,AVERAGEIFS('Inventory Hygiene'!$J$2:$J$3000,'Inventory Hygiene'!$A$2:$A$3000,$K$2,'Inventory Hygiene'!$B$2:$B$3000,SUBSTITUTE($A30," SS","  SS")),"NA"))</f>
        <v>0.913565002645969</v>
      </c>
      <c r="F30" s="81" t="n">
        <f aca="false">IF(COUNTIFS('Bad Bins'!$A$2:$A$3000,$K$2,'Bad Bins'!$B$2:$B$3000,$A30)&gt;0,SUMIFS('Bad Bins'!$K$2:$K$3000,'Bad Bins'!$A$2:$A$3000,$K$2,'Bad Bins'!$B$2:$B$3000,$A30),IF(COUNTIFS('Bad Bins'!$A$2:$A$3000,$K$2,'Bad Bins'!$B$2:$B$3000,SUBSTITUTE($A30," SS","  SS"))&gt;0,SUMIFS('Bad Bins'!$K$2:$K$3000,'Bad Bins'!$A$2:$A$3000,$K$2,'Bad Bins'!$B$2:$B$3000,SUBSTITUTE($A30," SS","  SS")),"NA"))</f>
        <v>157</v>
      </c>
      <c r="G30" s="81" t="str">
        <f aca="false">IF(COUNTIFS('RSTO &gt; 48hrs'!$A$2:$A$3000,$K$2,'RSTO &gt; 48hrs'!$B$2:$B$3000,$A30)&gt;0,SUMIFS('RSTO &gt; 48hrs'!$H$2:$H$3000,'RSTO &gt; 48hrs'!$A$2:$A$3000,$K$2,'RSTO &gt; 48hrs'!$B$2:$B$3000,$A30),IF(COUNTIFS('RSTO &gt; 48hrs'!$A$2:$A$3000,$K$2,'RSTO &gt; 48hrs'!$B$2:$B$3000,SUBSTITUTE($A30," SS","  SS"))&gt;0,SUMIFS('RSTO &gt; 48hrs'!$H$2:$H$3000,'RSTO &gt; 48hrs'!$A$2:$A$3000,$K$2,'RSTO &gt; 48hrs'!$B$2:$B$3000,SUBSTITUTE($A30," SS","  SS")),"NA"))</f>
        <v>NA</v>
      </c>
      <c r="H30" s="81" t="str">
        <f aca="false">IF(COUNTIFS('Recirculation &gt; 24 hrs'!$A$2:$A$3000,$K$2,'Recirculation &gt; 24 hrs'!$B$2:$B$3000,$A30)&gt;0,SUMIFS('Recirculation &gt; 24 hrs'!$K$2:$K$3000,'Recirculation &gt; 24 hrs'!$A$2:$A$3000,$K$2,'Recirculation &gt; 24 hrs'!$B$2:$B$3000,$A30),IF(COUNTIFS('Recirculation &gt; 24 hrs'!$A$2:$A$3000,$K$2,'Recirculation &gt; 24 hrs'!$B$2:$B$3000,SUBSTITUTE($A30," SS","  SS"))&gt;0,SUMIFS('Recirculation &gt; 24 hrs'!$K$2:$K$3000,'Recirculation &gt; 24 hrs'!$A$2:$A$3000,$K$2,'Recirculation &gt; 24 hrs'!$B$2:$B$3000,SUBSTITUTE($A30," SS","  SS")),"NA"))</f>
        <v>NA</v>
      </c>
      <c r="I30" s="81" t="n">
        <f aca="false">IF(COUNTIFS('Pending Putaway'!$A$2:$A$3000,$K$2,'Pending Putaway'!$B$2:$B$3000,$A30)&gt;0,SUMIFS('Pending Putaway'!$E$2:$E$3000,'Pending Putaway'!$A$2:$A$3000,$K$2,'Pending Putaway'!$B$2:$B$3000,$A30),IF(COUNTIFS('Pending Putaway'!$A$2:$A$3000,$K$2,'Pending Putaway'!$B$2:$B$3000,SUBSTITUTE($A30," SS","  SS"))&gt;0,SUMIFS('Pending Putaway'!$E$2:$E$3000,'Pending Putaway'!$A$2:$A$3000,$K$2,'Pending Putaway'!$B$2:$B$3000,SUBSTITUTE($A30," SS","  SS")),"NA"))</f>
        <v>457</v>
      </c>
      <c r="J30" s="81" t="n">
        <f aca="false">IF(COUNTIFS('Pending Putaway'!$A$2:$A$3000,$K$2,'Pending Putaway'!$B$2:$B$3000,$A30)&gt;0,SUMIFS('Pending Putaway'!$L$2:$L$3000,'Pending Putaway'!$A$2:$A$3000,$K$2,'Pending Putaway'!$B$2:$B$3000,$A30),IF(COUNTIFS('Pending Putaway'!$A$2:$A$3000,$K$2,'Pending Putaway'!$B$2:$B$3000,SUBSTITUTE($A30," SS","  SS"))&gt;0,SUMIFS('Pending Putaway'!$L$2:$L$3000,'Pending Putaway'!$A$2:$A$3000,$K$2,'Pending Putaway'!$B$2:$B$3000,SUBSTITUTE($A30," SS","  SS")),"NA"))</f>
        <v>0</v>
      </c>
      <c r="K30" s="23"/>
      <c r="L30" s="23"/>
      <c r="M30" s="23"/>
      <c r="N30" s="23"/>
      <c r="O30" s="23"/>
      <c r="P30" s="23"/>
      <c r="Q30" s="23"/>
      <c r="R30" s="23"/>
      <c r="S30" s="23"/>
      <c r="T30" s="23"/>
      <c r="U30" s="23"/>
      <c r="V30" s="23"/>
      <c r="W30" s="23"/>
      <c r="X30" s="23"/>
      <c r="Y30" s="23"/>
      <c r="Z30" s="23"/>
      <c r="AA30" s="23"/>
      <c r="AB30" s="23"/>
      <c r="AC30" s="23"/>
      <c r="AD30" s="23"/>
      <c r="AE30" s="23"/>
      <c r="AF30" s="23"/>
      <c r="AG30" s="23"/>
      <c r="AH30" s="23"/>
    </row>
    <row r="31" customFormat="false" ht="15.75" hidden="false" customHeight="true" outlineLevel="0" collapsed="false">
      <c r="A31" s="81" t="s">
        <v>147</v>
      </c>
      <c r="B31" s="81" t="str">
        <f aca="false" t="array" ref="B31:B31">IFERROR(INDEX('CLM &amp; IM Mapping'!$B$2:$B$270,MATCH($A31,'CLM &amp; IM Mapping'!$A$2:$A$270,0)),"Not Mapped")</f>
        <v>Manjunatha V</v>
      </c>
      <c r="C31" s="81" t="str">
        <f aca="false" t="array" ref="C31:C31">IFERROR(INDEX('CLM &amp; IM Mapping'!$C$2:$C$270,MATCH($A31,'CLM &amp; IM Mapping'!$A$2:$A$270,0)),"Not Mapped")</f>
        <v>Un Mapped</v>
      </c>
      <c r="D31" s="82" t="n">
        <f aca="false">IF(COUNTIFS(Shrinkage!$A$2:$A$3000,$K$2,Shrinkage!$D$2:$D$3000,$A31)&gt;0,SUMIFS(Shrinkage!$P$2:$P$3000,Shrinkage!$A$2:$A$3000,$K$2,Shrinkage!$D$2:$D$3000,$A31),IF(COUNTIFS(Shrinkage!$A$2:$A$3000,$K$2,Shrinkage!$D$2:$D$3000,SUBSTITUTE($A31," SS","  SS"))&gt;0,SUMIFS(Shrinkage!$P$2:$P$3000,Shrinkage!$A$2:$A$3000,$K$2,Shrinkage!$D$2:$D$3000,SUBSTITUTE($A31," SS","  SS")),"NA"))</f>
        <v>38987</v>
      </c>
      <c r="E31" s="83" t="n">
        <f aca="false">IF(COUNTIFS('Inventory Hygiene'!$A$2:$A$3000,$K$2,'Inventory Hygiene'!$B$2:$B$3000,$A31)&gt;0,AVERAGEIFS('Inventory Hygiene'!$J$2:$J$3000,'Inventory Hygiene'!$A$2:$A$3000,$K$2,'Inventory Hygiene'!$B$2:$B$3000,$A31),IF(COUNTIFS('Inventory Hygiene'!$A$2:$A$3000,$K$2,'Inventory Hygiene'!$B$2:$B$3000,SUBSTITUTE($A31," SS","  SS"))&gt;0,AVERAGEIFS('Inventory Hygiene'!$J$2:$J$3000,'Inventory Hygiene'!$A$2:$A$3000,$K$2,'Inventory Hygiene'!$B$2:$B$3000,SUBSTITUTE($A31," SS","  SS")),"NA"))</f>
        <v>0.442422121106055</v>
      </c>
      <c r="F31" s="81" t="n">
        <f aca="false">IF(COUNTIFS('Bad Bins'!$A$2:$A$3000,$K$2,'Bad Bins'!$B$2:$B$3000,$A31)&gt;0,SUMIFS('Bad Bins'!$K$2:$K$3000,'Bad Bins'!$A$2:$A$3000,$K$2,'Bad Bins'!$B$2:$B$3000,$A31),IF(COUNTIFS('Bad Bins'!$A$2:$A$3000,$K$2,'Bad Bins'!$B$2:$B$3000,SUBSTITUTE($A31," SS","  SS"))&gt;0,SUMIFS('Bad Bins'!$K$2:$K$3000,'Bad Bins'!$A$2:$A$3000,$K$2,'Bad Bins'!$B$2:$B$3000,SUBSTITUTE($A31," SS","  SS")),"NA"))</f>
        <v>196</v>
      </c>
      <c r="G31" s="81" t="str">
        <f aca="false">IF(COUNTIFS('RSTO &gt; 48hrs'!$A$2:$A$3000,$K$2,'RSTO &gt; 48hrs'!$B$2:$B$3000,$A31)&gt;0,SUMIFS('RSTO &gt; 48hrs'!$H$2:$H$3000,'RSTO &gt; 48hrs'!$A$2:$A$3000,$K$2,'RSTO &gt; 48hrs'!$B$2:$B$3000,$A31),IF(COUNTIFS('RSTO &gt; 48hrs'!$A$2:$A$3000,$K$2,'RSTO &gt; 48hrs'!$B$2:$B$3000,SUBSTITUTE($A31," SS","  SS"))&gt;0,SUMIFS('RSTO &gt; 48hrs'!$H$2:$H$3000,'RSTO &gt; 48hrs'!$A$2:$A$3000,$K$2,'RSTO &gt; 48hrs'!$B$2:$B$3000,SUBSTITUTE($A31," SS","  SS")),"NA"))</f>
        <v>NA</v>
      </c>
      <c r="H31" s="81" t="n">
        <f aca="false">IF(COUNTIFS('Recirculation &gt; 24 hrs'!$A$2:$A$3000,$K$2,'Recirculation &gt; 24 hrs'!$B$2:$B$3000,$A31)&gt;0,SUMIFS('Recirculation &gt; 24 hrs'!$K$2:$K$3000,'Recirculation &gt; 24 hrs'!$A$2:$A$3000,$K$2,'Recirculation &gt; 24 hrs'!$B$2:$B$3000,$A31),IF(COUNTIFS('Recirculation &gt; 24 hrs'!$A$2:$A$3000,$K$2,'Recirculation &gt; 24 hrs'!$B$2:$B$3000,SUBSTITUTE($A31," SS","  SS"))&gt;0,SUMIFS('Recirculation &gt; 24 hrs'!$K$2:$K$3000,'Recirculation &gt; 24 hrs'!$A$2:$A$3000,$K$2,'Recirculation &gt; 24 hrs'!$B$2:$B$3000,SUBSTITUTE($A31," SS","  SS")),"NA"))</f>
        <v>2754</v>
      </c>
      <c r="I31" s="81" t="n">
        <f aca="false">IF(COUNTIFS('Pending Putaway'!$A$2:$A$3000,$K$2,'Pending Putaway'!$B$2:$B$3000,$A31)&gt;0,SUMIFS('Pending Putaway'!$E$2:$E$3000,'Pending Putaway'!$A$2:$A$3000,$K$2,'Pending Putaway'!$B$2:$B$3000,$A31),IF(COUNTIFS('Pending Putaway'!$A$2:$A$3000,$K$2,'Pending Putaway'!$B$2:$B$3000,SUBSTITUTE($A31," SS","  SS"))&gt;0,SUMIFS('Pending Putaway'!$E$2:$E$3000,'Pending Putaway'!$A$2:$A$3000,$K$2,'Pending Putaway'!$B$2:$B$3000,SUBSTITUTE($A31," SS","  SS")),"NA"))</f>
        <v>9637</v>
      </c>
      <c r="J31" s="81" t="n">
        <f aca="false">IF(COUNTIFS('Pending Putaway'!$A$2:$A$3000,$K$2,'Pending Putaway'!$B$2:$B$3000,$A31)&gt;0,SUMIFS('Pending Putaway'!$L$2:$L$3000,'Pending Putaway'!$A$2:$A$3000,$K$2,'Pending Putaway'!$B$2:$B$3000,$A31),IF(COUNTIFS('Pending Putaway'!$A$2:$A$3000,$K$2,'Pending Putaway'!$B$2:$B$3000,SUBSTITUTE($A31," SS","  SS"))&gt;0,SUMIFS('Pending Putaway'!$L$2:$L$3000,'Pending Putaway'!$A$2:$A$3000,$K$2,'Pending Putaway'!$B$2:$B$3000,SUBSTITUTE($A31," SS","  SS")),"NA"))</f>
        <v>1846</v>
      </c>
      <c r="K31" s="23"/>
      <c r="L31" s="23"/>
      <c r="M31" s="23"/>
      <c r="N31" s="23"/>
      <c r="O31" s="23"/>
      <c r="P31" s="23"/>
      <c r="Q31" s="23"/>
      <c r="R31" s="23"/>
      <c r="S31" s="23"/>
      <c r="T31" s="23"/>
      <c r="U31" s="23"/>
      <c r="V31" s="23"/>
      <c r="W31" s="23"/>
      <c r="X31" s="23"/>
      <c r="Y31" s="23"/>
      <c r="Z31" s="23"/>
      <c r="AA31" s="23"/>
      <c r="AB31" s="23"/>
      <c r="AC31" s="23"/>
      <c r="AD31" s="23"/>
      <c r="AE31" s="23"/>
      <c r="AF31" s="23"/>
      <c r="AG31" s="23"/>
      <c r="AH31" s="23"/>
    </row>
    <row r="32" customFormat="false" ht="15.75" hidden="false" customHeight="true" outlineLevel="0" collapsed="false">
      <c r="A32" s="81" t="s">
        <v>47</v>
      </c>
      <c r="B32" s="81" t="str">
        <f aca="false" t="array" ref="B32:B32">IFERROR(INDEX('CLM &amp; IM Mapping'!$B$2:$B$270,MATCH($A32,'CLM &amp; IM Mapping'!$A$2:$A$270,0)),"Not Mapped")</f>
        <v>Saddam Hussain</v>
      </c>
      <c r="C32" s="81" t="str">
        <f aca="false" t="array" ref="C32:C32">IFERROR(INDEX('CLM &amp; IM Mapping'!$C$2:$C$270,MATCH($A32,'CLM &amp; IM Mapping'!$A$2:$A$270,0)),"Not Mapped")</f>
        <v>Un Mapped</v>
      </c>
      <c r="D32" s="82" t="n">
        <f aca="false">IF(COUNTIFS(Shrinkage!$A$2:$A$3000,$K$2,Shrinkage!$D$2:$D$3000,$A32)&gt;0,SUMIFS(Shrinkage!$P$2:$P$3000,Shrinkage!$A$2:$A$3000,$K$2,Shrinkage!$D$2:$D$3000,$A32),IF(COUNTIFS(Shrinkage!$A$2:$A$3000,$K$2,Shrinkage!$D$2:$D$3000,SUBSTITUTE($A32," SS","  SS"))&gt;0,SUMIFS(Shrinkage!$P$2:$P$3000,Shrinkage!$A$2:$A$3000,$K$2,Shrinkage!$D$2:$D$3000,SUBSTITUTE($A32," SS","  SS")),"NA"))</f>
        <v>58198</v>
      </c>
      <c r="E32" s="83" t="n">
        <f aca="false">IF(COUNTIFS('Inventory Hygiene'!$A$2:$A$3000,$K$2,'Inventory Hygiene'!$B$2:$B$3000,$A32)&gt;0,AVERAGEIFS('Inventory Hygiene'!$J$2:$J$3000,'Inventory Hygiene'!$A$2:$A$3000,$K$2,'Inventory Hygiene'!$B$2:$B$3000,$A32),IF(COUNTIFS('Inventory Hygiene'!$A$2:$A$3000,$K$2,'Inventory Hygiene'!$B$2:$B$3000,SUBSTITUTE($A32," SS","  SS"))&gt;0,AVERAGEIFS('Inventory Hygiene'!$J$2:$J$3000,'Inventory Hygiene'!$A$2:$A$3000,$K$2,'Inventory Hygiene'!$B$2:$B$3000,SUBSTITUTE($A32," SS","  SS")),"NA"))</f>
        <v>0.720321931589537</v>
      </c>
      <c r="F32" s="81" t="n">
        <f aca="false">IF(COUNTIFS('Bad Bins'!$A$2:$A$3000,$K$2,'Bad Bins'!$B$2:$B$3000,$A32)&gt;0,SUMIFS('Bad Bins'!$K$2:$K$3000,'Bad Bins'!$A$2:$A$3000,$K$2,'Bad Bins'!$B$2:$B$3000,$A32),IF(COUNTIFS('Bad Bins'!$A$2:$A$3000,$K$2,'Bad Bins'!$B$2:$B$3000,SUBSTITUTE($A32," SS","  SS"))&gt;0,SUMIFS('Bad Bins'!$K$2:$K$3000,'Bad Bins'!$A$2:$A$3000,$K$2,'Bad Bins'!$B$2:$B$3000,SUBSTITUTE($A32," SS","  SS")),"NA"))</f>
        <v>274</v>
      </c>
      <c r="G32" s="81" t="str">
        <f aca="false">IF(COUNTIFS('RSTO &gt; 48hrs'!$A$2:$A$3000,$K$2,'RSTO &gt; 48hrs'!$B$2:$B$3000,$A32)&gt;0,SUMIFS('RSTO &gt; 48hrs'!$H$2:$H$3000,'RSTO &gt; 48hrs'!$A$2:$A$3000,$K$2,'RSTO &gt; 48hrs'!$B$2:$B$3000,$A32),IF(COUNTIFS('RSTO &gt; 48hrs'!$A$2:$A$3000,$K$2,'RSTO &gt; 48hrs'!$B$2:$B$3000,SUBSTITUTE($A32," SS","  SS"))&gt;0,SUMIFS('RSTO &gt; 48hrs'!$H$2:$H$3000,'RSTO &gt; 48hrs'!$A$2:$A$3000,$K$2,'RSTO &gt; 48hrs'!$B$2:$B$3000,SUBSTITUTE($A32," SS","  SS")),"NA"))</f>
        <v>NA</v>
      </c>
      <c r="H32" s="81" t="n">
        <f aca="false">IF(COUNTIFS('Recirculation &gt; 24 hrs'!$A$2:$A$3000,$K$2,'Recirculation &gt; 24 hrs'!$B$2:$B$3000,$A32)&gt;0,SUMIFS('Recirculation &gt; 24 hrs'!$K$2:$K$3000,'Recirculation &gt; 24 hrs'!$A$2:$A$3000,$K$2,'Recirculation &gt; 24 hrs'!$B$2:$B$3000,$A32),IF(COUNTIFS('Recirculation &gt; 24 hrs'!$A$2:$A$3000,$K$2,'Recirculation &gt; 24 hrs'!$B$2:$B$3000,SUBSTITUTE($A32," SS","  SS"))&gt;0,SUMIFS('Recirculation &gt; 24 hrs'!$K$2:$K$3000,'Recirculation &gt; 24 hrs'!$A$2:$A$3000,$K$2,'Recirculation &gt; 24 hrs'!$B$2:$B$3000,SUBSTITUTE($A32," SS","  SS")),"NA"))</f>
        <v>179</v>
      </c>
      <c r="I32" s="81" t="n">
        <f aca="false">IF(COUNTIFS('Pending Putaway'!$A$2:$A$3000,$K$2,'Pending Putaway'!$B$2:$B$3000,$A32)&gt;0,SUMIFS('Pending Putaway'!$E$2:$E$3000,'Pending Putaway'!$A$2:$A$3000,$K$2,'Pending Putaway'!$B$2:$B$3000,$A32),IF(COUNTIFS('Pending Putaway'!$A$2:$A$3000,$K$2,'Pending Putaway'!$B$2:$B$3000,SUBSTITUTE($A32," SS","  SS"))&gt;0,SUMIFS('Pending Putaway'!$E$2:$E$3000,'Pending Putaway'!$A$2:$A$3000,$K$2,'Pending Putaway'!$B$2:$B$3000,SUBSTITUTE($A32," SS","  SS")),"NA"))</f>
        <v>7622</v>
      </c>
      <c r="J32" s="81" t="n">
        <f aca="false">IF(COUNTIFS('Pending Putaway'!$A$2:$A$3000,$K$2,'Pending Putaway'!$B$2:$B$3000,$A32)&gt;0,SUMIFS('Pending Putaway'!$L$2:$L$3000,'Pending Putaway'!$A$2:$A$3000,$K$2,'Pending Putaway'!$B$2:$B$3000,$A32),IF(COUNTIFS('Pending Putaway'!$A$2:$A$3000,$K$2,'Pending Putaway'!$B$2:$B$3000,SUBSTITUTE($A32," SS","  SS"))&gt;0,SUMIFS('Pending Putaway'!$L$2:$L$3000,'Pending Putaway'!$A$2:$A$3000,$K$2,'Pending Putaway'!$B$2:$B$3000,SUBSTITUTE($A32," SS","  SS")),"NA"))</f>
        <v>2224</v>
      </c>
      <c r="K32" s="23"/>
      <c r="L32" s="23"/>
      <c r="M32" s="23"/>
      <c r="N32" s="23"/>
      <c r="O32" s="23"/>
      <c r="P32" s="23"/>
      <c r="Q32" s="23"/>
      <c r="R32" s="23"/>
      <c r="S32" s="23"/>
      <c r="T32" s="23"/>
      <c r="U32" s="23"/>
      <c r="V32" s="23"/>
      <c r="W32" s="23"/>
      <c r="X32" s="23"/>
      <c r="Y32" s="23"/>
      <c r="Z32" s="23"/>
      <c r="AA32" s="23"/>
      <c r="AB32" s="23"/>
      <c r="AC32" s="23"/>
      <c r="AD32" s="23"/>
      <c r="AE32" s="23"/>
      <c r="AF32" s="23"/>
      <c r="AG32" s="23"/>
      <c r="AH32" s="23"/>
    </row>
    <row r="33" customFormat="false" ht="15.75" hidden="false" customHeight="true" outlineLevel="0" collapsed="false">
      <c r="A33" s="81" t="s">
        <v>496</v>
      </c>
      <c r="B33" s="81" t="str">
        <f aca="false" t="array" ref="B33:B33">IFERROR(INDEX('CLM &amp; IM Mapping'!$B$2:$B$270,MATCH($A33,'CLM &amp; IM Mapping'!$A$2:$A$270,0)),"Not Mapped")</f>
        <v>Keshav G</v>
      </c>
      <c r="C33" s="81" t="str">
        <f aca="false" t="array" ref="C33:C33">IFERROR(INDEX('CLM &amp; IM Mapping'!$C$2:$C$270,MATCH($A33,'CLM &amp; IM Mapping'!$A$2:$A$270,0)),"Not Mapped")</f>
        <v>Un Mapped</v>
      </c>
      <c r="D33" s="82" t="n">
        <f aca="false">IF(COUNTIFS(Shrinkage!$A$2:$A$3000,$K$2,Shrinkage!$D$2:$D$3000,$A33)&gt;0,SUMIFS(Shrinkage!$P$2:$P$3000,Shrinkage!$A$2:$A$3000,$K$2,Shrinkage!$D$2:$D$3000,$A33),IF(COUNTIFS(Shrinkage!$A$2:$A$3000,$K$2,Shrinkage!$D$2:$D$3000,SUBSTITUTE($A33," SS","  SS"))&gt;0,SUMIFS(Shrinkage!$P$2:$P$3000,Shrinkage!$A$2:$A$3000,$K$2,Shrinkage!$D$2:$D$3000,SUBSTITUTE($A33," SS","  SS")),"NA"))</f>
        <v>-12685</v>
      </c>
      <c r="E33" s="83" t="n">
        <f aca="false">IF(COUNTIFS('Inventory Hygiene'!$A$2:$A$3000,$K$2,'Inventory Hygiene'!$B$2:$B$3000,$A33)&gt;0,AVERAGEIFS('Inventory Hygiene'!$J$2:$J$3000,'Inventory Hygiene'!$A$2:$A$3000,$K$2,'Inventory Hygiene'!$B$2:$B$3000,$A33),IF(COUNTIFS('Inventory Hygiene'!$A$2:$A$3000,$K$2,'Inventory Hygiene'!$B$2:$B$3000,SUBSTITUTE($A33," SS","  SS"))&gt;0,AVERAGEIFS('Inventory Hygiene'!$J$2:$J$3000,'Inventory Hygiene'!$A$2:$A$3000,$K$2,'Inventory Hygiene'!$B$2:$B$3000,SUBSTITUTE($A33," SS","  SS")),"NA"))</f>
        <v>0.643245341614907</v>
      </c>
      <c r="F33" s="81" t="n">
        <f aca="false">IF(COUNTIFS('Bad Bins'!$A$2:$A$3000,$K$2,'Bad Bins'!$B$2:$B$3000,$A33)&gt;0,SUMIFS('Bad Bins'!$K$2:$K$3000,'Bad Bins'!$A$2:$A$3000,$K$2,'Bad Bins'!$B$2:$B$3000,$A33),IF(COUNTIFS('Bad Bins'!$A$2:$A$3000,$K$2,'Bad Bins'!$B$2:$B$3000,SUBSTITUTE($A33," SS","  SS"))&gt;0,SUMIFS('Bad Bins'!$K$2:$K$3000,'Bad Bins'!$A$2:$A$3000,$K$2,'Bad Bins'!$B$2:$B$3000,SUBSTITUTE($A33," SS","  SS")),"NA"))</f>
        <v>383</v>
      </c>
      <c r="G33" s="81" t="str">
        <f aca="false">IF(COUNTIFS('RSTO &gt; 48hrs'!$A$2:$A$3000,$K$2,'RSTO &gt; 48hrs'!$B$2:$B$3000,$A33)&gt;0,SUMIFS('RSTO &gt; 48hrs'!$H$2:$H$3000,'RSTO &gt; 48hrs'!$A$2:$A$3000,$K$2,'RSTO &gt; 48hrs'!$B$2:$B$3000,$A33),IF(COUNTIFS('RSTO &gt; 48hrs'!$A$2:$A$3000,$K$2,'RSTO &gt; 48hrs'!$B$2:$B$3000,SUBSTITUTE($A33," SS","  SS"))&gt;0,SUMIFS('RSTO &gt; 48hrs'!$H$2:$H$3000,'RSTO &gt; 48hrs'!$A$2:$A$3000,$K$2,'RSTO &gt; 48hrs'!$B$2:$B$3000,SUBSTITUTE($A33," SS","  SS")),"NA"))</f>
        <v>NA</v>
      </c>
      <c r="H33" s="81" t="str">
        <f aca="false">IF(COUNTIFS('Recirculation &gt; 24 hrs'!$A$2:$A$3000,$K$2,'Recirculation &gt; 24 hrs'!$B$2:$B$3000,$A33)&gt;0,SUMIFS('Recirculation &gt; 24 hrs'!$K$2:$K$3000,'Recirculation &gt; 24 hrs'!$A$2:$A$3000,$K$2,'Recirculation &gt; 24 hrs'!$B$2:$B$3000,$A33),IF(COUNTIFS('Recirculation &gt; 24 hrs'!$A$2:$A$3000,$K$2,'Recirculation &gt; 24 hrs'!$B$2:$B$3000,SUBSTITUTE($A33," SS","  SS"))&gt;0,SUMIFS('Recirculation &gt; 24 hrs'!$K$2:$K$3000,'Recirculation &gt; 24 hrs'!$A$2:$A$3000,$K$2,'Recirculation &gt; 24 hrs'!$B$2:$B$3000,SUBSTITUTE($A33," SS","  SS")),"NA"))</f>
        <v>NA</v>
      </c>
      <c r="I33" s="81" t="n">
        <f aca="false">IF(COUNTIFS('Pending Putaway'!$A$2:$A$3000,$K$2,'Pending Putaway'!$B$2:$B$3000,$A33)&gt;0,SUMIFS('Pending Putaway'!$E$2:$E$3000,'Pending Putaway'!$A$2:$A$3000,$K$2,'Pending Putaway'!$B$2:$B$3000,$A33),IF(COUNTIFS('Pending Putaway'!$A$2:$A$3000,$K$2,'Pending Putaway'!$B$2:$B$3000,SUBSTITUTE($A33," SS","  SS"))&gt;0,SUMIFS('Pending Putaway'!$E$2:$E$3000,'Pending Putaway'!$A$2:$A$3000,$K$2,'Pending Putaway'!$B$2:$B$3000,SUBSTITUTE($A33," SS","  SS")),"NA"))</f>
        <v>0</v>
      </c>
      <c r="J33" s="81" t="n">
        <f aca="false">IF(COUNTIFS('Pending Putaway'!$A$2:$A$3000,$K$2,'Pending Putaway'!$B$2:$B$3000,$A33)&gt;0,SUMIFS('Pending Putaway'!$L$2:$L$3000,'Pending Putaway'!$A$2:$A$3000,$K$2,'Pending Putaway'!$B$2:$B$3000,$A33),IF(COUNTIFS('Pending Putaway'!$A$2:$A$3000,$K$2,'Pending Putaway'!$B$2:$B$3000,SUBSTITUTE($A33," SS","  SS"))&gt;0,SUMIFS('Pending Putaway'!$L$2:$L$3000,'Pending Putaway'!$A$2:$A$3000,$K$2,'Pending Putaway'!$B$2:$B$3000,SUBSTITUTE($A33," SS","  SS")),"NA"))</f>
        <v>0</v>
      </c>
      <c r="K33" s="23"/>
      <c r="L33" s="23"/>
      <c r="M33" s="23"/>
      <c r="N33" s="23"/>
      <c r="O33" s="23"/>
      <c r="P33" s="23"/>
      <c r="Q33" s="23"/>
      <c r="R33" s="23"/>
      <c r="S33" s="23"/>
      <c r="T33" s="23"/>
      <c r="U33" s="23"/>
      <c r="V33" s="23"/>
      <c r="W33" s="23"/>
      <c r="X33" s="23"/>
      <c r="Y33" s="23"/>
      <c r="Z33" s="23"/>
      <c r="AA33" s="23"/>
      <c r="AB33" s="23"/>
      <c r="AC33" s="23"/>
      <c r="AD33" s="23"/>
      <c r="AE33" s="23"/>
      <c r="AF33" s="23"/>
      <c r="AG33" s="23"/>
      <c r="AH33" s="23"/>
    </row>
    <row r="34" customFormat="false" ht="15.75" hidden="false" customHeight="true" outlineLevel="0" collapsed="false">
      <c r="A34" s="81" t="s">
        <v>56</v>
      </c>
      <c r="B34" s="81" t="str">
        <f aca="false" t="array" ref="B34:B34">IFERROR(INDEX('CLM &amp; IM Mapping'!$B$2:$B$270,MATCH($A34,'CLM &amp; IM Mapping'!$A$2:$A$270,0)),"Not Mapped")</f>
        <v>Keshav G</v>
      </c>
      <c r="C34" s="81" t="str">
        <f aca="false" t="array" ref="C34:C34">IFERROR(INDEX('CLM &amp; IM Mapping'!$C$2:$C$270,MATCH($A34,'CLM &amp; IM Mapping'!$A$2:$A$270,0)),"Not Mapped")</f>
        <v>Un Mapped</v>
      </c>
      <c r="D34" s="82" t="n">
        <f aca="false">IF(COUNTIFS(Shrinkage!$A$2:$A$3000,$K$2,Shrinkage!$D$2:$D$3000,$A34)&gt;0,SUMIFS(Shrinkage!$P$2:$P$3000,Shrinkage!$A$2:$A$3000,$K$2,Shrinkage!$D$2:$D$3000,$A34),IF(COUNTIFS(Shrinkage!$A$2:$A$3000,$K$2,Shrinkage!$D$2:$D$3000,SUBSTITUTE($A34," SS","  SS"))&gt;0,SUMIFS(Shrinkage!$P$2:$P$3000,Shrinkage!$A$2:$A$3000,$K$2,Shrinkage!$D$2:$D$3000,SUBSTITUTE($A34," SS","  SS")),"NA"))</f>
        <v>77258</v>
      </c>
      <c r="E34" s="83" t="n">
        <f aca="false">IF(COUNTIFS('Inventory Hygiene'!$A$2:$A$3000,$K$2,'Inventory Hygiene'!$B$2:$B$3000,$A34)&gt;0,AVERAGEIFS('Inventory Hygiene'!$J$2:$J$3000,'Inventory Hygiene'!$A$2:$A$3000,$K$2,'Inventory Hygiene'!$B$2:$B$3000,$A34),IF(COUNTIFS('Inventory Hygiene'!$A$2:$A$3000,$K$2,'Inventory Hygiene'!$B$2:$B$3000,SUBSTITUTE($A34," SS","  SS"))&gt;0,AVERAGEIFS('Inventory Hygiene'!$J$2:$J$3000,'Inventory Hygiene'!$A$2:$A$3000,$K$2,'Inventory Hygiene'!$B$2:$B$3000,SUBSTITUTE($A34," SS","  SS")),"NA"))</f>
        <v>0.29218457347182</v>
      </c>
      <c r="F34" s="81" t="n">
        <f aca="false">IF(COUNTIFS('Bad Bins'!$A$2:$A$3000,$K$2,'Bad Bins'!$B$2:$B$3000,$A34)&gt;0,SUMIFS('Bad Bins'!$K$2:$K$3000,'Bad Bins'!$A$2:$A$3000,$K$2,'Bad Bins'!$B$2:$B$3000,$A34),IF(COUNTIFS('Bad Bins'!$A$2:$A$3000,$K$2,'Bad Bins'!$B$2:$B$3000,SUBSTITUTE($A34," SS","  SS"))&gt;0,SUMIFS('Bad Bins'!$K$2:$K$3000,'Bad Bins'!$A$2:$A$3000,$K$2,'Bad Bins'!$B$2:$B$3000,SUBSTITUTE($A34," SS","  SS")),"NA"))</f>
        <v>73</v>
      </c>
      <c r="G34" s="81" t="str">
        <f aca="false">IF(COUNTIFS('RSTO &gt; 48hrs'!$A$2:$A$3000,$K$2,'RSTO &gt; 48hrs'!$B$2:$B$3000,$A34)&gt;0,SUMIFS('RSTO &gt; 48hrs'!$H$2:$H$3000,'RSTO &gt; 48hrs'!$A$2:$A$3000,$K$2,'RSTO &gt; 48hrs'!$B$2:$B$3000,$A34),IF(COUNTIFS('RSTO &gt; 48hrs'!$A$2:$A$3000,$K$2,'RSTO &gt; 48hrs'!$B$2:$B$3000,SUBSTITUTE($A34," SS","  SS"))&gt;0,SUMIFS('RSTO &gt; 48hrs'!$H$2:$H$3000,'RSTO &gt; 48hrs'!$A$2:$A$3000,$K$2,'RSTO &gt; 48hrs'!$B$2:$B$3000,SUBSTITUTE($A34," SS","  SS")),"NA"))</f>
        <v>NA</v>
      </c>
      <c r="H34" s="81" t="str">
        <f aca="false">IF(COUNTIFS('Recirculation &gt; 24 hrs'!$A$2:$A$3000,$K$2,'Recirculation &gt; 24 hrs'!$B$2:$B$3000,$A34)&gt;0,SUMIFS('Recirculation &gt; 24 hrs'!$K$2:$K$3000,'Recirculation &gt; 24 hrs'!$A$2:$A$3000,$K$2,'Recirculation &gt; 24 hrs'!$B$2:$B$3000,$A34),IF(COUNTIFS('Recirculation &gt; 24 hrs'!$A$2:$A$3000,$K$2,'Recirculation &gt; 24 hrs'!$B$2:$B$3000,SUBSTITUTE($A34," SS","  SS"))&gt;0,SUMIFS('Recirculation &gt; 24 hrs'!$K$2:$K$3000,'Recirculation &gt; 24 hrs'!$A$2:$A$3000,$K$2,'Recirculation &gt; 24 hrs'!$B$2:$B$3000,SUBSTITUTE($A34," SS","  SS")),"NA"))</f>
        <v>NA</v>
      </c>
      <c r="I34" s="81" t="n">
        <f aca="false">IF(COUNTIFS('Pending Putaway'!$A$2:$A$3000,$K$2,'Pending Putaway'!$B$2:$B$3000,$A34)&gt;0,SUMIFS('Pending Putaway'!$E$2:$E$3000,'Pending Putaway'!$A$2:$A$3000,$K$2,'Pending Putaway'!$B$2:$B$3000,$A34),IF(COUNTIFS('Pending Putaway'!$A$2:$A$3000,$K$2,'Pending Putaway'!$B$2:$B$3000,SUBSTITUTE($A34," SS","  SS"))&gt;0,SUMIFS('Pending Putaway'!$E$2:$E$3000,'Pending Putaway'!$A$2:$A$3000,$K$2,'Pending Putaway'!$B$2:$B$3000,SUBSTITUTE($A34," SS","  SS")),"NA"))</f>
        <v>5394</v>
      </c>
      <c r="J34" s="81" t="n">
        <f aca="false">IF(COUNTIFS('Pending Putaway'!$A$2:$A$3000,$K$2,'Pending Putaway'!$B$2:$B$3000,$A34)&gt;0,SUMIFS('Pending Putaway'!$L$2:$L$3000,'Pending Putaway'!$A$2:$A$3000,$K$2,'Pending Putaway'!$B$2:$B$3000,$A34),IF(COUNTIFS('Pending Putaway'!$A$2:$A$3000,$K$2,'Pending Putaway'!$B$2:$B$3000,SUBSTITUTE($A34," SS","  SS"))&gt;0,SUMIFS('Pending Putaway'!$L$2:$L$3000,'Pending Putaway'!$A$2:$A$3000,$K$2,'Pending Putaway'!$B$2:$B$3000,SUBSTITUTE($A34," SS","  SS")),"NA"))</f>
        <v>32</v>
      </c>
      <c r="K34" s="23"/>
      <c r="L34" s="23"/>
      <c r="M34" s="23"/>
      <c r="N34" s="23"/>
      <c r="O34" s="23"/>
      <c r="P34" s="23"/>
      <c r="Q34" s="23"/>
      <c r="R34" s="23"/>
      <c r="S34" s="23"/>
      <c r="T34" s="23"/>
      <c r="U34" s="23"/>
      <c r="V34" s="23"/>
      <c r="W34" s="23"/>
      <c r="X34" s="23"/>
      <c r="Y34" s="23"/>
      <c r="Z34" s="23"/>
      <c r="AA34" s="23"/>
      <c r="AB34" s="23"/>
      <c r="AC34" s="23"/>
      <c r="AD34" s="23"/>
      <c r="AE34" s="23"/>
      <c r="AF34" s="23"/>
      <c r="AG34" s="23"/>
      <c r="AH34" s="23"/>
    </row>
    <row r="35" customFormat="false" ht="15.75" hidden="false" customHeight="true" outlineLevel="0" collapsed="false">
      <c r="A35" s="81" t="s">
        <v>457</v>
      </c>
      <c r="B35" s="81" t="str">
        <f aca="false" t="array" ref="B35:B35">IFERROR(INDEX('CLM &amp; IM Mapping'!$B$2:$B$270,MATCH($A35,'CLM &amp; IM Mapping'!$A$2:$A$270,0)),"Not Mapped")</f>
        <v>Saddam Hussain</v>
      </c>
      <c r="C35" s="81" t="str">
        <f aca="false" t="array" ref="C35:C35">IFERROR(INDEX('CLM &amp; IM Mapping'!$C$2:$C$270,MATCH($A35,'CLM &amp; IM Mapping'!$A$2:$A$270,0)),"Not Mapped")</f>
        <v>Un Mapped</v>
      </c>
      <c r="D35" s="82" t="n">
        <f aca="false">IF(COUNTIFS(Shrinkage!$A$2:$A$3000,$K$2,Shrinkage!$D$2:$D$3000,$A35)&gt;0,SUMIFS(Shrinkage!$P$2:$P$3000,Shrinkage!$A$2:$A$3000,$K$2,Shrinkage!$D$2:$D$3000,$A35),IF(COUNTIFS(Shrinkage!$A$2:$A$3000,$K$2,Shrinkage!$D$2:$D$3000,SUBSTITUTE($A35," SS","  SS"))&gt;0,SUMIFS(Shrinkage!$P$2:$P$3000,Shrinkage!$A$2:$A$3000,$K$2,Shrinkage!$D$2:$D$3000,SUBSTITUTE($A35," SS","  SS")),"NA"))</f>
        <v>-6542</v>
      </c>
      <c r="E35" s="83" t="n">
        <f aca="false">IF(COUNTIFS('Inventory Hygiene'!$A$2:$A$3000,$K$2,'Inventory Hygiene'!$B$2:$B$3000,$A35)&gt;0,AVERAGEIFS('Inventory Hygiene'!$J$2:$J$3000,'Inventory Hygiene'!$A$2:$A$3000,$K$2,'Inventory Hygiene'!$B$2:$B$3000,$A35),IF(COUNTIFS('Inventory Hygiene'!$A$2:$A$3000,$K$2,'Inventory Hygiene'!$B$2:$B$3000,SUBSTITUTE($A35," SS","  SS"))&gt;0,AVERAGEIFS('Inventory Hygiene'!$J$2:$J$3000,'Inventory Hygiene'!$A$2:$A$3000,$K$2,'Inventory Hygiene'!$B$2:$B$3000,SUBSTITUTE($A35," SS","  SS")),"NA"))</f>
        <v>0.967865097041044</v>
      </c>
      <c r="F35" s="81" t="n">
        <f aca="false">IF(COUNTIFS('Bad Bins'!$A$2:$A$3000,$K$2,'Bad Bins'!$B$2:$B$3000,$A35)&gt;0,SUMIFS('Bad Bins'!$K$2:$K$3000,'Bad Bins'!$A$2:$A$3000,$K$2,'Bad Bins'!$B$2:$B$3000,$A35),IF(COUNTIFS('Bad Bins'!$A$2:$A$3000,$K$2,'Bad Bins'!$B$2:$B$3000,SUBSTITUTE($A35," SS","  SS"))&gt;0,SUMIFS('Bad Bins'!$K$2:$K$3000,'Bad Bins'!$A$2:$A$3000,$K$2,'Bad Bins'!$B$2:$B$3000,SUBSTITUTE($A35," SS","  SS")),"NA"))</f>
        <v>27</v>
      </c>
      <c r="G35" s="81" t="str">
        <f aca="false">IF(COUNTIFS('RSTO &gt; 48hrs'!$A$2:$A$3000,$K$2,'RSTO &gt; 48hrs'!$B$2:$B$3000,$A35)&gt;0,SUMIFS('RSTO &gt; 48hrs'!$H$2:$H$3000,'RSTO &gt; 48hrs'!$A$2:$A$3000,$K$2,'RSTO &gt; 48hrs'!$B$2:$B$3000,$A35),IF(COUNTIFS('RSTO &gt; 48hrs'!$A$2:$A$3000,$K$2,'RSTO &gt; 48hrs'!$B$2:$B$3000,SUBSTITUTE($A35," SS","  SS"))&gt;0,SUMIFS('RSTO &gt; 48hrs'!$H$2:$H$3000,'RSTO &gt; 48hrs'!$A$2:$A$3000,$K$2,'RSTO &gt; 48hrs'!$B$2:$B$3000,SUBSTITUTE($A35," SS","  SS")),"NA"))</f>
        <v>NA</v>
      </c>
      <c r="H35" s="81" t="str">
        <f aca="false">IF(COUNTIFS('Recirculation &gt; 24 hrs'!$A$2:$A$3000,$K$2,'Recirculation &gt; 24 hrs'!$B$2:$B$3000,$A35)&gt;0,SUMIFS('Recirculation &gt; 24 hrs'!$K$2:$K$3000,'Recirculation &gt; 24 hrs'!$A$2:$A$3000,$K$2,'Recirculation &gt; 24 hrs'!$B$2:$B$3000,$A35),IF(COUNTIFS('Recirculation &gt; 24 hrs'!$A$2:$A$3000,$K$2,'Recirculation &gt; 24 hrs'!$B$2:$B$3000,SUBSTITUTE($A35," SS","  SS"))&gt;0,SUMIFS('Recirculation &gt; 24 hrs'!$K$2:$K$3000,'Recirculation &gt; 24 hrs'!$A$2:$A$3000,$K$2,'Recirculation &gt; 24 hrs'!$B$2:$B$3000,SUBSTITUTE($A35," SS","  SS")),"NA"))</f>
        <v>NA</v>
      </c>
      <c r="I35" s="81" t="n">
        <f aca="false">IF(COUNTIFS('Pending Putaway'!$A$2:$A$3000,$K$2,'Pending Putaway'!$B$2:$B$3000,$A35)&gt;0,SUMIFS('Pending Putaway'!$E$2:$E$3000,'Pending Putaway'!$A$2:$A$3000,$K$2,'Pending Putaway'!$B$2:$B$3000,$A35),IF(COUNTIFS('Pending Putaway'!$A$2:$A$3000,$K$2,'Pending Putaway'!$B$2:$B$3000,SUBSTITUTE($A35," SS","  SS"))&gt;0,SUMIFS('Pending Putaway'!$E$2:$E$3000,'Pending Putaway'!$A$2:$A$3000,$K$2,'Pending Putaway'!$B$2:$B$3000,SUBSTITUTE($A35," SS","  SS")),"NA"))</f>
        <v>0</v>
      </c>
      <c r="J35" s="81" t="n">
        <f aca="false">IF(COUNTIFS('Pending Putaway'!$A$2:$A$3000,$K$2,'Pending Putaway'!$B$2:$B$3000,$A35)&gt;0,SUMIFS('Pending Putaway'!$L$2:$L$3000,'Pending Putaway'!$A$2:$A$3000,$K$2,'Pending Putaway'!$B$2:$B$3000,$A35),IF(COUNTIFS('Pending Putaway'!$A$2:$A$3000,$K$2,'Pending Putaway'!$B$2:$B$3000,SUBSTITUTE($A35," SS","  SS"))&gt;0,SUMIFS('Pending Putaway'!$L$2:$L$3000,'Pending Putaway'!$A$2:$A$3000,$K$2,'Pending Putaway'!$B$2:$B$3000,SUBSTITUTE($A35," SS","  SS")),"NA"))</f>
        <v>0</v>
      </c>
      <c r="K35" s="23"/>
      <c r="L35" s="23"/>
      <c r="M35" s="23"/>
      <c r="N35" s="23"/>
      <c r="O35" s="23"/>
      <c r="P35" s="23"/>
      <c r="Q35" s="23"/>
      <c r="R35" s="23"/>
      <c r="S35" s="23"/>
      <c r="T35" s="23"/>
      <c r="U35" s="23"/>
      <c r="V35" s="23"/>
      <c r="W35" s="23"/>
      <c r="X35" s="23"/>
      <c r="Y35" s="23"/>
      <c r="Z35" s="23"/>
      <c r="AA35" s="23"/>
      <c r="AB35" s="23"/>
      <c r="AC35" s="23"/>
      <c r="AD35" s="23"/>
      <c r="AE35" s="23"/>
      <c r="AF35" s="23"/>
      <c r="AG35" s="23"/>
      <c r="AH35" s="23"/>
    </row>
    <row r="36" customFormat="false" ht="15.75" hidden="false" customHeight="true" outlineLevel="0" collapsed="false">
      <c r="A36" s="81" t="s">
        <v>528</v>
      </c>
      <c r="B36" s="81" t="str">
        <f aca="false" t="array" ref="B36:B36">IFERROR(INDEX('CLM &amp; IM Mapping'!$B$2:$B$270,MATCH($A36,'CLM &amp; IM Mapping'!$A$2:$A$270,0)),"Not Mapped")</f>
        <v>Saddam Hussain</v>
      </c>
      <c r="C36" s="81" t="str">
        <f aca="false" t="array" ref="C36:C36">IFERROR(INDEX('CLM &amp; IM Mapping'!$C$2:$C$270,MATCH($A36,'CLM &amp; IM Mapping'!$A$2:$A$270,0)),"Not Mapped")</f>
        <v>Un Mapped</v>
      </c>
      <c r="D36" s="82" t="n">
        <f aca="false">IF(COUNTIFS(Shrinkage!$A$2:$A$3000,$K$2,Shrinkage!$D$2:$D$3000,$A36)&gt;0,SUMIFS(Shrinkage!$P$2:$P$3000,Shrinkage!$A$2:$A$3000,$K$2,Shrinkage!$D$2:$D$3000,$A36),IF(COUNTIFS(Shrinkage!$A$2:$A$3000,$K$2,Shrinkage!$D$2:$D$3000,SUBSTITUTE($A36," SS","  SS"))&gt;0,SUMIFS(Shrinkage!$P$2:$P$3000,Shrinkage!$A$2:$A$3000,$K$2,Shrinkage!$D$2:$D$3000,SUBSTITUTE($A36," SS","  SS")),"NA"))</f>
        <v>-46932</v>
      </c>
      <c r="E36" s="83" t="n">
        <f aca="false">IF(COUNTIFS('Inventory Hygiene'!$A$2:$A$3000,$K$2,'Inventory Hygiene'!$B$2:$B$3000,$A36)&gt;0,AVERAGEIFS('Inventory Hygiene'!$J$2:$J$3000,'Inventory Hygiene'!$A$2:$A$3000,$K$2,'Inventory Hygiene'!$B$2:$B$3000,$A36),IF(COUNTIFS('Inventory Hygiene'!$A$2:$A$3000,$K$2,'Inventory Hygiene'!$B$2:$B$3000,SUBSTITUTE($A36," SS","  SS"))&gt;0,AVERAGEIFS('Inventory Hygiene'!$J$2:$J$3000,'Inventory Hygiene'!$A$2:$A$3000,$K$2,'Inventory Hygiene'!$B$2:$B$3000,SUBSTITUTE($A36," SS","  SS")),"NA"))</f>
        <v>0.594421288874639</v>
      </c>
      <c r="F36" s="81" t="n">
        <f aca="false">IF(COUNTIFS('Bad Bins'!$A$2:$A$3000,$K$2,'Bad Bins'!$B$2:$B$3000,$A36)&gt;0,SUMIFS('Bad Bins'!$K$2:$K$3000,'Bad Bins'!$A$2:$A$3000,$K$2,'Bad Bins'!$B$2:$B$3000,$A36),IF(COUNTIFS('Bad Bins'!$A$2:$A$3000,$K$2,'Bad Bins'!$B$2:$B$3000,SUBSTITUTE($A36," SS","  SS"))&gt;0,SUMIFS('Bad Bins'!$K$2:$K$3000,'Bad Bins'!$A$2:$A$3000,$K$2,'Bad Bins'!$B$2:$B$3000,SUBSTITUTE($A36," SS","  SS")),"NA"))</f>
        <v>243</v>
      </c>
      <c r="G36" s="81" t="str">
        <f aca="false">IF(COUNTIFS('RSTO &gt; 48hrs'!$A$2:$A$3000,$K$2,'RSTO &gt; 48hrs'!$B$2:$B$3000,$A36)&gt;0,SUMIFS('RSTO &gt; 48hrs'!$H$2:$H$3000,'RSTO &gt; 48hrs'!$A$2:$A$3000,$K$2,'RSTO &gt; 48hrs'!$B$2:$B$3000,$A36),IF(COUNTIFS('RSTO &gt; 48hrs'!$A$2:$A$3000,$K$2,'RSTO &gt; 48hrs'!$B$2:$B$3000,SUBSTITUTE($A36," SS","  SS"))&gt;0,SUMIFS('RSTO &gt; 48hrs'!$H$2:$H$3000,'RSTO &gt; 48hrs'!$A$2:$A$3000,$K$2,'RSTO &gt; 48hrs'!$B$2:$B$3000,SUBSTITUTE($A36," SS","  SS")),"NA"))</f>
        <v>NA</v>
      </c>
      <c r="H36" s="81" t="n">
        <f aca="false">IF(COUNTIFS('Recirculation &gt; 24 hrs'!$A$2:$A$3000,$K$2,'Recirculation &gt; 24 hrs'!$B$2:$B$3000,$A36)&gt;0,SUMIFS('Recirculation &gt; 24 hrs'!$K$2:$K$3000,'Recirculation &gt; 24 hrs'!$A$2:$A$3000,$K$2,'Recirculation &gt; 24 hrs'!$B$2:$B$3000,$A36),IF(COUNTIFS('Recirculation &gt; 24 hrs'!$A$2:$A$3000,$K$2,'Recirculation &gt; 24 hrs'!$B$2:$B$3000,SUBSTITUTE($A36," SS","  SS"))&gt;0,SUMIFS('Recirculation &gt; 24 hrs'!$K$2:$K$3000,'Recirculation &gt; 24 hrs'!$A$2:$A$3000,$K$2,'Recirculation &gt; 24 hrs'!$B$2:$B$3000,SUBSTITUTE($A36," SS","  SS")),"NA"))</f>
        <v>465</v>
      </c>
      <c r="I36" s="81" t="n">
        <f aca="false">IF(COUNTIFS('Pending Putaway'!$A$2:$A$3000,$K$2,'Pending Putaway'!$B$2:$B$3000,$A36)&gt;0,SUMIFS('Pending Putaway'!$E$2:$E$3000,'Pending Putaway'!$A$2:$A$3000,$K$2,'Pending Putaway'!$B$2:$B$3000,$A36),IF(COUNTIFS('Pending Putaway'!$A$2:$A$3000,$K$2,'Pending Putaway'!$B$2:$B$3000,SUBSTITUTE($A36," SS","  SS"))&gt;0,SUMIFS('Pending Putaway'!$E$2:$E$3000,'Pending Putaway'!$A$2:$A$3000,$K$2,'Pending Putaway'!$B$2:$B$3000,SUBSTITUTE($A36," SS","  SS")),"NA"))</f>
        <v>0</v>
      </c>
      <c r="J36" s="81" t="n">
        <f aca="false">IF(COUNTIFS('Pending Putaway'!$A$2:$A$3000,$K$2,'Pending Putaway'!$B$2:$B$3000,$A36)&gt;0,SUMIFS('Pending Putaway'!$L$2:$L$3000,'Pending Putaway'!$A$2:$A$3000,$K$2,'Pending Putaway'!$B$2:$B$3000,$A36),IF(COUNTIFS('Pending Putaway'!$A$2:$A$3000,$K$2,'Pending Putaway'!$B$2:$B$3000,SUBSTITUTE($A36," SS","  SS"))&gt;0,SUMIFS('Pending Putaway'!$L$2:$L$3000,'Pending Putaway'!$A$2:$A$3000,$K$2,'Pending Putaway'!$B$2:$B$3000,SUBSTITUTE($A36," SS","  SS")),"NA"))</f>
        <v>0</v>
      </c>
      <c r="K36" s="23"/>
      <c r="L36" s="23"/>
      <c r="M36" s="23"/>
      <c r="N36" s="23"/>
      <c r="O36" s="23"/>
      <c r="P36" s="23"/>
      <c r="Q36" s="23"/>
      <c r="R36" s="23"/>
      <c r="S36" s="23"/>
      <c r="T36" s="23"/>
      <c r="U36" s="23"/>
      <c r="V36" s="23"/>
      <c r="W36" s="23"/>
      <c r="X36" s="23"/>
      <c r="Y36" s="23"/>
      <c r="Z36" s="23"/>
      <c r="AA36" s="23"/>
      <c r="AB36" s="23"/>
      <c r="AC36" s="23"/>
      <c r="AD36" s="23"/>
      <c r="AE36" s="23"/>
      <c r="AF36" s="23"/>
      <c r="AG36" s="23"/>
      <c r="AH36" s="23"/>
    </row>
    <row r="37" customFormat="false" ht="15.75" hidden="false" customHeight="true" outlineLevel="0" collapsed="false">
      <c r="A37" s="81" t="s">
        <v>346</v>
      </c>
      <c r="B37" s="81" t="str">
        <f aca="false" t="array" ref="B37:B37">IFERROR(INDEX('CLM &amp; IM Mapping'!$B$2:$B$270,MATCH($A37,'CLM &amp; IM Mapping'!$A$2:$A$270,0)),"Not Mapped")</f>
        <v>Saddam Hussain</v>
      </c>
      <c r="C37" s="81" t="str">
        <f aca="false" t="array" ref="C37:C37">IFERROR(INDEX('CLM &amp; IM Mapping'!$C$2:$C$270,MATCH($A37,'CLM &amp; IM Mapping'!$A$2:$A$270,0)),"Not Mapped")</f>
        <v>Un Mapped</v>
      </c>
      <c r="D37" s="82" t="n">
        <f aca="false">IF(COUNTIFS(Shrinkage!$A$2:$A$3000,$K$2,Shrinkage!$D$2:$D$3000,$A37)&gt;0,SUMIFS(Shrinkage!$P$2:$P$3000,Shrinkage!$A$2:$A$3000,$K$2,Shrinkage!$D$2:$D$3000,$A37),IF(COUNTIFS(Shrinkage!$A$2:$A$3000,$K$2,Shrinkage!$D$2:$D$3000,SUBSTITUTE($A37," SS","  SS"))&gt;0,SUMIFS(Shrinkage!$P$2:$P$3000,Shrinkage!$A$2:$A$3000,$K$2,Shrinkage!$D$2:$D$3000,SUBSTITUTE($A37," SS","  SS")),"NA"))</f>
        <v>2347</v>
      </c>
      <c r="E37" s="83" t="n">
        <f aca="false">IF(COUNTIFS('Inventory Hygiene'!$A$2:$A$3000,$K$2,'Inventory Hygiene'!$B$2:$B$3000,$A37)&gt;0,AVERAGEIFS('Inventory Hygiene'!$J$2:$J$3000,'Inventory Hygiene'!$A$2:$A$3000,$K$2,'Inventory Hygiene'!$B$2:$B$3000,$A37),IF(COUNTIFS('Inventory Hygiene'!$A$2:$A$3000,$K$2,'Inventory Hygiene'!$B$2:$B$3000,SUBSTITUTE($A37," SS","  SS"))&gt;0,AVERAGEIFS('Inventory Hygiene'!$J$2:$J$3000,'Inventory Hygiene'!$A$2:$A$3000,$K$2,'Inventory Hygiene'!$B$2:$B$3000,SUBSTITUTE($A37," SS","  SS")),"NA"))</f>
        <v>0.834716581317323</v>
      </c>
      <c r="F37" s="81" t="n">
        <f aca="false">IF(COUNTIFS('Bad Bins'!$A$2:$A$3000,$K$2,'Bad Bins'!$B$2:$B$3000,$A37)&gt;0,SUMIFS('Bad Bins'!$K$2:$K$3000,'Bad Bins'!$A$2:$A$3000,$K$2,'Bad Bins'!$B$2:$B$3000,$A37),IF(COUNTIFS('Bad Bins'!$A$2:$A$3000,$K$2,'Bad Bins'!$B$2:$B$3000,SUBSTITUTE($A37," SS","  SS"))&gt;0,SUMIFS('Bad Bins'!$K$2:$K$3000,'Bad Bins'!$A$2:$A$3000,$K$2,'Bad Bins'!$B$2:$B$3000,SUBSTITUTE($A37," SS","  SS")),"NA"))</f>
        <v>54</v>
      </c>
      <c r="G37" s="81" t="str">
        <f aca="false">IF(COUNTIFS('RSTO &gt; 48hrs'!$A$2:$A$3000,$K$2,'RSTO &gt; 48hrs'!$B$2:$B$3000,$A37)&gt;0,SUMIFS('RSTO &gt; 48hrs'!$H$2:$H$3000,'RSTO &gt; 48hrs'!$A$2:$A$3000,$K$2,'RSTO &gt; 48hrs'!$B$2:$B$3000,$A37),IF(COUNTIFS('RSTO &gt; 48hrs'!$A$2:$A$3000,$K$2,'RSTO &gt; 48hrs'!$B$2:$B$3000,SUBSTITUTE($A37," SS","  SS"))&gt;0,SUMIFS('RSTO &gt; 48hrs'!$H$2:$H$3000,'RSTO &gt; 48hrs'!$A$2:$A$3000,$K$2,'RSTO &gt; 48hrs'!$B$2:$B$3000,SUBSTITUTE($A37," SS","  SS")),"NA"))</f>
        <v>NA</v>
      </c>
      <c r="H37" s="81" t="str">
        <f aca="false">IF(COUNTIFS('Recirculation &gt; 24 hrs'!$A$2:$A$3000,$K$2,'Recirculation &gt; 24 hrs'!$B$2:$B$3000,$A37)&gt;0,SUMIFS('Recirculation &gt; 24 hrs'!$K$2:$K$3000,'Recirculation &gt; 24 hrs'!$A$2:$A$3000,$K$2,'Recirculation &gt; 24 hrs'!$B$2:$B$3000,$A37),IF(COUNTIFS('Recirculation &gt; 24 hrs'!$A$2:$A$3000,$K$2,'Recirculation &gt; 24 hrs'!$B$2:$B$3000,SUBSTITUTE($A37," SS","  SS"))&gt;0,SUMIFS('Recirculation &gt; 24 hrs'!$K$2:$K$3000,'Recirculation &gt; 24 hrs'!$A$2:$A$3000,$K$2,'Recirculation &gt; 24 hrs'!$B$2:$B$3000,SUBSTITUTE($A37," SS","  SS")),"NA"))</f>
        <v>NA</v>
      </c>
      <c r="I37" s="81" t="n">
        <f aca="false">IF(COUNTIFS('Pending Putaway'!$A$2:$A$3000,$K$2,'Pending Putaway'!$B$2:$B$3000,$A37)&gt;0,SUMIFS('Pending Putaway'!$E$2:$E$3000,'Pending Putaway'!$A$2:$A$3000,$K$2,'Pending Putaway'!$B$2:$B$3000,$A37),IF(COUNTIFS('Pending Putaway'!$A$2:$A$3000,$K$2,'Pending Putaway'!$B$2:$B$3000,SUBSTITUTE($A37," SS","  SS"))&gt;0,SUMIFS('Pending Putaway'!$E$2:$E$3000,'Pending Putaway'!$A$2:$A$3000,$K$2,'Pending Putaway'!$B$2:$B$3000,SUBSTITUTE($A37," SS","  SS")),"NA"))</f>
        <v>2780</v>
      </c>
      <c r="J37" s="81" t="n">
        <f aca="false">IF(COUNTIFS('Pending Putaway'!$A$2:$A$3000,$K$2,'Pending Putaway'!$B$2:$B$3000,$A37)&gt;0,SUMIFS('Pending Putaway'!$L$2:$L$3000,'Pending Putaway'!$A$2:$A$3000,$K$2,'Pending Putaway'!$B$2:$B$3000,$A37),IF(COUNTIFS('Pending Putaway'!$A$2:$A$3000,$K$2,'Pending Putaway'!$B$2:$B$3000,SUBSTITUTE($A37," SS","  SS"))&gt;0,SUMIFS('Pending Putaway'!$L$2:$L$3000,'Pending Putaway'!$A$2:$A$3000,$K$2,'Pending Putaway'!$B$2:$B$3000,SUBSTITUTE($A37," SS","  SS")),"NA"))</f>
        <v>0</v>
      </c>
      <c r="K37" s="23"/>
      <c r="L37" s="23"/>
      <c r="M37" s="23"/>
      <c r="N37" s="23"/>
      <c r="O37" s="23"/>
      <c r="P37" s="23"/>
      <c r="Q37" s="23"/>
      <c r="R37" s="23"/>
      <c r="S37" s="23"/>
      <c r="T37" s="23"/>
      <c r="U37" s="23"/>
      <c r="V37" s="23"/>
      <c r="W37" s="23"/>
      <c r="X37" s="23"/>
      <c r="Y37" s="23"/>
      <c r="Z37" s="23"/>
      <c r="AA37" s="23"/>
      <c r="AB37" s="23"/>
      <c r="AC37" s="23"/>
      <c r="AD37" s="23"/>
      <c r="AE37" s="23"/>
      <c r="AF37" s="23"/>
      <c r="AG37" s="23"/>
      <c r="AH37" s="23"/>
    </row>
    <row r="38" customFormat="false" ht="15.75" hidden="false" customHeight="true" outlineLevel="0" collapsed="false">
      <c r="A38" s="81" t="s">
        <v>512</v>
      </c>
      <c r="B38" s="81" t="str">
        <f aca="false" t="array" ref="B38:B38">IFERROR(INDEX('CLM &amp; IM Mapping'!$B$2:$B$270,MATCH($A38,'CLM &amp; IM Mapping'!$A$2:$A$270,0)),"Not Mapped")</f>
        <v>Saddam Hussain</v>
      </c>
      <c r="C38" s="81" t="str">
        <f aca="false" t="array" ref="C38:C38">IFERROR(INDEX('CLM &amp; IM Mapping'!$C$2:$C$270,MATCH($A38,'CLM &amp; IM Mapping'!$A$2:$A$270,0)),"Not Mapped")</f>
        <v>Un Mapped</v>
      </c>
      <c r="D38" s="82" t="n">
        <f aca="false">IF(COUNTIFS(Shrinkage!$A$2:$A$3000,$K$2,Shrinkage!$D$2:$D$3000,$A38)&gt;0,SUMIFS(Shrinkage!$P$2:$P$3000,Shrinkage!$A$2:$A$3000,$K$2,Shrinkage!$D$2:$D$3000,$A38),IF(COUNTIFS(Shrinkage!$A$2:$A$3000,$K$2,Shrinkage!$D$2:$D$3000,SUBSTITUTE($A38," SS","  SS"))&gt;0,SUMIFS(Shrinkage!$P$2:$P$3000,Shrinkage!$A$2:$A$3000,$K$2,Shrinkage!$D$2:$D$3000,SUBSTITUTE($A38," SS","  SS")),"NA"))</f>
        <v>-13878</v>
      </c>
      <c r="E38" s="83" t="n">
        <f aca="false">IF(COUNTIFS('Inventory Hygiene'!$A$2:$A$3000,$K$2,'Inventory Hygiene'!$B$2:$B$3000,$A38)&gt;0,AVERAGEIFS('Inventory Hygiene'!$J$2:$J$3000,'Inventory Hygiene'!$A$2:$A$3000,$K$2,'Inventory Hygiene'!$B$2:$B$3000,$A38),IF(COUNTIFS('Inventory Hygiene'!$A$2:$A$3000,$K$2,'Inventory Hygiene'!$B$2:$B$3000,SUBSTITUTE($A38," SS","  SS"))&gt;0,AVERAGEIFS('Inventory Hygiene'!$J$2:$J$3000,'Inventory Hygiene'!$A$2:$A$3000,$K$2,'Inventory Hygiene'!$B$2:$B$3000,SUBSTITUTE($A38," SS","  SS")),"NA"))</f>
        <v>0.801044634377968</v>
      </c>
      <c r="F38" s="81" t="n">
        <f aca="false">IF(COUNTIFS('Bad Bins'!$A$2:$A$3000,$K$2,'Bad Bins'!$B$2:$B$3000,$A38)&gt;0,SUMIFS('Bad Bins'!$K$2:$K$3000,'Bad Bins'!$A$2:$A$3000,$K$2,'Bad Bins'!$B$2:$B$3000,$A38),IF(COUNTIFS('Bad Bins'!$A$2:$A$3000,$K$2,'Bad Bins'!$B$2:$B$3000,SUBSTITUTE($A38," SS","  SS"))&gt;0,SUMIFS('Bad Bins'!$K$2:$K$3000,'Bad Bins'!$A$2:$A$3000,$K$2,'Bad Bins'!$B$2:$B$3000,SUBSTITUTE($A38," SS","  SS")),"NA"))</f>
        <v>300</v>
      </c>
      <c r="G38" s="81" t="str">
        <f aca="false">IF(COUNTIFS('RSTO &gt; 48hrs'!$A$2:$A$3000,$K$2,'RSTO &gt; 48hrs'!$B$2:$B$3000,$A38)&gt;0,SUMIFS('RSTO &gt; 48hrs'!$H$2:$H$3000,'RSTO &gt; 48hrs'!$A$2:$A$3000,$K$2,'RSTO &gt; 48hrs'!$B$2:$B$3000,$A38),IF(COUNTIFS('RSTO &gt; 48hrs'!$A$2:$A$3000,$K$2,'RSTO &gt; 48hrs'!$B$2:$B$3000,SUBSTITUTE($A38," SS","  SS"))&gt;0,SUMIFS('RSTO &gt; 48hrs'!$H$2:$H$3000,'RSTO &gt; 48hrs'!$A$2:$A$3000,$K$2,'RSTO &gt; 48hrs'!$B$2:$B$3000,SUBSTITUTE($A38," SS","  SS")),"NA"))</f>
        <v>NA</v>
      </c>
      <c r="H38" s="81" t="n">
        <f aca="false">IF(COUNTIFS('Recirculation &gt; 24 hrs'!$A$2:$A$3000,$K$2,'Recirculation &gt; 24 hrs'!$B$2:$B$3000,$A38)&gt;0,SUMIFS('Recirculation &gt; 24 hrs'!$K$2:$K$3000,'Recirculation &gt; 24 hrs'!$A$2:$A$3000,$K$2,'Recirculation &gt; 24 hrs'!$B$2:$B$3000,$A38),IF(COUNTIFS('Recirculation &gt; 24 hrs'!$A$2:$A$3000,$K$2,'Recirculation &gt; 24 hrs'!$B$2:$B$3000,SUBSTITUTE($A38," SS","  SS"))&gt;0,SUMIFS('Recirculation &gt; 24 hrs'!$K$2:$K$3000,'Recirculation &gt; 24 hrs'!$A$2:$A$3000,$K$2,'Recirculation &gt; 24 hrs'!$B$2:$B$3000,SUBSTITUTE($A38," SS","  SS")),"NA"))</f>
        <v>24</v>
      </c>
      <c r="I38" s="81" t="n">
        <f aca="false">IF(COUNTIFS('Pending Putaway'!$A$2:$A$3000,$K$2,'Pending Putaway'!$B$2:$B$3000,$A38)&gt;0,SUMIFS('Pending Putaway'!$E$2:$E$3000,'Pending Putaway'!$A$2:$A$3000,$K$2,'Pending Putaway'!$B$2:$B$3000,$A38),IF(COUNTIFS('Pending Putaway'!$A$2:$A$3000,$K$2,'Pending Putaway'!$B$2:$B$3000,SUBSTITUTE($A38," SS","  SS"))&gt;0,SUMIFS('Pending Putaway'!$E$2:$E$3000,'Pending Putaway'!$A$2:$A$3000,$K$2,'Pending Putaway'!$B$2:$B$3000,SUBSTITUTE($A38," SS","  SS")),"NA"))</f>
        <v>2320</v>
      </c>
      <c r="J38" s="81" t="n">
        <f aca="false">IF(COUNTIFS('Pending Putaway'!$A$2:$A$3000,$K$2,'Pending Putaway'!$B$2:$B$3000,$A38)&gt;0,SUMIFS('Pending Putaway'!$L$2:$L$3000,'Pending Putaway'!$A$2:$A$3000,$K$2,'Pending Putaway'!$B$2:$B$3000,$A38),IF(COUNTIFS('Pending Putaway'!$A$2:$A$3000,$K$2,'Pending Putaway'!$B$2:$B$3000,SUBSTITUTE($A38," SS","  SS"))&gt;0,SUMIFS('Pending Putaway'!$L$2:$L$3000,'Pending Putaway'!$A$2:$A$3000,$K$2,'Pending Putaway'!$B$2:$B$3000,SUBSTITUTE($A38," SS","  SS")),"NA"))</f>
        <v>0</v>
      </c>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customFormat="false" ht="15.75" hidden="false" customHeight="true" outlineLevel="0" collapsed="false">
      <c r="A39" s="81" t="s">
        <v>59</v>
      </c>
      <c r="B39" s="81" t="str">
        <f aca="false" t="array" ref="B39:B39">IFERROR(INDEX('CLM &amp; IM Mapping'!$B$2:$B$270,MATCH($A39,'CLM &amp; IM Mapping'!$A$2:$A$270,0)),"Not Mapped")</f>
        <v>Saddam Hussain</v>
      </c>
      <c r="C39" s="81" t="str">
        <f aca="false" t="array" ref="C39:C39">IFERROR(INDEX('CLM &amp; IM Mapping'!$C$2:$C$270,MATCH($A39,'CLM &amp; IM Mapping'!$A$2:$A$270,0)),"Not Mapped")</f>
        <v>Un Mapped</v>
      </c>
      <c r="D39" s="82" t="n">
        <f aca="false">IF(COUNTIFS(Shrinkage!$A$2:$A$3000,$K$2,Shrinkage!$D$2:$D$3000,$A39)&gt;0,SUMIFS(Shrinkage!$P$2:$P$3000,Shrinkage!$A$2:$A$3000,$K$2,Shrinkage!$D$2:$D$3000,$A39),IF(COUNTIFS(Shrinkage!$A$2:$A$3000,$K$2,Shrinkage!$D$2:$D$3000,SUBSTITUTE($A39," SS","  SS"))&gt;0,SUMIFS(Shrinkage!$P$2:$P$3000,Shrinkage!$A$2:$A$3000,$K$2,Shrinkage!$D$2:$D$3000,SUBSTITUTE($A39," SS","  SS")),"NA"))</f>
        <v>44890</v>
      </c>
      <c r="E39" s="83" t="n">
        <f aca="false">IF(COUNTIFS('Inventory Hygiene'!$A$2:$A$3000,$K$2,'Inventory Hygiene'!$B$2:$B$3000,$A39)&gt;0,AVERAGEIFS('Inventory Hygiene'!$J$2:$J$3000,'Inventory Hygiene'!$A$2:$A$3000,$K$2,'Inventory Hygiene'!$B$2:$B$3000,$A39),IF(COUNTIFS('Inventory Hygiene'!$A$2:$A$3000,$K$2,'Inventory Hygiene'!$B$2:$B$3000,SUBSTITUTE($A39," SS","  SS"))&gt;0,AVERAGEIFS('Inventory Hygiene'!$J$2:$J$3000,'Inventory Hygiene'!$A$2:$A$3000,$K$2,'Inventory Hygiene'!$B$2:$B$3000,SUBSTITUTE($A39," SS","  SS")),"NA"))</f>
        <v>0.286504259452997</v>
      </c>
      <c r="F39" s="81" t="n">
        <f aca="false">IF(COUNTIFS('Bad Bins'!$A$2:$A$3000,$K$2,'Bad Bins'!$B$2:$B$3000,$A39)&gt;0,SUMIFS('Bad Bins'!$K$2:$K$3000,'Bad Bins'!$A$2:$A$3000,$K$2,'Bad Bins'!$B$2:$B$3000,$A39),IF(COUNTIFS('Bad Bins'!$A$2:$A$3000,$K$2,'Bad Bins'!$B$2:$B$3000,SUBSTITUTE($A39," SS","  SS"))&gt;0,SUMIFS('Bad Bins'!$K$2:$K$3000,'Bad Bins'!$A$2:$A$3000,$K$2,'Bad Bins'!$B$2:$B$3000,SUBSTITUTE($A39," SS","  SS")),"NA"))</f>
        <v>506</v>
      </c>
      <c r="G39" s="81" t="str">
        <f aca="false">IF(COUNTIFS('RSTO &gt; 48hrs'!$A$2:$A$3000,$K$2,'RSTO &gt; 48hrs'!$B$2:$B$3000,$A39)&gt;0,SUMIFS('RSTO &gt; 48hrs'!$H$2:$H$3000,'RSTO &gt; 48hrs'!$A$2:$A$3000,$K$2,'RSTO &gt; 48hrs'!$B$2:$B$3000,$A39),IF(COUNTIFS('RSTO &gt; 48hrs'!$A$2:$A$3000,$K$2,'RSTO &gt; 48hrs'!$B$2:$B$3000,SUBSTITUTE($A39," SS","  SS"))&gt;0,SUMIFS('RSTO &gt; 48hrs'!$H$2:$H$3000,'RSTO &gt; 48hrs'!$A$2:$A$3000,$K$2,'RSTO &gt; 48hrs'!$B$2:$B$3000,SUBSTITUTE($A39," SS","  SS")),"NA"))</f>
        <v>NA</v>
      </c>
      <c r="H39" s="81" t="n">
        <f aca="false">IF(COUNTIFS('Recirculation &gt; 24 hrs'!$A$2:$A$3000,$K$2,'Recirculation &gt; 24 hrs'!$B$2:$B$3000,$A39)&gt;0,SUMIFS('Recirculation &gt; 24 hrs'!$K$2:$K$3000,'Recirculation &gt; 24 hrs'!$A$2:$A$3000,$K$2,'Recirculation &gt; 24 hrs'!$B$2:$B$3000,$A39),IF(COUNTIFS('Recirculation &gt; 24 hrs'!$A$2:$A$3000,$K$2,'Recirculation &gt; 24 hrs'!$B$2:$B$3000,SUBSTITUTE($A39," SS","  SS"))&gt;0,SUMIFS('Recirculation &gt; 24 hrs'!$K$2:$K$3000,'Recirculation &gt; 24 hrs'!$A$2:$A$3000,$K$2,'Recirculation &gt; 24 hrs'!$B$2:$B$3000,SUBSTITUTE($A39," SS","  SS")),"NA"))</f>
        <v>1190</v>
      </c>
      <c r="I39" s="81" t="n">
        <f aca="false">IF(COUNTIFS('Pending Putaway'!$A$2:$A$3000,$K$2,'Pending Putaway'!$B$2:$B$3000,$A39)&gt;0,SUMIFS('Pending Putaway'!$E$2:$E$3000,'Pending Putaway'!$A$2:$A$3000,$K$2,'Pending Putaway'!$B$2:$B$3000,$A39),IF(COUNTIFS('Pending Putaway'!$A$2:$A$3000,$K$2,'Pending Putaway'!$B$2:$B$3000,SUBSTITUTE($A39," SS","  SS"))&gt;0,SUMIFS('Pending Putaway'!$E$2:$E$3000,'Pending Putaway'!$A$2:$A$3000,$K$2,'Pending Putaway'!$B$2:$B$3000,SUBSTITUTE($A39," SS","  SS")),"NA"))</f>
        <v>11</v>
      </c>
      <c r="J39" s="81" t="n">
        <f aca="false">IF(COUNTIFS('Pending Putaway'!$A$2:$A$3000,$K$2,'Pending Putaway'!$B$2:$B$3000,$A39)&gt;0,SUMIFS('Pending Putaway'!$L$2:$L$3000,'Pending Putaway'!$A$2:$A$3000,$K$2,'Pending Putaway'!$B$2:$B$3000,$A39),IF(COUNTIFS('Pending Putaway'!$A$2:$A$3000,$K$2,'Pending Putaway'!$B$2:$B$3000,SUBSTITUTE($A39," SS","  SS"))&gt;0,SUMIFS('Pending Putaway'!$L$2:$L$3000,'Pending Putaway'!$A$2:$A$3000,$K$2,'Pending Putaway'!$B$2:$B$3000,SUBSTITUTE($A39," SS","  SS")),"NA"))</f>
        <v>0</v>
      </c>
      <c r="K39" s="23"/>
      <c r="L39" s="23"/>
      <c r="M39" s="23"/>
      <c r="N39" s="23"/>
      <c r="O39" s="23"/>
      <c r="P39" s="23"/>
      <c r="Q39" s="23"/>
      <c r="R39" s="23"/>
      <c r="S39" s="23"/>
      <c r="T39" s="23"/>
      <c r="U39" s="23"/>
      <c r="V39" s="23"/>
      <c r="W39" s="23"/>
      <c r="X39" s="23"/>
      <c r="Y39" s="23"/>
      <c r="Z39" s="23"/>
      <c r="AA39" s="23"/>
      <c r="AB39" s="23"/>
      <c r="AC39" s="23"/>
      <c r="AD39" s="23"/>
      <c r="AE39" s="23"/>
      <c r="AF39" s="23"/>
      <c r="AG39" s="23"/>
      <c r="AH39" s="23"/>
    </row>
    <row r="40" customFormat="false" ht="15.75" hidden="false" customHeight="true" outlineLevel="0" collapsed="false">
      <c r="A40" s="81" t="s">
        <v>132</v>
      </c>
      <c r="B40" s="81" t="str">
        <f aca="false" t="array" ref="B40:B40">IFERROR(INDEX('CLM &amp; IM Mapping'!$B$2:$B$270,MATCH($A40,'CLM &amp; IM Mapping'!$A$2:$A$270,0)),"Not Mapped")</f>
        <v>Saddam Hussain</v>
      </c>
      <c r="C40" s="81" t="str">
        <f aca="false" t="array" ref="C40:C40">IFERROR(INDEX('CLM &amp; IM Mapping'!$C$2:$C$270,MATCH($A40,'CLM &amp; IM Mapping'!$A$2:$A$270,0)),"Not Mapped")</f>
        <v>Un Mapped</v>
      </c>
      <c r="D40" s="82" t="n">
        <f aca="false">IF(COUNTIFS(Shrinkage!$A$2:$A$3000,$K$2,Shrinkage!$D$2:$D$3000,$A40)&gt;0,SUMIFS(Shrinkage!$P$2:$P$3000,Shrinkage!$A$2:$A$3000,$K$2,Shrinkage!$D$2:$D$3000,$A40),IF(COUNTIFS(Shrinkage!$A$2:$A$3000,$K$2,Shrinkage!$D$2:$D$3000,SUBSTITUTE($A40," SS","  SS"))&gt;0,SUMIFS(Shrinkage!$P$2:$P$3000,Shrinkage!$A$2:$A$3000,$K$2,Shrinkage!$D$2:$D$3000,SUBSTITUTE($A40," SS","  SS")),"NA"))</f>
        <v>34203</v>
      </c>
      <c r="E40" s="83" t="n">
        <f aca="false">IF(COUNTIFS('Inventory Hygiene'!$A$2:$A$3000,$K$2,'Inventory Hygiene'!$B$2:$B$3000,$A40)&gt;0,AVERAGEIFS('Inventory Hygiene'!$J$2:$J$3000,'Inventory Hygiene'!$A$2:$A$3000,$K$2,'Inventory Hygiene'!$B$2:$B$3000,$A40),IF(COUNTIFS('Inventory Hygiene'!$A$2:$A$3000,$K$2,'Inventory Hygiene'!$B$2:$B$3000,SUBSTITUTE($A40," SS","  SS"))&gt;0,AVERAGEIFS('Inventory Hygiene'!$J$2:$J$3000,'Inventory Hygiene'!$A$2:$A$3000,$K$2,'Inventory Hygiene'!$B$2:$B$3000,SUBSTITUTE($A40," SS","  SS")),"NA"))</f>
        <v>0.359051561911931</v>
      </c>
      <c r="F40" s="81" t="n">
        <f aca="false">IF(COUNTIFS('Bad Bins'!$A$2:$A$3000,$K$2,'Bad Bins'!$B$2:$B$3000,$A40)&gt;0,SUMIFS('Bad Bins'!$K$2:$K$3000,'Bad Bins'!$A$2:$A$3000,$K$2,'Bad Bins'!$B$2:$B$3000,$A40),IF(COUNTIFS('Bad Bins'!$A$2:$A$3000,$K$2,'Bad Bins'!$B$2:$B$3000,SUBSTITUTE($A40," SS","  SS"))&gt;0,SUMIFS('Bad Bins'!$K$2:$K$3000,'Bad Bins'!$A$2:$A$3000,$K$2,'Bad Bins'!$B$2:$B$3000,SUBSTITUTE($A40," SS","  SS")),"NA"))</f>
        <v>95</v>
      </c>
      <c r="G40" s="81" t="str">
        <f aca="false">IF(COUNTIFS('RSTO &gt; 48hrs'!$A$2:$A$3000,$K$2,'RSTO &gt; 48hrs'!$B$2:$B$3000,$A40)&gt;0,SUMIFS('RSTO &gt; 48hrs'!$H$2:$H$3000,'RSTO &gt; 48hrs'!$A$2:$A$3000,$K$2,'RSTO &gt; 48hrs'!$B$2:$B$3000,$A40),IF(COUNTIFS('RSTO &gt; 48hrs'!$A$2:$A$3000,$K$2,'RSTO &gt; 48hrs'!$B$2:$B$3000,SUBSTITUTE($A40," SS","  SS"))&gt;0,SUMIFS('RSTO &gt; 48hrs'!$H$2:$H$3000,'RSTO &gt; 48hrs'!$A$2:$A$3000,$K$2,'RSTO &gt; 48hrs'!$B$2:$B$3000,SUBSTITUTE($A40," SS","  SS")),"NA"))</f>
        <v>NA</v>
      </c>
      <c r="H40" s="81" t="n">
        <f aca="false">IF(COUNTIFS('Recirculation &gt; 24 hrs'!$A$2:$A$3000,$K$2,'Recirculation &gt; 24 hrs'!$B$2:$B$3000,$A40)&gt;0,SUMIFS('Recirculation &gt; 24 hrs'!$K$2:$K$3000,'Recirculation &gt; 24 hrs'!$A$2:$A$3000,$K$2,'Recirculation &gt; 24 hrs'!$B$2:$B$3000,$A40),IF(COUNTIFS('Recirculation &gt; 24 hrs'!$A$2:$A$3000,$K$2,'Recirculation &gt; 24 hrs'!$B$2:$B$3000,SUBSTITUTE($A40," SS","  SS"))&gt;0,SUMIFS('Recirculation &gt; 24 hrs'!$K$2:$K$3000,'Recirculation &gt; 24 hrs'!$A$2:$A$3000,$K$2,'Recirculation &gt; 24 hrs'!$B$2:$B$3000,SUBSTITUTE($A40," SS","  SS")),"NA"))</f>
        <v>930</v>
      </c>
      <c r="I40" s="81" t="n">
        <f aca="false">IF(COUNTIFS('Pending Putaway'!$A$2:$A$3000,$K$2,'Pending Putaway'!$B$2:$B$3000,$A40)&gt;0,SUMIFS('Pending Putaway'!$E$2:$E$3000,'Pending Putaway'!$A$2:$A$3000,$K$2,'Pending Putaway'!$B$2:$B$3000,$A40),IF(COUNTIFS('Pending Putaway'!$A$2:$A$3000,$K$2,'Pending Putaway'!$B$2:$B$3000,SUBSTITUTE($A40," SS","  SS"))&gt;0,SUMIFS('Pending Putaway'!$E$2:$E$3000,'Pending Putaway'!$A$2:$A$3000,$K$2,'Pending Putaway'!$B$2:$B$3000,SUBSTITUTE($A40," SS","  SS")),"NA"))</f>
        <v>318</v>
      </c>
      <c r="J40" s="81" t="n">
        <f aca="false">IF(COUNTIFS('Pending Putaway'!$A$2:$A$3000,$K$2,'Pending Putaway'!$B$2:$B$3000,$A40)&gt;0,SUMIFS('Pending Putaway'!$L$2:$L$3000,'Pending Putaway'!$A$2:$A$3000,$K$2,'Pending Putaway'!$B$2:$B$3000,$A40),IF(COUNTIFS('Pending Putaway'!$A$2:$A$3000,$K$2,'Pending Putaway'!$B$2:$B$3000,SUBSTITUTE($A40," SS","  SS"))&gt;0,SUMIFS('Pending Putaway'!$L$2:$L$3000,'Pending Putaway'!$A$2:$A$3000,$K$2,'Pending Putaway'!$B$2:$B$3000,SUBSTITUTE($A40," SS","  SS")),"NA"))</f>
        <v>0</v>
      </c>
      <c r="K40" s="23"/>
      <c r="L40" s="23"/>
      <c r="M40" s="23"/>
      <c r="N40" s="23"/>
      <c r="O40" s="23"/>
      <c r="P40" s="23"/>
      <c r="Q40" s="23"/>
      <c r="R40" s="23"/>
      <c r="S40" s="23"/>
      <c r="T40" s="23"/>
      <c r="U40" s="23"/>
      <c r="V40" s="23"/>
      <c r="W40" s="23"/>
      <c r="X40" s="23"/>
      <c r="Y40" s="23"/>
      <c r="Z40" s="23"/>
      <c r="AA40" s="23"/>
      <c r="AB40" s="23"/>
      <c r="AC40" s="23"/>
      <c r="AD40" s="23"/>
      <c r="AE40" s="23"/>
      <c r="AF40" s="23"/>
      <c r="AG40" s="23"/>
      <c r="AH40" s="23"/>
    </row>
    <row r="41" customFormat="false" ht="15.75" hidden="false" customHeight="true" outlineLevel="0" collapsed="false">
      <c r="A41" s="81" t="s">
        <v>384</v>
      </c>
      <c r="B41" s="81" t="str">
        <f aca="false" t="array" ref="B41:B41">IFERROR(INDEX('CLM &amp; IM Mapping'!$B$2:$B$270,MATCH($A41,'CLM &amp; IM Mapping'!$A$2:$A$270,0)),"Not Mapped")</f>
        <v>Saddam Hussain</v>
      </c>
      <c r="C41" s="81" t="str">
        <f aca="false" t="array" ref="C41:C41">IFERROR(INDEX('CLM &amp; IM Mapping'!$C$2:$C$270,MATCH($A41,'CLM &amp; IM Mapping'!$A$2:$A$270,0)),"Not Mapped")</f>
        <v>Un Mapped</v>
      </c>
      <c r="D41" s="82" t="n">
        <f aca="false">IF(COUNTIFS(Shrinkage!$A$2:$A$3000,$K$2,Shrinkage!$D$2:$D$3000,$A41)&gt;0,SUMIFS(Shrinkage!$P$2:$P$3000,Shrinkage!$A$2:$A$3000,$K$2,Shrinkage!$D$2:$D$3000,$A41),IF(COUNTIFS(Shrinkage!$A$2:$A$3000,$K$2,Shrinkage!$D$2:$D$3000,SUBSTITUTE($A41," SS","  SS"))&gt;0,SUMIFS(Shrinkage!$P$2:$P$3000,Shrinkage!$A$2:$A$3000,$K$2,Shrinkage!$D$2:$D$3000,SUBSTITUTE($A41," SS","  SS")),"NA"))</f>
        <v>-107</v>
      </c>
      <c r="E41" s="83" t="n">
        <f aca="false">IF(COUNTIFS('Inventory Hygiene'!$A$2:$A$3000,$K$2,'Inventory Hygiene'!$B$2:$B$3000,$A41)&gt;0,AVERAGEIFS('Inventory Hygiene'!$J$2:$J$3000,'Inventory Hygiene'!$A$2:$A$3000,$K$2,'Inventory Hygiene'!$B$2:$B$3000,$A41),IF(COUNTIFS('Inventory Hygiene'!$A$2:$A$3000,$K$2,'Inventory Hygiene'!$B$2:$B$3000,SUBSTITUTE($A41," SS","  SS"))&gt;0,AVERAGEIFS('Inventory Hygiene'!$J$2:$J$3000,'Inventory Hygiene'!$A$2:$A$3000,$K$2,'Inventory Hygiene'!$B$2:$B$3000,SUBSTITUTE($A41," SS","  SS")),"NA"))</f>
        <v>0.936135482554581</v>
      </c>
      <c r="F41" s="81" t="n">
        <f aca="false">IF(COUNTIFS('Bad Bins'!$A$2:$A$3000,$K$2,'Bad Bins'!$B$2:$B$3000,$A41)&gt;0,SUMIFS('Bad Bins'!$K$2:$K$3000,'Bad Bins'!$A$2:$A$3000,$K$2,'Bad Bins'!$B$2:$B$3000,$A41),IF(COUNTIFS('Bad Bins'!$A$2:$A$3000,$K$2,'Bad Bins'!$B$2:$B$3000,SUBSTITUTE($A41," SS","  SS"))&gt;0,SUMIFS('Bad Bins'!$K$2:$K$3000,'Bad Bins'!$A$2:$A$3000,$K$2,'Bad Bins'!$B$2:$B$3000,SUBSTITUTE($A41," SS","  SS")),"NA"))</f>
        <v>352</v>
      </c>
      <c r="G41" s="81" t="str">
        <f aca="false">IF(COUNTIFS('RSTO &gt; 48hrs'!$A$2:$A$3000,$K$2,'RSTO &gt; 48hrs'!$B$2:$B$3000,$A41)&gt;0,SUMIFS('RSTO &gt; 48hrs'!$H$2:$H$3000,'RSTO &gt; 48hrs'!$A$2:$A$3000,$K$2,'RSTO &gt; 48hrs'!$B$2:$B$3000,$A41),IF(COUNTIFS('RSTO &gt; 48hrs'!$A$2:$A$3000,$K$2,'RSTO &gt; 48hrs'!$B$2:$B$3000,SUBSTITUTE($A41," SS","  SS"))&gt;0,SUMIFS('RSTO &gt; 48hrs'!$H$2:$H$3000,'RSTO &gt; 48hrs'!$A$2:$A$3000,$K$2,'RSTO &gt; 48hrs'!$B$2:$B$3000,SUBSTITUTE($A41," SS","  SS")),"NA"))</f>
        <v>NA</v>
      </c>
      <c r="H41" s="81" t="n">
        <f aca="false">IF(COUNTIFS('Recirculation &gt; 24 hrs'!$A$2:$A$3000,$K$2,'Recirculation &gt; 24 hrs'!$B$2:$B$3000,$A41)&gt;0,SUMIFS('Recirculation &gt; 24 hrs'!$K$2:$K$3000,'Recirculation &gt; 24 hrs'!$A$2:$A$3000,$K$2,'Recirculation &gt; 24 hrs'!$B$2:$B$3000,$A41),IF(COUNTIFS('Recirculation &gt; 24 hrs'!$A$2:$A$3000,$K$2,'Recirculation &gt; 24 hrs'!$B$2:$B$3000,SUBSTITUTE($A41," SS","  SS"))&gt;0,SUMIFS('Recirculation &gt; 24 hrs'!$K$2:$K$3000,'Recirculation &gt; 24 hrs'!$A$2:$A$3000,$K$2,'Recirculation &gt; 24 hrs'!$B$2:$B$3000,SUBSTITUTE($A41," SS","  SS")),"NA"))</f>
        <v>903</v>
      </c>
      <c r="I41" s="81" t="n">
        <f aca="false">IF(COUNTIFS('Pending Putaway'!$A$2:$A$3000,$K$2,'Pending Putaway'!$B$2:$B$3000,$A41)&gt;0,SUMIFS('Pending Putaway'!$E$2:$E$3000,'Pending Putaway'!$A$2:$A$3000,$K$2,'Pending Putaway'!$B$2:$B$3000,$A41),IF(COUNTIFS('Pending Putaway'!$A$2:$A$3000,$K$2,'Pending Putaway'!$B$2:$B$3000,SUBSTITUTE($A41," SS","  SS"))&gt;0,SUMIFS('Pending Putaway'!$E$2:$E$3000,'Pending Putaway'!$A$2:$A$3000,$K$2,'Pending Putaway'!$B$2:$B$3000,SUBSTITUTE($A41," SS","  SS")),"NA"))</f>
        <v>16</v>
      </c>
      <c r="J41" s="81" t="n">
        <f aca="false">IF(COUNTIFS('Pending Putaway'!$A$2:$A$3000,$K$2,'Pending Putaway'!$B$2:$B$3000,$A41)&gt;0,SUMIFS('Pending Putaway'!$L$2:$L$3000,'Pending Putaway'!$A$2:$A$3000,$K$2,'Pending Putaway'!$B$2:$B$3000,$A41),IF(COUNTIFS('Pending Putaway'!$A$2:$A$3000,$K$2,'Pending Putaway'!$B$2:$B$3000,SUBSTITUTE($A41," SS","  SS"))&gt;0,SUMIFS('Pending Putaway'!$L$2:$L$3000,'Pending Putaway'!$A$2:$A$3000,$K$2,'Pending Putaway'!$B$2:$B$3000,SUBSTITUTE($A41," SS","  SS")),"NA"))</f>
        <v>16</v>
      </c>
      <c r="K41" s="23"/>
      <c r="L41" s="23"/>
      <c r="M41" s="23"/>
      <c r="N41" s="23"/>
      <c r="O41" s="23"/>
      <c r="P41" s="23"/>
      <c r="Q41" s="23"/>
      <c r="R41" s="23"/>
      <c r="S41" s="23"/>
      <c r="T41" s="23"/>
      <c r="U41" s="23"/>
      <c r="V41" s="23"/>
      <c r="W41" s="23"/>
      <c r="X41" s="23"/>
      <c r="Y41" s="23"/>
      <c r="Z41" s="23"/>
      <c r="AA41" s="23"/>
      <c r="AB41" s="23"/>
      <c r="AC41" s="23"/>
      <c r="AD41" s="23"/>
      <c r="AE41" s="23"/>
      <c r="AF41" s="23"/>
      <c r="AG41" s="23"/>
      <c r="AH41" s="23"/>
    </row>
    <row r="42" customFormat="false" ht="15.75" hidden="false" customHeight="true" outlineLevel="0" collapsed="false">
      <c r="A42" s="81" t="s">
        <v>287</v>
      </c>
      <c r="B42" s="81" t="str">
        <f aca="false" t="array" ref="B42:B42">IFERROR(INDEX('CLM &amp; IM Mapping'!$B$2:$B$270,MATCH($A42,'CLM &amp; IM Mapping'!$A$2:$A$270,0)),"Not Mapped")</f>
        <v>Sundaresh S</v>
      </c>
      <c r="C42" s="81" t="str">
        <f aca="false" t="array" ref="C42:C42">IFERROR(INDEX('CLM &amp; IM Mapping'!$C$2:$C$270,MATCH($A42,'CLM &amp; IM Mapping'!$A$2:$A$270,0)),"Not Mapped")</f>
        <v>Un Mapped</v>
      </c>
      <c r="D42" s="82" t="n">
        <f aca="false">IF(COUNTIFS(Shrinkage!$A$2:$A$3000,$K$2,Shrinkage!$D$2:$D$3000,$A42)&gt;0,SUMIFS(Shrinkage!$P$2:$P$3000,Shrinkage!$A$2:$A$3000,$K$2,Shrinkage!$D$2:$D$3000,$A42),IF(COUNTIFS(Shrinkage!$A$2:$A$3000,$K$2,Shrinkage!$D$2:$D$3000,SUBSTITUTE($A42," SS","  SS"))&gt;0,SUMIFS(Shrinkage!$P$2:$P$3000,Shrinkage!$A$2:$A$3000,$K$2,Shrinkage!$D$2:$D$3000,SUBSTITUTE($A42," SS","  SS")),"NA"))</f>
        <v>6058</v>
      </c>
      <c r="E42" s="83" t="n">
        <f aca="false">IF(COUNTIFS('Inventory Hygiene'!$A$2:$A$3000,$K$2,'Inventory Hygiene'!$B$2:$B$3000,$A42)&gt;0,AVERAGEIFS('Inventory Hygiene'!$J$2:$J$3000,'Inventory Hygiene'!$A$2:$A$3000,$K$2,'Inventory Hygiene'!$B$2:$B$3000,$A42),IF(COUNTIFS('Inventory Hygiene'!$A$2:$A$3000,$K$2,'Inventory Hygiene'!$B$2:$B$3000,SUBSTITUTE($A42," SS","  SS"))&gt;0,AVERAGEIFS('Inventory Hygiene'!$J$2:$J$3000,'Inventory Hygiene'!$A$2:$A$3000,$K$2,'Inventory Hygiene'!$B$2:$B$3000,SUBSTITUTE($A42," SS","  SS")),"NA"))</f>
        <v>0.936369406537607</v>
      </c>
      <c r="F42" s="81" t="n">
        <f aca="false">IF(COUNTIFS('Bad Bins'!$A$2:$A$3000,$K$2,'Bad Bins'!$B$2:$B$3000,$A42)&gt;0,SUMIFS('Bad Bins'!$K$2:$K$3000,'Bad Bins'!$A$2:$A$3000,$K$2,'Bad Bins'!$B$2:$B$3000,$A42),IF(COUNTIFS('Bad Bins'!$A$2:$A$3000,$K$2,'Bad Bins'!$B$2:$B$3000,SUBSTITUTE($A42," SS","  SS"))&gt;0,SUMIFS('Bad Bins'!$K$2:$K$3000,'Bad Bins'!$A$2:$A$3000,$K$2,'Bad Bins'!$B$2:$B$3000,SUBSTITUTE($A42," SS","  SS")),"NA"))</f>
        <v>75</v>
      </c>
      <c r="G42" s="81" t="str">
        <f aca="false">IF(COUNTIFS('RSTO &gt; 48hrs'!$A$2:$A$3000,$K$2,'RSTO &gt; 48hrs'!$B$2:$B$3000,$A42)&gt;0,SUMIFS('RSTO &gt; 48hrs'!$H$2:$H$3000,'RSTO &gt; 48hrs'!$A$2:$A$3000,$K$2,'RSTO &gt; 48hrs'!$B$2:$B$3000,$A42),IF(COUNTIFS('RSTO &gt; 48hrs'!$A$2:$A$3000,$K$2,'RSTO &gt; 48hrs'!$B$2:$B$3000,SUBSTITUTE($A42," SS","  SS"))&gt;0,SUMIFS('RSTO &gt; 48hrs'!$H$2:$H$3000,'RSTO &gt; 48hrs'!$A$2:$A$3000,$K$2,'RSTO &gt; 48hrs'!$B$2:$B$3000,SUBSTITUTE($A42," SS","  SS")),"NA"))</f>
        <v>NA</v>
      </c>
      <c r="H42" s="81" t="n">
        <f aca="false">IF(COUNTIFS('Recirculation &gt; 24 hrs'!$A$2:$A$3000,$K$2,'Recirculation &gt; 24 hrs'!$B$2:$B$3000,$A42)&gt;0,SUMIFS('Recirculation &gt; 24 hrs'!$K$2:$K$3000,'Recirculation &gt; 24 hrs'!$A$2:$A$3000,$K$2,'Recirculation &gt; 24 hrs'!$B$2:$B$3000,$A42),IF(COUNTIFS('Recirculation &gt; 24 hrs'!$A$2:$A$3000,$K$2,'Recirculation &gt; 24 hrs'!$B$2:$B$3000,SUBSTITUTE($A42," SS","  SS"))&gt;0,SUMIFS('Recirculation &gt; 24 hrs'!$K$2:$K$3000,'Recirculation &gt; 24 hrs'!$A$2:$A$3000,$K$2,'Recirculation &gt; 24 hrs'!$B$2:$B$3000,SUBSTITUTE($A42," SS","  SS")),"NA"))</f>
        <v>2</v>
      </c>
      <c r="I42" s="81" t="n">
        <f aca="false">IF(COUNTIFS('Pending Putaway'!$A$2:$A$3000,$K$2,'Pending Putaway'!$B$2:$B$3000,$A42)&gt;0,SUMIFS('Pending Putaway'!$E$2:$E$3000,'Pending Putaway'!$A$2:$A$3000,$K$2,'Pending Putaway'!$B$2:$B$3000,$A42),IF(COUNTIFS('Pending Putaway'!$A$2:$A$3000,$K$2,'Pending Putaway'!$B$2:$B$3000,SUBSTITUTE($A42," SS","  SS"))&gt;0,SUMIFS('Pending Putaway'!$E$2:$E$3000,'Pending Putaway'!$A$2:$A$3000,$K$2,'Pending Putaway'!$B$2:$B$3000,SUBSTITUTE($A42," SS","  SS")),"NA"))</f>
        <v>3263</v>
      </c>
      <c r="J42" s="81" t="n">
        <f aca="false">IF(COUNTIFS('Pending Putaway'!$A$2:$A$3000,$K$2,'Pending Putaway'!$B$2:$B$3000,$A42)&gt;0,SUMIFS('Pending Putaway'!$L$2:$L$3000,'Pending Putaway'!$A$2:$A$3000,$K$2,'Pending Putaway'!$B$2:$B$3000,$A42),IF(COUNTIFS('Pending Putaway'!$A$2:$A$3000,$K$2,'Pending Putaway'!$B$2:$B$3000,SUBSTITUTE($A42," SS","  SS"))&gt;0,SUMIFS('Pending Putaway'!$L$2:$L$3000,'Pending Putaway'!$A$2:$A$3000,$K$2,'Pending Putaway'!$B$2:$B$3000,SUBSTITUTE($A42," SS","  SS")),"NA"))</f>
        <v>0</v>
      </c>
      <c r="K42" s="23"/>
      <c r="L42" s="23"/>
      <c r="M42" s="23"/>
      <c r="N42" s="23"/>
      <c r="O42" s="23"/>
      <c r="P42" s="23"/>
      <c r="Q42" s="23"/>
      <c r="R42" s="23"/>
      <c r="S42" s="23"/>
      <c r="T42" s="23"/>
      <c r="U42" s="23"/>
      <c r="V42" s="23"/>
      <c r="W42" s="23"/>
      <c r="X42" s="23"/>
      <c r="Y42" s="23"/>
      <c r="Z42" s="23"/>
      <c r="AA42" s="23"/>
      <c r="AB42" s="23"/>
      <c r="AC42" s="23"/>
      <c r="AD42" s="23"/>
      <c r="AE42" s="23"/>
      <c r="AF42" s="23"/>
      <c r="AG42" s="23"/>
      <c r="AH42" s="23"/>
    </row>
    <row r="43" customFormat="false" ht="15.75" hidden="false" customHeight="true" outlineLevel="0" collapsed="false">
      <c r="A43" s="81" t="s">
        <v>100</v>
      </c>
      <c r="B43" s="81" t="str">
        <f aca="false" t="array" ref="B43:B43">IFERROR(INDEX('CLM &amp; IM Mapping'!$B$2:$B$270,MATCH($A43,'CLM &amp; IM Mapping'!$A$2:$A$270,0)),"Not Mapped")</f>
        <v>Sundaresh S</v>
      </c>
      <c r="C43" s="81" t="str">
        <f aca="false" t="array" ref="C43:C43">IFERROR(INDEX('CLM &amp; IM Mapping'!$C$2:$C$270,MATCH($A43,'CLM &amp; IM Mapping'!$A$2:$A$270,0)),"Not Mapped")</f>
        <v>Un Mapped</v>
      </c>
      <c r="D43" s="82" t="n">
        <f aca="false">IF(COUNTIFS(Shrinkage!$A$2:$A$3000,$K$2,Shrinkage!$D$2:$D$3000,$A43)&gt;0,SUMIFS(Shrinkage!$P$2:$P$3000,Shrinkage!$A$2:$A$3000,$K$2,Shrinkage!$D$2:$D$3000,$A43),IF(COUNTIFS(Shrinkage!$A$2:$A$3000,$K$2,Shrinkage!$D$2:$D$3000,SUBSTITUTE($A43," SS","  SS"))&gt;0,SUMIFS(Shrinkage!$P$2:$P$3000,Shrinkage!$A$2:$A$3000,$K$2,Shrinkage!$D$2:$D$3000,SUBSTITUTE($A43," SS","  SS")),"NA"))</f>
        <v>38493</v>
      </c>
      <c r="E43" s="83" t="n">
        <f aca="false">IF(COUNTIFS('Inventory Hygiene'!$A$2:$A$3000,$K$2,'Inventory Hygiene'!$B$2:$B$3000,$A43)&gt;0,AVERAGEIFS('Inventory Hygiene'!$J$2:$J$3000,'Inventory Hygiene'!$A$2:$A$3000,$K$2,'Inventory Hygiene'!$B$2:$B$3000,$A43),IF(COUNTIFS('Inventory Hygiene'!$A$2:$A$3000,$K$2,'Inventory Hygiene'!$B$2:$B$3000,SUBSTITUTE($A43," SS","  SS"))&gt;0,AVERAGEIFS('Inventory Hygiene'!$J$2:$J$3000,'Inventory Hygiene'!$A$2:$A$3000,$K$2,'Inventory Hygiene'!$B$2:$B$3000,SUBSTITUTE($A43," SS","  SS")),"NA"))</f>
        <v>0.457651133501259</v>
      </c>
      <c r="F43" s="81" t="n">
        <f aca="false">IF(COUNTIFS('Bad Bins'!$A$2:$A$3000,$K$2,'Bad Bins'!$B$2:$B$3000,$A43)&gt;0,SUMIFS('Bad Bins'!$K$2:$K$3000,'Bad Bins'!$A$2:$A$3000,$K$2,'Bad Bins'!$B$2:$B$3000,$A43),IF(COUNTIFS('Bad Bins'!$A$2:$A$3000,$K$2,'Bad Bins'!$B$2:$B$3000,SUBSTITUTE($A43," SS","  SS"))&gt;0,SUMIFS('Bad Bins'!$K$2:$K$3000,'Bad Bins'!$A$2:$A$3000,$K$2,'Bad Bins'!$B$2:$B$3000,SUBSTITUTE($A43," SS","  SS")),"NA"))</f>
        <v>239</v>
      </c>
      <c r="G43" s="81" t="str">
        <f aca="false">IF(COUNTIFS('RSTO &gt; 48hrs'!$A$2:$A$3000,$K$2,'RSTO &gt; 48hrs'!$B$2:$B$3000,$A43)&gt;0,SUMIFS('RSTO &gt; 48hrs'!$H$2:$H$3000,'RSTO &gt; 48hrs'!$A$2:$A$3000,$K$2,'RSTO &gt; 48hrs'!$B$2:$B$3000,$A43),IF(COUNTIFS('RSTO &gt; 48hrs'!$A$2:$A$3000,$K$2,'RSTO &gt; 48hrs'!$B$2:$B$3000,SUBSTITUTE($A43," SS","  SS"))&gt;0,SUMIFS('RSTO &gt; 48hrs'!$H$2:$H$3000,'RSTO &gt; 48hrs'!$A$2:$A$3000,$K$2,'RSTO &gt; 48hrs'!$B$2:$B$3000,SUBSTITUTE($A43," SS","  SS")),"NA"))</f>
        <v>NA</v>
      </c>
      <c r="H43" s="81" t="n">
        <f aca="false">IF(COUNTIFS('Recirculation &gt; 24 hrs'!$A$2:$A$3000,$K$2,'Recirculation &gt; 24 hrs'!$B$2:$B$3000,$A43)&gt;0,SUMIFS('Recirculation &gt; 24 hrs'!$K$2:$K$3000,'Recirculation &gt; 24 hrs'!$A$2:$A$3000,$K$2,'Recirculation &gt; 24 hrs'!$B$2:$B$3000,$A43),IF(COUNTIFS('Recirculation &gt; 24 hrs'!$A$2:$A$3000,$K$2,'Recirculation &gt; 24 hrs'!$B$2:$B$3000,SUBSTITUTE($A43," SS","  SS"))&gt;0,SUMIFS('Recirculation &gt; 24 hrs'!$K$2:$K$3000,'Recirculation &gt; 24 hrs'!$A$2:$A$3000,$K$2,'Recirculation &gt; 24 hrs'!$B$2:$B$3000,SUBSTITUTE($A43," SS","  SS")),"NA"))</f>
        <v>611</v>
      </c>
      <c r="I43" s="81" t="n">
        <f aca="false">IF(COUNTIFS('Pending Putaway'!$A$2:$A$3000,$K$2,'Pending Putaway'!$B$2:$B$3000,$A43)&gt;0,SUMIFS('Pending Putaway'!$E$2:$E$3000,'Pending Putaway'!$A$2:$A$3000,$K$2,'Pending Putaway'!$B$2:$B$3000,$A43),IF(COUNTIFS('Pending Putaway'!$A$2:$A$3000,$K$2,'Pending Putaway'!$B$2:$B$3000,SUBSTITUTE($A43," SS","  SS"))&gt;0,SUMIFS('Pending Putaway'!$E$2:$E$3000,'Pending Putaway'!$A$2:$A$3000,$K$2,'Pending Putaway'!$B$2:$B$3000,SUBSTITUTE($A43," SS","  SS")),"NA"))</f>
        <v>5286</v>
      </c>
      <c r="J43" s="81" t="n">
        <f aca="false">IF(COUNTIFS('Pending Putaway'!$A$2:$A$3000,$K$2,'Pending Putaway'!$B$2:$B$3000,$A43)&gt;0,SUMIFS('Pending Putaway'!$L$2:$L$3000,'Pending Putaway'!$A$2:$A$3000,$K$2,'Pending Putaway'!$B$2:$B$3000,$A43),IF(COUNTIFS('Pending Putaway'!$A$2:$A$3000,$K$2,'Pending Putaway'!$B$2:$B$3000,SUBSTITUTE($A43," SS","  SS"))&gt;0,SUMIFS('Pending Putaway'!$L$2:$L$3000,'Pending Putaway'!$A$2:$A$3000,$K$2,'Pending Putaway'!$B$2:$B$3000,SUBSTITUTE($A43," SS","  SS")),"NA"))</f>
        <v>28</v>
      </c>
      <c r="K43" s="23"/>
      <c r="L43" s="23"/>
      <c r="M43" s="23"/>
      <c r="N43" s="23"/>
      <c r="O43" s="23"/>
      <c r="P43" s="23"/>
      <c r="Q43" s="23"/>
      <c r="R43" s="23"/>
      <c r="S43" s="23"/>
      <c r="T43" s="23"/>
      <c r="U43" s="23"/>
      <c r="V43" s="23"/>
      <c r="W43" s="23"/>
      <c r="X43" s="23"/>
      <c r="Y43" s="23"/>
      <c r="Z43" s="23"/>
      <c r="AA43" s="23"/>
      <c r="AB43" s="23"/>
      <c r="AC43" s="23"/>
      <c r="AD43" s="23"/>
      <c r="AE43" s="23"/>
      <c r="AF43" s="23"/>
      <c r="AG43" s="23"/>
      <c r="AH43" s="23"/>
    </row>
    <row r="44" customFormat="false" ht="15.75" hidden="false" customHeight="true" outlineLevel="0" collapsed="false">
      <c r="A44" s="81" t="s">
        <v>488</v>
      </c>
      <c r="B44" s="81" t="str">
        <f aca="false" t="array" ref="B44:B44">IFERROR(INDEX('CLM &amp; IM Mapping'!$B$2:$B$270,MATCH($A44,'CLM &amp; IM Mapping'!$A$2:$A$270,0)),"Not Mapped")</f>
        <v>Sundaresh S</v>
      </c>
      <c r="C44" s="81" t="str">
        <f aca="false" t="array" ref="C44:C44">IFERROR(INDEX('CLM &amp; IM Mapping'!$C$2:$C$270,MATCH($A44,'CLM &amp; IM Mapping'!$A$2:$A$270,0)),"Not Mapped")</f>
        <v>Un Mapped</v>
      </c>
      <c r="D44" s="82" t="n">
        <f aca="false">IF(COUNTIFS(Shrinkage!$A$2:$A$3000,$K$2,Shrinkage!$D$2:$D$3000,$A44)&gt;0,SUMIFS(Shrinkage!$P$2:$P$3000,Shrinkage!$A$2:$A$3000,$K$2,Shrinkage!$D$2:$D$3000,$A44),IF(COUNTIFS(Shrinkage!$A$2:$A$3000,$K$2,Shrinkage!$D$2:$D$3000,SUBSTITUTE($A44," SS","  SS"))&gt;0,SUMIFS(Shrinkage!$P$2:$P$3000,Shrinkage!$A$2:$A$3000,$K$2,Shrinkage!$D$2:$D$3000,SUBSTITUTE($A44," SS","  SS")),"NA"))</f>
        <v>-14805</v>
      </c>
      <c r="E44" s="83" t="n">
        <f aca="false">IF(COUNTIFS('Inventory Hygiene'!$A$2:$A$3000,$K$2,'Inventory Hygiene'!$B$2:$B$3000,$A44)&gt;0,AVERAGEIFS('Inventory Hygiene'!$J$2:$J$3000,'Inventory Hygiene'!$A$2:$A$3000,$K$2,'Inventory Hygiene'!$B$2:$B$3000,$A44),IF(COUNTIFS('Inventory Hygiene'!$A$2:$A$3000,$K$2,'Inventory Hygiene'!$B$2:$B$3000,SUBSTITUTE($A44," SS","  SS"))&gt;0,AVERAGEIFS('Inventory Hygiene'!$J$2:$J$3000,'Inventory Hygiene'!$A$2:$A$3000,$K$2,'Inventory Hygiene'!$B$2:$B$3000,SUBSTITUTE($A44," SS","  SS")),"NA"))</f>
        <v>0.45963256362717</v>
      </c>
      <c r="F44" s="81" t="n">
        <f aca="false">IF(COUNTIFS('Bad Bins'!$A$2:$A$3000,$K$2,'Bad Bins'!$B$2:$B$3000,$A44)&gt;0,SUMIFS('Bad Bins'!$K$2:$K$3000,'Bad Bins'!$A$2:$A$3000,$K$2,'Bad Bins'!$B$2:$B$3000,$A44),IF(COUNTIFS('Bad Bins'!$A$2:$A$3000,$K$2,'Bad Bins'!$B$2:$B$3000,SUBSTITUTE($A44," SS","  SS"))&gt;0,SUMIFS('Bad Bins'!$K$2:$K$3000,'Bad Bins'!$A$2:$A$3000,$K$2,'Bad Bins'!$B$2:$B$3000,SUBSTITUTE($A44," SS","  SS")),"NA"))</f>
        <v>194</v>
      </c>
      <c r="G44" s="81" t="str">
        <f aca="false">IF(COUNTIFS('RSTO &gt; 48hrs'!$A$2:$A$3000,$K$2,'RSTO &gt; 48hrs'!$B$2:$B$3000,$A44)&gt;0,SUMIFS('RSTO &gt; 48hrs'!$H$2:$H$3000,'RSTO &gt; 48hrs'!$A$2:$A$3000,$K$2,'RSTO &gt; 48hrs'!$B$2:$B$3000,$A44),IF(COUNTIFS('RSTO &gt; 48hrs'!$A$2:$A$3000,$K$2,'RSTO &gt; 48hrs'!$B$2:$B$3000,SUBSTITUTE($A44," SS","  SS"))&gt;0,SUMIFS('RSTO &gt; 48hrs'!$H$2:$H$3000,'RSTO &gt; 48hrs'!$A$2:$A$3000,$K$2,'RSTO &gt; 48hrs'!$B$2:$B$3000,SUBSTITUTE($A44," SS","  SS")),"NA"))</f>
        <v>NA</v>
      </c>
      <c r="H44" s="81" t="n">
        <f aca="false">IF(COUNTIFS('Recirculation &gt; 24 hrs'!$A$2:$A$3000,$K$2,'Recirculation &gt; 24 hrs'!$B$2:$B$3000,$A44)&gt;0,SUMIFS('Recirculation &gt; 24 hrs'!$K$2:$K$3000,'Recirculation &gt; 24 hrs'!$A$2:$A$3000,$K$2,'Recirculation &gt; 24 hrs'!$B$2:$B$3000,$A44),IF(COUNTIFS('Recirculation &gt; 24 hrs'!$A$2:$A$3000,$K$2,'Recirculation &gt; 24 hrs'!$B$2:$B$3000,SUBSTITUTE($A44," SS","  SS"))&gt;0,SUMIFS('Recirculation &gt; 24 hrs'!$K$2:$K$3000,'Recirculation &gt; 24 hrs'!$A$2:$A$3000,$K$2,'Recirculation &gt; 24 hrs'!$B$2:$B$3000,SUBSTITUTE($A44," SS","  SS")),"NA"))</f>
        <v>5</v>
      </c>
      <c r="I44" s="81" t="n">
        <f aca="false">IF(COUNTIFS('Pending Putaway'!$A$2:$A$3000,$K$2,'Pending Putaway'!$B$2:$B$3000,$A44)&gt;0,SUMIFS('Pending Putaway'!$E$2:$E$3000,'Pending Putaway'!$A$2:$A$3000,$K$2,'Pending Putaway'!$B$2:$B$3000,$A44),IF(COUNTIFS('Pending Putaway'!$A$2:$A$3000,$K$2,'Pending Putaway'!$B$2:$B$3000,SUBSTITUTE($A44," SS","  SS"))&gt;0,SUMIFS('Pending Putaway'!$E$2:$E$3000,'Pending Putaway'!$A$2:$A$3000,$K$2,'Pending Putaway'!$B$2:$B$3000,SUBSTITUTE($A44," SS","  SS")),"NA"))</f>
        <v>3579</v>
      </c>
      <c r="J44" s="81" t="n">
        <f aca="false">IF(COUNTIFS('Pending Putaway'!$A$2:$A$3000,$K$2,'Pending Putaway'!$B$2:$B$3000,$A44)&gt;0,SUMIFS('Pending Putaway'!$L$2:$L$3000,'Pending Putaway'!$A$2:$A$3000,$K$2,'Pending Putaway'!$B$2:$B$3000,$A44),IF(COUNTIFS('Pending Putaway'!$A$2:$A$3000,$K$2,'Pending Putaway'!$B$2:$B$3000,SUBSTITUTE($A44," SS","  SS"))&gt;0,SUMIFS('Pending Putaway'!$L$2:$L$3000,'Pending Putaway'!$A$2:$A$3000,$K$2,'Pending Putaway'!$B$2:$B$3000,SUBSTITUTE($A44," SS","  SS")),"NA"))</f>
        <v>437</v>
      </c>
      <c r="K44" s="23"/>
      <c r="L44" s="23"/>
      <c r="M44" s="23"/>
      <c r="N44" s="23"/>
      <c r="O44" s="23"/>
      <c r="P44" s="23"/>
      <c r="Q44" s="23"/>
      <c r="R44" s="23"/>
      <c r="S44" s="23"/>
      <c r="T44" s="23"/>
      <c r="U44" s="23"/>
      <c r="V44" s="23"/>
      <c r="W44" s="23"/>
      <c r="X44" s="23"/>
      <c r="Y44" s="23"/>
      <c r="Z44" s="23"/>
      <c r="AA44" s="23"/>
      <c r="AB44" s="23"/>
      <c r="AC44" s="23"/>
      <c r="AD44" s="23"/>
      <c r="AE44" s="23"/>
      <c r="AF44" s="23"/>
      <c r="AG44" s="23"/>
      <c r="AH44" s="23"/>
    </row>
    <row r="45" customFormat="false" ht="15.75" hidden="false" customHeight="true" outlineLevel="0" collapsed="false">
      <c r="A45" s="81" t="s">
        <v>523</v>
      </c>
      <c r="B45" s="81" t="str">
        <f aca="false" t="array" ref="B45:B45">IFERROR(INDEX('CLM &amp; IM Mapping'!$B$2:$B$270,MATCH($A45,'CLM &amp; IM Mapping'!$A$2:$A$270,0)),"Not Mapped")</f>
        <v>Sundaresh S</v>
      </c>
      <c r="C45" s="81" t="str">
        <f aca="false" t="array" ref="C45:C45">IFERROR(INDEX('CLM &amp; IM Mapping'!$C$2:$C$270,MATCH($A45,'CLM &amp; IM Mapping'!$A$2:$A$270,0)),"Not Mapped")</f>
        <v>Un Mapped</v>
      </c>
      <c r="D45" s="82" t="n">
        <f aca="false">IF(COUNTIFS(Shrinkage!$A$2:$A$3000,$K$2,Shrinkage!$D$2:$D$3000,$A45)&gt;0,SUMIFS(Shrinkage!$P$2:$P$3000,Shrinkage!$A$2:$A$3000,$K$2,Shrinkage!$D$2:$D$3000,$A45),IF(COUNTIFS(Shrinkage!$A$2:$A$3000,$K$2,Shrinkage!$D$2:$D$3000,SUBSTITUTE($A45," SS","  SS"))&gt;0,SUMIFS(Shrinkage!$P$2:$P$3000,Shrinkage!$A$2:$A$3000,$K$2,Shrinkage!$D$2:$D$3000,SUBSTITUTE($A45," SS","  SS")),"NA"))</f>
        <v>-25896</v>
      </c>
      <c r="E45" s="83" t="n">
        <f aca="false">IF(COUNTIFS('Inventory Hygiene'!$A$2:$A$3000,$K$2,'Inventory Hygiene'!$B$2:$B$3000,$A45)&gt;0,AVERAGEIFS('Inventory Hygiene'!$J$2:$J$3000,'Inventory Hygiene'!$A$2:$A$3000,$K$2,'Inventory Hygiene'!$B$2:$B$3000,$A45),IF(COUNTIFS('Inventory Hygiene'!$A$2:$A$3000,$K$2,'Inventory Hygiene'!$B$2:$B$3000,SUBSTITUTE($A45," SS","  SS"))&gt;0,AVERAGEIFS('Inventory Hygiene'!$J$2:$J$3000,'Inventory Hygiene'!$A$2:$A$3000,$K$2,'Inventory Hygiene'!$B$2:$B$3000,SUBSTITUTE($A45," SS","  SS")),"NA"))</f>
        <v>0.481632653061225</v>
      </c>
      <c r="F45" s="81" t="n">
        <f aca="false">IF(COUNTIFS('Bad Bins'!$A$2:$A$3000,$K$2,'Bad Bins'!$B$2:$B$3000,$A45)&gt;0,SUMIFS('Bad Bins'!$K$2:$K$3000,'Bad Bins'!$A$2:$A$3000,$K$2,'Bad Bins'!$B$2:$B$3000,$A45),IF(COUNTIFS('Bad Bins'!$A$2:$A$3000,$K$2,'Bad Bins'!$B$2:$B$3000,SUBSTITUTE($A45," SS","  SS"))&gt;0,SUMIFS('Bad Bins'!$K$2:$K$3000,'Bad Bins'!$A$2:$A$3000,$K$2,'Bad Bins'!$B$2:$B$3000,SUBSTITUTE($A45," SS","  SS")),"NA"))</f>
        <v>97</v>
      </c>
      <c r="G45" s="81" t="str">
        <f aca="false">IF(COUNTIFS('RSTO &gt; 48hrs'!$A$2:$A$3000,$K$2,'RSTO &gt; 48hrs'!$B$2:$B$3000,$A45)&gt;0,SUMIFS('RSTO &gt; 48hrs'!$H$2:$H$3000,'RSTO &gt; 48hrs'!$A$2:$A$3000,$K$2,'RSTO &gt; 48hrs'!$B$2:$B$3000,$A45),IF(COUNTIFS('RSTO &gt; 48hrs'!$A$2:$A$3000,$K$2,'RSTO &gt; 48hrs'!$B$2:$B$3000,SUBSTITUTE($A45," SS","  SS"))&gt;0,SUMIFS('RSTO &gt; 48hrs'!$H$2:$H$3000,'RSTO &gt; 48hrs'!$A$2:$A$3000,$K$2,'RSTO &gt; 48hrs'!$B$2:$B$3000,SUBSTITUTE($A45," SS","  SS")),"NA"))</f>
        <v>NA</v>
      </c>
      <c r="H45" s="81" t="str">
        <f aca="false">IF(COUNTIFS('Recirculation &gt; 24 hrs'!$A$2:$A$3000,$K$2,'Recirculation &gt; 24 hrs'!$B$2:$B$3000,$A45)&gt;0,SUMIFS('Recirculation &gt; 24 hrs'!$K$2:$K$3000,'Recirculation &gt; 24 hrs'!$A$2:$A$3000,$K$2,'Recirculation &gt; 24 hrs'!$B$2:$B$3000,$A45),IF(COUNTIFS('Recirculation &gt; 24 hrs'!$A$2:$A$3000,$K$2,'Recirculation &gt; 24 hrs'!$B$2:$B$3000,SUBSTITUTE($A45," SS","  SS"))&gt;0,SUMIFS('Recirculation &gt; 24 hrs'!$K$2:$K$3000,'Recirculation &gt; 24 hrs'!$A$2:$A$3000,$K$2,'Recirculation &gt; 24 hrs'!$B$2:$B$3000,SUBSTITUTE($A45," SS","  SS")),"NA"))</f>
        <v>NA</v>
      </c>
      <c r="I45" s="81" t="n">
        <f aca="false">IF(COUNTIFS('Pending Putaway'!$A$2:$A$3000,$K$2,'Pending Putaway'!$B$2:$B$3000,$A45)&gt;0,SUMIFS('Pending Putaway'!$E$2:$E$3000,'Pending Putaway'!$A$2:$A$3000,$K$2,'Pending Putaway'!$B$2:$B$3000,$A45),IF(COUNTIFS('Pending Putaway'!$A$2:$A$3000,$K$2,'Pending Putaway'!$B$2:$B$3000,SUBSTITUTE($A45," SS","  SS"))&gt;0,SUMIFS('Pending Putaway'!$E$2:$E$3000,'Pending Putaway'!$A$2:$A$3000,$K$2,'Pending Putaway'!$B$2:$B$3000,SUBSTITUTE($A45," SS","  SS")),"NA"))</f>
        <v>7804</v>
      </c>
      <c r="J45" s="81" t="n">
        <f aca="false">IF(COUNTIFS('Pending Putaway'!$A$2:$A$3000,$K$2,'Pending Putaway'!$B$2:$B$3000,$A45)&gt;0,SUMIFS('Pending Putaway'!$L$2:$L$3000,'Pending Putaway'!$A$2:$A$3000,$K$2,'Pending Putaway'!$B$2:$B$3000,$A45),IF(COUNTIFS('Pending Putaway'!$A$2:$A$3000,$K$2,'Pending Putaway'!$B$2:$B$3000,SUBSTITUTE($A45," SS","  SS"))&gt;0,SUMIFS('Pending Putaway'!$L$2:$L$3000,'Pending Putaway'!$A$2:$A$3000,$K$2,'Pending Putaway'!$B$2:$B$3000,SUBSTITUTE($A45," SS","  SS")),"NA"))</f>
        <v>6612</v>
      </c>
      <c r="K45" s="23"/>
      <c r="L45" s="23"/>
      <c r="M45" s="23"/>
      <c r="N45" s="23"/>
      <c r="O45" s="23"/>
      <c r="P45" s="23"/>
      <c r="Q45" s="23"/>
      <c r="R45" s="23"/>
      <c r="S45" s="23"/>
      <c r="T45" s="23"/>
      <c r="U45" s="23"/>
      <c r="V45" s="23"/>
      <c r="W45" s="23"/>
      <c r="X45" s="23"/>
      <c r="Y45" s="23"/>
      <c r="Z45" s="23"/>
      <c r="AA45" s="23"/>
      <c r="AB45" s="23"/>
      <c r="AC45" s="23"/>
      <c r="AD45" s="23"/>
      <c r="AE45" s="23"/>
      <c r="AF45" s="23"/>
      <c r="AG45" s="23"/>
      <c r="AH45" s="23"/>
    </row>
    <row r="46" customFormat="false" ht="15.75" hidden="false" customHeight="true" outlineLevel="0" collapsed="false">
      <c r="A46" s="81" t="s">
        <v>241</v>
      </c>
      <c r="B46" s="81" t="str">
        <f aca="false" t="array" ref="B46:B46">IFERROR(INDEX('CLM &amp; IM Mapping'!$B$2:$B$270,MATCH($A46,'CLM &amp; IM Mapping'!$A$2:$A$270,0)),"Not Mapped")</f>
        <v>Sundaresh S</v>
      </c>
      <c r="C46" s="81" t="str">
        <f aca="false" t="array" ref="C46:C46">IFERROR(INDEX('CLM &amp; IM Mapping'!$C$2:$C$270,MATCH($A46,'CLM &amp; IM Mapping'!$A$2:$A$270,0)),"Not Mapped")</f>
        <v>Un Mapped</v>
      </c>
      <c r="D46" s="82" t="n">
        <f aca="false">IF(COUNTIFS(Shrinkage!$A$2:$A$3000,$K$2,Shrinkage!$D$2:$D$3000,$A46)&gt;0,SUMIFS(Shrinkage!$P$2:$P$3000,Shrinkage!$A$2:$A$3000,$K$2,Shrinkage!$D$2:$D$3000,$A46),IF(COUNTIFS(Shrinkage!$A$2:$A$3000,$K$2,Shrinkage!$D$2:$D$3000,SUBSTITUTE($A46," SS","  SS"))&gt;0,SUMIFS(Shrinkage!$P$2:$P$3000,Shrinkage!$A$2:$A$3000,$K$2,Shrinkage!$D$2:$D$3000,SUBSTITUTE($A46," SS","  SS")),"NA"))</f>
        <v>6914</v>
      </c>
      <c r="E46" s="83" t="n">
        <f aca="false">IF(COUNTIFS('Inventory Hygiene'!$A$2:$A$3000,$K$2,'Inventory Hygiene'!$B$2:$B$3000,$A46)&gt;0,AVERAGEIFS('Inventory Hygiene'!$J$2:$J$3000,'Inventory Hygiene'!$A$2:$A$3000,$K$2,'Inventory Hygiene'!$B$2:$B$3000,$A46),IF(COUNTIFS('Inventory Hygiene'!$A$2:$A$3000,$K$2,'Inventory Hygiene'!$B$2:$B$3000,SUBSTITUTE($A46," SS","  SS"))&gt;0,AVERAGEIFS('Inventory Hygiene'!$J$2:$J$3000,'Inventory Hygiene'!$A$2:$A$3000,$K$2,'Inventory Hygiene'!$B$2:$B$3000,SUBSTITUTE($A46," SS","  SS")),"NA"))</f>
        <v>0.742053152683689</v>
      </c>
      <c r="F46" s="81" t="n">
        <f aca="false">IF(COUNTIFS('Bad Bins'!$A$2:$A$3000,$K$2,'Bad Bins'!$B$2:$B$3000,$A46)&gt;0,SUMIFS('Bad Bins'!$K$2:$K$3000,'Bad Bins'!$A$2:$A$3000,$K$2,'Bad Bins'!$B$2:$B$3000,$A46),IF(COUNTIFS('Bad Bins'!$A$2:$A$3000,$K$2,'Bad Bins'!$B$2:$B$3000,SUBSTITUTE($A46," SS","  SS"))&gt;0,SUMIFS('Bad Bins'!$K$2:$K$3000,'Bad Bins'!$A$2:$A$3000,$K$2,'Bad Bins'!$B$2:$B$3000,SUBSTITUTE($A46," SS","  SS")),"NA"))</f>
        <v>167</v>
      </c>
      <c r="G46" s="81" t="str">
        <f aca="false">IF(COUNTIFS('RSTO &gt; 48hrs'!$A$2:$A$3000,$K$2,'RSTO &gt; 48hrs'!$B$2:$B$3000,$A46)&gt;0,SUMIFS('RSTO &gt; 48hrs'!$H$2:$H$3000,'RSTO &gt; 48hrs'!$A$2:$A$3000,$K$2,'RSTO &gt; 48hrs'!$B$2:$B$3000,$A46),IF(COUNTIFS('RSTO &gt; 48hrs'!$A$2:$A$3000,$K$2,'RSTO &gt; 48hrs'!$B$2:$B$3000,SUBSTITUTE($A46," SS","  SS"))&gt;0,SUMIFS('RSTO &gt; 48hrs'!$H$2:$H$3000,'RSTO &gt; 48hrs'!$A$2:$A$3000,$K$2,'RSTO &gt; 48hrs'!$B$2:$B$3000,SUBSTITUTE($A46," SS","  SS")),"NA"))</f>
        <v>NA</v>
      </c>
      <c r="H46" s="81" t="str">
        <f aca="false">IF(COUNTIFS('Recirculation &gt; 24 hrs'!$A$2:$A$3000,$K$2,'Recirculation &gt; 24 hrs'!$B$2:$B$3000,$A46)&gt;0,SUMIFS('Recirculation &gt; 24 hrs'!$K$2:$K$3000,'Recirculation &gt; 24 hrs'!$A$2:$A$3000,$K$2,'Recirculation &gt; 24 hrs'!$B$2:$B$3000,$A46),IF(COUNTIFS('Recirculation &gt; 24 hrs'!$A$2:$A$3000,$K$2,'Recirculation &gt; 24 hrs'!$B$2:$B$3000,SUBSTITUTE($A46," SS","  SS"))&gt;0,SUMIFS('Recirculation &gt; 24 hrs'!$K$2:$K$3000,'Recirculation &gt; 24 hrs'!$A$2:$A$3000,$K$2,'Recirculation &gt; 24 hrs'!$B$2:$B$3000,SUBSTITUTE($A46," SS","  SS")),"NA"))</f>
        <v>NA</v>
      </c>
      <c r="I46" s="81" t="n">
        <f aca="false">IF(COUNTIFS('Pending Putaway'!$A$2:$A$3000,$K$2,'Pending Putaway'!$B$2:$B$3000,$A46)&gt;0,SUMIFS('Pending Putaway'!$E$2:$E$3000,'Pending Putaway'!$A$2:$A$3000,$K$2,'Pending Putaway'!$B$2:$B$3000,$A46),IF(COUNTIFS('Pending Putaway'!$A$2:$A$3000,$K$2,'Pending Putaway'!$B$2:$B$3000,SUBSTITUTE($A46," SS","  SS"))&gt;0,SUMIFS('Pending Putaway'!$E$2:$E$3000,'Pending Putaway'!$A$2:$A$3000,$K$2,'Pending Putaway'!$B$2:$B$3000,SUBSTITUTE($A46," SS","  SS")),"NA"))</f>
        <v>352</v>
      </c>
      <c r="J46" s="81" t="n">
        <f aca="false">IF(COUNTIFS('Pending Putaway'!$A$2:$A$3000,$K$2,'Pending Putaway'!$B$2:$B$3000,$A46)&gt;0,SUMIFS('Pending Putaway'!$L$2:$L$3000,'Pending Putaway'!$A$2:$A$3000,$K$2,'Pending Putaway'!$B$2:$B$3000,$A46),IF(COUNTIFS('Pending Putaway'!$A$2:$A$3000,$K$2,'Pending Putaway'!$B$2:$B$3000,SUBSTITUTE($A46," SS","  SS"))&gt;0,SUMIFS('Pending Putaway'!$L$2:$L$3000,'Pending Putaway'!$A$2:$A$3000,$K$2,'Pending Putaway'!$B$2:$B$3000,SUBSTITUTE($A46," SS","  SS")),"NA"))</f>
        <v>55</v>
      </c>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customFormat="false" ht="15.75" hidden="false" customHeight="true" outlineLevel="0" collapsed="false">
      <c r="A47" s="81" t="s">
        <v>483</v>
      </c>
      <c r="B47" s="81" t="str">
        <f aca="false" t="array" ref="B47:B47">IFERROR(INDEX('CLM &amp; IM Mapping'!$B$2:$B$270,MATCH($A47,'CLM &amp; IM Mapping'!$A$2:$A$270,0)),"Not Mapped")</f>
        <v>Sundaresh S</v>
      </c>
      <c r="C47" s="81" t="str">
        <f aca="false" t="array" ref="C47:C47">IFERROR(INDEX('CLM &amp; IM Mapping'!$C$2:$C$270,MATCH($A47,'CLM &amp; IM Mapping'!$A$2:$A$270,0)),"Not Mapped")</f>
        <v>Un Mapped</v>
      </c>
      <c r="D47" s="82" t="n">
        <f aca="false">IF(COUNTIFS(Shrinkage!$A$2:$A$3000,$K$2,Shrinkage!$D$2:$D$3000,$A47)&gt;0,SUMIFS(Shrinkage!$P$2:$P$3000,Shrinkage!$A$2:$A$3000,$K$2,Shrinkage!$D$2:$D$3000,$A47),IF(COUNTIFS(Shrinkage!$A$2:$A$3000,$K$2,Shrinkage!$D$2:$D$3000,SUBSTITUTE($A47," SS","  SS"))&gt;0,SUMIFS(Shrinkage!$P$2:$P$3000,Shrinkage!$A$2:$A$3000,$K$2,Shrinkage!$D$2:$D$3000,SUBSTITUTE($A47," SS","  SS")),"NA"))</f>
        <v>-12567</v>
      </c>
      <c r="E47" s="83" t="n">
        <f aca="false">IF(COUNTIFS('Inventory Hygiene'!$A$2:$A$3000,$K$2,'Inventory Hygiene'!$B$2:$B$3000,$A47)&gt;0,AVERAGEIFS('Inventory Hygiene'!$J$2:$J$3000,'Inventory Hygiene'!$A$2:$A$3000,$K$2,'Inventory Hygiene'!$B$2:$B$3000,$A47),IF(COUNTIFS('Inventory Hygiene'!$A$2:$A$3000,$K$2,'Inventory Hygiene'!$B$2:$B$3000,SUBSTITUTE($A47," SS","  SS"))&gt;0,AVERAGEIFS('Inventory Hygiene'!$J$2:$J$3000,'Inventory Hygiene'!$A$2:$A$3000,$K$2,'Inventory Hygiene'!$B$2:$B$3000,SUBSTITUTE($A47," SS","  SS")),"NA"))</f>
        <v>0.730033745781777</v>
      </c>
      <c r="F47" s="81" t="n">
        <f aca="false">IF(COUNTIFS('Bad Bins'!$A$2:$A$3000,$K$2,'Bad Bins'!$B$2:$B$3000,$A47)&gt;0,SUMIFS('Bad Bins'!$K$2:$K$3000,'Bad Bins'!$A$2:$A$3000,$K$2,'Bad Bins'!$B$2:$B$3000,$A47),IF(COUNTIFS('Bad Bins'!$A$2:$A$3000,$K$2,'Bad Bins'!$B$2:$B$3000,SUBSTITUTE($A47," SS","  SS"))&gt;0,SUMIFS('Bad Bins'!$K$2:$K$3000,'Bad Bins'!$A$2:$A$3000,$K$2,'Bad Bins'!$B$2:$B$3000,SUBSTITUTE($A47," SS","  SS")),"NA"))</f>
        <v>88</v>
      </c>
      <c r="G47" s="81" t="str">
        <f aca="false">IF(COUNTIFS('RSTO &gt; 48hrs'!$A$2:$A$3000,$K$2,'RSTO &gt; 48hrs'!$B$2:$B$3000,$A47)&gt;0,SUMIFS('RSTO &gt; 48hrs'!$H$2:$H$3000,'RSTO &gt; 48hrs'!$A$2:$A$3000,$K$2,'RSTO &gt; 48hrs'!$B$2:$B$3000,$A47),IF(COUNTIFS('RSTO &gt; 48hrs'!$A$2:$A$3000,$K$2,'RSTO &gt; 48hrs'!$B$2:$B$3000,SUBSTITUTE($A47," SS","  SS"))&gt;0,SUMIFS('RSTO &gt; 48hrs'!$H$2:$H$3000,'RSTO &gt; 48hrs'!$A$2:$A$3000,$K$2,'RSTO &gt; 48hrs'!$B$2:$B$3000,SUBSTITUTE($A47," SS","  SS")),"NA"))</f>
        <v>NA</v>
      </c>
      <c r="H47" s="81" t="n">
        <f aca="false">IF(COUNTIFS('Recirculation &gt; 24 hrs'!$A$2:$A$3000,$K$2,'Recirculation &gt; 24 hrs'!$B$2:$B$3000,$A47)&gt;0,SUMIFS('Recirculation &gt; 24 hrs'!$K$2:$K$3000,'Recirculation &gt; 24 hrs'!$A$2:$A$3000,$K$2,'Recirculation &gt; 24 hrs'!$B$2:$B$3000,$A47),IF(COUNTIFS('Recirculation &gt; 24 hrs'!$A$2:$A$3000,$K$2,'Recirculation &gt; 24 hrs'!$B$2:$B$3000,SUBSTITUTE($A47," SS","  SS"))&gt;0,SUMIFS('Recirculation &gt; 24 hrs'!$K$2:$K$3000,'Recirculation &gt; 24 hrs'!$A$2:$A$3000,$K$2,'Recirculation &gt; 24 hrs'!$B$2:$B$3000,SUBSTITUTE($A47," SS","  SS")),"NA"))</f>
        <v>5</v>
      </c>
      <c r="I47" s="81" t="n">
        <f aca="false">IF(COUNTIFS('Pending Putaway'!$A$2:$A$3000,$K$2,'Pending Putaway'!$B$2:$B$3000,$A47)&gt;0,SUMIFS('Pending Putaway'!$E$2:$E$3000,'Pending Putaway'!$A$2:$A$3000,$K$2,'Pending Putaway'!$B$2:$B$3000,$A47),IF(COUNTIFS('Pending Putaway'!$A$2:$A$3000,$K$2,'Pending Putaway'!$B$2:$B$3000,SUBSTITUTE($A47," SS","  SS"))&gt;0,SUMIFS('Pending Putaway'!$E$2:$E$3000,'Pending Putaway'!$A$2:$A$3000,$K$2,'Pending Putaway'!$B$2:$B$3000,SUBSTITUTE($A47," SS","  SS")),"NA"))</f>
        <v>1595</v>
      </c>
      <c r="J47" s="81" t="n">
        <f aca="false">IF(COUNTIFS('Pending Putaway'!$A$2:$A$3000,$K$2,'Pending Putaway'!$B$2:$B$3000,$A47)&gt;0,SUMIFS('Pending Putaway'!$L$2:$L$3000,'Pending Putaway'!$A$2:$A$3000,$K$2,'Pending Putaway'!$B$2:$B$3000,$A47),IF(COUNTIFS('Pending Putaway'!$A$2:$A$3000,$K$2,'Pending Putaway'!$B$2:$B$3000,SUBSTITUTE($A47," SS","  SS"))&gt;0,SUMIFS('Pending Putaway'!$L$2:$L$3000,'Pending Putaway'!$A$2:$A$3000,$K$2,'Pending Putaway'!$B$2:$B$3000,SUBSTITUTE($A47," SS","  SS")),"NA"))</f>
        <v>59</v>
      </c>
      <c r="K47" s="23"/>
      <c r="L47" s="23"/>
      <c r="M47" s="23"/>
      <c r="N47" s="23"/>
      <c r="O47" s="23"/>
      <c r="P47" s="23"/>
      <c r="Q47" s="23"/>
      <c r="R47" s="23"/>
      <c r="S47" s="23"/>
      <c r="T47" s="23"/>
      <c r="U47" s="23"/>
      <c r="V47" s="23"/>
      <c r="W47" s="23"/>
      <c r="X47" s="23"/>
      <c r="Y47" s="23"/>
      <c r="Z47" s="23"/>
      <c r="AA47" s="23"/>
      <c r="AB47" s="23"/>
      <c r="AC47" s="23"/>
      <c r="AD47" s="23"/>
      <c r="AE47" s="23"/>
      <c r="AF47" s="23"/>
      <c r="AG47" s="23"/>
      <c r="AH47" s="23"/>
    </row>
    <row r="48" customFormat="false" ht="15.75" hidden="false" customHeight="true" outlineLevel="0" collapsed="false">
      <c r="A48" s="81" t="s">
        <v>526</v>
      </c>
      <c r="B48" s="81" t="str">
        <f aca="false" t="array" ref="B48:B48">IFERROR(INDEX('CLM &amp; IM Mapping'!$B$2:$B$270,MATCH($A48,'CLM &amp; IM Mapping'!$A$2:$A$270,0)),"Not Mapped")</f>
        <v>Sundaresh S</v>
      </c>
      <c r="C48" s="81" t="str">
        <f aca="false" t="array" ref="C48:C48">IFERROR(INDEX('CLM &amp; IM Mapping'!$C$2:$C$270,MATCH($A48,'CLM &amp; IM Mapping'!$A$2:$A$270,0)),"Not Mapped")</f>
        <v>Un Mapped</v>
      </c>
      <c r="D48" s="82" t="n">
        <f aca="false">IF(COUNTIFS(Shrinkage!$A$2:$A$3000,$K$2,Shrinkage!$D$2:$D$3000,$A48)&gt;0,SUMIFS(Shrinkage!$P$2:$P$3000,Shrinkage!$A$2:$A$3000,$K$2,Shrinkage!$D$2:$D$3000,$A48),IF(COUNTIFS(Shrinkage!$A$2:$A$3000,$K$2,Shrinkage!$D$2:$D$3000,SUBSTITUTE($A48," SS","  SS"))&gt;0,SUMIFS(Shrinkage!$P$2:$P$3000,Shrinkage!$A$2:$A$3000,$K$2,Shrinkage!$D$2:$D$3000,SUBSTITUTE($A48," SS","  SS")),"NA"))</f>
        <v>-26478</v>
      </c>
      <c r="E48" s="83" t="n">
        <f aca="false">IF(COUNTIFS('Inventory Hygiene'!$A$2:$A$3000,$K$2,'Inventory Hygiene'!$B$2:$B$3000,$A48)&gt;0,AVERAGEIFS('Inventory Hygiene'!$J$2:$J$3000,'Inventory Hygiene'!$A$2:$A$3000,$K$2,'Inventory Hygiene'!$B$2:$B$3000,$A48),IF(COUNTIFS('Inventory Hygiene'!$A$2:$A$3000,$K$2,'Inventory Hygiene'!$B$2:$B$3000,SUBSTITUTE($A48," SS","  SS"))&gt;0,AVERAGEIFS('Inventory Hygiene'!$J$2:$J$3000,'Inventory Hygiene'!$A$2:$A$3000,$K$2,'Inventory Hygiene'!$B$2:$B$3000,SUBSTITUTE($A48," SS","  SS")),"NA"))</f>
        <v>0.933423650087091</v>
      </c>
      <c r="F48" s="81" t="n">
        <f aca="false">IF(COUNTIFS('Bad Bins'!$A$2:$A$3000,$K$2,'Bad Bins'!$B$2:$B$3000,$A48)&gt;0,SUMIFS('Bad Bins'!$K$2:$K$3000,'Bad Bins'!$A$2:$A$3000,$K$2,'Bad Bins'!$B$2:$B$3000,$A48),IF(COUNTIFS('Bad Bins'!$A$2:$A$3000,$K$2,'Bad Bins'!$B$2:$B$3000,SUBSTITUTE($A48," SS","  SS"))&gt;0,SUMIFS('Bad Bins'!$K$2:$K$3000,'Bad Bins'!$A$2:$A$3000,$K$2,'Bad Bins'!$B$2:$B$3000,SUBSTITUTE($A48," SS","  SS")),"NA"))</f>
        <v>122</v>
      </c>
      <c r="G48" s="81" t="str">
        <f aca="false">IF(COUNTIFS('RSTO &gt; 48hrs'!$A$2:$A$3000,$K$2,'RSTO &gt; 48hrs'!$B$2:$B$3000,$A48)&gt;0,SUMIFS('RSTO &gt; 48hrs'!$H$2:$H$3000,'RSTO &gt; 48hrs'!$A$2:$A$3000,$K$2,'RSTO &gt; 48hrs'!$B$2:$B$3000,$A48),IF(COUNTIFS('RSTO &gt; 48hrs'!$A$2:$A$3000,$K$2,'RSTO &gt; 48hrs'!$B$2:$B$3000,SUBSTITUTE($A48," SS","  SS"))&gt;0,SUMIFS('RSTO &gt; 48hrs'!$H$2:$H$3000,'RSTO &gt; 48hrs'!$A$2:$A$3000,$K$2,'RSTO &gt; 48hrs'!$B$2:$B$3000,SUBSTITUTE($A48," SS","  SS")),"NA"))</f>
        <v>NA</v>
      </c>
      <c r="H48" s="81" t="str">
        <f aca="false">IF(COUNTIFS('Recirculation &gt; 24 hrs'!$A$2:$A$3000,$K$2,'Recirculation &gt; 24 hrs'!$B$2:$B$3000,$A48)&gt;0,SUMIFS('Recirculation &gt; 24 hrs'!$K$2:$K$3000,'Recirculation &gt; 24 hrs'!$A$2:$A$3000,$K$2,'Recirculation &gt; 24 hrs'!$B$2:$B$3000,$A48),IF(COUNTIFS('Recirculation &gt; 24 hrs'!$A$2:$A$3000,$K$2,'Recirculation &gt; 24 hrs'!$B$2:$B$3000,SUBSTITUTE($A48," SS","  SS"))&gt;0,SUMIFS('Recirculation &gt; 24 hrs'!$K$2:$K$3000,'Recirculation &gt; 24 hrs'!$A$2:$A$3000,$K$2,'Recirculation &gt; 24 hrs'!$B$2:$B$3000,SUBSTITUTE($A48," SS","  SS")),"NA"))</f>
        <v>NA</v>
      </c>
      <c r="I48" s="81" t="n">
        <f aca="false">IF(COUNTIFS('Pending Putaway'!$A$2:$A$3000,$K$2,'Pending Putaway'!$B$2:$B$3000,$A48)&gt;0,SUMIFS('Pending Putaway'!$E$2:$E$3000,'Pending Putaway'!$A$2:$A$3000,$K$2,'Pending Putaway'!$B$2:$B$3000,$A48),IF(COUNTIFS('Pending Putaway'!$A$2:$A$3000,$K$2,'Pending Putaway'!$B$2:$B$3000,SUBSTITUTE($A48," SS","  SS"))&gt;0,SUMIFS('Pending Putaway'!$E$2:$E$3000,'Pending Putaway'!$A$2:$A$3000,$K$2,'Pending Putaway'!$B$2:$B$3000,SUBSTITUTE($A48," SS","  SS")),"NA"))</f>
        <v>375</v>
      </c>
      <c r="J48" s="81" t="n">
        <f aca="false">IF(COUNTIFS('Pending Putaway'!$A$2:$A$3000,$K$2,'Pending Putaway'!$B$2:$B$3000,$A48)&gt;0,SUMIFS('Pending Putaway'!$L$2:$L$3000,'Pending Putaway'!$A$2:$A$3000,$K$2,'Pending Putaway'!$B$2:$B$3000,$A48),IF(COUNTIFS('Pending Putaway'!$A$2:$A$3000,$K$2,'Pending Putaway'!$B$2:$B$3000,SUBSTITUTE($A48," SS","  SS"))&gt;0,SUMIFS('Pending Putaway'!$L$2:$L$3000,'Pending Putaway'!$A$2:$A$3000,$K$2,'Pending Putaway'!$B$2:$B$3000,SUBSTITUTE($A48," SS","  SS")),"NA"))</f>
        <v>41</v>
      </c>
      <c r="K48" s="23"/>
      <c r="L48" s="23"/>
      <c r="M48" s="23"/>
      <c r="N48" s="23"/>
      <c r="O48" s="23"/>
      <c r="P48" s="23"/>
      <c r="Q48" s="23"/>
      <c r="R48" s="23"/>
      <c r="S48" s="23"/>
      <c r="T48" s="23"/>
      <c r="U48" s="23"/>
      <c r="V48" s="23"/>
      <c r="W48" s="23"/>
      <c r="X48" s="23"/>
      <c r="Y48" s="23"/>
      <c r="Z48" s="23"/>
      <c r="AA48" s="23"/>
      <c r="AB48" s="23"/>
      <c r="AC48" s="23"/>
      <c r="AD48" s="23"/>
      <c r="AE48" s="23"/>
      <c r="AF48" s="23"/>
      <c r="AG48" s="23"/>
      <c r="AH48" s="23"/>
    </row>
    <row r="49" customFormat="false" ht="15.75" hidden="false" customHeight="true" outlineLevel="0" collapsed="false">
      <c r="A49" s="81" t="s">
        <v>142</v>
      </c>
      <c r="B49" s="81" t="str">
        <f aca="false" t="array" ref="B49:B49">IFERROR(INDEX('CLM &amp; IM Mapping'!$B$2:$B$270,MATCH($A49,'CLM &amp; IM Mapping'!$A$2:$A$270,0)),"Not Mapped")</f>
        <v>Sundaresh S</v>
      </c>
      <c r="C49" s="81" t="str">
        <f aca="false" t="array" ref="C49:C49">IFERROR(INDEX('CLM &amp; IM Mapping'!$C$2:$C$270,MATCH($A49,'CLM &amp; IM Mapping'!$A$2:$A$270,0)),"Not Mapped")</f>
        <v>Un Mapped</v>
      </c>
      <c r="D49" s="82" t="n">
        <f aca="false">IF(COUNTIFS(Shrinkage!$A$2:$A$3000,$K$2,Shrinkage!$D$2:$D$3000,$A49)&gt;0,SUMIFS(Shrinkage!$P$2:$P$3000,Shrinkage!$A$2:$A$3000,$K$2,Shrinkage!$D$2:$D$3000,$A49),IF(COUNTIFS(Shrinkage!$A$2:$A$3000,$K$2,Shrinkage!$D$2:$D$3000,SUBSTITUTE($A49," SS","  SS"))&gt;0,SUMIFS(Shrinkage!$P$2:$P$3000,Shrinkage!$A$2:$A$3000,$K$2,Shrinkage!$D$2:$D$3000,SUBSTITUTE($A49," SS","  SS")),"NA"))</f>
        <v>41104</v>
      </c>
      <c r="E49" s="83" t="n">
        <f aca="false">IF(COUNTIFS('Inventory Hygiene'!$A$2:$A$3000,$K$2,'Inventory Hygiene'!$B$2:$B$3000,$A49)&gt;0,AVERAGEIFS('Inventory Hygiene'!$J$2:$J$3000,'Inventory Hygiene'!$A$2:$A$3000,$K$2,'Inventory Hygiene'!$B$2:$B$3000,$A49),IF(COUNTIFS('Inventory Hygiene'!$A$2:$A$3000,$K$2,'Inventory Hygiene'!$B$2:$B$3000,SUBSTITUTE($A49," SS","  SS"))&gt;0,AVERAGEIFS('Inventory Hygiene'!$J$2:$J$3000,'Inventory Hygiene'!$A$2:$A$3000,$K$2,'Inventory Hygiene'!$B$2:$B$3000,SUBSTITUTE($A49," SS","  SS")),"NA"))</f>
        <v>0.760427807486631</v>
      </c>
      <c r="F49" s="81" t="n">
        <f aca="false">IF(COUNTIFS('Bad Bins'!$A$2:$A$3000,$K$2,'Bad Bins'!$B$2:$B$3000,$A49)&gt;0,SUMIFS('Bad Bins'!$K$2:$K$3000,'Bad Bins'!$A$2:$A$3000,$K$2,'Bad Bins'!$B$2:$B$3000,$A49),IF(COUNTIFS('Bad Bins'!$A$2:$A$3000,$K$2,'Bad Bins'!$B$2:$B$3000,SUBSTITUTE($A49," SS","  SS"))&gt;0,SUMIFS('Bad Bins'!$K$2:$K$3000,'Bad Bins'!$A$2:$A$3000,$K$2,'Bad Bins'!$B$2:$B$3000,SUBSTITUTE($A49," SS","  SS")),"NA"))</f>
        <v>86</v>
      </c>
      <c r="G49" s="81" t="str">
        <f aca="false">IF(COUNTIFS('RSTO &gt; 48hrs'!$A$2:$A$3000,$K$2,'RSTO &gt; 48hrs'!$B$2:$B$3000,$A49)&gt;0,SUMIFS('RSTO &gt; 48hrs'!$H$2:$H$3000,'RSTO &gt; 48hrs'!$A$2:$A$3000,$K$2,'RSTO &gt; 48hrs'!$B$2:$B$3000,$A49),IF(COUNTIFS('RSTO &gt; 48hrs'!$A$2:$A$3000,$K$2,'RSTO &gt; 48hrs'!$B$2:$B$3000,SUBSTITUTE($A49," SS","  SS"))&gt;0,SUMIFS('RSTO &gt; 48hrs'!$H$2:$H$3000,'RSTO &gt; 48hrs'!$A$2:$A$3000,$K$2,'RSTO &gt; 48hrs'!$B$2:$B$3000,SUBSTITUTE($A49," SS","  SS")),"NA"))</f>
        <v>NA</v>
      </c>
      <c r="H49" s="81" t="n">
        <f aca="false">IF(COUNTIFS('Recirculation &gt; 24 hrs'!$A$2:$A$3000,$K$2,'Recirculation &gt; 24 hrs'!$B$2:$B$3000,$A49)&gt;0,SUMIFS('Recirculation &gt; 24 hrs'!$K$2:$K$3000,'Recirculation &gt; 24 hrs'!$A$2:$A$3000,$K$2,'Recirculation &gt; 24 hrs'!$B$2:$B$3000,$A49),IF(COUNTIFS('Recirculation &gt; 24 hrs'!$A$2:$A$3000,$K$2,'Recirculation &gt; 24 hrs'!$B$2:$B$3000,SUBSTITUTE($A49," SS","  SS"))&gt;0,SUMIFS('Recirculation &gt; 24 hrs'!$K$2:$K$3000,'Recirculation &gt; 24 hrs'!$A$2:$A$3000,$K$2,'Recirculation &gt; 24 hrs'!$B$2:$B$3000,SUBSTITUTE($A49," SS","  SS")),"NA"))</f>
        <v>898</v>
      </c>
      <c r="I49" s="81" t="n">
        <f aca="false">IF(COUNTIFS('Pending Putaway'!$A$2:$A$3000,$K$2,'Pending Putaway'!$B$2:$B$3000,$A49)&gt;0,SUMIFS('Pending Putaway'!$E$2:$E$3000,'Pending Putaway'!$A$2:$A$3000,$K$2,'Pending Putaway'!$B$2:$B$3000,$A49),IF(COUNTIFS('Pending Putaway'!$A$2:$A$3000,$K$2,'Pending Putaway'!$B$2:$B$3000,SUBSTITUTE($A49," SS","  SS"))&gt;0,SUMIFS('Pending Putaway'!$E$2:$E$3000,'Pending Putaway'!$A$2:$A$3000,$K$2,'Pending Putaway'!$B$2:$B$3000,SUBSTITUTE($A49," SS","  SS")),"NA"))</f>
        <v>7323</v>
      </c>
      <c r="J49" s="81" t="n">
        <f aca="false">IF(COUNTIFS('Pending Putaway'!$A$2:$A$3000,$K$2,'Pending Putaway'!$B$2:$B$3000,$A49)&gt;0,SUMIFS('Pending Putaway'!$L$2:$L$3000,'Pending Putaway'!$A$2:$A$3000,$K$2,'Pending Putaway'!$B$2:$B$3000,$A49),IF(COUNTIFS('Pending Putaway'!$A$2:$A$3000,$K$2,'Pending Putaway'!$B$2:$B$3000,SUBSTITUTE($A49," SS","  SS"))&gt;0,SUMIFS('Pending Putaway'!$L$2:$L$3000,'Pending Putaway'!$A$2:$A$3000,$K$2,'Pending Putaway'!$B$2:$B$3000,SUBSTITUTE($A49," SS","  SS")),"NA"))</f>
        <v>632</v>
      </c>
      <c r="K49" s="23"/>
      <c r="L49" s="23"/>
      <c r="M49" s="23"/>
      <c r="N49" s="23"/>
      <c r="O49" s="23"/>
      <c r="P49" s="23"/>
      <c r="Q49" s="23"/>
      <c r="R49" s="23"/>
      <c r="S49" s="23"/>
      <c r="T49" s="23"/>
      <c r="U49" s="23"/>
      <c r="V49" s="23"/>
      <c r="W49" s="23"/>
      <c r="X49" s="23"/>
      <c r="Y49" s="23"/>
      <c r="Z49" s="23"/>
      <c r="AA49" s="23"/>
      <c r="AB49" s="23"/>
      <c r="AC49" s="23"/>
      <c r="AD49" s="23"/>
      <c r="AE49" s="23"/>
      <c r="AF49" s="23"/>
      <c r="AG49" s="23"/>
      <c r="AH49" s="23"/>
    </row>
    <row r="50" customFormat="false" ht="15.75" hidden="false" customHeight="true" outlineLevel="0" collapsed="false">
      <c r="A50" s="81" t="s">
        <v>675</v>
      </c>
      <c r="B50" s="81" t="str">
        <f aca="false" t="array" ref="B50:B50">IFERROR(INDEX('CLM &amp; IM Mapping'!$B$2:$B$270,MATCH($A50,'CLM &amp; IM Mapping'!$A$2:$A$270,0)),"Not Mapped")</f>
        <v>Sundaresh S</v>
      </c>
      <c r="C50" s="81" t="str">
        <f aca="false" t="array" ref="C50:C50">IFERROR(INDEX('CLM &amp; IM Mapping'!$C$2:$C$270,MATCH($A50,'CLM &amp; IM Mapping'!$A$2:$A$270,0)),"Not Mapped")</f>
        <v>Un Mapped</v>
      </c>
      <c r="D50" s="82" t="str">
        <f aca="false">IF(COUNTIFS(Shrinkage!$A$2:$A$3000,$K$2,Shrinkage!$D$2:$D$3000,$A50)&gt;0,SUMIFS(Shrinkage!$P$2:$P$3000,Shrinkage!$A$2:$A$3000,$K$2,Shrinkage!$D$2:$D$3000,$A50),IF(COUNTIFS(Shrinkage!$A$2:$A$3000,$K$2,Shrinkage!$D$2:$D$3000,SUBSTITUTE($A50," SS","  SS"))&gt;0,SUMIFS(Shrinkage!$P$2:$P$3000,Shrinkage!$A$2:$A$3000,$K$2,Shrinkage!$D$2:$D$3000,SUBSTITUTE($A50," SS","  SS")),"NA"))</f>
        <v>NA</v>
      </c>
      <c r="E50" s="83" t="str">
        <f aca="false">IF(COUNTIFS('Inventory Hygiene'!$A$2:$A$3000,$K$2,'Inventory Hygiene'!$B$2:$B$3000,$A50)&gt;0,AVERAGEIFS('Inventory Hygiene'!$J$2:$J$3000,'Inventory Hygiene'!$A$2:$A$3000,$K$2,'Inventory Hygiene'!$B$2:$B$3000,$A50),IF(COUNTIFS('Inventory Hygiene'!$A$2:$A$3000,$K$2,'Inventory Hygiene'!$B$2:$B$3000,SUBSTITUTE($A50," SS","  SS"))&gt;0,AVERAGEIFS('Inventory Hygiene'!$J$2:$J$3000,'Inventory Hygiene'!$A$2:$A$3000,$K$2,'Inventory Hygiene'!$B$2:$B$3000,SUBSTITUTE($A50," SS","  SS")),"NA"))</f>
        <v>NA</v>
      </c>
      <c r="F50" s="81" t="str">
        <f aca="false">IF(COUNTIFS('Bad Bins'!$A$2:$A$3000,$K$2,'Bad Bins'!$B$2:$B$3000,$A50)&gt;0,SUMIFS('Bad Bins'!$K$2:$K$3000,'Bad Bins'!$A$2:$A$3000,$K$2,'Bad Bins'!$B$2:$B$3000,$A50),IF(COUNTIFS('Bad Bins'!$A$2:$A$3000,$K$2,'Bad Bins'!$B$2:$B$3000,SUBSTITUTE($A50," SS","  SS"))&gt;0,SUMIFS('Bad Bins'!$K$2:$K$3000,'Bad Bins'!$A$2:$A$3000,$K$2,'Bad Bins'!$B$2:$B$3000,SUBSTITUTE($A50," SS","  SS")),"NA"))</f>
        <v>NA</v>
      </c>
      <c r="G50" s="81" t="str">
        <f aca="false">IF(COUNTIFS('RSTO &gt; 48hrs'!$A$2:$A$3000,$K$2,'RSTO &gt; 48hrs'!$B$2:$B$3000,$A50)&gt;0,SUMIFS('RSTO &gt; 48hrs'!$H$2:$H$3000,'RSTO &gt; 48hrs'!$A$2:$A$3000,$K$2,'RSTO &gt; 48hrs'!$B$2:$B$3000,$A50),IF(COUNTIFS('RSTO &gt; 48hrs'!$A$2:$A$3000,$K$2,'RSTO &gt; 48hrs'!$B$2:$B$3000,SUBSTITUTE($A50," SS","  SS"))&gt;0,SUMIFS('RSTO &gt; 48hrs'!$H$2:$H$3000,'RSTO &gt; 48hrs'!$A$2:$A$3000,$K$2,'RSTO &gt; 48hrs'!$B$2:$B$3000,SUBSTITUTE($A50," SS","  SS")),"NA"))</f>
        <v>NA</v>
      </c>
      <c r="H50" s="81" t="str">
        <f aca="false">IF(COUNTIFS('Recirculation &gt; 24 hrs'!$A$2:$A$3000,$K$2,'Recirculation &gt; 24 hrs'!$B$2:$B$3000,$A50)&gt;0,SUMIFS('Recirculation &gt; 24 hrs'!$K$2:$K$3000,'Recirculation &gt; 24 hrs'!$A$2:$A$3000,$K$2,'Recirculation &gt; 24 hrs'!$B$2:$B$3000,$A50),IF(COUNTIFS('Recirculation &gt; 24 hrs'!$A$2:$A$3000,$K$2,'Recirculation &gt; 24 hrs'!$B$2:$B$3000,SUBSTITUTE($A50," SS","  SS"))&gt;0,SUMIFS('Recirculation &gt; 24 hrs'!$K$2:$K$3000,'Recirculation &gt; 24 hrs'!$A$2:$A$3000,$K$2,'Recirculation &gt; 24 hrs'!$B$2:$B$3000,SUBSTITUTE($A50," SS","  SS")),"NA"))</f>
        <v>NA</v>
      </c>
      <c r="I50" s="81" t="str">
        <f aca="false">IF(COUNTIFS('Pending Putaway'!$A$2:$A$3000,$K$2,'Pending Putaway'!$B$2:$B$3000,$A50)&gt;0,SUMIFS('Pending Putaway'!$E$2:$E$3000,'Pending Putaway'!$A$2:$A$3000,$K$2,'Pending Putaway'!$B$2:$B$3000,$A50),IF(COUNTIFS('Pending Putaway'!$A$2:$A$3000,$K$2,'Pending Putaway'!$B$2:$B$3000,SUBSTITUTE($A50," SS","  SS"))&gt;0,SUMIFS('Pending Putaway'!$E$2:$E$3000,'Pending Putaway'!$A$2:$A$3000,$K$2,'Pending Putaway'!$B$2:$B$3000,SUBSTITUTE($A50," SS","  SS")),"NA"))</f>
        <v>NA</v>
      </c>
      <c r="J50" s="81" t="str">
        <f aca="false">IF(COUNTIFS('Pending Putaway'!$A$2:$A$3000,$K$2,'Pending Putaway'!$B$2:$B$3000,$A50)&gt;0,SUMIFS('Pending Putaway'!$L$2:$L$3000,'Pending Putaway'!$A$2:$A$3000,$K$2,'Pending Putaway'!$B$2:$B$3000,$A50),IF(COUNTIFS('Pending Putaway'!$A$2:$A$3000,$K$2,'Pending Putaway'!$B$2:$B$3000,SUBSTITUTE($A50," SS","  SS"))&gt;0,SUMIFS('Pending Putaway'!$L$2:$L$3000,'Pending Putaway'!$A$2:$A$3000,$K$2,'Pending Putaway'!$B$2:$B$3000,SUBSTITUTE($A50," SS","  SS")),"NA"))</f>
        <v>NA</v>
      </c>
      <c r="K50" s="23"/>
      <c r="L50" s="23"/>
      <c r="M50" s="23"/>
      <c r="N50" s="23"/>
      <c r="O50" s="23"/>
      <c r="P50" s="23"/>
      <c r="Q50" s="23"/>
      <c r="R50" s="23"/>
      <c r="S50" s="23"/>
      <c r="T50" s="23"/>
      <c r="U50" s="23"/>
      <c r="V50" s="23"/>
      <c r="W50" s="23"/>
      <c r="X50" s="23"/>
      <c r="Y50" s="23"/>
      <c r="Z50" s="23"/>
      <c r="AA50" s="23"/>
      <c r="AB50" s="23"/>
      <c r="AC50" s="23"/>
      <c r="AD50" s="23"/>
      <c r="AE50" s="23"/>
      <c r="AF50" s="23"/>
      <c r="AG50" s="23"/>
      <c r="AH50" s="23"/>
    </row>
    <row r="51" customFormat="false" ht="15.75" hidden="false" customHeight="true" outlineLevel="0" collapsed="false">
      <c r="A51" s="81" t="s">
        <v>390</v>
      </c>
      <c r="B51" s="81" t="str">
        <f aca="false" t="array" ref="B51:B51">IFERROR(INDEX('CLM &amp; IM Mapping'!$B$2:$B$270,MATCH($A51,'CLM &amp; IM Mapping'!$A$2:$A$270,0)),"Not Mapped")</f>
        <v>Sundaresh S</v>
      </c>
      <c r="C51" s="81" t="str">
        <f aca="false" t="array" ref="C51:C51">IFERROR(INDEX('CLM &amp; IM Mapping'!$C$2:$C$270,MATCH($A51,'CLM &amp; IM Mapping'!$A$2:$A$270,0)),"Not Mapped")</f>
        <v>Un Mapped</v>
      </c>
      <c r="D51" s="82" t="n">
        <f aca="false">IF(COUNTIFS(Shrinkage!$A$2:$A$3000,$K$2,Shrinkage!$D$2:$D$3000,$A51)&gt;0,SUMIFS(Shrinkage!$P$2:$P$3000,Shrinkage!$A$2:$A$3000,$K$2,Shrinkage!$D$2:$D$3000,$A51),IF(COUNTIFS(Shrinkage!$A$2:$A$3000,$K$2,Shrinkage!$D$2:$D$3000,SUBSTITUTE($A51," SS","  SS"))&gt;0,SUMIFS(Shrinkage!$P$2:$P$3000,Shrinkage!$A$2:$A$3000,$K$2,Shrinkage!$D$2:$D$3000,SUBSTITUTE($A51," SS","  SS")),"NA"))</f>
        <v>-1982</v>
      </c>
      <c r="E51" s="83" t="n">
        <f aca="false">IF(COUNTIFS('Inventory Hygiene'!$A$2:$A$3000,$K$2,'Inventory Hygiene'!$B$2:$B$3000,$A51)&gt;0,AVERAGEIFS('Inventory Hygiene'!$J$2:$J$3000,'Inventory Hygiene'!$A$2:$A$3000,$K$2,'Inventory Hygiene'!$B$2:$B$3000,$A51),IF(COUNTIFS('Inventory Hygiene'!$A$2:$A$3000,$K$2,'Inventory Hygiene'!$B$2:$B$3000,SUBSTITUTE($A51," SS","  SS"))&gt;0,AVERAGEIFS('Inventory Hygiene'!$J$2:$J$3000,'Inventory Hygiene'!$A$2:$A$3000,$K$2,'Inventory Hygiene'!$B$2:$B$3000,SUBSTITUTE($A51," SS","  SS")),"NA"))</f>
        <v>0.939071229050279</v>
      </c>
      <c r="F51" s="81" t="n">
        <f aca="false">IF(COUNTIFS('Bad Bins'!$A$2:$A$3000,$K$2,'Bad Bins'!$B$2:$B$3000,$A51)&gt;0,SUMIFS('Bad Bins'!$K$2:$K$3000,'Bad Bins'!$A$2:$A$3000,$K$2,'Bad Bins'!$B$2:$B$3000,$A51),IF(COUNTIFS('Bad Bins'!$A$2:$A$3000,$K$2,'Bad Bins'!$B$2:$B$3000,SUBSTITUTE($A51," SS","  SS"))&gt;0,SUMIFS('Bad Bins'!$K$2:$K$3000,'Bad Bins'!$A$2:$A$3000,$K$2,'Bad Bins'!$B$2:$B$3000,SUBSTITUTE($A51," SS","  SS")),"NA"))</f>
        <v>50</v>
      </c>
      <c r="G51" s="81" t="str">
        <f aca="false">IF(COUNTIFS('RSTO &gt; 48hrs'!$A$2:$A$3000,$K$2,'RSTO &gt; 48hrs'!$B$2:$B$3000,$A51)&gt;0,SUMIFS('RSTO &gt; 48hrs'!$H$2:$H$3000,'RSTO &gt; 48hrs'!$A$2:$A$3000,$K$2,'RSTO &gt; 48hrs'!$B$2:$B$3000,$A51),IF(COUNTIFS('RSTO &gt; 48hrs'!$A$2:$A$3000,$K$2,'RSTO &gt; 48hrs'!$B$2:$B$3000,SUBSTITUTE($A51," SS","  SS"))&gt;0,SUMIFS('RSTO &gt; 48hrs'!$H$2:$H$3000,'RSTO &gt; 48hrs'!$A$2:$A$3000,$K$2,'RSTO &gt; 48hrs'!$B$2:$B$3000,SUBSTITUTE($A51," SS","  SS")),"NA"))</f>
        <v>NA</v>
      </c>
      <c r="H51" s="81" t="n">
        <f aca="false">IF(COUNTIFS('Recirculation &gt; 24 hrs'!$A$2:$A$3000,$K$2,'Recirculation &gt; 24 hrs'!$B$2:$B$3000,$A51)&gt;0,SUMIFS('Recirculation &gt; 24 hrs'!$K$2:$K$3000,'Recirculation &gt; 24 hrs'!$A$2:$A$3000,$K$2,'Recirculation &gt; 24 hrs'!$B$2:$B$3000,$A51),IF(COUNTIFS('Recirculation &gt; 24 hrs'!$A$2:$A$3000,$K$2,'Recirculation &gt; 24 hrs'!$B$2:$B$3000,SUBSTITUTE($A51," SS","  SS"))&gt;0,SUMIFS('Recirculation &gt; 24 hrs'!$K$2:$K$3000,'Recirculation &gt; 24 hrs'!$A$2:$A$3000,$K$2,'Recirculation &gt; 24 hrs'!$B$2:$B$3000,SUBSTITUTE($A51," SS","  SS")),"NA"))</f>
        <v>6</v>
      </c>
      <c r="I51" s="81" t="n">
        <f aca="false">IF(COUNTIFS('Pending Putaway'!$A$2:$A$3000,$K$2,'Pending Putaway'!$B$2:$B$3000,$A51)&gt;0,SUMIFS('Pending Putaway'!$E$2:$E$3000,'Pending Putaway'!$A$2:$A$3000,$K$2,'Pending Putaway'!$B$2:$B$3000,$A51),IF(COUNTIFS('Pending Putaway'!$A$2:$A$3000,$K$2,'Pending Putaway'!$B$2:$B$3000,SUBSTITUTE($A51," SS","  SS"))&gt;0,SUMIFS('Pending Putaway'!$E$2:$E$3000,'Pending Putaway'!$A$2:$A$3000,$K$2,'Pending Putaway'!$B$2:$B$3000,SUBSTITUTE($A51," SS","  SS")),"NA"))</f>
        <v>212</v>
      </c>
      <c r="J51" s="81" t="n">
        <f aca="false">IF(COUNTIFS('Pending Putaway'!$A$2:$A$3000,$K$2,'Pending Putaway'!$B$2:$B$3000,$A51)&gt;0,SUMIFS('Pending Putaway'!$L$2:$L$3000,'Pending Putaway'!$A$2:$A$3000,$K$2,'Pending Putaway'!$B$2:$B$3000,$A51),IF(COUNTIFS('Pending Putaway'!$A$2:$A$3000,$K$2,'Pending Putaway'!$B$2:$B$3000,SUBSTITUTE($A51," SS","  SS"))&gt;0,SUMIFS('Pending Putaway'!$L$2:$L$3000,'Pending Putaway'!$A$2:$A$3000,$K$2,'Pending Putaway'!$B$2:$B$3000,SUBSTITUTE($A51," SS","  SS")),"NA"))</f>
        <v>212</v>
      </c>
      <c r="K51" s="23"/>
      <c r="L51" s="23"/>
      <c r="M51" s="23"/>
      <c r="N51" s="23"/>
      <c r="O51" s="23"/>
      <c r="P51" s="23"/>
      <c r="Q51" s="23"/>
      <c r="R51" s="23"/>
      <c r="S51" s="23"/>
      <c r="T51" s="23"/>
      <c r="U51" s="23"/>
      <c r="V51" s="23"/>
      <c r="W51" s="23"/>
      <c r="X51" s="23"/>
      <c r="Y51" s="23"/>
      <c r="Z51" s="23"/>
      <c r="AA51" s="23"/>
      <c r="AB51" s="23"/>
      <c r="AC51" s="23"/>
      <c r="AD51" s="23"/>
      <c r="AE51" s="23"/>
      <c r="AF51" s="23"/>
      <c r="AG51" s="23"/>
      <c r="AH51" s="23"/>
    </row>
    <row r="52" customFormat="false" ht="15.75" hidden="false" customHeight="true" outlineLevel="0" collapsed="false">
      <c r="A52" s="81" t="s">
        <v>445</v>
      </c>
      <c r="B52" s="81" t="str">
        <f aca="false" t="array" ref="B52:B52">IFERROR(INDEX('CLM &amp; IM Mapping'!$B$2:$B$270,MATCH($A52,'CLM &amp; IM Mapping'!$A$2:$A$270,0)),"Not Mapped")</f>
        <v>Sundaresh S</v>
      </c>
      <c r="C52" s="81" t="str">
        <f aca="false" t="array" ref="C52:C52">IFERROR(INDEX('CLM &amp; IM Mapping'!$C$2:$C$270,MATCH($A52,'CLM &amp; IM Mapping'!$A$2:$A$270,0)),"Not Mapped")</f>
        <v>Un Mapped</v>
      </c>
      <c r="D52" s="82" t="n">
        <f aca="false">IF(COUNTIFS(Shrinkage!$A$2:$A$3000,$K$2,Shrinkage!$D$2:$D$3000,$A52)&gt;0,SUMIFS(Shrinkage!$P$2:$P$3000,Shrinkage!$A$2:$A$3000,$K$2,Shrinkage!$D$2:$D$3000,$A52),IF(COUNTIFS(Shrinkage!$A$2:$A$3000,$K$2,Shrinkage!$D$2:$D$3000,SUBSTITUTE($A52," SS","  SS"))&gt;0,SUMIFS(Shrinkage!$P$2:$P$3000,Shrinkage!$A$2:$A$3000,$K$2,Shrinkage!$D$2:$D$3000,SUBSTITUTE($A52," SS","  SS")),"NA"))</f>
        <v>-8367</v>
      </c>
      <c r="E52" s="83" t="n">
        <f aca="false">IF(COUNTIFS('Inventory Hygiene'!$A$2:$A$3000,$K$2,'Inventory Hygiene'!$B$2:$B$3000,$A52)&gt;0,AVERAGEIFS('Inventory Hygiene'!$J$2:$J$3000,'Inventory Hygiene'!$A$2:$A$3000,$K$2,'Inventory Hygiene'!$B$2:$B$3000,$A52),IF(COUNTIFS('Inventory Hygiene'!$A$2:$A$3000,$K$2,'Inventory Hygiene'!$B$2:$B$3000,SUBSTITUTE($A52," SS","  SS"))&gt;0,AVERAGEIFS('Inventory Hygiene'!$J$2:$J$3000,'Inventory Hygiene'!$A$2:$A$3000,$K$2,'Inventory Hygiene'!$B$2:$B$3000,SUBSTITUTE($A52," SS","  SS")),"NA"))</f>
        <v>0.672248803827751</v>
      </c>
      <c r="F52" s="81" t="n">
        <f aca="false">IF(COUNTIFS('Bad Bins'!$A$2:$A$3000,$K$2,'Bad Bins'!$B$2:$B$3000,$A52)&gt;0,SUMIFS('Bad Bins'!$K$2:$K$3000,'Bad Bins'!$A$2:$A$3000,$K$2,'Bad Bins'!$B$2:$B$3000,$A52),IF(COUNTIFS('Bad Bins'!$A$2:$A$3000,$K$2,'Bad Bins'!$B$2:$B$3000,SUBSTITUTE($A52," SS","  SS"))&gt;0,SUMIFS('Bad Bins'!$K$2:$K$3000,'Bad Bins'!$A$2:$A$3000,$K$2,'Bad Bins'!$B$2:$B$3000,SUBSTITUTE($A52," SS","  SS")),"NA"))</f>
        <v>84</v>
      </c>
      <c r="G52" s="81" t="str">
        <f aca="false">IF(COUNTIFS('RSTO &gt; 48hrs'!$A$2:$A$3000,$K$2,'RSTO &gt; 48hrs'!$B$2:$B$3000,$A52)&gt;0,SUMIFS('RSTO &gt; 48hrs'!$H$2:$H$3000,'RSTO &gt; 48hrs'!$A$2:$A$3000,$K$2,'RSTO &gt; 48hrs'!$B$2:$B$3000,$A52),IF(COUNTIFS('RSTO &gt; 48hrs'!$A$2:$A$3000,$K$2,'RSTO &gt; 48hrs'!$B$2:$B$3000,SUBSTITUTE($A52," SS","  SS"))&gt;0,SUMIFS('RSTO &gt; 48hrs'!$H$2:$H$3000,'RSTO &gt; 48hrs'!$A$2:$A$3000,$K$2,'RSTO &gt; 48hrs'!$B$2:$B$3000,SUBSTITUTE($A52," SS","  SS")),"NA"))</f>
        <v>NA</v>
      </c>
      <c r="H52" s="81" t="str">
        <f aca="false">IF(COUNTIFS('Recirculation &gt; 24 hrs'!$A$2:$A$3000,$K$2,'Recirculation &gt; 24 hrs'!$B$2:$B$3000,$A52)&gt;0,SUMIFS('Recirculation &gt; 24 hrs'!$K$2:$K$3000,'Recirculation &gt; 24 hrs'!$A$2:$A$3000,$K$2,'Recirculation &gt; 24 hrs'!$B$2:$B$3000,$A52),IF(COUNTIFS('Recirculation &gt; 24 hrs'!$A$2:$A$3000,$K$2,'Recirculation &gt; 24 hrs'!$B$2:$B$3000,SUBSTITUTE($A52," SS","  SS"))&gt;0,SUMIFS('Recirculation &gt; 24 hrs'!$K$2:$K$3000,'Recirculation &gt; 24 hrs'!$A$2:$A$3000,$K$2,'Recirculation &gt; 24 hrs'!$B$2:$B$3000,SUBSTITUTE($A52," SS","  SS")),"NA"))</f>
        <v>NA</v>
      </c>
      <c r="I52" s="81" t="n">
        <f aca="false">IF(COUNTIFS('Pending Putaway'!$A$2:$A$3000,$K$2,'Pending Putaway'!$B$2:$B$3000,$A52)&gt;0,SUMIFS('Pending Putaway'!$E$2:$E$3000,'Pending Putaway'!$A$2:$A$3000,$K$2,'Pending Putaway'!$B$2:$B$3000,$A52),IF(COUNTIFS('Pending Putaway'!$A$2:$A$3000,$K$2,'Pending Putaway'!$B$2:$B$3000,SUBSTITUTE($A52," SS","  SS"))&gt;0,SUMIFS('Pending Putaway'!$E$2:$E$3000,'Pending Putaway'!$A$2:$A$3000,$K$2,'Pending Putaway'!$B$2:$B$3000,SUBSTITUTE($A52," SS","  SS")),"NA"))</f>
        <v>1278</v>
      </c>
      <c r="J52" s="81" t="n">
        <f aca="false">IF(COUNTIFS('Pending Putaway'!$A$2:$A$3000,$K$2,'Pending Putaway'!$B$2:$B$3000,$A52)&gt;0,SUMIFS('Pending Putaway'!$L$2:$L$3000,'Pending Putaway'!$A$2:$A$3000,$K$2,'Pending Putaway'!$B$2:$B$3000,$A52),IF(COUNTIFS('Pending Putaway'!$A$2:$A$3000,$K$2,'Pending Putaway'!$B$2:$B$3000,SUBSTITUTE($A52," SS","  SS"))&gt;0,SUMIFS('Pending Putaway'!$L$2:$L$3000,'Pending Putaway'!$A$2:$A$3000,$K$2,'Pending Putaway'!$B$2:$B$3000,SUBSTITUTE($A52," SS","  SS")),"NA"))</f>
        <v>0</v>
      </c>
      <c r="K52" s="23"/>
      <c r="L52" s="23"/>
      <c r="M52" s="23"/>
      <c r="N52" s="23"/>
      <c r="O52" s="23"/>
      <c r="P52" s="23"/>
      <c r="Q52" s="23"/>
      <c r="R52" s="23"/>
      <c r="S52" s="23"/>
      <c r="T52" s="23"/>
      <c r="U52" s="23"/>
      <c r="V52" s="23"/>
      <c r="W52" s="23"/>
      <c r="X52" s="23"/>
      <c r="Y52" s="23"/>
      <c r="Z52" s="23"/>
      <c r="AA52" s="23"/>
      <c r="AB52" s="23"/>
      <c r="AC52" s="23"/>
      <c r="AD52" s="23"/>
      <c r="AE52" s="23"/>
      <c r="AF52" s="23"/>
      <c r="AG52" s="23"/>
      <c r="AH52" s="23"/>
    </row>
    <row r="53" customFormat="false" ht="15.75" hidden="false" customHeight="true" outlineLevel="0" collapsed="false">
      <c r="A53" s="81" t="s">
        <v>516</v>
      </c>
      <c r="B53" s="81" t="str">
        <f aca="false" t="array" ref="B53:B53">IFERROR(INDEX('CLM &amp; IM Mapping'!$B$2:$B$270,MATCH($A53,'CLM &amp; IM Mapping'!$A$2:$A$270,0)),"Not Mapped")</f>
        <v>Sundaresh S</v>
      </c>
      <c r="C53" s="81" t="str">
        <f aca="false" t="array" ref="C53:C53">IFERROR(INDEX('CLM &amp; IM Mapping'!$C$2:$C$270,MATCH($A53,'CLM &amp; IM Mapping'!$A$2:$A$270,0)),"Not Mapped")</f>
        <v>Un Mapped</v>
      </c>
      <c r="D53" s="82" t="n">
        <f aca="false">IF(COUNTIFS(Shrinkage!$A$2:$A$3000,$K$2,Shrinkage!$D$2:$D$3000,$A53)&gt;0,SUMIFS(Shrinkage!$P$2:$P$3000,Shrinkage!$A$2:$A$3000,$K$2,Shrinkage!$D$2:$D$3000,$A53),IF(COUNTIFS(Shrinkage!$A$2:$A$3000,$K$2,Shrinkage!$D$2:$D$3000,SUBSTITUTE($A53," SS","  SS"))&gt;0,SUMIFS(Shrinkage!$P$2:$P$3000,Shrinkage!$A$2:$A$3000,$K$2,Shrinkage!$D$2:$D$3000,SUBSTITUTE($A53," SS","  SS")),"NA"))</f>
        <v>-20953</v>
      </c>
      <c r="E53" s="83" t="n">
        <f aca="false">IF(COUNTIFS('Inventory Hygiene'!$A$2:$A$3000,$K$2,'Inventory Hygiene'!$B$2:$B$3000,$A53)&gt;0,AVERAGEIFS('Inventory Hygiene'!$J$2:$J$3000,'Inventory Hygiene'!$A$2:$A$3000,$K$2,'Inventory Hygiene'!$B$2:$B$3000,$A53),IF(COUNTIFS('Inventory Hygiene'!$A$2:$A$3000,$K$2,'Inventory Hygiene'!$B$2:$B$3000,SUBSTITUTE($A53," SS","  SS"))&gt;0,AVERAGEIFS('Inventory Hygiene'!$J$2:$J$3000,'Inventory Hygiene'!$A$2:$A$3000,$K$2,'Inventory Hygiene'!$B$2:$B$3000,SUBSTITUTE($A53," SS","  SS")),"NA"))</f>
        <v>0.868575323790048</v>
      </c>
      <c r="F53" s="81" t="n">
        <f aca="false">IF(COUNTIFS('Bad Bins'!$A$2:$A$3000,$K$2,'Bad Bins'!$B$2:$B$3000,$A53)&gt;0,SUMIFS('Bad Bins'!$K$2:$K$3000,'Bad Bins'!$A$2:$A$3000,$K$2,'Bad Bins'!$B$2:$B$3000,$A53),IF(COUNTIFS('Bad Bins'!$A$2:$A$3000,$K$2,'Bad Bins'!$B$2:$B$3000,SUBSTITUTE($A53," SS","  SS"))&gt;0,SUMIFS('Bad Bins'!$K$2:$K$3000,'Bad Bins'!$A$2:$A$3000,$K$2,'Bad Bins'!$B$2:$B$3000,SUBSTITUTE($A53," SS","  SS")),"NA"))</f>
        <v>49</v>
      </c>
      <c r="G53" s="81" t="str">
        <f aca="false">IF(COUNTIFS('RSTO &gt; 48hrs'!$A$2:$A$3000,$K$2,'RSTO &gt; 48hrs'!$B$2:$B$3000,$A53)&gt;0,SUMIFS('RSTO &gt; 48hrs'!$H$2:$H$3000,'RSTO &gt; 48hrs'!$A$2:$A$3000,$K$2,'RSTO &gt; 48hrs'!$B$2:$B$3000,$A53),IF(COUNTIFS('RSTO &gt; 48hrs'!$A$2:$A$3000,$K$2,'RSTO &gt; 48hrs'!$B$2:$B$3000,SUBSTITUTE($A53," SS","  SS"))&gt;0,SUMIFS('RSTO &gt; 48hrs'!$H$2:$H$3000,'RSTO &gt; 48hrs'!$A$2:$A$3000,$K$2,'RSTO &gt; 48hrs'!$B$2:$B$3000,SUBSTITUTE($A53," SS","  SS")),"NA"))</f>
        <v>NA</v>
      </c>
      <c r="H53" s="81" t="str">
        <f aca="false">IF(COUNTIFS('Recirculation &gt; 24 hrs'!$A$2:$A$3000,$K$2,'Recirculation &gt; 24 hrs'!$B$2:$B$3000,$A53)&gt;0,SUMIFS('Recirculation &gt; 24 hrs'!$K$2:$K$3000,'Recirculation &gt; 24 hrs'!$A$2:$A$3000,$K$2,'Recirculation &gt; 24 hrs'!$B$2:$B$3000,$A53),IF(COUNTIFS('Recirculation &gt; 24 hrs'!$A$2:$A$3000,$K$2,'Recirculation &gt; 24 hrs'!$B$2:$B$3000,SUBSTITUTE($A53," SS","  SS"))&gt;0,SUMIFS('Recirculation &gt; 24 hrs'!$K$2:$K$3000,'Recirculation &gt; 24 hrs'!$A$2:$A$3000,$K$2,'Recirculation &gt; 24 hrs'!$B$2:$B$3000,SUBSTITUTE($A53," SS","  SS")),"NA"))</f>
        <v>NA</v>
      </c>
      <c r="I53" s="81" t="n">
        <f aca="false">IF(COUNTIFS('Pending Putaway'!$A$2:$A$3000,$K$2,'Pending Putaway'!$B$2:$B$3000,$A53)&gt;0,SUMIFS('Pending Putaway'!$E$2:$E$3000,'Pending Putaway'!$A$2:$A$3000,$K$2,'Pending Putaway'!$B$2:$B$3000,$A53),IF(COUNTIFS('Pending Putaway'!$A$2:$A$3000,$K$2,'Pending Putaway'!$B$2:$B$3000,SUBSTITUTE($A53," SS","  SS"))&gt;0,SUMIFS('Pending Putaway'!$E$2:$E$3000,'Pending Putaway'!$A$2:$A$3000,$K$2,'Pending Putaway'!$B$2:$B$3000,SUBSTITUTE($A53," SS","  SS")),"NA"))</f>
        <v>0</v>
      </c>
      <c r="J53" s="81" t="n">
        <f aca="false">IF(COUNTIFS('Pending Putaway'!$A$2:$A$3000,$K$2,'Pending Putaway'!$B$2:$B$3000,$A53)&gt;0,SUMIFS('Pending Putaway'!$L$2:$L$3000,'Pending Putaway'!$A$2:$A$3000,$K$2,'Pending Putaway'!$B$2:$B$3000,$A53),IF(COUNTIFS('Pending Putaway'!$A$2:$A$3000,$K$2,'Pending Putaway'!$B$2:$B$3000,SUBSTITUTE($A53," SS","  SS"))&gt;0,SUMIFS('Pending Putaway'!$L$2:$L$3000,'Pending Putaway'!$A$2:$A$3000,$K$2,'Pending Putaway'!$B$2:$B$3000,SUBSTITUTE($A53," SS","  SS")),"NA"))</f>
        <v>0</v>
      </c>
      <c r="K53" s="23"/>
      <c r="L53" s="23"/>
      <c r="M53" s="23"/>
      <c r="N53" s="23"/>
      <c r="O53" s="23"/>
      <c r="P53" s="23"/>
      <c r="Q53" s="23"/>
      <c r="R53" s="23"/>
      <c r="S53" s="23"/>
      <c r="T53" s="23"/>
      <c r="U53" s="23"/>
      <c r="V53" s="23"/>
      <c r="W53" s="23"/>
      <c r="X53" s="23"/>
      <c r="Y53" s="23"/>
      <c r="Z53" s="23"/>
      <c r="AA53" s="23"/>
      <c r="AB53" s="23"/>
      <c r="AC53" s="23"/>
      <c r="AD53" s="23"/>
      <c r="AE53" s="23"/>
      <c r="AF53" s="23"/>
      <c r="AG53" s="23"/>
      <c r="AH53" s="23"/>
    </row>
    <row r="54" customFormat="false" ht="15.75" hidden="false" customHeight="true" outlineLevel="0" collapsed="false">
      <c r="A54" s="81" t="s">
        <v>205</v>
      </c>
      <c r="B54" s="81" t="str">
        <f aca="false" t="array" ref="B54:B54">IFERROR(INDEX('CLM &amp; IM Mapping'!$B$2:$B$270,MATCH($A54,'CLM &amp; IM Mapping'!$A$2:$A$270,0)),"Not Mapped")</f>
        <v>Akshay P</v>
      </c>
      <c r="C54" s="81" t="str">
        <f aca="false" t="array" ref="C54:C54">IFERROR(INDEX('CLM &amp; IM Mapping'!$C$2:$C$270,MATCH($A54,'CLM &amp; IM Mapping'!$A$2:$A$270,0)),"Not Mapped")</f>
        <v>Srittam Dhal</v>
      </c>
      <c r="D54" s="82" t="n">
        <f aca="false">IF(COUNTIFS(Shrinkage!$A$2:$A$3000,$K$2,Shrinkage!$D$2:$D$3000,$A54)&gt;0,SUMIFS(Shrinkage!$P$2:$P$3000,Shrinkage!$A$2:$A$3000,$K$2,Shrinkage!$D$2:$D$3000,$A54),IF(COUNTIFS(Shrinkage!$A$2:$A$3000,$K$2,Shrinkage!$D$2:$D$3000,SUBSTITUTE($A54," SS","  SS"))&gt;0,SUMIFS(Shrinkage!$P$2:$P$3000,Shrinkage!$A$2:$A$3000,$K$2,Shrinkage!$D$2:$D$3000,SUBSTITUTE($A54," SS","  SS")),"NA"))</f>
        <v>39748</v>
      </c>
      <c r="E54" s="83" t="n">
        <f aca="false">IF(COUNTIFS('Inventory Hygiene'!$A$2:$A$3000,$K$2,'Inventory Hygiene'!$B$2:$B$3000,$A54)&gt;0,AVERAGEIFS('Inventory Hygiene'!$J$2:$J$3000,'Inventory Hygiene'!$A$2:$A$3000,$K$2,'Inventory Hygiene'!$B$2:$B$3000,$A54),IF(COUNTIFS('Inventory Hygiene'!$A$2:$A$3000,$K$2,'Inventory Hygiene'!$B$2:$B$3000,SUBSTITUTE($A54," SS","  SS"))&gt;0,AVERAGEIFS('Inventory Hygiene'!$J$2:$J$3000,'Inventory Hygiene'!$A$2:$A$3000,$K$2,'Inventory Hygiene'!$B$2:$B$3000,SUBSTITUTE($A54," SS","  SS")),"NA"))</f>
        <v>0.73354420846513</v>
      </c>
      <c r="F54" s="81" t="n">
        <f aca="false">IF(COUNTIFS('Bad Bins'!$A$2:$A$3000,$K$2,'Bad Bins'!$B$2:$B$3000,$A54)&gt;0,SUMIFS('Bad Bins'!$K$2:$K$3000,'Bad Bins'!$A$2:$A$3000,$K$2,'Bad Bins'!$B$2:$B$3000,$A54),IF(COUNTIFS('Bad Bins'!$A$2:$A$3000,$K$2,'Bad Bins'!$B$2:$B$3000,SUBSTITUTE($A54," SS","  SS"))&gt;0,SUMIFS('Bad Bins'!$K$2:$K$3000,'Bad Bins'!$A$2:$A$3000,$K$2,'Bad Bins'!$B$2:$B$3000,SUBSTITUTE($A54," SS","  SS")),"NA"))</f>
        <v>164</v>
      </c>
      <c r="G54" s="81" t="str">
        <f aca="false">IF(COUNTIFS('RSTO &gt; 48hrs'!$A$2:$A$3000,$K$2,'RSTO &gt; 48hrs'!$B$2:$B$3000,$A54)&gt;0,SUMIFS('RSTO &gt; 48hrs'!$H$2:$H$3000,'RSTO &gt; 48hrs'!$A$2:$A$3000,$K$2,'RSTO &gt; 48hrs'!$B$2:$B$3000,$A54),IF(COUNTIFS('RSTO &gt; 48hrs'!$A$2:$A$3000,$K$2,'RSTO &gt; 48hrs'!$B$2:$B$3000,SUBSTITUTE($A54," SS","  SS"))&gt;0,SUMIFS('RSTO &gt; 48hrs'!$H$2:$H$3000,'RSTO &gt; 48hrs'!$A$2:$A$3000,$K$2,'RSTO &gt; 48hrs'!$B$2:$B$3000,SUBSTITUTE($A54," SS","  SS")),"NA"))</f>
        <v>NA</v>
      </c>
      <c r="H54" s="81" t="n">
        <f aca="false">IF(COUNTIFS('Recirculation &gt; 24 hrs'!$A$2:$A$3000,$K$2,'Recirculation &gt; 24 hrs'!$B$2:$B$3000,$A54)&gt;0,SUMIFS('Recirculation &gt; 24 hrs'!$K$2:$K$3000,'Recirculation &gt; 24 hrs'!$A$2:$A$3000,$K$2,'Recirculation &gt; 24 hrs'!$B$2:$B$3000,$A54),IF(COUNTIFS('Recirculation &gt; 24 hrs'!$A$2:$A$3000,$K$2,'Recirculation &gt; 24 hrs'!$B$2:$B$3000,SUBSTITUTE($A54," SS","  SS"))&gt;0,SUMIFS('Recirculation &gt; 24 hrs'!$K$2:$K$3000,'Recirculation &gt; 24 hrs'!$A$2:$A$3000,$K$2,'Recirculation &gt; 24 hrs'!$B$2:$B$3000,SUBSTITUTE($A54," SS","  SS")),"NA"))</f>
        <v>205</v>
      </c>
      <c r="I54" s="81" t="n">
        <f aca="false">IF(COUNTIFS('Pending Putaway'!$A$2:$A$3000,$K$2,'Pending Putaway'!$B$2:$B$3000,$A54)&gt;0,SUMIFS('Pending Putaway'!$E$2:$E$3000,'Pending Putaway'!$A$2:$A$3000,$K$2,'Pending Putaway'!$B$2:$B$3000,$A54),IF(COUNTIFS('Pending Putaway'!$A$2:$A$3000,$K$2,'Pending Putaway'!$B$2:$B$3000,SUBSTITUTE($A54," SS","  SS"))&gt;0,SUMIFS('Pending Putaway'!$E$2:$E$3000,'Pending Putaway'!$A$2:$A$3000,$K$2,'Pending Putaway'!$B$2:$B$3000,SUBSTITUTE($A54," SS","  SS")),"NA"))</f>
        <v>5604</v>
      </c>
      <c r="J54" s="81" t="n">
        <f aca="false">IF(COUNTIFS('Pending Putaway'!$A$2:$A$3000,$K$2,'Pending Putaway'!$B$2:$B$3000,$A54)&gt;0,SUMIFS('Pending Putaway'!$L$2:$L$3000,'Pending Putaway'!$A$2:$A$3000,$K$2,'Pending Putaway'!$B$2:$B$3000,$A54),IF(COUNTIFS('Pending Putaway'!$A$2:$A$3000,$K$2,'Pending Putaway'!$B$2:$B$3000,SUBSTITUTE($A54," SS","  SS"))&gt;0,SUMIFS('Pending Putaway'!$L$2:$L$3000,'Pending Putaway'!$A$2:$A$3000,$K$2,'Pending Putaway'!$B$2:$B$3000,SUBSTITUTE($A54," SS","  SS")),"NA"))</f>
        <v>2234</v>
      </c>
      <c r="K54" s="23"/>
      <c r="L54" s="23"/>
      <c r="M54" s="23"/>
      <c r="N54" s="23"/>
      <c r="O54" s="23"/>
      <c r="P54" s="23"/>
      <c r="Q54" s="23"/>
      <c r="R54" s="23"/>
      <c r="S54" s="23"/>
      <c r="T54" s="23"/>
      <c r="U54" s="23"/>
      <c r="V54" s="23"/>
      <c r="W54" s="23"/>
      <c r="X54" s="23"/>
      <c r="Y54" s="23"/>
      <c r="Z54" s="23"/>
      <c r="AA54" s="23"/>
      <c r="AB54" s="23"/>
      <c r="AC54" s="23"/>
      <c r="AD54" s="23"/>
      <c r="AE54" s="23"/>
      <c r="AF54" s="23"/>
      <c r="AG54" s="23"/>
      <c r="AH54" s="23"/>
    </row>
    <row r="55" customFormat="false" ht="15.75" hidden="false" customHeight="true" outlineLevel="0" collapsed="false">
      <c r="A55" s="81" t="s">
        <v>250</v>
      </c>
      <c r="B55" s="81" t="str">
        <f aca="false" t="array" ref="B55:B55">IFERROR(INDEX('CLM &amp; IM Mapping'!$B$2:$B$270,MATCH($A55,'CLM &amp; IM Mapping'!$A$2:$A$270,0)),"Not Mapped")</f>
        <v>Akshay P</v>
      </c>
      <c r="C55" s="81" t="str">
        <f aca="false" t="array" ref="C55:C55">IFERROR(INDEX('CLM &amp; IM Mapping'!$C$2:$C$270,MATCH($A55,'CLM &amp; IM Mapping'!$A$2:$A$270,0)),"Not Mapped")</f>
        <v>Srittam Dhal</v>
      </c>
      <c r="D55" s="82" t="n">
        <f aca="false">IF(COUNTIFS(Shrinkage!$A$2:$A$3000,$K$2,Shrinkage!$D$2:$D$3000,$A55)&gt;0,SUMIFS(Shrinkage!$P$2:$P$3000,Shrinkage!$A$2:$A$3000,$K$2,Shrinkage!$D$2:$D$3000,$A55),IF(COUNTIFS(Shrinkage!$A$2:$A$3000,$K$2,Shrinkage!$D$2:$D$3000,SUBSTITUTE($A55," SS","  SS"))&gt;0,SUMIFS(Shrinkage!$P$2:$P$3000,Shrinkage!$A$2:$A$3000,$K$2,Shrinkage!$D$2:$D$3000,SUBSTITUTE($A55," SS","  SS")),"NA"))</f>
        <v>6846</v>
      </c>
      <c r="E55" s="83" t="n">
        <f aca="false">IF(COUNTIFS('Inventory Hygiene'!$A$2:$A$3000,$K$2,'Inventory Hygiene'!$B$2:$B$3000,$A55)&gt;0,AVERAGEIFS('Inventory Hygiene'!$J$2:$J$3000,'Inventory Hygiene'!$A$2:$A$3000,$K$2,'Inventory Hygiene'!$B$2:$B$3000,$A55),IF(COUNTIFS('Inventory Hygiene'!$A$2:$A$3000,$K$2,'Inventory Hygiene'!$B$2:$B$3000,SUBSTITUTE($A55," SS","  SS"))&gt;0,AVERAGEIFS('Inventory Hygiene'!$J$2:$J$3000,'Inventory Hygiene'!$A$2:$A$3000,$K$2,'Inventory Hygiene'!$B$2:$B$3000,SUBSTITUTE($A55," SS","  SS")),"NA"))</f>
        <v>0.898886219698624</v>
      </c>
      <c r="F55" s="81" t="n">
        <f aca="false">IF(COUNTIFS('Bad Bins'!$A$2:$A$3000,$K$2,'Bad Bins'!$B$2:$B$3000,$A55)&gt;0,SUMIFS('Bad Bins'!$K$2:$K$3000,'Bad Bins'!$A$2:$A$3000,$K$2,'Bad Bins'!$B$2:$B$3000,$A55),IF(COUNTIFS('Bad Bins'!$A$2:$A$3000,$K$2,'Bad Bins'!$B$2:$B$3000,SUBSTITUTE($A55," SS","  SS"))&gt;0,SUMIFS('Bad Bins'!$K$2:$K$3000,'Bad Bins'!$A$2:$A$3000,$K$2,'Bad Bins'!$B$2:$B$3000,SUBSTITUTE($A55," SS","  SS")),"NA"))</f>
        <v>215</v>
      </c>
      <c r="G55" s="81" t="str">
        <f aca="false">IF(COUNTIFS('RSTO &gt; 48hrs'!$A$2:$A$3000,$K$2,'RSTO &gt; 48hrs'!$B$2:$B$3000,$A55)&gt;0,SUMIFS('RSTO &gt; 48hrs'!$H$2:$H$3000,'RSTO &gt; 48hrs'!$A$2:$A$3000,$K$2,'RSTO &gt; 48hrs'!$B$2:$B$3000,$A55),IF(COUNTIFS('RSTO &gt; 48hrs'!$A$2:$A$3000,$K$2,'RSTO &gt; 48hrs'!$B$2:$B$3000,SUBSTITUTE($A55," SS","  SS"))&gt;0,SUMIFS('RSTO &gt; 48hrs'!$H$2:$H$3000,'RSTO &gt; 48hrs'!$A$2:$A$3000,$K$2,'RSTO &gt; 48hrs'!$B$2:$B$3000,SUBSTITUTE($A55," SS","  SS")),"NA"))</f>
        <v>NA</v>
      </c>
      <c r="H55" s="81" t="n">
        <f aca="false">IF(COUNTIFS('Recirculation &gt; 24 hrs'!$A$2:$A$3000,$K$2,'Recirculation &gt; 24 hrs'!$B$2:$B$3000,$A55)&gt;0,SUMIFS('Recirculation &gt; 24 hrs'!$K$2:$K$3000,'Recirculation &gt; 24 hrs'!$A$2:$A$3000,$K$2,'Recirculation &gt; 24 hrs'!$B$2:$B$3000,$A55),IF(COUNTIFS('Recirculation &gt; 24 hrs'!$A$2:$A$3000,$K$2,'Recirculation &gt; 24 hrs'!$B$2:$B$3000,SUBSTITUTE($A55," SS","  SS"))&gt;0,SUMIFS('Recirculation &gt; 24 hrs'!$K$2:$K$3000,'Recirculation &gt; 24 hrs'!$A$2:$A$3000,$K$2,'Recirculation &gt; 24 hrs'!$B$2:$B$3000,SUBSTITUTE($A55," SS","  SS")),"NA"))</f>
        <v>19</v>
      </c>
      <c r="I55" s="81" t="n">
        <f aca="false">IF(COUNTIFS('Pending Putaway'!$A$2:$A$3000,$K$2,'Pending Putaway'!$B$2:$B$3000,$A55)&gt;0,SUMIFS('Pending Putaway'!$E$2:$E$3000,'Pending Putaway'!$A$2:$A$3000,$K$2,'Pending Putaway'!$B$2:$B$3000,$A55),IF(COUNTIFS('Pending Putaway'!$A$2:$A$3000,$K$2,'Pending Putaway'!$B$2:$B$3000,SUBSTITUTE($A55," SS","  SS"))&gt;0,SUMIFS('Pending Putaway'!$E$2:$E$3000,'Pending Putaway'!$A$2:$A$3000,$K$2,'Pending Putaway'!$B$2:$B$3000,SUBSTITUTE($A55," SS","  SS")),"NA"))</f>
        <v>10</v>
      </c>
      <c r="J55" s="81" t="n">
        <f aca="false">IF(COUNTIFS('Pending Putaway'!$A$2:$A$3000,$K$2,'Pending Putaway'!$B$2:$B$3000,$A55)&gt;0,SUMIFS('Pending Putaway'!$L$2:$L$3000,'Pending Putaway'!$A$2:$A$3000,$K$2,'Pending Putaway'!$B$2:$B$3000,$A55),IF(COUNTIFS('Pending Putaway'!$A$2:$A$3000,$K$2,'Pending Putaway'!$B$2:$B$3000,SUBSTITUTE($A55," SS","  SS"))&gt;0,SUMIFS('Pending Putaway'!$L$2:$L$3000,'Pending Putaway'!$A$2:$A$3000,$K$2,'Pending Putaway'!$B$2:$B$3000,SUBSTITUTE($A55," SS","  SS")),"NA"))</f>
        <v>0</v>
      </c>
      <c r="K55" s="23"/>
      <c r="L55" s="23"/>
      <c r="M55" s="23"/>
      <c r="N55" s="23"/>
      <c r="O55" s="23"/>
      <c r="P55" s="23"/>
      <c r="Q55" s="23"/>
      <c r="R55" s="23"/>
      <c r="S55" s="23"/>
      <c r="T55" s="23"/>
      <c r="U55" s="23"/>
      <c r="V55" s="23"/>
      <c r="W55" s="23"/>
      <c r="X55" s="23"/>
      <c r="Y55" s="23"/>
      <c r="Z55" s="23"/>
      <c r="AA55" s="23"/>
      <c r="AB55" s="23"/>
      <c r="AC55" s="23"/>
      <c r="AD55" s="23"/>
      <c r="AE55" s="23"/>
      <c r="AF55" s="23"/>
      <c r="AG55" s="23"/>
      <c r="AH55" s="23"/>
    </row>
    <row r="56" customFormat="false" ht="15.75" hidden="false" customHeight="true" outlineLevel="0" collapsed="false">
      <c r="A56" s="81" t="s">
        <v>397</v>
      </c>
      <c r="B56" s="81" t="str">
        <f aca="false" t="array" ref="B56:B56">IFERROR(INDEX('CLM &amp; IM Mapping'!$B$2:$B$270,MATCH($A56,'CLM &amp; IM Mapping'!$A$2:$A$270,0)),"Not Mapped")</f>
        <v>Akshay P</v>
      </c>
      <c r="C56" s="81" t="str">
        <f aca="false" t="array" ref="C56:C56">IFERROR(INDEX('CLM &amp; IM Mapping'!$C$2:$C$270,MATCH($A56,'CLM &amp; IM Mapping'!$A$2:$A$270,0)),"Not Mapped")</f>
        <v>Srittam Dhal</v>
      </c>
      <c r="D56" s="82" t="n">
        <f aca="false">IF(COUNTIFS(Shrinkage!$A$2:$A$3000,$K$2,Shrinkage!$D$2:$D$3000,$A56)&gt;0,SUMIFS(Shrinkage!$P$2:$P$3000,Shrinkage!$A$2:$A$3000,$K$2,Shrinkage!$D$2:$D$3000,$A56),IF(COUNTIFS(Shrinkage!$A$2:$A$3000,$K$2,Shrinkage!$D$2:$D$3000,SUBSTITUTE($A56," SS","  SS"))&gt;0,SUMIFS(Shrinkage!$P$2:$P$3000,Shrinkage!$A$2:$A$3000,$K$2,Shrinkage!$D$2:$D$3000,SUBSTITUTE($A56," SS","  SS")),"NA"))</f>
        <v>-790</v>
      </c>
      <c r="E56" s="83" t="n">
        <f aca="false">IF(COUNTIFS('Inventory Hygiene'!$A$2:$A$3000,$K$2,'Inventory Hygiene'!$B$2:$B$3000,$A56)&gt;0,AVERAGEIFS('Inventory Hygiene'!$J$2:$J$3000,'Inventory Hygiene'!$A$2:$A$3000,$K$2,'Inventory Hygiene'!$B$2:$B$3000,$A56),IF(COUNTIFS('Inventory Hygiene'!$A$2:$A$3000,$K$2,'Inventory Hygiene'!$B$2:$B$3000,SUBSTITUTE($A56," SS","  SS"))&gt;0,AVERAGEIFS('Inventory Hygiene'!$J$2:$J$3000,'Inventory Hygiene'!$A$2:$A$3000,$K$2,'Inventory Hygiene'!$B$2:$B$3000,SUBSTITUTE($A56," SS","  SS")),"NA"))</f>
        <v>0.638894258650686</v>
      </c>
      <c r="F56" s="81" t="n">
        <f aca="false">IF(COUNTIFS('Bad Bins'!$A$2:$A$3000,$K$2,'Bad Bins'!$B$2:$B$3000,$A56)&gt;0,SUMIFS('Bad Bins'!$K$2:$K$3000,'Bad Bins'!$A$2:$A$3000,$K$2,'Bad Bins'!$B$2:$B$3000,$A56),IF(COUNTIFS('Bad Bins'!$A$2:$A$3000,$K$2,'Bad Bins'!$B$2:$B$3000,SUBSTITUTE($A56," SS","  SS"))&gt;0,SUMIFS('Bad Bins'!$K$2:$K$3000,'Bad Bins'!$A$2:$A$3000,$K$2,'Bad Bins'!$B$2:$B$3000,SUBSTITUTE($A56," SS","  SS")),"NA"))</f>
        <v>152</v>
      </c>
      <c r="G56" s="81" t="str">
        <f aca="false">IF(COUNTIFS('RSTO &gt; 48hrs'!$A$2:$A$3000,$K$2,'RSTO &gt; 48hrs'!$B$2:$B$3000,$A56)&gt;0,SUMIFS('RSTO &gt; 48hrs'!$H$2:$H$3000,'RSTO &gt; 48hrs'!$A$2:$A$3000,$K$2,'RSTO &gt; 48hrs'!$B$2:$B$3000,$A56),IF(COUNTIFS('RSTO &gt; 48hrs'!$A$2:$A$3000,$K$2,'RSTO &gt; 48hrs'!$B$2:$B$3000,SUBSTITUTE($A56," SS","  SS"))&gt;0,SUMIFS('RSTO &gt; 48hrs'!$H$2:$H$3000,'RSTO &gt; 48hrs'!$A$2:$A$3000,$K$2,'RSTO &gt; 48hrs'!$B$2:$B$3000,SUBSTITUTE($A56," SS","  SS")),"NA"))</f>
        <v>NA</v>
      </c>
      <c r="H56" s="81" t="str">
        <f aca="false">IF(COUNTIFS('Recirculation &gt; 24 hrs'!$A$2:$A$3000,$K$2,'Recirculation &gt; 24 hrs'!$B$2:$B$3000,$A56)&gt;0,SUMIFS('Recirculation &gt; 24 hrs'!$K$2:$K$3000,'Recirculation &gt; 24 hrs'!$A$2:$A$3000,$K$2,'Recirculation &gt; 24 hrs'!$B$2:$B$3000,$A56),IF(COUNTIFS('Recirculation &gt; 24 hrs'!$A$2:$A$3000,$K$2,'Recirculation &gt; 24 hrs'!$B$2:$B$3000,SUBSTITUTE($A56," SS","  SS"))&gt;0,SUMIFS('Recirculation &gt; 24 hrs'!$K$2:$K$3000,'Recirculation &gt; 24 hrs'!$A$2:$A$3000,$K$2,'Recirculation &gt; 24 hrs'!$B$2:$B$3000,SUBSTITUTE($A56," SS","  SS")),"NA"))</f>
        <v>NA</v>
      </c>
      <c r="I56" s="81" t="n">
        <f aca="false">IF(COUNTIFS('Pending Putaway'!$A$2:$A$3000,$K$2,'Pending Putaway'!$B$2:$B$3000,$A56)&gt;0,SUMIFS('Pending Putaway'!$E$2:$E$3000,'Pending Putaway'!$A$2:$A$3000,$K$2,'Pending Putaway'!$B$2:$B$3000,$A56),IF(COUNTIFS('Pending Putaway'!$A$2:$A$3000,$K$2,'Pending Putaway'!$B$2:$B$3000,SUBSTITUTE($A56," SS","  SS"))&gt;0,SUMIFS('Pending Putaway'!$E$2:$E$3000,'Pending Putaway'!$A$2:$A$3000,$K$2,'Pending Putaway'!$B$2:$B$3000,SUBSTITUTE($A56," SS","  SS")),"NA"))</f>
        <v>1416</v>
      </c>
      <c r="J56" s="81" t="n">
        <f aca="false">IF(COUNTIFS('Pending Putaway'!$A$2:$A$3000,$K$2,'Pending Putaway'!$B$2:$B$3000,$A56)&gt;0,SUMIFS('Pending Putaway'!$L$2:$L$3000,'Pending Putaway'!$A$2:$A$3000,$K$2,'Pending Putaway'!$B$2:$B$3000,$A56),IF(COUNTIFS('Pending Putaway'!$A$2:$A$3000,$K$2,'Pending Putaway'!$B$2:$B$3000,SUBSTITUTE($A56," SS","  SS"))&gt;0,SUMIFS('Pending Putaway'!$L$2:$L$3000,'Pending Putaway'!$A$2:$A$3000,$K$2,'Pending Putaway'!$B$2:$B$3000,SUBSTITUTE($A56," SS","  SS")),"NA"))</f>
        <v>437</v>
      </c>
      <c r="K56" s="23"/>
      <c r="L56" s="23"/>
      <c r="M56" s="23"/>
      <c r="N56" s="23"/>
      <c r="O56" s="23"/>
      <c r="P56" s="23"/>
      <c r="Q56" s="23"/>
      <c r="R56" s="23"/>
      <c r="S56" s="23"/>
      <c r="T56" s="23"/>
      <c r="U56" s="23"/>
      <c r="V56" s="23"/>
      <c r="W56" s="23"/>
      <c r="X56" s="23"/>
      <c r="Y56" s="23"/>
      <c r="Z56" s="23"/>
      <c r="AA56" s="23"/>
      <c r="AB56" s="23"/>
      <c r="AC56" s="23"/>
      <c r="AD56" s="23"/>
      <c r="AE56" s="23"/>
      <c r="AF56" s="23"/>
      <c r="AG56" s="23"/>
      <c r="AH56" s="23"/>
    </row>
    <row r="57" customFormat="false" ht="15.75" hidden="false" customHeight="true" outlineLevel="0" collapsed="false">
      <c r="A57" s="81" t="s">
        <v>367</v>
      </c>
      <c r="B57" s="81" t="str">
        <f aca="false" t="array" ref="B57:B57">IFERROR(INDEX('CLM &amp; IM Mapping'!$B$2:$B$270,MATCH($A57,'CLM &amp; IM Mapping'!$A$2:$A$270,0)),"Not Mapped")</f>
        <v>Akshay P</v>
      </c>
      <c r="C57" s="81" t="str">
        <f aca="false" t="array" ref="C57:C57">IFERROR(INDEX('CLM &amp; IM Mapping'!$C$2:$C$270,MATCH($A57,'CLM &amp; IM Mapping'!$A$2:$A$270,0)),"Not Mapped")</f>
        <v>Srittam Dhal</v>
      </c>
      <c r="D57" s="82" t="n">
        <f aca="false">IF(COUNTIFS(Shrinkage!$A$2:$A$3000,$K$2,Shrinkage!$D$2:$D$3000,$A57)&gt;0,SUMIFS(Shrinkage!$P$2:$P$3000,Shrinkage!$A$2:$A$3000,$K$2,Shrinkage!$D$2:$D$3000,$A57),IF(COUNTIFS(Shrinkage!$A$2:$A$3000,$K$2,Shrinkage!$D$2:$D$3000,SUBSTITUTE($A57," SS","  SS"))&gt;0,SUMIFS(Shrinkage!$P$2:$P$3000,Shrinkage!$A$2:$A$3000,$K$2,Shrinkage!$D$2:$D$3000,SUBSTITUTE($A57," SS","  SS")),"NA"))</f>
        <v>0</v>
      </c>
      <c r="E57" s="83" t="n">
        <f aca="false">IF(COUNTIFS('Inventory Hygiene'!$A$2:$A$3000,$K$2,'Inventory Hygiene'!$B$2:$B$3000,$A57)&gt;0,AVERAGEIFS('Inventory Hygiene'!$J$2:$J$3000,'Inventory Hygiene'!$A$2:$A$3000,$K$2,'Inventory Hygiene'!$B$2:$B$3000,$A57),IF(COUNTIFS('Inventory Hygiene'!$A$2:$A$3000,$K$2,'Inventory Hygiene'!$B$2:$B$3000,SUBSTITUTE($A57," SS","  SS"))&gt;0,AVERAGEIFS('Inventory Hygiene'!$J$2:$J$3000,'Inventory Hygiene'!$A$2:$A$3000,$K$2,'Inventory Hygiene'!$B$2:$B$3000,SUBSTITUTE($A57," SS","  SS")),"NA"))</f>
        <v>0</v>
      </c>
      <c r="F57" s="81" t="str">
        <f aca="false">IF(COUNTIFS('Bad Bins'!$A$2:$A$3000,$K$2,'Bad Bins'!$B$2:$B$3000,$A57)&gt;0,SUMIFS('Bad Bins'!$K$2:$K$3000,'Bad Bins'!$A$2:$A$3000,$K$2,'Bad Bins'!$B$2:$B$3000,$A57),IF(COUNTIFS('Bad Bins'!$A$2:$A$3000,$K$2,'Bad Bins'!$B$2:$B$3000,SUBSTITUTE($A57," SS","  SS"))&gt;0,SUMIFS('Bad Bins'!$K$2:$K$3000,'Bad Bins'!$A$2:$A$3000,$K$2,'Bad Bins'!$B$2:$B$3000,SUBSTITUTE($A57," SS","  SS")),"NA"))</f>
        <v>NA</v>
      </c>
      <c r="G57" s="81" t="str">
        <f aca="false">IF(COUNTIFS('RSTO &gt; 48hrs'!$A$2:$A$3000,$K$2,'RSTO &gt; 48hrs'!$B$2:$B$3000,$A57)&gt;0,SUMIFS('RSTO &gt; 48hrs'!$H$2:$H$3000,'RSTO &gt; 48hrs'!$A$2:$A$3000,$K$2,'RSTO &gt; 48hrs'!$B$2:$B$3000,$A57),IF(COUNTIFS('RSTO &gt; 48hrs'!$A$2:$A$3000,$K$2,'RSTO &gt; 48hrs'!$B$2:$B$3000,SUBSTITUTE($A57," SS","  SS"))&gt;0,SUMIFS('RSTO &gt; 48hrs'!$H$2:$H$3000,'RSTO &gt; 48hrs'!$A$2:$A$3000,$K$2,'RSTO &gt; 48hrs'!$B$2:$B$3000,SUBSTITUTE($A57," SS","  SS")),"NA"))</f>
        <v>NA</v>
      </c>
      <c r="H57" s="81" t="n">
        <f aca="false">IF(COUNTIFS('Recirculation &gt; 24 hrs'!$A$2:$A$3000,$K$2,'Recirculation &gt; 24 hrs'!$B$2:$B$3000,$A57)&gt;0,SUMIFS('Recirculation &gt; 24 hrs'!$K$2:$K$3000,'Recirculation &gt; 24 hrs'!$A$2:$A$3000,$K$2,'Recirculation &gt; 24 hrs'!$B$2:$B$3000,$A57),IF(COUNTIFS('Recirculation &gt; 24 hrs'!$A$2:$A$3000,$K$2,'Recirculation &gt; 24 hrs'!$B$2:$B$3000,SUBSTITUTE($A57," SS","  SS"))&gt;0,SUMIFS('Recirculation &gt; 24 hrs'!$K$2:$K$3000,'Recirculation &gt; 24 hrs'!$A$2:$A$3000,$K$2,'Recirculation &gt; 24 hrs'!$B$2:$B$3000,SUBSTITUTE($A57," SS","  SS")),"NA"))</f>
        <v>17</v>
      </c>
      <c r="I57" s="81" t="n">
        <f aca="false">IF(COUNTIFS('Pending Putaway'!$A$2:$A$3000,$K$2,'Pending Putaway'!$B$2:$B$3000,$A57)&gt;0,SUMIFS('Pending Putaway'!$E$2:$E$3000,'Pending Putaway'!$A$2:$A$3000,$K$2,'Pending Putaway'!$B$2:$B$3000,$A57),IF(COUNTIFS('Pending Putaway'!$A$2:$A$3000,$K$2,'Pending Putaway'!$B$2:$B$3000,SUBSTITUTE($A57," SS","  SS"))&gt;0,SUMIFS('Pending Putaway'!$E$2:$E$3000,'Pending Putaway'!$A$2:$A$3000,$K$2,'Pending Putaway'!$B$2:$B$3000,SUBSTITUTE($A57," SS","  SS")),"NA"))</f>
        <v>0</v>
      </c>
      <c r="J57" s="81" t="n">
        <f aca="false">IF(COUNTIFS('Pending Putaway'!$A$2:$A$3000,$K$2,'Pending Putaway'!$B$2:$B$3000,$A57)&gt;0,SUMIFS('Pending Putaway'!$L$2:$L$3000,'Pending Putaway'!$A$2:$A$3000,$K$2,'Pending Putaway'!$B$2:$B$3000,$A57),IF(COUNTIFS('Pending Putaway'!$A$2:$A$3000,$K$2,'Pending Putaway'!$B$2:$B$3000,SUBSTITUTE($A57," SS","  SS"))&gt;0,SUMIFS('Pending Putaway'!$L$2:$L$3000,'Pending Putaway'!$A$2:$A$3000,$K$2,'Pending Putaway'!$B$2:$B$3000,SUBSTITUTE($A57," SS","  SS")),"NA"))</f>
        <v>0</v>
      </c>
      <c r="K57" s="23"/>
      <c r="L57" s="23"/>
      <c r="M57" s="23"/>
      <c r="N57" s="23"/>
      <c r="O57" s="23"/>
      <c r="P57" s="23"/>
      <c r="Q57" s="23"/>
      <c r="R57" s="23"/>
      <c r="S57" s="23"/>
      <c r="T57" s="23"/>
      <c r="U57" s="23"/>
      <c r="V57" s="23"/>
      <c r="W57" s="23"/>
      <c r="X57" s="23"/>
      <c r="Y57" s="23"/>
      <c r="Z57" s="23"/>
      <c r="AA57" s="23"/>
      <c r="AB57" s="23"/>
      <c r="AC57" s="23"/>
      <c r="AD57" s="23"/>
      <c r="AE57" s="23"/>
      <c r="AF57" s="23"/>
      <c r="AG57" s="23"/>
      <c r="AH57" s="23"/>
    </row>
    <row r="58" customFormat="false" ht="15.75" hidden="false" customHeight="true" outlineLevel="0" collapsed="false">
      <c r="A58" s="81" t="s">
        <v>173</v>
      </c>
      <c r="B58" s="81" t="str">
        <f aca="false" t="array" ref="B58:B58">IFERROR(INDEX('CLM &amp; IM Mapping'!$B$2:$B$270,MATCH($A58,'CLM &amp; IM Mapping'!$A$2:$A$270,0)),"Not Mapped")</f>
        <v>Akshay P</v>
      </c>
      <c r="C58" s="81" t="str">
        <f aca="false" t="array" ref="C58:C58">IFERROR(INDEX('CLM &amp; IM Mapping'!$C$2:$C$270,MATCH($A58,'CLM &amp; IM Mapping'!$A$2:$A$270,0)),"Not Mapped")</f>
        <v>Srittam Dhal</v>
      </c>
      <c r="D58" s="82" t="n">
        <f aca="false">IF(COUNTIFS(Shrinkage!$A$2:$A$3000,$K$2,Shrinkage!$D$2:$D$3000,$A58)&gt;0,SUMIFS(Shrinkage!$P$2:$P$3000,Shrinkage!$A$2:$A$3000,$K$2,Shrinkage!$D$2:$D$3000,$A58),IF(COUNTIFS(Shrinkage!$A$2:$A$3000,$K$2,Shrinkage!$D$2:$D$3000,SUBSTITUTE($A58," SS","  SS"))&gt;0,SUMIFS(Shrinkage!$P$2:$P$3000,Shrinkage!$A$2:$A$3000,$K$2,Shrinkage!$D$2:$D$3000,SUBSTITUTE($A58," SS","  SS")),"NA"))</f>
        <v>18065</v>
      </c>
      <c r="E58" s="83" t="n">
        <f aca="false">IF(COUNTIFS('Inventory Hygiene'!$A$2:$A$3000,$K$2,'Inventory Hygiene'!$B$2:$B$3000,$A58)&gt;0,AVERAGEIFS('Inventory Hygiene'!$J$2:$J$3000,'Inventory Hygiene'!$A$2:$A$3000,$K$2,'Inventory Hygiene'!$B$2:$B$3000,$A58),IF(COUNTIFS('Inventory Hygiene'!$A$2:$A$3000,$K$2,'Inventory Hygiene'!$B$2:$B$3000,SUBSTITUTE($A58," SS","  SS"))&gt;0,AVERAGEIFS('Inventory Hygiene'!$J$2:$J$3000,'Inventory Hygiene'!$A$2:$A$3000,$K$2,'Inventory Hygiene'!$B$2:$B$3000,SUBSTITUTE($A58," SS","  SS")),"NA"))</f>
        <v>0.472048864692604</v>
      </c>
      <c r="F58" s="81" t="n">
        <f aca="false">IF(COUNTIFS('Bad Bins'!$A$2:$A$3000,$K$2,'Bad Bins'!$B$2:$B$3000,$A58)&gt;0,SUMIFS('Bad Bins'!$K$2:$K$3000,'Bad Bins'!$A$2:$A$3000,$K$2,'Bad Bins'!$B$2:$B$3000,$A58),IF(COUNTIFS('Bad Bins'!$A$2:$A$3000,$K$2,'Bad Bins'!$B$2:$B$3000,SUBSTITUTE($A58," SS","  SS"))&gt;0,SUMIFS('Bad Bins'!$K$2:$K$3000,'Bad Bins'!$A$2:$A$3000,$K$2,'Bad Bins'!$B$2:$B$3000,SUBSTITUTE($A58," SS","  SS")),"NA"))</f>
        <v>150</v>
      </c>
      <c r="G58" s="81" t="str">
        <f aca="false">IF(COUNTIFS('RSTO &gt; 48hrs'!$A$2:$A$3000,$K$2,'RSTO &gt; 48hrs'!$B$2:$B$3000,$A58)&gt;0,SUMIFS('RSTO &gt; 48hrs'!$H$2:$H$3000,'RSTO &gt; 48hrs'!$A$2:$A$3000,$K$2,'RSTO &gt; 48hrs'!$B$2:$B$3000,$A58),IF(COUNTIFS('RSTO &gt; 48hrs'!$A$2:$A$3000,$K$2,'RSTO &gt; 48hrs'!$B$2:$B$3000,SUBSTITUTE($A58," SS","  SS"))&gt;0,SUMIFS('RSTO &gt; 48hrs'!$H$2:$H$3000,'RSTO &gt; 48hrs'!$A$2:$A$3000,$K$2,'RSTO &gt; 48hrs'!$B$2:$B$3000,SUBSTITUTE($A58," SS","  SS")),"NA"))</f>
        <v>NA</v>
      </c>
      <c r="H58" s="81" t="n">
        <f aca="false">IF(COUNTIFS('Recirculation &gt; 24 hrs'!$A$2:$A$3000,$K$2,'Recirculation &gt; 24 hrs'!$B$2:$B$3000,$A58)&gt;0,SUMIFS('Recirculation &gt; 24 hrs'!$K$2:$K$3000,'Recirculation &gt; 24 hrs'!$A$2:$A$3000,$K$2,'Recirculation &gt; 24 hrs'!$B$2:$B$3000,$A58),IF(COUNTIFS('Recirculation &gt; 24 hrs'!$A$2:$A$3000,$K$2,'Recirculation &gt; 24 hrs'!$B$2:$B$3000,SUBSTITUTE($A58," SS","  SS"))&gt;0,SUMIFS('Recirculation &gt; 24 hrs'!$K$2:$K$3000,'Recirculation &gt; 24 hrs'!$A$2:$A$3000,$K$2,'Recirculation &gt; 24 hrs'!$B$2:$B$3000,SUBSTITUTE($A58," SS","  SS")),"NA"))</f>
        <v>8</v>
      </c>
      <c r="I58" s="81" t="n">
        <f aca="false">IF(COUNTIFS('Pending Putaway'!$A$2:$A$3000,$K$2,'Pending Putaway'!$B$2:$B$3000,$A58)&gt;0,SUMIFS('Pending Putaway'!$E$2:$E$3000,'Pending Putaway'!$A$2:$A$3000,$K$2,'Pending Putaway'!$B$2:$B$3000,$A58),IF(COUNTIFS('Pending Putaway'!$A$2:$A$3000,$K$2,'Pending Putaway'!$B$2:$B$3000,SUBSTITUTE($A58," SS","  SS"))&gt;0,SUMIFS('Pending Putaway'!$E$2:$E$3000,'Pending Putaway'!$A$2:$A$3000,$K$2,'Pending Putaway'!$B$2:$B$3000,SUBSTITUTE($A58," SS","  SS")),"NA"))</f>
        <v>1534</v>
      </c>
      <c r="J58" s="81" t="n">
        <f aca="false">IF(COUNTIFS('Pending Putaway'!$A$2:$A$3000,$K$2,'Pending Putaway'!$B$2:$B$3000,$A58)&gt;0,SUMIFS('Pending Putaway'!$L$2:$L$3000,'Pending Putaway'!$A$2:$A$3000,$K$2,'Pending Putaway'!$B$2:$B$3000,$A58),IF(COUNTIFS('Pending Putaway'!$A$2:$A$3000,$K$2,'Pending Putaway'!$B$2:$B$3000,SUBSTITUTE($A58," SS","  SS"))&gt;0,SUMIFS('Pending Putaway'!$L$2:$L$3000,'Pending Putaway'!$A$2:$A$3000,$K$2,'Pending Putaway'!$B$2:$B$3000,SUBSTITUTE($A58," SS","  SS")),"NA"))</f>
        <v>636</v>
      </c>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customFormat="false" ht="15.75" hidden="false" customHeight="true" outlineLevel="0" collapsed="false">
      <c r="A59" s="81" t="s">
        <v>235</v>
      </c>
      <c r="B59" s="81" t="str">
        <f aca="false" t="array" ref="B59:B59">IFERROR(INDEX('CLM &amp; IM Mapping'!$B$2:$B$270,MATCH($A59,'CLM &amp; IM Mapping'!$A$2:$A$270,0)),"Not Mapped")</f>
        <v>Akshay P</v>
      </c>
      <c r="C59" s="81" t="str">
        <f aca="false" t="array" ref="C59:C59">IFERROR(INDEX('CLM &amp; IM Mapping'!$C$2:$C$270,MATCH($A59,'CLM &amp; IM Mapping'!$A$2:$A$270,0)),"Not Mapped")</f>
        <v>Srittam Dhal</v>
      </c>
      <c r="D59" s="82" t="n">
        <f aca="false">IF(COUNTIFS(Shrinkage!$A$2:$A$3000,$K$2,Shrinkage!$D$2:$D$3000,$A59)&gt;0,SUMIFS(Shrinkage!$P$2:$P$3000,Shrinkage!$A$2:$A$3000,$K$2,Shrinkage!$D$2:$D$3000,$A59),IF(COUNTIFS(Shrinkage!$A$2:$A$3000,$K$2,Shrinkage!$D$2:$D$3000,SUBSTITUTE($A59," SS","  SS"))&gt;0,SUMIFS(Shrinkage!$P$2:$P$3000,Shrinkage!$A$2:$A$3000,$K$2,Shrinkage!$D$2:$D$3000,SUBSTITUTE($A59," SS","  SS")),"NA"))</f>
        <v>17101</v>
      </c>
      <c r="E59" s="83" t="n">
        <f aca="false">IF(COUNTIFS('Inventory Hygiene'!$A$2:$A$3000,$K$2,'Inventory Hygiene'!$B$2:$B$3000,$A59)&gt;0,AVERAGEIFS('Inventory Hygiene'!$J$2:$J$3000,'Inventory Hygiene'!$A$2:$A$3000,$K$2,'Inventory Hygiene'!$B$2:$B$3000,$A59),IF(COUNTIFS('Inventory Hygiene'!$A$2:$A$3000,$K$2,'Inventory Hygiene'!$B$2:$B$3000,SUBSTITUTE($A59," SS","  SS"))&gt;0,AVERAGEIFS('Inventory Hygiene'!$J$2:$J$3000,'Inventory Hygiene'!$A$2:$A$3000,$K$2,'Inventory Hygiene'!$B$2:$B$3000,SUBSTITUTE($A59," SS","  SS")),"NA"))</f>
        <v>0.76726784343822</v>
      </c>
      <c r="F59" s="81" t="n">
        <f aca="false">IF(COUNTIFS('Bad Bins'!$A$2:$A$3000,$K$2,'Bad Bins'!$B$2:$B$3000,$A59)&gt;0,SUMIFS('Bad Bins'!$K$2:$K$3000,'Bad Bins'!$A$2:$A$3000,$K$2,'Bad Bins'!$B$2:$B$3000,$A59),IF(COUNTIFS('Bad Bins'!$A$2:$A$3000,$K$2,'Bad Bins'!$B$2:$B$3000,SUBSTITUTE($A59," SS","  SS"))&gt;0,SUMIFS('Bad Bins'!$K$2:$K$3000,'Bad Bins'!$A$2:$A$3000,$K$2,'Bad Bins'!$B$2:$B$3000,SUBSTITUTE($A59," SS","  SS")),"NA"))</f>
        <v>97</v>
      </c>
      <c r="G59" s="81" t="str">
        <f aca="false">IF(COUNTIFS('RSTO &gt; 48hrs'!$A$2:$A$3000,$K$2,'RSTO &gt; 48hrs'!$B$2:$B$3000,$A59)&gt;0,SUMIFS('RSTO &gt; 48hrs'!$H$2:$H$3000,'RSTO &gt; 48hrs'!$A$2:$A$3000,$K$2,'RSTO &gt; 48hrs'!$B$2:$B$3000,$A59),IF(COUNTIFS('RSTO &gt; 48hrs'!$A$2:$A$3000,$K$2,'RSTO &gt; 48hrs'!$B$2:$B$3000,SUBSTITUTE($A59," SS","  SS"))&gt;0,SUMIFS('RSTO &gt; 48hrs'!$H$2:$H$3000,'RSTO &gt; 48hrs'!$A$2:$A$3000,$K$2,'RSTO &gt; 48hrs'!$B$2:$B$3000,SUBSTITUTE($A59," SS","  SS")),"NA"))</f>
        <v>NA</v>
      </c>
      <c r="H59" s="81" t="n">
        <f aca="false">IF(COUNTIFS('Recirculation &gt; 24 hrs'!$A$2:$A$3000,$K$2,'Recirculation &gt; 24 hrs'!$B$2:$B$3000,$A59)&gt;0,SUMIFS('Recirculation &gt; 24 hrs'!$K$2:$K$3000,'Recirculation &gt; 24 hrs'!$A$2:$A$3000,$K$2,'Recirculation &gt; 24 hrs'!$B$2:$B$3000,$A59),IF(COUNTIFS('Recirculation &gt; 24 hrs'!$A$2:$A$3000,$K$2,'Recirculation &gt; 24 hrs'!$B$2:$B$3000,SUBSTITUTE($A59," SS","  SS"))&gt;0,SUMIFS('Recirculation &gt; 24 hrs'!$K$2:$K$3000,'Recirculation &gt; 24 hrs'!$A$2:$A$3000,$K$2,'Recirculation &gt; 24 hrs'!$B$2:$B$3000,SUBSTITUTE($A59," SS","  SS")),"NA"))</f>
        <v>340</v>
      </c>
      <c r="I59" s="81" t="n">
        <f aca="false">IF(COUNTIFS('Pending Putaway'!$A$2:$A$3000,$K$2,'Pending Putaway'!$B$2:$B$3000,$A59)&gt;0,SUMIFS('Pending Putaway'!$E$2:$E$3000,'Pending Putaway'!$A$2:$A$3000,$K$2,'Pending Putaway'!$B$2:$B$3000,$A59),IF(COUNTIFS('Pending Putaway'!$A$2:$A$3000,$K$2,'Pending Putaway'!$B$2:$B$3000,SUBSTITUTE($A59," SS","  SS"))&gt;0,SUMIFS('Pending Putaway'!$E$2:$E$3000,'Pending Putaway'!$A$2:$A$3000,$K$2,'Pending Putaway'!$B$2:$B$3000,SUBSTITUTE($A59," SS","  SS")),"NA"))</f>
        <v>593</v>
      </c>
      <c r="J59" s="81" t="n">
        <f aca="false">IF(COUNTIFS('Pending Putaway'!$A$2:$A$3000,$K$2,'Pending Putaway'!$B$2:$B$3000,$A59)&gt;0,SUMIFS('Pending Putaway'!$L$2:$L$3000,'Pending Putaway'!$A$2:$A$3000,$K$2,'Pending Putaway'!$B$2:$B$3000,$A59),IF(COUNTIFS('Pending Putaway'!$A$2:$A$3000,$K$2,'Pending Putaway'!$B$2:$B$3000,SUBSTITUTE($A59," SS","  SS"))&gt;0,SUMIFS('Pending Putaway'!$L$2:$L$3000,'Pending Putaway'!$A$2:$A$3000,$K$2,'Pending Putaway'!$B$2:$B$3000,SUBSTITUTE($A59," SS","  SS")),"NA"))</f>
        <v>593</v>
      </c>
      <c r="K59" s="23"/>
      <c r="L59" s="23"/>
      <c r="M59" s="23"/>
      <c r="N59" s="23"/>
      <c r="O59" s="23"/>
      <c r="P59" s="23"/>
      <c r="Q59" s="23"/>
      <c r="R59" s="23"/>
      <c r="S59" s="23"/>
      <c r="T59" s="23"/>
      <c r="U59" s="23"/>
      <c r="V59" s="23"/>
      <c r="W59" s="23"/>
      <c r="X59" s="23"/>
      <c r="Y59" s="23"/>
      <c r="Z59" s="23"/>
      <c r="AA59" s="23"/>
      <c r="AB59" s="23"/>
      <c r="AC59" s="23"/>
      <c r="AD59" s="23"/>
      <c r="AE59" s="23"/>
      <c r="AF59" s="23"/>
      <c r="AG59" s="23"/>
      <c r="AH59" s="23"/>
    </row>
    <row r="60" customFormat="false" ht="15.75" hidden="false" customHeight="true" outlineLevel="0" collapsed="false">
      <c r="A60" s="81" t="s">
        <v>481</v>
      </c>
      <c r="B60" s="81" t="str">
        <f aca="false" t="array" ref="B60:B60">IFERROR(INDEX('CLM &amp; IM Mapping'!$B$2:$B$270,MATCH($A60,'CLM &amp; IM Mapping'!$A$2:$A$270,0)),"Not Mapped")</f>
        <v>Akshay P</v>
      </c>
      <c r="C60" s="81" t="str">
        <f aca="false" t="array" ref="C60:C60">IFERROR(INDEX('CLM &amp; IM Mapping'!$C$2:$C$270,MATCH($A60,'CLM &amp; IM Mapping'!$A$2:$A$270,0)),"Not Mapped")</f>
        <v>Srittam Dhal</v>
      </c>
      <c r="D60" s="82" t="n">
        <f aca="false">IF(COUNTIFS(Shrinkage!$A$2:$A$3000,$K$2,Shrinkage!$D$2:$D$3000,$A60)&gt;0,SUMIFS(Shrinkage!$P$2:$P$3000,Shrinkage!$A$2:$A$3000,$K$2,Shrinkage!$D$2:$D$3000,$A60),IF(COUNTIFS(Shrinkage!$A$2:$A$3000,$K$2,Shrinkage!$D$2:$D$3000,SUBSTITUTE($A60," SS","  SS"))&gt;0,SUMIFS(Shrinkage!$P$2:$P$3000,Shrinkage!$A$2:$A$3000,$K$2,Shrinkage!$D$2:$D$3000,SUBSTITUTE($A60," SS","  SS")),"NA"))</f>
        <v>-13078</v>
      </c>
      <c r="E60" s="83" t="n">
        <f aca="false">IF(COUNTIFS('Inventory Hygiene'!$A$2:$A$3000,$K$2,'Inventory Hygiene'!$B$2:$B$3000,$A60)&gt;0,AVERAGEIFS('Inventory Hygiene'!$J$2:$J$3000,'Inventory Hygiene'!$A$2:$A$3000,$K$2,'Inventory Hygiene'!$B$2:$B$3000,$A60),IF(COUNTIFS('Inventory Hygiene'!$A$2:$A$3000,$K$2,'Inventory Hygiene'!$B$2:$B$3000,SUBSTITUTE($A60," SS","  SS"))&gt;0,AVERAGEIFS('Inventory Hygiene'!$J$2:$J$3000,'Inventory Hygiene'!$A$2:$A$3000,$K$2,'Inventory Hygiene'!$B$2:$B$3000,SUBSTITUTE($A60," SS","  SS")),"NA"))</f>
        <v>0.997541789577188</v>
      </c>
      <c r="F60" s="81" t="n">
        <f aca="false">IF(COUNTIFS('Bad Bins'!$A$2:$A$3000,$K$2,'Bad Bins'!$B$2:$B$3000,$A60)&gt;0,SUMIFS('Bad Bins'!$K$2:$K$3000,'Bad Bins'!$A$2:$A$3000,$K$2,'Bad Bins'!$B$2:$B$3000,$A60),IF(COUNTIFS('Bad Bins'!$A$2:$A$3000,$K$2,'Bad Bins'!$B$2:$B$3000,SUBSTITUTE($A60," SS","  SS"))&gt;0,SUMIFS('Bad Bins'!$K$2:$K$3000,'Bad Bins'!$A$2:$A$3000,$K$2,'Bad Bins'!$B$2:$B$3000,SUBSTITUTE($A60," SS","  SS")),"NA"))</f>
        <v>7</v>
      </c>
      <c r="G60" s="81" t="str">
        <f aca="false">IF(COUNTIFS('RSTO &gt; 48hrs'!$A$2:$A$3000,$K$2,'RSTO &gt; 48hrs'!$B$2:$B$3000,$A60)&gt;0,SUMIFS('RSTO &gt; 48hrs'!$H$2:$H$3000,'RSTO &gt; 48hrs'!$A$2:$A$3000,$K$2,'RSTO &gt; 48hrs'!$B$2:$B$3000,$A60),IF(COUNTIFS('RSTO &gt; 48hrs'!$A$2:$A$3000,$K$2,'RSTO &gt; 48hrs'!$B$2:$B$3000,SUBSTITUTE($A60," SS","  SS"))&gt;0,SUMIFS('RSTO &gt; 48hrs'!$H$2:$H$3000,'RSTO &gt; 48hrs'!$A$2:$A$3000,$K$2,'RSTO &gt; 48hrs'!$B$2:$B$3000,SUBSTITUTE($A60," SS","  SS")),"NA"))</f>
        <v>NA</v>
      </c>
      <c r="H60" s="81" t="str">
        <f aca="false">IF(COUNTIFS('Recirculation &gt; 24 hrs'!$A$2:$A$3000,$K$2,'Recirculation &gt; 24 hrs'!$B$2:$B$3000,$A60)&gt;0,SUMIFS('Recirculation &gt; 24 hrs'!$K$2:$K$3000,'Recirculation &gt; 24 hrs'!$A$2:$A$3000,$K$2,'Recirculation &gt; 24 hrs'!$B$2:$B$3000,$A60),IF(COUNTIFS('Recirculation &gt; 24 hrs'!$A$2:$A$3000,$K$2,'Recirculation &gt; 24 hrs'!$B$2:$B$3000,SUBSTITUTE($A60," SS","  SS"))&gt;0,SUMIFS('Recirculation &gt; 24 hrs'!$K$2:$K$3000,'Recirculation &gt; 24 hrs'!$A$2:$A$3000,$K$2,'Recirculation &gt; 24 hrs'!$B$2:$B$3000,SUBSTITUTE($A60," SS","  SS")),"NA"))</f>
        <v>NA</v>
      </c>
      <c r="I60" s="81" t="n">
        <f aca="false">IF(COUNTIFS('Pending Putaway'!$A$2:$A$3000,$K$2,'Pending Putaway'!$B$2:$B$3000,$A60)&gt;0,SUMIFS('Pending Putaway'!$E$2:$E$3000,'Pending Putaway'!$A$2:$A$3000,$K$2,'Pending Putaway'!$B$2:$B$3000,$A60),IF(COUNTIFS('Pending Putaway'!$A$2:$A$3000,$K$2,'Pending Putaway'!$B$2:$B$3000,SUBSTITUTE($A60," SS","  SS"))&gt;0,SUMIFS('Pending Putaway'!$E$2:$E$3000,'Pending Putaway'!$A$2:$A$3000,$K$2,'Pending Putaway'!$B$2:$B$3000,SUBSTITUTE($A60," SS","  SS")),"NA"))</f>
        <v>0</v>
      </c>
      <c r="J60" s="81" t="n">
        <f aca="false">IF(COUNTIFS('Pending Putaway'!$A$2:$A$3000,$K$2,'Pending Putaway'!$B$2:$B$3000,$A60)&gt;0,SUMIFS('Pending Putaway'!$L$2:$L$3000,'Pending Putaway'!$A$2:$A$3000,$K$2,'Pending Putaway'!$B$2:$B$3000,$A60),IF(COUNTIFS('Pending Putaway'!$A$2:$A$3000,$K$2,'Pending Putaway'!$B$2:$B$3000,SUBSTITUTE($A60," SS","  SS"))&gt;0,SUMIFS('Pending Putaway'!$L$2:$L$3000,'Pending Putaway'!$A$2:$A$3000,$K$2,'Pending Putaway'!$B$2:$B$3000,SUBSTITUTE($A60," SS","  SS")),"NA"))</f>
        <v>0</v>
      </c>
      <c r="K60" s="23"/>
      <c r="L60" s="23"/>
      <c r="M60" s="23"/>
      <c r="N60" s="23"/>
      <c r="O60" s="23"/>
      <c r="P60" s="23"/>
      <c r="Q60" s="23"/>
      <c r="R60" s="23"/>
      <c r="S60" s="23"/>
      <c r="T60" s="23"/>
      <c r="U60" s="23"/>
      <c r="V60" s="23"/>
      <c r="W60" s="23"/>
      <c r="X60" s="23"/>
      <c r="Y60" s="23"/>
      <c r="Z60" s="23"/>
      <c r="AA60" s="23"/>
      <c r="AB60" s="23"/>
      <c r="AC60" s="23"/>
      <c r="AD60" s="23"/>
      <c r="AE60" s="23"/>
      <c r="AF60" s="23"/>
      <c r="AG60" s="23"/>
      <c r="AH60" s="23"/>
    </row>
    <row r="61" customFormat="false" ht="15.75" hidden="false" customHeight="true" outlineLevel="0" collapsed="false">
      <c r="A61" s="81" t="s">
        <v>334</v>
      </c>
      <c r="B61" s="81" t="str">
        <f aca="false" t="array" ref="B61:B61">IFERROR(INDEX('CLM &amp; IM Mapping'!$B$2:$B$270,MATCH($A61,'CLM &amp; IM Mapping'!$A$2:$A$270,0)),"Not Mapped")</f>
        <v>Akshay P</v>
      </c>
      <c r="C61" s="81" t="str">
        <f aca="false" t="array" ref="C61:C61">IFERROR(INDEX('CLM &amp; IM Mapping'!$C$2:$C$270,MATCH($A61,'CLM &amp; IM Mapping'!$A$2:$A$270,0)),"Not Mapped")</f>
        <v>Srittam Dhal</v>
      </c>
      <c r="D61" s="82" t="n">
        <f aca="false">IF(COUNTIFS(Shrinkage!$A$2:$A$3000,$K$2,Shrinkage!$D$2:$D$3000,$A61)&gt;0,SUMIFS(Shrinkage!$P$2:$P$3000,Shrinkage!$A$2:$A$3000,$K$2,Shrinkage!$D$2:$D$3000,$A61),IF(COUNTIFS(Shrinkage!$A$2:$A$3000,$K$2,Shrinkage!$D$2:$D$3000,SUBSTITUTE($A61," SS","  SS"))&gt;0,SUMIFS(Shrinkage!$P$2:$P$3000,Shrinkage!$A$2:$A$3000,$K$2,Shrinkage!$D$2:$D$3000,SUBSTITUTE($A61," SS","  SS")),"NA"))</f>
        <v>509</v>
      </c>
      <c r="E61" s="83" t="n">
        <f aca="false">IF(COUNTIFS('Inventory Hygiene'!$A$2:$A$3000,$K$2,'Inventory Hygiene'!$B$2:$B$3000,$A61)&gt;0,AVERAGEIFS('Inventory Hygiene'!$J$2:$J$3000,'Inventory Hygiene'!$A$2:$A$3000,$K$2,'Inventory Hygiene'!$B$2:$B$3000,$A61),IF(COUNTIFS('Inventory Hygiene'!$A$2:$A$3000,$K$2,'Inventory Hygiene'!$B$2:$B$3000,SUBSTITUTE($A61," SS","  SS"))&gt;0,AVERAGEIFS('Inventory Hygiene'!$J$2:$J$3000,'Inventory Hygiene'!$A$2:$A$3000,$K$2,'Inventory Hygiene'!$B$2:$B$3000,SUBSTITUTE($A61," SS","  SS")),"NA"))</f>
        <v>0.683272242585805</v>
      </c>
      <c r="F61" s="81" t="n">
        <f aca="false">IF(COUNTIFS('Bad Bins'!$A$2:$A$3000,$K$2,'Bad Bins'!$B$2:$B$3000,$A61)&gt;0,SUMIFS('Bad Bins'!$K$2:$K$3000,'Bad Bins'!$A$2:$A$3000,$K$2,'Bad Bins'!$B$2:$B$3000,$A61),IF(COUNTIFS('Bad Bins'!$A$2:$A$3000,$K$2,'Bad Bins'!$B$2:$B$3000,SUBSTITUTE($A61," SS","  SS"))&gt;0,SUMIFS('Bad Bins'!$K$2:$K$3000,'Bad Bins'!$A$2:$A$3000,$K$2,'Bad Bins'!$B$2:$B$3000,SUBSTITUTE($A61," SS","  SS")),"NA"))</f>
        <v>51</v>
      </c>
      <c r="G61" s="81" t="str">
        <f aca="false">IF(COUNTIFS('RSTO &gt; 48hrs'!$A$2:$A$3000,$K$2,'RSTO &gt; 48hrs'!$B$2:$B$3000,$A61)&gt;0,SUMIFS('RSTO &gt; 48hrs'!$H$2:$H$3000,'RSTO &gt; 48hrs'!$A$2:$A$3000,$K$2,'RSTO &gt; 48hrs'!$B$2:$B$3000,$A61),IF(COUNTIFS('RSTO &gt; 48hrs'!$A$2:$A$3000,$K$2,'RSTO &gt; 48hrs'!$B$2:$B$3000,SUBSTITUTE($A61," SS","  SS"))&gt;0,SUMIFS('RSTO &gt; 48hrs'!$H$2:$H$3000,'RSTO &gt; 48hrs'!$A$2:$A$3000,$K$2,'RSTO &gt; 48hrs'!$B$2:$B$3000,SUBSTITUTE($A61," SS","  SS")),"NA"))</f>
        <v>NA</v>
      </c>
      <c r="H61" s="81" t="str">
        <f aca="false">IF(COUNTIFS('Recirculation &gt; 24 hrs'!$A$2:$A$3000,$K$2,'Recirculation &gt; 24 hrs'!$B$2:$B$3000,$A61)&gt;0,SUMIFS('Recirculation &gt; 24 hrs'!$K$2:$K$3000,'Recirculation &gt; 24 hrs'!$A$2:$A$3000,$K$2,'Recirculation &gt; 24 hrs'!$B$2:$B$3000,$A61),IF(COUNTIFS('Recirculation &gt; 24 hrs'!$A$2:$A$3000,$K$2,'Recirculation &gt; 24 hrs'!$B$2:$B$3000,SUBSTITUTE($A61," SS","  SS"))&gt;0,SUMIFS('Recirculation &gt; 24 hrs'!$K$2:$K$3000,'Recirculation &gt; 24 hrs'!$A$2:$A$3000,$K$2,'Recirculation &gt; 24 hrs'!$B$2:$B$3000,SUBSTITUTE($A61," SS","  SS")),"NA"))</f>
        <v>NA</v>
      </c>
      <c r="I61" s="81" t="n">
        <f aca="false">IF(COUNTIFS('Pending Putaway'!$A$2:$A$3000,$K$2,'Pending Putaway'!$B$2:$B$3000,$A61)&gt;0,SUMIFS('Pending Putaway'!$E$2:$E$3000,'Pending Putaway'!$A$2:$A$3000,$K$2,'Pending Putaway'!$B$2:$B$3000,$A61),IF(COUNTIFS('Pending Putaway'!$A$2:$A$3000,$K$2,'Pending Putaway'!$B$2:$B$3000,SUBSTITUTE($A61," SS","  SS"))&gt;0,SUMIFS('Pending Putaway'!$E$2:$E$3000,'Pending Putaway'!$A$2:$A$3000,$K$2,'Pending Putaway'!$B$2:$B$3000,SUBSTITUTE($A61," SS","  SS")),"NA"))</f>
        <v>0</v>
      </c>
      <c r="J61" s="81" t="n">
        <f aca="false">IF(COUNTIFS('Pending Putaway'!$A$2:$A$3000,$K$2,'Pending Putaway'!$B$2:$B$3000,$A61)&gt;0,SUMIFS('Pending Putaway'!$L$2:$L$3000,'Pending Putaway'!$A$2:$A$3000,$K$2,'Pending Putaway'!$B$2:$B$3000,$A61),IF(COUNTIFS('Pending Putaway'!$A$2:$A$3000,$K$2,'Pending Putaway'!$B$2:$B$3000,SUBSTITUTE($A61," SS","  SS"))&gt;0,SUMIFS('Pending Putaway'!$L$2:$L$3000,'Pending Putaway'!$A$2:$A$3000,$K$2,'Pending Putaway'!$B$2:$B$3000,SUBSTITUTE($A61," SS","  SS")),"NA"))</f>
        <v>0</v>
      </c>
      <c r="K61" s="23"/>
      <c r="L61" s="23"/>
      <c r="M61" s="23"/>
      <c r="N61" s="23"/>
      <c r="O61" s="23"/>
      <c r="P61" s="23"/>
      <c r="Q61" s="23"/>
      <c r="R61" s="23"/>
      <c r="S61" s="23"/>
      <c r="T61" s="23"/>
      <c r="U61" s="23"/>
      <c r="V61" s="23"/>
      <c r="W61" s="23"/>
      <c r="X61" s="23"/>
      <c r="Y61" s="23"/>
      <c r="Z61" s="23"/>
      <c r="AA61" s="23"/>
      <c r="AB61" s="23"/>
      <c r="AC61" s="23"/>
      <c r="AD61" s="23"/>
      <c r="AE61" s="23"/>
      <c r="AF61" s="23"/>
      <c r="AG61" s="23"/>
      <c r="AH61" s="23"/>
    </row>
    <row r="62" customFormat="false" ht="15.75" hidden="false" customHeight="true" outlineLevel="0" collapsed="false">
      <c r="A62" s="81" t="s">
        <v>150</v>
      </c>
      <c r="B62" s="81" t="str">
        <f aca="false" t="array" ref="B62:B62">IFERROR(INDEX('CLM &amp; IM Mapping'!$B$2:$B$270,MATCH($A62,'CLM &amp; IM Mapping'!$A$2:$A$270,0)),"Not Mapped")</f>
        <v>Akshay P</v>
      </c>
      <c r="C62" s="81" t="str">
        <f aca="false" t="array" ref="C62:C62">IFERROR(INDEX('CLM &amp; IM Mapping'!$C$2:$C$270,MATCH($A62,'CLM &amp; IM Mapping'!$A$2:$A$270,0)),"Not Mapped")</f>
        <v>Srittam Dhal</v>
      </c>
      <c r="D62" s="82" t="n">
        <f aca="false">IF(COUNTIFS(Shrinkage!$A$2:$A$3000,$K$2,Shrinkage!$D$2:$D$3000,$A62)&gt;0,SUMIFS(Shrinkage!$P$2:$P$3000,Shrinkage!$A$2:$A$3000,$K$2,Shrinkage!$D$2:$D$3000,$A62),IF(COUNTIFS(Shrinkage!$A$2:$A$3000,$K$2,Shrinkage!$D$2:$D$3000,SUBSTITUTE($A62," SS","  SS"))&gt;0,SUMIFS(Shrinkage!$P$2:$P$3000,Shrinkage!$A$2:$A$3000,$K$2,Shrinkage!$D$2:$D$3000,SUBSTITUTE($A62," SS","  SS")),"NA"))</f>
        <v>39557</v>
      </c>
      <c r="E62" s="83" t="n">
        <f aca="false">IF(COUNTIFS('Inventory Hygiene'!$A$2:$A$3000,$K$2,'Inventory Hygiene'!$B$2:$B$3000,$A62)&gt;0,AVERAGEIFS('Inventory Hygiene'!$J$2:$J$3000,'Inventory Hygiene'!$A$2:$A$3000,$K$2,'Inventory Hygiene'!$B$2:$B$3000,$A62),IF(COUNTIFS('Inventory Hygiene'!$A$2:$A$3000,$K$2,'Inventory Hygiene'!$B$2:$B$3000,SUBSTITUTE($A62," SS","  SS"))&gt;0,AVERAGEIFS('Inventory Hygiene'!$J$2:$J$3000,'Inventory Hygiene'!$A$2:$A$3000,$K$2,'Inventory Hygiene'!$B$2:$B$3000,SUBSTITUTE($A62," SS","  SS")),"NA"))</f>
        <v>0.652130109383995</v>
      </c>
      <c r="F62" s="81" t="n">
        <f aca="false">IF(COUNTIFS('Bad Bins'!$A$2:$A$3000,$K$2,'Bad Bins'!$B$2:$B$3000,$A62)&gt;0,SUMIFS('Bad Bins'!$K$2:$K$3000,'Bad Bins'!$A$2:$A$3000,$K$2,'Bad Bins'!$B$2:$B$3000,$A62),IF(COUNTIFS('Bad Bins'!$A$2:$A$3000,$K$2,'Bad Bins'!$B$2:$B$3000,SUBSTITUTE($A62," SS","  SS"))&gt;0,SUMIFS('Bad Bins'!$K$2:$K$3000,'Bad Bins'!$A$2:$A$3000,$K$2,'Bad Bins'!$B$2:$B$3000,SUBSTITUTE($A62," SS","  SS")),"NA"))</f>
        <v>308</v>
      </c>
      <c r="G62" s="81" t="str">
        <f aca="false">IF(COUNTIFS('RSTO &gt; 48hrs'!$A$2:$A$3000,$K$2,'RSTO &gt; 48hrs'!$B$2:$B$3000,$A62)&gt;0,SUMIFS('RSTO &gt; 48hrs'!$H$2:$H$3000,'RSTO &gt; 48hrs'!$A$2:$A$3000,$K$2,'RSTO &gt; 48hrs'!$B$2:$B$3000,$A62),IF(COUNTIFS('RSTO &gt; 48hrs'!$A$2:$A$3000,$K$2,'RSTO &gt; 48hrs'!$B$2:$B$3000,SUBSTITUTE($A62," SS","  SS"))&gt;0,SUMIFS('RSTO &gt; 48hrs'!$H$2:$H$3000,'RSTO &gt; 48hrs'!$A$2:$A$3000,$K$2,'RSTO &gt; 48hrs'!$B$2:$B$3000,SUBSTITUTE($A62," SS","  SS")),"NA"))</f>
        <v>NA</v>
      </c>
      <c r="H62" s="81" t="str">
        <f aca="false">IF(COUNTIFS('Recirculation &gt; 24 hrs'!$A$2:$A$3000,$K$2,'Recirculation &gt; 24 hrs'!$B$2:$B$3000,$A62)&gt;0,SUMIFS('Recirculation &gt; 24 hrs'!$K$2:$K$3000,'Recirculation &gt; 24 hrs'!$A$2:$A$3000,$K$2,'Recirculation &gt; 24 hrs'!$B$2:$B$3000,$A62),IF(COUNTIFS('Recirculation &gt; 24 hrs'!$A$2:$A$3000,$K$2,'Recirculation &gt; 24 hrs'!$B$2:$B$3000,SUBSTITUTE($A62," SS","  SS"))&gt;0,SUMIFS('Recirculation &gt; 24 hrs'!$K$2:$K$3000,'Recirculation &gt; 24 hrs'!$A$2:$A$3000,$K$2,'Recirculation &gt; 24 hrs'!$B$2:$B$3000,SUBSTITUTE($A62," SS","  SS")),"NA"))</f>
        <v>NA</v>
      </c>
      <c r="I62" s="81" t="n">
        <f aca="false">IF(COUNTIFS('Pending Putaway'!$A$2:$A$3000,$K$2,'Pending Putaway'!$B$2:$B$3000,$A62)&gt;0,SUMIFS('Pending Putaway'!$E$2:$E$3000,'Pending Putaway'!$A$2:$A$3000,$K$2,'Pending Putaway'!$B$2:$B$3000,$A62),IF(COUNTIFS('Pending Putaway'!$A$2:$A$3000,$K$2,'Pending Putaway'!$B$2:$B$3000,SUBSTITUTE($A62," SS","  SS"))&gt;0,SUMIFS('Pending Putaway'!$E$2:$E$3000,'Pending Putaway'!$A$2:$A$3000,$K$2,'Pending Putaway'!$B$2:$B$3000,SUBSTITUTE($A62," SS","  SS")),"NA"))</f>
        <v>9990</v>
      </c>
      <c r="J62" s="81" t="n">
        <f aca="false">IF(COUNTIFS('Pending Putaway'!$A$2:$A$3000,$K$2,'Pending Putaway'!$B$2:$B$3000,$A62)&gt;0,SUMIFS('Pending Putaway'!$L$2:$L$3000,'Pending Putaway'!$A$2:$A$3000,$K$2,'Pending Putaway'!$B$2:$B$3000,$A62),IF(COUNTIFS('Pending Putaway'!$A$2:$A$3000,$K$2,'Pending Putaway'!$B$2:$B$3000,SUBSTITUTE($A62," SS","  SS"))&gt;0,SUMIFS('Pending Putaway'!$L$2:$L$3000,'Pending Putaway'!$A$2:$A$3000,$K$2,'Pending Putaway'!$B$2:$B$3000,SUBSTITUTE($A62," SS","  SS")),"NA"))</f>
        <v>2690</v>
      </c>
      <c r="K62" s="23"/>
      <c r="L62" s="23"/>
      <c r="M62" s="23"/>
      <c r="N62" s="23"/>
      <c r="O62" s="23"/>
      <c r="P62" s="23"/>
      <c r="Q62" s="23"/>
      <c r="R62" s="23"/>
      <c r="S62" s="23"/>
      <c r="T62" s="23"/>
      <c r="U62" s="23"/>
      <c r="V62" s="23"/>
      <c r="W62" s="23"/>
      <c r="X62" s="23"/>
      <c r="Y62" s="23"/>
      <c r="Z62" s="23"/>
      <c r="AA62" s="23"/>
      <c r="AB62" s="23"/>
      <c r="AC62" s="23"/>
      <c r="AD62" s="23"/>
      <c r="AE62" s="23"/>
      <c r="AF62" s="23"/>
      <c r="AG62" s="23"/>
      <c r="AH62" s="23"/>
    </row>
    <row r="63" customFormat="false" ht="15.75" hidden="false" customHeight="true" outlineLevel="0" collapsed="false">
      <c r="A63" s="81" t="s">
        <v>410</v>
      </c>
      <c r="B63" s="81" t="str">
        <f aca="false" t="array" ref="B63:B63">IFERROR(INDEX('CLM &amp; IM Mapping'!$B$2:$B$270,MATCH($A63,'CLM &amp; IM Mapping'!$A$2:$A$270,0)),"Not Mapped")</f>
        <v>Akshay P</v>
      </c>
      <c r="C63" s="81" t="str">
        <f aca="false" t="array" ref="C63:C63">IFERROR(INDEX('CLM &amp; IM Mapping'!$C$2:$C$270,MATCH($A63,'CLM &amp; IM Mapping'!$A$2:$A$270,0)),"Not Mapped")</f>
        <v>Srittam Dhal</v>
      </c>
      <c r="D63" s="82" t="n">
        <f aca="false">IF(COUNTIFS(Shrinkage!$A$2:$A$3000,$K$2,Shrinkage!$D$2:$D$3000,$A63)&gt;0,SUMIFS(Shrinkage!$P$2:$P$3000,Shrinkage!$A$2:$A$3000,$K$2,Shrinkage!$D$2:$D$3000,$A63),IF(COUNTIFS(Shrinkage!$A$2:$A$3000,$K$2,Shrinkage!$D$2:$D$3000,SUBSTITUTE($A63," SS","  SS"))&gt;0,SUMIFS(Shrinkage!$P$2:$P$3000,Shrinkage!$A$2:$A$3000,$K$2,Shrinkage!$D$2:$D$3000,SUBSTITUTE($A63," SS","  SS")),"NA"))</f>
        <v>-9885</v>
      </c>
      <c r="E63" s="83" t="n">
        <f aca="false">IF(COUNTIFS('Inventory Hygiene'!$A$2:$A$3000,$K$2,'Inventory Hygiene'!$B$2:$B$3000,$A63)&gt;0,AVERAGEIFS('Inventory Hygiene'!$J$2:$J$3000,'Inventory Hygiene'!$A$2:$A$3000,$K$2,'Inventory Hygiene'!$B$2:$B$3000,$A63),IF(COUNTIFS('Inventory Hygiene'!$A$2:$A$3000,$K$2,'Inventory Hygiene'!$B$2:$B$3000,SUBSTITUTE($A63," SS","  SS"))&gt;0,AVERAGEIFS('Inventory Hygiene'!$J$2:$J$3000,'Inventory Hygiene'!$A$2:$A$3000,$K$2,'Inventory Hygiene'!$B$2:$B$3000,SUBSTITUTE($A63," SS","  SS")),"NA"))</f>
        <v>0.918491484184915</v>
      </c>
      <c r="F63" s="81" t="n">
        <f aca="false">IF(COUNTIFS('Bad Bins'!$A$2:$A$3000,$K$2,'Bad Bins'!$B$2:$B$3000,$A63)&gt;0,SUMIFS('Bad Bins'!$K$2:$K$3000,'Bad Bins'!$A$2:$A$3000,$K$2,'Bad Bins'!$B$2:$B$3000,$A63),IF(COUNTIFS('Bad Bins'!$A$2:$A$3000,$K$2,'Bad Bins'!$B$2:$B$3000,SUBSTITUTE($A63," SS","  SS"))&gt;0,SUMIFS('Bad Bins'!$K$2:$K$3000,'Bad Bins'!$A$2:$A$3000,$K$2,'Bad Bins'!$B$2:$B$3000,SUBSTITUTE($A63," SS","  SS")),"NA"))</f>
        <v>63</v>
      </c>
      <c r="G63" s="81" t="str">
        <f aca="false">IF(COUNTIFS('RSTO &gt; 48hrs'!$A$2:$A$3000,$K$2,'RSTO &gt; 48hrs'!$B$2:$B$3000,$A63)&gt;0,SUMIFS('RSTO &gt; 48hrs'!$H$2:$H$3000,'RSTO &gt; 48hrs'!$A$2:$A$3000,$K$2,'RSTO &gt; 48hrs'!$B$2:$B$3000,$A63),IF(COUNTIFS('RSTO &gt; 48hrs'!$A$2:$A$3000,$K$2,'RSTO &gt; 48hrs'!$B$2:$B$3000,SUBSTITUTE($A63," SS","  SS"))&gt;0,SUMIFS('RSTO &gt; 48hrs'!$H$2:$H$3000,'RSTO &gt; 48hrs'!$A$2:$A$3000,$K$2,'RSTO &gt; 48hrs'!$B$2:$B$3000,SUBSTITUTE($A63," SS","  SS")),"NA"))</f>
        <v>NA</v>
      </c>
      <c r="H63" s="81" t="str">
        <f aca="false">IF(COUNTIFS('Recirculation &gt; 24 hrs'!$A$2:$A$3000,$K$2,'Recirculation &gt; 24 hrs'!$B$2:$B$3000,$A63)&gt;0,SUMIFS('Recirculation &gt; 24 hrs'!$K$2:$K$3000,'Recirculation &gt; 24 hrs'!$A$2:$A$3000,$K$2,'Recirculation &gt; 24 hrs'!$B$2:$B$3000,$A63),IF(COUNTIFS('Recirculation &gt; 24 hrs'!$A$2:$A$3000,$K$2,'Recirculation &gt; 24 hrs'!$B$2:$B$3000,SUBSTITUTE($A63," SS","  SS"))&gt;0,SUMIFS('Recirculation &gt; 24 hrs'!$K$2:$K$3000,'Recirculation &gt; 24 hrs'!$A$2:$A$3000,$K$2,'Recirculation &gt; 24 hrs'!$B$2:$B$3000,SUBSTITUTE($A63," SS","  SS")),"NA"))</f>
        <v>NA</v>
      </c>
      <c r="I63" s="81" t="n">
        <f aca="false">IF(COUNTIFS('Pending Putaway'!$A$2:$A$3000,$K$2,'Pending Putaway'!$B$2:$B$3000,$A63)&gt;0,SUMIFS('Pending Putaway'!$E$2:$E$3000,'Pending Putaway'!$A$2:$A$3000,$K$2,'Pending Putaway'!$B$2:$B$3000,$A63),IF(COUNTIFS('Pending Putaway'!$A$2:$A$3000,$K$2,'Pending Putaway'!$B$2:$B$3000,SUBSTITUTE($A63," SS","  SS"))&gt;0,SUMIFS('Pending Putaway'!$E$2:$E$3000,'Pending Putaway'!$A$2:$A$3000,$K$2,'Pending Putaway'!$B$2:$B$3000,SUBSTITUTE($A63," SS","  SS")),"NA"))</f>
        <v>0</v>
      </c>
      <c r="J63" s="81" t="n">
        <f aca="false">IF(COUNTIFS('Pending Putaway'!$A$2:$A$3000,$K$2,'Pending Putaway'!$B$2:$B$3000,$A63)&gt;0,SUMIFS('Pending Putaway'!$L$2:$L$3000,'Pending Putaway'!$A$2:$A$3000,$K$2,'Pending Putaway'!$B$2:$B$3000,$A63),IF(COUNTIFS('Pending Putaway'!$A$2:$A$3000,$K$2,'Pending Putaway'!$B$2:$B$3000,SUBSTITUTE($A63," SS","  SS"))&gt;0,SUMIFS('Pending Putaway'!$L$2:$L$3000,'Pending Putaway'!$A$2:$A$3000,$K$2,'Pending Putaway'!$B$2:$B$3000,SUBSTITUTE($A63," SS","  SS")),"NA"))</f>
        <v>0</v>
      </c>
      <c r="K63" s="23"/>
      <c r="L63" s="23"/>
      <c r="M63" s="23"/>
      <c r="N63" s="23"/>
      <c r="O63" s="23"/>
      <c r="P63" s="23"/>
      <c r="Q63" s="23"/>
      <c r="R63" s="23"/>
      <c r="S63" s="23"/>
      <c r="T63" s="23"/>
      <c r="U63" s="23"/>
      <c r="V63" s="23"/>
      <c r="W63" s="23"/>
      <c r="X63" s="23"/>
      <c r="Y63" s="23"/>
      <c r="Z63" s="23"/>
      <c r="AA63" s="23"/>
      <c r="AB63" s="23"/>
      <c r="AC63" s="23"/>
      <c r="AD63" s="23"/>
      <c r="AE63" s="23"/>
      <c r="AF63" s="23"/>
      <c r="AG63" s="23"/>
      <c r="AH63" s="23"/>
    </row>
    <row r="64" customFormat="false" ht="15.75" hidden="false" customHeight="true" outlineLevel="0" collapsed="false">
      <c r="A64" s="81" t="s">
        <v>443</v>
      </c>
      <c r="B64" s="81" t="str">
        <f aca="false" t="array" ref="B64:B64">IFERROR(INDEX('CLM &amp; IM Mapping'!$B$2:$B$270,MATCH($A64,'CLM &amp; IM Mapping'!$A$2:$A$270,0)),"Not Mapped")</f>
        <v>Manoj Kj</v>
      </c>
      <c r="C64" s="81" t="str">
        <f aca="false" t="array" ref="C64:C64">IFERROR(INDEX('CLM &amp; IM Mapping'!$C$2:$C$270,MATCH($A64,'CLM &amp; IM Mapping'!$A$2:$A$270,0)),"Not Mapped")</f>
        <v>Srittam Dhal</v>
      </c>
      <c r="D64" s="82" t="n">
        <f aca="false">IF(COUNTIFS(Shrinkage!$A$2:$A$3000,$K$2,Shrinkage!$D$2:$D$3000,$A64)&gt;0,SUMIFS(Shrinkage!$P$2:$P$3000,Shrinkage!$A$2:$A$3000,$K$2,Shrinkage!$D$2:$D$3000,$A64),IF(COUNTIFS(Shrinkage!$A$2:$A$3000,$K$2,Shrinkage!$D$2:$D$3000,SUBSTITUTE($A64," SS","  SS"))&gt;0,SUMIFS(Shrinkage!$P$2:$P$3000,Shrinkage!$A$2:$A$3000,$K$2,Shrinkage!$D$2:$D$3000,SUBSTITUTE($A64," SS","  SS")),"NA"))</f>
        <v>-3603</v>
      </c>
      <c r="E64" s="83" t="n">
        <f aca="false">IF(COUNTIFS('Inventory Hygiene'!$A$2:$A$3000,$K$2,'Inventory Hygiene'!$B$2:$B$3000,$A64)&gt;0,AVERAGEIFS('Inventory Hygiene'!$J$2:$J$3000,'Inventory Hygiene'!$A$2:$A$3000,$K$2,'Inventory Hygiene'!$B$2:$B$3000,$A64),IF(COUNTIFS('Inventory Hygiene'!$A$2:$A$3000,$K$2,'Inventory Hygiene'!$B$2:$B$3000,SUBSTITUTE($A64," SS","  SS"))&gt;0,AVERAGEIFS('Inventory Hygiene'!$J$2:$J$3000,'Inventory Hygiene'!$A$2:$A$3000,$K$2,'Inventory Hygiene'!$B$2:$B$3000,SUBSTITUTE($A64," SS","  SS")),"NA"))</f>
        <v>0.990289119399691</v>
      </c>
      <c r="F64" s="81" t="n">
        <f aca="false">IF(COUNTIFS('Bad Bins'!$A$2:$A$3000,$K$2,'Bad Bins'!$B$2:$B$3000,$A64)&gt;0,SUMIFS('Bad Bins'!$K$2:$K$3000,'Bad Bins'!$A$2:$A$3000,$K$2,'Bad Bins'!$B$2:$B$3000,$A64),IF(COUNTIFS('Bad Bins'!$A$2:$A$3000,$K$2,'Bad Bins'!$B$2:$B$3000,SUBSTITUTE($A64," SS","  SS"))&gt;0,SUMIFS('Bad Bins'!$K$2:$K$3000,'Bad Bins'!$A$2:$A$3000,$K$2,'Bad Bins'!$B$2:$B$3000,SUBSTITUTE($A64," SS","  SS")),"NA"))</f>
        <v>90</v>
      </c>
      <c r="G64" s="81" t="str">
        <f aca="false">IF(COUNTIFS('RSTO &gt; 48hrs'!$A$2:$A$3000,$K$2,'RSTO &gt; 48hrs'!$B$2:$B$3000,$A64)&gt;0,SUMIFS('RSTO &gt; 48hrs'!$H$2:$H$3000,'RSTO &gt; 48hrs'!$A$2:$A$3000,$K$2,'RSTO &gt; 48hrs'!$B$2:$B$3000,$A64),IF(COUNTIFS('RSTO &gt; 48hrs'!$A$2:$A$3000,$K$2,'RSTO &gt; 48hrs'!$B$2:$B$3000,SUBSTITUTE($A64," SS","  SS"))&gt;0,SUMIFS('RSTO &gt; 48hrs'!$H$2:$H$3000,'RSTO &gt; 48hrs'!$A$2:$A$3000,$K$2,'RSTO &gt; 48hrs'!$B$2:$B$3000,SUBSTITUTE($A64," SS","  SS")),"NA"))</f>
        <v>NA</v>
      </c>
      <c r="H64" s="81" t="str">
        <f aca="false">IF(COUNTIFS('Recirculation &gt; 24 hrs'!$A$2:$A$3000,$K$2,'Recirculation &gt; 24 hrs'!$B$2:$B$3000,$A64)&gt;0,SUMIFS('Recirculation &gt; 24 hrs'!$K$2:$K$3000,'Recirculation &gt; 24 hrs'!$A$2:$A$3000,$K$2,'Recirculation &gt; 24 hrs'!$B$2:$B$3000,$A64),IF(COUNTIFS('Recirculation &gt; 24 hrs'!$A$2:$A$3000,$K$2,'Recirculation &gt; 24 hrs'!$B$2:$B$3000,SUBSTITUTE($A64," SS","  SS"))&gt;0,SUMIFS('Recirculation &gt; 24 hrs'!$K$2:$K$3000,'Recirculation &gt; 24 hrs'!$A$2:$A$3000,$K$2,'Recirculation &gt; 24 hrs'!$B$2:$B$3000,SUBSTITUTE($A64," SS","  SS")),"NA"))</f>
        <v>NA</v>
      </c>
      <c r="I64" s="81" t="n">
        <f aca="false">IF(COUNTIFS('Pending Putaway'!$A$2:$A$3000,$K$2,'Pending Putaway'!$B$2:$B$3000,$A64)&gt;0,SUMIFS('Pending Putaway'!$E$2:$E$3000,'Pending Putaway'!$A$2:$A$3000,$K$2,'Pending Putaway'!$B$2:$B$3000,$A64),IF(COUNTIFS('Pending Putaway'!$A$2:$A$3000,$K$2,'Pending Putaway'!$B$2:$B$3000,SUBSTITUTE($A64," SS","  SS"))&gt;0,SUMIFS('Pending Putaway'!$E$2:$E$3000,'Pending Putaway'!$A$2:$A$3000,$K$2,'Pending Putaway'!$B$2:$B$3000,SUBSTITUTE($A64," SS","  SS")),"NA"))</f>
        <v>1950</v>
      </c>
      <c r="J64" s="81" t="n">
        <f aca="false">IF(COUNTIFS('Pending Putaway'!$A$2:$A$3000,$K$2,'Pending Putaway'!$B$2:$B$3000,$A64)&gt;0,SUMIFS('Pending Putaway'!$L$2:$L$3000,'Pending Putaway'!$A$2:$A$3000,$K$2,'Pending Putaway'!$B$2:$B$3000,$A64),IF(COUNTIFS('Pending Putaway'!$A$2:$A$3000,$K$2,'Pending Putaway'!$B$2:$B$3000,SUBSTITUTE($A64," SS","  SS"))&gt;0,SUMIFS('Pending Putaway'!$L$2:$L$3000,'Pending Putaway'!$A$2:$A$3000,$K$2,'Pending Putaway'!$B$2:$B$3000,SUBSTITUTE($A64," SS","  SS")),"NA"))</f>
        <v>0</v>
      </c>
      <c r="K64" s="23"/>
      <c r="L64" s="23"/>
      <c r="M64" s="23"/>
      <c r="N64" s="23"/>
      <c r="O64" s="23"/>
      <c r="P64" s="23"/>
      <c r="Q64" s="23"/>
      <c r="R64" s="23"/>
      <c r="S64" s="23"/>
      <c r="T64" s="23"/>
      <c r="U64" s="23"/>
      <c r="V64" s="23"/>
      <c r="W64" s="23"/>
      <c r="X64" s="23"/>
      <c r="Y64" s="23"/>
      <c r="Z64" s="23"/>
      <c r="AA64" s="23"/>
      <c r="AB64" s="23"/>
      <c r="AC64" s="23"/>
      <c r="AD64" s="23"/>
      <c r="AE64" s="23"/>
      <c r="AF64" s="23"/>
      <c r="AG64" s="23"/>
      <c r="AH64" s="23"/>
    </row>
    <row r="65" customFormat="false" ht="15.75" hidden="false" customHeight="true" outlineLevel="0" collapsed="false">
      <c r="A65" s="81" t="s">
        <v>513</v>
      </c>
      <c r="B65" s="81" t="str">
        <f aca="false" t="array" ref="B65:B65">IFERROR(INDEX('CLM &amp; IM Mapping'!$B$2:$B$270,MATCH($A65,'CLM &amp; IM Mapping'!$A$2:$A$270,0)),"Not Mapped")</f>
        <v>Manoj Kj</v>
      </c>
      <c r="C65" s="81" t="str">
        <f aca="false" t="array" ref="C65:C65">IFERROR(INDEX('CLM &amp; IM Mapping'!$C$2:$C$270,MATCH($A65,'CLM &amp; IM Mapping'!$A$2:$A$270,0)),"Not Mapped")</f>
        <v>Srittam Dhal</v>
      </c>
      <c r="D65" s="82" t="n">
        <f aca="false">IF(COUNTIFS(Shrinkage!$A$2:$A$3000,$K$2,Shrinkage!$D$2:$D$3000,$A65)&gt;0,SUMIFS(Shrinkage!$P$2:$P$3000,Shrinkage!$A$2:$A$3000,$K$2,Shrinkage!$D$2:$D$3000,$A65),IF(COUNTIFS(Shrinkage!$A$2:$A$3000,$K$2,Shrinkage!$D$2:$D$3000,SUBSTITUTE($A65," SS","  SS"))&gt;0,SUMIFS(Shrinkage!$P$2:$P$3000,Shrinkage!$A$2:$A$3000,$K$2,Shrinkage!$D$2:$D$3000,SUBSTITUTE($A65," SS","  SS")),"NA"))</f>
        <v>-33151</v>
      </c>
      <c r="E65" s="83" t="n">
        <f aca="false">IF(COUNTIFS('Inventory Hygiene'!$A$2:$A$3000,$K$2,'Inventory Hygiene'!$B$2:$B$3000,$A65)&gt;0,AVERAGEIFS('Inventory Hygiene'!$J$2:$J$3000,'Inventory Hygiene'!$A$2:$A$3000,$K$2,'Inventory Hygiene'!$B$2:$B$3000,$A65),IF(COUNTIFS('Inventory Hygiene'!$A$2:$A$3000,$K$2,'Inventory Hygiene'!$B$2:$B$3000,SUBSTITUTE($A65," SS","  SS"))&gt;0,AVERAGEIFS('Inventory Hygiene'!$J$2:$J$3000,'Inventory Hygiene'!$A$2:$A$3000,$K$2,'Inventory Hygiene'!$B$2:$B$3000,SUBSTITUTE($A65," SS","  SS")),"NA"))</f>
        <v>0.972568578553616</v>
      </c>
      <c r="F65" s="81" t="n">
        <f aca="false">IF(COUNTIFS('Bad Bins'!$A$2:$A$3000,$K$2,'Bad Bins'!$B$2:$B$3000,$A65)&gt;0,SUMIFS('Bad Bins'!$K$2:$K$3000,'Bad Bins'!$A$2:$A$3000,$K$2,'Bad Bins'!$B$2:$B$3000,$A65),IF(COUNTIFS('Bad Bins'!$A$2:$A$3000,$K$2,'Bad Bins'!$B$2:$B$3000,SUBSTITUTE($A65," SS","  SS"))&gt;0,SUMIFS('Bad Bins'!$K$2:$K$3000,'Bad Bins'!$A$2:$A$3000,$K$2,'Bad Bins'!$B$2:$B$3000,SUBSTITUTE($A65," SS","  SS")),"NA"))</f>
        <v>44</v>
      </c>
      <c r="G65" s="81" t="str">
        <f aca="false">IF(COUNTIFS('RSTO &gt; 48hrs'!$A$2:$A$3000,$K$2,'RSTO &gt; 48hrs'!$B$2:$B$3000,$A65)&gt;0,SUMIFS('RSTO &gt; 48hrs'!$H$2:$H$3000,'RSTO &gt; 48hrs'!$A$2:$A$3000,$K$2,'RSTO &gt; 48hrs'!$B$2:$B$3000,$A65),IF(COUNTIFS('RSTO &gt; 48hrs'!$A$2:$A$3000,$K$2,'RSTO &gt; 48hrs'!$B$2:$B$3000,SUBSTITUTE($A65," SS","  SS"))&gt;0,SUMIFS('RSTO &gt; 48hrs'!$H$2:$H$3000,'RSTO &gt; 48hrs'!$A$2:$A$3000,$K$2,'RSTO &gt; 48hrs'!$B$2:$B$3000,SUBSTITUTE($A65," SS","  SS")),"NA"))</f>
        <v>NA</v>
      </c>
      <c r="H65" s="81" t="str">
        <f aca="false">IF(COUNTIFS('Recirculation &gt; 24 hrs'!$A$2:$A$3000,$K$2,'Recirculation &gt; 24 hrs'!$B$2:$B$3000,$A65)&gt;0,SUMIFS('Recirculation &gt; 24 hrs'!$K$2:$K$3000,'Recirculation &gt; 24 hrs'!$A$2:$A$3000,$K$2,'Recirculation &gt; 24 hrs'!$B$2:$B$3000,$A65),IF(COUNTIFS('Recirculation &gt; 24 hrs'!$A$2:$A$3000,$K$2,'Recirculation &gt; 24 hrs'!$B$2:$B$3000,SUBSTITUTE($A65," SS","  SS"))&gt;0,SUMIFS('Recirculation &gt; 24 hrs'!$K$2:$K$3000,'Recirculation &gt; 24 hrs'!$A$2:$A$3000,$K$2,'Recirculation &gt; 24 hrs'!$B$2:$B$3000,SUBSTITUTE($A65," SS","  SS")),"NA"))</f>
        <v>NA</v>
      </c>
      <c r="I65" s="81" t="n">
        <f aca="false">IF(COUNTIFS('Pending Putaway'!$A$2:$A$3000,$K$2,'Pending Putaway'!$B$2:$B$3000,$A65)&gt;0,SUMIFS('Pending Putaway'!$E$2:$E$3000,'Pending Putaway'!$A$2:$A$3000,$K$2,'Pending Putaway'!$B$2:$B$3000,$A65),IF(COUNTIFS('Pending Putaway'!$A$2:$A$3000,$K$2,'Pending Putaway'!$B$2:$B$3000,SUBSTITUTE($A65," SS","  SS"))&gt;0,SUMIFS('Pending Putaway'!$E$2:$E$3000,'Pending Putaway'!$A$2:$A$3000,$K$2,'Pending Putaway'!$B$2:$B$3000,SUBSTITUTE($A65," SS","  SS")),"NA"))</f>
        <v>0</v>
      </c>
      <c r="J65" s="81" t="n">
        <f aca="false">IF(COUNTIFS('Pending Putaway'!$A$2:$A$3000,$K$2,'Pending Putaway'!$B$2:$B$3000,$A65)&gt;0,SUMIFS('Pending Putaway'!$L$2:$L$3000,'Pending Putaway'!$A$2:$A$3000,$K$2,'Pending Putaway'!$B$2:$B$3000,$A65),IF(COUNTIFS('Pending Putaway'!$A$2:$A$3000,$K$2,'Pending Putaway'!$B$2:$B$3000,SUBSTITUTE($A65," SS","  SS"))&gt;0,SUMIFS('Pending Putaway'!$L$2:$L$3000,'Pending Putaway'!$A$2:$A$3000,$K$2,'Pending Putaway'!$B$2:$B$3000,SUBSTITUTE($A65," SS","  SS")),"NA"))</f>
        <v>0</v>
      </c>
      <c r="K65" s="23"/>
      <c r="L65" s="23"/>
      <c r="M65" s="23"/>
      <c r="N65" s="23"/>
      <c r="O65" s="23"/>
      <c r="P65" s="23"/>
      <c r="Q65" s="23"/>
      <c r="R65" s="23"/>
      <c r="S65" s="23"/>
      <c r="T65" s="23"/>
      <c r="U65" s="23"/>
      <c r="V65" s="23"/>
      <c r="W65" s="23"/>
      <c r="X65" s="23"/>
      <c r="Y65" s="23"/>
      <c r="Z65" s="23"/>
      <c r="AA65" s="23"/>
      <c r="AB65" s="23"/>
      <c r="AC65" s="23"/>
      <c r="AD65" s="23"/>
      <c r="AE65" s="23"/>
      <c r="AF65" s="23"/>
      <c r="AG65" s="23"/>
      <c r="AH65" s="23"/>
    </row>
    <row r="66" customFormat="false" ht="15.75" hidden="false" customHeight="true" outlineLevel="0" collapsed="false">
      <c r="A66" s="81" t="s">
        <v>226</v>
      </c>
      <c r="B66" s="81" t="str">
        <f aca="false" t="array" ref="B66:B66">IFERROR(INDEX('CLM &amp; IM Mapping'!$B$2:$B$270,MATCH($A66,'CLM &amp; IM Mapping'!$A$2:$A$270,0)),"Not Mapped")</f>
        <v>Manoj Kj</v>
      </c>
      <c r="C66" s="81" t="str">
        <f aca="false" t="array" ref="C66:C66">IFERROR(INDEX('CLM &amp; IM Mapping'!$C$2:$C$270,MATCH($A66,'CLM &amp; IM Mapping'!$A$2:$A$270,0)),"Not Mapped")</f>
        <v>Srittam Dhal</v>
      </c>
      <c r="D66" s="82" t="n">
        <f aca="false">IF(COUNTIFS(Shrinkage!$A$2:$A$3000,$K$2,Shrinkage!$D$2:$D$3000,$A66)&gt;0,SUMIFS(Shrinkage!$P$2:$P$3000,Shrinkage!$A$2:$A$3000,$K$2,Shrinkage!$D$2:$D$3000,$A66),IF(COUNTIFS(Shrinkage!$A$2:$A$3000,$K$2,Shrinkage!$D$2:$D$3000,SUBSTITUTE($A66," SS","  SS"))&gt;0,SUMIFS(Shrinkage!$P$2:$P$3000,Shrinkage!$A$2:$A$3000,$K$2,Shrinkage!$D$2:$D$3000,SUBSTITUTE($A66," SS","  SS")),"NA"))</f>
        <v>16462</v>
      </c>
      <c r="E66" s="83" t="n">
        <f aca="false">IF(COUNTIFS('Inventory Hygiene'!$A$2:$A$3000,$K$2,'Inventory Hygiene'!$B$2:$B$3000,$A66)&gt;0,AVERAGEIFS('Inventory Hygiene'!$J$2:$J$3000,'Inventory Hygiene'!$A$2:$A$3000,$K$2,'Inventory Hygiene'!$B$2:$B$3000,$A66),IF(COUNTIFS('Inventory Hygiene'!$A$2:$A$3000,$K$2,'Inventory Hygiene'!$B$2:$B$3000,SUBSTITUTE($A66," SS","  SS"))&gt;0,AVERAGEIFS('Inventory Hygiene'!$J$2:$J$3000,'Inventory Hygiene'!$A$2:$A$3000,$K$2,'Inventory Hygiene'!$B$2:$B$3000,SUBSTITUTE($A66," SS","  SS")),"NA"))</f>
        <v>0.0129127467256964</v>
      </c>
      <c r="F66" s="81" t="n">
        <f aca="false">IF(COUNTIFS('Bad Bins'!$A$2:$A$3000,$K$2,'Bad Bins'!$B$2:$B$3000,$A66)&gt;0,SUMIFS('Bad Bins'!$K$2:$K$3000,'Bad Bins'!$A$2:$A$3000,$K$2,'Bad Bins'!$B$2:$B$3000,$A66),IF(COUNTIFS('Bad Bins'!$A$2:$A$3000,$K$2,'Bad Bins'!$B$2:$B$3000,SUBSTITUTE($A66," SS","  SS"))&gt;0,SUMIFS('Bad Bins'!$K$2:$K$3000,'Bad Bins'!$A$2:$A$3000,$K$2,'Bad Bins'!$B$2:$B$3000,SUBSTITUTE($A66," SS","  SS")),"NA"))</f>
        <v>79</v>
      </c>
      <c r="G66" s="81" t="str">
        <f aca="false">IF(COUNTIFS('RSTO &gt; 48hrs'!$A$2:$A$3000,$K$2,'RSTO &gt; 48hrs'!$B$2:$B$3000,$A66)&gt;0,SUMIFS('RSTO &gt; 48hrs'!$H$2:$H$3000,'RSTO &gt; 48hrs'!$A$2:$A$3000,$K$2,'RSTO &gt; 48hrs'!$B$2:$B$3000,$A66),IF(COUNTIFS('RSTO &gt; 48hrs'!$A$2:$A$3000,$K$2,'RSTO &gt; 48hrs'!$B$2:$B$3000,SUBSTITUTE($A66," SS","  SS"))&gt;0,SUMIFS('RSTO &gt; 48hrs'!$H$2:$H$3000,'RSTO &gt; 48hrs'!$A$2:$A$3000,$K$2,'RSTO &gt; 48hrs'!$B$2:$B$3000,SUBSTITUTE($A66," SS","  SS")),"NA"))</f>
        <v>NA</v>
      </c>
      <c r="H66" s="81" t="n">
        <f aca="false">IF(COUNTIFS('Recirculation &gt; 24 hrs'!$A$2:$A$3000,$K$2,'Recirculation &gt; 24 hrs'!$B$2:$B$3000,$A66)&gt;0,SUMIFS('Recirculation &gt; 24 hrs'!$K$2:$K$3000,'Recirculation &gt; 24 hrs'!$A$2:$A$3000,$K$2,'Recirculation &gt; 24 hrs'!$B$2:$B$3000,$A66),IF(COUNTIFS('Recirculation &gt; 24 hrs'!$A$2:$A$3000,$K$2,'Recirculation &gt; 24 hrs'!$B$2:$B$3000,SUBSTITUTE($A66," SS","  SS"))&gt;0,SUMIFS('Recirculation &gt; 24 hrs'!$K$2:$K$3000,'Recirculation &gt; 24 hrs'!$A$2:$A$3000,$K$2,'Recirculation &gt; 24 hrs'!$B$2:$B$3000,SUBSTITUTE($A66," SS","  SS")),"NA"))</f>
        <v>1</v>
      </c>
      <c r="I66" s="81" t="n">
        <f aca="false">IF(COUNTIFS('Pending Putaway'!$A$2:$A$3000,$K$2,'Pending Putaway'!$B$2:$B$3000,$A66)&gt;0,SUMIFS('Pending Putaway'!$E$2:$E$3000,'Pending Putaway'!$A$2:$A$3000,$K$2,'Pending Putaway'!$B$2:$B$3000,$A66),IF(COUNTIFS('Pending Putaway'!$A$2:$A$3000,$K$2,'Pending Putaway'!$B$2:$B$3000,SUBSTITUTE($A66," SS","  SS"))&gt;0,SUMIFS('Pending Putaway'!$E$2:$E$3000,'Pending Putaway'!$A$2:$A$3000,$K$2,'Pending Putaway'!$B$2:$B$3000,SUBSTITUTE($A66," SS","  SS")),"NA"))</f>
        <v>0</v>
      </c>
      <c r="J66" s="81" t="n">
        <f aca="false">IF(COUNTIFS('Pending Putaway'!$A$2:$A$3000,$K$2,'Pending Putaway'!$B$2:$B$3000,$A66)&gt;0,SUMIFS('Pending Putaway'!$L$2:$L$3000,'Pending Putaway'!$A$2:$A$3000,$K$2,'Pending Putaway'!$B$2:$B$3000,$A66),IF(COUNTIFS('Pending Putaway'!$A$2:$A$3000,$K$2,'Pending Putaway'!$B$2:$B$3000,SUBSTITUTE($A66," SS","  SS"))&gt;0,SUMIFS('Pending Putaway'!$L$2:$L$3000,'Pending Putaway'!$A$2:$A$3000,$K$2,'Pending Putaway'!$B$2:$B$3000,SUBSTITUTE($A66," SS","  SS")),"NA"))</f>
        <v>0</v>
      </c>
      <c r="K66" s="23"/>
      <c r="L66" s="23"/>
      <c r="M66" s="23"/>
      <c r="N66" s="23"/>
      <c r="O66" s="23"/>
      <c r="P66" s="23"/>
      <c r="Q66" s="23"/>
      <c r="R66" s="23"/>
      <c r="S66" s="23"/>
      <c r="T66" s="23"/>
      <c r="U66" s="23"/>
      <c r="V66" s="23"/>
      <c r="W66" s="23"/>
      <c r="X66" s="23"/>
      <c r="Y66" s="23"/>
      <c r="Z66" s="23"/>
      <c r="AA66" s="23"/>
      <c r="AB66" s="23"/>
      <c r="AC66" s="23"/>
      <c r="AD66" s="23"/>
      <c r="AE66" s="23"/>
      <c r="AF66" s="23"/>
      <c r="AG66" s="23"/>
      <c r="AH66" s="23"/>
    </row>
    <row r="67" customFormat="false" ht="15.75" hidden="false" customHeight="true" outlineLevel="0" collapsed="false">
      <c r="A67" s="81" t="s">
        <v>294</v>
      </c>
      <c r="B67" s="81" t="str">
        <f aca="false" t="array" ref="B67:B67">IFERROR(INDEX('CLM &amp; IM Mapping'!$B$2:$B$270,MATCH($A67,'CLM &amp; IM Mapping'!$A$2:$A$270,0)),"Not Mapped")</f>
        <v>Manoj Kj</v>
      </c>
      <c r="C67" s="81" t="str">
        <f aca="false" t="array" ref="C67:C67">IFERROR(INDEX('CLM &amp; IM Mapping'!$C$2:$C$270,MATCH($A67,'CLM &amp; IM Mapping'!$A$2:$A$270,0)),"Not Mapped")</f>
        <v>Srittam Dhal</v>
      </c>
      <c r="D67" s="82" t="n">
        <f aca="false">IF(COUNTIFS(Shrinkage!$A$2:$A$3000,$K$2,Shrinkage!$D$2:$D$3000,$A67)&gt;0,SUMIFS(Shrinkage!$P$2:$P$3000,Shrinkage!$A$2:$A$3000,$K$2,Shrinkage!$D$2:$D$3000,$A67),IF(COUNTIFS(Shrinkage!$A$2:$A$3000,$K$2,Shrinkage!$D$2:$D$3000,SUBSTITUTE($A67," SS","  SS"))&gt;0,SUMIFS(Shrinkage!$P$2:$P$3000,Shrinkage!$A$2:$A$3000,$K$2,Shrinkage!$D$2:$D$3000,SUBSTITUTE($A67," SS","  SS")),"NA"))</f>
        <v>-13769</v>
      </c>
      <c r="E67" s="83" t="n">
        <f aca="false">IF(COUNTIFS('Inventory Hygiene'!$A$2:$A$3000,$K$2,'Inventory Hygiene'!$B$2:$B$3000,$A67)&gt;0,AVERAGEIFS('Inventory Hygiene'!$J$2:$J$3000,'Inventory Hygiene'!$A$2:$A$3000,$K$2,'Inventory Hygiene'!$B$2:$B$3000,$A67),IF(COUNTIFS('Inventory Hygiene'!$A$2:$A$3000,$K$2,'Inventory Hygiene'!$B$2:$B$3000,SUBSTITUTE($A67," SS","  SS"))&gt;0,AVERAGEIFS('Inventory Hygiene'!$J$2:$J$3000,'Inventory Hygiene'!$A$2:$A$3000,$K$2,'Inventory Hygiene'!$B$2:$B$3000,SUBSTITUTE($A67," SS","  SS")),"NA"))</f>
        <v>0.987648221343874</v>
      </c>
      <c r="F67" s="81" t="n">
        <f aca="false">IF(COUNTIFS('Bad Bins'!$A$2:$A$3000,$K$2,'Bad Bins'!$B$2:$B$3000,$A67)&gt;0,SUMIFS('Bad Bins'!$K$2:$K$3000,'Bad Bins'!$A$2:$A$3000,$K$2,'Bad Bins'!$B$2:$B$3000,$A67),IF(COUNTIFS('Bad Bins'!$A$2:$A$3000,$K$2,'Bad Bins'!$B$2:$B$3000,SUBSTITUTE($A67," SS","  SS"))&gt;0,SUMIFS('Bad Bins'!$K$2:$K$3000,'Bad Bins'!$A$2:$A$3000,$K$2,'Bad Bins'!$B$2:$B$3000,SUBSTITUTE($A67," SS","  SS")),"NA"))</f>
        <v>155</v>
      </c>
      <c r="G67" s="81" t="str">
        <f aca="false">IF(COUNTIFS('RSTO &gt; 48hrs'!$A$2:$A$3000,$K$2,'RSTO &gt; 48hrs'!$B$2:$B$3000,$A67)&gt;0,SUMIFS('RSTO &gt; 48hrs'!$H$2:$H$3000,'RSTO &gt; 48hrs'!$A$2:$A$3000,$K$2,'RSTO &gt; 48hrs'!$B$2:$B$3000,$A67),IF(COUNTIFS('RSTO &gt; 48hrs'!$A$2:$A$3000,$K$2,'RSTO &gt; 48hrs'!$B$2:$B$3000,SUBSTITUTE($A67," SS","  SS"))&gt;0,SUMIFS('RSTO &gt; 48hrs'!$H$2:$H$3000,'RSTO &gt; 48hrs'!$A$2:$A$3000,$K$2,'RSTO &gt; 48hrs'!$B$2:$B$3000,SUBSTITUTE($A67," SS","  SS")),"NA"))</f>
        <v>NA</v>
      </c>
      <c r="H67" s="81" t="str">
        <f aca="false">IF(COUNTIFS('Recirculation &gt; 24 hrs'!$A$2:$A$3000,$K$2,'Recirculation &gt; 24 hrs'!$B$2:$B$3000,$A67)&gt;0,SUMIFS('Recirculation &gt; 24 hrs'!$K$2:$K$3000,'Recirculation &gt; 24 hrs'!$A$2:$A$3000,$K$2,'Recirculation &gt; 24 hrs'!$B$2:$B$3000,$A67),IF(COUNTIFS('Recirculation &gt; 24 hrs'!$A$2:$A$3000,$K$2,'Recirculation &gt; 24 hrs'!$B$2:$B$3000,SUBSTITUTE($A67," SS","  SS"))&gt;0,SUMIFS('Recirculation &gt; 24 hrs'!$K$2:$K$3000,'Recirculation &gt; 24 hrs'!$A$2:$A$3000,$K$2,'Recirculation &gt; 24 hrs'!$B$2:$B$3000,SUBSTITUTE($A67," SS","  SS")),"NA"))</f>
        <v>NA</v>
      </c>
      <c r="I67" s="81" t="n">
        <f aca="false">IF(COUNTIFS('Pending Putaway'!$A$2:$A$3000,$K$2,'Pending Putaway'!$B$2:$B$3000,$A67)&gt;0,SUMIFS('Pending Putaway'!$E$2:$E$3000,'Pending Putaway'!$A$2:$A$3000,$K$2,'Pending Putaway'!$B$2:$B$3000,$A67),IF(COUNTIFS('Pending Putaway'!$A$2:$A$3000,$K$2,'Pending Putaway'!$B$2:$B$3000,SUBSTITUTE($A67," SS","  SS"))&gt;0,SUMIFS('Pending Putaway'!$E$2:$E$3000,'Pending Putaway'!$A$2:$A$3000,$K$2,'Pending Putaway'!$B$2:$B$3000,SUBSTITUTE($A67," SS","  SS")),"NA"))</f>
        <v>1841</v>
      </c>
      <c r="J67" s="81" t="n">
        <f aca="false">IF(COUNTIFS('Pending Putaway'!$A$2:$A$3000,$K$2,'Pending Putaway'!$B$2:$B$3000,$A67)&gt;0,SUMIFS('Pending Putaway'!$L$2:$L$3000,'Pending Putaway'!$A$2:$A$3000,$K$2,'Pending Putaway'!$B$2:$B$3000,$A67),IF(COUNTIFS('Pending Putaway'!$A$2:$A$3000,$K$2,'Pending Putaway'!$B$2:$B$3000,SUBSTITUTE($A67," SS","  SS"))&gt;0,SUMIFS('Pending Putaway'!$L$2:$L$3000,'Pending Putaway'!$A$2:$A$3000,$K$2,'Pending Putaway'!$B$2:$B$3000,SUBSTITUTE($A67," SS","  SS")),"NA"))</f>
        <v>0</v>
      </c>
      <c r="K67" s="23"/>
      <c r="L67" s="23"/>
      <c r="M67" s="23"/>
      <c r="N67" s="23"/>
      <c r="O67" s="23"/>
      <c r="P67" s="23"/>
      <c r="Q67" s="23"/>
      <c r="R67" s="23"/>
      <c r="S67" s="23"/>
      <c r="T67" s="23"/>
      <c r="U67" s="23"/>
      <c r="V67" s="23"/>
      <c r="W67" s="23"/>
      <c r="X67" s="23"/>
      <c r="Y67" s="23"/>
      <c r="Z67" s="23"/>
      <c r="AA67" s="23"/>
      <c r="AB67" s="23"/>
      <c r="AC67" s="23"/>
      <c r="AD67" s="23"/>
      <c r="AE67" s="23"/>
      <c r="AF67" s="23"/>
      <c r="AG67" s="23"/>
      <c r="AH67" s="23"/>
    </row>
    <row r="68" customFormat="false" ht="15.75" hidden="false" customHeight="true" outlineLevel="0" collapsed="false">
      <c r="A68" s="81" t="s">
        <v>312</v>
      </c>
      <c r="B68" s="81" t="str">
        <f aca="false" t="array" ref="B68:B68">IFERROR(INDEX('CLM &amp; IM Mapping'!$B$2:$B$270,MATCH($A68,'CLM &amp; IM Mapping'!$A$2:$A$270,0)),"Not Mapped")</f>
        <v>Manoj Kj</v>
      </c>
      <c r="C68" s="81" t="str">
        <f aca="false" t="array" ref="C68:C68">IFERROR(INDEX('CLM &amp; IM Mapping'!$C$2:$C$270,MATCH($A68,'CLM &amp; IM Mapping'!$A$2:$A$270,0)),"Not Mapped")</f>
        <v>Srittam Dhal</v>
      </c>
      <c r="D68" s="82" t="n">
        <f aca="false">IF(COUNTIFS(Shrinkage!$A$2:$A$3000,$K$2,Shrinkage!$D$2:$D$3000,$A68)&gt;0,SUMIFS(Shrinkage!$P$2:$P$3000,Shrinkage!$A$2:$A$3000,$K$2,Shrinkage!$D$2:$D$3000,$A68),IF(COUNTIFS(Shrinkage!$A$2:$A$3000,$K$2,Shrinkage!$D$2:$D$3000,SUBSTITUTE($A68," SS","  SS"))&gt;0,SUMIFS(Shrinkage!$P$2:$P$3000,Shrinkage!$A$2:$A$3000,$K$2,Shrinkage!$D$2:$D$3000,SUBSTITUTE($A68," SS","  SS")),"NA"))</f>
        <v>8577</v>
      </c>
      <c r="E68" s="83" t="n">
        <f aca="false">IF(COUNTIFS('Inventory Hygiene'!$A$2:$A$3000,$K$2,'Inventory Hygiene'!$B$2:$B$3000,$A68)&gt;0,AVERAGEIFS('Inventory Hygiene'!$J$2:$J$3000,'Inventory Hygiene'!$A$2:$A$3000,$K$2,'Inventory Hygiene'!$B$2:$B$3000,$A68),IF(COUNTIFS('Inventory Hygiene'!$A$2:$A$3000,$K$2,'Inventory Hygiene'!$B$2:$B$3000,SUBSTITUTE($A68," SS","  SS"))&gt;0,AVERAGEIFS('Inventory Hygiene'!$J$2:$J$3000,'Inventory Hygiene'!$A$2:$A$3000,$K$2,'Inventory Hygiene'!$B$2:$B$3000,SUBSTITUTE($A68," SS","  SS")),"NA"))</f>
        <v>0.881902458686014</v>
      </c>
      <c r="F68" s="81" t="n">
        <f aca="false">IF(COUNTIFS('Bad Bins'!$A$2:$A$3000,$K$2,'Bad Bins'!$B$2:$B$3000,$A68)&gt;0,SUMIFS('Bad Bins'!$K$2:$K$3000,'Bad Bins'!$A$2:$A$3000,$K$2,'Bad Bins'!$B$2:$B$3000,$A68),IF(COUNTIFS('Bad Bins'!$A$2:$A$3000,$K$2,'Bad Bins'!$B$2:$B$3000,SUBSTITUTE($A68," SS","  SS"))&gt;0,SUMIFS('Bad Bins'!$K$2:$K$3000,'Bad Bins'!$A$2:$A$3000,$K$2,'Bad Bins'!$B$2:$B$3000,SUBSTITUTE($A68," SS","  SS")),"NA"))</f>
        <v>90</v>
      </c>
      <c r="G68" s="81" t="str">
        <f aca="false">IF(COUNTIFS('RSTO &gt; 48hrs'!$A$2:$A$3000,$K$2,'RSTO &gt; 48hrs'!$B$2:$B$3000,$A68)&gt;0,SUMIFS('RSTO &gt; 48hrs'!$H$2:$H$3000,'RSTO &gt; 48hrs'!$A$2:$A$3000,$K$2,'RSTO &gt; 48hrs'!$B$2:$B$3000,$A68),IF(COUNTIFS('RSTO &gt; 48hrs'!$A$2:$A$3000,$K$2,'RSTO &gt; 48hrs'!$B$2:$B$3000,SUBSTITUTE($A68," SS","  SS"))&gt;0,SUMIFS('RSTO &gt; 48hrs'!$H$2:$H$3000,'RSTO &gt; 48hrs'!$A$2:$A$3000,$K$2,'RSTO &gt; 48hrs'!$B$2:$B$3000,SUBSTITUTE($A68," SS","  SS")),"NA"))</f>
        <v>NA</v>
      </c>
      <c r="H68" s="81" t="n">
        <f aca="false">IF(COUNTIFS('Recirculation &gt; 24 hrs'!$A$2:$A$3000,$K$2,'Recirculation &gt; 24 hrs'!$B$2:$B$3000,$A68)&gt;0,SUMIFS('Recirculation &gt; 24 hrs'!$K$2:$K$3000,'Recirculation &gt; 24 hrs'!$A$2:$A$3000,$K$2,'Recirculation &gt; 24 hrs'!$B$2:$B$3000,$A68),IF(COUNTIFS('Recirculation &gt; 24 hrs'!$A$2:$A$3000,$K$2,'Recirculation &gt; 24 hrs'!$B$2:$B$3000,SUBSTITUTE($A68," SS","  SS"))&gt;0,SUMIFS('Recirculation &gt; 24 hrs'!$K$2:$K$3000,'Recirculation &gt; 24 hrs'!$A$2:$A$3000,$K$2,'Recirculation &gt; 24 hrs'!$B$2:$B$3000,SUBSTITUTE($A68," SS","  SS")),"NA"))</f>
        <v>785</v>
      </c>
      <c r="I68" s="81" t="n">
        <f aca="false">IF(COUNTIFS('Pending Putaway'!$A$2:$A$3000,$K$2,'Pending Putaway'!$B$2:$B$3000,$A68)&gt;0,SUMIFS('Pending Putaway'!$E$2:$E$3000,'Pending Putaway'!$A$2:$A$3000,$K$2,'Pending Putaway'!$B$2:$B$3000,$A68),IF(COUNTIFS('Pending Putaway'!$A$2:$A$3000,$K$2,'Pending Putaway'!$B$2:$B$3000,SUBSTITUTE($A68," SS","  SS"))&gt;0,SUMIFS('Pending Putaway'!$E$2:$E$3000,'Pending Putaway'!$A$2:$A$3000,$K$2,'Pending Putaway'!$B$2:$B$3000,SUBSTITUTE($A68," SS","  SS")),"NA"))</f>
        <v>0</v>
      </c>
      <c r="J68" s="81" t="n">
        <f aca="false">IF(COUNTIFS('Pending Putaway'!$A$2:$A$3000,$K$2,'Pending Putaway'!$B$2:$B$3000,$A68)&gt;0,SUMIFS('Pending Putaway'!$L$2:$L$3000,'Pending Putaway'!$A$2:$A$3000,$K$2,'Pending Putaway'!$B$2:$B$3000,$A68),IF(COUNTIFS('Pending Putaway'!$A$2:$A$3000,$K$2,'Pending Putaway'!$B$2:$B$3000,SUBSTITUTE($A68," SS","  SS"))&gt;0,SUMIFS('Pending Putaway'!$L$2:$L$3000,'Pending Putaway'!$A$2:$A$3000,$K$2,'Pending Putaway'!$B$2:$B$3000,SUBSTITUTE($A68," SS","  SS")),"NA"))</f>
        <v>0</v>
      </c>
      <c r="K68" s="23"/>
      <c r="L68" s="23"/>
      <c r="M68" s="23"/>
      <c r="N68" s="23"/>
      <c r="O68" s="23"/>
      <c r="P68" s="23"/>
      <c r="Q68" s="23"/>
      <c r="R68" s="23"/>
      <c r="S68" s="23"/>
      <c r="T68" s="23"/>
      <c r="U68" s="23"/>
      <c r="V68" s="23"/>
      <c r="W68" s="23"/>
      <c r="X68" s="23"/>
      <c r="Y68" s="23"/>
      <c r="Z68" s="23"/>
      <c r="AA68" s="23"/>
      <c r="AB68" s="23"/>
      <c r="AC68" s="23"/>
      <c r="AD68" s="23"/>
      <c r="AE68" s="23"/>
      <c r="AF68" s="23"/>
      <c r="AG68" s="23"/>
      <c r="AH68" s="23"/>
    </row>
    <row r="69" customFormat="false" ht="15.75" hidden="false" customHeight="true" outlineLevel="0" collapsed="false">
      <c r="A69" s="81" t="s">
        <v>33</v>
      </c>
      <c r="B69" s="81" t="str">
        <f aca="false" t="array" ref="B69:B69">IFERROR(INDEX('CLM &amp; IM Mapping'!$B$2:$B$270,MATCH($A69,'CLM &amp; IM Mapping'!$A$2:$A$270,0)),"Not Mapped")</f>
        <v>Manoj Kj</v>
      </c>
      <c r="C69" s="81" t="str">
        <f aca="false" t="array" ref="C69:C69">IFERROR(INDEX('CLM &amp; IM Mapping'!$C$2:$C$270,MATCH($A69,'CLM &amp; IM Mapping'!$A$2:$A$270,0)),"Not Mapped")</f>
        <v>Srittam Dhal</v>
      </c>
      <c r="D69" s="82" t="n">
        <f aca="false">IF(COUNTIFS(Shrinkage!$A$2:$A$3000,$K$2,Shrinkage!$D$2:$D$3000,$A69)&gt;0,SUMIFS(Shrinkage!$P$2:$P$3000,Shrinkage!$A$2:$A$3000,$K$2,Shrinkage!$D$2:$D$3000,$A69),IF(COUNTIFS(Shrinkage!$A$2:$A$3000,$K$2,Shrinkage!$D$2:$D$3000,SUBSTITUTE($A69," SS","  SS"))&gt;0,SUMIFS(Shrinkage!$P$2:$P$3000,Shrinkage!$A$2:$A$3000,$K$2,Shrinkage!$D$2:$D$3000,SUBSTITUTE($A69," SS","  SS")),"NA"))</f>
        <v>131898</v>
      </c>
      <c r="E69" s="83" t="str">
        <f aca="false">IF(COUNTIFS('Inventory Hygiene'!$A$2:$A$3000,$K$2,'Inventory Hygiene'!$B$2:$B$3000,$A69)&gt;0,AVERAGEIFS('Inventory Hygiene'!$J$2:$J$3000,'Inventory Hygiene'!$A$2:$A$3000,$K$2,'Inventory Hygiene'!$B$2:$B$3000,$A69),IF(COUNTIFS('Inventory Hygiene'!$A$2:$A$3000,$K$2,'Inventory Hygiene'!$B$2:$B$3000,SUBSTITUTE($A69," SS","  SS"))&gt;0,AVERAGEIFS('Inventory Hygiene'!$J$2:$J$3000,'Inventory Hygiene'!$A$2:$A$3000,$K$2,'Inventory Hygiene'!$B$2:$B$3000,SUBSTITUTE($A69," SS","  SS")),"NA"))</f>
        <v>NA</v>
      </c>
      <c r="F69" s="81" t="str">
        <f aca="false">IF(COUNTIFS('Bad Bins'!$A$2:$A$3000,$K$2,'Bad Bins'!$B$2:$B$3000,$A69)&gt;0,SUMIFS('Bad Bins'!$K$2:$K$3000,'Bad Bins'!$A$2:$A$3000,$K$2,'Bad Bins'!$B$2:$B$3000,$A69),IF(COUNTIFS('Bad Bins'!$A$2:$A$3000,$K$2,'Bad Bins'!$B$2:$B$3000,SUBSTITUTE($A69," SS","  SS"))&gt;0,SUMIFS('Bad Bins'!$K$2:$K$3000,'Bad Bins'!$A$2:$A$3000,$K$2,'Bad Bins'!$B$2:$B$3000,SUBSTITUTE($A69," SS","  SS")),"NA"))</f>
        <v>NA</v>
      </c>
      <c r="G69" s="81" t="str">
        <f aca="false">IF(COUNTIFS('RSTO &gt; 48hrs'!$A$2:$A$3000,$K$2,'RSTO &gt; 48hrs'!$B$2:$B$3000,$A69)&gt;0,SUMIFS('RSTO &gt; 48hrs'!$H$2:$H$3000,'RSTO &gt; 48hrs'!$A$2:$A$3000,$K$2,'RSTO &gt; 48hrs'!$B$2:$B$3000,$A69),IF(COUNTIFS('RSTO &gt; 48hrs'!$A$2:$A$3000,$K$2,'RSTO &gt; 48hrs'!$B$2:$B$3000,SUBSTITUTE($A69," SS","  SS"))&gt;0,SUMIFS('RSTO &gt; 48hrs'!$H$2:$H$3000,'RSTO &gt; 48hrs'!$A$2:$A$3000,$K$2,'RSTO &gt; 48hrs'!$B$2:$B$3000,SUBSTITUTE($A69," SS","  SS")),"NA"))</f>
        <v>NA</v>
      </c>
      <c r="H69" s="81" t="n">
        <f aca="false">IF(COUNTIFS('Recirculation &gt; 24 hrs'!$A$2:$A$3000,$K$2,'Recirculation &gt; 24 hrs'!$B$2:$B$3000,$A69)&gt;0,SUMIFS('Recirculation &gt; 24 hrs'!$K$2:$K$3000,'Recirculation &gt; 24 hrs'!$A$2:$A$3000,$K$2,'Recirculation &gt; 24 hrs'!$B$2:$B$3000,$A69),IF(COUNTIFS('Recirculation &gt; 24 hrs'!$A$2:$A$3000,$K$2,'Recirculation &gt; 24 hrs'!$B$2:$B$3000,SUBSTITUTE($A69," SS","  SS"))&gt;0,SUMIFS('Recirculation &gt; 24 hrs'!$K$2:$K$3000,'Recirculation &gt; 24 hrs'!$A$2:$A$3000,$K$2,'Recirculation &gt; 24 hrs'!$B$2:$B$3000,SUBSTITUTE($A69," SS","  SS")),"NA"))</f>
        <v>34</v>
      </c>
      <c r="I69" s="81" t="n">
        <f aca="false">IF(COUNTIFS('Pending Putaway'!$A$2:$A$3000,$K$2,'Pending Putaway'!$B$2:$B$3000,$A69)&gt;0,SUMIFS('Pending Putaway'!$E$2:$E$3000,'Pending Putaway'!$A$2:$A$3000,$K$2,'Pending Putaway'!$B$2:$B$3000,$A69),IF(COUNTIFS('Pending Putaway'!$A$2:$A$3000,$K$2,'Pending Putaway'!$B$2:$B$3000,SUBSTITUTE($A69," SS","  SS"))&gt;0,SUMIFS('Pending Putaway'!$E$2:$E$3000,'Pending Putaway'!$A$2:$A$3000,$K$2,'Pending Putaway'!$B$2:$B$3000,SUBSTITUTE($A69," SS","  SS")),"NA"))</f>
        <v>0</v>
      </c>
      <c r="J69" s="81" t="n">
        <f aca="false">IF(COUNTIFS('Pending Putaway'!$A$2:$A$3000,$K$2,'Pending Putaway'!$B$2:$B$3000,$A69)&gt;0,SUMIFS('Pending Putaway'!$L$2:$L$3000,'Pending Putaway'!$A$2:$A$3000,$K$2,'Pending Putaway'!$B$2:$B$3000,$A69),IF(COUNTIFS('Pending Putaway'!$A$2:$A$3000,$K$2,'Pending Putaway'!$B$2:$B$3000,SUBSTITUTE($A69," SS","  SS"))&gt;0,SUMIFS('Pending Putaway'!$L$2:$L$3000,'Pending Putaway'!$A$2:$A$3000,$K$2,'Pending Putaway'!$B$2:$B$3000,SUBSTITUTE($A69," SS","  SS")),"NA"))</f>
        <v>0</v>
      </c>
      <c r="K69" s="23"/>
      <c r="L69" s="23"/>
      <c r="M69" s="23"/>
      <c r="N69" s="23"/>
      <c r="O69" s="23"/>
      <c r="P69" s="23"/>
      <c r="Q69" s="23"/>
      <c r="R69" s="23"/>
      <c r="S69" s="23"/>
      <c r="T69" s="23"/>
      <c r="U69" s="23"/>
      <c r="V69" s="23"/>
      <c r="W69" s="23"/>
      <c r="X69" s="23"/>
      <c r="Y69" s="23"/>
      <c r="Z69" s="23"/>
      <c r="AA69" s="23"/>
      <c r="AB69" s="23"/>
      <c r="AC69" s="23"/>
      <c r="AD69" s="23"/>
      <c r="AE69" s="23"/>
      <c r="AF69" s="23"/>
      <c r="AG69" s="23"/>
      <c r="AH69" s="23"/>
    </row>
    <row r="70" customFormat="false" ht="15.75" hidden="false" customHeight="true" outlineLevel="0" collapsed="false">
      <c r="A70" s="81" t="s">
        <v>317</v>
      </c>
      <c r="B70" s="81" t="str">
        <f aca="false" t="array" ref="B70:B70">IFERROR(INDEX('CLM &amp; IM Mapping'!$B$2:$B$270,MATCH($A70,'CLM &amp; IM Mapping'!$A$2:$A$270,0)),"Not Mapped")</f>
        <v>Akshay P</v>
      </c>
      <c r="C70" s="81" t="str">
        <f aca="false" t="array" ref="C70:C70">IFERROR(INDEX('CLM &amp; IM Mapping'!$C$2:$C$270,MATCH($A70,'CLM &amp; IM Mapping'!$A$2:$A$270,0)),"Not Mapped")</f>
        <v>Srittam Dhal</v>
      </c>
      <c r="D70" s="82" t="n">
        <f aca="false">IF(COUNTIFS(Shrinkage!$A$2:$A$3000,$K$2,Shrinkage!$D$2:$D$3000,$A70)&gt;0,SUMIFS(Shrinkage!$P$2:$P$3000,Shrinkage!$A$2:$A$3000,$K$2,Shrinkage!$D$2:$D$3000,$A70),IF(COUNTIFS(Shrinkage!$A$2:$A$3000,$K$2,Shrinkage!$D$2:$D$3000,SUBSTITUTE($A70," SS","  SS"))&gt;0,SUMIFS(Shrinkage!$P$2:$P$3000,Shrinkage!$A$2:$A$3000,$K$2,Shrinkage!$D$2:$D$3000,SUBSTITUTE($A70," SS","  SS")),"NA"))</f>
        <v>-2056</v>
      </c>
      <c r="E70" s="83" t="n">
        <f aca="false">IF(COUNTIFS('Inventory Hygiene'!$A$2:$A$3000,$K$2,'Inventory Hygiene'!$B$2:$B$3000,$A70)&gt;0,AVERAGEIFS('Inventory Hygiene'!$J$2:$J$3000,'Inventory Hygiene'!$A$2:$A$3000,$K$2,'Inventory Hygiene'!$B$2:$B$3000,$A70),IF(COUNTIFS('Inventory Hygiene'!$A$2:$A$3000,$K$2,'Inventory Hygiene'!$B$2:$B$3000,SUBSTITUTE($A70," SS","  SS"))&gt;0,AVERAGEIFS('Inventory Hygiene'!$J$2:$J$3000,'Inventory Hygiene'!$A$2:$A$3000,$K$2,'Inventory Hygiene'!$B$2:$B$3000,SUBSTITUTE($A70," SS","  SS")),"NA"))</f>
        <v>0.970338182505196</v>
      </c>
      <c r="F70" s="81" t="n">
        <f aca="false">IF(COUNTIFS('Bad Bins'!$A$2:$A$3000,$K$2,'Bad Bins'!$B$2:$B$3000,$A70)&gt;0,SUMIFS('Bad Bins'!$K$2:$K$3000,'Bad Bins'!$A$2:$A$3000,$K$2,'Bad Bins'!$B$2:$B$3000,$A70),IF(COUNTIFS('Bad Bins'!$A$2:$A$3000,$K$2,'Bad Bins'!$B$2:$B$3000,SUBSTITUTE($A70," SS","  SS"))&gt;0,SUMIFS('Bad Bins'!$K$2:$K$3000,'Bad Bins'!$A$2:$A$3000,$K$2,'Bad Bins'!$B$2:$B$3000,SUBSTITUTE($A70," SS","  SS")),"NA"))</f>
        <v>125</v>
      </c>
      <c r="G70" s="81" t="str">
        <f aca="false">IF(COUNTIFS('RSTO &gt; 48hrs'!$A$2:$A$3000,$K$2,'RSTO &gt; 48hrs'!$B$2:$B$3000,$A70)&gt;0,SUMIFS('RSTO &gt; 48hrs'!$H$2:$H$3000,'RSTO &gt; 48hrs'!$A$2:$A$3000,$K$2,'RSTO &gt; 48hrs'!$B$2:$B$3000,$A70),IF(COUNTIFS('RSTO &gt; 48hrs'!$A$2:$A$3000,$K$2,'RSTO &gt; 48hrs'!$B$2:$B$3000,SUBSTITUTE($A70," SS","  SS"))&gt;0,SUMIFS('RSTO &gt; 48hrs'!$H$2:$H$3000,'RSTO &gt; 48hrs'!$A$2:$A$3000,$K$2,'RSTO &gt; 48hrs'!$B$2:$B$3000,SUBSTITUTE($A70," SS","  SS")),"NA"))</f>
        <v>NA</v>
      </c>
      <c r="H70" s="81" t="str">
        <f aca="false">IF(COUNTIFS('Recirculation &gt; 24 hrs'!$A$2:$A$3000,$K$2,'Recirculation &gt; 24 hrs'!$B$2:$B$3000,$A70)&gt;0,SUMIFS('Recirculation &gt; 24 hrs'!$K$2:$K$3000,'Recirculation &gt; 24 hrs'!$A$2:$A$3000,$K$2,'Recirculation &gt; 24 hrs'!$B$2:$B$3000,$A70),IF(COUNTIFS('Recirculation &gt; 24 hrs'!$A$2:$A$3000,$K$2,'Recirculation &gt; 24 hrs'!$B$2:$B$3000,SUBSTITUTE($A70," SS","  SS"))&gt;0,SUMIFS('Recirculation &gt; 24 hrs'!$K$2:$K$3000,'Recirculation &gt; 24 hrs'!$A$2:$A$3000,$K$2,'Recirculation &gt; 24 hrs'!$B$2:$B$3000,SUBSTITUTE($A70," SS","  SS")),"NA"))</f>
        <v>NA</v>
      </c>
      <c r="I70" s="81" t="n">
        <f aca="false">IF(COUNTIFS('Pending Putaway'!$A$2:$A$3000,$K$2,'Pending Putaway'!$B$2:$B$3000,$A70)&gt;0,SUMIFS('Pending Putaway'!$E$2:$E$3000,'Pending Putaway'!$A$2:$A$3000,$K$2,'Pending Putaway'!$B$2:$B$3000,$A70),IF(COUNTIFS('Pending Putaway'!$A$2:$A$3000,$K$2,'Pending Putaway'!$B$2:$B$3000,SUBSTITUTE($A70," SS","  SS"))&gt;0,SUMIFS('Pending Putaway'!$E$2:$E$3000,'Pending Putaway'!$A$2:$A$3000,$K$2,'Pending Putaway'!$B$2:$B$3000,SUBSTITUTE($A70," SS","  SS")),"NA"))</f>
        <v>2434</v>
      </c>
      <c r="J70" s="81" t="n">
        <f aca="false">IF(COUNTIFS('Pending Putaway'!$A$2:$A$3000,$K$2,'Pending Putaway'!$B$2:$B$3000,$A70)&gt;0,SUMIFS('Pending Putaway'!$L$2:$L$3000,'Pending Putaway'!$A$2:$A$3000,$K$2,'Pending Putaway'!$B$2:$B$3000,$A70),IF(COUNTIFS('Pending Putaway'!$A$2:$A$3000,$K$2,'Pending Putaway'!$B$2:$B$3000,SUBSTITUTE($A70," SS","  SS"))&gt;0,SUMIFS('Pending Putaway'!$L$2:$L$3000,'Pending Putaway'!$A$2:$A$3000,$K$2,'Pending Putaway'!$B$2:$B$3000,SUBSTITUTE($A70," SS","  SS")),"NA"))</f>
        <v>0</v>
      </c>
      <c r="K70" s="23"/>
      <c r="L70" s="23"/>
      <c r="M70" s="23"/>
      <c r="N70" s="23"/>
      <c r="O70" s="23"/>
      <c r="P70" s="23"/>
      <c r="Q70" s="23"/>
      <c r="R70" s="23"/>
      <c r="S70" s="23"/>
      <c r="T70" s="23"/>
      <c r="U70" s="23"/>
      <c r="V70" s="23"/>
      <c r="W70" s="23"/>
      <c r="X70" s="23"/>
      <c r="Y70" s="23"/>
      <c r="Z70" s="23"/>
      <c r="AA70" s="23"/>
      <c r="AB70" s="23"/>
      <c r="AC70" s="23"/>
      <c r="AD70" s="23"/>
      <c r="AE70" s="23"/>
      <c r="AF70" s="23"/>
      <c r="AG70" s="23"/>
      <c r="AH70" s="23"/>
    </row>
    <row r="71" customFormat="false" ht="15.75" hidden="false" customHeight="true" outlineLevel="0" collapsed="false">
      <c r="A71" s="81" t="s">
        <v>165</v>
      </c>
      <c r="B71" s="81" t="str">
        <f aca="false" t="array" ref="B71:B71">IFERROR(INDEX('CLM &amp; IM Mapping'!$B$2:$B$270,MATCH($A71,'CLM &amp; IM Mapping'!$A$2:$A$270,0)),"Not Mapped")</f>
        <v>Akshay P</v>
      </c>
      <c r="C71" s="81" t="str">
        <f aca="false" t="array" ref="C71:C71">IFERROR(INDEX('CLM &amp; IM Mapping'!$C$2:$C$270,MATCH($A71,'CLM &amp; IM Mapping'!$A$2:$A$270,0)),"Not Mapped")</f>
        <v>Srittam Dhal</v>
      </c>
      <c r="D71" s="82" t="n">
        <f aca="false">IF(COUNTIFS(Shrinkage!$A$2:$A$3000,$K$2,Shrinkage!$D$2:$D$3000,$A71)&gt;0,SUMIFS(Shrinkage!$P$2:$P$3000,Shrinkage!$A$2:$A$3000,$K$2,Shrinkage!$D$2:$D$3000,$A71),IF(COUNTIFS(Shrinkage!$A$2:$A$3000,$K$2,Shrinkage!$D$2:$D$3000,SUBSTITUTE($A71," SS","  SS"))&gt;0,SUMIFS(Shrinkage!$P$2:$P$3000,Shrinkage!$A$2:$A$3000,$K$2,Shrinkage!$D$2:$D$3000,SUBSTITUTE($A71," SS","  SS")),"NA"))</f>
        <v>6015</v>
      </c>
      <c r="E71" s="83" t="n">
        <f aca="false">IF(COUNTIFS('Inventory Hygiene'!$A$2:$A$3000,$K$2,'Inventory Hygiene'!$B$2:$B$3000,$A71)&gt;0,AVERAGEIFS('Inventory Hygiene'!$J$2:$J$3000,'Inventory Hygiene'!$A$2:$A$3000,$K$2,'Inventory Hygiene'!$B$2:$B$3000,$A71),IF(COUNTIFS('Inventory Hygiene'!$A$2:$A$3000,$K$2,'Inventory Hygiene'!$B$2:$B$3000,SUBSTITUTE($A71," SS","  SS"))&gt;0,AVERAGEIFS('Inventory Hygiene'!$J$2:$J$3000,'Inventory Hygiene'!$A$2:$A$3000,$K$2,'Inventory Hygiene'!$B$2:$B$3000,SUBSTITUTE($A71," SS","  SS")),"NA"))</f>
        <v>0.765755716675962</v>
      </c>
      <c r="F71" s="81" t="n">
        <f aca="false">IF(COUNTIFS('Bad Bins'!$A$2:$A$3000,$K$2,'Bad Bins'!$B$2:$B$3000,$A71)&gt;0,SUMIFS('Bad Bins'!$K$2:$K$3000,'Bad Bins'!$A$2:$A$3000,$K$2,'Bad Bins'!$B$2:$B$3000,$A71),IF(COUNTIFS('Bad Bins'!$A$2:$A$3000,$K$2,'Bad Bins'!$B$2:$B$3000,SUBSTITUTE($A71," SS","  SS"))&gt;0,SUMIFS('Bad Bins'!$K$2:$K$3000,'Bad Bins'!$A$2:$A$3000,$K$2,'Bad Bins'!$B$2:$B$3000,SUBSTITUTE($A71," SS","  SS")),"NA"))</f>
        <v>284</v>
      </c>
      <c r="G71" s="81" t="str">
        <f aca="false">IF(COUNTIFS('RSTO &gt; 48hrs'!$A$2:$A$3000,$K$2,'RSTO &gt; 48hrs'!$B$2:$B$3000,$A71)&gt;0,SUMIFS('RSTO &gt; 48hrs'!$H$2:$H$3000,'RSTO &gt; 48hrs'!$A$2:$A$3000,$K$2,'RSTO &gt; 48hrs'!$B$2:$B$3000,$A71),IF(COUNTIFS('RSTO &gt; 48hrs'!$A$2:$A$3000,$K$2,'RSTO &gt; 48hrs'!$B$2:$B$3000,SUBSTITUTE($A71," SS","  SS"))&gt;0,SUMIFS('RSTO &gt; 48hrs'!$H$2:$H$3000,'RSTO &gt; 48hrs'!$A$2:$A$3000,$K$2,'RSTO &gt; 48hrs'!$B$2:$B$3000,SUBSTITUTE($A71," SS","  SS")),"NA"))</f>
        <v>NA</v>
      </c>
      <c r="H71" s="81" t="n">
        <f aca="false">IF(COUNTIFS('Recirculation &gt; 24 hrs'!$A$2:$A$3000,$K$2,'Recirculation &gt; 24 hrs'!$B$2:$B$3000,$A71)&gt;0,SUMIFS('Recirculation &gt; 24 hrs'!$K$2:$K$3000,'Recirculation &gt; 24 hrs'!$A$2:$A$3000,$K$2,'Recirculation &gt; 24 hrs'!$B$2:$B$3000,$A71),IF(COUNTIFS('Recirculation &gt; 24 hrs'!$A$2:$A$3000,$K$2,'Recirculation &gt; 24 hrs'!$B$2:$B$3000,SUBSTITUTE($A71," SS","  SS"))&gt;0,SUMIFS('Recirculation &gt; 24 hrs'!$K$2:$K$3000,'Recirculation &gt; 24 hrs'!$A$2:$A$3000,$K$2,'Recirculation &gt; 24 hrs'!$B$2:$B$3000,SUBSTITUTE($A71," SS","  SS")),"NA"))</f>
        <v>67</v>
      </c>
      <c r="I71" s="81" t="n">
        <f aca="false">IF(COUNTIFS('Pending Putaway'!$A$2:$A$3000,$K$2,'Pending Putaway'!$B$2:$B$3000,$A71)&gt;0,SUMIFS('Pending Putaway'!$E$2:$E$3000,'Pending Putaway'!$A$2:$A$3000,$K$2,'Pending Putaway'!$B$2:$B$3000,$A71),IF(COUNTIFS('Pending Putaway'!$A$2:$A$3000,$K$2,'Pending Putaway'!$B$2:$B$3000,SUBSTITUTE($A71," SS","  SS"))&gt;0,SUMIFS('Pending Putaway'!$E$2:$E$3000,'Pending Putaway'!$A$2:$A$3000,$K$2,'Pending Putaway'!$B$2:$B$3000,SUBSTITUTE($A71," SS","  SS")),"NA"))</f>
        <v>4471</v>
      </c>
      <c r="J71" s="81" t="n">
        <f aca="false">IF(COUNTIFS('Pending Putaway'!$A$2:$A$3000,$K$2,'Pending Putaway'!$B$2:$B$3000,$A71)&gt;0,SUMIFS('Pending Putaway'!$L$2:$L$3000,'Pending Putaway'!$A$2:$A$3000,$K$2,'Pending Putaway'!$B$2:$B$3000,$A71),IF(COUNTIFS('Pending Putaway'!$A$2:$A$3000,$K$2,'Pending Putaway'!$B$2:$B$3000,SUBSTITUTE($A71," SS","  SS"))&gt;0,SUMIFS('Pending Putaway'!$L$2:$L$3000,'Pending Putaway'!$A$2:$A$3000,$K$2,'Pending Putaway'!$B$2:$B$3000,SUBSTITUTE($A71," SS","  SS")),"NA"))</f>
        <v>1562</v>
      </c>
      <c r="K71" s="23"/>
      <c r="L71" s="23"/>
      <c r="M71" s="23"/>
      <c r="N71" s="23"/>
      <c r="O71" s="23"/>
      <c r="P71" s="23"/>
      <c r="Q71" s="23"/>
      <c r="R71" s="23"/>
      <c r="S71" s="23"/>
      <c r="T71" s="23"/>
      <c r="U71" s="23"/>
      <c r="V71" s="23"/>
      <c r="W71" s="23"/>
      <c r="X71" s="23"/>
      <c r="Y71" s="23"/>
      <c r="Z71" s="23"/>
      <c r="AA71" s="23"/>
      <c r="AB71" s="23"/>
      <c r="AC71" s="23"/>
      <c r="AD71" s="23"/>
      <c r="AE71" s="23"/>
      <c r="AF71" s="23"/>
      <c r="AG71" s="23"/>
      <c r="AH71" s="23"/>
    </row>
    <row r="72" customFormat="false" ht="15.75" hidden="false" customHeight="true" outlineLevel="0" collapsed="false">
      <c r="A72" s="81" t="s">
        <v>290</v>
      </c>
      <c r="B72" s="81" t="str">
        <f aca="false" t="array" ref="B72:B72">IFERROR(INDEX('CLM &amp; IM Mapping'!$B$2:$B$270,MATCH($A72,'CLM &amp; IM Mapping'!$A$2:$A$270,0)),"Not Mapped")</f>
        <v>Akshay P</v>
      </c>
      <c r="C72" s="81" t="str">
        <f aca="false" t="array" ref="C72:C72">IFERROR(INDEX('CLM &amp; IM Mapping'!$C$2:$C$270,MATCH($A72,'CLM &amp; IM Mapping'!$A$2:$A$270,0)),"Not Mapped")</f>
        <v>Srittam Dhal</v>
      </c>
      <c r="D72" s="82" t="n">
        <f aca="false">IF(COUNTIFS(Shrinkage!$A$2:$A$3000,$K$2,Shrinkage!$D$2:$D$3000,$A72)&gt;0,SUMIFS(Shrinkage!$P$2:$P$3000,Shrinkage!$A$2:$A$3000,$K$2,Shrinkage!$D$2:$D$3000,$A72),IF(COUNTIFS(Shrinkage!$A$2:$A$3000,$K$2,Shrinkage!$D$2:$D$3000,SUBSTITUTE($A72," SS","  SS"))&gt;0,SUMIFS(Shrinkage!$P$2:$P$3000,Shrinkage!$A$2:$A$3000,$K$2,Shrinkage!$D$2:$D$3000,SUBSTITUTE($A72," SS","  SS")),"NA"))</f>
        <v>-21841</v>
      </c>
      <c r="E72" s="83" t="n">
        <f aca="false">IF(COUNTIFS('Inventory Hygiene'!$A$2:$A$3000,$K$2,'Inventory Hygiene'!$B$2:$B$3000,$A72)&gt;0,AVERAGEIFS('Inventory Hygiene'!$J$2:$J$3000,'Inventory Hygiene'!$A$2:$A$3000,$K$2,'Inventory Hygiene'!$B$2:$B$3000,$A72),IF(COUNTIFS('Inventory Hygiene'!$A$2:$A$3000,$K$2,'Inventory Hygiene'!$B$2:$B$3000,SUBSTITUTE($A72," SS","  SS"))&gt;0,AVERAGEIFS('Inventory Hygiene'!$J$2:$J$3000,'Inventory Hygiene'!$A$2:$A$3000,$K$2,'Inventory Hygiene'!$B$2:$B$3000,SUBSTITUTE($A72," SS","  SS")),"NA"))</f>
        <v>0.960310612597066</v>
      </c>
      <c r="F72" s="81" t="n">
        <f aca="false">IF(COUNTIFS('Bad Bins'!$A$2:$A$3000,$K$2,'Bad Bins'!$B$2:$B$3000,$A72)&gt;0,SUMIFS('Bad Bins'!$K$2:$K$3000,'Bad Bins'!$A$2:$A$3000,$K$2,'Bad Bins'!$B$2:$B$3000,$A72),IF(COUNTIFS('Bad Bins'!$A$2:$A$3000,$K$2,'Bad Bins'!$B$2:$B$3000,SUBSTITUTE($A72," SS","  SS"))&gt;0,SUMIFS('Bad Bins'!$K$2:$K$3000,'Bad Bins'!$A$2:$A$3000,$K$2,'Bad Bins'!$B$2:$B$3000,SUBSTITUTE($A72," SS","  SS")),"NA"))</f>
        <v>229</v>
      </c>
      <c r="G72" s="81" t="str">
        <f aca="false">IF(COUNTIFS('RSTO &gt; 48hrs'!$A$2:$A$3000,$K$2,'RSTO &gt; 48hrs'!$B$2:$B$3000,$A72)&gt;0,SUMIFS('RSTO &gt; 48hrs'!$H$2:$H$3000,'RSTO &gt; 48hrs'!$A$2:$A$3000,$K$2,'RSTO &gt; 48hrs'!$B$2:$B$3000,$A72),IF(COUNTIFS('RSTO &gt; 48hrs'!$A$2:$A$3000,$K$2,'RSTO &gt; 48hrs'!$B$2:$B$3000,SUBSTITUTE($A72," SS","  SS"))&gt;0,SUMIFS('RSTO &gt; 48hrs'!$H$2:$H$3000,'RSTO &gt; 48hrs'!$A$2:$A$3000,$K$2,'RSTO &gt; 48hrs'!$B$2:$B$3000,SUBSTITUTE($A72," SS","  SS")),"NA"))</f>
        <v>NA</v>
      </c>
      <c r="H72" s="81" t="n">
        <f aca="false">IF(COUNTIFS('Recirculation &gt; 24 hrs'!$A$2:$A$3000,$K$2,'Recirculation &gt; 24 hrs'!$B$2:$B$3000,$A72)&gt;0,SUMIFS('Recirculation &gt; 24 hrs'!$K$2:$K$3000,'Recirculation &gt; 24 hrs'!$A$2:$A$3000,$K$2,'Recirculation &gt; 24 hrs'!$B$2:$B$3000,$A72),IF(COUNTIFS('Recirculation &gt; 24 hrs'!$A$2:$A$3000,$K$2,'Recirculation &gt; 24 hrs'!$B$2:$B$3000,SUBSTITUTE($A72," SS","  SS"))&gt;0,SUMIFS('Recirculation &gt; 24 hrs'!$K$2:$K$3000,'Recirculation &gt; 24 hrs'!$A$2:$A$3000,$K$2,'Recirculation &gt; 24 hrs'!$B$2:$B$3000,SUBSTITUTE($A72," SS","  SS")),"NA"))</f>
        <v>1</v>
      </c>
      <c r="I72" s="81" t="n">
        <f aca="false">IF(COUNTIFS('Pending Putaway'!$A$2:$A$3000,$K$2,'Pending Putaway'!$B$2:$B$3000,$A72)&gt;0,SUMIFS('Pending Putaway'!$E$2:$E$3000,'Pending Putaway'!$A$2:$A$3000,$K$2,'Pending Putaway'!$B$2:$B$3000,$A72),IF(COUNTIFS('Pending Putaway'!$A$2:$A$3000,$K$2,'Pending Putaway'!$B$2:$B$3000,SUBSTITUTE($A72," SS","  SS"))&gt;0,SUMIFS('Pending Putaway'!$E$2:$E$3000,'Pending Putaway'!$A$2:$A$3000,$K$2,'Pending Putaway'!$B$2:$B$3000,SUBSTITUTE($A72," SS","  SS")),"NA"))</f>
        <v>457</v>
      </c>
      <c r="J72" s="81" t="n">
        <f aca="false">IF(COUNTIFS('Pending Putaway'!$A$2:$A$3000,$K$2,'Pending Putaway'!$B$2:$B$3000,$A72)&gt;0,SUMIFS('Pending Putaway'!$L$2:$L$3000,'Pending Putaway'!$A$2:$A$3000,$K$2,'Pending Putaway'!$B$2:$B$3000,$A72),IF(COUNTIFS('Pending Putaway'!$A$2:$A$3000,$K$2,'Pending Putaway'!$B$2:$B$3000,SUBSTITUTE($A72," SS","  SS"))&gt;0,SUMIFS('Pending Putaway'!$L$2:$L$3000,'Pending Putaway'!$A$2:$A$3000,$K$2,'Pending Putaway'!$B$2:$B$3000,SUBSTITUTE($A72," SS","  SS")),"NA"))</f>
        <v>378</v>
      </c>
      <c r="K72" s="23"/>
      <c r="L72" s="23"/>
      <c r="M72" s="23"/>
      <c r="N72" s="23"/>
      <c r="O72" s="23"/>
      <c r="P72" s="23"/>
      <c r="Q72" s="23"/>
      <c r="R72" s="23"/>
      <c r="S72" s="23"/>
      <c r="T72" s="23"/>
      <c r="U72" s="23"/>
      <c r="V72" s="23"/>
      <c r="W72" s="23"/>
      <c r="X72" s="23"/>
      <c r="Y72" s="23"/>
      <c r="Z72" s="23"/>
      <c r="AA72" s="23"/>
      <c r="AB72" s="23"/>
      <c r="AC72" s="23"/>
      <c r="AD72" s="23"/>
      <c r="AE72" s="23"/>
      <c r="AF72" s="23"/>
      <c r="AG72" s="23"/>
      <c r="AH72" s="23"/>
    </row>
    <row r="73" customFormat="false" ht="15.75" hidden="false" customHeight="true" outlineLevel="0" collapsed="false">
      <c r="A73" s="81" t="s">
        <v>337</v>
      </c>
      <c r="B73" s="81" t="str">
        <f aca="false" t="array" ref="B73:B73">IFERROR(INDEX('CLM &amp; IM Mapping'!$B$2:$B$270,MATCH($A73,'CLM &amp; IM Mapping'!$A$2:$A$270,0)),"Not Mapped")</f>
        <v>Akshay P</v>
      </c>
      <c r="C73" s="81" t="str">
        <f aca="false" t="array" ref="C73:C73">IFERROR(INDEX('CLM &amp; IM Mapping'!$C$2:$C$270,MATCH($A73,'CLM &amp; IM Mapping'!$A$2:$A$270,0)),"Not Mapped")</f>
        <v>Srittam Dhal</v>
      </c>
      <c r="D73" s="82" t="n">
        <f aca="false">IF(COUNTIFS(Shrinkage!$A$2:$A$3000,$K$2,Shrinkage!$D$2:$D$3000,$A73)&gt;0,SUMIFS(Shrinkage!$P$2:$P$3000,Shrinkage!$A$2:$A$3000,$K$2,Shrinkage!$D$2:$D$3000,$A73),IF(COUNTIFS(Shrinkage!$A$2:$A$3000,$K$2,Shrinkage!$D$2:$D$3000,SUBSTITUTE($A73," SS","  SS"))&gt;0,SUMIFS(Shrinkage!$P$2:$P$3000,Shrinkage!$A$2:$A$3000,$K$2,Shrinkage!$D$2:$D$3000,SUBSTITUTE($A73," SS","  SS")),"NA"))</f>
        <v>965</v>
      </c>
      <c r="E73" s="83" t="n">
        <f aca="false">IF(COUNTIFS('Inventory Hygiene'!$A$2:$A$3000,$K$2,'Inventory Hygiene'!$B$2:$B$3000,$A73)&gt;0,AVERAGEIFS('Inventory Hygiene'!$J$2:$J$3000,'Inventory Hygiene'!$A$2:$A$3000,$K$2,'Inventory Hygiene'!$B$2:$B$3000,$A73),IF(COUNTIFS('Inventory Hygiene'!$A$2:$A$3000,$K$2,'Inventory Hygiene'!$B$2:$B$3000,SUBSTITUTE($A73," SS","  SS"))&gt;0,AVERAGEIFS('Inventory Hygiene'!$J$2:$J$3000,'Inventory Hygiene'!$A$2:$A$3000,$K$2,'Inventory Hygiene'!$B$2:$B$3000,SUBSTITUTE($A73," SS","  SS")),"NA"))</f>
        <v>0.681889539032396</v>
      </c>
      <c r="F73" s="81" t="n">
        <f aca="false">IF(COUNTIFS('Bad Bins'!$A$2:$A$3000,$K$2,'Bad Bins'!$B$2:$B$3000,$A73)&gt;0,SUMIFS('Bad Bins'!$K$2:$K$3000,'Bad Bins'!$A$2:$A$3000,$K$2,'Bad Bins'!$B$2:$B$3000,$A73),IF(COUNTIFS('Bad Bins'!$A$2:$A$3000,$K$2,'Bad Bins'!$B$2:$B$3000,SUBSTITUTE($A73," SS","  SS"))&gt;0,SUMIFS('Bad Bins'!$K$2:$K$3000,'Bad Bins'!$A$2:$A$3000,$K$2,'Bad Bins'!$B$2:$B$3000,SUBSTITUTE($A73," SS","  SS")),"NA"))</f>
        <v>62</v>
      </c>
      <c r="G73" s="81" t="str">
        <f aca="false">IF(COUNTIFS('RSTO &gt; 48hrs'!$A$2:$A$3000,$K$2,'RSTO &gt; 48hrs'!$B$2:$B$3000,$A73)&gt;0,SUMIFS('RSTO &gt; 48hrs'!$H$2:$H$3000,'RSTO &gt; 48hrs'!$A$2:$A$3000,$K$2,'RSTO &gt; 48hrs'!$B$2:$B$3000,$A73),IF(COUNTIFS('RSTO &gt; 48hrs'!$A$2:$A$3000,$K$2,'RSTO &gt; 48hrs'!$B$2:$B$3000,SUBSTITUTE($A73," SS","  SS"))&gt;0,SUMIFS('RSTO &gt; 48hrs'!$H$2:$H$3000,'RSTO &gt; 48hrs'!$A$2:$A$3000,$K$2,'RSTO &gt; 48hrs'!$B$2:$B$3000,SUBSTITUTE($A73," SS","  SS")),"NA"))</f>
        <v>NA</v>
      </c>
      <c r="H73" s="81" t="str">
        <f aca="false">IF(COUNTIFS('Recirculation &gt; 24 hrs'!$A$2:$A$3000,$K$2,'Recirculation &gt; 24 hrs'!$B$2:$B$3000,$A73)&gt;0,SUMIFS('Recirculation &gt; 24 hrs'!$K$2:$K$3000,'Recirculation &gt; 24 hrs'!$A$2:$A$3000,$K$2,'Recirculation &gt; 24 hrs'!$B$2:$B$3000,$A73),IF(COUNTIFS('Recirculation &gt; 24 hrs'!$A$2:$A$3000,$K$2,'Recirculation &gt; 24 hrs'!$B$2:$B$3000,SUBSTITUTE($A73," SS","  SS"))&gt;0,SUMIFS('Recirculation &gt; 24 hrs'!$K$2:$K$3000,'Recirculation &gt; 24 hrs'!$A$2:$A$3000,$K$2,'Recirculation &gt; 24 hrs'!$B$2:$B$3000,SUBSTITUTE($A73," SS","  SS")),"NA"))</f>
        <v>NA</v>
      </c>
      <c r="I73" s="81" t="n">
        <f aca="false">IF(COUNTIFS('Pending Putaway'!$A$2:$A$3000,$K$2,'Pending Putaway'!$B$2:$B$3000,$A73)&gt;0,SUMIFS('Pending Putaway'!$E$2:$E$3000,'Pending Putaway'!$A$2:$A$3000,$K$2,'Pending Putaway'!$B$2:$B$3000,$A73),IF(COUNTIFS('Pending Putaway'!$A$2:$A$3000,$K$2,'Pending Putaway'!$B$2:$B$3000,SUBSTITUTE($A73," SS","  SS"))&gt;0,SUMIFS('Pending Putaway'!$E$2:$E$3000,'Pending Putaway'!$A$2:$A$3000,$K$2,'Pending Putaway'!$B$2:$B$3000,SUBSTITUTE($A73," SS","  SS")),"NA"))</f>
        <v>0</v>
      </c>
      <c r="J73" s="81" t="n">
        <f aca="false">IF(COUNTIFS('Pending Putaway'!$A$2:$A$3000,$K$2,'Pending Putaway'!$B$2:$B$3000,$A73)&gt;0,SUMIFS('Pending Putaway'!$L$2:$L$3000,'Pending Putaway'!$A$2:$A$3000,$K$2,'Pending Putaway'!$B$2:$B$3000,$A73),IF(COUNTIFS('Pending Putaway'!$A$2:$A$3000,$K$2,'Pending Putaway'!$B$2:$B$3000,SUBSTITUTE($A73," SS","  SS"))&gt;0,SUMIFS('Pending Putaway'!$L$2:$L$3000,'Pending Putaway'!$A$2:$A$3000,$K$2,'Pending Putaway'!$B$2:$B$3000,SUBSTITUTE($A73," SS","  SS")),"NA"))</f>
        <v>0</v>
      </c>
      <c r="K73" s="23"/>
      <c r="L73" s="23"/>
      <c r="M73" s="23"/>
      <c r="N73" s="23"/>
      <c r="O73" s="23"/>
      <c r="P73" s="23"/>
      <c r="Q73" s="23"/>
      <c r="R73" s="23"/>
      <c r="S73" s="23"/>
      <c r="T73" s="23"/>
      <c r="U73" s="23"/>
      <c r="V73" s="23"/>
      <c r="W73" s="23"/>
      <c r="X73" s="23"/>
      <c r="Y73" s="23"/>
      <c r="Z73" s="23"/>
      <c r="AA73" s="23"/>
      <c r="AB73" s="23"/>
      <c r="AC73" s="23"/>
      <c r="AD73" s="23"/>
      <c r="AE73" s="23"/>
      <c r="AF73" s="23"/>
      <c r="AG73" s="23"/>
      <c r="AH73" s="23"/>
    </row>
    <row r="74" customFormat="false" ht="15.75" hidden="false" customHeight="true" outlineLevel="0" collapsed="false">
      <c r="A74" s="81" t="s">
        <v>156</v>
      </c>
      <c r="B74" s="81" t="str">
        <f aca="false" t="array" ref="B74:B74">IFERROR(INDEX('CLM &amp; IM Mapping'!$B$2:$B$270,MATCH($A74,'CLM &amp; IM Mapping'!$A$2:$A$270,0)),"Not Mapped")</f>
        <v>Manoj Kj</v>
      </c>
      <c r="C74" s="81" t="str">
        <f aca="false" t="array" ref="C74:C74">IFERROR(INDEX('CLM &amp; IM Mapping'!$C$2:$C$270,MATCH($A74,'CLM &amp; IM Mapping'!$A$2:$A$270,0)),"Not Mapped")</f>
        <v>Srittam Dhal</v>
      </c>
      <c r="D74" s="82" t="n">
        <f aca="false">IF(COUNTIFS(Shrinkage!$A$2:$A$3000,$K$2,Shrinkage!$D$2:$D$3000,$A74)&gt;0,SUMIFS(Shrinkage!$P$2:$P$3000,Shrinkage!$A$2:$A$3000,$K$2,Shrinkage!$D$2:$D$3000,$A74),IF(COUNTIFS(Shrinkage!$A$2:$A$3000,$K$2,Shrinkage!$D$2:$D$3000,SUBSTITUTE($A74," SS","  SS"))&gt;0,SUMIFS(Shrinkage!$P$2:$P$3000,Shrinkage!$A$2:$A$3000,$K$2,Shrinkage!$D$2:$D$3000,SUBSTITUTE($A74," SS","  SS")),"NA"))</f>
        <v>26805</v>
      </c>
      <c r="E74" s="83" t="n">
        <f aca="false">IF(COUNTIFS('Inventory Hygiene'!$A$2:$A$3000,$K$2,'Inventory Hygiene'!$B$2:$B$3000,$A74)&gt;0,AVERAGEIFS('Inventory Hygiene'!$J$2:$J$3000,'Inventory Hygiene'!$A$2:$A$3000,$K$2,'Inventory Hygiene'!$B$2:$B$3000,$A74),IF(COUNTIFS('Inventory Hygiene'!$A$2:$A$3000,$K$2,'Inventory Hygiene'!$B$2:$B$3000,SUBSTITUTE($A74," SS","  SS"))&gt;0,AVERAGEIFS('Inventory Hygiene'!$J$2:$J$3000,'Inventory Hygiene'!$A$2:$A$3000,$K$2,'Inventory Hygiene'!$B$2:$B$3000,SUBSTITUTE($A74," SS","  SS")),"NA"))</f>
        <v>0.90804780876494</v>
      </c>
      <c r="F74" s="81" t="n">
        <f aca="false">IF(COUNTIFS('Bad Bins'!$A$2:$A$3000,$K$2,'Bad Bins'!$B$2:$B$3000,$A74)&gt;0,SUMIFS('Bad Bins'!$K$2:$K$3000,'Bad Bins'!$A$2:$A$3000,$K$2,'Bad Bins'!$B$2:$B$3000,$A74),IF(COUNTIFS('Bad Bins'!$A$2:$A$3000,$K$2,'Bad Bins'!$B$2:$B$3000,SUBSTITUTE($A74," SS","  SS"))&gt;0,SUMIFS('Bad Bins'!$K$2:$K$3000,'Bad Bins'!$A$2:$A$3000,$K$2,'Bad Bins'!$B$2:$B$3000,SUBSTITUTE($A74," SS","  SS")),"NA"))</f>
        <v>146</v>
      </c>
      <c r="G74" s="81" t="str">
        <f aca="false">IF(COUNTIFS('RSTO &gt; 48hrs'!$A$2:$A$3000,$K$2,'RSTO &gt; 48hrs'!$B$2:$B$3000,$A74)&gt;0,SUMIFS('RSTO &gt; 48hrs'!$H$2:$H$3000,'RSTO &gt; 48hrs'!$A$2:$A$3000,$K$2,'RSTO &gt; 48hrs'!$B$2:$B$3000,$A74),IF(COUNTIFS('RSTO &gt; 48hrs'!$A$2:$A$3000,$K$2,'RSTO &gt; 48hrs'!$B$2:$B$3000,SUBSTITUTE($A74," SS","  SS"))&gt;0,SUMIFS('RSTO &gt; 48hrs'!$H$2:$H$3000,'RSTO &gt; 48hrs'!$A$2:$A$3000,$K$2,'RSTO &gt; 48hrs'!$B$2:$B$3000,SUBSTITUTE($A74," SS","  SS")),"NA"))</f>
        <v>NA</v>
      </c>
      <c r="H74" s="81" t="str">
        <f aca="false">IF(COUNTIFS('Recirculation &gt; 24 hrs'!$A$2:$A$3000,$K$2,'Recirculation &gt; 24 hrs'!$B$2:$B$3000,$A74)&gt;0,SUMIFS('Recirculation &gt; 24 hrs'!$K$2:$K$3000,'Recirculation &gt; 24 hrs'!$A$2:$A$3000,$K$2,'Recirculation &gt; 24 hrs'!$B$2:$B$3000,$A74),IF(COUNTIFS('Recirculation &gt; 24 hrs'!$A$2:$A$3000,$K$2,'Recirculation &gt; 24 hrs'!$B$2:$B$3000,SUBSTITUTE($A74," SS","  SS"))&gt;0,SUMIFS('Recirculation &gt; 24 hrs'!$K$2:$K$3000,'Recirculation &gt; 24 hrs'!$A$2:$A$3000,$K$2,'Recirculation &gt; 24 hrs'!$B$2:$B$3000,SUBSTITUTE($A74," SS","  SS")),"NA"))</f>
        <v>NA</v>
      </c>
      <c r="I74" s="81" t="n">
        <f aca="false">IF(COUNTIFS('Pending Putaway'!$A$2:$A$3000,$K$2,'Pending Putaway'!$B$2:$B$3000,$A74)&gt;0,SUMIFS('Pending Putaway'!$E$2:$E$3000,'Pending Putaway'!$A$2:$A$3000,$K$2,'Pending Putaway'!$B$2:$B$3000,$A74),IF(COUNTIFS('Pending Putaway'!$A$2:$A$3000,$K$2,'Pending Putaway'!$B$2:$B$3000,SUBSTITUTE($A74," SS","  SS"))&gt;0,SUMIFS('Pending Putaway'!$E$2:$E$3000,'Pending Putaway'!$A$2:$A$3000,$K$2,'Pending Putaway'!$B$2:$B$3000,SUBSTITUTE($A74," SS","  SS")),"NA"))</f>
        <v>157</v>
      </c>
      <c r="J74" s="81" t="n">
        <f aca="false">IF(COUNTIFS('Pending Putaway'!$A$2:$A$3000,$K$2,'Pending Putaway'!$B$2:$B$3000,$A74)&gt;0,SUMIFS('Pending Putaway'!$L$2:$L$3000,'Pending Putaway'!$A$2:$A$3000,$K$2,'Pending Putaway'!$B$2:$B$3000,$A74),IF(COUNTIFS('Pending Putaway'!$A$2:$A$3000,$K$2,'Pending Putaway'!$B$2:$B$3000,SUBSTITUTE($A74," SS","  SS"))&gt;0,SUMIFS('Pending Putaway'!$L$2:$L$3000,'Pending Putaway'!$A$2:$A$3000,$K$2,'Pending Putaway'!$B$2:$B$3000,SUBSTITUTE($A74," SS","  SS")),"NA"))</f>
        <v>157</v>
      </c>
      <c r="K74" s="23"/>
      <c r="L74" s="23"/>
      <c r="M74" s="23"/>
      <c r="N74" s="23"/>
      <c r="O74" s="23"/>
      <c r="P74" s="23"/>
      <c r="Q74" s="23"/>
      <c r="R74" s="23"/>
      <c r="S74" s="23"/>
      <c r="T74" s="23"/>
      <c r="U74" s="23"/>
      <c r="V74" s="23"/>
      <c r="W74" s="23"/>
      <c r="X74" s="23"/>
      <c r="Y74" s="23"/>
      <c r="Z74" s="23"/>
      <c r="AA74" s="23"/>
      <c r="AB74" s="23"/>
      <c r="AC74" s="23"/>
      <c r="AD74" s="23"/>
      <c r="AE74" s="23"/>
      <c r="AF74" s="23"/>
      <c r="AG74" s="23"/>
      <c r="AH74" s="23"/>
    </row>
    <row r="75" customFormat="false" ht="15.75" hidden="false" customHeight="true" outlineLevel="0" collapsed="false">
      <c r="A75" s="81" t="s">
        <v>517</v>
      </c>
      <c r="B75" s="81" t="str">
        <f aca="false" t="array" ref="B75:B75">IFERROR(INDEX('CLM &amp; IM Mapping'!$B$2:$B$270,MATCH($A75,'CLM &amp; IM Mapping'!$A$2:$A$270,0)),"Not Mapped")</f>
        <v>Manoj Kj</v>
      </c>
      <c r="C75" s="81" t="str">
        <f aca="false" t="array" ref="C75:C75">IFERROR(INDEX('CLM &amp; IM Mapping'!$C$2:$C$270,MATCH($A75,'CLM &amp; IM Mapping'!$A$2:$A$270,0)),"Not Mapped")</f>
        <v>Srittam Dhal</v>
      </c>
      <c r="D75" s="82" t="n">
        <f aca="false">IF(COUNTIFS(Shrinkage!$A$2:$A$3000,$K$2,Shrinkage!$D$2:$D$3000,$A75)&gt;0,SUMIFS(Shrinkage!$P$2:$P$3000,Shrinkage!$A$2:$A$3000,$K$2,Shrinkage!$D$2:$D$3000,$A75),IF(COUNTIFS(Shrinkage!$A$2:$A$3000,$K$2,Shrinkage!$D$2:$D$3000,SUBSTITUTE($A75," SS","  SS"))&gt;0,SUMIFS(Shrinkage!$P$2:$P$3000,Shrinkage!$A$2:$A$3000,$K$2,Shrinkage!$D$2:$D$3000,SUBSTITUTE($A75," SS","  SS")),"NA"))</f>
        <v>-29161</v>
      </c>
      <c r="E75" s="83" t="n">
        <f aca="false">IF(COUNTIFS('Inventory Hygiene'!$A$2:$A$3000,$K$2,'Inventory Hygiene'!$B$2:$B$3000,$A75)&gt;0,AVERAGEIFS('Inventory Hygiene'!$J$2:$J$3000,'Inventory Hygiene'!$A$2:$A$3000,$K$2,'Inventory Hygiene'!$B$2:$B$3000,$A75),IF(COUNTIFS('Inventory Hygiene'!$A$2:$A$3000,$K$2,'Inventory Hygiene'!$B$2:$B$3000,SUBSTITUTE($A75," SS","  SS"))&gt;0,AVERAGEIFS('Inventory Hygiene'!$J$2:$J$3000,'Inventory Hygiene'!$A$2:$A$3000,$K$2,'Inventory Hygiene'!$B$2:$B$3000,SUBSTITUTE($A75," SS","  SS")),"NA"))</f>
        <v>0.967523364485981</v>
      </c>
      <c r="F75" s="81" t="n">
        <f aca="false">IF(COUNTIFS('Bad Bins'!$A$2:$A$3000,$K$2,'Bad Bins'!$B$2:$B$3000,$A75)&gt;0,SUMIFS('Bad Bins'!$K$2:$K$3000,'Bad Bins'!$A$2:$A$3000,$K$2,'Bad Bins'!$B$2:$B$3000,$A75),IF(COUNTIFS('Bad Bins'!$A$2:$A$3000,$K$2,'Bad Bins'!$B$2:$B$3000,SUBSTITUTE($A75," SS","  SS"))&gt;0,SUMIFS('Bad Bins'!$K$2:$K$3000,'Bad Bins'!$A$2:$A$3000,$K$2,'Bad Bins'!$B$2:$B$3000,SUBSTITUTE($A75," SS","  SS")),"NA"))</f>
        <v>204</v>
      </c>
      <c r="G75" s="81" t="str">
        <f aca="false">IF(COUNTIFS('RSTO &gt; 48hrs'!$A$2:$A$3000,$K$2,'RSTO &gt; 48hrs'!$B$2:$B$3000,$A75)&gt;0,SUMIFS('RSTO &gt; 48hrs'!$H$2:$H$3000,'RSTO &gt; 48hrs'!$A$2:$A$3000,$K$2,'RSTO &gt; 48hrs'!$B$2:$B$3000,$A75),IF(COUNTIFS('RSTO &gt; 48hrs'!$A$2:$A$3000,$K$2,'RSTO &gt; 48hrs'!$B$2:$B$3000,SUBSTITUTE($A75," SS","  SS"))&gt;0,SUMIFS('RSTO &gt; 48hrs'!$H$2:$H$3000,'RSTO &gt; 48hrs'!$A$2:$A$3000,$K$2,'RSTO &gt; 48hrs'!$B$2:$B$3000,SUBSTITUTE($A75," SS","  SS")),"NA"))</f>
        <v>NA</v>
      </c>
      <c r="H75" s="81" t="str">
        <f aca="false">IF(COUNTIFS('Recirculation &gt; 24 hrs'!$A$2:$A$3000,$K$2,'Recirculation &gt; 24 hrs'!$B$2:$B$3000,$A75)&gt;0,SUMIFS('Recirculation &gt; 24 hrs'!$K$2:$K$3000,'Recirculation &gt; 24 hrs'!$A$2:$A$3000,$K$2,'Recirculation &gt; 24 hrs'!$B$2:$B$3000,$A75),IF(COUNTIFS('Recirculation &gt; 24 hrs'!$A$2:$A$3000,$K$2,'Recirculation &gt; 24 hrs'!$B$2:$B$3000,SUBSTITUTE($A75," SS","  SS"))&gt;0,SUMIFS('Recirculation &gt; 24 hrs'!$K$2:$K$3000,'Recirculation &gt; 24 hrs'!$A$2:$A$3000,$K$2,'Recirculation &gt; 24 hrs'!$B$2:$B$3000,SUBSTITUTE($A75," SS","  SS")),"NA"))</f>
        <v>NA</v>
      </c>
      <c r="I75" s="81" t="n">
        <f aca="false">IF(COUNTIFS('Pending Putaway'!$A$2:$A$3000,$K$2,'Pending Putaway'!$B$2:$B$3000,$A75)&gt;0,SUMIFS('Pending Putaway'!$E$2:$E$3000,'Pending Putaway'!$A$2:$A$3000,$K$2,'Pending Putaway'!$B$2:$B$3000,$A75),IF(COUNTIFS('Pending Putaway'!$A$2:$A$3000,$K$2,'Pending Putaway'!$B$2:$B$3000,SUBSTITUTE($A75," SS","  SS"))&gt;0,SUMIFS('Pending Putaway'!$E$2:$E$3000,'Pending Putaway'!$A$2:$A$3000,$K$2,'Pending Putaway'!$B$2:$B$3000,SUBSTITUTE($A75," SS","  SS")),"NA"))</f>
        <v>2099</v>
      </c>
      <c r="J75" s="81" t="n">
        <f aca="false">IF(COUNTIFS('Pending Putaway'!$A$2:$A$3000,$K$2,'Pending Putaway'!$B$2:$B$3000,$A75)&gt;0,SUMIFS('Pending Putaway'!$L$2:$L$3000,'Pending Putaway'!$A$2:$A$3000,$K$2,'Pending Putaway'!$B$2:$B$3000,$A75),IF(COUNTIFS('Pending Putaway'!$A$2:$A$3000,$K$2,'Pending Putaway'!$B$2:$B$3000,SUBSTITUTE($A75," SS","  SS"))&gt;0,SUMIFS('Pending Putaway'!$L$2:$L$3000,'Pending Putaway'!$A$2:$A$3000,$K$2,'Pending Putaway'!$B$2:$B$3000,SUBSTITUTE($A75," SS","  SS")),"NA"))</f>
        <v>137</v>
      </c>
      <c r="K75" s="23"/>
      <c r="L75" s="23"/>
      <c r="M75" s="23"/>
      <c r="N75" s="23"/>
      <c r="O75" s="23"/>
      <c r="P75" s="23"/>
      <c r="Q75" s="23"/>
      <c r="R75" s="23"/>
      <c r="S75" s="23"/>
      <c r="T75" s="23"/>
      <c r="U75" s="23"/>
      <c r="V75" s="23"/>
      <c r="W75" s="23"/>
      <c r="X75" s="23"/>
      <c r="Y75" s="23"/>
      <c r="Z75" s="23"/>
      <c r="AA75" s="23"/>
      <c r="AB75" s="23"/>
      <c r="AC75" s="23"/>
      <c r="AD75" s="23"/>
      <c r="AE75" s="23"/>
      <c r="AF75" s="23"/>
      <c r="AG75" s="23"/>
      <c r="AH75" s="23"/>
    </row>
    <row r="76" customFormat="false" ht="15.75" hidden="false" customHeight="true" outlineLevel="0" collapsed="false">
      <c r="A76" s="81" t="s">
        <v>371</v>
      </c>
      <c r="B76" s="81" t="str">
        <f aca="false" t="array" ref="B76:B76">IFERROR(INDEX('CLM &amp; IM Mapping'!$B$2:$B$270,MATCH($A76,'CLM &amp; IM Mapping'!$A$2:$A$270,0)),"Not Mapped")</f>
        <v>Akshay P</v>
      </c>
      <c r="C76" s="81" t="str">
        <f aca="false" t="array" ref="C76:C76">IFERROR(INDEX('CLM &amp; IM Mapping'!$C$2:$C$270,MATCH($A76,'CLM &amp; IM Mapping'!$A$2:$A$270,0)),"Not Mapped")</f>
        <v>Srittam Dhal</v>
      </c>
      <c r="D76" s="82" t="n">
        <f aca="false">IF(COUNTIFS(Shrinkage!$A$2:$A$3000,$K$2,Shrinkage!$D$2:$D$3000,$A76)&gt;0,SUMIFS(Shrinkage!$P$2:$P$3000,Shrinkage!$A$2:$A$3000,$K$2,Shrinkage!$D$2:$D$3000,$A76),IF(COUNTIFS(Shrinkage!$A$2:$A$3000,$K$2,Shrinkage!$D$2:$D$3000,SUBSTITUTE($A76," SS","  SS"))&gt;0,SUMIFS(Shrinkage!$P$2:$P$3000,Shrinkage!$A$2:$A$3000,$K$2,Shrinkage!$D$2:$D$3000,SUBSTITUTE($A76," SS","  SS")),"NA"))</f>
        <v>3681</v>
      </c>
      <c r="E76" s="83" t="n">
        <f aca="false">IF(COUNTIFS('Inventory Hygiene'!$A$2:$A$3000,$K$2,'Inventory Hygiene'!$B$2:$B$3000,$A76)&gt;0,AVERAGEIFS('Inventory Hygiene'!$J$2:$J$3000,'Inventory Hygiene'!$A$2:$A$3000,$K$2,'Inventory Hygiene'!$B$2:$B$3000,$A76),IF(COUNTIFS('Inventory Hygiene'!$A$2:$A$3000,$K$2,'Inventory Hygiene'!$B$2:$B$3000,SUBSTITUTE($A76," SS","  SS"))&gt;0,AVERAGEIFS('Inventory Hygiene'!$J$2:$J$3000,'Inventory Hygiene'!$A$2:$A$3000,$K$2,'Inventory Hygiene'!$B$2:$B$3000,SUBSTITUTE($A76," SS","  SS")),"NA"))</f>
        <v>0.515182040581379</v>
      </c>
      <c r="F76" s="81" t="n">
        <f aca="false">IF(COUNTIFS('Bad Bins'!$A$2:$A$3000,$K$2,'Bad Bins'!$B$2:$B$3000,$A76)&gt;0,SUMIFS('Bad Bins'!$K$2:$K$3000,'Bad Bins'!$A$2:$A$3000,$K$2,'Bad Bins'!$B$2:$B$3000,$A76),IF(COUNTIFS('Bad Bins'!$A$2:$A$3000,$K$2,'Bad Bins'!$B$2:$B$3000,SUBSTITUTE($A76," SS","  SS"))&gt;0,SUMIFS('Bad Bins'!$K$2:$K$3000,'Bad Bins'!$A$2:$A$3000,$K$2,'Bad Bins'!$B$2:$B$3000,SUBSTITUTE($A76," SS","  SS")),"NA"))</f>
        <v>72</v>
      </c>
      <c r="G76" s="81" t="str">
        <f aca="false">IF(COUNTIFS('RSTO &gt; 48hrs'!$A$2:$A$3000,$K$2,'RSTO &gt; 48hrs'!$B$2:$B$3000,$A76)&gt;0,SUMIFS('RSTO &gt; 48hrs'!$H$2:$H$3000,'RSTO &gt; 48hrs'!$A$2:$A$3000,$K$2,'RSTO &gt; 48hrs'!$B$2:$B$3000,$A76),IF(COUNTIFS('RSTO &gt; 48hrs'!$A$2:$A$3000,$K$2,'RSTO &gt; 48hrs'!$B$2:$B$3000,SUBSTITUTE($A76," SS","  SS"))&gt;0,SUMIFS('RSTO &gt; 48hrs'!$H$2:$H$3000,'RSTO &gt; 48hrs'!$A$2:$A$3000,$K$2,'RSTO &gt; 48hrs'!$B$2:$B$3000,SUBSTITUTE($A76," SS","  SS")),"NA"))</f>
        <v>NA</v>
      </c>
      <c r="H76" s="81" t="n">
        <f aca="false">IF(COUNTIFS('Recirculation &gt; 24 hrs'!$A$2:$A$3000,$K$2,'Recirculation &gt; 24 hrs'!$B$2:$B$3000,$A76)&gt;0,SUMIFS('Recirculation &gt; 24 hrs'!$K$2:$K$3000,'Recirculation &gt; 24 hrs'!$A$2:$A$3000,$K$2,'Recirculation &gt; 24 hrs'!$B$2:$B$3000,$A76),IF(COUNTIFS('Recirculation &gt; 24 hrs'!$A$2:$A$3000,$K$2,'Recirculation &gt; 24 hrs'!$B$2:$B$3000,SUBSTITUTE($A76," SS","  SS"))&gt;0,SUMIFS('Recirculation &gt; 24 hrs'!$K$2:$K$3000,'Recirculation &gt; 24 hrs'!$A$2:$A$3000,$K$2,'Recirculation &gt; 24 hrs'!$B$2:$B$3000,SUBSTITUTE($A76," SS","  SS")),"NA"))</f>
        <v>1</v>
      </c>
      <c r="I76" s="81" t="n">
        <f aca="false">IF(COUNTIFS('Pending Putaway'!$A$2:$A$3000,$K$2,'Pending Putaway'!$B$2:$B$3000,$A76)&gt;0,SUMIFS('Pending Putaway'!$E$2:$E$3000,'Pending Putaway'!$A$2:$A$3000,$K$2,'Pending Putaway'!$B$2:$B$3000,$A76),IF(COUNTIFS('Pending Putaway'!$A$2:$A$3000,$K$2,'Pending Putaway'!$B$2:$B$3000,SUBSTITUTE($A76," SS","  SS"))&gt;0,SUMIFS('Pending Putaway'!$E$2:$E$3000,'Pending Putaway'!$A$2:$A$3000,$K$2,'Pending Putaway'!$B$2:$B$3000,SUBSTITUTE($A76," SS","  SS")),"NA"))</f>
        <v>976</v>
      </c>
      <c r="J76" s="81" t="n">
        <f aca="false">IF(COUNTIFS('Pending Putaway'!$A$2:$A$3000,$K$2,'Pending Putaway'!$B$2:$B$3000,$A76)&gt;0,SUMIFS('Pending Putaway'!$L$2:$L$3000,'Pending Putaway'!$A$2:$A$3000,$K$2,'Pending Putaway'!$B$2:$B$3000,$A76),IF(COUNTIFS('Pending Putaway'!$A$2:$A$3000,$K$2,'Pending Putaway'!$B$2:$B$3000,SUBSTITUTE($A76," SS","  SS"))&gt;0,SUMIFS('Pending Putaway'!$L$2:$L$3000,'Pending Putaway'!$A$2:$A$3000,$K$2,'Pending Putaway'!$B$2:$B$3000,SUBSTITUTE($A76," SS","  SS")),"NA"))</f>
        <v>567</v>
      </c>
      <c r="K76" s="23"/>
      <c r="L76" s="23"/>
      <c r="M76" s="23"/>
      <c r="N76" s="23"/>
      <c r="O76" s="23"/>
      <c r="P76" s="23"/>
      <c r="Q76" s="23"/>
      <c r="R76" s="23"/>
      <c r="S76" s="23"/>
      <c r="T76" s="23"/>
      <c r="U76" s="23"/>
      <c r="V76" s="23"/>
      <c r="W76" s="23"/>
      <c r="X76" s="23"/>
      <c r="Y76" s="23"/>
      <c r="Z76" s="23"/>
      <c r="AA76" s="23"/>
      <c r="AB76" s="23"/>
      <c r="AC76" s="23"/>
      <c r="AD76" s="23"/>
      <c r="AE76" s="23"/>
      <c r="AF76" s="23"/>
      <c r="AG76" s="23"/>
      <c r="AH76" s="23"/>
    </row>
    <row r="77" customFormat="false" ht="15.75" hidden="false" customHeight="true" outlineLevel="0" collapsed="false">
      <c r="A77" s="81" t="s">
        <v>272</v>
      </c>
      <c r="B77" s="81" t="str">
        <f aca="false" t="array" ref="B77:B77">IFERROR(INDEX('CLM &amp; IM Mapping'!$B$2:$B$270,MATCH($A77,'CLM &amp; IM Mapping'!$A$2:$A$270,0)),"Not Mapped")</f>
        <v>Arun Raj</v>
      </c>
      <c r="C77" s="81" t="str">
        <f aca="false" t="array" ref="C77:C77">IFERROR(INDEX('CLM &amp; IM Mapping'!$C$2:$C$270,MATCH($A77,'CLM &amp; IM Mapping'!$A$2:$A$270,0)),"Not Mapped")</f>
        <v>Simon Manoharan</v>
      </c>
      <c r="D77" s="82" t="n">
        <f aca="false">IF(COUNTIFS(Shrinkage!$A$2:$A$3000,$K$2,Shrinkage!$D$2:$D$3000,$A77)&gt;0,SUMIFS(Shrinkage!$P$2:$P$3000,Shrinkage!$A$2:$A$3000,$K$2,Shrinkage!$D$2:$D$3000,$A77),IF(COUNTIFS(Shrinkage!$A$2:$A$3000,$K$2,Shrinkage!$D$2:$D$3000,SUBSTITUTE($A77," SS","  SS"))&gt;0,SUMIFS(Shrinkage!$P$2:$P$3000,Shrinkage!$A$2:$A$3000,$K$2,Shrinkage!$D$2:$D$3000,SUBSTITUTE($A77," SS","  SS")),"NA"))</f>
        <v>10309</v>
      </c>
      <c r="E77" s="83" t="n">
        <f aca="false">IF(COUNTIFS('Inventory Hygiene'!$A$2:$A$3000,$K$2,'Inventory Hygiene'!$B$2:$B$3000,$A77)&gt;0,AVERAGEIFS('Inventory Hygiene'!$J$2:$J$3000,'Inventory Hygiene'!$A$2:$A$3000,$K$2,'Inventory Hygiene'!$B$2:$B$3000,$A77),IF(COUNTIFS('Inventory Hygiene'!$A$2:$A$3000,$K$2,'Inventory Hygiene'!$B$2:$B$3000,SUBSTITUTE($A77," SS","  SS"))&gt;0,AVERAGEIFS('Inventory Hygiene'!$J$2:$J$3000,'Inventory Hygiene'!$A$2:$A$3000,$K$2,'Inventory Hygiene'!$B$2:$B$3000,SUBSTITUTE($A77," SS","  SS")),"NA"))</f>
        <v>0.423520923520924</v>
      </c>
      <c r="F77" s="81" t="n">
        <f aca="false">IF(COUNTIFS('Bad Bins'!$A$2:$A$3000,$K$2,'Bad Bins'!$B$2:$B$3000,$A77)&gt;0,SUMIFS('Bad Bins'!$K$2:$K$3000,'Bad Bins'!$A$2:$A$3000,$K$2,'Bad Bins'!$B$2:$B$3000,$A77),IF(COUNTIFS('Bad Bins'!$A$2:$A$3000,$K$2,'Bad Bins'!$B$2:$B$3000,SUBSTITUTE($A77," SS","  SS"))&gt;0,SUMIFS('Bad Bins'!$K$2:$K$3000,'Bad Bins'!$A$2:$A$3000,$K$2,'Bad Bins'!$B$2:$B$3000,SUBSTITUTE($A77," SS","  SS")),"NA"))</f>
        <v>1</v>
      </c>
      <c r="G77" s="81" t="str">
        <f aca="false">IF(COUNTIFS('RSTO &gt; 48hrs'!$A$2:$A$3000,$K$2,'RSTO &gt; 48hrs'!$B$2:$B$3000,$A77)&gt;0,SUMIFS('RSTO &gt; 48hrs'!$H$2:$H$3000,'RSTO &gt; 48hrs'!$A$2:$A$3000,$K$2,'RSTO &gt; 48hrs'!$B$2:$B$3000,$A77),IF(COUNTIFS('RSTO &gt; 48hrs'!$A$2:$A$3000,$K$2,'RSTO &gt; 48hrs'!$B$2:$B$3000,SUBSTITUTE($A77," SS","  SS"))&gt;0,SUMIFS('RSTO &gt; 48hrs'!$H$2:$H$3000,'RSTO &gt; 48hrs'!$A$2:$A$3000,$K$2,'RSTO &gt; 48hrs'!$B$2:$B$3000,SUBSTITUTE($A77," SS","  SS")),"NA"))</f>
        <v>NA</v>
      </c>
      <c r="H77" s="81" t="str">
        <f aca="false">IF(COUNTIFS('Recirculation &gt; 24 hrs'!$A$2:$A$3000,$K$2,'Recirculation &gt; 24 hrs'!$B$2:$B$3000,$A77)&gt;0,SUMIFS('Recirculation &gt; 24 hrs'!$K$2:$K$3000,'Recirculation &gt; 24 hrs'!$A$2:$A$3000,$K$2,'Recirculation &gt; 24 hrs'!$B$2:$B$3000,$A77),IF(COUNTIFS('Recirculation &gt; 24 hrs'!$A$2:$A$3000,$K$2,'Recirculation &gt; 24 hrs'!$B$2:$B$3000,SUBSTITUTE($A77," SS","  SS"))&gt;0,SUMIFS('Recirculation &gt; 24 hrs'!$K$2:$K$3000,'Recirculation &gt; 24 hrs'!$A$2:$A$3000,$K$2,'Recirculation &gt; 24 hrs'!$B$2:$B$3000,SUBSTITUTE($A77," SS","  SS")),"NA"))</f>
        <v>NA</v>
      </c>
      <c r="I77" s="81" t="n">
        <f aca="false">IF(COUNTIFS('Pending Putaway'!$A$2:$A$3000,$K$2,'Pending Putaway'!$B$2:$B$3000,$A77)&gt;0,SUMIFS('Pending Putaway'!$E$2:$E$3000,'Pending Putaway'!$A$2:$A$3000,$K$2,'Pending Putaway'!$B$2:$B$3000,$A77),IF(COUNTIFS('Pending Putaway'!$A$2:$A$3000,$K$2,'Pending Putaway'!$B$2:$B$3000,SUBSTITUTE($A77," SS","  SS"))&gt;0,SUMIFS('Pending Putaway'!$E$2:$E$3000,'Pending Putaway'!$A$2:$A$3000,$K$2,'Pending Putaway'!$B$2:$B$3000,SUBSTITUTE($A77," SS","  SS")),"NA"))</f>
        <v>0</v>
      </c>
      <c r="J77" s="81" t="n">
        <f aca="false">IF(COUNTIFS('Pending Putaway'!$A$2:$A$3000,$K$2,'Pending Putaway'!$B$2:$B$3000,$A77)&gt;0,SUMIFS('Pending Putaway'!$L$2:$L$3000,'Pending Putaway'!$A$2:$A$3000,$K$2,'Pending Putaway'!$B$2:$B$3000,$A77),IF(COUNTIFS('Pending Putaway'!$A$2:$A$3000,$K$2,'Pending Putaway'!$B$2:$B$3000,SUBSTITUTE($A77," SS","  SS"))&gt;0,SUMIFS('Pending Putaway'!$L$2:$L$3000,'Pending Putaway'!$A$2:$A$3000,$K$2,'Pending Putaway'!$B$2:$B$3000,SUBSTITUTE($A77," SS","  SS")),"NA"))</f>
        <v>0</v>
      </c>
      <c r="K77" s="23"/>
      <c r="L77" s="23"/>
      <c r="M77" s="23"/>
      <c r="N77" s="23"/>
      <c r="O77" s="23"/>
      <c r="P77" s="23"/>
      <c r="Q77" s="23"/>
      <c r="R77" s="23"/>
      <c r="S77" s="23"/>
      <c r="T77" s="23"/>
      <c r="U77" s="23"/>
      <c r="V77" s="23"/>
      <c r="W77" s="23"/>
      <c r="X77" s="23"/>
      <c r="Y77" s="23"/>
      <c r="Z77" s="23"/>
      <c r="AA77" s="23"/>
      <c r="AB77" s="23"/>
      <c r="AC77" s="23"/>
      <c r="AD77" s="23"/>
      <c r="AE77" s="23"/>
      <c r="AF77" s="23"/>
      <c r="AG77" s="23"/>
      <c r="AH77" s="23"/>
    </row>
    <row r="78" customFormat="false" ht="15.75" hidden="false" customHeight="true" outlineLevel="0" collapsed="false">
      <c r="A78" s="81" t="s">
        <v>219</v>
      </c>
      <c r="B78" s="81" t="str">
        <f aca="false" t="array" ref="B78:B78">IFERROR(INDEX('CLM &amp; IM Mapping'!$B$2:$B$270,MATCH($A78,'CLM &amp; IM Mapping'!$A$2:$A$270,0)),"Not Mapped")</f>
        <v>Arun Raj</v>
      </c>
      <c r="C78" s="81" t="str">
        <f aca="false" t="array" ref="C78:C78">IFERROR(INDEX('CLM &amp; IM Mapping'!$C$2:$C$270,MATCH($A78,'CLM &amp; IM Mapping'!$A$2:$A$270,0)),"Not Mapped")</f>
        <v>Simon Manoharan</v>
      </c>
      <c r="D78" s="82" t="n">
        <f aca="false">IF(COUNTIFS(Shrinkage!$A$2:$A$3000,$K$2,Shrinkage!$D$2:$D$3000,$A78)&gt;0,SUMIFS(Shrinkage!$P$2:$P$3000,Shrinkage!$A$2:$A$3000,$K$2,Shrinkage!$D$2:$D$3000,$A78),IF(COUNTIFS(Shrinkage!$A$2:$A$3000,$K$2,Shrinkage!$D$2:$D$3000,SUBSTITUTE($A78," SS","  SS"))&gt;0,SUMIFS(Shrinkage!$P$2:$P$3000,Shrinkage!$A$2:$A$3000,$K$2,Shrinkage!$D$2:$D$3000,SUBSTITUTE($A78," SS","  SS")),"NA"))</f>
        <v>19798</v>
      </c>
      <c r="E78" s="83" t="n">
        <f aca="false">IF(COUNTIFS('Inventory Hygiene'!$A$2:$A$3000,$K$2,'Inventory Hygiene'!$B$2:$B$3000,$A78)&gt;0,AVERAGEIFS('Inventory Hygiene'!$J$2:$J$3000,'Inventory Hygiene'!$A$2:$A$3000,$K$2,'Inventory Hygiene'!$B$2:$B$3000,$A78),IF(COUNTIFS('Inventory Hygiene'!$A$2:$A$3000,$K$2,'Inventory Hygiene'!$B$2:$B$3000,SUBSTITUTE($A78," SS","  SS"))&gt;0,AVERAGEIFS('Inventory Hygiene'!$J$2:$J$3000,'Inventory Hygiene'!$A$2:$A$3000,$K$2,'Inventory Hygiene'!$B$2:$B$3000,SUBSTITUTE($A78," SS","  SS")),"NA"))</f>
        <v>0.486689419795222</v>
      </c>
      <c r="F78" s="81" t="n">
        <f aca="false">IF(COUNTIFS('Bad Bins'!$A$2:$A$3000,$K$2,'Bad Bins'!$B$2:$B$3000,$A78)&gt;0,SUMIFS('Bad Bins'!$K$2:$K$3000,'Bad Bins'!$A$2:$A$3000,$K$2,'Bad Bins'!$B$2:$B$3000,$A78),IF(COUNTIFS('Bad Bins'!$A$2:$A$3000,$K$2,'Bad Bins'!$B$2:$B$3000,SUBSTITUTE($A78," SS","  SS"))&gt;0,SUMIFS('Bad Bins'!$K$2:$K$3000,'Bad Bins'!$A$2:$A$3000,$K$2,'Bad Bins'!$B$2:$B$3000,SUBSTITUTE($A78," SS","  SS")),"NA"))</f>
        <v>17</v>
      </c>
      <c r="G78" s="81" t="str">
        <f aca="false">IF(COUNTIFS('RSTO &gt; 48hrs'!$A$2:$A$3000,$K$2,'RSTO &gt; 48hrs'!$B$2:$B$3000,$A78)&gt;0,SUMIFS('RSTO &gt; 48hrs'!$H$2:$H$3000,'RSTO &gt; 48hrs'!$A$2:$A$3000,$K$2,'RSTO &gt; 48hrs'!$B$2:$B$3000,$A78),IF(COUNTIFS('RSTO &gt; 48hrs'!$A$2:$A$3000,$K$2,'RSTO &gt; 48hrs'!$B$2:$B$3000,SUBSTITUTE($A78," SS","  SS"))&gt;0,SUMIFS('RSTO &gt; 48hrs'!$H$2:$H$3000,'RSTO &gt; 48hrs'!$A$2:$A$3000,$K$2,'RSTO &gt; 48hrs'!$B$2:$B$3000,SUBSTITUTE($A78," SS","  SS")),"NA"))</f>
        <v>NA</v>
      </c>
      <c r="H78" s="81" t="n">
        <f aca="false">IF(COUNTIFS('Recirculation &gt; 24 hrs'!$A$2:$A$3000,$K$2,'Recirculation &gt; 24 hrs'!$B$2:$B$3000,$A78)&gt;0,SUMIFS('Recirculation &gt; 24 hrs'!$K$2:$K$3000,'Recirculation &gt; 24 hrs'!$A$2:$A$3000,$K$2,'Recirculation &gt; 24 hrs'!$B$2:$B$3000,$A78),IF(COUNTIFS('Recirculation &gt; 24 hrs'!$A$2:$A$3000,$K$2,'Recirculation &gt; 24 hrs'!$B$2:$B$3000,SUBSTITUTE($A78," SS","  SS"))&gt;0,SUMIFS('Recirculation &gt; 24 hrs'!$K$2:$K$3000,'Recirculation &gt; 24 hrs'!$A$2:$A$3000,$K$2,'Recirculation &gt; 24 hrs'!$B$2:$B$3000,SUBSTITUTE($A78," SS","  SS")),"NA"))</f>
        <v>137</v>
      </c>
      <c r="I78" s="81" t="n">
        <f aca="false">IF(COUNTIFS('Pending Putaway'!$A$2:$A$3000,$K$2,'Pending Putaway'!$B$2:$B$3000,$A78)&gt;0,SUMIFS('Pending Putaway'!$E$2:$E$3000,'Pending Putaway'!$A$2:$A$3000,$K$2,'Pending Putaway'!$B$2:$B$3000,$A78),IF(COUNTIFS('Pending Putaway'!$A$2:$A$3000,$K$2,'Pending Putaway'!$B$2:$B$3000,SUBSTITUTE($A78," SS","  SS"))&gt;0,SUMIFS('Pending Putaway'!$E$2:$E$3000,'Pending Putaway'!$A$2:$A$3000,$K$2,'Pending Putaway'!$B$2:$B$3000,SUBSTITUTE($A78," SS","  SS")),"NA"))</f>
        <v>473</v>
      </c>
      <c r="J78" s="81" t="n">
        <f aca="false">IF(COUNTIFS('Pending Putaway'!$A$2:$A$3000,$K$2,'Pending Putaway'!$B$2:$B$3000,$A78)&gt;0,SUMIFS('Pending Putaway'!$L$2:$L$3000,'Pending Putaway'!$A$2:$A$3000,$K$2,'Pending Putaway'!$B$2:$B$3000,$A78),IF(COUNTIFS('Pending Putaway'!$A$2:$A$3000,$K$2,'Pending Putaway'!$B$2:$B$3000,SUBSTITUTE($A78," SS","  SS"))&gt;0,SUMIFS('Pending Putaway'!$L$2:$L$3000,'Pending Putaway'!$A$2:$A$3000,$K$2,'Pending Putaway'!$B$2:$B$3000,SUBSTITUTE($A78," SS","  SS")),"NA"))</f>
        <v>0</v>
      </c>
      <c r="K78" s="23"/>
      <c r="L78" s="23"/>
      <c r="M78" s="23"/>
      <c r="N78" s="23"/>
      <c r="O78" s="23"/>
      <c r="P78" s="23"/>
      <c r="Q78" s="23"/>
      <c r="R78" s="23"/>
      <c r="S78" s="23"/>
      <c r="T78" s="23"/>
      <c r="U78" s="23"/>
      <c r="V78" s="23"/>
      <c r="W78" s="23"/>
      <c r="X78" s="23"/>
      <c r="Y78" s="23"/>
      <c r="Z78" s="23"/>
      <c r="AA78" s="23"/>
      <c r="AB78" s="23"/>
      <c r="AC78" s="23"/>
      <c r="AD78" s="23"/>
      <c r="AE78" s="23"/>
      <c r="AF78" s="23"/>
      <c r="AG78" s="23"/>
      <c r="AH78" s="23"/>
    </row>
    <row r="79" customFormat="false" ht="15.75" hidden="false" customHeight="true" outlineLevel="0" collapsed="false">
      <c r="A79" s="81" t="s">
        <v>231</v>
      </c>
      <c r="B79" s="81" t="str">
        <f aca="false" t="array" ref="B79:B79">IFERROR(INDEX('CLM &amp; IM Mapping'!$B$2:$B$270,MATCH($A79,'CLM &amp; IM Mapping'!$A$2:$A$270,0)),"Not Mapped")</f>
        <v>Arun Raj</v>
      </c>
      <c r="C79" s="81" t="str">
        <f aca="false" t="array" ref="C79:C79">IFERROR(INDEX('CLM &amp; IM Mapping'!$C$2:$C$270,MATCH($A79,'CLM &amp; IM Mapping'!$A$2:$A$270,0)),"Not Mapped")</f>
        <v>Simon Manoharan</v>
      </c>
      <c r="D79" s="82" t="n">
        <f aca="false">IF(COUNTIFS(Shrinkage!$A$2:$A$3000,$K$2,Shrinkage!$D$2:$D$3000,$A79)&gt;0,SUMIFS(Shrinkage!$P$2:$P$3000,Shrinkage!$A$2:$A$3000,$K$2,Shrinkage!$D$2:$D$3000,$A79),IF(COUNTIFS(Shrinkage!$A$2:$A$3000,$K$2,Shrinkage!$D$2:$D$3000,SUBSTITUTE($A79," SS","  SS"))&gt;0,SUMIFS(Shrinkage!$P$2:$P$3000,Shrinkage!$A$2:$A$3000,$K$2,Shrinkage!$D$2:$D$3000,SUBSTITUTE($A79," SS","  SS")),"NA"))</f>
        <v>12266</v>
      </c>
      <c r="E79" s="83" t="n">
        <f aca="false">IF(COUNTIFS('Inventory Hygiene'!$A$2:$A$3000,$K$2,'Inventory Hygiene'!$B$2:$B$3000,$A79)&gt;0,AVERAGEIFS('Inventory Hygiene'!$J$2:$J$3000,'Inventory Hygiene'!$A$2:$A$3000,$K$2,'Inventory Hygiene'!$B$2:$B$3000,$A79),IF(COUNTIFS('Inventory Hygiene'!$A$2:$A$3000,$K$2,'Inventory Hygiene'!$B$2:$B$3000,SUBSTITUTE($A79," SS","  SS"))&gt;0,AVERAGEIFS('Inventory Hygiene'!$J$2:$J$3000,'Inventory Hygiene'!$A$2:$A$3000,$K$2,'Inventory Hygiene'!$B$2:$B$3000,SUBSTITUTE($A79," SS","  SS")),"NA"))</f>
        <v>0.405109489051095</v>
      </c>
      <c r="F79" s="81" t="n">
        <f aca="false">IF(COUNTIFS('Bad Bins'!$A$2:$A$3000,$K$2,'Bad Bins'!$B$2:$B$3000,$A79)&gt;0,SUMIFS('Bad Bins'!$K$2:$K$3000,'Bad Bins'!$A$2:$A$3000,$K$2,'Bad Bins'!$B$2:$B$3000,$A79),IF(COUNTIFS('Bad Bins'!$A$2:$A$3000,$K$2,'Bad Bins'!$B$2:$B$3000,SUBSTITUTE($A79," SS","  SS"))&gt;0,SUMIFS('Bad Bins'!$K$2:$K$3000,'Bad Bins'!$A$2:$A$3000,$K$2,'Bad Bins'!$B$2:$B$3000,SUBSTITUTE($A79," SS","  SS")),"NA"))</f>
        <v>8</v>
      </c>
      <c r="G79" s="81" t="str">
        <f aca="false">IF(COUNTIFS('RSTO &gt; 48hrs'!$A$2:$A$3000,$K$2,'RSTO &gt; 48hrs'!$B$2:$B$3000,$A79)&gt;0,SUMIFS('RSTO &gt; 48hrs'!$H$2:$H$3000,'RSTO &gt; 48hrs'!$A$2:$A$3000,$K$2,'RSTO &gt; 48hrs'!$B$2:$B$3000,$A79),IF(COUNTIFS('RSTO &gt; 48hrs'!$A$2:$A$3000,$K$2,'RSTO &gt; 48hrs'!$B$2:$B$3000,SUBSTITUTE($A79," SS","  SS"))&gt;0,SUMIFS('RSTO &gt; 48hrs'!$H$2:$H$3000,'RSTO &gt; 48hrs'!$A$2:$A$3000,$K$2,'RSTO &gt; 48hrs'!$B$2:$B$3000,SUBSTITUTE($A79," SS","  SS")),"NA"))</f>
        <v>NA</v>
      </c>
      <c r="H79" s="81" t="n">
        <f aca="false">IF(COUNTIFS('Recirculation &gt; 24 hrs'!$A$2:$A$3000,$K$2,'Recirculation &gt; 24 hrs'!$B$2:$B$3000,$A79)&gt;0,SUMIFS('Recirculation &gt; 24 hrs'!$K$2:$K$3000,'Recirculation &gt; 24 hrs'!$A$2:$A$3000,$K$2,'Recirculation &gt; 24 hrs'!$B$2:$B$3000,$A79),IF(COUNTIFS('Recirculation &gt; 24 hrs'!$A$2:$A$3000,$K$2,'Recirculation &gt; 24 hrs'!$B$2:$B$3000,SUBSTITUTE($A79," SS","  SS"))&gt;0,SUMIFS('Recirculation &gt; 24 hrs'!$K$2:$K$3000,'Recirculation &gt; 24 hrs'!$A$2:$A$3000,$K$2,'Recirculation &gt; 24 hrs'!$B$2:$B$3000,SUBSTITUTE($A79," SS","  SS")),"NA"))</f>
        <v>142</v>
      </c>
      <c r="I79" s="81" t="n">
        <f aca="false">IF(COUNTIFS('Pending Putaway'!$A$2:$A$3000,$K$2,'Pending Putaway'!$B$2:$B$3000,$A79)&gt;0,SUMIFS('Pending Putaway'!$E$2:$E$3000,'Pending Putaway'!$A$2:$A$3000,$K$2,'Pending Putaway'!$B$2:$B$3000,$A79),IF(COUNTIFS('Pending Putaway'!$A$2:$A$3000,$K$2,'Pending Putaway'!$B$2:$B$3000,SUBSTITUTE($A79," SS","  SS"))&gt;0,SUMIFS('Pending Putaway'!$E$2:$E$3000,'Pending Putaway'!$A$2:$A$3000,$K$2,'Pending Putaway'!$B$2:$B$3000,SUBSTITUTE($A79," SS","  SS")),"NA"))</f>
        <v>0</v>
      </c>
      <c r="J79" s="81" t="n">
        <f aca="false">IF(COUNTIFS('Pending Putaway'!$A$2:$A$3000,$K$2,'Pending Putaway'!$B$2:$B$3000,$A79)&gt;0,SUMIFS('Pending Putaway'!$L$2:$L$3000,'Pending Putaway'!$A$2:$A$3000,$K$2,'Pending Putaway'!$B$2:$B$3000,$A79),IF(COUNTIFS('Pending Putaway'!$A$2:$A$3000,$K$2,'Pending Putaway'!$B$2:$B$3000,SUBSTITUTE($A79," SS","  SS"))&gt;0,SUMIFS('Pending Putaway'!$L$2:$L$3000,'Pending Putaway'!$A$2:$A$3000,$K$2,'Pending Putaway'!$B$2:$B$3000,SUBSTITUTE($A79," SS","  SS")),"NA"))</f>
        <v>0</v>
      </c>
      <c r="K79" s="23"/>
      <c r="L79" s="23"/>
      <c r="M79" s="23"/>
      <c r="N79" s="23"/>
      <c r="O79" s="23"/>
      <c r="P79" s="23"/>
      <c r="Q79" s="23"/>
      <c r="R79" s="23"/>
      <c r="S79" s="23"/>
      <c r="T79" s="23"/>
      <c r="U79" s="23"/>
      <c r="V79" s="23"/>
      <c r="W79" s="23"/>
      <c r="X79" s="23"/>
      <c r="Y79" s="23"/>
      <c r="Z79" s="23"/>
      <c r="AA79" s="23"/>
      <c r="AB79" s="23"/>
      <c r="AC79" s="23"/>
      <c r="AD79" s="23"/>
      <c r="AE79" s="23"/>
      <c r="AF79" s="23"/>
      <c r="AG79" s="23"/>
      <c r="AH79" s="23"/>
    </row>
    <row r="80" customFormat="false" ht="15.75" hidden="false" customHeight="true" outlineLevel="0" collapsed="false">
      <c r="A80" s="81" t="s">
        <v>368</v>
      </c>
      <c r="B80" s="81" t="str">
        <f aca="false" t="array" ref="B80:B80">IFERROR(INDEX('CLM &amp; IM Mapping'!$B$2:$B$270,MATCH($A80,'CLM &amp; IM Mapping'!$A$2:$A$270,0)),"Not Mapped")</f>
        <v>Arun Raj</v>
      </c>
      <c r="C80" s="81" t="str">
        <f aca="false" t="array" ref="C80:C80">IFERROR(INDEX('CLM &amp; IM Mapping'!$C$2:$C$270,MATCH($A80,'CLM &amp; IM Mapping'!$A$2:$A$270,0)),"Not Mapped")</f>
        <v>Simon Manoharan</v>
      </c>
      <c r="D80" s="82" t="n">
        <f aca="false">IF(COUNTIFS(Shrinkage!$A$2:$A$3000,$K$2,Shrinkage!$D$2:$D$3000,$A80)&gt;0,SUMIFS(Shrinkage!$P$2:$P$3000,Shrinkage!$A$2:$A$3000,$K$2,Shrinkage!$D$2:$D$3000,$A80),IF(COUNTIFS(Shrinkage!$A$2:$A$3000,$K$2,Shrinkage!$D$2:$D$3000,SUBSTITUTE($A80," SS","  SS"))&gt;0,SUMIFS(Shrinkage!$P$2:$P$3000,Shrinkage!$A$2:$A$3000,$K$2,Shrinkage!$D$2:$D$3000,SUBSTITUTE($A80," SS","  SS")),"NA"))</f>
        <v>0</v>
      </c>
      <c r="E80" s="83" t="n">
        <f aca="false">IF(COUNTIFS('Inventory Hygiene'!$A$2:$A$3000,$K$2,'Inventory Hygiene'!$B$2:$B$3000,$A80)&gt;0,AVERAGEIFS('Inventory Hygiene'!$J$2:$J$3000,'Inventory Hygiene'!$A$2:$A$3000,$K$2,'Inventory Hygiene'!$B$2:$B$3000,$A80),IF(COUNTIFS('Inventory Hygiene'!$A$2:$A$3000,$K$2,'Inventory Hygiene'!$B$2:$B$3000,SUBSTITUTE($A80," SS","  SS"))&gt;0,AVERAGEIFS('Inventory Hygiene'!$J$2:$J$3000,'Inventory Hygiene'!$A$2:$A$3000,$K$2,'Inventory Hygiene'!$B$2:$B$3000,SUBSTITUTE($A80," SS","  SS")),"NA"))</f>
        <v>0</v>
      </c>
      <c r="F80" s="81" t="n">
        <f aca="false">IF(COUNTIFS('Bad Bins'!$A$2:$A$3000,$K$2,'Bad Bins'!$B$2:$B$3000,$A80)&gt;0,SUMIFS('Bad Bins'!$K$2:$K$3000,'Bad Bins'!$A$2:$A$3000,$K$2,'Bad Bins'!$B$2:$B$3000,$A80),IF(COUNTIFS('Bad Bins'!$A$2:$A$3000,$K$2,'Bad Bins'!$B$2:$B$3000,SUBSTITUTE($A80," SS","  SS"))&gt;0,SUMIFS('Bad Bins'!$K$2:$K$3000,'Bad Bins'!$A$2:$A$3000,$K$2,'Bad Bins'!$B$2:$B$3000,SUBSTITUTE($A80," SS","  SS")),"NA"))</f>
        <v>0</v>
      </c>
      <c r="G80" s="81" t="str">
        <f aca="false">IF(COUNTIFS('RSTO &gt; 48hrs'!$A$2:$A$3000,$K$2,'RSTO &gt; 48hrs'!$B$2:$B$3000,$A80)&gt;0,SUMIFS('RSTO &gt; 48hrs'!$H$2:$H$3000,'RSTO &gt; 48hrs'!$A$2:$A$3000,$K$2,'RSTO &gt; 48hrs'!$B$2:$B$3000,$A80),IF(COUNTIFS('RSTO &gt; 48hrs'!$A$2:$A$3000,$K$2,'RSTO &gt; 48hrs'!$B$2:$B$3000,SUBSTITUTE($A80," SS","  SS"))&gt;0,SUMIFS('RSTO &gt; 48hrs'!$H$2:$H$3000,'RSTO &gt; 48hrs'!$A$2:$A$3000,$K$2,'RSTO &gt; 48hrs'!$B$2:$B$3000,SUBSTITUTE($A80," SS","  SS")),"NA"))</f>
        <v>NA</v>
      </c>
      <c r="H80" s="81" t="str">
        <f aca="false">IF(COUNTIFS('Recirculation &gt; 24 hrs'!$A$2:$A$3000,$K$2,'Recirculation &gt; 24 hrs'!$B$2:$B$3000,$A80)&gt;0,SUMIFS('Recirculation &gt; 24 hrs'!$K$2:$K$3000,'Recirculation &gt; 24 hrs'!$A$2:$A$3000,$K$2,'Recirculation &gt; 24 hrs'!$B$2:$B$3000,$A80),IF(COUNTIFS('Recirculation &gt; 24 hrs'!$A$2:$A$3000,$K$2,'Recirculation &gt; 24 hrs'!$B$2:$B$3000,SUBSTITUTE($A80," SS","  SS"))&gt;0,SUMIFS('Recirculation &gt; 24 hrs'!$K$2:$K$3000,'Recirculation &gt; 24 hrs'!$A$2:$A$3000,$K$2,'Recirculation &gt; 24 hrs'!$B$2:$B$3000,SUBSTITUTE($A80," SS","  SS")),"NA"))</f>
        <v>NA</v>
      </c>
      <c r="I80" s="81" t="str">
        <f aca="false">IF(COUNTIFS('Pending Putaway'!$A$2:$A$3000,$K$2,'Pending Putaway'!$B$2:$B$3000,$A80)&gt;0,SUMIFS('Pending Putaway'!$E$2:$E$3000,'Pending Putaway'!$A$2:$A$3000,$K$2,'Pending Putaway'!$B$2:$B$3000,$A80),IF(COUNTIFS('Pending Putaway'!$A$2:$A$3000,$K$2,'Pending Putaway'!$B$2:$B$3000,SUBSTITUTE($A80," SS","  SS"))&gt;0,SUMIFS('Pending Putaway'!$E$2:$E$3000,'Pending Putaway'!$A$2:$A$3000,$K$2,'Pending Putaway'!$B$2:$B$3000,SUBSTITUTE($A80," SS","  SS")),"NA"))</f>
        <v>NA</v>
      </c>
      <c r="J80" s="81" t="str">
        <f aca="false">IF(COUNTIFS('Pending Putaway'!$A$2:$A$3000,$K$2,'Pending Putaway'!$B$2:$B$3000,$A80)&gt;0,SUMIFS('Pending Putaway'!$L$2:$L$3000,'Pending Putaway'!$A$2:$A$3000,$K$2,'Pending Putaway'!$B$2:$B$3000,$A80),IF(COUNTIFS('Pending Putaway'!$A$2:$A$3000,$K$2,'Pending Putaway'!$B$2:$B$3000,SUBSTITUTE($A80," SS","  SS"))&gt;0,SUMIFS('Pending Putaway'!$L$2:$L$3000,'Pending Putaway'!$A$2:$A$3000,$K$2,'Pending Putaway'!$B$2:$B$3000,SUBSTITUTE($A80," SS","  SS")),"NA"))</f>
        <v>NA</v>
      </c>
      <c r="K80" s="23"/>
      <c r="L80" s="23"/>
      <c r="M80" s="23"/>
      <c r="N80" s="23"/>
      <c r="O80" s="23"/>
      <c r="P80" s="23"/>
      <c r="Q80" s="23"/>
      <c r="R80" s="23"/>
      <c r="S80" s="23"/>
      <c r="T80" s="23"/>
      <c r="U80" s="23"/>
      <c r="V80" s="23"/>
      <c r="W80" s="23"/>
      <c r="X80" s="23"/>
      <c r="Y80" s="23"/>
      <c r="Z80" s="23"/>
      <c r="AA80" s="23"/>
      <c r="AB80" s="23"/>
      <c r="AC80" s="23"/>
      <c r="AD80" s="23"/>
      <c r="AE80" s="23"/>
      <c r="AF80" s="23"/>
      <c r="AG80" s="23"/>
      <c r="AH80" s="23"/>
    </row>
    <row r="81" customFormat="false" ht="15.75" hidden="false" customHeight="true" outlineLevel="0" collapsed="false">
      <c r="A81" s="81" t="s">
        <v>229</v>
      </c>
      <c r="B81" s="81" t="str">
        <f aca="false" t="array" ref="B81:B81">IFERROR(INDEX('CLM &amp; IM Mapping'!$B$2:$B$270,MATCH($A81,'CLM &amp; IM Mapping'!$A$2:$A$270,0)),"Not Mapped")</f>
        <v>Arun Raj</v>
      </c>
      <c r="C81" s="81" t="str">
        <f aca="false" t="array" ref="C81:C81">IFERROR(INDEX('CLM &amp; IM Mapping'!$C$2:$C$270,MATCH($A81,'CLM &amp; IM Mapping'!$A$2:$A$270,0)),"Not Mapped")</f>
        <v>Simon Manoharan</v>
      </c>
      <c r="D81" s="82" t="n">
        <f aca="false">IF(COUNTIFS(Shrinkage!$A$2:$A$3000,$K$2,Shrinkage!$D$2:$D$3000,$A81)&gt;0,SUMIFS(Shrinkage!$P$2:$P$3000,Shrinkage!$A$2:$A$3000,$K$2,Shrinkage!$D$2:$D$3000,$A81),IF(COUNTIFS(Shrinkage!$A$2:$A$3000,$K$2,Shrinkage!$D$2:$D$3000,SUBSTITUTE($A81," SS","  SS"))&gt;0,SUMIFS(Shrinkage!$P$2:$P$3000,Shrinkage!$A$2:$A$3000,$K$2,Shrinkage!$D$2:$D$3000,SUBSTITUTE($A81," SS","  SS")),"NA"))</f>
        <v>21336</v>
      </c>
      <c r="E81" s="83" t="n">
        <f aca="false">IF(COUNTIFS('Inventory Hygiene'!$A$2:$A$3000,$K$2,'Inventory Hygiene'!$B$2:$B$3000,$A81)&gt;0,AVERAGEIFS('Inventory Hygiene'!$J$2:$J$3000,'Inventory Hygiene'!$A$2:$A$3000,$K$2,'Inventory Hygiene'!$B$2:$B$3000,$A81),IF(COUNTIFS('Inventory Hygiene'!$A$2:$A$3000,$K$2,'Inventory Hygiene'!$B$2:$B$3000,SUBSTITUTE($A81," SS","  SS"))&gt;0,AVERAGEIFS('Inventory Hygiene'!$J$2:$J$3000,'Inventory Hygiene'!$A$2:$A$3000,$K$2,'Inventory Hygiene'!$B$2:$B$3000,SUBSTITUTE($A81," SS","  SS")),"NA"))</f>
        <v>0.355998835177635</v>
      </c>
      <c r="F81" s="81" t="n">
        <f aca="false">IF(COUNTIFS('Bad Bins'!$A$2:$A$3000,$K$2,'Bad Bins'!$B$2:$B$3000,$A81)&gt;0,SUMIFS('Bad Bins'!$K$2:$K$3000,'Bad Bins'!$A$2:$A$3000,$K$2,'Bad Bins'!$B$2:$B$3000,$A81),IF(COUNTIFS('Bad Bins'!$A$2:$A$3000,$K$2,'Bad Bins'!$B$2:$B$3000,SUBSTITUTE($A81," SS","  SS"))&gt;0,SUMIFS('Bad Bins'!$K$2:$K$3000,'Bad Bins'!$A$2:$A$3000,$K$2,'Bad Bins'!$B$2:$B$3000,SUBSTITUTE($A81," SS","  SS")),"NA"))</f>
        <v>4</v>
      </c>
      <c r="G81" s="81" t="str">
        <f aca="false">IF(COUNTIFS('RSTO &gt; 48hrs'!$A$2:$A$3000,$K$2,'RSTO &gt; 48hrs'!$B$2:$B$3000,$A81)&gt;0,SUMIFS('RSTO &gt; 48hrs'!$H$2:$H$3000,'RSTO &gt; 48hrs'!$A$2:$A$3000,$K$2,'RSTO &gt; 48hrs'!$B$2:$B$3000,$A81),IF(COUNTIFS('RSTO &gt; 48hrs'!$A$2:$A$3000,$K$2,'RSTO &gt; 48hrs'!$B$2:$B$3000,SUBSTITUTE($A81," SS","  SS"))&gt;0,SUMIFS('RSTO &gt; 48hrs'!$H$2:$H$3000,'RSTO &gt; 48hrs'!$A$2:$A$3000,$K$2,'RSTO &gt; 48hrs'!$B$2:$B$3000,SUBSTITUTE($A81," SS","  SS")),"NA"))</f>
        <v>NA</v>
      </c>
      <c r="H81" s="81" t="n">
        <f aca="false">IF(COUNTIFS('Recirculation &gt; 24 hrs'!$A$2:$A$3000,$K$2,'Recirculation &gt; 24 hrs'!$B$2:$B$3000,$A81)&gt;0,SUMIFS('Recirculation &gt; 24 hrs'!$K$2:$K$3000,'Recirculation &gt; 24 hrs'!$A$2:$A$3000,$K$2,'Recirculation &gt; 24 hrs'!$B$2:$B$3000,$A81),IF(COUNTIFS('Recirculation &gt; 24 hrs'!$A$2:$A$3000,$K$2,'Recirculation &gt; 24 hrs'!$B$2:$B$3000,SUBSTITUTE($A81," SS","  SS"))&gt;0,SUMIFS('Recirculation &gt; 24 hrs'!$K$2:$K$3000,'Recirculation &gt; 24 hrs'!$A$2:$A$3000,$K$2,'Recirculation &gt; 24 hrs'!$B$2:$B$3000,SUBSTITUTE($A81," SS","  SS")),"NA"))</f>
        <v>449</v>
      </c>
      <c r="I81" s="81" t="n">
        <f aca="false">IF(COUNTIFS('Pending Putaway'!$A$2:$A$3000,$K$2,'Pending Putaway'!$B$2:$B$3000,$A81)&gt;0,SUMIFS('Pending Putaway'!$E$2:$E$3000,'Pending Putaway'!$A$2:$A$3000,$K$2,'Pending Putaway'!$B$2:$B$3000,$A81),IF(COUNTIFS('Pending Putaway'!$A$2:$A$3000,$K$2,'Pending Putaway'!$B$2:$B$3000,SUBSTITUTE($A81," SS","  SS"))&gt;0,SUMIFS('Pending Putaway'!$E$2:$E$3000,'Pending Putaway'!$A$2:$A$3000,$K$2,'Pending Putaway'!$B$2:$B$3000,SUBSTITUTE($A81," SS","  SS")),"NA"))</f>
        <v>0</v>
      </c>
      <c r="J81" s="81" t="n">
        <f aca="false">IF(COUNTIFS('Pending Putaway'!$A$2:$A$3000,$K$2,'Pending Putaway'!$B$2:$B$3000,$A81)&gt;0,SUMIFS('Pending Putaway'!$L$2:$L$3000,'Pending Putaway'!$A$2:$A$3000,$K$2,'Pending Putaway'!$B$2:$B$3000,$A81),IF(COUNTIFS('Pending Putaway'!$A$2:$A$3000,$K$2,'Pending Putaway'!$B$2:$B$3000,SUBSTITUTE($A81," SS","  SS"))&gt;0,SUMIFS('Pending Putaway'!$L$2:$L$3000,'Pending Putaway'!$A$2:$A$3000,$K$2,'Pending Putaway'!$B$2:$B$3000,SUBSTITUTE($A81," SS","  SS")),"NA"))</f>
        <v>0</v>
      </c>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customFormat="false" ht="15.75" hidden="false" customHeight="true" outlineLevel="0" collapsed="false">
      <c r="A82" s="81" t="s">
        <v>490</v>
      </c>
      <c r="B82" s="81" t="str">
        <f aca="false" t="array" ref="B82:B82">IFERROR(INDEX('CLM &amp; IM Mapping'!$B$2:$B$270,MATCH($A82,'CLM &amp; IM Mapping'!$A$2:$A$270,0)),"Not Mapped")</f>
        <v>Arun Raj</v>
      </c>
      <c r="C82" s="81" t="str">
        <f aca="false" t="array" ref="C82:C82">IFERROR(INDEX('CLM &amp; IM Mapping'!$C$2:$C$270,MATCH($A82,'CLM &amp; IM Mapping'!$A$2:$A$270,0)),"Not Mapped")</f>
        <v>Simon Manoharan</v>
      </c>
      <c r="D82" s="82" t="n">
        <f aca="false">IF(COUNTIFS(Shrinkage!$A$2:$A$3000,$K$2,Shrinkage!$D$2:$D$3000,$A82)&gt;0,SUMIFS(Shrinkage!$P$2:$P$3000,Shrinkage!$A$2:$A$3000,$K$2,Shrinkage!$D$2:$D$3000,$A82),IF(COUNTIFS(Shrinkage!$A$2:$A$3000,$K$2,Shrinkage!$D$2:$D$3000,SUBSTITUTE($A82," SS","  SS"))&gt;0,SUMIFS(Shrinkage!$P$2:$P$3000,Shrinkage!$A$2:$A$3000,$K$2,Shrinkage!$D$2:$D$3000,SUBSTITUTE($A82," SS","  SS")),"NA"))</f>
        <v>-15482</v>
      </c>
      <c r="E82" s="83" t="n">
        <f aca="false">IF(COUNTIFS('Inventory Hygiene'!$A$2:$A$3000,$K$2,'Inventory Hygiene'!$B$2:$B$3000,$A82)&gt;0,AVERAGEIFS('Inventory Hygiene'!$J$2:$J$3000,'Inventory Hygiene'!$A$2:$A$3000,$K$2,'Inventory Hygiene'!$B$2:$B$3000,$A82),IF(COUNTIFS('Inventory Hygiene'!$A$2:$A$3000,$K$2,'Inventory Hygiene'!$B$2:$B$3000,SUBSTITUTE($A82," SS","  SS"))&gt;0,AVERAGEIFS('Inventory Hygiene'!$J$2:$J$3000,'Inventory Hygiene'!$A$2:$A$3000,$K$2,'Inventory Hygiene'!$B$2:$B$3000,SUBSTITUTE($A82," SS","  SS")),"NA"))</f>
        <v>0.456748850814877</v>
      </c>
      <c r="F82" s="81" t="n">
        <f aca="false">IF(COUNTIFS('Bad Bins'!$A$2:$A$3000,$K$2,'Bad Bins'!$B$2:$B$3000,$A82)&gt;0,SUMIFS('Bad Bins'!$K$2:$K$3000,'Bad Bins'!$A$2:$A$3000,$K$2,'Bad Bins'!$B$2:$B$3000,$A82),IF(COUNTIFS('Bad Bins'!$A$2:$A$3000,$K$2,'Bad Bins'!$B$2:$B$3000,SUBSTITUTE($A82," SS","  SS"))&gt;0,SUMIFS('Bad Bins'!$K$2:$K$3000,'Bad Bins'!$A$2:$A$3000,$K$2,'Bad Bins'!$B$2:$B$3000,SUBSTITUTE($A82," SS","  SS")),"NA"))</f>
        <v>44</v>
      </c>
      <c r="G82" s="81" t="str">
        <f aca="false">IF(COUNTIFS('RSTO &gt; 48hrs'!$A$2:$A$3000,$K$2,'RSTO &gt; 48hrs'!$B$2:$B$3000,$A82)&gt;0,SUMIFS('RSTO &gt; 48hrs'!$H$2:$H$3000,'RSTO &gt; 48hrs'!$A$2:$A$3000,$K$2,'RSTO &gt; 48hrs'!$B$2:$B$3000,$A82),IF(COUNTIFS('RSTO &gt; 48hrs'!$A$2:$A$3000,$K$2,'RSTO &gt; 48hrs'!$B$2:$B$3000,SUBSTITUTE($A82," SS","  SS"))&gt;0,SUMIFS('RSTO &gt; 48hrs'!$H$2:$H$3000,'RSTO &gt; 48hrs'!$A$2:$A$3000,$K$2,'RSTO &gt; 48hrs'!$B$2:$B$3000,SUBSTITUTE($A82," SS","  SS")),"NA"))</f>
        <v>NA</v>
      </c>
      <c r="H82" s="81" t="str">
        <f aca="false">IF(COUNTIFS('Recirculation &gt; 24 hrs'!$A$2:$A$3000,$K$2,'Recirculation &gt; 24 hrs'!$B$2:$B$3000,$A82)&gt;0,SUMIFS('Recirculation &gt; 24 hrs'!$K$2:$K$3000,'Recirculation &gt; 24 hrs'!$A$2:$A$3000,$K$2,'Recirculation &gt; 24 hrs'!$B$2:$B$3000,$A82),IF(COUNTIFS('Recirculation &gt; 24 hrs'!$A$2:$A$3000,$K$2,'Recirculation &gt; 24 hrs'!$B$2:$B$3000,SUBSTITUTE($A82," SS","  SS"))&gt;0,SUMIFS('Recirculation &gt; 24 hrs'!$K$2:$K$3000,'Recirculation &gt; 24 hrs'!$A$2:$A$3000,$K$2,'Recirculation &gt; 24 hrs'!$B$2:$B$3000,SUBSTITUTE($A82," SS","  SS")),"NA"))</f>
        <v>NA</v>
      </c>
      <c r="I82" s="81" t="n">
        <f aca="false">IF(COUNTIFS('Pending Putaway'!$A$2:$A$3000,$K$2,'Pending Putaway'!$B$2:$B$3000,$A82)&gt;0,SUMIFS('Pending Putaway'!$E$2:$E$3000,'Pending Putaway'!$A$2:$A$3000,$K$2,'Pending Putaway'!$B$2:$B$3000,$A82),IF(COUNTIFS('Pending Putaway'!$A$2:$A$3000,$K$2,'Pending Putaway'!$B$2:$B$3000,SUBSTITUTE($A82," SS","  SS"))&gt;0,SUMIFS('Pending Putaway'!$E$2:$E$3000,'Pending Putaway'!$A$2:$A$3000,$K$2,'Pending Putaway'!$B$2:$B$3000,SUBSTITUTE($A82," SS","  SS")),"NA"))</f>
        <v>1563</v>
      </c>
      <c r="J82" s="81" t="n">
        <f aca="false">IF(COUNTIFS('Pending Putaway'!$A$2:$A$3000,$K$2,'Pending Putaway'!$B$2:$B$3000,$A82)&gt;0,SUMIFS('Pending Putaway'!$L$2:$L$3000,'Pending Putaway'!$A$2:$A$3000,$K$2,'Pending Putaway'!$B$2:$B$3000,$A82),IF(COUNTIFS('Pending Putaway'!$A$2:$A$3000,$K$2,'Pending Putaway'!$B$2:$B$3000,SUBSTITUTE($A82," SS","  SS"))&gt;0,SUMIFS('Pending Putaway'!$L$2:$L$3000,'Pending Putaway'!$A$2:$A$3000,$K$2,'Pending Putaway'!$B$2:$B$3000,SUBSTITUTE($A82," SS","  SS")),"NA"))</f>
        <v>0</v>
      </c>
      <c r="K82" s="23"/>
      <c r="L82" s="23"/>
      <c r="M82" s="23"/>
      <c r="N82" s="23"/>
      <c r="O82" s="23"/>
      <c r="P82" s="23"/>
      <c r="Q82" s="23"/>
      <c r="R82" s="23"/>
      <c r="S82" s="23"/>
      <c r="T82" s="23"/>
      <c r="U82" s="23"/>
      <c r="V82" s="23"/>
      <c r="W82" s="23"/>
      <c r="X82" s="23"/>
      <c r="Y82" s="23"/>
      <c r="Z82" s="23"/>
      <c r="AA82" s="23"/>
      <c r="AB82" s="23"/>
      <c r="AC82" s="23"/>
      <c r="AD82" s="23"/>
      <c r="AE82" s="23"/>
      <c r="AF82" s="23"/>
      <c r="AG82" s="23"/>
      <c r="AH82" s="23"/>
    </row>
    <row r="83" customFormat="false" ht="15.75" hidden="false" customHeight="true" outlineLevel="0" collapsed="false">
      <c r="A83" s="81" t="s">
        <v>175</v>
      </c>
      <c r="B83" s="81" t="str">
        <f aca="false" t="array" ref="B83:B83">IFERROR(INDEX('CLM &amp; IM Mapping'!$B$2:$B$270,MATCH($A83,'CLM &amp; IM Mapping'!$A$2:$A$270,0)),"Not Mapped")</f>
        <v>Arun Raj</v>
      </c>
      <c r="C83" s="81" t="str">
        <f aca="false" t="array" ref="C83:C83">IFERROR(INDEX('CLM &amp; IM Mapping'!$C$2:$C$270,MATCH($A83,'CLM &amp; IM Mapping'!$A$2:$A$270,0)),"Not Mapped")</f>
        <v>Simon Manoharan</v>
      </c>
      <c r="D83" s="82" t="n">
        <f aca="false">IF(COUNTIFS(Shrinkage!$A$2:$A$3000,$K$2,Shrinkage!$D$2:$D$3000,$A83)&gt;0,SUMIFS(Shrinkage!$P$2:$P$3000,Shrinkage!$A$2:$A$3000,$K$2,Shrinkage!$D$2:$D$3000,$A83),IF(COUNTIFS(Shrinkage!$A$2:$A$3000,$K$2,Shrinkage!$D$2:$D$3000,SUBSTITUTE($A83," SS","  SS"))&gt;0,SUMIFS(Shrinkage!$P$2:$P$3000,Shrinkage!$A$2:$A$3000,$K$2,Shrinkage!$D$2:$D$3000,SUBSTITUTE($A83," SS","  SS")),"NA"))</f>
        <v>41699</v>
      </c>
      <c r="E83" s="83" t="n">
        <f aca="false">IF(COUNTIFS('Inventory Hygiene'!$A$2:$A$3000,$K$2,'Inventory Hygiene'!$B$2:$B$3000,$A83)&gt;0,AVERAGEIFS('Inventory Hygiene'!$J$2:$J$3000,'Inventory Hygiene'!$A$2:$A$3000,$K$2,'Inventory Hygiene'!$B$2:$B$3000,$A83),IF(COUNTIFS('Inventory Hygiene'!$A$2:$A$3000,$K$2,'Inventory Hygiene'!$B$2:$B$3000,SUBSTITUTE($A83," SS","  SS"))&gt;0,AVERAGEIFS('Inventory Hygiene'!$J$2:$J$3000,'Inventory Hygiene'!$A$2:$A$3000,$K$2,'Inventory Hygiene'!$B$2:$B$3000,SUBSTITUTE($A83," SS","  SS")),"NA"))</f>
        <v>0.302434226702729</v>
      </c>
      <c r="F83" s="81" t="n">
        <f aca="false">IF(COUNTIFS('Bad Bins'!$A$2:$A$3000,$K$2,'Bad Bins'!$B$2:$B$3000,$A83)&gt;0,SUMIFS('Bad Bins'!$K$2:$K$3000,'Bad Bins'!$A$2:$A$3000,$K$2,'Bad Bins'!$B$2:$B$3000,$A83),IF(COUNTIFS('Bad Bins'!$A$2:$A$3000,$K$2,'Bad Bins'!$B$2:$B$3000,SUBSTITUTE($A83," SS","  SS"))&gt;0,SUMIFS('Bad Bins'!$K$2:$K$3000,'Bad Bins'!$A$2:$A$3000,$K$2,'Bad Bins'!$B$2:$B$3000,SUBSTITUTE($A83," SS","  SS")),"NA"))</f>
        <v>28</v>
      </c>
      <c r="G83" s="81" t="str">
        <f aca="false">IF(COUNTIFS('RSTO &gt; 48hrs'!$A$2:$A$3000,$K$2,'RSTO &gt; 48hrs'!$B$2:$B$3000,$A83)&gt;0,SUMIFS('RSTO &gt; 48hrs'!$H$2:$H$3000,'RSTO &gt; 48hrs'!$A$2:$A$3000,$K$2,'RSTO &gt; 48hrs'!$B$2:$B$3000,$A83),IF(COUNTIFS('RSTO &gt; 48hrs'!$A$2:$A$3000,$K$2,'RSTO &gt; 48hrs'!$B$2:$B$3000,SUBSTITUTE($A83," SS","  SS"))&gt;0,SUMIFS('RSTO &gt; 48hrs'!$H$2:$H$3000,'RSTO &gt; 48hrs'!$A$2:$A$3000,$K$2,'RSTO &gt; 48hrs'!$B$2:$B$3000,SUBSTITUTE($A83," SS","  SS")),"NA"))</f>
        <v>NA</v>
      </c>
      <c r="H83" s="81" t="n">
        <f aca="false">IF(COUNTIFS('Recirculation &gt; 24 hrs'!$A$2:$A$3000,$K$2,'Recirculation &gt; 24 hrs'!$B$2:$B$3000,$A83)&gt;0,SUMIFS('Recirculation &gt; 24 hrs'!$K$2:$K$3000,'Recirculation &gt; 24 hrs'!$A$2:$A$3000,$K$2,'Recirculation &gt; 24 hrs'!$B$2:$B$3000,$A83),IF(COUNTIFS('Recirculation &gt; 24 hrs'!$A$2:$A$3000,$K$2,'Recirculation &gt; 24 hrs'!$B$2:$B$3000,SUBSTITUTE($A83," SS","  SS"))&gt;0,SUMIFS('Recirculation &gt; 24 hrs'!$K$2:$K$3000,'Recirculation &gt; 24 hrs'!$A$2:$A$3000,$K$2,'Recirculation &gt; 24 hrs'!$B$2:$B$3000,SUBSTITUTE($A83," SS","  SS")),"NA"))</f>
        <v>449</v>
      </c>
      <c r="I83" s="81" t="n">
        <f aca="false">IF(COUNTIFS('Pending Putaway'!$A$2:$A$3000,$K$2,'Pending Putaway'!$B$2:$B$3000,$A83)&gt;0,SUMIFS('Pending Putaway'!$E$2:$E$3000,'Pending Putaway'!$A$2:$A$3000,$K$2,'Pending Putaway'!$B$2:$B$3000,$A83),IF(COUNTIFS('Pending Putaway'!$A$2:$A$3000,$K$2,'Pending Putaway'!$B$2:$B$3000,SUBSTITUTE($A83," SS","  SS"))&gt;0,SUMIFS('Pending Putaway'!$E$2:$E$3000,'Pending Putaway'!$A$2:$A$3000,$K$2,'Pending Putaway'!$B$2:$B$3000,SUBSTITUTE($A83," SS","  SS")),"NA"))</f>
        <v>1395</v>
      </c>
      <c r="J83" s="81" t="n">
        <f aca="false">IF(COUNTIFS('Pending Putaway'!$A$2:$A$3000,$K$2,'Pending Putaway'!$B$2:$B$3000,$A83)&gt;0,SUMIFS('Pending Putaway'!$L$2:$L$3000,'Pending Putaway'!$A$2:$A$3000,$K$2,'Pending Putaway'!$B$2:$B$3000,$A83),IF(COUNTIFS('Pending Putaway'!$A$2:$A$3000,$K$2,'Pending Putaway'!$B$2:$B$3000,SUBSTITUTE($A83," SS","  SS"))&gt;0,SUMIFS('Pending Putaway'!$L$2:$L$3000,'Pending Putaway'!$A$2:$A$3000,$K$2,'Pending Putaway'!$B$2:$B$3000,SUBSTITUTE($A83," SS","  SS")),"NA"))</f>
        <v>0</v>
      </c>
      <c r="K83" s="23"/>
      <c r="L83" s="23"/>
      <c r="M83" s="23"/>
      <c r="N83" s="23"/>
      <c r="O83" s="23"/>
      <c r="P83" s="23"/>
      <c r="Q83" s="23"/>
      <c r="R83" s="23"/>
      <c r="S83" s="23"/>
      <c r="T83" s="23"/>
      <c r="U83" s="23"/>
      <c r="V83" s="23"/>
      <c r="W83" s="23"/>
      <c r="X83" s="23"/>
      <c r="Y83" s="23"/>
      <c r="Z83" s="23"/>
      <c r="AA83" s="23"/>
      <c r="AB83" s="23"/>
      <c r="AC83" s="23"/>
      <c r="AD83" s="23"/>
      <c r="AE83" s="23"/>
      <c r="AF83" s="23"/>
      <c r="AG83" s="23"/>
      <c r="AH83" s="23"/>
    </row>
    <row r="84" customFormat="false" ht="15.75" hidden="false" customHeight="true" outlineLevel="0" collapsed="false">
      <c r="A84" s="81" t="s">
        <v>386</v>
      </c>
      <c r="B84" s="81" t="str">
        <f aca="false" t="array" ref="B84:B84">IFERROR(INDEX('CLM &amp; IM Mapping'!$B$2:$B$270,MATCH($A84,'CLM &amp; IM Mapping'!$A$2:$A$270,0)),"Not Mapped")</f>
        <v>Arun Raj</v>
      </c>
      <c r="C84" s="81" t="str">
        <f aca="false" t="array" ref="C84:C84">IFERROR(INDEX('CLM &amp; IM Mapping'!$C$2:$C$270,MATCH($A84,'CLM &amp; IM Mapping'!$A$2:$A$270,0)),"Not Mapped")</f>
        <v>Simon Manoharan</v>
      </c>
      <c r="D84" s="82" t="n">
        <f aca="false">IF(COUNTIFS(Shrinkage!$A$2:$A$3000,$K$2,Shrinkage!$D$2:$D$3000,$A84)&gt;0,SUMIFS(Shrinkage!$P$2:$P$3000,Shrinkage!$A$2:$A$3000,$K$2,Shrinkage!$D$2:$D$3000,$A84),IF(COUNTIFS(Shrinkage!$A$2:$A$3000,$K$2,Shrinkage!$D$2:$D$3000,SUBSTITUTE($A84," SS","  SS"))&gt;0,SUMIFS(Shrinkage!$P$2:$P$3000,Shrinkage!$A$2:$A$3000,$K$2,Shrinkage!$D$2:$D$3000,SUBSTITUTE($A84," SS","  SS")),"NA"))</f>
        <v>-2736</v>
      </c>
      <c r="E84" s="83" t="n">
        <f aca="false">IF(COUNTIFS('Inventory Hygiene'!$A$2:$A$3000,$K$2,'Inventory Hygiene'!$B$2:$B$3000,$A84)&gt;0,AVERAGEIFS('Inventory Hygiene'!$J$2:$J$3000,'Inventory Hygiene'!$A$2:$A$3000,$K$2,'Inventory Hygiene'!$B$2:$B$3000,$A84),IF(COUNTIFS('Inventory Hygiene'!$A$2:$A$3000,$K$2,'Inventory Hygiene'!$B$2:$B$3000,SUBSTITUTE($A84," SS","  SS"))&gt;0,AVERAGEIFS('Inventory Hygiene'!$J$2:$J$3000,'Inventory Hygiene'!$A$2:$A$3000,$K$2,'Inventory Hygiene'!$B$2:$B$3000,SUBSTITUTE($A84," SS","  SS")),"NA"))</f>
        <v>0.513819095477387</v>
      </c>
      <c r="F84" s="81" t="n">
        <f aca="false">IF(COUNTIFS('Bad Bins'!$A$2:$A$3000,$K$2,'Bad Bins'!$B$2:$B$3000,$A84)&gt;0,SUMIFS('Bad Bins'!$K$2:$K$3000,'Bad Bins'!$A$2:$A$3000,$K$2,'Bad Bins'!$B$2:$B$3000,$A84),IF(COUNTIFS('Bad Bins'!$A$2:$A$3000,$K$2,'Bad Bins'!$B$2:$B$3000,SUBSTITUTE($A84," SS","  SS"))&gt;0,SUMIFS('Bad Bins'!$K$2:$K$3000,'Bad Bins'!$A$2:$A$3000,$K$2,'Bad Bins'!$B$2:$B$3000,SUBSTITUTE($A84," SS","  SS")),"NA"))</f>
        <v>0</v>
      </c>
      <c r="G84" s="81" t="str">
        <f aca="false">IF(COUNTIFS('RSTO &gt; 48hrs'!$A$2:$A$3000,$K$2,'RSTO &gt; 48hrs'!$B$2:$B$3000,$A84)&gt;0,SUMIFS('RSTO &gt; 48hrs'!$H$2:$H$3000,'RSTO &gt; 48hrs'!$A$2:$A$3000,$K$2,'RSTO &gt; 48hrs'!$B$2:$B$3000,$A84),IF(COUNTIFS('RSTO &gt; 48hrs'!$A$2:$A$3000,$K$2,'RSTO &gt; 48hrs'!$B$2:$B$3000,SUBSTITUTE($A84," SS","  SS"))&gt;0,SUMIFS('RSTO &gt; 48hrs'!$H$2:$H$3000,'RSTO &gt; 48hrs'!$A$2:$A$3000,$K$2,'RSTO &gt; 48hrs'!$B$2:$B$3000,SUBSTITUTE($A84," SS","  SS")),"NA"))</f>
        <v>NA</v>
      </c>
      <c r="H84" s="81" t="str">
        <f aca="false">IF(COUNTIFS('Recirculation &gt; 24 hrs'!$A$2:$A$3000,$K$2,'Recirculation &gt; 24 hrs'!$B$2:$B$3000,$A84)&gt;0,SUMIFS('Recirculation &gt; 24 hrs'!$K$2:$K$3000,'Recirculation &gt; 24 hrs'!$A$2:$A$3000,$K$2,'Recirculation &gt; 24 hrs'!$B$2:$B$3000,$A84),IF(COUNTIFS('Recirculation &gt; 24 hrs'!$A$2:$A$3000,$K$2,'Recirculation &gt; 24 hrs'!$B$2:$B$3000,SUBSTITUTE($A84," SS","  SS"))&gt;0,SUMIFS('Recirculation &gt; 24 hrs'!$K$2:$K$3000,'Recirculation &gt; 24 hrs'!$A$2:$A$3000,$K$2,'Recirculation &gt; 24 hrs'!$B$2:$B$3000,SUBSTITUTE($A84," SS","  SS")),"NA"))</f>
        <v>NA</v>
      </c>
      <c r="I84" s="81" t="n">
        <f aca="false">IF(COUNTIFS('Pending Putaway'!$A$2:$A$3000,$K$2,'Pending Putaway'!$B$2:$B$3000,$A84)&gt;0,SUMIFS('Pending Putaway'!$E$2:$E$3000,'Pending Putaway'!$A$2:$A$3000,$K$2,'Pending Putaway'!$B$2:$B$3000,$A84),IF(COUNTIFS('Pending Putaway'!$A$2:$A$3000,$K$2,'Pending Putaway'!$B$2:$B$3000,SUBSTITUTE($A84," SS","  SS"))&gt;0,SUMIFS('Pending Putaway'!$E$2:$E$3000,'Pending Putaway'!$A$2:$A$3000,$K$2,'Pending Putaway'!$B$2:$B$3000,SUBSTITUTE($A84," SS","  SS")),"NA"))</f>
        <v>0</v>
      </c>
      <c r="J84" s="81" t="n">
        <f aca="false">IF(COUNTIFS('Pending Putaway'!$A$2:$A$3000,$K$2,'Pending Putaway'!$B$2:$B$3000,$A84)&gt;0,SUMIFS('Pending Putaway'!$L$2:$L$3000,'Pending Putaway'!$A$2:$A$3000,$K$2,'Pending Putaway'!$B$2:$B$3000,$A84),IF(COUNTIFS('Pending Putaway'!$A$2:$A$3000,$K$2,'Pending Putaway'!$B$2:$B$3000,SUBSTITUTE($A84," SS","  SS"))&gt;0,SUMIFS('Pending Putaway'!$L$2:$L$3000,'Pending Putaway'!$A$2:$A$3000,$K$2,'Pending Putaway'!$B$2:$B$3000,SUBSTITUTE($A84," SS","  SS")),"NA"))</f>
        <v>0</v>
      </c>
      <c r="K84" s="23"/>
      <c r="L84" s="23"/>
      <c r="M84" s="23"/>
      <c r="N84" s="23"/>
      <c r="O84" s="23"/>
      <c r="P84" s="23"/>
      <c r="Q84" s="23"/>
      <c r="R84" s="23"/>
      <c r="S84" s="23"/>
      <c r="T84" s="23"/>
      <c r="U84" s="23"/>
      <c r="V84" s="23"/>
      <c r="W84" s="23"/>
      <c r="X84" s="23"/>
      <c r="Y84" s="23"/>
      <c r="Z84" s="23"/>
      <c r="AA84" s="23"/>
      <c r="AB84" s="23"/>
      <c r="AC84" s="23"/>
      <c r="AD84" s="23"/>
      <c r="AE84" s="23"/>
      <c r="AF84" s="23"/>
      <c r="AG84" s="23"/>
      <c r="AH84" s="23"/>
    </row>
    <row r="85" customFormat="false" ht="15.75" hidden="false" customHeight="true" outlineLevel="0" collapsed="false">
      <c r="A85" s="81" t="s">
        <v>348</v>
      </c>
      <c r="B85" s="81" t="str">
        <f aca="false" t="array" ref="B85:B85">IFERROR(INDEX('CLM &amp; IM Mapping'!$B$2:$B$270,MATCH($A85,'CLM &amp; IM Mapping'!$A$2:$A$270,0)),"Not Mapped")</f>
        <v>Arun Raj</v>
      </c>
      <c r="C85" s="81" t="str">
        <f aca="false" t="array" ref="C85:C85">IFERROR(INDEX('CLM &amp; IM Mapping'!$C$2:$C$270,MATCH($A85,'CLM &amp; IM Mapping'!$A$2:$A$270,0)),"Not Mapped")</f>
        <v>Simon Manoharan</v>
      </c>
      <c r="D85" s="82" t="n">
        <f aca="false">IF(COUNTIFS(Shrinkage!$A$2:$A$3000,$K$2,Shrinkage!$D$2:$D$3000,$A85)&gt;0,SUMIFS(Shrinkage!$P$2:$P$3000,Shrinkage!$A$2:$A$3000,$K$2,Shrinkage!$D$2:$D$3000,$A85),IF(COUNTIFS(Shrinkage!$A$2:$A$3000,$K$2,Shrinkage!$D$2:$D$3000,SUBSTITUTE($A85," SS","  SS"))&gt;0,SUMIFS(Shrinkage!$P$2:$P$3000,Shrinkage!$A$2:$A$3000,$K$2,Shrinkage!$D$2:$D$3000,SUBSTITUTE($A85," SS","  SS")),"NA"))</f>
        <v>3448</v>
      </c>
      <c r="E85" s="83" t="n">
        <f aca="false">IF(COUNTIFS('Inventory Hygiene'!$A$2:$A$3000,$K$2,'Inventory Hygiene'!$B$2:$B$3000,$A85)&gt;0,AVERAGEIFS('Inventory Hygiene'!$J$2:$J$3000,'Inventory Hygiene'!$A$2:$A$3000,$K$2,'Inventory Hygiene'!$B$2:$B$3000,$A85),IF(COUNTIFS('Inventory Hygiene'!$A$2:$A$3000,$K$2,'Inventory Hygiene'!$B$2:$B$3000,SUBSTITUTE($A85," SS","  SS"))&gt;0,AVERAGEIFS('Inventory Hygiene'!$J$2:$J$3000,'Inventory Hygiene'!$A$2:$A$3000,$K$2,'Inventory Hygiene'!$B$2:$B$3000,SUBSTITUTE($A85," SS","  SS")),"NA"))</f>
        <v>0.268247499073731</v>
      </c>
      <c r="F85" s="81" t="n">
        <f aca="false">IF(COUNTIFS('Bad Bins'!$A$2:$A$3000,$K$2,'Bad Bins'!$B$2:$B$3000,$A85)&gt;0,SUMIFS('Bad Bins'!$K$2:$K$3000,'Bad Bins'!$A$2:$A$3000,$K$2,'Bad Bins'!$B$2:$B$3000,$A85),IF(COUNTIFS('Bad Bins'!$A$2:$A$3000,$K$2,'Bad Bins'!$B$2:$B$3000,SUBSTITUTE($A85," SS","  SS"))&gt;0,SUMIFS('Bad Bins'!$K$2:$K$3000,'Bad Bins'!$A$2:$A$3000,$K$2,'Bad Bins'!$B$2:$B$3000,SUBSTITUTE($A85," SS","  SS")),"NA"))</f>
        <v>1</v>
      </c>
      <c r="G85" s="81" t="str">
        <f aca="false">IF(COUNTIFS('RSTO &gt; 48hrs'!$A$2:$A$3000,$K$2,'RSTO &gt; 48hrs'!$B$2:$B$3000,$A85)&gt;0,SUMIFS('RSTO &gt; 48hrs'!$H$2:$H$3000,'RSTO &gt; 48hrs'!$A$2:$A$3000,$K$2,'RSTO &gt; 48hrs'!$B$2:$B$3000,$A85),IF(COUNTIFS('RSTO &gt; 48hrs'!$A$2:$A$3000,$K$2,'RSTO &gt; 48hrs'!$B$2:$B$3000,SUBSTITUTE($A85," SS","  SS"))&gt;0,SUMIFS('RSTO &gt; 48hrs'!$H$2:$H$3000,'RSTO &gt; 48hrs'!$A$2:$A$3000,$K$2,'RSTO &gt; 48hrs'!$B$2:$B$3000,SUBSTITUTE($A85," SS","  SS")),"NA"))</f>
        <v>NA</v>
      </c>
      <c r="H85" s="81" t="n">
        <f aca="false">IF(COUNTIFS('Recirculation &gt; 24 hrs'!$A$2:$A$3000,$K$2,'Recirculation &gt; 24 hrs'!$B$2:$B$3000,$A85)&gt;0,SUMIFS('Recirculation &gt; 24 hrs'!$K$2:$K$3000,'Recirculation &gt; 24 hrs'!$A$2:$A$3000,$K$2,'Recirculation &gt; 24 hrs'!$B$2:$B$3000,$A85),IF(COUNTIFS('Recirculation &gt; 24 hrs'!$A$2:$A$3000,$K$2,'Recirculation &gt; 24 hrs'!$B$2:$B$3000,SUBSTITUTE($A85," SS","  SS"))&gt;0,SUMIFS('Recirculation &gt; 24 hrs'!$K$2:$K$3000,'Recirculation &gt; 24 hrs'!$A$2:$A$3000,$K$2,'Recirculation &gt; 24 hrs'!$B$2:$B$3000,SUBSTITUTE($A85," SS","  SS")),"NA"))</f>
        <v>123</v>
      </c>
      <c r="I85" s="81" t="n">
        <f aca="false">IF(COUNTIFS('Pending Putaway'!$A$2:$A$3000,$K$2,'Pending Putaway'!$B$2:$B$3000,$A85)&gt;0,SUMIFS('Pending Putaway'!$E$2:$E$3000,'Pending Putaway'!$A$2:$A$3000,$K$2,'Pending Putaway'!$B$2:$B$3000,$A85),IF(COUNTIFS('Pending Putaway'!$A$2:$A$3000,$K$2,'Pending Putaway'!$B$2:$B$3000,SUBSTITUTE($A85," SS","  SS"))&gt;0,SUMIFS('Pending Putaway'!$E$2:$E$3000,'Pending Putaway'!$A$2:$A$3000,$K$2,'Pending Putaway'!$B$2:$B$3000,SUBSTITUTE($A85," SS","  SS")),"NA"))</f>
        <v>2444</v>
      </c>
      <c r="J85" s="81" t="n">
        <f aca="false">IF(COUNTIFS('Pending Putaway'!$A$2:$A$3000,$K$2,'Pending Putaway'!$B$2:$B$3000,$A85)&gt;0,SUMIFS('Pending Putaway'!$L$2:$L$3000,'Pending Putaway'!$A$2:$A$3000,$K$2,'Pending Putaway'!$B$2:$B$3000,$A85),IF(COUNTIFS('Pending Putaway'!$A$2:$A$3000,$K$2,'Pending Putaway'!$B$2:$B$3000,SUBSTITUTE($A85," SS","  SS"))&gt;0,SUMIFS('Pending Putaway'!$L$2:$L$3000,'Pending Putaway'!$A$2:$A$3000,$K$2,'Pending Putaway'!$B$2:$B$3000,SUBSTITUTE($A85," SS","  SS")),"NA"))</f>
        <v>0</v>
      </c>
      <c r="K85" s="23"/>
      <c r="L85" s="23"/>
      <c r="M85" s="23"/>
      <c r="N85" s="23"/>
      <c r="O85" s="23"/>
      <c r="P85" s="23"/>
      <c r="Q85" s="23"/>
      <c r="R85" s="23"/>
      <c r="S85" s="23"/>
      <c r="T85" s="23"/>
      <c r="U85" s="23"/>
      <c r="V85" s="23"/>
      <c r="W85" s="23"/>
      <c r="X85" s="23"/>
      <c r="Y85" s="23"/>
      <c r="Z85" s="23"/>
      <c r="AA85" s="23"/>
      <c r="AB85" s="23"/>
      <c r="AC85" s="23"/>
      <c r="AD85" s="23"/>
      <c r="AE85" s="23"/>
      <c r="AF85" s="23"/>
      <c r="AG85" s="23"/>
      <c r="AH85" s="23"/>
    </row>
    <row r="86" customFormat="false" ht="15.75" hidden="false" customHeight="true" outlineLevel="0" collapsed="false">
      <c r="A86" s="81" t="s">
        <v>388</v>
      </c>
      <c r="B86" s="81" t="str">
        <f aca="false" t="array" ref="B86:B86">IFERROR(INDEX('CLM &amp; IM Mapping'!$B$2:$B$270,MATCH($A86,'CLM &amp; IM Mapping'!$A$2:$A$270,0)),"Not Mapped")</f>
        <v>Arun Raj</v>
      </c>
      <c r="C86" s="81" t="str">
        <f aca="false" t="array" ref="C86:C86">IFERROR(INDEX('CLM &amp; IM Mapping'!$C$2:$C$270,MATCH($A86,'CLM &amp; IM Mapping'!$A$2:$A$270,0)),"Not Mapped")</f>
        <v>Simon Manoharan</v>
      </c>
      <c r="D86" s="82" t="n">
        <f aca="false">IF(COUNTIFS(Shrinkage!$A$2:$A$3000,$K$2,Shrinkage!$D$2:$D$3000,$A86)&gt;0,SUMIFS(Shrinkage!$P$2:$P$3000,Shrinkage!$A$2:$A$3000,$K$2,Shrinkage!$D$2:$D$3000,$A86),IF(COUNTIFS(Shrinkage!$A$2:$A$3000,$K$2,Shrinkage!$D$2:$D$3000,SUBSTITUTE($A86," SS","  SS"))&gt;0,SUMIFS(Shrinkage!$P$2:$P$3000,Shrinkage!$A$2:$A$3000,$K$2,Shrinkage!$D$2:$D$3000,SUBSTITUTE($A86," SS","  SS")),"NA"))</f>
        <v>1107</v>
      </c>
      <c r="E86" s="83" t="n">
        <f aca="false">IF(COUNTIFS('Inventory Hygiene'!$A$2:$A$3000,$K$2,'Inventory Hygiene'!$B$2:$B$3000,$A86)&gt;0,AVERAGEIFS('Inventory Hygiene'!$J$2:$J$3000,'Inventory Hygiene'!$A$2:$A$3000,$K$2,'Inventory Hygiene'!$B$2:$B$3000,$A86),IF(COUNTIFS('Inventory Hygiene'!$A$2:$A$3000,$K$2,'Inventory Hygiene'!$B$2:$B$3000,SUBSTITUTE($A86," SS","  SS"))&gt;0,AVERAGEIFS('Inventory Hygiene'!$J$2:$J$3000,'Inventory Hygiene'!$A$2:$A$3000,$K$2,'Inventory Hygiene'!$B$2:$B$3000,SUBSTITUTE($A86," SS","  SS")),"NA"))</f>
        <v>0.380816559367615</v>
      </c>
      <c r="F86" s="81" t="n">
        <f aca="false">IF(COUNTIFS('Bad Bins'!$A$2:$A$3000,$K$2,'Bad Bins'!$B$2:$B$3000,$A86)&gt;0,SUMIFS('Bad Bins'!$K$2:$K$3000,'Bad Bins'!$A$2:$A$3000,$K$2,'Bad Bins'!$B$2:$B$3000,$A86),IF(COUNTIFS('Bad Bins'!$A$2:$A$3000,$K$2,'Bad Bins'!$B$2:$B$3000,SUBSTITUTE($A86," SS","  SS"))&gt;0,SUMIFS('Bad Bins'!$K$2:$K$3000,'Bad Bins'!$A$2:$A$3000,$K$2,'Bad Bins'!$B$2:$B$3000,SUBSTITUTE($A86," SS","  SS")),"NA"))</f>
        <v>3</v>
      </c>
      <c r="G86" s="81" t="str">
        <f aca="false">IF(COUNTIFS('RSTO &gt; 48hrs'!$A$2:$A$3000,$K$2,'RSTO &gt; 48hrs'!$B$2:$B$3000,$A86)&gt;0,SUMIFS('RSTO &gt; 48hrs'!$H$2:$H$3000,'RSTO &gt; 48hrs'!$A$2:$A$3000,$K$2,'RSTO &gt; 48hrs'!$B$2:$B$3000,$A86),IF(COUNTIFS('RSTO &gt; 48hrs'!$A$2:$A$3000,$K$2,'RSTO &gt; 48hrs'!$B$2:$B$3000,SUBSTITUTE($A86," SS","  SS"))&gt;0,SUMIFS('RSTO &gt; 48hrs'!$H$2:$H$3000,'RSTO &gt; 48hrs'!$A$2:$A$3000,$K$2,'RSTO &gt; 48hrs'!$B$2:$B$3000,SUBSTITUTE($A86," SS","  SS")),"NA"))</f>
        <v>NA</v>
      </c>
      <c r="H86" s="81" t="str">
        <f aca="false">IF(COUNTIFS('Recirculation &gt; 24 hrs'!$A$2:$A$3000,$K$2,'Recirculation &gt; 24 hrs'!$B$2:$B$3000,$A86)&gt;0,SUMIFS('Recirculation &gt; 24 hrs'!$K$2:$K$3000,'Recirculation &gt; 24 hrs'!$A$2:$A$3000,$K$2,'Recirculation &gt; 24 hrs'!$B$2:$B$3000,$A86),IF(COUNTIFS('Recirculation &gt; 24 hrs'!$A$2:$A$3000,$K$2,'Recirculation &gt; 24 hrs'!$B$2:$B$3000,SUBSTITUTE($A86," SS","  SS"))&gt;0,SUMIFS('Recirculation &gt; 24 hrs'!$K$2:$K$3000,'Recirculation &gt; 24 hrs'!$A$2:$A$3000,$K$2,'Recirculation &gt; 24 hrs'!$B$2:$B$3000,SUBSTITUTE($A86," SS","  SS")),"NA"))</f>
        <v>NA</v>
      </c>
      <c r="I86" s="81" t="n">
        <f aca="false">IF(COUNTIFS('Pending Putaway'!$A$2:$A$3000,$K$2,'Pending Putaway'!$B$2:$B$3000,$A86)&gt;0,SUMIFS('Pending Putaway'!$E$2:$E$3000,'Pending Putaway'!$A$2:$A$3000,$K$2,'Pending Putaway'!$B$2:$B$3000,$A86),IF(COUNTIFS('Pending Putaway'!$A$2:$A$3000,$K$2,'Pending Putaway'!$B$2:$B$3000,SUBSTITUTE($A86," SS","  SS"))&gt;0,SUMIFS('Pending Putaway'!$E$2:$E$3000,'Pending Putaway'!$A$2:$A$3000,$K$2,'Pending Putaway'!$B$2:$B$3000,SUBSTITUTE($A86," SS","  SS")),"NA"))</f>
        <v>0</v>
      </c>
      <c r="J86" s="81" t="n">
        <f aca="false">IF(COUNTIFS('Pending Putaway'!$A$2:$A$3000,$K$2,'Pending Putaway'!$B$2:$B$3000,$A86)&gt;0,SUMIFS('Pending Putaway'!$L$2:$L$3000,'Pending Putaway'!$A$2:$A$3000,$K$2,'Pending Putaway'!$B$2:$B$3000,$A86),IF(COUNTIFS('Pending Putaway'!$A$2:$A$3000,$K$2,'Pending Putaway'!$B$2:$B$3000,SUBSTITUTE($A86," SS","  SS"))&gt;0,SUMIFS('Pending Putaway'!$L$2:$L$3000,'Pending Putaway'!$A$2:$A$3000,$K$2,'Pending Putaway'!$B$2:$B$3000,SUBSTITUTE($A86," SS","  SS")),"NA"))</f>
        <v>0</v>
      </c>
      <c r="K86" s="23"/>
      <c r="L86" s="23"/>
      <c r="M86" s="23"/>
      <c r="N86" s="23"/>
      <c r="O86" s="23"/>
      <c r="P86" s="23"/>
      <c r="Q86" s="23"/>
      <c r="R86" s="23"/>
      <c r="S86" s="23"/>
      <c r="T86" s="23"/>
      <c r="U86" s="23"/>
      <c r="V86" s="23"/>
      <c r="W86" s="23"/>
      <c r="X86" s="23"/>
      <c r="Y86" s="23"/>
      <c r="Z86" s="23"/>
      <c r="AA86" s="23"/>
      <c r="AB86" s="23"/>
      <c r="AC86" s="23"/>
      <c r="AD86" s="23"/>
      <c r="AE86" s="23"/>
      <c r="AF86" s="23"/>
      <c r="AG86" s="23"/>
      <c r="AH86" s="23"/>
    </row>
    <row r="87" customFormat="false" ht="15.75" hidden="false" customHeight="true" outlineLevel="0" collapsed="false">
      <c r="A87" s="81" t="s">
        <v>357</v>
      </c>
      <c r="B87" s="81" t="str">
        <f aca="false" t="array" ref="B87:B87">IFERROR(INDEX('CLM &amp; IM Mapping'!$B$2:$B$270,MATCH($A87,'CLM &amp; IM Mapping'!$A$2:$A$270,0)),"Not Mapped")</f>
        <v>Arun Raj</v>
      </c>
      <c r="C87" s="81" t="str">
        <f aca="false" t="array" ref="C87:C87">IFERROR(INDEX('CLM &amp; IM Mapping'!$C$2:$C$270,MATCH($A87,'CLM &amp; IM Mapping'!$A$2:$A$270,0)),"Not Mapped")</f>
        <v>Simon Manoharan</v>
      </c>
      <c r="D87" s="82" t="n">
        <f aca="false">IF(COUNTIFS(Shrinkage!$A$2:$A$3000,$K$2,Shrinkage!$D$2:$D$3000,$A87)&gt;0,SUMIFS(Shrinkage!$P$2:$P$3000,Shrinkage!$A$2:$A$3000,$K$2,Shrinkage!$D$2:$D$3000,$A87),IF(COUNTIFS(Shrinkage!$A$2:$A$3000,$K$2,Shrinkage!$D$2:$D$3000,SUBSTITUTE($A87," SS","  SS"))&gt;0,SUMIFS(Shrinkage!$P$2:$P$3000,Shrinkage!$A$2:$A$3000,$K$2,Shrinkage!$D$2:$D$3000,SUBSTITUTE($A87," SS","  SS")),"NA"))</f>
        <v>-5167</v>
      </c>
      <c r="E87" s="83" t="n">
        <f aca="false">IF(COUNTIFS('Inventory Hygiene'!$A$2:$A$3000,$K$2,'Inventory Hygiene'!$B$2:$B$3000,$A87)&gt;0,AVERAGEIFS('Inventory Hygiene'!$J$2:$J$3000,'Inventory Hygiene'!$A$2:$A$3000,$K$2,'Inventory Hygiene'!$B$2:$B$3000,$A87),IF(COUNTIFS('Inventory Hygiene'!$A$2:$A$3000,$K$2,'Inventory Hygiene'!$B$2:$B$3000,SUBSTITUTE($A87," SS","  SS"))&gt;0,AVERAGEIFS('Inventory Hygiene'!$J$2:$J$3000,'Inventory Hygiene'!$A$2:$A$3000,$K$2,'Inventory Hygiene'!$B$2:$B$3000,SUBSTITUTE($A87," SS","  SS")),"NA"))</f>
        <v>0.270908761766836</v>
      </c>
      <c r="F87" s="81" t="n">
        <f aca="false">IF(COUNTIFS('Bad Bins'!$A$2:$A$3000,$K$2,'Bad Bins'!$B$2:$B$3000,$A87)&gt;0,SUMIFS('Bad Bins'!$K$2:$K$3000,'Bad Bins'!$A$2:$A$3000,$K$2,'Bad Bins'!$B$2:$B$3000,$A87),IF(COUNTIFS('Bad Bins'!$A$2:$A$3000,$K$2,'Bad Bins'!$B$2:$B$3000,SUBSTITUTE($A87," SS","  SS"))&gt;0,SUMIFS('Bad Bins'!$K$2:$K$3000,'Bad Bins'!$A$2:$A$3000,$K$2,'Bad Bins'!$B$2:$B$3000,SUBSTITUTE($A87," SS","  SS")),"NA"))</f>
        <v>7</v>
      </c>
      <c r="G87" s="81" t="str">
        <f aca="false">IF(COUNTIFS('RSTO &gt; 48hrs'!$A$2:$A$3000,$K$2,'RSTO &gt; 48hrs'!$B$2:$B$3000,$A87)&gt;0,SUMIFS('RSTO &gt; 48hrs'!$H$2:$H$3000,'RSTO &gt; 48hrs'!$A$2:$A$3000,$K$2,'RSTO &gt; 48hrs'!$B$2:$B$3000,$A87),IF(COUNTIFS('RSTO &gt; 48hrs'!$A$2:$A$3000,$K$2,'RSTO &gt; 48hrs'!$B$2:$B$3000,SUBSTITUTE($A87," SS","  SS"))&gt;0,SUMIFS('RSTO &gt; 48hrs'!$H$2:$H$3000,'RSTO &gt; 48hrs'!$A$2:$A$3000,$K$2,'RSTO &gt; 48hrs'!$B$2:$B$3000,SUBSTITUTE($A87," SS","  SS")),"NA"))</f>
        <v>NA</v>
      </c>
      <c r="H87" s="81" t="str">
        <f aca="false">IF(COUNTIFS('Recirculation &gt; 24 hrs'!$A$2:$A$3000,$K$2,'Recirculation &gt; 24 hrs'!$B$2:$B$3000,$A87)&gt;0,SUMIFS('Recirculation &gt; 24 hrs'!$K$2:$K$3000,'Recirculation &gt; 24 hrs'!$A$2:$A$3000,$K$2,'Recirculation &gt; 24 hrs'!$B$2:$B$3000,$A87),IF(COUNTIFS('Recirculation &gt; 24 hrs'!$A$2:$A$3000,$K$2,'Recirculation &gt; 24 hrs'!$B$2:$B$3000,SUBSTITUTE($A87," SS","  SS"))&gt;0,SUMIFS('Recirculation &gt; 24 hrs'!$K$2:$K$3000,'Recirculation &gt; 24 hrs'!$A$2:$A$3000,$K$2,'Recirculation &gt; 24 hrs'!$B$2:$B$3000,SUBSTITUTE($A87," SS","  SS")),"NA"))</f>
        <v>NA</v>
      </c>
      <c r="I87" s="81" t="n">
        <f aca="false">IF(COUNTIFS('Pending Putaway'!$A$2:$A$3000,$K$2,'Pending Putaway'!$B$2:$B$3000,$A87)&gt;0,SUMIFS('Pending Putaway'!$E$2:$E$3000,'Pending Putaway'!$A$2:$A$3000,$K$2,'Pending Putaway'!$B$2:$B$3000,$A87),IF(COUNTIFS('Pending Putaway'!$A$2:$A$3000,$K$2,'Pending Putaway'!$B$2:$B$3000,SUBSTITUTE($A87," SS","  SS"))&gt;0,SUMIFS('Pending Putaway'!$E$2:$E$3000,'Pending Putaway'!$A$2:$A$3000,$K$2,'Pending Putaway'!$B$2:$B$3000,SUBSTITUTE($A87," SS","  SS")),"NA"))</f>
        <v>549</v>
      </c>
      <c r="J87" s="81" t="n">
        <f aca="false">IF(COUNTIFS('Pending Putaway'!$A$2:$A$3000,$K$2,'Pending Putaway'!$B$2:$B$3000,$A87)&gt;0,SUMIFS('Pending Putaway'!$L$2:$L$3000,'Pending Putaway'!$A$2:$A$3000,$K$2,'Pending Putaway'!$B$2:$B$3000,$A87),IF(COUNTIFS('Pending Putaway'!$A$2:$A$3000,$K$2,'Pending Putaway'!$B$2:$B$3000,SUBSTITUTE($A87," SS","  SS"))&gt;0,SUMIFS('Pending Putaway'!$L$2:$L$3000,'Pending Putaway'!$A$2:$A$3000,$K$2,'Pending Putaway'!$B$2:$B$3000,SUBSTITUTE($A87," SS","  SS")),"NA"))</f>
        <v>549</v>
      </c>
      <c r="K87" s="23"/>
      <c r="L87" s="23"/>
      <c r="M87" s="23"/>
      <c r="N87" s="23"/>
      <c r="O87" s="23"/>
      <c r="P87" s="23"/>
      <c r="Q87" s="23"/>
      <c r="R87" s="23"/>
      <c r="S87" s="23"/>
      <c r="T87" s="23"/>
      <c r="U87" s="23"/>
      <c r="V87" s="23"/>
      <c r="W87" s="23"/>
      <c r="X87" s="23"/>
      <c r="Y87" s="23"/>
      <c r="Z87" s="23"/>
      <c r="AA87" s="23"/>
      <c r="AB87" s="23"/>
      <c r="AC87" s="23"/>
      <c r="AD87" s="23"/>
      <c r="AE87" s="23"/>
      <c r="AF87" s="23"/>
      <c r="AG87" s="23"/>
      <c r="AH87" s="23"/>
    </row>
    <row r="88" customFormat="false" ht="15.75" hidden="false" customHeight="true" outlineLevel="0" collapsed="false">
      <c r="A88" s="81" t="s">
        <v>248</v>
      </c>
      <c r="B88" s="81" t="str">
        <f aca="false" t="array" ref="B88:B88">IFERROR(INDEX('CLM &amp; IM Mapping'!$B$2:$B$270,MATCH($A88,'CLM &amp; IM Mapping'!$A$2:$A$270,0)),"Not Mapped")</f>
        <v>Arun Raj</v>
      </c>
      <c r="C88" s="81" t="str">
        <f aca="false" t="array" ref="C88:C88">IFERROR(INDEX('CLM &amp; IM Mapping'!$C$2:$C$270,MATCH($A88,'CLM &amp; IM Mapping'!$A$2:$A$270,0)),"Not Mapped")</f>
        <v>Simon Manoharan</v>
      </c>
      <c r="D88" s="82" t="n">
        <f aca="false">IF(COUNTIFS(Shrinkage!$A$2:$A$3000,$K$2,Shrinkage!$D$2:$D$3000,$A88)&gt;0,SUMIFS(Shrinkage!$P$2:$P$3000,Shrinkage!$A$2:$A$3000,$K$2,Shrinkage!$D$2:$D$3000,$A88),IF(COUNTIFS(Shrinkage!$A$2:$A$3000,$K$2,Shrinkage!$D$2:$D$3000,SUBSTITUTE($A88," SS","  SS"))&gt;0,SUMIFS(Shrinkage!$P$2:$P$3000,Shrinkage!$A$2:$A$3000,$K$2,Shrinkage!$D$2:$D$3000,SUBSTITUTE($A88," SS","  SS")),"NA"))</f>
        <v>17378</v>
      </c>
      <c r="E88" s="83" t="n">
        <f aca="false">IF(COUNTIFS('Inventory Hygiene'!$A$2:$A$3000,$K$2,'Inventory Hygiene'!$B$2:$B$3000,$A88)&gt;0,AVERAGEIFS('Inventory Hygiene'!$J$2:$J$3000,'Inventory Hygiene'!$A$2:$A$3000,$K$2,'Inventory Hygiene'!$B$2:$B$3000,$A88),IF(COUNTIFS('Inventory Hygiene'!$A$2:$A$3000,$K$2,'Inventory Hygiene'!$B$2:$B$3000,SUBSTITUTE($A88," SS","  SS"))&gt;0,AVERAGEIFS('Inventory Hygiene'!$J$2:$J$3000,'Inventory Hygiene'!$A$2:$A$3000,$K$2,'Inventory Hygiene'!$B$2:$B$3000,SUBSTITUTE($A88," SS","  SS")),"NA"))</f>
        <v>0.521604435023643</v>
      </c>
      <c r="F88" s="81" t="n">
        <f aca="false">IF(COUNTIFS('Bad Bins'!$A$2:$A$3000,$K$2,'Bad Bins'!$B$2:$B$3000,$A88)&gt;0,SUMIFS('Bad Bins'!$K$2:$K$3000,'Bad Bins'!$A$2:$A$3000,$K$2,'Bad Bins'!$B$2:$B$3000,$A88),IF(COUNTIFS('Bad Bins'!$A$2:$A$3000,$K$2,'Bad Bins'!$B$2:$B$3000,SUBSTITUTE($A88," SS","  SS"))&gt;0,SUMIFS('Bad Bins'!$K$2:$K$3000,'Bad Bins'!$A$2:$A$3000,$K$2,'Bad Bins'!$B$2:$B$3000,SUBSTITUTE($A88," SS","  SS")),"NA"))</f>
        <v>17</v>
      </c>
      <c r="G88" s="81" t="str">
        <f aca="false">IF(COUNTIFS('RSTO &gt; 48hrs'!$A$2:$A$3000,$K$2,'RSTO &gt; 48hrs'!$B$2:$B$3000,$A88)&gt;0,SUMIFS('RSTO &gt; 48hrs'!$H$2:$H$3000,'RSTO &gt; 48hrs'!$A$2:$A$3000,$K$2,'RSTO &gt; 48hrs'!$B$2:$B$3000,$A88),IF(COUNTIFS('RSTO &gt; 48hrs'!$A$2:$A$3000,$K$2,'RSTO &gt; 48hrs'!$B$2:$B$3000,SUBSTITUTE($A88," SS","  SS"))&gt;0,SUMIFS('RSTO &gt; 48hrs'!$H$2:$H$3000,'RSTO &gt; 48hrs'!$A$2:$A$3000,$K$2,'RSTO &gt; 48hrs'!$B$2:$B$3000,SUBSTITUTE($A88," SS","  SS")),"NA"))</f>
        <v>NA</v>
      </c>
      <c r="H88" s="81" t="n">
        <f aca="false">IF(COUNTIFS('Recirculation &gt; 24 hrs'!$A$2:$A$3000,$K$2,'Recirculation &gt; 24 hrs'!$B$2:$B$3000,$A88)&gt;0,SUMIFS('Recirculation &gt; 24 hrs'!$K$2:$K$3000,'Recirculation &gt; 24 hrs'!$A$2:$A$3000,$K$2,'Recirculation &gt; 24 hrs'!$B$2:$B$3000,$A88),IF(COUNTIFS('Recirculation &gt; 24 hrs'!$A$2:$A$3000,$K$2,'Recirculation &gt; 24 hrs'!$B$2:$B$3000,SUBSTITUTE($A88," SS","  SS"))&gt;0,SUMIFS('Recirculation &gt; 24 hrs'!$K$2:$K$3000,'Recirculation &gt; 24 hrs'!$A$2:$A$3000,$K$2,'Recirculation &gt; 24 hrs'!$B$2:$B$3000,SUBSTITUTE($A88," SS","  SS")),"NA"))</f>
        <v>106</v>
      </c>
      <c r="I88" s="81" t="n">
        <f aca="false">IF(COUNTIFS('Pending Putaway'!$A$2:$A$3000,$K$2,'Pending Putaway'!$B$2:$B$3000,$A88)&gt;0,SUMIFS('Pending Putaway'!$E$2:$E$3000,'Pending Putaway'!$A$2:$A$3000,$K$2,'Pending Putaway'!$B$2:$B$3000,$A88),IF(COUNTIFS('Pending Putaway'!$A$2:$A$3000,$K$2,'Pending Putaway'!$B$2:$B$3000,SUBSTITUTE($A88," SS","  SS"))&gt;0,SUMIFS('Pending Putaway'!$E$2:$E$3000,'Pending Putaway'!$A$2:$A$3000,$K$2,'Pending Putaway'!$B$2:$B$3000,SUBSTITUTE($A88," SS","  SS")),"NA"))</f>
        <v>0</v>
      </c>
      <c r="J88" s="81" t="n">
        <f aca="false">IF(COUNTIFS('Pending Putaway'!$A$2:$A$3000,$K$2,'Pending Putaway'!$B$2:$B$3000,$A88)&gt;0,SUMIFS('Pending Putaway'!$L$2:$L$3000,'Pending Putaway'!$A$2:$A$3000,$K$2,'Pending Putaway'!$B$2:$B$3000,$A88),IF(COUNTIFS('Pending Putaway'!$A$2:$A$3000,$K$2,'Pending Putaway'!$B$2:$B$3000,SUBSTITUTE($A88," SS","  SS"))&gt;0,SUMIFS('Pending Putaway'!$L$2:$L$3000,'Pending Putaway'!$A$2:$A$3000,$K$2,'Pending Putaway'!$B$2:$B$3000,SUBSTITUTE($A88," SS","  SS")),"NA"))</f>
        <v>0</v>
      </c>
      <c r="K88" s="23"/>
      <c r="L88" s="23"/>
      <c r="M88" s="23"/>
      <c r="N88" s="23"/>
      <c r="O88" s="23"/>
      <c r="P88" s="23"/>
      <c r="Q88" s="23"/>
      <c r="R88" s="23"/>
      <c r="S88" s="23"/>
      <c r="T88" s="23"/>
      <c r="U88" s="23"/>
      <c r="V88" s="23"/>
      <c r="W88" s="23"/>
      <c r="X88" s="23"/>
      <c r="Y88" s="23"/>
      <c r="Z88" s="23"/>
      <c r="AA88" s="23"/>
      <c r="AB88" s="23"/>
      <c r="AC88" s="23"/>
      <c r="AD88" s="23"/>
      <c r="AE88" s="23"/>
      <c r="AF88" s="23"/>
      <c r="AG88" s="23"/>
      <c r="AH88" s="23"/>
    </row>
    <row r="89" customFormat="false" ht="15.75" hidden="false" customHeight="true" outlineLevel="0" collapsed="false">
      <c r="A89" s="81" t="s">
        <v>136</v>
      </c>
      <c r="B89" s="81" t="str">
        <f aca="false" t="array" ref="B89:B89">IFERROR(INDEX('CLM &amp; IM Mapping'!$B$2:$B$270,MATCH($A89,'CLM &amp; IM Mapping'!$A$2:$A$270,0)),"Not Mapped")</f>
        <v>Arun Raj</v>
      </c>
      <c r="C89" s="81" t="str">
        <f aca="false" t="array" ref="C89:C89">IFERROR(INDEX('CLM &amp; IM Mapping'!$C$2:$C$270,MATCH($A89,'CLM &amp; IM Mapping'!$A$2:$A$270,0)),"Not Mapped")</f>
        <v>Simon Manoharan</v>
      </c>
      <c r="D89" s="82" t="n">
        <f aca="false">IF(COUNTIFS(Shrinkage!$A$2:$A$3000,$K$2,Shrinkage!$D$2:$D$3000,$A89)&gt;0,SUMIFS(Shrinkage!$P$2:$P$3000,Shrinkage!$A$2:$A$3000,$K$2,Shrinkage!$D$2:$D$3000,$A89),IF(COUNTIFS(Shrinkage!$A$2:$A$3000,$K$2,Shrinkage!$D$2:$D$3000,SUBSTITUTE($A89," SS","  SS"))&gt;0,SUMIFS(Shrinkage!$P$2:$P$3000,Shrinkage!$A$2:$A$3000,$K$2,Shrinkage!$D$2:$D$3000,SUBSTITUTE($A89," SS","  SS")),"NA"))</f>
        <v>51632</v>
      </c>
      <c r="E89" s="83" t="n">
        <f aca="false">IF(COUNTIFS('Inventory Hygiene'!$A$2:$A$3000,$K$2,'Inventory Hygiene'!$B$2:$B$3000,$A89)&gt;0,AVERAGEIFS('Inventory Hygiene'!$J$2:$J$3000,'Inventory Hygiene'!$A$2:$A$3000,$K$2,'Inventory Hygiene'!$B$2:$B$3000,$A89),IF(COUNTIFS('Inventory Hygiene'!$A$2:$A$3000,$K$2,'Inventory Hygiene'!$B$2:$B$3000,SUBSTITUTE($A89," SS","  SS"))&gt;0,AVERAGEIFS('Inventory Hygiene'!$J$2:$J$3000,'Inventory Hygiene'!$A$2:$A$3000,$K$2,'Inventory Hygiene'!$B$2:$B$3000,SUBSTITUTE($A89," SS","  SS")),"NA"))</f>
        <v>0.761427128912824</v>
      </c>
      <c r="F89" s="81" t="n">
        <f aca="false">IF(COUNTIFS('Bad Bins'!$A$2:$A$3000,$K$2,'Bad Bins'!$B$2:$B$3000,$A89)&gt;0,SUMIFS('Bad Bins'!$K$2:$K$3000,'Bad Bins'!$A$2:$A$3000,$K$2,'Bad Bins'!$B$2:$B$3000,$A89),IF(COUNTIFS('Bad Bins'!$A$2:$A$3000,$K$2,'Bad Bins'!$B$2:$B$3000,SUBSTITUTE($A89," SS","  SS"))&gt;0,SUMIFS('Bad Bins'!$K$2:$K$3000,'Bad Bins'!$A$2:$A$3000,$K$2,'Bad Bins'!$B$2:$B$3000,SUBSTITUTE($A89," SS","  SS")),"NA"))</f>
        <v>24</v>
      </c>
      <c r="G89" s="81" t="str">
        <f aca="false">IF(COUNTIFS('RSTO &gt; 48hrs'!$A$2:$A$3000,$K$2,'RSTO &gt; 48hrs'!$B$2:$B$3000,$A89)&gt;0,SUMIFS('RSTO &gt; 48hrs'!$H$2:$H$3000,'RSTO &gt; 48hrs'!$A$2:$A$3000,$K$2,'RSTO &gt; 48hrs'!$B$2:$B$3000,$A89),IF(COUNTIFS('RSTO &gt; 48hrs'!$A$2:$A$3000,$K$2,'RSTO &gt; 48hrs'!$B$2:$B$3000,SUBSTITUTE($A89," SS","  SS"))&gt;0,SUMIFS('RSTO &gt; 48hrs'!$H$2:$H$3000,'RSTO &gt; 48hrs'!$A$2:$A$3000,$K$2,'RSTO &gt; 48hrs'!$B$2:$B$3000,SUBSTITUTE($A89," SS","  SS")),"NA"))</f>
        <v>NA</v>
      </c>
      <c r="H89" s="81" t="str">
        <f aca="false">IF(COUNTIFS('Recirculation &gt; 24 hrs'!$A$2:$A$3000,$K$2,'Recirculation &gt; 24 hrs'!$B$2:$B$3000,$A89)&gt;0,SUMIFS('Recirculation &gt; 24 hrs'!$K$2:$K$3000,'Recirculation &gt; 24 hrs'!$A$2:$A$3000,$K$2,'Recirculation &gt; 24 hrs'!$B$2:$B$3000,$A89),IF(COUNTIFS('Recirculation &gt; 24 hrs'!$A$2:$A$3000,$K$2,'Recirculation &gt; 24 hrs'!$B$2:$B$3000,SUBSTITUTE($A89," SS","  SS"))&gt;0,SUMIFS('Recirculation &gt; 24 hrs'!$K$2:$K$3000,'Recirculation &gt; 24 hrs'!$A$2:$A$3000,$K$2,'Recirculation &gt; 24 hrs'!$B$2:$B$3000,SUBSTITUTE($A89," SS","  SS")),"NA"))</f>
        <v>NA</v>
      </c>
      <c r="I89" s="81" t="n">
        <f aca="false">IF(COUNTIFS('Pending Putaway'!$A$2:$A$3000,$K$2,'Pending Putaway'!$B$2:$B$3000,$A89)&gt;0,SUMIFS('Pending Putaway'!$E$2:$E$3000,'Pending Putaway'!$A$2:$A$3000,$K$2,'Pending Putaway'!$B$2:$B$3000,$A89),IF(COUNTIFS('Pending Putaway'!$A$2:$A$3000,$K$2,'Pending Putaway'!$B$2:$B$3000,SUBSTITUTE($A89," SS","  SS"))&gt;0,SUMIFS('Pending Putaway'!$E$2:$E$3000,'Pending Putaway'!$A$2:$A$3000,$K$2,'Pending Putaway'!$B$2:$B$3000,SUBSTITUTE($A89," SS","  SS")),"NA"))</f>
        <v>1896</v>
      </c>
      <c r="J89" s="81" t="n">
        <f aca="false">IF(COUNTIFS('Pending Putaway'!$A$2:$A$3000,$K$2,'Pending Putaway'!$B$2:$B$3000,$A89)&gt;0,SUMIFS('Pending Putaway'!$L$2:$L$3000,'Pending Putaway'!$A$2:$A$3000,$K$2,'Pending Putaway'!$B$2:$B$3000,$A89),IF(COUNTIFS('Pending Putaway'!$A$2:$A$3000,$K$2,'Pending Putaway'!$B$2:$B$3000,SUBSTITUTE($A89," SS","  SS"))&gt;0,SUMIFS('Pending Putaway'!$L$2:$L$3000,'Pending Putaway'!$A$2:$A$3000,$K$2,'Pending Putaway'!$B$2:$B$3000,SUBSTITUTE($A89," SS","  SS")),"NA"))</f>
        <v>47</v>
      </c>
      <c r="K89" s="23"/>
      <c r="L89" s="23"/>
      <c r="M89" s="23"/>
      <c r="N89" s="23"/>
      <c r="O89" s="23"/>
      <c r="P89" s="23"/>
      <c r="Q89" s="23"/>
      <c r="R89" s="23"/>
      <c r="S89" s="23"/>
      <c r="T89" s="23"/>
      <c r="U89" s="23"/>
      <c r="V89" s="23"/>
      <c r="W89" s="23"/>
      <c r="X89" s="23"/>
      <c r="Y89" s="23"/>
      <c r="Z89" s="23"/>
      <c r="AA89" s="23"/>
      <c r="AB89" s="23"/>
      <c r="AC89" s="23"/>
      <c r="AD89" s="23"/>
      <c r="AE89" s="23"/>
      <c r="AF89" s="23"/>
      <c r="AG89" s="23"/>
      <c r="AH89" s="23"/>
    </row>
    <row r="90" customFormat="false" ht="15.75" hidden="false" customHeight="true" outlineLevel="0" collapsed="false">
      <c r="A90" s="81" t="s">
        <v>404</v>
      </c>
      <c r="B90" s="81" t="str">
        <f aca="false" t="array" ref="B90:B90">IFERROR(INDEX('CLM &amp; IM Mapping'!$B$2:$B$270,MATCH($A90,'CLM &amp; IM Mapping'!$A$2:$A$270,0)),"Not Mapped")</f>
        <v>Arun Raj</v>
      </c>
      <c r="C90" s="81" t="str">
        <f aca="false" t="array" ref="C90:C90">IFERROR(INDEX('CLM &amp; IM Mapping'!$C$2:$C$270,MATCH($A90,'CLM &amp; IM Mapping'!$A$2:$A$270,0)),"Not Mapped")</f>
        <v>Simon Manoharan</v>
      </c>
      <c r="D90" s="82" t="n">
        <f aca="false">IF(COUNTIFS(Shrinkage!$A$2:$A$3000,$K$2,Shrinkage!$D$2:$D$3000,$A90)&gt;0,SUMIFS(Shrinkage!$P$2:$P$3000,Shrinkage!$A$2:$A$3000,$K$2,Shrinkage!$D$2:$D$3000,$A90),IF(COUNTIFS(Shrinkage!$A$2:$A$3000,$K$2,Shrinkage!$D$2:$D$3000,SUBSTITUTE($A90," SS","  SS"))&gt;0,SUMIFS(Shrinkage!$P$2:$P$3000,Shrinkage!$A$2:$A$3000,$K$2,Shrinkage!$D$2:$D$3000,SUBSTITUTE($A90," SS","  SS")),"NA"))</f>
        <v>11555</v>
      </c>
      <c r="E90" s="83" t="n">
        <f aca="false">IF(COUNTIFS('Inventory Hygiene'!$A$2:$A$3000,$K$2,'Inventory Hygiene'!$B$2:$B$3000,$A90)&gt;0,AVERAGEIFS('Inventory Hygiene'!$J$2:$J$3000,'Inventory Hygiene'!$A$2:$A$3000,$K$2,'Inventory Hygiene'!$B$2:$B$3000,$A90),IF(COUNTIFS('Inventory Hygiene'!$A$2:$A$3000,$K$2,'Inventory Hygiene'!$B$2:$B$3000,SUBSTITUTE($A90," SS","  SS"))&gt;0,AVERAGEIFS('Inventory Hygiene'!$J$2:$J$3000,'Inventory Hygiene'!$A$2:$A$3000,$K$2,'Inventory Hygiene'!$B$2:$B$3000,SUBSTITUTE($A90," SS","  SS")),"NA"))</f>
        <v>0.39488443235894</v>
      </c>
      <c r="F90" s="81" t="n">
        <f aca="false">IF(COUNTIFS('Bad Bins'!$A$2:$A$3000,$K$2,'Bad Bins'!$B$2:$B$3000,$A90)&gt;0,SUMIFS('Bad Bins'!$K$2:$K$3000,'Bad Bins'!$A$2:$A$3000,$K$2,'Bad Bins'!$B$2:$B$3000,$A90),IF(COUNTIFS('Bad Bins'!$A$2:$A$3000,$K$2,'Bad Bins'!$B$2:$B$3000,SUBSTITUTE($A90," SS","  SS"))&gt;0,SUMIFS('Bad Bins'!$K$2:$K$3000,'Bad Bins'!$A$2:$A$3000,$K$2,'Bad Bins'!$B$2:$B$3000,SUBSTITUTE($A90," SS","  SS")),"NA"))</f>
        <v>27</v>
      </c>
      <c r="G90" s="81" t="str">
        <f aca="false">IF(COUNTIFS('RSTO &gt; 48hrs'!$A$2:$A$3000,$K$2,'RSTO &gt; 48hrs'!$B$2:$B$3000,$A90)&gt;0,SUMIFS('RSTO &gt; 48hrs'!$H$2:$H$3000,'RSTO &gt; 48hrs'!$A$2:$A$3000,$K$2,'RSTO &gt; 48hrs'!$B$2:$B$3000,$A90),IF(COUNTIFS('RSTO &gt; 48hrs'!$A$2:$A$3000,$K$2,'RSTO &gt; 48hrs'!$B$2:$B$3000,SUBSTITUTE($A90," SS","  SS"))&gt;0,SUMIFS('RSTO &gt; 48hrs'!$H$2:$H$3000,'RSTO &gt; 48hrs'!$A$2:$A$3000,$K$2,'RSTO &gt; 48hrs'!$B$2:$B$3000,SUBSTITUTE($A90," SS","  SS")),"NA"))</f>
        <v>NA</v>
      </c>
      <c r="H90" s="81" t="str">
        <f aca="false">IF(COUNTIFS('Recirculation &gt; 24 hrs'!$A$2:$A$3000,$K$2,'Recirculation &gt; 24 hrs'!$B$2:$B$3000,$A90)&gt;0,SUMIFS('Recirculation &gt; 24 hrs'!$K$2:$K$3000,'Recirculation &gt; 24 hrs'!$A$2:$A$3000,$K$2,'Recirculation &gt; 24 hrs'!$B$2:$B$3000,$A90),IF(COUNTIFS('Recirculation &gt; 24 hrs'!$A$2:$A$3000,$K$2,'Recirculation &gt; 24 hrs'!$B$2:$B$3000,SUBSTITUTE($A90," SS","  SS"))&gt;0,SUMIFS('Recirculation &gt; 24 hrs'!$K$2:$K$3000,'Recirculation &gt; 24 hrs'!$A$2:$A$3000,$K$2,'Recirculation &gt; 24 hrs'!$B$2:$B$3000,SUBSTITUTE($A90," SS","  SS")),"NA"))</f>
        <v>NA</v>
      </c>
      <c r="I90" s="81" t="n">
        <f aca="false">IF(COUNTIFS('Pending Putaway'!$A$2:$A$3000,$K$2,'Pending Putaway'!$B$2:$B$3000,$A90)&gt;0,SUMIFS('Pending Putaway'!$E$2:$E$3000,'Pending Putaway'!$A$2:$A$3000,$K$2,'Pending Putaway'!$B$2:$B$3000,$A90),IF(COUNTIFS('Pending Putaway'!$A$2:$A$3000,$K$2,'Pending Putaway'!$B$2:$B$3000,SUBSTITUTE($A90," SS","  SS"))&gt;0,SUMIFS('Pending Putaway'!$E$2:$E$3000,'Pending Putaway'!$A$2:$A$3000,$K$2,'Pending Putaway'!$B$2:$B$3000,SUBSTITUTE($A90," SS","  SS")),"NA"))</f>
        <v>2053</v>
      </c>
      <c r="J90" s="81" t="n">
        <f aca="false">IF(COUNTIFS('Pending Putaway'!$A$2:$A$3000,$K$2,'Pending Putaway'!$B$2:$B$3000,$A90)&gt;0,SUMIFS('Pending Putaway'!$L$2:$L$3000,'Pending Putaway'!$A$2:$A$3000,$K$2,'Pending Putaway'!$B$2:$B$3000,$A90),IF(COUNTIFS('Pending Putaway'!$A$2:$A$3000,$K$2,'Pending Putaway'!$B$2:$B$3000,SUBSTITUTE($A90," SS","  SS"))&gt;0,SUMIFS('Pending Putaway'!$L$2:$L$3000,'Pending Putaway'!$A$2:$A$3000,$K$2,'Pending Putaway'!$B$2:$B$3000,SUBSTITUTE($A90," SS","  SS")),"NA"))</f>
        <v>0</v>
      </c>
      <c r="K90" s="23"/>
      <c r="L90" s="23"/>
      <c r="M90" s="23"/>
      <c r="N90" s="23"/>
      <c r="O90" s="23"/>
      <c r="P90" s="23"/>
      <c r="Q90" s="23"/>
      <c r="R90" s="23"/>
      <c r="S90" s="23"/>
      <c r="T90" s="23"/>
      <c r="U90" s="23"/>
      <c r="V90" s="23"/>
      <c r="W90" s="23"/>
      <c r="X90" s="23"/>
      <c r="Y90" s="23"/>
      <c r="Z90" s="23"/>
      <c r="AA90" s="23"/>
      <c r="AB90" s="23"/>
      <c r="AC90" s="23"/>
      <c r="AD90" s="23"/>
      <c r="AE90" s="23"/>
      <c r="AF90" s="23"/>
      <c r="AG90" s="23"/>
      <c r="AH90" s="23"/>
    </row>
    <row r="91" customFormat="false" ht="15.75" hidden="false" customHeight="true" outlineLevel="0" collapsed="false">
      <c r="A91" s="81" t="s">
        <v>24</v>
      </c>
      <c r="B91" s="81" t="str">
        <f aca="false" t="array" ref="B91:B91">IFERROR(INDEX('CLM &amp; IM Mapping'!$B$2:$B$270,MATCH($A91,'CLM &amp; IM Mapping'!$A$2:$A$270,0)),"Not Mapped")</f>
        <v>Arun Raj</v>
      </c>
      <c r="C91" s="81" t="str">
        <f aca="false" t="array" ref="C91:C91">IFERROR(INDEX('CLM &amp; IM Mapping'!$C$2:$C$270,MATCH($A91,'CLM &amp; IM Mapping'!$A$2:$A$270,0)),"Not Mapped")</f>
        <v>Simon Manoharan</v>
      </c>
      <c r="D91" s="82" t="n">
        <f aca="false">IF(COUNTIFS(Shrinkage!$A$2:$A$3000,$K$2,Shrinkage!$D$2:$D$3000,$A91)&gt;0,SUMIFS(Shrinkage!$P$2:$P$3000,Shrinkage!$A$2:$A$3000,$K$2,Shrinkage!$D$2:$D$3000,$A91),IF(COUNTIFS(Shrinkage!$A$2:$A$3000,$K$2,Shrinkage!$D$2:$D$3000,SUBSTITUTE($A91," SS","  SS"))&gt;0,SUMIFS(Shrinkage!$P$2:$P$3000,Shrinkage!$A$2:$A$3000,$K$2,Shrinkage!$D$2:$D$3000,SUBSTITUTE($A91," SS","  SS")),"NA"))</f>
        <v>145463</v>
      </c>
      <c r="E91" s="83" t="n">
        <f aca="false">IF(COUNTIFS('Inventory Hygiene'!$A$2:$A$3000,$K$2,'Inventory Hygiene'!$B$2:$B$3000,$A91)&gt;0,AVERAGEIFS('Inventory Hygiene'!$J$2:$J$3000,'Inventory Hygiene'!$A$2:$A$3000,$K$2,'Inventory Hygiene'!$B$2:$B$3000,$A91),IF(COUNTIFS('Inventory Hygiene'!$A$2:$A$3000,$K$2,'Inventory Hygiene'!$B$2:$B$3000,SUBSTITUTE($A91," SS","  SS"))&gt;0,AVERAGEIFS('Inventory Hygiene'!$J$2:$J$3000,'Inventory Hygiene'!$A$2:$A$3000,$K$2,'Inventory Hygiene'!$B$2:$B$3000,SUBSTITUTE($A91," SS","  SS")),"NA"))</f>
        <v>0.400514658579175</v>
      </c>
      <c r="F91" s="81" t="n">
        <f aca="false">IF(COUNTIFS('Bad Bins'!$A$2:$A$3000,$K$2,'Bad Bins'!$B$2:$B$3000,$A91)&gt;0,SUMIFS('Bad Bins'!$K$2:$K$3000,'Bad Bins'!$A$2:$A$3000,$K$2,'Bad Bins'!$B$2:$B$3000,$A91),IF(COUNTIFS('Bad Bins'!$A$2:$A$3000,$K$2,'Bad Bins'!$B$2:$B$3000,SUBSTITUTE($A91," SS","  SS"))&gt;0,SUMIFS('Bad Bins'!$K$2:$K$3000,'Bad Bins'!$A$2:$A$3000,$K$2,'Bad Bins'!$B$2:$B$3000,SUBSTITUTE($A91," SS","  SS")),"NA"))</f>
        <v>48</v>
      </c>
      <c r="G91" s="81" t="str">
        <f aca="false">IF(COUNTIFS('RSTO &gt; 48hrs'!$A$2:$A$3000,$K$2,'RSTO &gt; 48hrs'!$B$2:$B$3000,$A91)&gt;0,SUMIFS('RSTO &gt; 48hrs'!$H$2:$H$3000,'RSTO &gt; 48hrs'!$A$2:$A$3000,$K$2,'RSTO &gt; 48hrs'!$B$2:$B$3000,$A91),IF(COUNTIFS('RSTO &gt; 48hrs'!$A$2:$A$3000,$K$2,'RSTO &gt; 48hrs'!$B$2:$B$3000,SUBSTITUTE($A91," SS","  SS"))&gt;0,SUMIFS('RSTO &gt; 48hrs'!$H$2:$H$3000,'RSTO &gt; 48hrs'!$A$2:$A$3000,$K$2,'RSTO &gt; 48hrs'!$B$2:$B$3000,SUBSTITUTE($A91," SS","  SS")),"NA"))</f>
        <v>NA</v>
      </c>
      <c r="H91" s="81" t="n">
        <f aca="false">IF(COUNTIFS('Recirculation &gt; 24 hrs'!$A$2:$A$3000,$K$2,'Recirculation &gt; 24 hrs'!$B$2:$B$3000,$A91)&gt;0,SUMIFS('Recirculation &gt; 24 hrs'!$K$2:$K$3000,'Recirculation &gt; 24 hrs'!$A$2:$A$3000,$K$2,'Recirculation &gt; 24 hrs'!$B$2:$B$3000,$A91),IF(COUNTIFS('Recirculation &gt; 24 hrs'!$A$2:$A$3000,$K$2,'Recirculation &gt; 24 hrs'!$B$2:$B$3000,SUBSTITUTE($A91," SS","  SS"))&gt;0,SUMIFS('Recirculation &gt; 24 hrs'!$K$2:$K$3000,'Recirculation &gt; 24 hrs'!$A$2:$A$3000,$K$2,'Recirculation &gt; 24 hrs'!$B$2:$B$3000,SUBSTITUTE($A91," SS","  SS")),"NA"))</f>
        <v>1</v>
      </c>
      <c r="I91" s="81" t="n">
        <f aca="false">IF(COUNTIFS('Pending Putaway'!$A$2:$A$3000,$K$2,'Pending Putaway'!$B$2:$B$3000,$A91)&gt;0,SUMIFS('Pending Putaway'!$E$2:$E$3000,'Pending Putaway'!$A$2:$A$3000,$K$2,'Pending Putaway'!$B$2:$B$3000,$A91),IF(COUNTIFS('Pending Putaway'!$A$2:$A$3000,$K$2,'Pending Putaway'!$B$2:$B$3000,SUBSTITUTE($A91," SS","  SS"))&gt;0,SUMIFS('Pending Putaway'!$E$2:$E$3000,'Pending Putaway'!$A$2:$A$3000,$K$2,'Pending Putaway'!$B$2:$B$3000,SUBSTITUTE($A91," SS","  SS")),"NA"))</f>
        <v>2118</v>
      </c>
      <c r="J91" s="81" t="n">
        <f aca="false">IF(COUNTIFS('Pending Putaway'!$A$2:$A$3000,$K$2,'Pending Putaway'!$B$2:$B$3000,$A91)&gt;0,SUMIFS('Pending Putaway'!$L$2:$L$3000,'Pending Putaway'!$A$2:$A$3000,$K$2,'Pending Putaway'!$B$2:$B$3000,$A91),IF(COUNTIFS('Pending Putaway'!$A$2:$A$3000,$K$2,'Pending Putaway'!$B$2:$B$3000,SUBSTITUTE($A91," SS","  SS"))&gt;0,SUMIFS('Pending Putaway'!$L$2:$L$3000,'Pending Putaway'!$A$2:$A$3000,$K$2,'Pending Putaway'!$B$2:$B$3000,SUBSTITUTE($A91," SS","  SS")),"NA"))</f>
        <v>319</v>
      </c>
      <c r="K91" s="23"/>
      <c r="L91" s="23"/>
      <c r="M91" s="23"/>
      <c r="N91" s="23"/>
      <c r="O91" s="23"/>
      <c r="P91" s="23"/>
      <c r="Q91" s="23"/>
      <c r="R91" s="23"/>
      <c r="S91" s="23"/>
      <c r="T91" s="23"/>
      <c r="U91" s="23"/>
      <c r="V91" s="23"/>
      <c r="W91" s="23"/>
      <c r="X91" s="23"/>
      <c r="Y91" s="23"/>
      <c r="Z91" s="23"/>
      <c r="AA91" s="23"/>
      <c r="AB91" s="23"/>
      <c r="AC91" s="23"/>
      <c r="AD91" s="23"/>
      <c r="AE91" s="23"/>
      <c r="AF91" s="23"/>
      <c r="AG91" s="23"/>
      <c r="AH91" s="23"/>
    </row>
    <row r="92" customFormat="false" ht="15.75" hidden="false" customHeight="true" outlineLevel="0" collapsed="false">
      <c r="A92" s="81" t="s">
        <v>382</v>
      </c>
      <c r="B92" s="81" t="str">
        <f aca="false" t="array" ref="B92:B92">IFERROR(INDEX('CLM &amp; IM Mapping'!$B$2:$B$270,MATCH($A92,'CLM &amp; IM Mapping'!$A$2:$A$270,0)),"Not Mapped")</f>
        <v>Arun Raj</v>
      </c>
      <c r="C92" s="81" t="str">
        <f aca="false" t="array" ref="C92:C92">IFERROR(INDEX('CLM &amp; IM Mapping'!$C$2:$C$270,MATCH($A92,'CLM &amp; IM Mapping'!$A$2:$A$270,0)),"Not Mapped")</f>
        <v>Simon Manoharan</v>
      </c>
      <c r="D92" s="82" t="n">
        <f aca="false">IF(COUNTIFS(Shrinkage!$A$2:$A$3000,$K$2,Shrinkage!$D$2:$D$3000,$A92)&gt;0,SUMIFS(Shrinkage!$P$2:$P$3000,Shrinkage!$A$2:$A$3000,$K$2,Shrinkage!$D$2:$D$3000,$A92),IF(COUNTIFS(Shrinkage!$A$2:$A$3000,$K$2,Shrinkage!$D$2:$D$3000,SUBSTITUTE($A92," SS","  SS"))&gt;0,SUMIFS(Shrinkage!$P$2:$P$3000,Shrinkage!$A$2:$A$3000,$K$2,Shrinkage!$D$2:$D$3000,SUBSTITUTE($A92," SS","  SS")),"NA"))</f>
        <v>1712</v>
      </c>
      <c r="E92" s="83" t="n">
        <f aca="false">IF(COUNTIFS('Inventory Hygiene'!$A$2:$A$3000,$K$2,'Inventory Hygiene'!$B$2:$B$3000,$A92)&gt;0,AVERAGEIFS('Inventory Hygiene'!$J$2:$J$3000,'Inventory Hygiene'!$A$2:$A$3000,$K$2,'Inventory Hygiene'!$B$2:$B$3000,$A92),IF(COUNTIFS('Inventory Hygiene'!$A$2:$A$3000,$K$2,'Inventory Hygiene'!$B$2:$B$3000,SUBSTITUTE($A92," SS","  SS"))&gt;0,AVERAGEIFS('Inventory Hygiene'!$J$2:$J$3000,'Inventory Hygiene'!$A$2:$A$3000,$K$2,'Inventory Hygiene'!$B$2:$B$3000,SUBSTITUTE($A92," SS","  SS")),"NA"))</f>
        <v>0.199349132176235</v>
      </c>
      <c r="F92" s="81" t="n">
        <f aca="false">IF(COUNTIFS('Bad Bins'!$A$2:$A$3000,$K$2,'Bad Bins'!$B$2:$B$3000,$A92)&gt;0,SUMIFS('Bad Bins'!$K$2:$K$3000,'Bad Bins'!$A$2:$A$3000,$K$2,'Bad Bins'!$B$2:$B$3000,$A92),IF(COUNTIFS('Bad Bins'!$A$2:$A$3000,$K$2,'Bad Bins'!$B$2:$B$3000,SUBSTITUTE($A92," SS","  SS"))&gt;0,SUMIFS('Bad Bins'!$K$2:$K$3000,'Bad Bins'!$A$2:$A$3000,$K$2,'Bad Bins'!$B$2:$B$3000,SUBSTITUTE($A92," SS","  SS")),"NA"))</f>
        <v>4</v>
      </c>
      <c r="G92" s="81" t="str">
        <f aca="false">IF(COUNTIFS('RSTO &gt; 48hrs'!$A$2:$A$3000,$K$2,'RSTO &gt; 48hrs'!$B$2:$B$3000,$A92)&gt;0,SUMIFS('RSTO &gt; 48hrs'!$H$2:$H$3000,'RSTO &gt; 48hrs'!$A$2:$A$3000,$K$2,'RSTO &gt; 48hrs'!$B$2:$B$3000,$A92),IF(COUNTIFS('RSTO &gt; 48hrs'!$A$2:$A$3000,$K$2,'RSTO &gt; 48hrs'!$B$2:$B$3000,SUBSTITUTE($A92," SS","  SS"))&gt;0,SUMIFS('RSTO &gt; 48hrs'!$H$2:$H$3000,'RSTO &gt; 48hrs'!$A$2:$A$3000,$K$2,'RSTO &gt; 48hrs'!$B$2:$B$3000,SUBSTITUTE($A92," SS","  SS")),"NA"))</f>
        <v>NA</v>
      </c>
      <c r="H92" s="81" t="n">
        <f aca="false">IF(COUNTIFS('Recirculation &gt; 24 hrs'!$A$2:$A$3000,$K$2,'Recirculation &gt; 24 hrs'!$B$2:$B$3000,$A92)&gt;0,SUMIFS('Recirculation &gt; 24 hrs'!$K$2:$K$3000,'Recirculation &gt; 24 hrs'!$A$2:$A$3000,$K$2,'Recirculation &gt; 24 hrs'!$B$2:$B$3000,$A92),IF(COUNTIFS('Recirculation &gt; 24 hrs'!$A$2:$A$3000,$K$2,'Recirculation &gt; 24 hrs'!$B$2:$B$3000,SUBSTITUTE($A92," SS","  SS"))&gt;0,SUMIFS('Recirculation &gt; 24 hrs'!$K$2:$K$3000,'Recirculation &gt; 24 hrs'!$A$2:$A$3000,$K$2,'Recirculation &gt; 24 hrs'!$B$2:$B$3000,SUBSTITUTE($A92," SS","  SS")),"NA"))</f>
        <v>450</v>
      </c>
      <c r="I92" s="81" t="n">
        <f aca="false">IF(COUNTIFS('Pending Putaway'!$A$2:$A$3000,$K$2,'Pending Putaway'!$B$2:$B$3000,$A92)&gt;0,SUMIFS('Pending Putaway'!$E$2:$E$3000,'Pending Putaway'!$A$2:$A$3000,$K$2,'Pending Putaway'!$B$2:$B$3000,$A92),IF(COUNTIFS('Pending Putaway'!$A$2:$A$3000,$K$2,'Pending Putaway'!$B$2:$B$3000,SUBSTITUTE($A92," SS","  SS"))&gt;0,SUMIFS('Pending Putaway'!$E$2:$E$3000,'Pending Putaway'!$A$2:$A$3000,$K$2,'Pending Putaway'!$B$2:$B$3000,SUBSTITUTE($A92," SS","  SS")),"NA"))</f>
        <v>827</v>
      </c>
      <c r="J92" s="81" t="n">
        <f aca="false">IF(COUNTIFS('Pending Putaway'!$A$2:$A$3000,$K$2,'Pending Putaway'!$B$2:$B$3000,$A92)&gt;0,SUMIFS('Pending Putaway'!$L$2:$L$3000,'Pending Putaway'!$A$2:$A$3000,$K$2,'Pending Putaway'!$B$2:$B$3000,$A92),IF(COUNTIFS('Pending Putaway'!$A$2:$A$3000,$K$2,'Pending Putaway'!$B$2:$B$3000,SUBSTITUTE($A92," SS","  SS"))&gt;0,SUMIFS('Pending Putaway'!$L$2:$L$3000,'Pending Putaway'!$A$2:$A$3000,$K$2,'Pending Putaway'!$B$2:$B$3000,SUBSTITUTE($A92," SS","  SS")),"NA"))</f>
        <v>577</v>
      </c>
      <c r="K92" s="23"/>
      <c r="L92" s="23"/>
      <c r="M92" s="23"/>
      <c r="N92" s="23"/>
      <c r="O92" s="23"/>
      <c r="P92" s="23"/>
      <c r="Q92" s="23"/>
      <c r="R92" s="23"/>
      <c r="S92" s="23"/>
      <c r="T92" s="23"/>
      <c r="U92" s="23"/>
      <c r="V92" s="23"/>
      <c r="W92" s="23"/>
      <c r="X92" s="23"/>
      <c r="Y92" s="23"/>
      <c r="Z92" s="23"/>
      <c r="AA92" s="23"/>
      <c r="AB92" s="23"/>
      <c r="AC92" s="23"/>
      <c r="AD92" s="23"/>
      <c r="AE92" s="23"/>
      <c r="AF92" s="23"/>
      <c r="AG92" s="23"/>
      <c r="AH92" s="23"/>
    </row>
    <row r="93" customFormat="false" ht="15.75" hidden="false" customHeight="true" outlineLevel="0" collapsed="false">
      <c r="A93" s="81" t="s">
        <v>288</v>
      </c>
      <c r="B93" s="81" t="str">
        <f aca="false" t="array" ref="B93:B93">IFERROR(INDEX('CLM &amp; IM Mapping'!$B$2:$B$270,MATCH($A93,'CLM &amp; IM Mapping'!$A$2:$A$270,0)),"Not Mapped")</f>
        <v>Arun Raj</v>
      </c>
      <c r="C93" s="81" t="str">
        <f aca="false" t="array" ref="C93:C93">IFERROR(INDEX('CLM &amp; IM Mapping'!$C$2:$C$270,MATCH($A93,'CLM &amp; IM Mapping'!$A$2:$A$270,0)),"Not Mapped")</f>
        <v>Simon Manoharan</v>
      </c>
      <c r="D93" s="82" t="n">
        <f aca="false">IF(COUNTIFS(Shrinkage!$A$2:$A$3000,$K$2,Shrinkage!$D$2:$D$3000,$A93)&gt;0,SUMIFS(Shrinkage!$P$2:$P$3000,Shrinkage!$A$2:$A$3000,$K$2,Shrinkage!$D$2:$D$3000,$A93),IF(COUNTIFS(Shrinkage!$A$2:$A$3000,$K$2,Shrinkage!$D$2:$D$3000,SUBSTITUTE($A93," SS","  SS"))&gt;0,SUMIFS(Shrinkage!$P$2:$P$3000,Shrinkage!$A$2:$A$3000,$K$2,Shrinkage!$D$2:$D$3000,SUBSTITUTE($A93," SS","  SS")),"NA"))</f>
        <v>8402</v>
      </c>
      <c r="E93" s="83" t="n">
        <f aca="false">IF(COUNTIFS('Inventory Hygiene'!$A$2:$A$3000,$K$2,'Inventory Hygiene'!$B$2:$B$3000,$A93)&gt;0,AVERAGEIFS('Inventory Hygiene'!$J$2:$J$3000,'Inventory Hygiene'!$A$2:$A$3000,$K$2,'Inventory Hygiene'!$B$2:$B$3000,$A93),IF(COUNTIFS('Inventory Hygiene'!$A$2:$A$3000,$K$2,'Inventory Hygiene'!$B$2:$B$3000,SUBSTITUTE($A93," SS","  SS"))&gt;0,AVERAGEIFS('Inventory Hygiene'!$J$2:$J$3000,'Inventory Hygiene'!$A$2:$A$3000,$K$2,'Inventory Hygiene'!$B$2:$B$3000,SUBSTITUTE($A93," SS","  SS")),"NA"))</f>
        <v>0.353349633251834</v>
      </c>
      <c r="F93" s="81" t="n">
        <f aca="false">IF(COUNTIFS('Bad Bins'!$A$2:$A$3000,$K$2,'Bad Bins'!$B$2:$B$3000,$A93)&gt;0,SUMIFS('Bad Bins'!$K$2:$K$3000,'Bad Bins'!$A$2:$A$3000,$K$2,'Bad Bins'!$B$2:$B$3000,$A93),IF(COUNTIFS('Bad Bins'!$A$2:$A$3000,$K$2,'Bad Bins'!$B$2:$B$3000,SUBSTITUTE($A93," SS","  SS"))&gt;0,SUMIFS('Bad Bins'!$K$2:$K$3000,'Bad Bins'!$A$2:$A$3000,$K$2,'Bad Bins'!$B$2:$B$3000,SUBSTITUTE($A93," SS","  SS")),"NA"))</f>
        <v>47</v>
      </c>
      <c r="G93" s="81" t="str">
        <f aca="false">IF(COUNTIFS('RSTO &gt; 48hrs'!$A$2:$A$3000,$K$2,'RSTO &gt; 48hrs'!$B$2:$B$3000,$A93)&gt;0,SUMIFS('RSTO &gt; 48hrs'!$H$2:$H$3000,'RSTO &gt; 48hrs'!$A$2:$A$3000,$K$2,'RSTO &gt; 48hrs'!$B$2:$B$3000,$A93),IF(COUNTIFS('RSTO &gt; 48hrs'!$A$2:$A$3000,$K$2,'RSTO &gt; 48hrs'!$B$2:$B$3000,SUBSTITUTE($A93," SS","  SS"))&gt;0,SUMIFS('RSTO &gt; 48hrs'!$H$2:$H$3000,'RSTO &gt; 48hrs'!$A$2:$A$3000,$K$2,'RSTO &gt; 48hrs'!$B$2:$B$3000,SUBSTITUTE($A93," SS","  SS")),"NA"))</f>
        <v>NA</v>
      </c>
      <c r="H93" s="81" t="n">
        <f aca="false">IF(COUNTIFS('Recirculation &gt; 24 hrs'!$A$2:$A$3000,$K$2,'Recirculation &gt; 24 hrs'!$B$2:$B$3000,$A93)&gt;0,SUMIFS('Recirculation &gt; 24 hrs'!$K$2:$K$3000,'Recirculation &gt; 24 hrs'!$A$2:$A$3000,$K$2,'Recirculation &gt; 24 hrs'!$B$2:$B$3000,$A93),IF(COUNTIFS('Recirculation &gt; 24 hrs'!$A$2:$A$3000,$K$2,'Recirculation &gt; 24 hrs'!$B$2:$B$3000,SUBSTITUTE($A93," SS","  SS"))&gt;0,SUMIFS('Recirculation &gt; 24 hrs'!$K$2:$K$3000,'Recirculation &gt; 24 hrs'!$A$2:$A$3000,$K$2,'Recirculation &gt; 24 hrs'!$B$2:$B$3000,SUBSTITUTE($A93," SS","  SS")),"NA"))</f>
        <v>369</v>
      </c>
      <c r="I93" s="81" t="n">
        <f aca="false">IF(COUNTIFS('Pending Putaway'!$A$2:$A$3000,$K$2,'Pending Putaway'!$B$2:$B$3000,$A93)&gt;0,SUMIFS('Pending Putaway'!$E$2:$E$3000,'Pending Putaway'!$A$2:$A$3000,$K$2,'Pending Putaway'!$B$2:$B$3000,$A93),IF(COUNTIFS('Pending Putaway'!$A$2:$A$3000,$K$2,'Pending Putaway'!$B$2:$B$3000,SUBSTITUTE($A93," SS","  SS"))&gt;0,SUMIFS('Pending Putaway'!$E$2:$E$3000,'Pending Putaway'!$A$2:$A$3000,$K$2,'Pending Putaway'!$B$2:$B$3000,SUBSTITUTE($A93," SS","  SS")),"NA"))</f>
        <v>1913</v>
      </c>
      <c r="J93" s="81" t="n">
        <f aca="false">IF(COUNTIFS('Pending Putaway'!$A$2:$A$3000,$K$2,'Pending Putaway'!$B$2:$B$3000,$A93)&gt;0,SUMIFS('Pending Putaway'!$L$2:$L$3000,'Pending Putaway'!$A$2:$A$3000,$K$2,'Pending Putaway'!$B$2:$B$3000,$A93),IF(COUNTIFS('Pending Putaway'!$A$2:$A$3000,$K$2,'Pending Putaway'!$B$2:$B$3000,SUBSTITUTE($A93," SS","  SS"))&gt;0,SUMIFS('Pending Putaway'!$L$2:$L$3000,'Pending Putaway'!$A$2:$A$3000,$K$2,'Pending Putaway'!$B$2:$B$3000,SUBSTITUTE($A93," SS","  SS")),"NA"))</f>
        <v>0</v>
      </c>
      <c r="K93" s="23"/>
      <c r="L93" s="23"/>
      <c r="M93" s="23"/>
      <c r="N93" s="23"/>
      <c r="O93" s="23"/>
      <c r="P93" s="23"/>
      <c r="Q93" s="23"/>
      <c r="R93" s="23"/>
      <c r="S93" s="23"/>
      <c r="T93" s="23"/>
      <c r="U93" s="23"/>
      <c r="V93" s="23"/>
      <c r="W93" s="23"/>
      <c r="X93" s="23"/>
      <c r="Y93" s="23"/>
      <c r="Z93" s="23"/>
      <c r="AA93" s="23"/>
      <c r="AB93" s="23"/>
      <c r="AC93" s="23"/>
      <c r="AD93" s="23"/>
      <c r="AE93" s="23"/>
      <c r="AF93" s="23"/>
      <c r="AG93" s="23"/>
      <c r="AH93" s="23"/>
    </row>
    <row r="94" customFormat="false" ht="15.75" hidden="false" customHeight="true" outlineLevel="0" collapsed="false">
      <c r="A94" s="81" t="s">
        <v>50</v>
      </c>
      <c r="B94" s="81" t="str">
        <f aca="false" t="array" ref="B94:B94">IFERROR(INDEX('CLM &amp; IM Mapping'!$B$2:$B$270,MATCH($A94,'CLM &amp; IM Mapping'!$A$2:$A$270,0)),"Not Mapped")</f>
        <v>Arun Raj</v>
      </c>
      <c r="C94" s="81" t="str">
        <f aca="false" t="array" ref="C94:C94">IFERROR(INDEX('CLM &amp; IM Mapping'!$C$2:$C$270,MATCH($A94,'CLM &amp; IM Mapping'!$A$2:$A$270,0)),"Not Mapped")</f>
        <v>Simon Manoharan</v>
      </c>
      <c r="D94" s="82" t="n">
        <f aca="false">IF(COUNTIFS(Shrinkage!$A$2:$A$3000,$K$2,Shrinkage!$D$2:$D$3000,$A94)&gt;0,SUMIFS(Shrinkage!$P$2:$P$3000,Shrinkage!$A$2:$A$3000,$K$2,Shrinkage!$D$2:$D$3000,$A94),IF(COUNTIFS(Shrinkage!$A$2:$A$3000,$K$2,Shrinkage!$D$2:$D$3000,SUBSTITUTE($A94," SS","  SS"))&gt;0,SUMIFS(Shrinkage!$P$2:$P$3000,Shrinkage!$A$2:$A$3000,$K$2,Shrinkage!$D$2:$D$3000,SUBSTITUTE($A94," SS","  SS")),"NA"))</f>
        <v>70438</v>
      </c>
      <c r="E94" s="83" t="n">
        <f aca="false">IF(COUNTIFS('Inventory Hygiene'!$A$2:$A$3000,$K$2,'Inventory Hygiene'!$B$2:$B$3000,$A94)&gt;0,AVERAGEIFS('Inventory Hygiene'!$J$2:$J$3000,'Inventory Hygiene'!$A$2:$A$3000,$K$2,'Inventory Hygiene'!$B$2:$B$3000,$A94),IF(COUNTIFS('Inventory Hygiene'!$A$2:$A$3000,$K$2,'Inventory Hygiene'!$B$2:$B$3000,SUBSTITUTE($A94," SS","  SS"))&gt;0,AVERAGEIFS('Inventory Hygiene'!$J$2:$J$3000,'Inventory Hygiene'!$A$2:$A$3000,$K$2,'Inventory Hygiene'!$B$2:$B$3000,SUBSTITUTE($A94," SS","  SS")),"NA"))</f>
        <v>0.185286458333333</v>
      </c>
      <c r="F94" s="81" t="n">
        <f aca="false">IF(COUNTIFS('Bad Bins'!$A$2:$A$3000,$K$2,'Bad Bins'!$B$2:$B$3000,$A94)&gt;0,SUMIFS('Bad Bins'!$K$2:$K$3000,'Bad Bins'!$A$2:$A$3000,$K$2,'Bad Bins'!$B$2:$B$3000,$A94),IF(COUNTIFS('Bad Bins'!$A$2:$A$3000,$K$2,'Bad Bins'!$B$2:$B$3000,SUBSTITUTE($A94," SS","  SS"))&gt;0,SUMIFS('Bad Bins'!$K$2:$K$3000,'Bad Bins'!$A$2:$A$3000,$K$2,'Bad Bins'!$B$2:$B$3000,SUBSTITUTE($A94," SS","  SS")),"NA"))</f>
        <v>19</v>
      </c>
      <c r="G94" s="81" t="str">
        <f aca="false">IF(COUNTIFS('RSTO &gt; 48hrs'!$A$2:$A$3000,$K$2,'RSTO &gt; 48hrs'!$B$2:$B$3000,$A94)&gt;0,SUMIFS('RSTO &gt; 48hrs'!$H$2:$H$3000,'RSTO &gt; 48hrs'!$A$2:$A$3000,$K$2,'RSTO &gt; 48hrs'!$B$2:$B$3000,$A94),IF(COUNTIFS('RSTO &gt; 48hrs'!$A$2:$A$3000,$K$2,'RSTO &gt; 48hrs'!$B$2:$B$3000,SUBSTITUTE($A94," SS","  SS"))&gt;0,SUMIFS('RSTO &gt; 48hrs'!$H$2:$H$3000,'RSTO &gt; 48hrs'!$A$2:$A$3000,$K$2,'RSTO &gt; 48hrs'!$B$2:$B$3000,SUBSTITUTE($A94," SS","  SS")),"NA"))</f>
        <v>NA</v>
      </c>
      <c r="H94" s="81" t="n">
        <f aca="false">IF(COUNTIFS('Recirculation &gt; 24 hrs'!$A$2:$A$3000,$K$2,'Recirculation &gt; 24 hrs'!$B$2:$B$3000,$A94)&gt;0,SUMIFS('Recirculation &gt; 24 hrs'!$K$2:$K$3000,'Recirculation &gt; 24 hrs'!$A$2:$A$3000,$K$2,'Recirculation &gt; 24 hrs'!$B$2:$B$3000,$A94),IF(COUNTIFS('Recirculation &gt; 24 hrs'!$A$2:$A$3000,$K$2,'Recirculation &gt; 24 hrs'!$B$2:$B$3000,SUBSTITUTE($A94," SS","  SS"))&gt;0,SUMIFS('Recirculation &gt; 24 hrs'!$K$2:$K$3000,'Recirculation &gt; 24 hrs'!$A$2:$A$3000,$K$2,'Recirculation &gt; 24 hrs'!$B$2:$B$3000,SUBSTITUTE($A94," SS","  SS")),"NA"))</f>
        <v>448</v>
      </c>
      <c r="I94" s="81" t="n">
        <f aca="false">IF(COUNTIFS('Pending Putaway'!$A$2:$A$3000,$K$2,'Pending Putaway'!$B$2:$B$3000,$A94)&gt;0,SUMIFS('Pending Putaway'!$E$2:$E$3000,'Pending Putaway'!$A$2:$A$3000,$K$2,'Pending Putaway'!$B$2:$B$3000,$A94),IF(COUNTIFS('Pending Putaway'!$A$2:$A$3000,$K$2,'Pending Putaway'!$B$2:$B$3000,SUBSTITUTE($A94," SS","  SS"))&gt;0,SUMIFS('Pending Putaway'!$E$2:$E$3000,'Pending Putaway'!$A$2:$A$3000,$K$2,'Pending Putaway'!$B$2:$B$3000,SUBSTITUTE($A94," SS","  SS")),"NA"))</f>
        <v>2687</v>
      </c>
      <c r="J94" s="81" t="n">
        <f aca="false">IF(COUNTIFS('Pending Putaway'!$A$2:$A$3000,$K$2,'Pending Putaway'!$B$2:$B$3000,$A94)&gt;0,SUMIFS('Pending Putaway'!$L$2:$L$3000,'Pending Putaway'!$A$2:$A$3000,$K$2,'Pending Putaway'!$B$2:$B$3000,$A94),IF(COUNTIFS('Pending Putaway'!$A$2:$A$3000,$K$2,'Pending Putaway'!$B$2:$B$3000,SUBSTITUTE($A94," SS","  SS"))&gt;0,SUMIFS('Pending Putaway'!$L$2:$L$3000,'Pending Putaway'!$A$2:$A$3000,$K$2,'Pending Putaway'!$B$2:$B$3000,SUBSTITUTE($A94," SS","  SS")),"NA"))</f>
        <v>0</v>
      </c>
      <c r="K94" s="23"/>
      <c r="L94" s="23"/>
      <c r="M94" s="23"/>
      <c r="N94" s="23"/>
      <c r="O94" s="23"/>
      <c r="P94" s="23"/>
      <c r="Q94" s="23"/>
      <c r="R94" s="23"/>
      <c r="S94" s="23"/>
      <c r="T94" s="23"/>
      <c r="U94" s="23"/>
      <c r="V94" s="23"/>
      <c r="W94" s="23"/>
      <c r="X94" s="23"/>
      <c r="Y94" s="23"/>
      <c r="Z94" s="23"/>
      <c r="AA94" s="23"/>
      <c r="AB94" s="23"/>
      <c r="AC94" s="23"/>
      <c r="AD94" s="23"/>
      <c r="AE94" s="23"/>
      <c r="AF94" s="23"/>
      <c r="AG94" s="23"/>
      <c r="AH94" s="23"/>
    </row>
    <row r="95" customFormat="false" ht="15.75" hidden="false" customHeight="true" outlineLevel="0" collapsed="false">
      <c r="A95" s="81" t="s">
        <v>494</v>
      </c>
      <c r="B95" s="81" t="str">
        <f aca="false" t="array" ref="B95:B95">IFERROR(INDEX('CLM &amp; IM Mapping'!$B$2:$B$270,MATCH($A95,'CLM &amp; IM Mapping'!$A$2:$A$270,0)),"Not Mapped")</f>
        <v>Arun Raj</v>
      </c>
      <c r="C95" s="81" t="str">
        <f aca="false" t="array" ref="C95:C95">IFERROR(INDEX('CLM &amp; IM Mapping'!$C$2:$C$270,MATCH($A95,'CLM &amp; IM Mapping'!$A$2:$A$270,0)),"Not Mapped")</f>
        <v>Simon Manoharan</v>
      </c>
      <c r="D95" s="82" t="n">
        <f aca="false">IF(COUNTIFS(Shrinkage!$A$2:$A$3000,$K$2,Shrinkage!$D$2:$D$3000,$A95)&gt;0,SUMIFS(Shrinkage!$P$2:$P$3000,Shrinkage!$A$2:$A$3000,$K$2,Shrinkage!$D$2:$D$3000,$A95),IF(COUNTIFS(Shrinkage!$A$2:$A$3000,$K$2,Shrinkage!$D$2:$D$3000,SUBSTITUTE($A95," SS","  SS"))&gt;0,SUMIFS(Shrinkage!$P$2:$P$3000,Shrinkage!$A$2:$A$3000,$K$2,Shrinkage!$D$2:$D$3000,SUBSTITUTE($A95," SS","  SS")),"NA"))</f>
        <v>-13135</v>
      </c>
      <c r="E95" s="83" t="n">
        <f aca="false">IF(COUNTIFS('Inventory Hygiene'!$A$2:$A$3000,$K$2,'Inventory Hygiene'!$B$2:$B$3000,$A95)&gt;0,AVERAGEIFS('Inventory Hygiene'!$J$2:$J$3000,'Inventory Hygiene'!$A$2:$A$3000,$K$2,'Inventory Hygiene'!$B$2:$B$3000,$A95),IF(COUNTIFS('Inventory Hygiene'!$A$2:$A$3000,$K$2,'Inventory Hygiene'!$B$2:$B$3000,SUBSTITUTE($A95," SS","  SS"))&gt;0,AVERAGEIFS('Inventory Hygiene'!$J$2:$J$3000,'Inventory Hygiene'!$A$2:$A$3000,$K$2,'Inventory Hygiene'!$B$2:$B$3000,SUBSTITUTE($A95," SS","  SS")),"NA"))</f>
        <v>0.64259842519685</v>
      </c>
      <c r="F95" s="81" t="n">
        <f aca="false">IF(COUNTIFS('Bad Bins'!$A$2:$A$3000,$K$2,'Bad Bins'!$B$2:$B$3000,$A95)&gt;0,SUMIFS('Bad Bins'!$K$2:$K$3000,'Bad Bins'!$A$2:$A$3000,$K$2,'Bad Bins'!$B$2:$B$3000,$A95),IF(COUNTIFS('Bad Bins'!$A$2:$A$3000,$K$2,'Bad Bins'!$B$2:$B$3000,SUBSTITUTE($A95," SS","  SS"))&gt;0,SUMIFS('Bad Bins'!$K$2:$K$3000,'Bad Bins'!$A$2:$A$3000,$K$2,'Bad Bins'!$B$2:$B$3000,SUBSTITUTE($A95," SS","  SS")),"NA"))</f>
        <v>19</v>
      </c>
      <c r="G95" s="81" t="str">
        <f aca="false">IF(COUNTIFS('RSTO &gt; 48hrs'!$A$2:$A$3000,$K$2,'RSTO &gt; 48hrs'!$B$2:$B$3000,$A95)&gt;0,SUMIFS('RSTO &gt; 48hrs'!$H$2:$H$3000,'RSTO &gt; 48hrs'!$A$2:$A$3000,$K$2,'RSTO &gt; 48hrs'!$B$2:$B$3000,$A95),IF(COUNTIFS('RSTO &gt; 48hrs'!$A$2:$A$3000,$K$2,'RSTO &gt; 48hrs'!$B$2:$B$3000,SUBSTITUTE($A95," SS","  SS"))&gt;0,SUMIFS('RSTO &gt; 48hrs'!$H$2:$H$3000,'RSTO &gt; 48hrs'!$A$2:$A$3000,$K$2,'RSTO &gt; 48hrs'!$B$2:$B$3000,SUBSTITUTE($A95," SS","  SS")),"NA"))</f>
        <v>NA</v>
      </c>
      <c r="H95" s="81" t="str">
        <f aca="false">IF(COUNTIFS('Recirculation &gt; 24 hrs'!$A$2:$A$3000,$K$2,'Recirculation &gt; 24 hrs'!$B$2:$B$3000,$A95)&gt;0,SUMIFS('Recirculation &gt; 24 hrs'!$K$2:$K$3000,'Recirculation &gt; 24 hrs'!$A$2:$A$3000,$K$2,'Recirculation &gt; 24 hrs'!$B$2:$B$3000,$A95),IF(COUNTIFS('Recirculation &gt; 24 hrs'!$A$2:$A$3000,$K$2,'Recirculation &gt; 24 hrs'!$B$2:$B$3000,SUBSTITUTE($A95," SS","  SS"))&gt;0,SUMIFS('Recirculation &gt; 24 hrs'!$K$2:$K$3000,'Recirculation &gt; 24 hrs'!$A$2:$A$3000,$K$2,'Recirculation &gt; 24 hrs'!$B$2:$B$3000,SUBSTITUTE($A95," SS","  SS")),"NA"))</f>
        <v>NA</v>
      </c>
      <c r="I95" s="81" t="n">
        <f aca="false">IF(COUNTIFS('Pending Putaway'!$A$2:$A$3000,$K$2,'Pending Putaway'!$B$2:$B$3000,$A95)&gt;0,SUMIFS('Pending Putaway'!$E$2:$E$3000,'Pending Putaway'!$A$2:$A$3000,$K$2,'Pending Putaway'!$B$2:$B$3000,$A95),IF(COUNTIFS('Pending Putaway'!$A$2:$A$3000,$K$2,'Pending Putaway'!$B$2:$B$3000,SUBSTITUTE($A95," SS","  SS"))&gt;0,SUMIFS('Pending Putaway'!$E$2:$E$3000,'Pending Putaway'!$A$2:$A$3000,$K$2,'Pending Putaway'!$B$2:$B$3000,SUBSTITUTE($A95," SS","  SS")),"NA"))</f>
        <v>200</v>
      </c>
      <c r="J95" s="81" t="n">
        <f aca="false">IF(COUNTIFS('Pending Putaway'!$A$2:$A$3000,$K$2,'Pending Putaway'!$B$2:$B$3000,$A95)&gt;0,SUMIFS('Pending Putaway'!$L$2:$L$3000,'Pending Putaway'!$A$2:$A$3000,$K$2,'Pending Putaway'!$B$2:$B$3000,$A95),IF(COUNTIFS('Pending Putaway'!$A$2:$A$3000,$K$2,'Pending Putaway'!$B$2:$B$3000,SUBSTITUTE($A95," SS","  SS"))&gt;0,SUMIFS('Pending Putaway'!$L$2:$L$3000,'Pending Putaway'!$A$2:$A$3000,$K$2,'Pending Putaway'!$B$2:$B$3000,SUBSTITUTE($A95," SS","  SS")),"NA"))</f>
        <v>1</v>
      </c>
      <c r="K95" s="23"/>
      <c r="L95" s="23"/>
      <c r="M95" s="23"/>
      <c r="N95" s="23"/>
      <c r="O95" s="23"/>
      <c r="P95" s="23"/>
      <c r="Q95" s="23"/>
      <c r="R95" s="23"/>
      <c r="S95" s="23"/>
      <c r="T95" s="23"/>
      <c r="U95" s="23"/>
      <c r="V95" s="23"/>
      <c r="W95" s="23"/>
      <c r="X95" s="23"/>
      <c r="Y95" s="23"/>
      <c r="Z95" s="23"/>
      <c r="AA95" s="23"/>
      <c r="AB95" s="23"/>
      <c r="AC95" s="23"/>
      <c r="AD95" s="23"/>
      <c r="AE95" s="23"/>
      <c r="AF95" s="23"/>
      <c r="AG95" s="23"/>
      <c r="AH95" s="23"/>
    </row>
    <row r="96" customFormat="false" ht="15.75" hidden="false" customHeight="true" outlineLevel="0" collapsed="false">
      <c r="A96" s="81" t="s">
        <v>479</v>
      </c>
      <c r="B96" s="81" t="str">
        <f aca="false" t="array" ref="B96:B96">IFERROR(INDEX('CLM &amp; IM Mapping'!$B$2:$B$270,MATCH($A96,'CLM &amp; IM Mapping'!$A$2:$A$270,0)),"Not Mapped")</f>
        <v>Arun Raj</v>
      </c>
      <c r="C96" s="81" t="str">
        <f aca="false" t="array" ref="C96:C96">IFERROR(INDEX('CLM &amp; IM Mapping'!$C$2:$C$270,MATCH($A96,'CLM &amp; IM Mapping'!$A$2:$A$270,0)),"Not Mapped")</f>
        <v>Simon Manoharan</v>
      </c>
      <c r="D96" s="82" t="n">
        <f aca="false">IF(COUNTIFS(Shrinkage!$A$2:$A$3000,$K$2,Shrinkage!$D$2:$D$3000,$A96)&gt;0,SUMIFS(Shrinkage!$P$2:$P$3000,Shrinkage!$A$2:$A$3000,$K$2,Shrinkage!$D$2:$D$3000,$A96),IF(COUNTIFS(Shrinkage!$A$2:$A$3000,$K$2,Shrinkage!$D$2:$D$3000,SUBSTITUTE($A96," SS","  SS"))&gt;0,SUMIFS(Shrinkage!$P$2:$P$3000,Shrinkage!$A$2:$A$3000,$K$2,Shrinkage!$D$2:$D$3000,SUBSTITUTE($A96," SS","  SS")),"NA"))</f>
        <v>-10972</v>
      </c>
      <c r="E96" s="83" t="n">
        <f aca="false">IF(COUNTIFS('Inventory Hygiene'!$A$2:$A$3000,$K$2,'Inventory Hygiene'!$B$2:$B$3000,$A96)&gt;0,AVERAGEIFS('Inventory Hygiene'!$J$2:$J$3000,'Inventory Hygiene'!$A$2:$A$3000,$K$2,'Inventory Hygiene'!$B$2:$B$3000,$A96),IF(COUNTIFS('Inventory Hygiene'!$A$2:$A$3000,$K$2,'Inventory Hygiene'!$B$2:$B$3000,SUBSTITUTE($A96," SS","  SS"))&gt;0,AVERAGEIFS('Inventory Hygiene'!$J$2:$J$3000,'Inventory Hygiene'!$A$2:$A$3000,$K$2,'Inventory Hygiene'!$B$2:$B$3000,SUBSTITUTE($A96," SS","  SS")),"NA"))</f>
        <v>0.0618353969410051</v>
      </c>
      <c r="F96" s="81" t="n">
        <f aca="false">IF(COUNTIFS('Bad Bins'!$A$2:$A$3000,$K$2,'Bad Bins'!$B$2:$B$3000,$A96)&gt;0,SUMIFS('Bad Bins'!$K$2:$K$3000,'Bad Bins'!$A$2:$A$3000,$K$2,'Bad Bins'!$B$2:$B$3000,$A96),IF(COUNTIFS('Bad Bins'!$A$2:$A$3000,$K$2,'Bad Bins'!$B$2:$B$3000,SUBSTITUTE($A96," SS","  SS"))&gt;0,SUMIFS('Bad Bins'!$K$2:$K$3000,'Bad Bins'!$A$2:$A$3000,$K$2,'Bad Bins'!$B$2:$B$3000,SUBSTITUTE($A96," SS","  SS")),"NA"))</f>
        <v>17</v>
      </c>
      <c r="G96" s="81" t="str">
        <f aca="false">IF(COUNTIFS('RSTO &gt; 48hrs'!$A$2:$A$3000,$K$2,'RSTO &gt; 48hrs'!$B$2:$B$3000,$A96)&gt;0,SUMIFS('RSTO &gt; 48hrs'!$H$2:$H$3000,'RSTO &gt; 48hrs'!$A$2:$A$3000,$K$2,'RSTO &gt; 48hrs'!$B$2:$B$3000,$A96),IF(COUNTIFS('RSTO &gt; 48hrs'!$A$2:$A$3000,$K$2,'RSTO &gt; 48hrs'!$B$2:$B$3000,SUBSTITUTE($A96," SS","  SS"))&gt;0,SUMIFS('RSTO &gt; 48hrs'!$H$2:$H$3000,'RSTO &gt; 48hrs'!$A$2:$A$3000,$K$2,'RSTO &gt; 48hrs'!$B$2:$B$3000,SUBSTITUTE($A96," SS","  SS")),"NA"))</f>
        <v>NA</v>
      </c>
      <c r="H96" s="81" t="str">
        <f aca="false">IF(COUNTIFS('Recirculation &gt; 24 hrs'!$A$2:$A$3000,$K$2,'Recirculation &gt; 24 hrs'!$B$2:$B$3000,$A96)&gt;0,SUMIFS('Recirculation &gt; 24 hrs'!$K$2:$K$3000,'Recirculation &gt; 24 hrs'!$A$2:$A$3000,$K$2,'Recirculation &gt; 24 hrs'!$B$2:$B$3000,$A96),IF(COUNTIFS('Recirculation &gt; 24 hrs'!$A$2:$A$3000,$K$2,'Recirculation &gt; 24 hrs'!$B$2:$B$3000,SUBSTITUTE($A96," SS","  SS"))&gt;0,SUMIFS('Recirculation &gt; 24 hrs'!$K$2:$K$3000,'Recirculation &gt; 24 hrs'!$A$2:$A$3000,$K$2,'Recirculation &gt; 24 hrs'!$B$2:$B$3000,SUBSTITUTE($A96," SS","  SS")),"NA"))</f>
        <v>NA</v>
      </c>
      <c r="I96" s="81" t="str">
        <f aca="false">IF(COUNTIFS('Pending Putaway'!$A$2:$A$3000,$K$2,'Pending Putaway'!$B$2:$B$3000,$A96)&gt;0,SUMIFS('Pending Putaway'!$E$2:$E$3000,'Pending Putaway'!$A$2:$A$3000,$K$2,'Pending Putaway'!$B$2:$B$3000,$A96),IF(COUNTIFS('Pending Putaway'!$A$2:$A$3000,$K$2,'Pending Putaway'!$B$2:$B$3000,SUBSTITUTE($A96," SS","  SS"))&gt;0,SUMIFS('Pending Putaway'!$E$2:$E$3000,'Pending Putaway'!$A$2:$A$3000,$K$2,'Pending Putaway'!$B$2:$B$3000,SUBSTITUTE($A96," SS","  SS")),"NA"))</f>
        <v>NA</v>
      </c>
      <c r="J96" s="81" t="str">
        <f aca="false">IF(COUNTIFS('Pending Putaway'!$A$2:$A$3000,$K$2,'Pending Putaway'!$B$2:$B$3000,$A96)&gt;0,SUMIFS('Pending Putaway'!$L$2:$L$3000,'Pending Putaway'!$A$2:$A$3000,$K$2,'Pending Putaway'!$B$2:$B$3000,$A96),IF(COUNTIFS('Pending Putaway'!$A$2:$A$3000,$K$2,'Pending Putaway'!$B$2:$B$3000,SUBSTITUTE($A96," SS","  SS"))&gt;0,SUMIFS('Pending Putaway'!$L$2:$L$3000,'Pending Putaway'!$A$2:$A$3000,$K$2,'Pending Putaway'!$B$2:$B$3000,SUBSTITUTE($A96," SS","  SS")),"NA"))</f>
        <v>NA</v>
      </c>
      <c r="K96" s="23"/>
      <c r="L96" s="23"/>
      <c r="M96" s="23"/>
      <c r="N96" s="23"/>
      <c r="O96" s="23"/>
      <c r="P96" s="23"/>
      <c r="Q96" s="23"/>
      <c r="R96" s="23"/>
      <c r="S96" s="23"/>
      <c r="T96" s="23"/>
      <c r="U96" s="23"/>
      <c r="V96" s="23"/>
      <c r="W96" s="23"/>
      <c r="X96" s="23"/>
      <c r="Y96" s="23"/>
      <c r="Z96" s="23"/>
      <c r="AA96" s="23"/>
      <c r="AB96" s="23"/>
      <c r="AC96" s="23"/>
      <c r="AD96" s="23"/>
      <c r="AE96" s="23"/>
      <c r="AF96" s="23"/>
      <c r="AG96" s="23"/>
      <c r="AH96" s="23"/>
    </row>
    <row r="97" customFormat="false" ht="15.75" hidden="false" customHeight="true" outlineLevel="0" collapsed="false">
      <c r="A97" s="81" t="s">
        <v>461</v>
      </c>
      <c r="B97" s="81" t="str">
        <f aca="false" t="array" ref="B97:B97">IFERROR(INDEX('CLM &amp; IM Mapping'!$B$2:$B$270,MATCH($A97,'CLM &amp; IM Mapping'!$A$2:$A$270,0)),"Not Mapped")</f>
        <v>Arun Raj</v>
      </c>
      <c r="C97" s="81" t="str">
        <f aca="false" t="array" ref="C97:C97">IFERROR(INDEX('CLM &amp; IM Mapping'!$C$2:$C$270,MATCH($A97,'CLM &amp; IM Mapping'!$A$2:$A$270,0)),"Not Mapped")</f>
        <v>Simon Manoharan</v>
      </c>
      <c r="D97" s="82" t="n">
        <f aca="false">IF(COUNTIFS(Shrinkage!$A$2:$A$3000,$K$2,Shrinkage!$D$2:$D$3000,$A97)&gt;0,SUMIFS(Shrinkage!$P$2:$P$3000,Shrinkage!$A$2:$A$3000,$K$2,Shrinkage!$D$2:$D$3000,$A97),IF(COUNTIFS(Shrinkage!$A$2:$A$3000,$K$2,Shrinkage!$D$2:$D$3000,SUBSTITUTE($A97," SS","  SS"))&gt;0,SUMIFS(Shrinkage!$P$2:$P$3000,Shrinkage!$A$2:$A$3000,$K$2,Shrinkage!$D$2:$D$3000,SUBSTITUTE($A97," SS","  SS")),"NA"))</f>
        <v>-9865</v>
      </c>
      <c r="E97" s="83" t="n">
        <f aca="false">IF(COUNTIFS('Inventory Hygiene'!$A$2:$A$3000,$K$2,'Inventory Hygiene'!$B$2:$B$3000,$A97)&gt;0,AVERAGEIFS('Inventory Hygiene'!$J$2:$J$3000,'Inventory Hygiene'!$A$2:$A$3000,$K$2,'Inventory Hygiene'!$B$2:$B$3000,$A97),IF(COUNTIFS('Inventory Hygiene'!$A$2:$A$3000,$K$2,'Inventory Hygiene'!$B$2:$B$3000,SUBSTITUTE($A97," SS","  SS"))&gt;0,AVERAGEIFS('Inventory Hygiene'!$J$2:$J$3000,'Inventory Hygiene'!$A$2:$A$3000,$K$2,'Inventory Hygiene'!$B$2:$B$3000,SUBSTITUTE($A97," SS","  SS")),"NA"))</f>
        <v>0.43103734439834</v>
      </c>
      <c r="F97" s="81" t="n">
        <f aca="false">IF(COUNTIFS('Bad Bins'!$A$2:$A$3000,$K$2,'Bad Bins'!$B$2:$B$3000,$A97)&gt;0,SUMIFS('Bad Bins'!$K$2:$K$3000,'Bad Bins'!$A$2:$A$3000,$K$2,'Bad Bins'!$B$2:$B$3000,$A97),IF(COUNTIFS('Bad Bins'!$A$2:$A$3000,$K$2,'Bad Bins'!$B$2:$B$3000,SUBSTITUTE($A97," SS","  SS"))&gt;0,SUMIFS('Bad Bins'!$K$2:$K$3000,'Bad Bins'!$A$2:$A$3000,$K$2,'Bad Bins'!$B$2:$B$3000,SUBSTITUTE($A97," SS","  SS")),"NA"))</f>
        <v>13</v>
      </c>
      <c r="G97" s="81" t="str">
        <f aca="false">IF(COUNTIFS('RSTO &gt; 48hrs'!$A$2:$A$3000,$K$2,'RSTO &gt; 48hrs'!$B$2:$B$3000,$A97)&gt;0,SUMIFS('RSTO &gt; 48hrs'!$H$2:$H$3000,'RSTO &gt; 48hrs'!$A$2:$A$3000,$K$2,'RSTO &gt; 48hrs'!$B$2:$B$3000,$A97),IF(COUNTIFS('RSTO &gt; 48hrs'!$A$2:$A$3000,$K$2,'RSTO &gt; 48hrs'!$B$2:$B$3000,SUBSTITUTE($A97," SS","  SS"))&gt;0,SUMIFS('RSTO &gt; 48hrs'!$H$2:$H$3000,'RSTO &gt; 48hrs'!$A$2:$A$3000,$K$2,'RSTO &gt; 48hrs'!$B$2:$B$3000,SUBSTITUTE($A97," SS","  SS")),"NA"))</f>
        <v>NA</v>
      </c>
      <c r="H97" s="81" t="n">
        <f aca="false">IF(COUNTIFS('Recirculation &gt; 24 hrs'!$A$2:$A$3000,$K$2,'Recirculation &gt; 24 hrs'!$B$2:$B$3000,$A97)&gt;0,SUMIFS('Recirculation &gt; 24 hrs'!$K$2:$K$3000,'Recirculation &gt; 24 hrs'!$A$2:$A$3000,$K$2,'Recirculation &gt; 24 hrs'!$B$2:$B$3000,$A97),IF(COUNTIFS('Recirculation &gt; 24 hrs'!$A$2:$A$3000,$K$2,'Recirculation &gt; 24 hrs'!$B$2:$B$3000,SUBSTITUTE($A97," SS","  SS"))&gt;0,SUMIFS('Recirculation &gt; 24 hrs'!$K$2:$K$3000,'Recirculation &gt; 24 hrs'!$A$2:$A$3000,$K$2,'Recirculation &gt; 24 hrs'!$B$2:$B$3000,SUBSTITUTE($A97," SS","  SS")),"NA"))</f>
        <v>1</v>
      </c>
      <c r="I97" s="81" t="n">
        <f aca="false">IF(COUNTIFS('Pending Putaway'!$A$2:$A$3000,$K$2,'Pending Putaway'!$B$2:$B$3000,$A97)&gt;0,SUMIFS('Pending Putaway'!$E$2:$E$3000,'Pending Putaway'!$A$2:$A$3000,$K$2,'Pending Putaway'!$B$2:$B$3000,$A97),IF(COUNTIFS('Pending Putaway'!$A$2:$A$3000,$K$2,'Pending Putaway'!$B$2:$B$3000,SUBSTITUTE($A97," SS","  SS"))&gt;0,SUMIFS('Pending Putaway'!$E$2:$E$3000,'Pending Putaway'!$A$2:$A$3000,$K$2,'Pending Putaway'!$B$2:$B$3000,SUBSTITUTE($A97," SS","  SS")),"NA"))</f>
        <v>102</v>
      </c>
      <c r="J97" s="81" t="n">
        <f aca="false">IF(COUNTIFS('Pending Putaway'!$A$2:$A$3000,$K$2,'Pending Putaway'!$B$2:$B$3000,$A97)&gt;0,SUMIFS('Pending Putaway'!$L$2:$L$3000,'Pending Putaway'!$A$2:$A$3000,$K$2,'Pending Putaway'!$B$2:$B$3000,$A97),IF(COUNTIFS('Pending Putaway'!$A$2:$A$3000,$K$2,'Pending Putaway'!$B$2:$B$3000,SUBSTITUTE($A97," SS","  SS"))&gt;0,SUMIFS('Pending Putaway'!$L$2:$L$3000,'Pending Putaway'!$A$2:$A$3000,$K$2,'Pending Putaway'!$B$2:$B$3000,SUBSTITUTE($A97," SS","  SS")),"NA"))</f>
        <v>0</v>
      </c>
      <c r="K97" s="23"/>
      <c r="L97" s="23"/>
      <c r="M97" s="23"/>
      <c r="N97" s="23"/>
      <c r="O97" s="23"/>
      <c r="P97" s="23"/>
      <c r="Q97" s="23"/>
      <c r="R97" s="23"/>
      <c r="S97" s="23"/>
      <c r="T97" s="23"/>
      <c r="U97" s="23"/>
      <c r="V97" s="23"/>
      <c r="W97" s="23"/>
      <c r="X97" s="23"/>
      <c r="Y97" s="23"/>
      <c r="Z97" s="23"/>
      <c r="AA97" s="23"/>
      <c r="AB97" s="23"/>
      <c r="AC97" s="23"/>
      <c r="AD97" s="23"/>
      <c r="AE97" s="23"/>
      <c r="AF97" s="23"/>
      <c r="AG97" s="23"/>
      <c r="AH97" s="23"/>
    </row>
    <row r="98" customFormat="false" ht="15.75" hidden="false" customHeight="true" outlineLevel="0" collapsed="false">
      <c r="A98" s="81" t="s">
        <v>548</v>
      </c>
      <c r="B98" s="81" t="str">
        <f aca="false" t="array" ref="B98:B98">IFERROR(INDEX('CLM &amp; IM Mapping'!$B$2:$B$270,MATCH($A98,'CLM &amp; IM Mapping'!$A$2:$A$270,0)),"Not Mapped")</f>
        <v>Arun Raj</v>
      </c>
      <c r="C98" s="81" t="str">
        <f aca="false" t="array" ref="C98:C98">IFERROR(INDEX('CLM &amp; IM Mapping'!$C$2:$C$270,MATCH($A98,'CLM &amp; IM Mapping'!$A$2:$A$270,0)),"Not Mapped")</f>
        <v>Simon Manoharan</v>
      </c>
      <c r="D98" s="82" t="n">
        <f aca="false">IF(COUNTIFS(Shrinkage!$A$2:$A$3000,$K$2,Shrinkage!$D$2:$D$3000,$A98)&gt;0,SUMIFS(Shrinkage!$P$2:$P$3000,Shrinkage!$A$2:$A$3000,$K$2,Shrinkage!$D$2:$D$3000,$A98),IF(COUNTIFS(Shrinkage!$A$2:$A$3000,$K$2,Shrinkage!$D$2:$D$3000,SUBSTITUTE($A98," SS","  SS"))&gt;0,SUMIFS(Shrinkage!$P$2:$P$3000,Shrinkage!$A$2:$A$3000,$K$2,Shrinkage!$D$2:$D$3000,SUBSTITUTE($A98," SS","  SS")),"NA"))</f>
        <v>6553</v>
      </c>
      <c r="E98" s="83" t="n">
        <f aca="false">IF(COUNTIFS('Inventory Hygiene'!$A$2:$A$3000,$K$2,'Inventory Hygiene'!$B$2:$B$3000,$A98)&gt;0,AVERAGEIFS('Inventory Hygiene'!$J$2:$J$3000,'Inventory Hygiene'!$A$2:$A$3000,$K$2,'Inventory Hygiene'!$B$2:$B$3000,$A98),IF(COUNTIFS('Inventory Hygiene'!$A$2:$A$3000,$K$2,'Inventory Hygiene'!$B$2:$B$3000,SUBSTITUTE($A98," SS","  SS"))&gt;0,AVERAGEIFS('Inventory Hygiene'!$J$2:$J$3000,'Inventory Hygiene'!$A$2:$A$3000,$K$2,'Inventory Hygiene'!$B$2:$B$3000,SUBSTITUTE($A98," SS","  SS")),"NA"))</f>
        <v>0.379142568622051</v>
      </c>
      <c r="F98" s="81" t="n">
        <f aca="false">IF(COUNTIFS('Bad Bins'!$A$2:$A$3000,$K$2,'Bad Bins'!$B$2:$B$3000,$A98)&gt;0,SUMIFS('Bad Bins'!$K$2:$K$3000,'Bad Bins'!$A$2:$A$3000,$K$2,'Bad Bins'!$B$2:$B$3000,$A98),IF(COUNTIFS('Bad Bins'!$A$2:$A$3000,$K$2,'Bad Bins'!$B$2:$B$3000,SUBSTITUTE($A98," SS","  SS"))&gt;0,SUMIFS('Bad Bins'!$K$2:$K$3000,'Bad Bins'!$A$2:$A$3000,$K$2,'Bad Bins'!$B$2:$B$3000,SUBSTITUTE($A98," SS","  SS")),"NA"))</f>
        <v>1</v>
      </c>
      <c r="G98" s="81" t="str">
        <f aca="false">IF(COUNTIFS('RSTO &gt; 48hrs'!$A$2:$A$3000,$K$2,'RSTO &gt; 48hrs'!$B$2:$B$3000,$A98)&gt;0,SUMIFS('RSTO &gt; 48hrs'!$H$2:$H$3000,'RSTO &gt; 48hrs'!$A$2:$A$3000,$K$2,'RSTO &gt; 48hrs'!$B$2:$B$3000,$A98),IF(COUNTIFS('RSTO &gt; 48hrs'!$A$2:$A$3000,$K$2,'RSTO &gt; 48hrs'!$B$2:$B$3000,SUBSTITUTE($A98," SS","  SS"))&gt;0,SUMIFS('RSTO &gt; 48hrs'!$H$2:$H$3000,'RSTO &gt; 48hrs'!$A$2:$A$3000,$K$2,'RSTO &gt; 48hrs'!$B$2:$B$3000,SUBSTITUTE($A98," SS","  SS")),"NA"))</f>
        <v>NA</v>
      </c>
      <c r="H98" s="81" t="n">
        <f aca="false">IF(COUNTIFS('Recirculation &gt; 24 hrs'!$A$2:$A$3000,$K$2,'Recirculation &gt; 24 hrs'!$B$2:$B$3000,$A98)&gt;0,SUMIFS('Recirculation &gt; 24 hrs'!$K$2:$K$3000,'Recirculation &gt; 24 hrs'!$A$2:$A$3000,$K$2,'Recirculation &gt; 24 hrs'!$B$2:$B$3000,$A98),IF(COUNTIFS('Recirculation &gt; 24 hrs'!$A$2:$A$3000,$K$2,'Recirculation &gt; 24 hrs'!$B$2:$B$3000,SUBSTITUTE($A98," SS","  SS"))&gt;0,SUMIFS('Recirculation &gt; 24 hrs'!$K$2:$K$3000,'Recirculation &gt; 24 hrs'!$A$2:$A$3000,$K$2,'Recirculation &gt; 24 hrs'!$B$2:$B$3000,SUBSTITUTE($A98," SS","  SS")),"NA"))</f>
        <v>150</v>
      </c>
      <c r="I98" s="81" t="n">
        <f aca="false">IF(COUNTIFS('Pending Putaway'!$A$2:$A$3000,$K$2,'Pending Putaway'!$B$2:$B$3000,$A98)&gt;0,SUMIFS('Pending Putaway'!$E$2:$E$3000,'Pending Putaway'!$A$2:$A$3000,$K$2,'Pending Putaway'!$B$2:$B$3000,$A98),IF(COUNTIFS('Pending Putaway'!$A$2:$A$3000,$K$2,'Pending Putaway'!$B$2:$B$3000,SUBSTITUTE($A98," SS","  SS"))&gt;0,SUMIFS('Pending Putaway'!$E$2:$E$3000,'Pending Putaway'!$A$2:$A$3000,$K$2,'Pending Putaway'!$B$2:$B$3000,SUBSTITUTE($A98," SS","  SS")),"NA"))</f>
        <v>359</v>
      </c>
      <c r="J98" s="81" t="n">
        <f aca="false">IF(COUNTIFS('Pending Putaway'!$A$2:$A$3000,$K$2,'Pending Putaway'!$B$2:$B$3000,$A98)&gt;0,SUMIFS('Pending Putaway'!$L$2:$L$3000,'Pending Putaway'!$A$2:$A$3000,$K$2,'Pending Putaway'!$B$2:$B$3000,$A98),IF(COUNTIFS('Pending Putaway'!$A$2:$A$3000,$K$2,'Pending Putaway'!$B$2:$B$3000,SUBSTITUTE($A98," SS","  SS"))&gt;0,SUMIFS('Pending Putaway'!$L$2:$L$3000,'Pending Putaway'!$A$2:$A$3000,$K$2,'Pending Putaway'!$B$2:$B$3000,SUBSTITUTE($A98," SS","  SS")),"NA"))</f>
        <v>359</v>
      </c>
      <c r="K98" s="23"/>
      <c r="L98" s="23"/>
      <c r="M98" s="23"/>
      <c r="N98" s="23"/>
      <c r="O98" s="23"/>
      <c r="P98" s="23"/>
      <c r="Q98" s="23"/>
      <c r="R98" s="23"/>
      <c r="S98" s="23"/>
      <c r="T98" s="23"/>
      <c r="U98" s="23"/>
      <c r="V98" s="23"/>
      <c r="W98" s="23"/>
      <c r="X98" s="23"/>
      <c r="Y98" s="23"/>
      <c r="Z98" s="23"/>
      <c r="AA98" s="23"/>
      <c r="AB98" s="23"/>
      <c r="AC98" s="23"/>
      <c r="AD98" s="23"/>
      <c r="AE98" s="23"/>
      <c r="AF98" s="23"/>
      <c r="AG98" s="23"/>
      <c r="AH98" s="23"/>
    </row>
    <row r="99" customFormat="false" ht="15.75" hidden="false" customHeight="true" outlineLevel="0" collapsed="false">
      <c r="A99" s="81" t="s">
        <v>344</v>
      </c>
      <c r="B99" s="81" t="str">
        <f aca="false" t="array" ref="B99:B99">IFERROR(INDEX('CLM &amp; IM Mapping'!$B$2:$B$270,MATCH($A99,'CLM &amp; IM Mapping'!$A$2:$A$270,0)),"Not Mapped")</f>
        <v>Arun Raj</v>
      </c>
      <c r="C99" s="81" t="str">
        <f aca="false" t="array" ref="C99:C99">IFERROR(INDEX('CLM &amp; IM Mapping'!$C$2:$C$270,MATCH($A99,'CLM &amp; IM Mapping'!$A$2:$A$270,0)),"Not Mapped")</f>
        <v>Simon Manoharan</v>
      </c>
      <c r="D99" s="82" t="n">
        <f aca="false">IF(COUNTIFS(Shrinkage!$A$2:$A$3000,$K$2,Shrinkage!$D$2:$D$3000,$A99)&gt;0,SUMIFS(Shrinkage!$P$2:$P$3000,Shrinkage!$A$2:$A$3000,$K$2,Shrinkage!$D$2:$D$3000,$A99),IF(COUNTIFS(Shrinkage!$A$2:$A$3000,$K$2,Shrinkage!$D$2:$D$3000,SUBSTITUTE($A99," SS","  SS"))&gt;0,SUMIFS(Shrinkage!$P$2:$P$3000,Shrinkage!$A$2:$A$3000,$K$2,Shrinkage!$D$2:$D$3000,SUBSTITUTE($A99," SS","  SS")),"NA"))</f>
        <v>-87033</v>
      </c>
      <c r="E99" s="83" t="n">
        <f aca="false">IF(COUNTIFS('Inventory Hygiene'!$A$2:$A$3000,$K$2,'Inventory Hygiene'!$B$2:$B$3000,$A99)&gt;0,AVERAGEIFS('Inventory Hygiene'!$J$2:$J$3000,'Inventory Hygiene'!$A$2:$A$3000,$K$2,'Inventory Hygiene'!$B$2:$B$3000,$A99),IF(COUNTIFS('Inventory Hygiene'!$A$2:$A$3000,$K$2,'Inventory Hygiene'!$B$2:$B$3000,SUBSTITUTE($A99," SS","  SS"))&gt;0,AVERAGEIFS('Inventory Hygiene'!$J$2:$J$3000,'Inventory Hygiene'!$A$2:$A$3000,$K$2,'Inventory Hygiene'!$B$2:$B$3000,SUBSTITUTE($A99," SS","  SS")),"NA"))</f>
        <v>0.516710381588967</v>
      </c>
      <c r="F99" s="81" t="n">
        <f aca="false">IF(COUNTIFS('Bad Bins'!$A$2:$A$3000,$K$2,'Bad Bins'!$B$2:$B$3000,$A99)&gt;0,SUMIFS('Bad Bins'!$K$2:$K$3000,'Bad Bins'!$A$2:$A$3000,$K$2,'Bad Bins'!$B$2:$B$3000,$A99),IF(COUNTIFS('Bad Bins'!$A$2:$A$3000,$K$2,'Bad Bins'!$B$2:$B$3000,SUBSTITUTE($A99," SS","  SS"))&gt;0,SUMIFS('Bad Bins'!$K$2:$K$3000,'Bad Bins'!$A$2:$A$3000,$K$2,'Bad Bins'!$B$2:$B$3000,SUBSTITUTE($A99," SS","  SS")),"NA"))</f>
        <v>57</v>
      </c>
      <c r="G99" s="81" t="str">
        <f aca="false">IF(COUNTIFS('RSTO &gt; 48hrs'!$A$2:$A$3000,$K$2,'RSTO &gt; 48hrs'!$B$2:$B$3000,$A99)&gt;0,SUMIFS('RSTO &gt; 48hrs'!$H$2:$H$3000,'RSTO &gt; 48hrs'!$A$2:$A$3000,$K$2,'RSTO &gt; 48hrs'!$B$2:$B$3000,$A99),IF(COUNTIFS('RSTO &gt; 48hrs'!$A$2:$A$3000,$K$2,'RSTO &gt; 48hrs'!$B$2:$B$3000,SUBSTITUTE($A99," SS","  SS"))&gt;0,SUMIFS('RSTO &gt; 48hrs'!$H$2:$H$3000,'RSTO &gt; 48hrs'!$A$2:$A$3000,$K$2,'RSTO &gt; 48hrs'!$B$2:$B$3000,SUBSTITUTE($A99," SS","  SS")),"NA"))</f>
        <v>NA</v>
      </c>
      <c r="H99" s="81" t="n">
        <f aca="false">IF(COUNTIFS('Recirculation &gt; 24 hrs'!$A$2:$A$3000,$K$2,'Recirculation &gt; 24 hrs'!$B$2:$B$3000,$A99)&gt;0,SUMIFS('Recirculation &gt; 24 hrs'!$K$2:$K$3000,'Recirculation &gt; 24 hrs'!$A$2:$A$3000,$K$2,'Recirculation &gt; 24 hrs'!$B$2:$B$3000,$A99),IF(COUNTIFS('Recirculation &gt; 24 hrs'!$A$2:$A$3000,$K$2,'Recirculation &gt; 24 hrs'!$B$2:$B$3000,SUBSTITUTE($A99," SS","  SS"))&gt;0,SUMIFS('Recirculation &gt; 24 hrs'!$K$2:$K$3000,'Recirculation &gt; 24 hrs'!$A$2:$A$3000,$K$2,'Recirculation &gt; 24 hrs'!$B$2:$B$3000,SUBSTITUTE($A99," SS","  SS")),"NA"))</f>
        <v>713</v>
      </c>
      <c r="I99" s="81" t="n">
        <f aca="false">IF(COUNTIFS('Pending Putaway'!$A$2:$A$3000,$K$2,'Pending Putaway'!$B$2:$B$3000,$A99)&gt;0,SUMIFS('Pending Putaway'!$E$2:$E$3000,'Pending Putaway'!$A$2:$A$3000,$K$2,'Pending Putaway'!$B$2:$B$3000,$A99),IF(COUNTIFS('Pending Putaway'!$A$2:$A$3000,$K$2,'Pending Putaway'!$B$2:$B$3000,SUBSTITUTE($A99," SS","  SS"))&gt;0,SUMIFS('Pending Putaway'!$E$2:$E$3000,'Pending Putaway'!$A$2:$A$3000,$K$2,'Pending Putaway'!$B$2:$B$3000,SUBSTITUTE($A99," SS","  SS")),"NA"))</f>
        <v>2139</v>
      </c>
      <c r="J99" s="81" t="n">
        <f aca="false">IF(COUNTIFS('Pending Putaway'!$A$2:$A$3000,$K$2,'Pending Putaway'!$B$2:$B$3000,$A99)&gt;0,SUMIFS('Pending Putaway'!$L$2:$L$3000,'Pending Putaway'!$A$2:$A$3000,$K$2,'Pending Putaway'!$B$2:$B$3000,$A99),IF(COUNTIFS('Pending Putaway'!$A$2:$A$3000,$K$2,'Pending Putaway'!$B$2:$B$3000,SUBSTITUTE($A99," SS","  SS"))&gt;0,SUMIFS('Pending Putaway'!$L$2:$L$3000,'Pending Putaway'!$A$2:$A$3000,$K$2,'Pending Putaway'!$B$2:$B$3000,SUBSTITUTE($A99," SS","  SS")),"NA"))</f>
        <v>71</v>
      </c>
      <c r="K99" s="23"/>
      <c r="L99" s="23"/>
      <c r="M99" s="23"/>
      <c r="N99" s="23"/>
      <c r="O99" s="23"/>
      <c r="P99" s="23"/>
      <c r="Q99" s="23"/>
      <c r="R99" s="23"/>
      <c r="S99" s="23"/>
      <c r="T99" s="23"/>
      <c r="U99" s="23"/>
      <c r="V99" s="23"/>
      <c r="W99" s="23"/>
      <c r="X99" s="23"/>
      <c r="Y99" s="23"/>
      <c r="Z99" s="23"/>
      <c r="AA99" s="23"/>
      <c r="AB99" s="23"/>
      <c r="AC99" s="23"/>
      <c r="AD99" s="23"/>
      <c r="AE99" s="23"/>
      <c r="AF99" s="23"/>
      <c r="AG99" s="23"/>
      <c r="AH99" s="23"/>
    </row>
    <row r="100" customFormat="false" ht="15.75" hidden="false" customHeight="true" outlineLevel="0" collapsed="false">
      <c r="A100" s="81" t="s">
        <v>413</v>
      </c>
      <c r="B100" s="81" t="str">
        <f aca="false" t="array" ref="B100:B100">IFERROR(INDEX('CLM &amp; IM Mapping'!$B$2:$B$270,MATCH($A100,'CLM &amp; IM Mapping'!$A$2:$A$270,0)),"Not Mapped")</f>
        <v>Arun Raj</v>
      </c>
      <c r="C100" s="81" t="str">
        <f aca="false" t="array" ref="C100:C100">IFERROR(INDEX('CLM &amp; IM Mapping'!$C$2:$C$270,MATCH($A100,'CLM &amp; IM Mapping'!$A$2:$A$270,0)),"Not Mapped")</f>
        <v>Simon Manoharan</v>
      </c>
      <c r="D100" s="82" t="n">
        <f aca="false">IF(COUNTIFS(Shrinkage!$A$2:$A$3000,$K$2,Shrinkage!$D$2:$D$3000,$A100)&gt;0,SUMIFS(Shrinkage!$P$2:$P$3000,Shrinkage!$A$2:$A$3000,$K$2,Shrinkage!$D$2:$D$3000,$A100),IF(COUNTIFS(Shrinkage!$A$2:$A$3000,$K$2,Shrinkage!$D$2:$D$3000,SUBSTITUTE($A100," SS","  SS"))&gt;0,SUMIFS(Shrinkage!$P$2:$P$3000,Shrinkage!$A$2:$A$3000,$K$2,Shrinkage!$D$2:$D$3000,SUBSTITUTE($A100," SS","  SS")),"NA"))</f>
        <v>-6159</v>
      </c>
      <c r="E100" s="83" t="n">
        <f aca="false">IF(COUNTIFS('Inventory Hygiene'!$A$2:$A$3000,$K$2,'Inventory Hygiene'!$B$2:$B$3000,$A100)&gt;0,AVERAGEIFS('Inventory Hygiene'!$J$2:$J$3000,'Inventory Hygiene'!$A$2:$A$3000,$K$2,'Inventory Hygiene'!$B$2:$B$3000,$A100),IF(COUNTIFS('Inventory Hygiene'!$A$2:$A$3000,$K$2,'Inventory Hygiene'!$B$2:$B$3000,SUBSTITUTE($A100," SS","  SS"))&gt;0,AVERAGEIFS('Inventory Hygiene'!$J$2:$J$3000,'Inventory Hygiene'!$A$2:$A$3000,$K$2,'Inventory Hygiene'!$B$2:$B$3000,SUBSTITUTE($A100," SS","  SS")),"NA"))</f>
        <v>0.675998662878155</v>
      </c>
      <c r="F100" s="81" t="n">
        <f aca="false">IF(COUNTIFS('Bad Bins'!$A$2:$A$3000,$K$2,'Bad Bins'!$B$2:$B$3000,$A100)&gt;0,SUMIFS('Bad Bins'!$K$2:$K$3000,'Bad Bins'!$A$2:$A$3000,$K$2,'Bad Bins'!$B$2:$B$3000,$A100),IF(COUNTIFS('Bad Bins'!$A$2:$A$3000,$K$2,'Bad Bins'!$B$2:$B$3000,SUBSTITUTE($A100," SS","  SS"))&gt;0,SUMIFS('Bad Bins'!$K$2:$K$3000,'Bad Bins'!$A$2:$A$3000,$K$2,'Bad Bins'!$B$2:$B$3000,SUBSTITUTE($A100," SS","  SS")),"NA"))</f>
        <v>14</v>
      </c>
      <c r="G100" s="81" t="str">
        <f aca="false">IF(COUNTIFS('RSTO &gt; 48hrs'!$A$2:$A$3000,$K$2,'RSTO &gt; 48hrs'!$B$2:$B$3000,$A100)&gt;0,SUMIFS('RSTO &gt; 48hrs'!$H$2:$H$3000,'RSTO &gt; 48hrs'!$A$2:$A$3000,$K$2,'RSTO &gt; 48hrs'!$B$2:$B$3000,$A100),IF(COUNTIFS('RSTO &gt; 48hrs'!$A$2:$A$3000,$K$2,'RSTO &gt; 48hrs'!$B$2:$B$3000,SUBSTITUTE($A100," SS","  SS"))&gt;0,SUMIFS('RSTO &gt; 48hrs'!$H$2:$H$3000,'RSTO &gt; 48hrs'!$A$2:$A$3000,$K$2,'RSTO &gt; 48hrs'!$B$2:$B$3000,SUBSTITUTE($A100," SS","  SS")),"NA"))</f>
        <v>NA</v>
      </c>
      <c r="H100" s="81" t="str">
        <f aca="false">IF(COUNTIFS('Recirculation &gt; 24 hrs'!$A$2:$A$3000,$K$2,'Recirculation &gt; 24 hrs'!$B$2:$B$3000,$A100)&gt;0,SUMIFS('Recirculation &gt; 24 hrs'!$K$2:$K$3000,'Recirculation &gt; 24 hrs'!$A$2:$A$3000,$K$2,'Recirculation &gt; 24 hrs'!$B$2:$B$3000,$A100),IF(COUNTIFS('Recirculation &gt; 24 hrs'!$A$2:$A$3000,$K$2,'Recirculation &gt; 24 hrs'!$B$2:$B$3000,SUBSTITUTE($A100," SS","  SS"))&gt;0,SUMIFS('Recirculation &gt; 24 hrs'!$K$2:$K$3000,'Recirculation &gt; 24 hrs'!$A$2:$A$3000,$K$2,'Recirculation &gt; 24 hrs'!$B$2:$B$3000,SUBSTITUTE($A100," SS","  SS")),"NA"))</f>
        <v>NA</v>
      </c>
      <c r="I100" s="81" t="n">
        <f aca="false">IF(COUNTIFS('Pending Putaway'!$A$2:$A$3000,$K$2,'Pending Putaway'!$B$2:$B$3000,$A100)&gt;0,SUMIFS('Pending Putaway'!$E$2:$E$3000,'Pending Putaway'!$A$2:$A$3000,$K$2,'Pending Putaway'!$B$2:$B$3000,$A100),IF(COUNTIFS('Pending Putaway'!$A$2:$A$3000,$K$2,'Pending Putaway'!$B$2:$B$3000,SUBSTITUTE($A100," SS","  SS"))&gt;0,SUMIFS('Pending Putaway'!$E$2:$E$3000,'Pending Putaway'!$A$2:$A$3000,$K$2,'Pending Putaway'!$B$2:$B$3000,SUBSTITUTE($A100," SS","  SS")),"NA"))</f>
        <v>247</v>
      </c>
      <c r="J100" s="81" t="n">
        <f aca="false">IF(COUNTIFS('Pending Putaway'!$A$2:$A$3000,$K$2,'Pending Putaway'!$B$2:$B$3000,$A100)&gt;0,SUMIFS('Pending Putaway'!$L$2:$L$3000,'Pending Putaway'!$A$2:$A$3000,$K$2,'Pending Putaway'!$B$2:$B$3000,$A100),IF(COUNTIFS('Pending Putaway'!$A$2:$A$3000,$K$2,'Pending Putaway'!$B$2:$B$3000,SUBSTITUTE($A100," SS","  SS"))&gt;0,SUMIFS('Pending Putaway'!$L$2:$L$3000,'Pending Putaway'!$A$2:$A$3000,$K$2,'Pending Putaway'!$B$2:$B$3000,SUBSTITUTE($A100," SS","  SS")),"NA"))</f>
        <v>0</v>
      </c>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row>
    <row r="101" customFormat="false" ht="15.75" hidden="false" customHeight="true" outlineLevel="0" collapsed="false">
      <c r="A101" s="81" t="s">
        <v>532</v>
      </c>
      <c r="B101" s="81" t="str">
        <f aca="false" t="array" ref="B101:B101">IFERROR(INDEX('CLM &amp; IM Mapping'!$B$2:$B$270,MATCH($A101,'CLM &amp; IM Mapping'!$A$2:$A$270,0)),"Not Mapped")</f>
        <v>Arun Raj</v>
      </c>
      <c r="C101" s="81" t="str">
        <f aca="false" t="array" ref="C101:C101">IFERROR(INDEX('CLM &amp; IM Mapping'!$C$2:$C$270,MATCH($A101,'CLM &amp; IM Mapping'!$A$2:$A$270,0)),"Not Mapped")</f>
        <v>Simon Manoharan</v>
      </c>
      <c r="D101" s="82" t="n">
        <f aca="false">IF(COUNTIFS(Shrinkage!$A$2:$A$3000,$K$2,Shrinkage!$D$2:$D$3000,$A101)&gt;0,SUMIFS(Shrinkage!$P$2:$P$3000,Shrinkage!$A$2:$A$3000,$K$2,Shrinkage!$D$2:$D$3000,$A101),IF(COUNTIFS(Shrinkage!$A$2:$A$3000,$K$2,Shrinkage!$D$2:$D$3000,SUBSTITUTE($A101," SS","  SS"))&gt;0,SUMIFS(Shrinkage!$P$2:$P$3000,Shrinkage!$A$2:$A$3000,$K$2,Shrinkage!$D$2:$D$3000,SUBSTITUTE($A101," SS","  SS")),"NA"))</f>
        <v>-307152</v>
      </c>
      <c r="E101" s="83" t="n">
        <f aca="false">IF(COUNTIFS('Inventory Hygiene'!$A$2:$A$3000,$K$2,'Inventory Hygiene'!$B$2:$B$3000,$A101)&gt;0,AVERAGEIFS('Inventory Hygiene'!$J$2:$J$3000,'Inventory Hygiene'!$A$2:$A$3000,$K$2,'Inventory Hygiene'!$B$2:$B$3000,$A101),IF(COUNTIFS('Inventory Hygiene'!$A$2:$A$3000,$K$2,'Inventory Hygiene'!$B$2:$B$3000,SUBSTITUTE($A101," SS","  SS"))&gt;0,AVERAGEIFS('Inventory Hygiene'!$J$2:$J$3000,'Inventory Hygiene'!$A$2:$A$3000,$K$2,'Inventory Hygiene'!$B$2:$B$3000,SUBSTITUTE($A101," SS","  SS")),"NA"))</f>
        <v>0.0335248140126189</v>
      </c>
      <c r="F101" s="81" t="n">
        <f aca="false">IF(COUNTIFS('Bad Bins'!$A$2:$A$3000,$K$2,'Bad Bins'!$B$2:$B$3000,$A101)&gt;0,SUMIFS('Bad Bins'!$K$2:$K$3000,'Bad Bins'!$A$2:$A$3000,$K$2,'Bad Bins'!$B$2:$B$3000,$A101),IF(COUNTIFS('Bad Bins'!$A$2:$A$3000,$K$2,'Bad Bins'!$B$2:$B$3000,SUBSTITUTE($A101," SS","  SS"))&gt;0,SUMIFS('Bad Bins'!$K$2:$K$3000,'Bad Bins'!$A$2:$A$3000,$K$2,'Bad Bins'!$B$2:$B$3000,SUBSTITUTE($A101," SS","  SS")),"NA"))</f>
        <v>84</v>
      </c>
      <c r="G101" s="81" t="str">
        <f aca="false">IF(COUNTIFS('RSTO &gt; 48hrs'!$A$2:$A$3000,$K$2,'RSTO &gt; 48hrs'!$B$2:$B$3000,$A101)&gt;0,SUMIFS('RSTO &gt; 48hrs'!$H$2:$H$3000,'RSTO &gt; 48hrs'!$A$2:$A$3000,$K$2,'RSTO &gt; 48hrs'!$B$2:$B$3000,$A101),IF(COUNTIFS('RSTO &gt; 48hrs'!$A$2:$A$3000,$K$2,'RSTO &gt; 48hrs'!$B$2:$B$3000,SUBSTITUTE($A101," SS","  SS"))&gt;0,SUMIFS('RSTO &gt; 48hrs'!$H$2:$H$3000,'RSTO &gt; 48hrs'!$A$2:$A$3000,$K$2,'RSTO &gt; 48hrs'!$B$2:$B$3000,SUBSTITUTE($A101," SS","  SS")),"NA"))</f>
        <v>NA</v>
      </c>
      <c r="H101" s="81" t="n">
        <f aca="false">IF(COUNTIFS('Recirculation &gt; 24 hrs'!$A$2:$A$3000,$K$2,'Recirculation &gt; 24 hrs'!$B$2:$B$3000,$A101)&gt;0,SUMIFS('Recirculation &gt; 24 hrs'!$K$2:$K$3000,'Recirculation &gt; 24 hrs'!$A$2:$A$3000,$K$2,'Recirculation &gt; 24 hrs'!$B$2:$B$3000,$A101),IF(COUNTIFS('Recirculation &gt; 24 hrs'!$A$2:$A$3000,$K$2,'Recirculation &gt; 24 hrs'!$B$2:$B$3000,SUBSTITUTE($A101," SS","  SS"))&gt;0,SUMIFS('Recirculation &gt; 24 hrs'!$K$2:$K$3000,'Recirculation &gt; 24 hrs'!$A$2:$A$3000,$K$2,'Recirculation &gt; 24 hrs'!$B$2:$B$3000,SUBSTITUTE($A101," SS","  SS")),"NA"))</f>
        <v>218</v>
      </c>
      <c r="I101" s="81" t="n">
        <f aca="false">IF(COUNTIFS('Pending Putaway'!$A$2:$A$3000,$K$2,'Pending Putaway'!$B$2:$B$3000,$A101)&gt;0,SUMIFS('Pending Putaway'!$E$2:$E$3000,'Pending Putaway'!$A$2:$A$3000,$K$2,'Pending Putaway'!$B$2:$B$3000,$A101),IF(COUNTIFS('Pending Putaway'!$A$2:$A$3000,$K$2,'Pending Putaway'!$B$2:$B$3000,SUBSTITUTE($A101," SS","  SS"))&gt;0,SUMIFS('Pending Putaway'!$E$2:$E$3000,'Pending Putaway'!$A$2:$A$3000,$K$2,'Pending Putaway'!$B$2:$B$3000,SUBSTITUTE($A101," SS","  SS")),"NA"))</f>
        <v>0</v>
      </c>
      <c r="J101" s="81" t="n">
        <f aca="false">IF(COUNTIFS('Pending Putaway'!$A$2:$A$3000,$K$2,'Pending Putaway'!$B$2:$B$3000,$A101)&gt;0,SUMIFS('Pending Putaway'!$L$2:$L$3000,'Pending Putaway'!$A$2:$A$3000,$K$2,'Pending Putaway'!$B$2:$B$3000,$A101),IF(COUNTIFS('Pending Putaway'!$A$2:$A$3000,$K$2,'Pending Putaway'!$B$2:$B$3000,SUBSTITUTE($A101," SS","  SS"))&gt;0,SUMIFS('Pending Putaway'!$L$2:$L$3000,'Pending Putaway'!$A$2:$A$3000,$K$2,'Pending Putaway'!$B$2:$B$3000,SUBSTITUTE($A101," SS","  SS")),"NA"))</f>
        <v>0</v>
      </c>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row>
    <row r="102" customFormat="false" ht="15.75" hidden="false" customHeight="true" outlineLevel="0" collapsed="false">
      <c r="A102" s="81" t="s">
        <v>29</v>
      </c>
      <c r="B102" s="81" t="str">
        <f aca="false" t="array" ref="B102:B102">IFERROR(INDEX('CLM &amp; IM Mapping'!$B$2:$B$270,MATCH($A102,'CLM &amp; IM Mapping'!$A$2:$A$270,0)),"Not Mapped")</f>
        <v>Arun Raj</v>
      </c>
      <c r="C102" s="81" t="str">
        <f aca="false" t="array" ref="C102:C102">IFERROR(INDEX('CLM &amp; IM Mapping'!$C$2:$C$270,MATCH($A102,'CLM &amp; IM Mapping'!$A$2:$A$270,0)),"Not Mapped")</f>
        <v>Simon Manoharan</v>
      </c>
      <c r="D102" s="82" t="n">
        <f aca="false">IF(COUNTIFS(Shrinkage!$A$2:$A$3000,$K$2,Shrinkage!$D$2:$D$3000,$A102)&gt;0,SUMIFS(Shrinkage!$P$2:$P$3000,Shrinkage!$A$2:$A$3000,$K$2,Shrinkage!$D$2:$D$3000,$A102),IF(COUNTIFS(Shrinkage!$A$2:$A$3000,$K$2,Shrinkage!$D$2:$D$3000,SUBSTITUTE($A102," SS","  SS"))&gt;0,SUMIFS(Shrinkage!$P$2:$P$3000,Shrinkage!$A$2:$A$3000,$K$2,Shrinkage!$D$2:$D$3000,SUBSTITUTE($A102," SS","  SS")),"NA"))</f>
        <v>213068</v>
      </c>
      <c r="E102" s="83" t="n">
        <f aca="false">IF(COUNTIFS('Inventory Hygiene'!$A$2:$A$3000,$K$2,'Inventory Hygiene'!$B$2:$B$3000,$A102)&gt;0,AVERAGEIFS('Inventory Hygiene'!$J$2:$J$3000,'Inventory Hygiene'!$A$2:$A$3000,$K$2,'Inventory Hygiene'!$B$2:$B$3000,$A102),IF(COUNTIFS('Inventory Hygiene'!$A$2:$A$3000,$K$2,'Inventory Hygiene'!$B$2:$B$3000,SUBSTITUTE($A102," SS","  SS"))&gt;0,AVERAGEIFS('Inventory Hygiene'!$J$2:$J$3000,'Inventory Hygiene'!$A$2:$A$3000,$K$2,'Inventory Hygiene'!$B$2:$B$3000,SUBSTITUTE($A102," SS","  SS")),"NA"))</f>
        <v>0.224068635028598</v>
      </c>
      <c r="F102" s="81" t="n">
        <f aca="false">IF(COUNTIFS('Bad Bins'!$A$2:$A$3000,$K$2,'Bad Bins'!$B$2:$B$3000,$A102)&gt;0,SUMIFS('Bad Bins'!$K$2:$K$3000,'Bad Bins'!$A$2:$A$3000,$K$2,'Bad Bins'!$B$2:$B$3000,$A102),IF(COUNTIFS('Bad Bins'!$A$2:$A$3000,$K$2,'Bad Bins'!$B$2:$B$3000,SUBSTITUTE($A102," SS","  SS"))&gt;0,SUMIFS('Bad Bins'!$K$2:$K$3000,'Bad Bins'!$A$2:$A$3000,$K$2,'Bad Bins'!$B$2:$B$3000,SUBSTITUTE($A102," SS","  SS")),"NA"))</f>
        <v>4</v>
      </c>
      <c r="G102" s="81" t="str">
        <f aca="false">IF(COUNTIFS('RSTO &gt; 48hrs'!$A$2:$A$3000,$K$2,'RSTO &gt; 48hrs'!$B$2:$B$3000,$A102)&gt;0,SUMIFS('RSTO &gt; 48hrs'!$H$2:$H$3000,'RSTO &gt; 48hrs'!$A$2:$A$3000,$K$2,'RSTO &gt; 48hrs'!$B$2:$B$3000,$A102),IF(COUNTIFS('RSTO &gt; 48hrs'!$A$2:$A$3000,$K$2,'RSTO &gt; 48hrs'!$B$2:$B$3000,SUBSTITUTE($A102," SS","  SS"))&gt;0,SUMIFS('RSTO &gt; 48hrs'!$H$2:$H$3000,'RSTO &gt; 48hrs'!$A$2:$A$3000,$K$2,'RSTO &gt; 48hrs'!$B$2:$B$3000,SUBSTITUTE($A102," SS","  SS")),"NA"))</f>
        <v>NA</v>
      </c>
      <c r="H102" s="81" t="n">
        <f aca="false">IF(COUNTIFS('Recirculation &gt; 24 hrs'!$A$2:$A$3000,$K$2,'Recirculation &gt; 24 hrs'!$B$2:$B$3000,$A102)&gt;0,SUMIFS('Recirculation &gt; 24 hrs'!$K$2:$K$3000,'Recirculation &gt; 24 hrs'!$A$2:$A$3000,$K$2,'Recirculation &gt; 24 hrs'!$B$2:$B$3000,$A102),IF(COUNTIFS('Recirculation &gt; 24 hrs'!$A$2:$A$3000,$K$2,'Recirculation &gt; 24 hrs'!$B$2:$B$3000,SUBSTITUTE($A102," SS","  SS"))&gt;0,SUMIFS('Recirculation &gt; 24 hrs'!$K$2:$K$3000,'Recirculation &gt; 24 hrs'!$A$2:$A$3000,$K$2,'Recirculation &gt; 24 hrs'!$B$2:$B$3000,SUBSTITUTE($A102," SS","  SS")),"NA"))</f>
        <v>440</v>
      </c>
      <c r="I102" s="81" t="n">
        <f aca="false">IF(COUNTIFS('Pending Putaway'!$A$2:$A$3000,$K$2,'Pending Putaway'!$B$2:$B$3000,$A102)&gt;0,SUMIFS('Pending Putaway'!$E$2:$E$3000,'Pending Putaway'!$A$2:$A$3000,$K$2,'Pending Putaway'!$B$2:$B$3000,$A102),IF(COUNTIFS('Pending Putaway'!$A$2:$A$3000,$K$2,'Pending Putaway'!$B$2:$B$3000,SUBSTITUTE($A102," SS","  SS"))&gt;0,SUMIFS('Pending Putaway'!$E$2:$E$3000,'Pending Putaway'!$A$2:$A$3000,$K$2,'Pending Putaway'!$B$2:$B$3000,SUBSTITUTE($A102," SS","  SS")),"NA"))</f>
        <v>7118</v>
      </c>
      <c r="J102" s="81" t="n">
        <f aca="false">IF(COUNTIFS('Pending Putaway'!$A$2:$A$3000,$K$2,'Pending Putaway'!$B$2:$B$3000,$A102)&gt;0,SUMIFS('Pending Putaway'!$L$2:$L$3000,'Pending Putaway'!$A$2:$A$3000,$K$2,'Pending Putaway'!$B$2:$B$3000,$A102),IF(COUNTIFS('Pending Putaway'!$A$2:$A$3000,$K$2,'Pending Putaway'!$B$2:$B$3000,SUBSTITUTE($A102," SS","  SS"))&gt;0,SUMIFS('Pending Putaway'!$L$2:$L$3000,'Pending Putaway'!$A$2:$A$3000,$K$2,'Pending Putaway'!$B$2:$B$3000,SUBSTITUTE($A102," SS","  SS")),"NA"))</f>
        <v>3760</v>
      </c>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row>
    <row r="103" customFormat="false" ht="15.75" hidden="false" customHeight="true" outlineLevel="0" collapsed="false">
      <c r="A103" s="81" t="s">
        <v>505</v>
      </c>
      <c r="B103" s="81" t="str">
        <f aca="false" t="array" ref="B103:B103">IFERROR(INDEX('CLM &amp; IM Mapping'!$B$2:$B$270,MATCH($A103,'CLM &amp; IM Mapping'!$A$2:$A$270,0)),"Not Mapped")</f>
        <v>Basil Scariya</v>
      </c>
      <c r="C103" s="81" t="str">
        <f aca="false" t="array" ref="C103:C103">IFERROR(INDEX('CLM &amp; IM Mapping'!$C$2:$C$270,MATCH($A103,'CLM &amp; IM Mapping'!$A$2:$A$270,0)),"Not Mapped")</f>
        <v>Prakash BS</v>
      </c>
      <c r="D103" s="82" t="n">
        <f aca="false">IF(COUNTIFS(Shrinkage!$A$2:$A$3000,$K$2,Shrinkage!$D$2:$D$3000,$A103)&gt;0,SUMIFS(Shrinkage!$P$2:$P$3000,Shrinkage!$A$2:$A$3000,$K$2,Shrinkage!$D$2:$D$3000,$A103),IF(COUNTIFS(Shrinkage!$A$2:$A$3000,$K$2,Shrinkage!$D$2:$D$3000,SUBSTITUTE($A103," SS","  SS"))&gt;0,SUMIFS(Shrinkage!$P$2:$P$3000,Shrinkage!$A$2:$A$3000,$K$2,Shrinkage!$D$2:$D$3000,SUBSTITUTE($A103," SS","  SS")),"NA"))</f>
        <v>-16083</v>
      </c>
      <c r="E103" s="83" t="n">
        <f aca="false">IF(COUNTIFS('Inventory Hygiene'!$A$2:$A$3000,$K$2,'Inventory Hygiene'!$B$2:$B$3000,$A103)&gt;0,AVERAGEIFS('Inventory Hygiene'!$J$2:$J$3000,'Inventory Hygiene'!$A$2:$A$3000,$K$2,'Inventory Hygiene'!$B$2:$B$3000,$A103),IF(COUNTIFS('Inventory Hygiene'!$A$2:$A$3000,$K$2,'Inventory Hygiene'!$B$2:$B$3000,SUBSTITUTE($A103," SS","  SS"))&gt;0,AVERAGEIFS('Inventory Hygiene'!$J$2:$J$3000,'Inventory Hygiene'!$A$2:$A$3000,$K$2,'Inventory Hygiene'!$B$2:$B$3000,SUBSTITUTE($A103," SS","  SS")),"NA"))</f>
        <v>0.667721063982746</v>
      </c>
      <c r="F103" s="81" t="n">
        <f aca="false">IF(COUNTIFS('Bad Bins'!$A$2:$A$3000,$K$2,'Bad Bins'!$B$2:$B$3000,$A103)&gt;0,SUMIFS('Bad Bins'!$K$2:$K$3000,'Bad Bins'!$A$2:$A$3000,$K$2,'Bad Bins'!$B$2:$B$3000,$A103),IF(COUNTIFS('Bad Bins'!$A$2:$A$3000,$K$2,'Bad Bins'!$B$2:$B$3000,SUBSTITUTE($A103," SS","  SS"))&gt;0,SUMIFS('Bad Bins'!$K$2:$K$3000,'Bad Bins'!$A$2:$A$3000,$K$2,'Bad Bins'!$B$2:$B$3000,SUBSTITUTE($A103," SS","  SS")),"NA"))</f>
        <v>406</v>
      </c>
      <c r="G103" s="81" t="str">
        <f aca="false">IF(COUNTIFS('RSTO &gt; 48hrs'!$A$2:$A$3000,$K$2,'RSTO &gt; 48hrs'!$B$2:$B$3000,$A103)&gt;0,SUMIFS('RSTO &gt; 48hrs'!$H$2:$H$3000,'RSTO &gt; 48hrs'!$A$2:$A$3000,$K$2,'RSTO &gt; 48hrs'!$B$2:$B$3000,$A103),IF(COUNTIFS('RSTO &gt; 48hrs'!$A$2:$A$3000,$K$2,'RSTO &gt; 48hrs'!$B$2:$B$3000,SUBSTITUTE($A103," SS","  SS"))&gt;0,SUMIFS('RSTO &gt; 48hrs'!$H$2:$H$3000,'RSTO &gt; 48hrs'!$A$2:$A$3000,$K$2,'RSTO &gt; 48hrs'!$B$2:$B$3000,SUBSTITUTE($A103," SS","  SS")),"NA"))</f>
        <v>NA</v>
      </c>
      <c r="H103" s="81" t="n">
        <f aca="false">IF(COUNTIFS('Recirculation &gt; 24 hrs'!$A$2:$A$3000,$K$2,'Recirculation &gt; 24 hrs'!$B$2:$B$3000,$A103)&gt;0,SUMIFS('Recirculation &gt; 24 hrs'!$K$2:$K$3000,'Recirculation &gt; 24 hrs'!$A$2:$A$3000,$K$2,'Recirculation &gt; 24 hrs'!$B$2:$B$3000,$A103),IF(COUNTIFS('Recirculation &gt; 24 hrs'!$A$2:$A$3000,$K$2,'Recirculation &gt; 24 hrs'!$B$2:$B$3000,SUBSTITUTE($A103," SS","  SS"))&gt;0,SUMIFS('Recirculation &gt; 24 hrs'!$K$2:$K$3000,'Recirculation &gt; 24 hrs'!$A$2:$A$3000,$K$2,'Recirculation &gt; 24 hrs'!$B$2:$B$3000,SUBSTITUTE($A103," SS","  SS")),"NA"))</f>
        <v>452</v>
      </c>
      <c r="I103" s="81" t="n">
        <f aca="false">IF(COUNTIFS('Pending Putaway'!$A$2:$A$3000,$K$2,'Pending Putaway'!$B$2:$B$3000,$A103)&gt;0,SUMIFS('Pending Putaway'!$E$2:$E$3000,'Pending Putaway'!$A$2:$A$3000,$K$2,'Pending Putaway'!$B$2:$B$3000,$A103),IF(COUNTIFS('Pending Putaway'!$A$2:$A$3000,$K$2,'Pending Putaway'!$B$2:$B$3000,SUBSTITUTE($A103," SS","  SS"))&gt;0,SUMIFS('Pending Putaway'!$E$2:$E$3000,'Pending Putaway'!$A$2:$A$3000,$K$2,'Pending Putaway'!$B$2:$B$3000,SUBSTITUTE($A103," SS","  SS")),"NA"))</f>
        <v>0</v>
      </c>
      <c r="J103" s="81" t="n">
        <f aca="false">IF(COUNTIFS('Pending Putaway'!$A$2:$A$3000,$K$2,'Pending Putaway'!$B$2:$B$3000,$A103)&gt;0,SUMIFS('Pending Putaway'!$L$2:$L$3000,'Pending Putaway'!$A$2:$A$3000,$K$2,'Pending Putaway'!$B$2:$B$3000,$A103),IF(COUNTIFS('Pending Putaway'!$A$2:$A$3000,$K$2,'Pending Putaway'!$B$2:$B$3000,SUBSTITUTE($A103," SS","  SS"))&gt;0,SUMIFS('Pending Putaway'!$L$2:$L$3000,'Pending Putaway'!$A$2:$A$3000,$K$2,'Pending Putaway'!$B$2:$B$3000,SUBSTITUTE($A103," SS","  SS")),"NA"))</f>
        <v>0</v>
      </c>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row>
    <row r="104" customFormat="false" ht="15.75" hidden="false" customHeight="true" outlineLevel="0" collapsed="false">
      <c r="A104" s="81" t="s">
        <v>518</v>
      </c>
      <c r="B104" s="81" t="str">
        <f aca="false" t="array" ref="B104:B104">IFERROR(INDEX('CLM &amp; IM Mapping'!$B$2:$B$270,MATCH($A104,'CLM &amp; IM Mapping'!$A$2:$A$270,0)),"Not Mapped")</f>
        <v>Basil Scariya</v>
      </c>
      <c r="C104" s="81" t="str">
        <f aca="false" t="array" ref="C104:C104">IFERROR(INDEX('CLM &amp; IM Mapping'!$C$2:$C$270,MATCH($A104,'CLM &amp; IM Mapping'!$A$2:$A$270,0)),"Not Mapped")</f>
        <v>Prakash BS</v>
      </c>
      <c r="D104" s="82" t="n">
        <f aca="false">IF(COUNTIFS(Shrinkage!$A$2:$A$3000,$K$2,Shrinkage!$D$2:$D$3000,$A104)&gt;0,SUMIFS(Shrinkage!$P$2:$P$3000,Shrinkage!$A$2:$A$3000,$K$2,Shrinkage!$D$2:$D$3000,$A104),IF(COUNTIFS(Shrinkage!$A$2:$A$3000,$K$2,Shrinkage!$D$2:$D$3000,SUBSTITUTE($A104," SS","  SS"))&gt;0,SUMIFS(Shrinkage!$P$2:$P$3000,Shrinkage!$A$2:$A$3000,$K$2,Shrinkage!$D$2:$D$3000,SUBSTITUTE($A104," SS","  SS")),"NA"))</f>
        <v>-31873</v>
      </c>
      <c r="E104" s="83" t="n">
        <f aca="false">IF(COUNTIFS('Inventory Hygiene'!$A$2:$A$3000,$K$2,'Inventory Hygiene'!$B$2:$B$3000,$A104)&gt;0,AVERAGEIFS('Inventory Hygiene'!$J$2:$J$3000,'Inventory Hygiene'!$A$2:$A$3000,$K$2,'Inventory Hygiene'!$B$2:$B$3000,$A104),IF(COUNTIFS('Inventory Hygiene'!$A$2:$A$3000,$K$2,'Inventory Hygiene'!$B$2:$B$3000,SUBSTITUTE($A104," SS","  SS"))&gt;0,AVERAGEIFS('Inventory Hygiene'!$J$2:$J$3000,'Inventory Hygiene'!$A$2:$A$3000,$K$2,'Inventory Hygiene'!$B$2:$B$3000,SUBSTITUTE($A104," SS","  SS")),"NA"))</f>
        <v>0.587836565618528</v>
      </c>
      <c r="F104" s="81" t="n">
        <f aca="false">IF(COUNTIFS('Bad Bins'!$A$2:$A$3000,$K$2,'Bad Bins'!$B$2:$B$3000,$A104)&gt;0,SUMIFS('Bad Bins'!$K$2:$K$3000,'Bad Bins'!$A$2:$A$3000,$K$2,'Bad Bins'!$B$2:$B$3000,$A104),IF(COUNTIFS('Bad Bins'!$A$2:$A$3000,$K$2,'Bad Bins'!$B$2:$B$3000,SUBSTITUTE($A104," SS","  SS"))&gt;0,SUMIFS('Bad Bins'!$K$2:$K$3000,'Bad Bins'!$A$2:$A$3000,$K$2,'Bad Bins'!$B$2:$B$3000,SUBSTITUTE($A104," SS","  SS")),"NA"))</f>
        <v>46</v>
      </c>
      <c r="G104" s="81" t="str">
        <f aca="false">IF(COUNTIFS('RSTO &gt; 48hrs'!$A$2:$A$3000,$K$2,'RSTO &gt; 48hrs'!$B$2:$B$3000,$A104)&gt;0,SUMIFS('RSTO &gt; 48hrs'!$H$2:$H$3000,'RSTO &gt; 48hrs'!$A$2:$A$3000,$K$2,'RSTO &gt; 48hrs'!$B$2:$B$3000,$A104),IF(COUNTIFS('RSTO &gt; 48hrs'!$A$2:$A$3000,$K$2,'RSTO &gt; 48hrs'!$B$2:$B$3000,SUBSTITUTE($A104," SS","  SS"))&gt;0,SUMIFS('RSTO &gt; 48hrs'!$H$2:$H$3000,'RSTO &gt; 48hrs'!$A$2:$A$3000,$K$2,'RSTO &gt; 48hrs'!$B$2:$B$3000,SUBSTITUTE($A104," SS","  SS")),"NA"))</f>
        <v>NA</v>
      </c>
      <c r="H104" s="81" t="str">
        <f aca="false">IF(COUNTIFS('Recirculation &gt; 24 hrs'!$A$2:$A$3000,$K$2,'Recirculation &gt; 24 hrs'!$B$2:$B$3000,$A104)&gt;0,SUMIFS('Recirculation &gt; 24 hrs'!$K$2:$K$3000,'Recirculation &gt; 24 hrs'!$A$2:$A$3000,$K$2,'Recirculation &gt; 24 hrs'!$B$2:$B$3000,$A104),IF(COUNTIFS('Recirculation &gt; 24 hrs'!$A$2:$A$3000,$K$2,'Recirculation &gt; 24 hrs'!$B$2:$B$3000,SUBSTITUTE($A104," SS","  SS"))&gt;0,SUMIFS('Recirculation &gt; 24 hrs'!$K$2:$K$3000,'Recirculation &gt; 24 hrs'!$A$2:$A$3000,$K$2,'Recirculation &gt; 24 hrs'!$B$2:$B$3000,SUBSTITUTE($A104," SS","  SS")),"NA"))</f>
        <v>NA</v>
      </c>
      <c r="I104" s="81" t="n">
        <f aca="false">IF(COUNTIFS('Pending Putaway'!$A$2:$A$3000,$K$2,'Pending Putaway'!$B$2:$B$3000,$A104)&gt;0,SUMIFS('Pending Putaway'!$E$2:$E$3000,'Pending Putaway'!$A$2:$A$3000,$K$2,'Pending Putaway'!$B$2:$B$3000,$A104),IF(COUNTIFS('Pending Putaway'!$A$2:$A$3000,$K$2,'Pending Putaway'!$B$2:$B$3000,SUBSTITUTE($A104," SS","  SS"))&gt;0,SUMIFS('Pending Putaway'!$E$2:$E$3000,'Pending Putaway'!$A$2:$A$3000,$K$2,'Pending Putaway'!$B$2:$B$3000,SUBSTITUTE($A104," SS","  SS")),"NA"))</f>
        <v>394</v>
      </c>
      <c r="J104" s="81" t="n">
        <f aca="false">IF(COUNTIFS('Pending Putaway'!$A$2:$A$3000,$K$2,'Pending Putaway'!$B$2:$B$3000,$A104)&gt;0,SUMIFS('Pending Putaway'!$L$2:$L$3000,'Pending Putaway'!$A$2:$A$3000,$K$2,'Pending Putaway'!$B$2:$B$3000,$A104),IF(COUNTIFS('Pending Putaway'!$A$2:$A$3000,$K$2,'Pending Putaway'!$B$2:$B$3000,SUBSTITUTE($A104," SS","  SS"))&gt;0,SUMIFS('Pending Putaway'!$L$2:$L$3000,'Pending Putaway'!$A$2:$A$3000,$K$2,'Pending Putaway'!$B$2:$B$3000,SUBSTITUTE($A104," SS","  SS")),"NA"))</f>
        <v>366</v>
      </c>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row>
    <row r="105" customFormat="false" ht="15.75" hidden="false" customHeight="true" outlineLevel="0" collapsed="false">
      <c r="A105" s="81" t="s">
        <v>564</v>
      </c>
      <c r="B105" s="81" t="str">
        <f aca="false" t="array" ref="B105:B105">IFERROR(INDEX('CLM &amp; IM Mapping'!$B$2:$B$270,MATCH($A105,'CLM &amp; IM Mapping'!$A$2:$A$270,0)),"Not Mapped")</f>
        <v>Basil Scariya</v>
      </c>
      <c r="C105" s="81" t="str">
        <f aca="false" t="array" ref="C105:C105">IFERROR(INDEX('CLM &amp; IM Mapping'!$C$2:$C$270,MATCH($A105,'CLM &amp; IM Mapping'!$A$2:$A$270,0)),"Not Mapped")</f>
        <v>Prakash BS</v>
      </c>
      <c r="D105" s="82" t="str">
        <f aca="false">IF(COUNTIFS(Shrinkage!$A$2:$A$3000,$K$2,Shrinkage!$D$2:$D$3000,$A105)&gt;0,SUMIFS(Shrinkage!$P$2:$P$3000,Shrinkage!$A$2:$A$3000,$K$2,Shrinkage!$D$2:$D$3000,$A105),IF(COUNTIFS(Shrinkage!$A$2:$A$3000,$K$2,Shrinkage!$D$2:$D$3000,SUBSTITUTE($A105," SS","  SS"))&gt;0,SUMIFS(Shrinkage!$P$2:$P$3000,Shrinkage!$A$2:$A$3000,$K$2,Shrinkage!$D$2:$D$3000,SUBSTITUTE($A105," SS","  SS")),"NA"))</f>
        <v>NA</v>
      </c>
      <c r="E105" s="83" t="n">
        <f aca="false">IF(COUNTIFS('Inventory Hygiene'!$A$2:$A$3000,$K$2,'Inventory Hygiene'!$B$2:$B$3000,$A105)&gt;0,AVERAGEIFS('Inventory Hygiene'!$J$2:$J$3000,'Inventory Hygiene'!$A$2:$A$3000,$K$2,'Inventory Hygiene'!$B$2:$B$3000,$A105),IF(COUNTIFS('Inventory Hygiene'!$A$2:$A$3000,$K$2,'Inventory Hygiene'!$B$2:$B$3000,SUBSTITUTE($A105," SS","  SS"))&gt;0,AVERAGEIFS('Inventory Hygiene'!$J$2:$J$3000,'Inventory Hygiene'!$A$2:$A$3000,$K$2,'Inventory Hygiene'!$B$2:$B$3000,SUBSTITUTE($A105," SS","  SS")),"NA"))</f>
        <v>0</v>
      </c>
      <c r="F105" s="81" t="n">
        <f aca="false">IF(COUNTIFS('Bad Bins'!$A$2:$A$3000,$K$2,'Bad Bins'!$B$2:$B$3000,$A105)&gt;0,SUMIFS('Bad Bins'!$K$2:$K$3000,'Bad Bins'!$A$2:$A$3000,$K$2,'Bad Bins'!$B$2:$B$3000,$A105),IF(COUNTIFS('Bad Bins'!$A$2:$A$3000,$K$2,'Bad Bins'!$B$2:$B$3000,SUBSTITUTE($A105," SS","  SS"))&gt;0,SUMIFS('Bad Bins'!$K$2:$K$3000,'Bad Bins'!$A$2:$A$3000,$K$2,'Bad Bins'!$B$2:$B$3000,SUBSTITUTE($A105," SS","  SS")),"NA"))</f>
        <v>0</v>
      </c>
      <c r="G105" s="81" t="str">
        <f aca="false">IF(COUNTIFS('RSTO &gt; 48hrs'!$A$2:$A$3000,$K$2,'RSTO &gt; 48hrs'!$B$2:$B$3000,$A105)&gt;0,SUMIFS('RSTO &gt; 48hrs'!$H$2:$H$3000,'RSTO &gt; 48hrs'!$A$2:$A$3000,$K$2,'RSTO &gt; 48hrs'!$B$2:$B$3000,$A105),IF(COUNTIFS('RSTO &gt; 48hrs'!$A$2:$A$3000,$K$2,'RSTO &gt; 48hrs'!$B$2:$B$3000,SUBSTITUTE($A105," SS","  SS"))&gt;0,SUMIFS('RSTO &gt; 48hrs'!$H$2:$H$3000,'RSTO &gt; 48hrs'!$A$2:$A$3000,$K$2,'RSTO &gt; 48hrs'!$B$2:$B$3000,SUBSTITUTE($A105," SS","  SS")),"NA"))</f>
        <v>NA</v>
      </c>
      <c r="H105" s="81" t="str">
        <f aca="false">IF(COUNTIFS('Recirculation &gt; 24 hrs'!$A$2:$A$3000,$K$2,'Recirculation &gt; 24 hrs'!$B$2:$B$3000,$A105)&gt;0,SUMIFS('Recirculation &gt; 24 hrs'!$K$2:$K$3000,'Recirculation &gt; 24 hrs'!$A$2:$A$3000,$K$2,'Recirculation &gt; 24 hrs'!$B$2:$B$3000,$A105),IF(COUNTIFS('Recirculation &gt; 24 hrs'!$A$2:$A$3000,$K$2,'Recirculation &gt; 24 hrs'!$B$2:$B$3000,SUBSTITUTE($A105," SS","  SS"))&gt;0,SUMIFS('Recirculation &gt; 24 hrs'!$K$2:$K$3000,'Recirculation &gt; 24 hrs'!$A$2:$A$3000,$K$2,'Recirculation &gt; 24 hrs'!$B$2:$B$3000,SUBSTITUTE($A105," SS","  SS")),"NA"))</f>
        <v>NA</v>
      </c>
      <c r="I105" s="81" t="n">
        <f aca="false">IF(COUNTIFS('Pending Putaway'!$A$2:$A$3000,$K$2,'Pending Putaway'!$B$2:$B$3000,$A105)&gt;0,SUMIFS('Pending Putaway'!$E$2:$E$3000,'Pending Putaway'!$A$2:$A$3000,$K$2,'Pending Putaway'!$B$2:$B$3000,$A105),IF(COUNTIFS('Pending Putaway'!$A$2:$A$3000,$K$2,'Pending Putaway'!$B$2:$B$3000,SUBSTITUTE($A105," SS","  SS"))&gt;0,SUMIFS('Pending Putaway'!$E$2:$E$3000,'Pending Putaway'!$A$2:$A$3000,$K$2,'Pending Putaway'!$B$2:$B$3000,SUBSTITUTE($A105," SS","  SS")),"NA"))</f>
        <v>0</v>
      </c>
      <c r="J105" s="81" t="n">
        <f aca="false">IF(COUNTIFS('Pending Putaway'!$A$2:$A$3000,$K$2,'Pending Putaway'!$B$2:$B$3000,$A105)&gt;0,SUMIFS('Pending Putaway'!$L$2:$L$3000,'Pending Putaway'!$A$2:$A$3000,$K$2,'Pending Putaway'!$B$2:$B$3000,$A105),IF(COUNTIFS('Pending Putaway'!$A$2:$A$3000,$K$2,'Pending Putaway'!$B$2:$B$3000,SUBSTITUTE($A105," SS","  SS"))&gt;0,SUMIFS('Pending Putaway'!$L$2:$L$3000,'Pending Putaway'!$A$2:$A$3000,$K$2,'Pending Putaway'!$B$2:$B$3000,SUBSTITUTE($A105," SS","  SS")),"NA"))</f>
        <v>0</v>
      </c>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row>
    <row r="106" customFormat="false" ht="15.75" hidden="false" customHeight="true" outlineLevel="0" collapsed="false">
      <c r="A106" s="81" t="s">
        <v>62</v>
      </c>
      <c r="B106" s="81" t="str">
        <f aca="false" t="array" ref="B106:B106">IFERROR(INDEX('CLM &amp; IM Mapping'!$B$2:$B$270,MATCH($A106,'CLM &amp; IM Mapping'!$A$2:$A$270,0)),"Not Mapped")</f>
        <v>Basil Scariya</v>
      </c>
      <c r="C106" s="81" t="str">
        <f aca="false" t="array" ref="C106:C106">IFERROR(INDEX('CLM &amp; IM Mapping'!$C$2:$C$270,MATCH($A106,'CLM &amp; IM Mapping'!$A$2:$A$270,0)),"Not Mapped")</f>
        <v>Prakash BS</v>
      </c>
      <c r="D106" s="82" t="n">
        <f aca="false">IF(COUNTIFS(Shrinkage!$A$2:$A$3000,$K$2,Shrinkage!$D$2:$D$3000,$A106)&gt;0,SUMIFS(Shrinkage!$P$2:$P$3000,Shrinkage!$A$2:$A$3000,$K$2,Shrinkage!$D$2:$D$3000,$A106),IF(COUNTIFS(Shrinkage!$A$2:$A$3000,$K$2,Shrinkage!$D$2:$D$3000,SUBSTITUTE($A106," SS","  SS"))&gt;0,SUMIFS(Shrinkage!$P$2:$P$3000,Shrinkage!$A$2:$A$3000,$K$2,Shrinkage!$D$2:$D$3000,SUBSTITUTE($A106," SS","  SS")),"NA"))</f>
        <v>37484</v>
      </c>
      <c r="E106" s="83" t="n">
        <f aca="false">IF(COUNTIFS('Inventory Hygiene'!$A$2:$A$3000,$K$2,'Inventory Hygiene'!$B$2:$B$3000,$A106)&gt;0,AVERAGEIFS('Inventory Hygiene'!$J$2:$J$3000,'Inventory Hygiene'!$A$2:$A$3000,$K$2,'Inventory Hygiene'!$B$2:$B$3000,$A106),IF(COUNTIFS('Inventory Hygiene'!$A$2:$A$3000,$K$2,'Inventory Hygiene'!$B$2:$B$3000,SUBSTITUTE($A106," SS","  SS"))&gt;0,AVERAGEIFS('Inventory Hygiene'!$J$2:$J$3000,'Inventory Hygiene'!$A$2:$A$3000,$K$2,'Inventory Hygiene'!$B$2:$B$3000,SUBSTITUTE($A106," SS","  SS")),"NA"))</f>
        <v>0.623987034035656</v>
      </c>
      <c r="F106" s="81" t="n">
        <f aca="false">IF(COUNTIFS('Bad Bins'!$A$2:$A$3000,$K$2,'Bad Bins'!$B$2:$B$3000,$A106)&gt;0,SUMIFS('Bad Bins'!$K$2:$K$3000,'Bad Bins'!$A$2:$A$3000,$K$2,'Bad Bins'!$B$2:$B$3000,$A106),IF(COUNTIFS('Bad Bins'!$A$2:$A$3000,$K$2,'Bad Bins'!$B$2:$B$3000,SUBSTITUTE($A106," SS","  SS"))&gt;0,SUMIFS('Bad Bins'!$K$2:$K$3000,'Bad Bins'!$A$2:$A$3000,$K$2,'Bad Bins'!$B$2:$B$3000,SUBSTITUTE($A106," SS","  SS")),"NA"))</f>
        <v>105</v>
      </c>
      <c r="G106" s="81" t="str">
        <f aca="false">IF(COUNTIFS('RSTO &gt; 48hrs'!$A$2:$A$3000,$K$2,'RSTO &gt; 48hrs'!$B$2:$B$3000,$A106)&gt;0,SUMIFS('RSTO &gt; 48hrs'!$H$2:$H$3000,'RSTO &gt; 48hrs'!$A$2:$A$3000,$K$2,'RSTO &gt; 48hrs'!$B$2:$B$3000,$A106),IF(COUNTIFS('RSTO &gt; 48hrs'!$A$2:$A$3000,$K$2,'RSTO &gt; 48hrs'!$B$2:$B$3000,SUBSTITUTE($A106," SS","  SS"))&gt;0,SUMIFS('RSTO &gt; 48hrs'!$H$2:$H$3000,'RSTO &gt; 48hrs'!$A$2:$A$3000,$K$2,'RSTO &gt; 48hrs'!$B$2:$B$3000,SUBSTITUTE($A106," SS","  SS")),"NA"))</f>
        <v>NA</v>
      </c>
      <c r="H106" s="81" t="n">
        <f aca="false">IF(COUNTIFS('Recirculation &gt; 24 hrs'!$A$2:$A$3000,$K$2,'Recirculation &gt; 24 hrs'!$B$2:$B$3000,$A106)&gt;0,SUMIFS('Recirculation &gt; 24 hrs'!$K$2:$K$3000,'Recirculation &gt; 24 hrs'!$A$2:$A$3000,$K$2,'Recirculation &gt; 24 hrs'!$B$2:$B$3000,$A106),IF(COUNTIFS('Recirculation &gt; 24 hrs'!$A$2:$A$3000,$K$2,'Recirculation &gt; 24 hrs'!$B$2:$B$3000,SUBSTITUTE($A106," SS","  SS"))&gt;0,SUMIFS('Recirculation &gt; 24 hrs'!$K$2:$K$3000,'Recirculation &gt; 24 hrs'!$A$2:$A$3000,$K$2,'Recirculation &gt; 24 hrs'!$B$2:$B$3000,SUBSTITUTE($A106," SS","  SS")),"NA"))</f>
        <v>2</v>
      </c>
      <c r="I106" s="81" t="n">
        <f aca="false">IF(COUNTIFS('Pending Putaway'!$A$2:$A$3000,$K$2,'Pending Putaway'!$B$2:$B$3000,$A106)&gt;0,SUMIFS('Pending Putaway'!$E$2:$E$3000,'Pending Putaway'!$A$2:$A$3000,$K$2,'Pending Putaway'!$B$2:$B$3000,$A106),IF(COUNTIFS('Pending Putaway'!$A$2:$A$3000,$K$2,'Pending Putaway'!$B$2:$B$3000,SUBSTITUTE($A106," SS","  SS"))&gt;0,SUMIFS('Pending Putaway'!$E$2:$E$3000,'Pending Putaway'!$A$2:$A$3000,$K$2,'Pending Putaway'!$B$2:$B$3000,SUBSTITUTE($A106," SS","  SS")),"NA"))</f>
        <v>0</v>
      </c>
      <c r="J106" s="81" t="n">
        <f aca="false">IF(COUNTIFS('Pending Putaway'!$A$2:$A$3000,$K$2,'Pending Putaway'!$B$2:$B$3000,$A106)&gt;0,SUMIFS('Pending Putaway'!$L$2:$L$3000,'Pending Putaway'!$A$2:$A$3000,$K$2,'Pending Putaway'!$B$2:$B$3000,$A106),IF(COUNTIFS('Pending Putaway'!$A$2:$A$3000,$K$2,'Pending Putaway'!$B$2:$B$3000,SUBSTITUTE($A106," SS","  SS"))&gt;0,SUMIFS('Pending Putaway'!$L$2:$L$3000,'Pending Putaway'!$A$2:$A$3000,$K$2,'Pending Putaway'!$B$2:$B$3000,SUBSTITUTE($A106," SS","  SS")),"NA"))</f>
        <v>0</v>
      </c>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row>
    <row r="107" customFormat="false" ht="15.75" hidden="false" customHeight="true" outlineLevel="0" collapsed="false">
      <c r="A107" s="81" t="s">
        <v>333</v>
      </c>
      <c r="B107" s="81" t="str">
        <f aca="false" t="array" ref="B107:B107">IFERROR(INDEX('CLM &amp; IM Mapping'!$B$2:$B$270,MATCH($A107,'CLM &amp; IM Mapping'!$A$2:$A$270,0)),"Not Mapped")</f>
        <v>Basil Scariya</v>
      </c>
      <c r="C107" s="81" t="str">
        <f aca="false" t="array" ref="C107:C107">IFERROR(INDEX('CLM &amp; IM Mapping'!$C$2:$C$270,MATCH($A107,'CLM &amp; IM Mapping'!$A$2:$A$270,0)),"Not Mapped")</f>
        <v>Prakash BS</v>
      </c>
      <c r="D107" s="82" t="n">
        <f aca="false">IF(COUNTIFS(Shrinkage!$A$2:$A$3000,$K$2,Shrinkage!$D$2:$D$3000,$A107)&gt;0,SUMIFS(Shrinkage!$P$2:$P$3000,Shrinkage!$A$2:$A$3000,$K$2,Shrinkage!$D$2:$D$3000,$A107),IF(COUNTIFS(Shrinkage!$A$2:$A$3000,$K$2,Shrinkage!$D$2:$D$3000,SUBSTITUTE($A107," SS","  SS"))&gt;0,SUMIFS(Shrinkage!$P$2:$P$3000,Shrinkage!$A$2:$A$3000,$K$2,Shrinkage!$D$2:$D$3000,SUBSTITUTE($A107," SS","  SS")),"NA"))</f>
        <v>9447</v>
      </c>
      <c r="E107" s="83" t="n">
        <f aca="false">IF(COUNTIFS('Inventory Hygiene'!$A$2:$A$3000,$K$2,'Inventory Hygiene'!$B$2:$B$3000,$A107)&gt;0,AVERAGEIFS('Inventory Hygiene'!$J$2:$J$3000,'Inventory Hygiene'!$A$2:$A$3000,$K$2,'Inventory Hygiene'!$B$2:$B$3000,$A107),IF(COUNTIFS('Inventory Hygiene'!$A$2:$A$3000,$K$2,'Inventory Hygiene'!$B$2:$B$3000,SUBSTITUTE($A107," SS","  SS"))&gt;0,AVERAGEIFS('Inventory Hygiene'!$J$2:$J$3000,'Inventory Hygiene'!$A$2:$A$3000,$K$2,'Inventory Hygiene'!$B$2:$B$3000,SUBSTITUTE($A107," SS","  SS")),"NA"))</f>
        <v>0.95992438563327</v>
      </c>
      <c r="F107" s="81" t="n">
        <f aca="false">IF(COUNTIFS('Bad Bins'!$A$2:$A$3000,$K$2,'Bad Bins'!$B$2:$B$3000,$A107)&gt;0,SUMIFS('Bad Bins'!$K$2:$K$3000,'Bad Bins'!$A$2:$A$3000,$K$2,'Bad Bins'!$B$2:$B$3000,$A107),IF(COUNTIFS('Bad Bins'!$A$2:$A$3000,$K$2,'Bad Bins'!$B$2:$B$3000,SUBSTITUTE($A107," SS","  SS"))&gt;0,SUMIFS('Bad Bins'!$K$2:$K$3000,'Bad Bins'!$A$2:$A$3000,$K$2,'Bad Bins'!$B$2:$B$3000,SUBSTITUTE($A107," SS","  SS")),"NA"))</f>
        <v>49</v>
      </c>
      <c r="G107" s="81" t="str">
        <f aca="false">IF(COUNTIFS('RSTO &gt; 48hrs'!$A$2:$A$3000,$K$2,'RSTO &gt; 48hrs'!$B$2:$B$3000,$A107)&gt;0,SUMIFS('RSTO &gt; 48hrs'!$H$2:$H$3000,'RSTO &gt; 48hrs'!$A$2:$A$3000,$K$2,'RSTO &gt; 48hrs'!$B$2:$B$3000,$A107),IF(COUNTIFS('RSTO &gt; 48hrs'!$A$2:$A$3000,$K$2,'RSTO &gt; 48hrs'!$B$2:$B$3000,SUBSTITUTE($A107," SS","  SS"))&gt;0,SUMIFS('RSTO &gt; 48hrs'!$H$2:$H$3000,'RSTO &gt; 48hrs'!$A$2:$A$3000,$K$2,'RSTO &gt; 48hrs'!$B$2:$B$3000,SUBSTITUTE($A107," SS","  SS")),"NA"))</f>
        <v>NA</v>
      </c>
      <c r="H107" s="81" t="str">
        <f aca="false">IF(COUNTIFS('Recirculation &gt; 24 hrs'!$A$2:$A$3000,$K$2,'Recirculation &gt; 24 hrs'!$B$2:$B$3000,$A107)&gt;0,SUMIFS('Recirculation &gt; 24 hrs'!$K$2:$K$3000,'Recirculation &gt; 24 hrs'!$A$2:$A$3000,$K$2,'Recirculation &gt; 24 hrs'!$B$2:$B$3000,$A107),IF(COUNTIFS('Recirculation &gt; 24 hrs'!$A$2:$A$3000,$K$2,'Recirculation &gt; 24 hrs'!$B$2:$B$3000,SUBSTITUTE($A107," SS","  SS"))&gt;0,SUMIFS('Recirculation &gt; 24 hrs'!$K$2:$K$3000,'Recirculation &gt; 24 hrs'!$A$2:$A$3000,$K$2,'Recirculation &gt; 24 hrs'!$B$2:$B$3000,SUBSTITUTE($A107," SS","  SS")),"NA"))</f>
        <v>NA</v>
      </c>
      <c r="I107" s="81" t="n">
        <f aca="false">IF(COUNTIFS('Pending Putaway'!$A$2:$A$3000,$K$2,'Pending Putaway'!$B$2:$B$3000,$A107)&gt;0,SUMIFS('Pending Putaway'!$E$2:$E$3000,'Pending Putaway'!$A$2:$A$3000,$K$2,'Pending Putaway'!$B$2:$B$3000,$A107),IF(COUNTIFS('Pending Putaway'!$A$2:$A$3000,$K$2,'Pending Putaway'!$B$2:$B$3000,SUBSTITUTE($A107," SS","  SS"))&gt;0,SUMIFS('Pending Putaway'!$E$2:$E$3000,'Pending Putaway'!$A$2:$A$3000,$K$2,'Pending Putaway'!$B$2:$B$3000,SUBSTITUTE($A107," SS","  SS")),"NA"))</f>
        <v>0</v>
      </c>
      <c r="J107" s="81" t="n">
        <f aca="false">IF(COUNTIFS('Pending Putaway'!$A$2:$A$3000,$K$2,'Pending Putaway'!$B$2:$B$3000,$A107)&gt;0,SUMIFS('Pending Putaway'!$L$2:$L$3000,'Pending Putaway'!$A$2:$A$3000,$K$2,'Pending Putaway'!$B$2:$B$3000,$A107),IF(COUNTIFS('Pending Putaway'!$A$2:$A$3000,$K$2,'Pending Putaway'!$B$2:$B$3000,SUBSTITUTE($A107," SS","  SS"))&gt;0,SUMIFS('Pending Putaway'!$L$2:$L$3000,'Pending Putaway'!$A$2:$A$3000,$K$2,'Pending Putaway'!$B$2:$B$3000,SUBSTITUTE($A107," SS","  SS")),"NA"))</f>
        <v>0</v>
      </c>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row>
    <row r="108" customFormat="false" ht="15.75" hidden="false" customHeight="true" outlineLevel="0" collapsed="false">
      <c r="A108" s="81" t="s">
        <v>254</v>
      </c>
      <c r="B108" s="81" t="str">
        <f aca="false" t="array" ref="B108:B108">IFERROR(INDEX('CLM &amp; IM Mapping'!$B$2:$B$270,MATCH($A108,'CLM &amp; IM Mapping'!$A$2:$A$270,0)),"Not Mapped")</f>
        <v>Basil Scariya</v>
      </c>
      <c r="C108" s="81" t="str">
        <f aca="false" t="array" ref="C108:C108">IFERROR(INDEX('CLM &amp; IM Mapping'!$C$2:$C$270,MATCH($A108,'CLM &amp; IM Mapping'!$A$2:$A$270,0)),"Not Mapped")</f>
        <v>Prakash BS</v>
      </c>
      <c r="D108" s="82" t="n">
        <f aca="false">IF(COUNTIFS(Shrinkage!$A$2:$A$3000,$K$2,Shrinkage!$D$2:$D$3000,$A108)&gt;0,SUMIFS(Shrinkage!$P$2:$P$3000,Shrinkage!$A$2:$A$3000,$K$2,Shrinkage!$D$2:$D$3000,$A108),IF(COUNTIFS(Shrinkage!$A$2:$A$3000,$K$2,Shrinkage!$D$2:$D$3000,SUBSTITUTE($A108," SS","  SS"))&gt;0,SUMIFS(Shrinkage!$P$2:$P$3000,Shrinkage!$A$2:$A$3000,$K$2,Shrinkage!$D$2:$D$3000,SUBSTITUTE($A108," SS","  SS")),"NA"))</f>
        <v>18872</v>
      </c>
      <c r="E108" s="83" t="n">
        <f aca="false">IF(COUNTIFS('Inventory Hygiene'!$A$2:$A$3000,$K$2,'Inventory Hygiene'!$B$2:$B$3000,$A108)&gt;0,AVERAGEIFS('Inventory Hygiene'!$J$2:$J$3000,'Inventory Hygiene'!$A$2:$A$3000,$K$2,'Inventory Hygiene'!$B$2:$B$3000,$A108),IF(COUNTIFS('Inventory Hygiene'!$A$2:$A$3000,$K$2,'Inventory Hygiene'!$B$2:$B$3000,SUBSTITUTE($A108," SS","  SS"))&gt;0,AVERAGEIFS('Inventory Hygiene'!$J$2:$J$3000,'Inventory Hygiene'!$A$2:$A$3000,$K$2,'Inventory Hygiene'!$B$2:$B$3000,SUBSTITUTE($A108," SS","  SS")),"NA"))</f>
        <v>0.634364820846906</v>
      </c>
      <c r="F108" s="81" t="n">
        <f aca="false">IF(COUNTIFS('Bad Bins'!$A$2:$A$3000,$K$2,'Bad Bins'!$B$2:$B$3000,$A108)&gt;0,SUMIFS('Bad Bins'!$K$2:$K$3000,'Bad Bins'!$A$2:$A$3000,$K$2,'Bad Bins'!$B$2:$B$3000,$A108),IF(COUNTIFS('Bad Bins'!$A$2:$A$3000,$K$2,'Bad Bins'!$B$2:$B$3000,SUBSTITUTE($A108," SS","  SS"))&gt;0,SUMIFS('Bad Bins'!$K$2:$K$3000,'Bad Bins'!$A$2:$A$3000,$K$2,'Bad Bins'!$B$2:$B$3000,SUBSTITUTE($A108," SS","  SS")),"NA"))</f>
        <v>531</v>
      </c>
      <c r="G108" s="81" t="str">
        <f aca="false">IF(COUNTIFS('RSTO &gt; 48hrs'!$A$2:$A$3000,$K$2,'RSTO &gt; 48hrs'!$B$2:$B$3000,$A108)&gt;0,SUMIFS('RSTO &gt; 48hrs'!$H$2:$H$3000,'RSTO &gt; 48hrs'!$A$2:$A$3000,$K$2,'RSTO &gt; 48hrs'!$B$2:$B$3000,$A108),IF(COUNTIFS('RSTO &gt; 48hrs'!$A$2:$A$3000,$K$2,'RSTO &gt; 48hrs'!$B$2:$B$3000,SUBSTITUTE($A108," SS","  SS"))&gt;0,SUMIFS('RSTO &gt; 48hrs'!$H$2:$H$3000,'RSTO &gt; 48hrs'!$A$2:$A$3000,$K$2,'RSTO &gt; 48hrs'!$B$2:$B$3000,SUBSTITUTE($A108," SS","  SS")),"NA"))</f>
        <v>NA</v>
      </c>
      <c r="H108" s="81" t="str">
        <f aca="false">IF(COUNTIFS('Recirculation &gt; 24 hrs'!$A$2:$A$3000,$K$2,'Recirculation &gt; 24 hrs'!$B$2:$B$3000,$A108)&gt;0,SUMIFS('Recirculation &gt; 24 hrs'!$K$2:$K$3000,'Recirculation &gt; 24 hrs'!$A$2:$A$3000,$K$2,'Recirculation &gt; 24 hrs'!$B$2:$B$3000,$A108),IF(COUNTIFS('Recirculation &gt; 24 hrs'!$A$2:$A$3000,$K$2,'Recirculation &gt; 24 hrs'!$B$2:$B$3000,SUBSTITUTE($A108," SS","  SS"))&gt;0,SUMIFS('Recirculation &gt; 24 hrs'!$K$2:$K$3000,'Recirculation &gt; 24 hrs'!$A$2:$A$3000,$K$2,'Recirculation &gt; 24 hrs'!$B$2:$B$3000,SUBSTITUTE($A108," SS","  SS")),"NA"))</f>
        <v>NA</v>
      </c>
      <c r="I108" s="81" t="n">
        <f aca="false">IF(COUNTIFS('Pending Putaway'!$A$2:$A$3000,$K$2,'Pending Putaway'!$B$2:$B$3000,$A108)&gt;0,SUMIFS('Pending Putaway'!$E$2:$E$3000,'Pending Putaway'!$A$2:$A$3000,$K$2,'Pending Putaway'!$B$2:$B$3000,$A108),IF(COUNTIFS('Pending Putaway'!$A$2:$A$3000,$K$2,'Pending Putaway'!$B$2:$B$3000,SUBSTITUTE($A108," SS","  SS"))&gt;0,SUMIFS('Pending Putaway'!$E$2:$E$3000,'Pending Putaway'!$A$2:$A$3000,$K$2,'Pending Putaway'!$B$2:$B$3000,SUBSTITUTE($A108," SS","  SS")),"NA"))</f>
        <v>302</v>
      </c>
      <c r="J108" s="81" t="n">
        <f aca="false">IF(COUNTIFS('Pending Putaway'!$A$2:$A$3000,$K$2,'Pending Putaway'!$B$2:$B$3000,$A108)&gt;0,SUMIFS('Pending Putaway'!$L$2:$L$3000,'Pending Putaway'!$A$2:$A$3000,$K$2,'Pending Putaway'!$B$2:$B$3000,$A108),IF(COUNTIFS('Pending Putaway'!$A$2:$A$3000,$K$2,'Pending Putaway'!$B$2:$B$3000,SUBSTITUTE($A108," SS","  SS"))&gt;0,SUMIFS('Pending Putaway'!$L$2:$L$3000,'Pending Putaway'!$A$2:$A$3000,$K$2,'Pending Putaway'!$B$2:$B$3000,SUBSTITUTE($A108," SS","  SS")),"NA"))</f>
        <v>126</v>
      </c>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row>
    <row r="109" customFormat="false" ht="15.75" hidden="false" customHeight="true" outlineLevel="0" collapsed="false">
      <c r="A109" s="81" t="s">
        <v>271</v>
      </c>
      <c r="B109" s="81" t="str">
        <f aca="false" t="array" ref="B109:B109">IFERROR(INDEX('CLM &amp; IM Mapping'!$B$2:$B$270,MATCH($A109,'CLM &amp; IM Mapping'!$A$2:$A$270,0)),"Not Mapped")</f>
        <v>Rizwan Ahmed</v>
      </c>
      <c r="C109" s="81" t="str">
        <f aca="false" t="array" ref="C109:C109">IFERROR(INDEX('CLM &amp; IM Mapping'!$C$2:$C$270,MATCH($A109,'CLM &amp; IM Mapping'!$A$2:$A$270,0)),"Not Mapped")</f>
        <v>Prakash BS</v>
      </c>
      <c r="D109" s="82" t="n">
        <f aca="false">IF(COUNTIFS(Shrinkage!$A$2:$A$3000,$K$2,Shrinkage!$D$2:$D$3000,$A109)&gt;0,SUMIFS(Shrinkage!$P$2:$P$3000,Shrinkage!$A$2:$A$3000,$K$2,Shrinkage!$D$2:$D$3000,$A109),IF(COUNTIFS(Shrinkage!$A$2:$A$3000,$K$2,Shrinkage!$D$2:$D$3000,SUBSTITUTE($A109," SS","  SS"))&gt;0,SUMIFS(Shrinkage!$P$2:$P$3000,Shrinkage!$A$2:$A$3000,$K$2,Shrinkage!$D$2:$D$3000,SUBSTITUTE($A109," SS","  SS")),"NA"))</f>
        <v>17455</v>
      </c>
      <c r="E109" s="83" t="n">
        <f aca="false">IF(COUNTIFS('Inventory Hygiene'!$A$2:$A$3000,$K$2,'Inventory Hygiene'!$B$2:$B$3000,$A109)&gt;0,AVERAGEIFS('Inventory Hygiene'!$J$2:$J$3000,'Inventory Hygiene'!$A$2:$A$3000,$K$2,'Inventory Hygiene'!$B$2:$B$3000,$A109),IF(COUNTIFS('Inventory Hygiene'!$A$2:$A$3000,$K$2,'Inventory Hygiene'!$B$2:$B$3000,SUBSTITUTE($A109," SS","  SS"))&gt;0,AVERAGEIFS('Inventory Hygiene'!$J$2:$J$3000,'Inventory Hygiene'!$A$2:$A$3000,$K$2,'Inventory Hygiene'!$B$2:$B$3000,SUBSTITUTE($A109," SS","  SS")),"NA"))</f>
        <v>0.706854510972636</v>
      </c>
      <c r="F109" s="81" t="n">
        <f aca="false">IF(COUNTIFS('Bad Bins'!$A$2:$A$3000,$K$2,'Bad Bins'!$B$2:$B$3000,$A109)&gt;0,SUMIFS('Bad Bins'!$K$2:$K$3000,'Bad Bins'!$A$2:$A$3000,$K$2,'Bad Bins'!$B$2:$B$3000,$A109),IF(COUNTIFS('Bad Bins'!$A$2:$A$3000,$K$2,'Bad Bins'!$B$2:$B$3000,SUBSTITUTE($A109," SS","  SS"))&gt;0,SUMIFS('Bad Bins'!$K$2:$K$3000,'Bad Bins'!$A$2:$A$3000,$K$2,'Bad Bins'!$B$2:$B$3000,SUBSTITUTE($A109," SS","  SS")),"NA"))</f>
        <v>271</v>
      </c>
      <c r="G109" s="81" t="str">
        <f aca="false">IF(COUNTIFS('RSTO &gt; 48hrs'!$A$2:$A$3000,$K$2,'RSTO &gt; 48hrs'!$B$2:$B$3000,$A109)&gt;0,SUMIFS('RSTO &gt; 48hrs'!$H$2:$H$3000,'RSTO &gt; 48hrs'!$A$2:$A$3000,$K$2,'RSTO &gt; 48hrs'!$B$2:$B$3000,$A109),IF(COUNTIFS('RSTO &gt; 48hrs'!$A$2:$A$3000,$K$2,'RSTO &gt; 48hrs'!$B$2:$B$3000,SUBSTITUTE($A109," SS","  SS"))&gt;0,SUMIFS('RSTO &gt; 48hrs'!$H$2:$H$3000,'RSTO &gt; 48hrs'!$A$2:$A$3000,$K$2,'RSTO &gt; 48hrs'!$B$2:$B$3000,SUBSTITUTE($A109," SS","  SS")),"NA"))</f>
        <v>NA</v>
      </c>
      <c r="H109" s="81" t="n">
        <f aca="false">IF(COUNTIFS('Recirculation &gt; 24 hrs'!$A$2:$A$3000,$K$2,'Recirculation &gt; 24 hrs'!$B$2:$B$3000,$A109)&gt;0,SUMIFS('Recirculation &gt; 24 hrs'!$K$2:$K$3000,'Recirculation &gt; 24 hrs'!$A$2:$A$3000,$K$2,'Recirculation &gt; 24 hrs'!$B$2:$B$3000,$A109),IF(COUNTIFS('Recirculation &gt; 24 hrs'!$A$2:$A$3000,$K$2,'Recirculation &gt; 24 hrs'!$B$2:$B$3000,SUBSTITUTE($A109," SS","  SS"))&gt;0,SUMIFS('Recirculation &gt; 24 hrs'!$K$2:$K$3000,'Recirculation &gt; 24 hrs'!$A$2:$A$3000,$K$2,'Recirculation &gt; 24 hrs'!$B$2:$B$3000,SUBSTITUTE($A109," SS","  SS")),"NA"))</f>
        <v>303</v>
      </c>
      <c r="I109" s="81" t="n">
        <f aca="false">IF(COUNTIFS('Pending Putaway'!$A$2:$A$3000,$K$2,'Pending Putaway'!$B$2:$B$3000,$A109)&gt;0,SUMIFS('Pending Putaway'!$E$2:$E$3000,'Pending Putaway'!$A$2:$A$3000,$K$2,'Pending Putaway'!$B$2:$B$3000,$A109),IF(COUNTIFS('Pending Putaway'!$A$2:$A$3000,$K$2,'Pending Putaway'!$B$2:$B$3000,SUBSTITUTE($A109," SS","  SS"))&gt;0,SUMIFS('Pending Putaway'!$E$2:$E$3000,'Pending Putaway'!$A$2:$A$3000,$K$2,'Pending Putaway'!$B$2:$B$3000,SUBSTITUTE($A109," SS","  SS")),"NA"))</f>
        <v>3051</v>
      </c>
      <c r="J109" s="81" t="n">
        <f aca="false">IF(COUNTIFS('Pending Putaway'!$A$2:$A$3000,$K$2,'Pending Putaway'!$B$2:$B$3000,$A109)&gt;0,SUMIFS('Pending Putaway'!$L$2:$L$3000,'Pending Putaway'!$A$2:$A$3000,$K$2,'Pending Putaway'!$B$2:$B$3000,$A109),IF(COUNTIFS('Pending Putaway'!$A$2:$A$3000,$K$2,'Pending Putaway'!$B$2:$B$3000,SUBSTITUTE($A109," SS","  SS"))&gt;0,SUMIFS('Pending Putaway'!$L$2:$L$3000,'Pending Putaway'!$A$2:$A$3000,$K$2,'Pending Putaway'!$B$2:$B$3000,SUBSTITUTE($A109," SS","  SS")),"NA"))</f>
        <v>51</v>
      </c>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row>
    <row r="110" customFormat="false" ht="15.75" hidden="false" customHeight="true" outlineLevel="0" collapsed="false">
      <c r="A110" s="81" t="s">
        <v>259</v>
      </c>
      <c r="B110" s="81" t="str">
        <f aca="false" t="array" ref="B110:B110">IFERROR(INDEX('CLM &amp; IM Mapping'!$B$2:$B$270,MATCH($A110,'CLM &amp; IM Mapping'!$A$2:$A$270,0)),"Not Mapped")</f>
        <v>Raghavendra Vernekar</v>
      </c>
      <c r="C110" s="81" t="str">
        <f aca="false" t="array" ref="C110:C110">IFERROR(INDEX('CLM &amp; IM Mapping'!$C$2:$C$270,MATCH($A110,'CLM &amp; IM Mapping'!$A$2:$A$270,0)),"Not Mapped")</f>
        <v>Prakash BS</v>
      </c>
      <c r="D110" s="82" t="n">
        <f aca="false">IF(COUNTIFS(Shrinkage!$A$2:$A$3000,$K$2,Shrinkage!$D$2:$D$3000,$A110)&gt;0,SUMIFS(Shrinkage!$P$2:$P$3000,Shrinkage!$A$2:$A$3000,$K$2,Shrinkage!$D$2:$D$3000,$A110),IF(COUNTIFS(Shrinkage!$A$2:$A$3000,$K$2,Shrinkage!$D$2:$D$3000,SUBSTITUTE($A110," SS","  SS"))&gt;0,SUMIFS(Shrinkage!$P$2:$P$3000,Shrinkage!$A$2:$A$3000,$K$2,Shrinkage!$D$2:$D$3000,SUBSTITUTE($A110," SS","  SS")),"NA"))</f>
        <v>7057</v>
      </c>
      <c r="E110" s="83" t="n">
        <f aca="false">IF(COUNTIFS('Inventory Hygiene'!$A$2:$A$3000,$K$2,'Inventory Hygiene'!$B$2:$B$3000,$A110)&gt;0,AVERAGEIFS('Inventory Hygiene'!$J$2:$J$3000,'Inventory Hygiene'!$A$2:$A$3000,$K$2,'Inventory Hygiene'!$B$2:$B$3000,$A110),IF(COUNTIFS('Inventory Hygiene'!$A$2:$A$3000,$K$2,'Inventory Hygiene'!$B$2:$B$3000,SUBSTITUTE($A110," SS","  SS"))&gt;0,AVERAGEIFS('Inventory Hygiene'!$J$2:$J$3000,'Inventory Hygiene'!$A$2:$A$3000,$K$2,'Inventory Hygiene'!$B$2:$B$3000,SUBSTITUTE($A110," SS","  SS")),"NA"))</f>
        <v>0.829874928936896</v>
      </c>
      <c r="F110" s="81" t="n">
        <f aca="false">IF(COUNTIFS('Bad Bins'!$A$2:$A$3000,$K$2,'Bad Bins'!$B$2:$B$3000,$A110)&gt;0,SUMIFS('Bad Bins'!$K$2:$K$3000,'Bad Bins'!$A$2:$A$3000,$K$2,'Bad Bins'!$B$2:$B$3000,$A110),IF(COUNTIFS('Bad Bins'!$A$2:$A$3000,$K$2,'Bad Bins'!$B$2:$B$3000,SUBSTITUTE($A110," SS","  SS"))&gt;0,SUMIFS('Bad Bins'!$K$2:$K$3000,'Bad Bins'!$A$2:$A$3000,$K$2,'Bad Bins'!$B$2:$B$3000,SUBSTITUTE($A110," SS","  SS")),"NA"))</f>
        <v>57</v>
      </c>
      <c r="G110" s="81" t="str">
        <f aca="false">IF(COUNTIFS('RSTO &gt; 48hrs'!$A$2:$A$3000,$K$2,'RSTO &gt; 48hrs'!$B$2:$B$3000,$A110)&gt;0,SUMIFS('RSTO &gt; 48hrs'!$H$2:$H$3000,'RSTO &gt; 48hrs'!$A$2:$A$3000,$K$2,'RSTO &gt; 48hrs'!$B$2:$B$3000,$A110),IF(COUNTIFS('RSTO &gt; 48hrs'!$A$2:$A$3000,$K$2,'RSTO &gt; 48hrs'!$B$2:$B$3000,SUBSTITUTE($A110," SS","  SS"))&gt;0,SUMIFS('RSTO &gt; 48hrs'!$H$2:$H$3000,'RSTO &gt; 48hrs'!$A$2:$A$3000,$K$2,'RSTO &gt; 48hrs'!$B$2:$B$3000,SUBSTITUTE($A110," SS","  SS")),"NA"))</f>
        <v>NA</v>
      </c>
      <c r="H110" s="81" t="n">
        <f aca="false">IF(COUNTIFS('Recirculation &gt; 24 hrs'!$A$2:$A$3000,$K$2,'Recirculation &gt; 24 hrs'!$B$2:$B$3000,$A110)&gt;0,SUMIFS('Recirculation &gt; 24 hrs'!$K$2:$K$3000,'Recirculation &gt; 24 hrs'!$A$2:$A$3000,$K$2,'Recirculation &gt; 24 hrs'!$B$2:$B$3000,$A110),IF(COUNTIFS('Recirculation &gt; 24 hrs'!$A$2:$A$3000,$K$2,'Recirculation &gt; 24 hrs'!$B$2:$B$3000,SUBSTITUTE($A110," SS","  SS"))&gt;0,SUMIFS('Recirculation &gt; 24 hrs'!$K$2:$K$3000,'Recirculation &gt; 24 hrs'!$A$2:$A$3000,$K$2,'Recirculation &gt; 24 hrs'!$B$2:$B$3000,SUBSTITUTE($A110," SS","  SS")),"NA"))</f>
        <v>768</v>
      </c>
      <c r="I110" s="81" t="n">
        <f aca="false">IF(COUNTIFS('Pending Putaway'!$A$2:$A$3000,$K$2,'Pending Putaway'!$B$2:$B$3000,$A110)&gt;0,SUMIFS('Pending Putaway'!$E$2:$E$3000,'Pending Putaway'!$A$2:$A$3000,$K$2,'Pending Putaway'!$B$2:$B$3000,$A110),IF(COUNTIFS('Pending Putaway'!$A$2:$A$3000,$K$2,'Pending Putaway'!$B$2:$B$3000,SUBSTITUTE($A110," SS","  SS"))&gt;0,SUMIFS('Pending Putaway'!$E$2:$E$3000,'Pending Putaway'!$A$2:$A$3000,$K$2,'Pending Putaway'!$B$2:$B$3000,SUBSTITUTE($A110," SS","  SS")),"NA"))</f>
        <v>932</v>
      </c>
      <c r="J110" s="81" t="n">
        <f aca="false">IF(COUNTIFS('Pending Putaway'!$A$2:$A$3000,$K$2,'Pending Putaway'!$B$2:$B$3000,$A110)&gt;0,SUMIFS('Pending Putaway'!$L$2:$L$3000,'Pending Putaway'!$A$2:$A$3000,$K$2,'Pending Putaway'!$B$2:$B$3000,$A110),IF(COUNTIFS('Pending Putaway'!$A$2:$A$3000,$K$2,'Pending Putaway'!$B$2:$B$3000,SUBSTITUTE($A110," SS","  SS"))&gt;0,SUMIFS('Pending Putaway'!$L$2:$L$3000,'Pending Putaway'!$A$2:$A$3000,$K$2,'Pending Putaway'!$B$2:$B$3000,SUBSTITUTE($A110," SS","  SS")),"NA"))</f>
        <v>0</v>
      </c>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row>
    <row r="111" customFormat="false" ht="15.75" hidden="false" customHeight="true" outlineLevel="0" collapsed="false">
      <c r="A111" s="81" t="s">
        <v>684</v>
      </c>
      <c r="B111" s="81" t="str">
        <f aca="false" t="array" ref="B111:B111">IFERROR(INDEX('CLM &amp; IM Mapping'!$B$2:$B$270,MATCH($A111,'CLM &amp; IM Mapping'!$A$2:$A$270,0)),"Not Mapped")</f>
        <v>Raghavendra Vernekar</v>
      </c>
      <c r="C111" s="81" t="str">
        <f aca="false" t="array" ref="C111:C111">IFERROR(INDEX('CLM &amp; IM Mapping'!$C$2:$C$270,MATCH($A111,'CLM &amp; IM Mapping'!$A$2:$A$270,0)),"Not Mapped")</f>
        <v>Prakash BS</v>
      </c>
      <c r="D111" s="82" t="n">
        <f aca="false">IF(COUNTIFS(Shrinkage!$A$2:$A$3000,$K$2,Shrinkage!$D$2:$D$3000,$A111)&gt;0,SUMIFS(Shrinkage!$P$2:$P$3000,Shrinkage!$A$2:$A$3000,$K$2,Shrinkage!$D$2:$D$3000,$A111),IF(COUNTIFS(Shrinkage!$A$2:$A$3000,$K$2,Shrinkage!$D$2:$D$3000,SUBSTITUTE($A111," SS","  SS"))&gt;0,SUMIFS(Shrinkage!$P$2:$P$3000,Shrinkage!$A$2:$A$3000,$K$2,Shrinkage!$D$2:$D$3000,SUBSTITUTE($A111," SS","  SS")),"NA"))</f>
        <v>39225</v>
      </c>
      <c r="E111" s="83" t="n">
        <f aca="false">IF(COUNTIFS('Inventory Hygiene'!$A$2:$A$3000,$K$2,'Inventory Hygiene'!$B$2:$B$3000,$A111)&gt;0,AVERAGEIFS('Inventory Hygiene'!$J$2:$J$3000,'Inventory Hygiene'!$A$2:$A$3000,$K$2,'Inventory Hygiene'!$B$2:$B$3000,$A111),IF(COUNTIFS('Inventory Hygiene'!$A$2:$A$3000,$K$2,'Inventory Hygiene'!$B$2:$B$3000,SUBSTITUTE($A111," SS","  SS"))&gt;0,AVERAGEIFS('Inventory Hygiene'!$J$2:$J$3000,'Inventory Hygiene'!$A$2:$A$3000,$K$2,'Inventory Hygiene'!$B$2:$B$3000,SUBSTITUTE($A111," SS","  SS")),"NA"))</f>
        <v>0.331359885181198</v>
      </c>
      <c r="F111" s="81" t="n">
        <f aca="false">IF(COUNTIFS('Bad Bins'!$A$2:$A$3000,$K$2,'Bad Bins'!$B$2:$B$3000,$A111)&gt;0,SUMIFS('Bad Bins'!$K$2:$K$3000,'Bad Bins'!$A$2:$A$3000,$K$2,'Bad Bins'!$B$2:$B$3000,$A111),IF(COUNTIFS('Bad Bins'!$A$2:$A$3000,$K$2,'Bad Bins'!$B$2:$B$3000,SUBSTITUTE($A111," SS","  SS"))&gt;0,SUMIFS('Bad Bins'!$K$2:$K$3000,'Bad Bins'!$A$2:$A$3000,$K$2,'Bad Bins'!$B$2:$B$3000,SUBSTITUTE($A111," SS","  SS")),"NA"))</f>
        <v>125</v>
      </c>
      <c r="G111" s="81" t="str">
        <f aca="false">IF(COUNTIFS('RSTO &gt; 48hrs'!$A$2:$A$3000,$K$2,'RSTO &gt; 48hrs'!$B$2:$B$3000,$A111)&gt;0,SUMIFS('RSTO &gt; 48hrs'!$H$2:$H$3000,'RSTO &gt; 48hrs'!$A$2:$A$3000,$K$2,'RSTO &gt; 48hrs'!$B$2:$B$3000,$A111),IF(COUNTIFS('RSTO &gt; 48hrs'!$A$2:$A$3000,$K$2,'RSTO &gt; 48hrs'!$B$2:$B$3000,SUBSTITUTE($A111," SS","  SS"))&gt;0,SUMIFS('RSTO &gt; 48hrs'!$H$2:$H$3000,'RSTO &gt; 48hrs'!$A$2:$A$3000,$K$2,'RSTO &gt; 48hrs'!$B$2:$B$3000,SUBSTITUTE($A111," SS","  SS")),"NA"))</f>
        <v>NA</v>
      </c>
      <c r="H111" s="81" t="str">
        <f aca="false">IF(COUNTIFS('Recirculation &gt; 24 hrs'!$A$2:$A$3000,$K$2,'Recirculation &gt; 24 hrs'!$B$2:$B$3000,$A111)&gt;0,SUMIFS('Recirculation &gt; 24 hrs'!$K$2:$K$3000,'Recirculation &gt; 24 hrs'!$A$2:$A$3000,$K$2,'Recirculation &gt; 24 hrs'!$B$2:$B$3000,$A111),IF(COUNTIFS('Recirculation &gt; 24 hrs'!$A$2:$A$3000,$K$2,'Recirculation &gt; 24 hrs'!$B$2:$B$3000,SUBSTITUTE($A111," SS","  SS"))&gt;0,SUMIFS('Recirculation &gt; 24 hrs'!$K$2:$K$3000,'Recirculation &gt; 24 hrs'!$A$2:$A$3000,$K$2,'Recirculation &gt; 24 hrs'!$B$2:$B$3000,SUBSTITUTE($A111," SS","  SS")),"NA"))</f>
        <v>NA</v>
      </c>
      <c r="I111" s="81" t="n">
        <f aca="false">IF(COUNTIFS('Pending Putaway'!$A$2:$A$3000,$K$2,'Pending Putaway'!$B$2:$B$3000,$A111)&gt;0,SUMIFS('Pending Putaway'!$E$2:$E$3000,'Pending Putaway'!$A$2:$A$3000,$K$2,'Pending Putaway'!$B$2:$B$3000,$A111),IF(COUNTIFS('Pending Putaway'!$A$2:$A$3000,$K$2,'Pending Putaway'!$B$2:$B$3000,SUBSTITUTE($A111," SS","  SS"))&gt;0,SUMIFS('Pending Putaway'!$E$2:$E$3000,'Pending Putaway'!$A$2:$A$3000,$K$2,'Pending Putaway'!$B$2:$B$3000,SUBSTITUTE($A111," SS","  SS")),"NA"))</f>
        <v>2223</v>
      </c>
      <c r="J111" s="81" t="n">
        <f aca="false">IF(COUNTIFS('Pending Putaway'!$A$2:$A$3000,$K$2,'Pending Putaway'!$B$2:$B$3000,$A111)&gt;0,SUMIFS('Pending Putaway'!$L$2:$L$3000,'Pending Putaway'!$A$2:$A$3000,$K$2,'Pending Putaway'!$B$2:$B$3000,$A111),IF(COUNTIFS('Pending Putaway'!$A$2:$A$3000,$K$2,'Pending Putaway'!$B$2:$B$3000,SUBSTITUTE($A111," SS","  SS"))&gt;0,SUMIFS('Pending Putaway'!$L$2:$L$3000,'Pending Putaway'!$A$2:$A$3000,$K$2,'Pending Putaway'!$B$2:$B$3000,SUBSTITUTE($A111," SS","  SS")),"NA"))</f>
        <v>16</v>
      </c>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row>
    <row r="112" customFormat="false" ht="15.75" hidden="false" customHeight="true" outlineLevel="0" collapsed="false">
      <c r="A112" s="81" t="s">
        <v>352</v>
      </c>
      <c r="B112" s="81" t="str">
        <f aca="false" t="array" ref="B112:B112">IFERROR(INDEX('CLM &amp; IM Mapping'!$B$2:$B$270,MATCH($A112,'CLM &amp; IM Mapping'!$A$2:$A$270,0)),"Not Mapped")</f>
        <v>Raghavendra Vernekar</v>
      </c>
      <c r="C112" s="81" t="str">
        <f aca="false" t="array" ref="C112:C112">IFERROR(INDEX('CLM &amp; IM Mapping'!$C$2:$C$270,MATCH($A112,'CLM &amp; IM Mapping'!$A$2:$A$270,0)),"Not Mapped")</f>
        <v>Prakash BS</v>
      </c>
      <c r="D112" s="82" t="n">
        <f aca="false">IF(COUNTIFS(Shrinkage!$A$2:$A$3000,$K$2,Shrinkage!$D$2:$D$3000,$A112)&gt;0,SUMIFS(Shrinkage!$P$2:$P$3000,Shrinkage!$A$2:$A$3000,$K$2,Shrinkage!$D$2:$D$3000,$A112),IF(COUNTIFS(Shrinkage!$A$2:$A$3000,$K$2,Shrinkage!$D$2:$D$3000,SUBSTITUTE($A112," SS","  SS"))&gt;0,SUMIFS(Shrinkage!$P$2:$P$3000,Shrinkage!$A$2:$A$3000,$K$2,Shrinkage!$D$2:$D$3000,SUBSTITUTE($A112," SS","  SS")),"NA"))</f>
        <v>1982</v>
      </c>
      <c r="E112" s="83" t="n">
        <f aca="false">IF(COUNTIFS('Inventory Hygiene'!$A$2:$A$3000,$K$2,'Inventory Hygiene'!$B$2:$B$3000,$A112)&gt;0,AVERAGEIFS('Inventory Hygiene'!$J$2:$J$3000,'Inventory Hygiene'!$A$2:$A$3000,$K$2,'Inventory Hygiene'!$B$2:$B$3000,$A112),IF(COUNTIFS('Inventory Hygiene'!$A$2:$A$3000,$K$2,'Inventory Hygiene'!$B$2:$B$3000,SUBSTITUTE($A112," SS","  SS"))&gt;0,AVERAGEIFS('Inventory Hygiene'!$J$2:$J$3000,'Inventory Hygiene'!$A$2:$A$3000,$K$2,'Inventory Hygiene'!$B$2:$B$3000,SUBSTITUTE($A112," SS","  SS")),"NA"))</f>
        <v>0.737787857641312</v>
      </c>
      <c r="F112" s="81" t="n">
        <f aca="false">IF(COUNTIFS('Bad Bins'!$A$2:$A$3000,$K$2,'Bad Bins'!$B$2:$B$3000,$A112)&gt;0,SUMIFS('Bad Bins'!$K$2:$K$3000,'Bad Bins'!$A$2:$A$3000,$K$2,'Bad Bins'!$B$2:$B$3000,$A112),IF(COUNTIFS('Bad Bins'!$A$2:$A$3000,$K$2,'Bad Bins'!$B$2:$B$3000,SUBSTITUTE($A112," SS","  SS"))&gt;0,SUMIFS('Bad Bins'!$K$2:$K$3000,'Bad Bins'!$A$2:$A$3000,$K$2,'Bad Bins'!$B$2:$B$3000,SUBSTITUTE($A112," SS","  SS")),"NA"))</f>
        <v>15</v>
      </c>
      <c r="G112" s="81" t="str">
        <f aca="false">IF(COUNTIFS('RSTO &gt; 48hrs'!$A$2:$A$3000,$K$2,'RSTO &gt; 48hrs'!$B$2:$B$3000,$A112)&gt;0,SUMIFS('RSTO &gt; 48hrs'!$H$2:$H$3000,'RSTO &gt; 48hrs'!$A$2:$A$3000,$K$2,'RSTO &gt; 48hrs'!$B$2:$B$3000,$A112),IF(COUNTIFS('RSTO &gt; 48hrs'!$A$2:$A$3000,$K$2,'RSTO &gt; 48hrs'!$B$2:$B$3000,SUBSTITUTE($A112," SS","  SS"))&gt;0,SUMIFS('RSTO &gt; 48hrs'!$H$2:$H$3000,'RSTO &gt; 48hrs'!$A$2:$A$3000,$K$2,'RSTO &gt; 48hrs'!$B$2:$B$3000,SUBSTITUTE($A112," SS","  SS")),"NA"))</f>
        <v>NA</v>
      </c>
      <c r="H112" s="81" t="str">
        <f aca="false">IF(COUNTIFS('Recirculation &gt; 24 hrs'!$A$2:$A$3000,$K$2,'Recirculation &gt; 24 hrs'!$B$2:$B$3000,$A112)&gt;0,SUMIFS('Recirculation &gt; 24 hrs'!$K$2:$K$3000,'Recirculation &gt; 24 hrs'!$A$2:$A$3000,$K$2,'Recirculation &gt; 24 hrs'!$B$2:$B$3000,$A112),IF(COUNTIFS('Recirculation &gt; 24 hrs'!$A$2:$A$3000,$K$2,'Recirculation &gt; 24 hrs'!$B$2:$B$3000,SUBSTITUTE($A112," SS","  SS"))&gt;0,SUMIFS('Recirculation &gt; 24 hrs'!$K$2:$K$3000,'Recirculation &gt; 24 hrs'!$A$2:$A$3000,$K$2,'Recirculation &gt; 24 hrs'!$B$2:$B$3000,SUBSTITUTE($A112," SS","  SS")),"NA"))</f>
        <v>NA</v>
      </c>
      <c r="I112" s="81" t="n">
        <f aca="false">IF(COUNTIFS('Pending Putaway'!$A$2:$A$3000,$K$2,'Pending Putaway'!$B$2:$B$3000,$A112)&gt;0,SUMIFS('Pending Putaway'!$E$2:$E$3000,'Pending Putaway'!$A$2:$A$3000,$K$2,'Pending Putaway'!$B$2:$B$3000,$A112),IF(COUNTIFS('Pending Putaway'!$A$2:$A$3000,$K$2,'Pending Putaway'!$B$2:$B$3000,SUBSTITUTE($A112," SS","  SS"))&gt;0,SUMIFS('Pending Putaway'!$E$2:$E$3000,'Pending Putaway'!$A$2:$A$3000,$K$2,'Pending Putaway'!$B$2:$B$3000,SUBSTITUTE($A112," SS","  SS")),"NA"))</f>
        <v>0</v>
      </c>
      <c r="J112" s="81" t="n">
        <f aca="false">IF(COUNTIFS('Pending Putaway'!$A$2:$A$3000,$K$2,'Pending Putaway'!$B$2:$B$3000,$A112)&gt;0,SUMIFS('Pending Putaway'!$L$2:$L$3000,'Pending Putaway'!$A$2:$A$3000,$K$2,'Pending Putaway'!$B$2:$B$3000,$A112),IF(COUNTIFS('Pending Putaway'!$A$2:$A$3000,$K$2,'Pending Putaway'!$B$2:$B$3000,SUBSTITUTE($A112," SS","  SS"))&gt;0,SUMIFS('Pending Putaway'!$L$2:$L$3000,'Pending Putaway'!$A$2:$A$3000,$K$2,'Pending Putaway'!$B$2:$B$3000,SUBSTITUTE($A112," SS","  SS")),"NA"))</f>
        <v>0</v>
      </c>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row>
    <row r="113" customFormat="false" ht="15.75" hidden="false" customHeight="true" outlineLevel="0" collapsed="false">
      <c r="A113" s="81" t="s">
        <v>97</v>
      </c>
      <c r="B113" s="81" t="str">
        <f aca="false" t="array" ref="B113:B113">IFERROR(INDEX('CLM &amp; IM Mapping'!$B$2:$B$270,MATCH($A113,'CLM &amp; IM Mapping'!$A$2:$A$270,0)),"Not Mapped")</f>
        <v>Raghavendra Vernekar</v>
      </c>
      <c r="C113" s="81" t="str">
        <f aca="false" t="array" ref="C113:C113">IFERROR(INDEX('CLM &amp; IM Mapping'!$C$2:$C$270,MATCH($A113,'CLM &amp; IM Mapping'!$A$2:$A$270,0)),"Not Mapped")</f>
        <v>Prakash BS</v>
      </c>
      <c r="D113" s="82" t="n">
        <f aca="false">IF(COUNTIFS(Shrinkage!$A$2:$A$3000,$K$2,Shrinkage!$D$2:$D$3000,$A113)&gt;0,SUMIFS(Shrinkage!$P$2:$P$3000,Shrinkage!$A$2:$A$3000,$K$2,Shrinkage!$D$2:$D$3000,$A113),IF(COUNTIFS(Shrinkage!$A$2:$A$3000,$K$2,Shrinkage!$D$2:$D$3000,SUBSTITUTE($A113," SS","  SS"))&gt;0,SUMIFS(Shrinkage!$P$2:$P$3000,Shrinkage!$A$2:$A$3000,$K$2,Shrinkage!$D$2:$D$3000,SUBSTITUTE($A113," SS","  SS")),"NA"))</f>
        <v>85974</v>
      </c>
      <c r="E113" s="83" t="n">
        <f aca="false">IF(COUNTIFS('Inventory Hygiene'!$A$2:$A$3000,$K$2,'Inventory Hygiene'!$B$2:$B$3000,$A113)&gt;0,AVERAGEIFS('Inventory Hygiene'!$J$2:$J$3000,'Inventory Hygiene'!$A$2:$A$3000,$K$2,'Inventory Hygiene'!$B$2:$B$3000,$A113),IF(COUNTIFS('Inventory Hygiene'!$A$2:$A$3000,$K$2,'Inventory Hygiene'!$B$2:$B$3000,SUBSTITUTE($A113," SS","  SS"))&gt;0,AVERAGEIFS('Inventory Hygiene'!$J$2:$J$3000,'Inventory Hygiene'!$A$2:$A$3000,$K$2,'Inventory Hygiene'!$B$2:$B$3000,SUBSTITUTE($A113," SS","  SS")),"NA"))</f>
        <v>0.627320954907162</v>
      </c>
      <c r="F113" s="81" t="n">
        <f aca="false">IF(COUNTIFS('Bad Bins'!$A$2:$A$3000,$K$2,'Bad Bins'!$B$2:$B$3000,$A113)&gt;0,SUMIFS('Bad Bins'!$K$2:$K$3000,'Bad Bins'!$A$2:$A$3000,$K$2,'Bad Bins'!$B$2:$B$3000,$A113),IF(COUNTIFS('Bad Bins'!$A$2:$A$3000,$K$2,'Bad Bins'!$B$2:$B$3000,SUBSTITUTE($A113," SS","  SS"))&gt;0,SUMIFS('Bad Bins'!$K$2:$K$3000,'Bad Bins'!$A$2:$A$3000,$K$2,'Bad Bins'!$B$2:$B$3000,SUBSTITUTE($A113," SS","  SS")),"NA"))</f>
        <v>41</v>
      </c>
      <c r="G113" s="81" t="str">
        <f aca="false">IF(COUNTIFS('RSTO &gt; 48hrs'!$A$2:$A$3000,$K$2,'RSTO &gt; 48hrs'!$B$2:$B$3000,$A113)&gt;0,SUMIFS('RSTO &gt; 48hrs'!$H$2:$H$3000,'RSTO &gt; 48hrs'!$A$2:$A$3000,$K$2,'RSTO &gt; 48hrs'!$B$2:$B$3000,$A113),IF(COUNTIFS('RSTO &gt; 48hrs'!$A$2:$A$3000,$K$2,'RSTO &gt; 48hrs'!$B$2:$B$3000,SUBSTITUTE($A113," SS","  SS"))&gt;0,SUMIFS('RSTO &gt; 48hrs'!$H$2:$H$3000,'RSTO &gt; 48hrs'!$A$2:$A$3000,$K$2,'RSTO &gt; 48hrs'!$B$2:$B$3000,SUBSTITUTE($A113," SS","  SS")),"NA"))</f>
        <v>NA</v>
      </c>
      <c r="H113" s="81" t="str">
        <f aca="false">IF(COUNTIFS('Recirculation &gt; 24 hrs'!$A$2:$A$3000,$K$2,'Recirculation &gt; 24 hrs'!$B$2:$B$3000,$A113)&gt;0,SUMIFS('Recirculation &gt; 24 hrs'!$K$2:$K$3000,'Recirculation &gt; 24 hrs'!$A$2:$A$3000,$K$2,'Recirculation &gt; 24 hrs'!$B$2:$B$3000,$A113),IF(COUNTIFS('Recirculation &gt; 24 hrs'!$A$2:$A$3000,$K$2,'Recirculation &gt; 24 hrs'!$B$2:$B$3000,SUBSTITUTE($A113," SS","  SS"))&gt;0,SUMIFS('Recirculation &gt; 24 hrs'!$K$2:$K$3000,'Recirculation &gt; 24 hrs'!$A$2:$A$3000,$K$2,'Recirculation &gt; 24 hrs'!$B$2:$B$3000,SUBSTITUTE($A113," SS","  SS")),"NA"))</f>
        <v>NA</v>
      </c>
      <c r="I113" s="81" t="n">
        <f aca="false">IF(COUNTIFS('Pending Putaway'!$A$2:$A$3000,$K$2,'Pending Putaway'!$B$2:$B$3000,$A113)&gt;0,SUMIFS('Pending Putaway'!$E$2:$E$3000,'Pending Putaway'!$A$2:$A$3000,$K$2,'Pending Putaway'!$B$2:$B$3000,$A113),IF(COUNTIFS('Pending Putaway'!$A$2:$A$3000,$K$2,'Pending Putaway'!$B$2:$B$3000,SUBSTITUTE($A113," SS","  SS"))&gt;0,SUMIFS('Pending Putaway'!$E$2:$E$3000,'Pending Putaway'!$A$2:$A$3000,$K$2,'Pending Putaway'!$B$2:$B$3000,SUBSTITUTE($A113," SS","  SS")),"NA"))</f>
        <v>1168</v>
      </c>
      <c r="J113" s="81" t="n">
        <f aca="false">IF(COUNTIFS('Pending Putaway'!$A$2:$A$3000,$K$2,'Pending Putaway'!$B$2:$B$3000,$A113)&gt;0,SUMIFS('Pending Putaway'!$L$2:$L$3000,'Pending Putaway'!$A$2:$A$3000,$K$2,'Pending Putaway'!$B$2:$B$3000,$A113),IF(COUNTIFS('Pending Putaway'!$A$2:$A$3000,$K$2,'Pending Putaway'!$B$2:$B$3000,SUBSTITUTE($A113," SS","  SS"))&gt;0,SUMIFS('Pending Putaway'!$L$2:$L$3000,'Pending Putaway'!$A$2:$A$3000,$K$2,'Pending Putaway'!$B$2:$B$3000,SUBSTITUTE($A113," SS","  SS")),"NA"))</f>
        <v>26</v>
      </c>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row>
    <row r="114" customFormat="false" ht="15.75" hidden="false" customHeight="true" outlineLevel="0" collapsed="false">
      <c r="A114" s="81" t="s">
        <v>365</v>
      </c>
      <c r="B114" s="81" t="str">
        <f aca="false" t="array" ref="B114:B114">IFERROR(INDEX('CLM &amp; IM Mapping'!$B$2:$B$270,MATCH($A114,'CLM &amp; IM Mapping'!$A$2:$A$270,0)),"Not Mapped")</f>
        <v>Raghavendra Vernekar</v>
      </c>
      <c r="C114" s="81" t="str">
        <f aca="false" t="array" ref="C114:C114">IFERROR(INDEX('CLM &amp; IM Mapping'!$C$2:$C$270,MATCH($A114,'CLM &amp; IM Mapping'!$A$2:$A$270,0)),"Not Mapped")</f>
        <v>Prakash BS</v>
      </c>
      <c r="D114" s="82" t="n">
        <f aca="false">IF(COUNTIFS(Shrinkage!$A$2:$A$3000,$K$2,Shrinkage!$D$2:$D$3000,$A114)&gt;0,SUMIFS(Shrinkage!$P$2:$P$3000,Shrinkage!$A$2:$A$3000,$K$2,Shrinkage!$D$2:$D$3000,$A114),IF(COUNTIFS(Shrinkage!$A$2:$A$3000,$K$2,Shrinkage!$D$2:$D$3000,SUBSTITUTE($A114," SS","  SS"))&gt;0,SUMIFS(Shrinkage!$P$2:$P$3000,Shrinkage!$A$2:$A$3000,$K$2,Shrinkage!$D$2:$D$3000,SUBSTITUTE($A114," SS","  SS")),"NA"))</f>
        <v>0</v>
      </c>
      <c r="E114" s="83" t="str">
        <f aca="false">IF(COUNTIFS('Inventory Hygiene'!$A$2:$A$3000,$K$2,'Inventory Hygiene'!$B$2:$B$3000,$A114)&gt;0,AVERAGEIFS('Inventory Hygiene'!$J$2:$J$3000,'Inventory Hygiene'!$A$2:$A$3000,$K$2,'Inventory Hygiene'!$B$2:$B$3000,$A114),IF(COUNTIFS('Inventory Hygiene'!$A$2:$A$3000,$K$2,'Inventory Hygiene'!$B$2:$B$3000,SUBSTITUTE($A114," SS","  SS"))&gt;0,AVERAGEIFS('Inventory Hygiene'!$J$2:$J$3000,'Inventory Hygiene'!$A$2:$A$3000,$K$2,'Inventory Hygiene'!$B$2:$B$3000,SUBSTITUTE($A114," SS","  SS")),"NA"))</f>
        <v>NA</v>
      </c>
      <c r="F114" s="81" t="str">
        <f aca="false">IF(COUNTIFS('Bad Bins'!$A$2:$A$3000,$K$2,'Bad Bins'!$B$2:$B$3000,$A114)&gt;0,SUMIFS('Bad Bins'!$K$2:$K$3000,'Bad Bins'!$A$2:$A$3000,$K$2,'Bad Bins'!$B$2:$B$3000,$A114),IF(COUNTIFS('Bad Bins'!$A$2:$A$3000,$K$2,'Bad Bins'!$B$2:$B$3000,SUBSTITUTE($A114," SS","  SS"))&gt;0,SUMIFS('Bad Bins'!$K$2:$K$3000,'Bad Bins'!$A$2:$A$3000,$K$2,'Bad Bins'!$B$2:$B$3000,SUBSTITUTE($A114," SS","  SS")),"NA"))</f>
        <v>NA</v>
      </c>
      <c r="G114" s="81" t="str">
        <f aca="false">IF(COUNTIFS('RSTO &gt; 48hrs'!$A$2:$A$3000,$K$2,'RSTO &gt; 48hrs'!$B$2:$B$3000,$A114)&gt;0,SUMIFS('RSTO &gt; 48hrs'!$H$2:$H$3000,'RSTO &gt; 48hrs'!$A$2:$A$3000,$K$2,'RSTO &gt; 48hrs'!$B$2:$B$3000,$A114),IF(COUNTIFS('RSTO &gt; 48hrs'!$A$2:$A$3000,$K$2,'RSTO &gt; 48hrs'!$B$2:$B$3000,SUBSTITUTE($A114," SS","  SS"))&gt;0,SUMIFS('RSTO &gt; 48hrs'!$H$2:$H$3000,'RSTO &gt; 48hrs'!$A$2:$A$3000,$K$2,'RSTO &gt; 48hrs'!$B$2:$B$3000,SUBSTITUTE($A114," SS","  SS")),"NA"))</f>
        <v>NA</v>
      </c>
      <c r="H114" s="81" t="n">
        <f aca="false">IF(COUNTIFS('Recirculation &gt; 24 hrs'!$A$2:$A$3000,$K$2,'Recirculation &gt; 24 hrs'!$B$2:$B$3000,$A114)&gt;0,SUMIFS('Recirculation &gt; 24 hrs'!$K$2:$K$3000,'Recirculation &gt; 24 hrs'!$A$2:$A$3000,$K$2,'Recirculation &gt; 24 hrs'!$B$2:$B$3000,$A114),IF(COUNTIFS('Recirculation &gt; 24 hrs'!$A$2:$A$3000,$K$2,'Recirculation &gt; 24 hrs'!$B$2:$B$3000,SUBSTITUTE($A114," SS","  SS"))&gt;0,SUMIFS('Recirculation &gt; 24 hrs'!$K$2:$K$3000,'Recirculation &gt; 24 hrs'!$A$2:$A$3000,$K$2,'Recirculation &gt; 24 hrs'!$B$2:$B$3000,SUBSTITUTE($A114," SS","  SS")),"NA"))</f>
        <v>4</v>
      </c>
      <c r="I114" s="81" t="str">
        <f aca="false">IF(COUNTIFS('Pending Putaway'!$A$2:$A$3000,$K$2,'Pending Putaway'!$B$2:$B$3000,$A114)&gt;0,SUMIFS('Pending Putaway'!$E$2:$E$3000,'Pending Putaway'!$A$2:$A$3000,$K$2,'Pending Putaway'!$B$2:$B$3000,$A114),IF(COUNTIFS('Pending Putaway'!$A$2:$A$3000,$K$2,'Pending Putaway'!$B$2:$B$3000,SUBSTITUTE($A114," SS","  SS"))&gt;0,SUMIFS('Pending Putaway'!$E$2:$E$3000,'Pending Putaway'!$A$2:$A$3000,$K$2,'Pending Putaway'!$B$2:$B$3000,SUBSTITUTE($A114," SS","  SS")),"NA"))</f>
        <v>NA</v>
      </c>
      <c r="J114" s="81" t="str">
        <f aca="false">IF(COUNTIFS('Pending Putaway'!$A$2:$A$3000,$K$2,'Pending Putaway'!$B$2:$B$3000,$A114)&gt;0,SUMIFS('Pending Putaway'!$L$2:$L$3000,'Pending Putaway'!$A$2:$A$3000,$K$2,'Pending Putaway'!$B$2:$B$3000,$A114),IF(COUNTIFS('Pending Putaway'!$A$2:$A$3000,$K$2,'Pending Putaway'!$B$2:$B$3000,SUBSTITUTE($A114," SS","  SS"))&gt;0,SUMIFS('Pending Putaway'!$L$2:$L$3000,'Pending Putaway'!$A$2:$A$3000,$K$2,'Pending Putaway'!$B$2:$B$3000,SUBSTITUTE($A114," SS","  SS")),"NA"))</f>
        <v>NA</v>
      </c>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row>
    <row r="115" customFormat="false" ht="15.75" hidden="false" customHeight="true" outlineLevel="0" collapsed="false">
      <c r="A115" s="81" t="s">
        <v>86</v>
      </c>
      <c r="B115" s="81" t="str">
        <f aca="false" t="array" ref="B115:B115">IFERROR(INDEX('CLM &amp; IM Mapping'!$B$2:$B$270,MATCH($A115,'CLM &amp; IM Mapping'!$A$2:$A$270,0)),"Not Mapped")</f>
        <v>Raghavendra Vernekar</v>
      </c>
      <c r="C115" s="81" t="str">
        <f aca="false" t="array" ref="C115:C115">IFERROR(INDEX('CLM &amp; IM Mapping'!$C$2:$C$270,MATCH($A115,'CLM &amp; IM Mapping'!$A$2:$A$270,0)),"Not Mapped")</f>
        <v>Prakash BS</v>
      </c>
      <c r="D115" s="82" t="n">
        <f aca="false">IF(COUNTIFS(Shrinkage!$A$2:$A$3000,$K$2,Shrinkage!$D$2:$D$3000,$A115)&gt;0,SUMIFS(Shrinkage!$P$2:$P$3000,Shrinkage!$A$2:$A$3000,$K$2,Shrinkage!$D$2:$D$3000,$A115),IF(COUNTIFS(Shrinkage!$A$2:$A$3000,$K$2,Shrinkage!$D$2:$D$3000,SUBSTITUTE($A115," SS","  SS"))&gt;0,SUMIFS(Shrinkage!$P$2:$P$3000,Shrinkage!$A$2:$A$3000,$K$2,Shrinkage!$D$2:$D$3000,SUBSTITUTE($A115," SS","  SS")),"NA"))</f>
        <v>21108</v>
      </c>
      <c r="E115" s="83" t="n">
        <f aca="false">IF(COUNTIFS('Inventory Hygiene'!$A$2:$A$3000,$K$2,'Inventory Hygiene'!$B$2:$B$3000,$A115)&gt;0,AVERAGEIFS('Inventory Hygiene'!$J$2:$J$3000,'Inventory Hygiene'!$A$2:$A$3000,$K$2,'Inventory Hygiene'!$B$2:$B$3000,$A115),IF(COUNTIFS('Inventory Hygiene'!$A$2:$A$3000,$K$2,'Inventory Hygiene'!$B$2:$B$3000,SUBSTITUTE($A115," SS","  SS"))&gt;0,AVERAGEIFS('Inventory Hygiene'!$J$2:$J$3000,'Inventory Hygiene'!$A$2:$A$3000,$K$2,'Inventory Hygiene'!$B$2:$B$3000,SUBSTITUTE($A115," SS","  SS")),"NA"))</f>
        <v>0.758665699782451</v>
      </c>
      <c r="F115" s="81" t="n">
        <f aca="false">IF(COUNTIFS('Bad Bins'!$A$2:$A$3000,$K$2,'Bad Bins'!$B$2:$B$3000,$A115)&gt;0,SUMIFS('Bad Bins'!$K$2:$K$3000,'Bad Bins'!$A$2:$A$3000,$K$2,'Bad Bins'!$B$2:$B$3000,$A115),IF(COUNTIFS('Bad Bins'!$A$2:$A$3000,$K$2,'Bad Bins'!$B$2:$B$3000,SUBSTITUTE($A115," SS","  SS"))&gt;0,SUMIFS('Bad Bins'!$K$2:$K$3000,'Bad Bins'!$A$2:$A$3000,$K$2,'Bad Bins'!$B$2:$B$3000,SUBSTITUTE($A115," SS","  SS")),"NA"))</f>
        <v>205</v>
      </c>
      <c r="G115" s="81" t="str">
        <f aca="false">IF(COUNTIFS('RSTO &gt; 48hrs'!$A$2:$A$3000,$K$2,'RSTO &gt; 48hrs'!$B$2:$B$3000,$A115)&gt;0,SUMIFS('RSTO &gt; 48hrs'!$H$2:$H$3000,'RSTO &gt; 48hrs'!$A$2:$A$3000,$K$2,'RSTO &gt; 48hrs'!$B$2:$B$3000,$A115),IF(COUNTIFS('RSTO &gt; 48hrs'!$A$2:$A$3000,$K$2,'RSTO &gt; 48hrs'!$B$2:$B$3000,SUBSTITUTE($A115," SS","  SS"))&gt;0,SUMIFS('RSTO &gt; 48hrs'!$H$2:$H$3000,'RSTO &gt; 48hrs'!$A$2:$A$3000,$K$2,'RSTO &gt; 48hrs'!$B$2:$B$3000,SUBSTITUTE($A115," SS","  SS")),"NA"))</f>
        <v>NA</v>
      </c>
      <c r="H115" s="81" t="str">
        <f aca="false">IF(COUNTIFS('Recirculation &gt; 24 hrs'!$A$2:$A$3000,$K$2,'Recirculation &gt; 24 hrs'!$B$2:$B$3000,$A115)&gt;0,SUMIFS('Recirculation &gt; 24 hrs'!$K$2:$K$3000,'Recirculation &gt; 24 hrs'!$A$2:$A$3000,$K$2,'Recirculation &gt; 24 hrs'!$B$2:$B$3000,$A115),IF(COUNTIFS('Recirculation &gt; 24 hrs'!$A$2:$A$3000,$K$2,'Recirculation &gt; 24 hrs'!$B$2:$B$3000,SUBSTITUTE($A115," SS","  SS"))&gt;0,SUMIFS('Recirculation &gt; 24 hrs'!$K$2:$K$3000,'Recirculation &gt; 24 hrs'!$A$2:$A$3000,$K$2,'Recirculation &gt; 24 hrs'!$B$2:$B$3000,SUBSTITUTE($A115," SS","  SS")),"NA"))</f>
        <v>NA</v>
      </c>
      <c r="I115" s="81" t="n">
        <f aca="false">IF(COUNTIFS('Pending Putaway'!$A$2:$A$3000,$K$2,'Pending Putaway'!$B$2:$B$3000,$A115)&gt;0,SUMIFS('Pending Putaway'!$E$2:$E$3000,'Pending Putaway'!$A$2:$A$3000,$K$2,'Pending Putaway'!$B$2:$B$3000,$A115),IF(COUNTIFS('Pending Putaway'!$A$2:$A$3000,$K$2,'Pending Putaway'!$B$2:$B$3000,SUBSTITUTE($A115," SS","  SS"))&gt;0,SUMIFS('Pending Putaway'!$E$2:$E$3000,'Pending Putaway'!$A$2:$A$3000,$K$2,'Pending Putaway'!$B$2:$B$3000,SUBSTITUTE($A115," SS","  SS")),"NA"))</f>
        <v>4809</v>
      </c>
      <c r="J115" s="81" t="n">
        <f aca="false">IF(COUNTIFS('Pending Putaway'!$A$2:$A$3000,$K$2,'Pending Putaway'!$B$2:$B$3000,$A115)&gt;0,SUMIFS('Pending Putaway'!$L$2:$L$3000,'Pending Putaway'!$A$2:$A$3000,$K$2,'Pending Putaway'!$B$2:$B$3000,$A115),IF(COUNTIFS('Pending Putaway'!$A$2:$A$3000,$K$2,'Pending Putaway'!$B$2:$B$3000,SUBSTITUTE($A115," SS","  SS"))&gt;0,SUMIFS('Pending Putaway'!$L$2:$L$3000,'Pending Putaway'!$A$2:$A$3000,$K$2,'Pending Putaway'!$B$2:$B$3000,SUBSTITUTE($A115," SS","  SS")),"NA"))</f>
        <v>146</v>
      </c>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row>
    <row r="116" customFormat="false" ht="15.75" hidden="false" customHeight="true" outlineLevel="0" collapsed="false">
      <c r="A116" s="81" t="s">
        <v>473</v>
      </c>
      <c r="B116" s="81" t="str">
        <f aca="false" t="array" ref="B116:B116">IFERROR(INDEX('CLM &amp; IM Mapping'!$B$2:$B$270,MATCH($A116,'CLM &amp; IM Mapping'!$A$2:$A$270,0)),"Not Mapped")</f>
        <v>Raghavendra Vernekar</v>
      </c>
      <c r="C116" s="81" t="str">
        <f aca="false" t="array" ref="C116:C116">IFERROR(INDEX('CLM &amp; IM Mapping'!$C$2:$C$270,MATCH($A116,'CLM &amp; IM Mapping'!$A$2:$A$270,0)),"Not Mapped")</f>
        <v>Prakash BS</v>
      </c>
      <c r="D116" s="82" t="n">
        <f aca="false">IF(COUNTIFS(Shrinkage!$A$2:$A$3000,$K$2,Shrinkage!$D$2:$D$3000,$A116)&gt;0,SUMIFS(Shrinkage!$P$2:$P$3000,Shrinkage!$A$2:$A$3000,$K$2,Shrinkage!$D$2:$D$3000,$A116),IF(COUNTIFS(Shrinkage!$A$2:$A$3000,$K$2,Shrinkage!$D$2:$D$3000,SUBSTITUTE($A116," SS","  SS"))&gt;0,SUMIFS(Shrinkage!$P$2:$P$3000,Shrinkage!$A$2:$A$3000,$K$2,Shrinkage!$D$2:$D$3000,SUBSTITUTE($A116," SS","  SS")),"NA"))</f>
        <v>-8794</v>
      </c>
      <c r="E116" s="83" t="n">
        <f aca="false">IF(COUNTIFS('Inventory Hygiene'!$A$2:$A$3000,$K$2,'Inventory Hygiene'!$B$2:$B$3000,$A116)&gt;0,AVERAGEIFS('Inventory Hygiene'!$J$2:$J$3000,'Inventory Hygiene'!$A$2:$A$3000,$K$2,'Inventory Hygiene'!$B$2:$B$3000,$A116),IF(COUNTIFS('Inventory Hygiene'!$A$2:$A$3000,$K$2,'Inventory Hygiene'!$B$2:$B$3000,SUBSTITUTE($A116," SS","  SS"))&gt;0,AVERAGEIFS('Inventory Hygiene'!$J$2:$J$3000,'Inventory Hygiene'!$A$2:$A$3000,$K$2,'Inventory Hygiene'!$B$2:$B$3000,SUBSTITUTE($A116," SS","  SS")),"NA"))</f>
        <v>0.99621451104101</v>
      </c>
      <c r="F116" s="81" t="n">
        <f aca="false">IF(COUNTIFS('Bad Bins'!$A$2:$A$3000,$K$2,'Bad Bins'!$B$2:$B$3000,$A116)&gt;0,SUMIFS('Bad Bins'!$K$2:$K$3000,'Bad Bins'!$A$2:$A$3000,$K$2,'Bad Bins'!$B$2:$B$3000,$A116),IF(COUNTIFS('Bad Bins'!$A$2:$A$3000,$K$2,'Bad Bins'!$B$2:$B$3000,SUBSTITUTE($A116," SS","  SS"))&gt;0,SUMIFS('Bad Bins'!$K$2:$K$3000,'Bad Bins'!$A$2:$A$3000,$K$2,'Bad Bins'!$B$2:$B$3000,SUBSTITUTE($A116," SS","  SS")),"NA"))</f>
        <v>31</v>
      </c>
      <c r="G116" s="81" t="str">
        <f aca="false">IF(COUNTIFS('RSTO &gt; 48hrs'!$A$2:$A$3000,$K$2,'RSTO &gt; 48hrs'!$B$2:$B$3000,$A116)&gt;0,SUMIFS('RSTO &gt; 48hrs'!$H$2:$H$3000,'RSTO &gt; 48hrs'!$A$2:$A$3000,$K$2,'RSTO &gt; 48hrs'!$B$2:$B$3000,$A116),IF(COUNTIFS('RSTO &gt; 48hrs'!$A$2:$A$3000,$K$2,'RSTO &gt; 48hrs'!$B$2:$B$3000,SUBSTITUTE($A116," SS","  SS"))&gt;0,SUMIFS('RSTO &gt; 48hrs'!$H$2:$H$3000,'RSTO &gt; 48hrs'!$A$2:$A$3000,$K$2,'RSTO &gt; 48hrs'!$B$2:$B$3000,SUBSTITUTE($A116," SS","  SS")),"NA"))</f>
        <v>NA</v>
      </c>
      <c r="H116" s="81" t="str">
        <f aca="false">IF(COUNTIFS('Recirculation &gt; 24 hrs'!$A$2:$A$3000,$K$2,'Recirculation &gt; 24 hrs'!$B$2:$B$3000,$A116)&gt;0,SUMIFS('Recirculation &gt; 24 hrs'!$K$2:$K$3000,'Recirculation &gt; 24 hrs'!$A$2:$A$3000,$K$2,'Recirculation &gt; 24 hrs'!$B$2:$B$3000,$A116),IF(COUNTIFS('Recirculation &gt; 24 hrs'!$A$2:$A$3000,$K$2,'Recirculation &gt; 24 hrs'!$B$2:$B$3000,SUBSTITUTE($A116," SS","  SS"))&gt;0,SUMIFS('Recirculation &gt; 24 hrs'!$K$2:$K$3000,'Recirculation &gt; 24 hrs'!$A$2:$A$3000,$K$2,'Recirculation &gt; 24 hrs'!$B$2:$B$3000,SUBSTITUTE($A116," SS","  SS")),"NA"))</f>
        <v>NA</v>
      </c>
      <c r="I116" s="81" t="n">
        <f aca="false">IF(COUNTIFS('Pending Putaway'!$A$2:$A$3000,$K$2,'Pending Putaway'!$B$2:$B$3000,$A116)&gt;0,SUMIFS('Pending Putaway'!$E$2:$E$3000,'Pending Putaway'!$A$2:$A$3000,$K$2,'Pending Putaway'!$B$2:$B$3000,$A116),IF(COUNTIFS('Pending Putaway'!$A$2:$A$3000,$K$2,'Pending Putaway'!$B$2:$B$3000,SUBSTITUTE($A116," SS","  SS"))&gt;0,SUMIFS('Pending Putaway'!$E$2:$E$3000,'Pending Putaway'!$A$2:$A$3000,$K$2,'Pending Putaway'!$B$2:$B$3000,SUBSTITUTE($A116," SS","  SS")),"NA"))</f>
        <v>0</v>
      </c>
      <c r="J116" s="81" t="n">
        <f aca="false">IF(COUNTIFS('Pending Putaway'!$A$2:$A$3000,$K$2,'Pending Putaway'!$B$2:$B$3000,$A116)&gt;0,SUMIFS('Pending Putaway'!$L$2:$L$3000,'Pending Putaway'!$A$2:$A$3000,$K$2,'Pending Putaway'!$B$2:$B$3000,$A116),IF(COUNTIFS('Pending Putaway'!$A$2:$A$3000,$K$2,'Pending Putaway'!$B$2:$B$3000,SUBSTITUTE($A116," SS","  SS"))&gt;0,SUMIFS('Pending Putaway'!$L$2:$L$3000,'Pending Putaway'!$A$2:$A$3000,$K$2,'Pending Putaway'!$B$2:$B$3000,SUBSTITUTE($A116," SS","  SS")),"NA"))</f>
        <v>0</v>
      </c>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row>
    <row r="117" customFormat="false" ht="15.75" hidden="false" customHeight="true" outlineLevel="0" collapsed="false">
      <c r="A117" s="81" t="s">
        <v>398</v>
      </c>
      <c r="B117" s="81" t="str">
        <f aca="false" t="array" ref="B117:B117">IFERROR(INDEX('CLM &amp; IM Mapping'!$B$2:$B$270,MATCH($A117,'CLM &amp; IM Mapping'!$A$2:$A$270,0)),"Not Mapped")</f>
        <v>Raghavendra Vernekar</v>
      </c>
      <c r="C117" s="81" t="str">
        <f aca="false" t="array" ref="C117:C117">IFERROR(INDEX('CLM &amp; IM Mapping'!$C$2:$C$270,MATCH($A117,'CLM &amp; IM Mapping'!$A$2:$A$270,0)),"Not Mapped")</f>
        <v>Prakash BS</v>
      </c>
      <c r="D117" s="82" t="n">
        <f aca="false">IF(COUNTIFS(Shrinkage!$A$2:$A$3000,$K$2,Shrinkage!$D$2:$D$3000,$A117)&gt;0,SUMIFS(Shrinkage!$P$2:$P$3000,Shrinkage!$A$2:$A$3000,$K$2,Shrinkage!$D$2:$D$3000,$A117),IF(COUNTIFS(Shrinkage!$A$2:$A$3000,$K$2,Shrinkage!$D$2:$D$3000,SUBSTITUTE($A117," SS","  SS"))&gt;0,SUMIFS(Shrinkage!$P$2:$P$3000,Shrinkage!$A$2:$A$3000,$K$2,Shrinkage!$D$2:$D$3000,SUBSTITUTE($A117," SS","  SS")),"NA"))</f>
        <v>-13541</v>
      </c>
      <c r="E117" s="83" t="n">
        <f aca="false">IF(COUNTIFS('Inventory Hygiene'!$A$2:$A$3000,$K$2,'Inventory Hygiene'!$B$2:$B$3000,$A117)&gt;0,AVERAGEIFS('Inventory Hygiene'!$J$2:$J$3000,'Inventory Hygiene'!$A$2:$A$3000,$K$2,'Inventory Hygiene'!$B$2:$B$3000,$A117),IF(COUNTIFS('Inventory Hygiene'!$A$2:$A$3000,$K$2,'Inventory Hygiene'!$B$2:$B$3000,SUBSTITUTE($A117," SS","  SS"))&gt;0,AVERAGEIFS('Inventory Hygiene'!$J$2:$J$3000,'Inventory Hygiene'!$A$2:$A$3000,$K$2,'Inventory Hygiene'!$B$2:$B$3000,SUBSTITUTE($A117," SS","  SS")),"NA"))</f>
        <v>0.781047675103002</v>
      </c>
      <c r="F117" s="81" t="n">
        <f aca="false">IF(COUNTIFS('Bad Bins'!$A$2:$A$3000,$K$2,'Bad Bins'!$B$2:$B$3000,$A117)&gt;0,SUMIFS('Bad Bins'!$K$2:$K$3000,'Bad Bins'!$A$2:$A$3000,$K$2,'Bad Bins'!$B$2:$B$3000,$A117),IF(COUNTIFS('Bad Bins'!$A$2:$A$3000,$K$2,'Bad Bins'!$B$2:$B$3000,SUBSTITUTE($A117," SS","  SS"))&gt;0,SUMIFS('Bad Bins'!$K$2:$K$3000,'Bad Bins'!$A$2:$A$3000,$K$2,'Bad Bins'!$B$2:$B$3000,SUBSTITUTE($A117," SS","  SS")),"NA"))</f>
        <v>249</v>
      </c>
      <c r="G117" s="81" t="str">
        <f aca="false">IF(COUNTIFS('RSTO &gt; 48hrs'!$A$2:$A$3000,$K$2,'RSTO &gt; 48hrs'!$B$2:$B$3000,$A117)&gt;0,SUMIFS('RSTO &gt; 48hrs'!$H$2:$H$3000,'RSTO &gt; 48hrs'!$A$2:$A$3000,$K$2,'RSTO &gt; 48hrs'!$B$2:$B$3000,$A117),IF(COUNTIFS('RSTO &gt; 48hrs'!$A$2:$A$3000,$K$2,'RSTO &gt; 48hrs'!$B$2:$B$3000,SUBSTITUTE($A117," SS","  SS"))&gt;0,SUMIFS('RSTO &gt; 48hrs'!$H$2:$H$3000,'RSTO &gt; 48hrs'!$A$2:$A$3000,$K$2,'RSTO &gt; 48hrs'!$B$2:$B$3000,SUBSTITUTE($A117," SS","  SS")),"NA"))</f>
        <v>NA</v>
      </c>
      <c r="H117" s="81" t="str">
        <f aca="false">IF(COUNTIFS('Recirculation &gt; 24 hrs'!$A$2:$A$3000,$K$2,'Recirculation &gt; 24 hrs'!$B$2:$B$3000,$A117)&gt;0,SUMIFS('Recirculation &gt; 24 hrs'!$K$2:$K$3000,'Recirculation &gt; 24 hrs'!$A$2:$A$3000,$K$2,'Recirculation &gt; 24 hrs'!$B$2:$B$3000,$A117),IF(COUNTIFS('Recirculation &gt; 24 hrs'!$A$2:$A$3000,$K$2,'Recirculation &gt; 24 hrs'!$B$2:$B$3000,SUBSTITUTE($A117," SS","  SS"))&gt;0,SUMIFS('Recirculation &gt; 24 hrs'!$K$2:$K$3000,'Recirculation &gt; 24 hrs'!$A$2:$A$3000,$K$2,'Recirculation &gt; 24 hrs'!$B$2:$B$3000,SUBSTITUTE($A117," SS","  SS")),"NA"))</f>
        <v>NA</v>
      </c>
      <c r="I117" s="81" t="n">
        <f aca="false">IF(COUNTIFS('Pending Putaway'!$A$2:$A$3000,$K$2,'Pending Putaway'!$B$2:$B$3000,$A117)&gt;0,SUMIFS('Pending Putaway'!$E$2:$E$3000,'Pending Putaway'!$A$2:$A$3000,$K$2,'Pending Putaway'!$B$2:$B$3000,$A117),IF(COUNTIFS('Pending Putaway'!$A$2:$A$3000,$K$2,'Pending Putaway'!$B$2:$B$3000,SUBSTITUTE($A117," SS","  SS"))&gt;0,SUMIFS('Pending Putaway'!$E$2:$E$3000,'Pending Putaway'!$A$2:$A$3000,$K$2,'Pending Putaway'!$B$2:$B$3000,SUBSTITUTE($A117," SS","  SS")),"NA"))</f>
        <v>50</v>
      </c>
      <c r="J117" s="81" t="n">
        <f aca="false">IF(COUNTIFS('Pending Putaway'!$A$2:$A$3000,$K$2,'Pending Putaway'!$B$2:$B$3000,$A117)&gt;0,SUMIFS('Pending Putaway'!$L$2:$L$3000,'Pending Putaway'!$A$2:$A$3000,$K$2,'Pending Putaway'!$B$2:$B$3000,$A117),IF(COUNTIFS('Pending Putaway'!$A$2:$A$3000,$K$2,'Pending Putaway'!$B$2:$B$3000,SUBSTITUTE($A117," SS","  SS"))&gt;0,SUMIFS('Pending Putaway'!$L$2:$L$3000,'Pending Putaway'!$A$2:$A$3000,$K$2,'Pending Putaway'!$B$2:$B$3000,SUBSTITUTE($A117," SS","  SS")),"NA"))</f>
        <v>0</v>
      </c>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row>
    <row r="118" customFormat="false" ht="15.75" hidden="false" customHeight="true" outlineLevel="0" collapsed="false">
      <c r="A118" s="81" t="s">
        <v>257</v>
      </c>
      <c r="B118" s="81" t="str">
        <f aca="false" t="array" ref="B118:B118">IFERROR(INDEX('CLM &amp; IM Mapping'!$B$2:$B$270,MATCH($A118,'CLM &amp; IM Mapping'!$A$2:$A$270,0)),"Not Mapped")</f>
        <v>Raghavendra Vernekar</v>
      </c>
      <c r="C118" s="81" t="str">
        <f aca="false" t="array" ref="C118:C118">IFERROR(INDEX('CLM &amp; IM Mapping'!$C$2:$C$270,MATCH($A118,'CLM &amp; IM Mapping'!$A$2:$A$270,0)),"Not Mapped")</f>
        <v>Prakash BS</v>
      </c>
      <c r="D118" s="82" t="n">
        <f aca="false">IF(COUNTIFS(Shrinkage!$A$2:$A$3000,$K$2,Shrinkage!$D$2:$D$3000,$A118)&gt;0,SUMIFS(Shrinkage!$P$2:$P$3000,Shrinkage!$A$2:$A$3000,$K$2,Shrinkage!$D$2:$D$3000,$A118),IF(COUNTIFS(Shrinkage!$A$2:$A$3000,$K$2,Shrinkage!$D$2:$D$3000,SUBSTITUTE($A118," SS","  SS"))&gt;0,SUMIFS(Shrinkage!$P$2:$P$3000,Shrinkage!$A$2:$A$3000,$K$2,Shrinkage!$D$2:$D$3000,SUBSTITUTE($A118," SS","  SS")),"NA"))</f>
        <v>-7905</v>
      </c>
      <c r="E118" s="83" t="n">
        <f aca="false">IF(COUNTIFS('Inventory Hygiene'!$A$2:$A$3000,$K$2,'Inventory Hygiene'!$B$2:$B$3000,$A118)&gt;0,AVERAGEIFS('Inventory Hygiene'!$J$2:$J$3000,'Inventory Hygiene'!$A$2:$A$3000,$K$2,'Inventory Hygiene'!$B$2:$B$3000,$A118),IF(COUNTIFS('Inventory Hygiene'!$A$2:$A$3000,$K$2,'Inventory Hygiene'!$B$2:$B$3000,SUBSTITUTE($A118," SS","  SS"))&gt;0,AVERAGEIFS('Inventory Hygiene'!$J$2:$J$3000,'Inventory Hygiene'!$A$2:$A$3000,$K$2,'Inventory Hygiene'!$B$2:$B$3000,SUBSTITUTE($A118," SS","  SS")),"NA"))</f>
        <v>0.678564500484966</v>
      </c>
      <c r="F118" s="81" t="n">
        <f aca="false">IF(COUNTIFS('Bad Bins'!$A$2:$A$3000,$K$2,'Bad Bins'!$B$2:$B$3000,$A118)&gt;0,SUMIFS('Bad Bins'!$K$2:$K$3000,'Bad Bins'!$A$2:$A$3000,$K$2,'Bad Bins'!$B$2:$B$3000,$A118),IF(COUNTIFS('Bad Bins'!$A$2:$A$3000,$K$2,'Bad Bins'!$B$2:$B$3000,SUBSTITUTE($A118," SS","  SS"))&gt;0,SUMIFS('Bad Bins'!$K$2:$K$3000,'Bad Bins'!$A$2:$A$3000,$K$2,'Bad Bins'!$B$2:$B$3000,SUBSTITUTE($A118," SS","  SS")),"NA"))</f>
        <v>222</v>
      </c>
      <c r="G118" s="81" t="str">
        <f aca="false">IF(COUNTIFS('RSTO &gt; 48hrs'!$A$2:$A$3000,$K$2,'RSTO &gt; 48hrs'!$B$2:$B$3000,$A118)&gt;0,SUMIFS('RSTO &gt; 48hrs'!$H$2:$H$3000,'RSTO &gt; 48hrs'!$A$2:$A$3000,$K$2,'RSTO &gt; 48hrs'!$B$2:$B$3000,$A118),IF(COUNTIFS('RSTO &gt; 48hrs'!$A$2:$A$3000,$K$2,'RSTO &gt; 48hrs'!$B$2:$B$3000,SUBSTITUTE($A118," SS","  SS"))&gt;0,SUMIFS('RSTO &gt; 48hrs'!$H$2:$H$3000,'RSTO &gt; 48hrs'!$A$2:$A$3000,$K$2,'RSTO &gt; 48hrs'!$B$2:$B$3000,SUBSTITUTE($A118," SS","  SS")),"NA"))</f>
        <v>NA</v>
      </c>
      <c r="H118" s="81" t="n">
        <f aca="false">IF(COUNTIFS('Recirculation &gt; 24 hrs'!$A$2:$A$3000,$K$2,'Recirculation &gt; 24 hrs'!$B$2:$B$3000,$A118)&gt;0,SUMIFS('Recirculation &gt; 24 hrs'!$K$2:$K$3000,'Recirculation &gt; 24 hrs'!$A$2:$A$3000,$K$2,'Recirculation &gt; 24 hrs'!$B$2:$B$3000,$A118),IF(COUNTIFS('Recirculation &gt; 24 hrs'!$A$2:$A$3000,$K$2,'Recirculation &gt; 24 hrs'!$B$2:$B$3000,SUBSTITUTE($A118," SS","  SS"))&gt;0,SUMIFS('Recirculation &gt; 24 hrs'!$K$2:$K$3000,'Recirculation &gt; 24 hrs'!$A$2:$A$3000,$K$2,'Recirculation &gt; 24 hrs'!$B$2:$B$3000,SUBSTITUTE($A118," SS","  SS")),"NA"))</f>
        <v>634</v>
      </c>
      <c r="I118" s="81" t="n">
        <f aca="false">IF(COUNTIFS('Pending Putaway'!$A$2:$A$3000,$K$2,'Pending Putaway'!$B$2:$B$3000,$A118)&gt;0,SUMIFS('Pending Putaway'!$E$2:$E$3000,'Pending Putaway'!$A$2:$A$3000,$K$2,'Pending Putaway'!$B$2:$B$3000,$A118),IF(COUNTIFS('Pending Putaway'!$A$2:$A$3000,$K$2,'Pending Putaway'!$B$2:$B$3000,SUBSTITUTE($A118," SS","  SS"))&gt;0,SUMIFS('Pending Putaway'!$E$2:$E$3000,'Pending Putaway'!$A$2:$A$3000,$K$2,'Pending Putaway'!$B$2:$B$3000,SUBSTITUTE($A118," SS","  SS")),"NA"))</f>
        <v>6017</v>
      </c>
      <c r="J118" s="81" t="n">
        <f aca="false">IF(COUNTIFS('Pending Putaway'!$A$2:$A$3000,$K$2,'Pending Putaway'!$B$2:$B$3000,$A118)&gt;0,SUMIFS('Pending Putaway'!$L$2:$L$3000,'Pending Putaway'!$A$2:$A$3000,$K$2,'Pending Putaway'!$B$2:$B$3000,$A118),IF(COUNTIFS('Pending Putaway'!$A$2:$A$3000,$K$2,'Pending Putaway'!$B$2:$B$3000,SUBSTITUTE($A118," SS","  SS"))&gt;0,SUMIFS('Pending Putaway'!$L$2:$L$3000,'Pending Putaway'!$A$2:$A$3000,$K$2,'Pending Putaway'!$B$2:$B$3000,SUBSTITUTE($A118," SS","  SS")),"NA"))</f>
        <v>638</v>
      </c>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row>
    <row r="119" customFormat="false" ht="15.75" hidden="false" customHeight="true" outlineLevel="0" collapsed="false">
      <c r="A119" s="81" t="s">
        <v>364</v>
      </c>
      <c r="B119" s="81" t="str">
        <f aca="false" t="array" ref="B119:B119">IFERROR(INDEX('CLM &amp; IM Mapping'!$B$2:$B$270,MATCH($A119,'CLM &amp; IM Mapping'!$A$2:$A$270,0)),"Not Mapped")</f>
        <v>Raghavendra Vernekar</v>
      </c>
      <c r="C119" s="81" t="str">
        <f aca="false" t="array" ref="C119:C119">IFERROR(INDEX('CLM &amp; IM Mapping'!$C$2:$C$270,MATCH($A119,'CLM &amp; IM Mapping'!$A$2:$A$270,0)),"Not Mapped")</f>
        <v>Prakash BS</v>
      </c>
      <c r="D119" s="82" t="n">
        <f aca="false">IF(COUNTIFS(Shrinkage!$A$2:$A$3000,$K$2,Shrinkage!$D$2:$D$3000,$A119)&gt;0,SUMIFS(Shrinkage!$P$2:$P$3000,Shrinkage!$A$2:$A$3000,$K$2,Shrinkage!$D$2:$D$3000,$A119),IF(COUNTIFS(Shrinkage!$A$2:$A$3000,$K$2,Shrinkage!$D$2:$D$3000,SUBSTITUTE($A119," SS","  SS"))&gt;0,SUMIFS(Shrinkage!$P$2:$P$3000,Shrinkage!$A$2:$A$3000,$K$2,Shrinkage!$D$2:$D$3000,SUBSTITUTE($A119," SS","  SS")),"NA"))</f>
        <v>-14494</v>
      </c>
      <c r="E119" s="83" t="n">
        <f aca="false">IF(COUNTIFS('Inventory Hygiene'!$A$2:$A$3000,$K$2,'Inventory Hygiene'!$B$2:$B$3000,$A119)&gt;0,AVERAGEIFS('Inventory Hygiene'!$J$2:$J$3000,'Inventory Hygiene'!$A$2:$A$3000,$K$2,'Inventory Hygiene'!$B$2:$B$3000,$A119),IF(COUNTIFS('Inventory Hygiene'!$A$2:$A$3000,$K$2,'Inventory Hygiene'!$B$2:$B$3000,SUBSTITUTE($A119," SS","  SS"))&gt;0,AVERAGEIFS('Inventory Hygiene'!$J$2:$J$3000,'Inventory Hygiene'!$A$2:$A$3000,$K$2,'Inventory Hygiene'!$B$2:$B$3000,SUBSTITUTE($A119," SS","  SS")),"NA"))</f>
        <v>0.782826834862385</v>
      </c>
      <c r="F119" s="81" t="n">
        <f aca="false">IF(COUNTIFS('Bad Bins'!$A$2:$A$3000,$K$2,'Bad Bins'!$B$2:$B$3000,$A119)&gt;0,SUMIFS('Bad Bins'!$K$2:$K$3000,'Bad Bins'!$A$2:$A$3000,$K$2,'Bad Bins'!$B$2:$B$3000,$A119),IF(COUNTIFS('Bad Bins'!$A$2:$A$3000,$K$2,'Bad Bins'!$B$2:$B$3000,SUBSTITUTE($A119," SS","  SS"))&gt;0,SUMIFS('Bad Bins'!$K$2:$K$3000,'Bad Bins'!$A$2:$A$3000,$K$2,'Bad Bins'!$B$2:$B$3000,SUBSTITUTE($A119," SS","  SS")),"NA"))</f>
        <v>113</v>
      </c>
      <c r="G119" s="81" t="str">
        <f aca="false">IF(COUNTIFS('RSTO &gt; 48hrs'!$A$2:$A$3000,$K$2,'RSTO &gt; 48hrs'!$B$2:$B$3000,$A119)&gt;0,SUMIFS('RSTO &gt; 48hrs'!$H$2:$H$3000,'RSTO &gt; 48hrs'!$A$2:$A$3000,$K$2,'RSTO &gt; 48hrs'!$B$2:$B$3000,$A119),IF(COUNTIFS('RSTO &gt; 48hrs'!$A$2:$A$3000,$K$2,'RSTO &gt; 48hrs'!$B$2:$B$3000,SUBSTITUTE($A119," SS","  SS"))&gt;0,SUMIFS('RSTO &gt; 48hrs'!$H$2:$H$3000,'RSTO &gt; 48hrs'!$A$2:$A$3000,$K$2,'RSTO &gt; 48hrs'!$B$2:$B$3000,SUBSTITUTE($A119," SS","  SS")),"NA"))</f>
        <v>NA</v>
      </c>
      <c r="H119" s="81" t="str">
        <f aca="false">IF(COUNTIFS('Recirculation &gt; 24 hrs'!$A$2:$A$3000,$K$2,'Recirculation &gt; 24 hrs'!$B$2:$B$3000,$A119)&gt;0,SUMIFS('Recirculation &gt; 24 hrs'!$K$2:$K$3000,'Recirculation &gt; 24 hrs'!$A$2:$A$3000,$K$2,'Recirculation &gt; 24 hrs'!$B$2:$B$3000,$A119),IF(COUNTIFS('Recirculation &gt; 24 hrs'!$A$2:$A$3000,$K$2,'Recirculation &gt; 24 hrs'!$B$2:$B$3000,SUBSTITUTE($A119," SS","  SS"))&gt;0,SUMIFS('Recirculation &gt; 24 hrs'!$K$2:$K$3000,'Recirculation &gt; 24 hrs'!$A$2:$A$3000,$K$2,'Recirculation &gt; 24 hrs'!$B$2:$B$3000,SUBSTITUTE($A119," SS","  SS")),"NA"))</f>
        <v>NA</v>
      </c>
      <c r="I119" s="81" t="n">
        <f aca="false">IF(COUNTIFS('Pending Putaway'!$A$2:$A$3000,$K$2,'Pending Putaway'!$B$2:$B$3000,$A119)&gt;0,SUMIFS('Pending Putaway'!$E$2:$E$3000,'Pending Putaway'!$A$2:$A$3000,$K$2,'Pending Putaway'!$B$2:$B$3000,$A119),IF(COUNTIFS('Pending Putaway'!$A$2:$A$3000,$K$2,'Pending Putaway'!$B$2:$B$3000,SUBSTITUTE($A119," SS","  SS"))&gt;0,SUMIFS('Pending Putaway'!$E$2:$E$3000,'Pending Putaway'!$A$2:$A$3000,$K$2,'Pending Putaway'!$B$2:$B$3000,SUBSTITUTE($A119," SS","  SS")),"NA"))</f>
        <v>4791</v>
      </c>
      <c r="J119" s="81" t="n">
        <f aca="false">IF(COUNTIFS('Pending Putaway'!$A$2:$A$3000,$K$2,'Pending Putaway'!$B$2:$B$3000,$A119)&gt;0,SUMIFS('Pending Putaway'!$L$2:$L$3000,'Pending Putaway'!$A$2:$A$3000,$K$2,'Pending Putaway'!$B$2:$B$3000,$A119),IF(COUNTIFS('Pending Putaway'!$A$2:$A$3000,$K$2,'Pending Putaway'!$B$2:$B$3000,SUBSTITUTE($A119," SS","  SS"))&gt;0,SUMIFS('Pending Putaway'!$L$2:$L$3000,'Pending Putaway'!$A$2:$A$3000,$K$2,'Pending Putaway'!$B$2:$B$3000,SUBSTITUTE($A119," SS","  SS")),"NA"))</f>
        <v>2</v>
      </c>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row>
    <row r="120" customFormat="false" ht="15.75" hidden="false" customHeight="true" outlineLevel="0" collapsed="false">
      <c r="A120" s="81" t="s">
        <v>484</v>
      </c>
      <c r="B120" s="81" t="str">
        <f aca="false" t="array" ref="B120:B120">IFERROR(INDEX('CLM &amp; IM Mapping'!$B$2:$B$270,MATCH($A120,'CLM &amp; IM Mapping'!$A$2:$A$270,0)),"Not Mapped")</f>
        <v>Raghavendra Vernekar</v>
      </c>
      <c r="C120" s="81" t="str">
        <f aca="false" t="array" ref="C120:C120">IFERROR(INDEX('CLM &amp; IM Mapping'!$C$2:$C$270,MATCH($A120,'CLM &amp; IM Mapping'!$A$2:$A$270,0)),"Not Mapped")</f>
        <v>Prakash BS</v>
      </c>
      <c r="D120" s="82" t="n">
        <f aca="false">IF(COUNTIFS(Shrinkage!$A$2:$A$3000,$K$2,Shrinkage!$D$2:$D$3000,$A120)&gt;0,SUMIFS(Shrinkage!$P$2:$P$3000,Shrinkage!$A$2:$A$3000,$K$2,Shrinkage!$D$2:$D$3000,$A120),IF(COUNTIFS(Shrinkage!$A$2:$A$3000,$K$2,Shrinkage!$D$2:$D$3000,SUBSTITUTE($A120," SS","  SS"))&gt;0,SUMIFS(Shrinkage!$P$2:$P$3000,Shrinkage!$A$2:$A$3000,$K$2,Shrinkage!$D$2:$D$3000,SUBSTITUTE($A120," SS","  SS")),"NA"))</f>
        <v>-15144</v>
      </c>
      <c r="E120" s="83" t="n">
        <f aca="false">IF(COUNTIFS('Inventory Hygiene'!$A$2:$A$3000,$K$2,'Inventory Hygiene'!$B$2:$B$3000,$A120)&gt;0,AVERAGEIFS('Inventory Hygiene'!$J$2:$J$3000,'Inventory Hygiene'!$A$2:$A$3000,$K$2,'Inventory Hygiene'!$B$2:$B$3000,$A120),IF(COUNTIFS('Inventory Hygiene'!$A$2:$A$3000,$K$2,'Inventory Hygiene'!$B$2:$B$3000,SUBSTITUTE($A120," SS","  SS"))&gt;0,AVERAGEIFS('Inventory Hygiene'!$J$2:$J$3000,'Inventory Hygiene'!$A$2:$A$3000,$K$2,'Inventory Hygiene'!$B$2:$B$3000,SUBSTITUTE($A120," SS","  SS")),"NA"))</f>
        <v>0.789791806581598</v>
      </c>
      <c r="F120" s="81" t="n">
        <f aca="false">IF(COUNTIFS('Bad Bins'!$A$2:$A$3000,$K$2,'Bad Bins'!$B$2:$B$3000,$A120)&gt;0,SUMIFS('Bad Bins'!$K$2:$K$3000,'Bad Bins'!$A$2:$A$3000,$K$2,'Bad Bins'!$B$2:$B$3000,$A120),IF(COUNTIFS('Bad Bins'!$A$2:$A$3000,$K$2,'Bad Bins'!$B$2:$B$3000,SUBSTITUTE($A120," SS","  SS"))&gt;0,SUMIFS('Bad Bins'!$K$2:$K$3000,'Bad Bins'!$A$2:$A$3000,$K$2,'Bad Bins'!$B$2:$B$3000,SUBSTITUTE($A120," SS","  SS")),"NA"))</f>
        <v>62</v>
      </c>
      <c r="G120" s="81" t="str">
        <f aca="false">IF(COUNTIFS('RSTO &gt; 48hrs'!$A$2:$A$3000,$K$2,'RSTO &gt; 48hrs'!$B$2:$B$3000,$A120)&gt;0,SUMIFS('RSTO &gt; 48hrs'!$H$2:$H$3000,'RSTO &gt; 48hrs'!$A$2:$A$3000,$K$2,'RSTO &gt; 48hrs'!$B$2:$B$3000,$A120),IF(COUNTIFS('RSTO &gt; 48hrs'!$A$2:$A$3000,$K$2,'RSTO &gt; 48hrs'!$B$2:$B$3000,SUBSTITUTE($A120," SS","  SS"))&gt;0,SUMIFS('RSTO &gt; 48hrs'!$H$2:$H$3000,'RSTO &gt; 48hrs'!$A$2:$A$3000,$K$2,'RSTO &gt; 48hrs'!$B$2:$B$3000,SUBSTITUTE($A120," SS","  SS")),"NA"))</f>
        <v>NA</v>
      </c>
      <c r="H120" s="81" t="str">
        <f aca="false">IF(COUNTIFS('Recirculation &gt; 24 hrs'!$A$2:$A$3000,$K$2,'Recirculation &gt; 24 hrs'!$B$2:$B$3000,$A120)&gt;0,SUMIFS('Recirculation &gt; 24 hrs'!$K$2:$K$3000,'Recirculation &gt; 24 hrs'!$A$2:$A$3000,$K$2,'Recirculation &gt; 24 hrs'!$B$2:$B$3000,$A120),IF(COUNTIFS('Recirculation &gt; 24 hrs'!$A$2:$A$3000,$K$2,'Recirculation &gt; 24 hrs'!$B$2:$B$3000,SUBSTITUTE($A120," SS","  SS"))&gt;0,SUMIFS('Recirculation &gt; 24 hrs'!$K$2:$K$3000,'Recirculation &gt; 24 hrs'!$A$2:$A$3000,$K$2,'Recirculation &gt; 24 hrs'!$B$2:$B$3000,SUBSTITUTE($A120," SS","  SS")),"NA"))</f>
        <v>NA</v>
      </c>
      <c r="I120" s="81" t="n">
        <f aca="false">IF(COUNTIFS('Pending Putaway'!$A$2:$A$3000,$K$2,'Pending Putaway'!$B$2:$B$3000,$A120)&gt;0,SUMIFS('Pending Putaway'!$E$2:$E$3000,'Pending Putaway'!$A$2:$A$3000,$K$2,'Pending Putaway'!$B$2:$B$3000,$A120),IF(COUNTIFS('Pending Putaway'!$A$2:$A$3000,$K$2,'Pending Putaway'!$B$2:$B$3000,SUBSTITUTE($A120," SS","  SS"))&gt;0,SUMIFS('Pending Putaway'!$E$2:$E$3000,'Pending Putaway'!$A$2:$A$3000,$K$2,'Pending Putaway'!$B$2:$B$3000,SUBSTITUTE($A120," SS","  SS")),"NA"))</f>
        <v>3181</v>
      </c>
      <c r="J120" s="81" t="n">
        <f aca="false">IF(COUNTIFS('Pending Putaway'!$A$2:$A$3000,$K$2,'Pending Putaway'!$B$2:$B$3000,$A120)&gt;0,SUMIFS('Pending Putaway'!$L$2:$L$3000,'Pending Putaway'!$A$2:$A$3000,$K$2,'Pending Putaway'!$B$2:$B$3000,$A120),IF(COUNTIFS('Pending Putaway'!$A$2:$A$3000,$K$2,'Pending Putaway'!$B$2:$B$3000,SUBSTITUTE($A120," SS","  SS"))&gt;0,SUMIFS('Pending Putaway'!$L$2:$L$3000,'Pending Putaway'!$A$2:$A$3000,$K$2,'Pending Putaway'!$B$2:$B$3000,SUBSTITUTE($A120," SS","  SS")),"NA"))</f>
        <v>410</v>
      </c>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row>
    <row r="121" customFormat="false" ht="15.75" hidden="false" customHeight="true" outlineLevel="0" collapsed="false">
      <c r="A121" s="81" t="s">
        <v>314</v>
      </c>
      <c r="B121" s="81" t="str">
        <f aca="false" t="array" ref="B121:B121">IFERROR(INDEX('CLM &amp; IM Mapping'!$B$2:$B$270,MATCH($A121,'CLM &amp; IM Mapping'!$A$2:$A$270,0)),"Not Mapped")</f>
        <v>Basil Scariya</v>
      </c>
      <c r="C121" s="81" t="str">
        <f aca="false" t="array" ref="C121:C121">IFERROR(INDEX('CLM &amp; IM Mapping'!$C$2:$C$270,MATCH($A121,'CLM &amp; IM Mapping'!$A$2:$A$270,0)),"Not Mapped")</f>
        <v>Prakash BS</v>
      </c>
      <c r="D121" s="82" t="n">
        <f aca="false">IF(COUNTIFS(Shrinkage!$A$2:$A$3000,$K$2,Shrinkage!$D$2:$D$3000,$A121)&gt;0,SUMIFS(Shrinkage!$P$2:$P$3000,Shrinkage!$A$2:$A$3000,$K$2,Shrinkage!$D$2:$D$3000,$A121),IF(COUNTIFS(Shrinkage!$A$2:$A$3000,$K$2,Shrinkage!$D$2:$D$3000,SUBSTITUTE($A121," SS","  SS"))&gt;0,SUMIFS(Shrinkage!$P$2:$P$3000,Shrinkage!$A$2:$A$3000,$K$2,Shrinkage!$D$2:$D$3000,SUBSTITUTE($A121," SS","  SS")),"NA"))</f>
        <v>5659</v>
      </c>
      <c r="E121" s="83" t="n">
        <f aca="false">IF(COUNTIFS('Inventory Hygiene'!$A$2:$A$3000,$K$2,'Inventory Hygiene'!$B$2:$B$3000,$A121)&gt;0,AVERAGEIFS('Inventory Hygiene'!$J$2:$J$3000,'Inventory Hygiene'!$A$2:$A$3000,$K$2,'Inventory Hygiene'!$B$2:$B$3000,$A121),IF(COUNTIFS('Inventory Hygiene'!$A$2:$A$3000,$K$2,'Inventory Hygiene'!$B$2:$B$3000,SUBSTITUTE($A121," SS","  SS"))&gt;0,AVERAGEIFS('Inventory Hygiene'!$J$2:$J$3000,'Inventory Hygiene'!$A$2:$A$3000,$K$2,'Inventory Hygiene'!$B$2:$B$3000,SUBSTITUTE($A121," SS","  SS")),"NA"))</f>
        <v>0.676184399425746</v>
      </c>
      <c r="F121" s="81" t="n">
        <f aca="false">IF(COUNTIFS('Bad Bins'!$A$2:$A$3000,$K$2,'Bad Bins'!$B$2:$B$3000,$A121)&gt;0,SUMIFS('Bad Bins'!$K$2:$K$3000,'Bad Bins'!$A$2:$A$3000,$K$2,'Bad Bins'!$B$2:$B$3000,$A121),IF(COUNTIFS('Bad Bins'!$A$2:$A$3000,$K$2,'Bad Bins'!$B$2:$B$3000,SUBSTITUTE($A121," SS","  SS"))&gt;0,SUMIFS('Bad Bins'!$K$2:$K$3000,'Bad Bins'!$A$2:$A$3000,$K$2,'Bad Bins'!$B$2:$B$3000,SUBSTITUTE($A121," SS","  SS")),"NA"))</f>
        <v>64</v>
      </c>
      <c r="G121" s="81" t="str">
        <f aca="false">IF(COUNTIFS('RSTO &gt; 48hrs'!$A$2:$A$3000,$K$2,'RSTO &gt; 48hrs'!$B$2:$B$3000,$A121)&gt;0,SUMIFS('RSTO &gt; 48hrs'!$H$2:$H$3000,'RSTO &gt; 48hrs'!$A$2:$A$3000,$K$2,'RSTO &gt; 48hrs'!$B$2:$B$3000,$A121),IF(COUNTIFS('RSTO &gt; 48hrs'!$A$2:$A$3000,$K$2,'RSTO &gt; 48hrs'!$B$2:$B$3000,SUBSTITUTE($A121," SS","  SS"))&gt;0,SUMIFS('RSTO &gt; 48hrs'!$H$2:$H$3000,'RSTO &gt; 48hrs'!$A$2:$A$3000,$K$2,'RSTO &gt; 48hrs'!$B$2:$B$3000,SUBSTITUTE($A121," SS","  SS")),"NA"))</f>
        <v>NA</v>
      </c>
      <c r="H121" s="81" t="str">
        <f aca="false">IF(COUNTIFS('Recirculation &gt; 24 hrs'!$A$2:$A$3000,$K$2,'Recirculation &gt; 24 hrs'!$B$2:$B$3000,$A121)&gt;0,SUMIFS('Recirculation &gt; 24 hrs'!$K$2:$K$3000,'Recirculation &gt; 24 hrs'!$A$2:$A$3000,$K$2,'Recirculation &gt; 24 hrs'!$B$2:$B$3000,$A121),IF(COUNTIFS('Recirculation &gt; 24 hrs'!$A$2:$A$3000,$K$2,'Recirculation &gt; 24 hrs'!$B$2:$B$3000,SUBSTITUTE($A121," SS","  SS"))&gt;0,SUMIFS('Recirculation &gt; 24 hrs'!$K$2:$K$3000,'Recirculation &gt; 24 hrs'!$A$2:$A$3000,$K$2,'Recirculation &gt; 24 hrs'!$B$2:$B$3000,SUBSTITUTE($A121," SS","  SS")),"NA"))</f>
        <v>NA</v>
      </c>
      <c r="I121" s="81" t="n">
        <f aca="false">IF(COUNTIFS('Pending Putaway'!$A$2:$A$3000,$K$2,'Pending Putaway'!$B$2:$B$3000,$A121)&gt;0,SUMIFS('Pending Putaway'!$E$2:$E$3000,'Pending Putaway'!$A$2:$A$3000,$K$2,'Pending Putaway'!$B$2:$B$3000,$A121),IF(COUNTIFS('Pending Putaway'!$A$2:$A$3000,$K$2,'Pending Putaway'!$B$2:$B$3000,SUBSTITUTE($A121," SS","  SS"))&gt;0,SUMIFS('Pending Putaway'!$E$2:$E$3000,'Pending Putaway'!$A$2:$A$3000,$K$2,'Pending Putaway'!$B$2:$B$3000,SUBSTITUTE($A121," SS","  SS")),"NA"))</f>
        <v>6</v>
      </c>
      <c r="J121" s="81" t="n">
        <f aca="false">IF(COUNTIFS('Pending Putaway'!$A$2:$A$3000,$K$2,'Pending Putaway'!$B$2:$B$3000,$A121)&gt;0,SUMIFS('Pending Putaway'!$L$2:$L$3000,'Pending Putaway'!$A$2:$A$3000,$K$2,'Pending Putaway'!$B$2:$B$3000,$A121),IF(COUNTIFS('Pending Putaway'!$A$2:$A$3000,$K$2,'Pending Putaway'!$B$2:$B$3000,SUBSTITUTE($A121," SS","  SS"))&gt;0,SUMIFS('Pending Putaway'!$L$2:$L$3000,'Pending Putaway'!$A$2:$A$3000,$K$2,'Pending Putaway'!$B$2:$B$3000,SUBSTITUTE($A121," SS","  SS")),"NA"))</f>
        <v>6</v>
      </c>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row>
    <row r="122" customFormat="false" ht="15.75" hidden="false" customHeight="true" outlineLevel="0" collapsed="false">
      <c r="A122" s="81" t="s">
        <v>507</v>
      </c>
      <c r="B122" s="81" t="str">
        <f aca="false" t="array" ref="B122:B122">IFERROR(INDEX('CLM &amp; IM Mapping'!$B$2:$B$270,MATCH($A122,'CLM &amp; IM Mapping'!$A$2:$A$270,0)),"Not Mapped")</f>
        <v>Raghavendra Vernekar</v>
      </c>
      <c r="C122" s="81" t="str">
        <f aca="false" t="array" ref="C122:C122">IFERROR(INDEX('CLM &amp; IM Mapping'!$C$2:$C$270,MATCH($A122,'CLM &amp; IM Mapping'!$A$2:$A$270,0)),"Not Mapped")</f>
        <v>Prakash BS</v>
      </c>
      <c r="D122" s="82" t="n">
        <f aca="false">IF(COUNTIFS(Shrinkage!$A$2:$A$3000,$K$2,Shrinkage!$D$2:$D$3000,$A122)&gt;0,SUMIFS(Shrinkage!$P$2:$P$3000,Shrinkage!$A$2:$A$3000,$K$2,Shrinkage!$D$2:$D$3000,$A122),IF(COUNTIFS(Shrinkage!$A$2:$A$3000,$K$2,Shrinkage!$D$2:$D$3000,SUBSTITUTE($A122," SS","  SS"))&gt;0,SUMIFS(Shrinkage!$P$2:$P$3000,Shrinkage!$A$2:$A$3000,$K$2,Shrinkage!$D$2:$D$3000,SUBSTITUTE($A122," SS","  SS")),"NA"))</f>
        <v>-40674</v>
      </c>
      <c r="E122" s="83" t="n">
        <f aca="false">IF(COUNTIFS('Inventory Hygiene'!$A$2:$A$3000,$K$2,'Inventory Hygiene'!$B$2:$B$3000,$A122)&gt;0,AVERAGEIFS('Inventory Hygiene'!$J$2:$J$3000,'Inventory Hygiene'!$A$2:$A$3000,$K$2,'Inventory Hygiene'!$B$2:$B$3000,$A122),IF(COUNTIFS('Inventory Hygiene'!$A$2:$A$3000,$K$2,'Inventory Hygiene'!$B$2:$B$3000,SUBSTITUTE($A122," SS","  SS"))&gt;0,AVERAGEIFS('Inventory Hygiene'!$J$2:$J$3000,'Inventory Hygiene'!$A$2:$A$3000,$K$2,'Inventory Hygiene'!$B$2:$B$3000,SUBSTITUTE($A122," SS","  SS")),"NA"))</f>
        <v>0.999306518723995</v>
      </c>
      <c r="F122" s="81" t="n">
        <f aca="false">IF(COUNTIFS('Bad Bins'!$A$2:$A$3000,$K$2,'Bad Bins'!$B$2:$B$3000,$A122)&gt;0,SUMIFS('Bad Bins'!$K$2:$K$3000,'Bad Bins'!$A$2:$A$3000,$K$2,'Bad Bins'!$B$2:$B$3000,$A122),IF(COUNTIFS('Bad Bins'!$A$2:$A$3000,$K$2,'Bad Bins'!$B$2:$B$3000,SUBSTITUTE($A122," SS","  SS"))&gt;0,SUMIFS('Bad Bins'!$K$2:$K$3000,'Bad Bins'!$A$2:$A$3000,$K$2,'Bad Bins'!$B$2:$B$3000,SUBSTITUTE($A122," SS","  SS")),"NA"))</f>
        <v>73</v>
      </c>
      <c r="G122" s="81" t="str">
        <f aca="false">IF(COUNTIFS('RSTO &gt; 48hrs'!$A$2:$A$3000,$K$2,'RSTO &gt; 48hrs'!$B$2:$B$3000,$A122)&gt;0,SUMIFS('RSTO &gt; 48hrs'!$H$2:$H$3000,'RSTO &gt; 48hrs'!$A$2:$A$3000,$K$2,'RSTO &gt; 48hrs'!$B$2:$B$3000,$A122),IF(COUNTIFS('RSTO &gt; 48hrs'!$A$2:$A$3000,$K$2,'RSTO &gt; 48hrs'!$B$2:$B$3000,SUBSTITUTE($A122," SS","  SS"))&gt;0,SUMIFS('RSTO &gt; 48hrs'!$H$2:$H$3000,'RSTO &gt; 48hrs'!$A$2:$A$3000,$K$2,'RSTO &gt; 48hrs'!$B$2:$B$3000,SUBSTITUTE($A122," SS","  SS")),"NA"))</f>
        <v>NA</v>
      </c>
      <c r="H122" s="81" t="str">
        <f aca="false">IF(COUNTIFS('Recirculation &gt; 24 hrs'!$A$2:$A$3000,$K$2,'Recirculation &gt; 24 hrs'!$B$2:$B$3000,$A122)&gt;0,SUMIFS('Recirculation &gt; 24 hrs'!$K$2:$K$3000,'Recirculation &gt; 24 hrs'!$A$2:$A$3000,$K$2,'Recirculation &gt; 24 hrs'!$B$2:$B$3000,$A122),IF(COUNTIFS('Recirculation &gt; 24 hrs'!$A$2:$A$3000,$K$2,'Recirculation &gt; 24 hrs'!$B$2:$B$3000,SUBSTITUTE($A122," SS","  SS"))&gt;0,SUMIFS('Recirculation &gt; 24 hrs'!$K$2:$K$3000,'Recirculation &gt; 24 hrs'!$A$2:$A$3000,$K$2,'Recirculation &gt; 24 hrs'!$B$2:$B$3000,SUBSTITUTE($A122," SS","  SS")),"NA"))</f>
        <v>NA</v>
      </c>
      <c r="I122" s="81" t="n">
        <f aca="false">IF(COUNTIFS('Pending Putaway'!$A$2:$A$3000,$K$2,'Pending Putaway'!$B$2:$B$3000,$A122)&gt;0,SUMIFS('Pending Putaway'!$E$2:$E$3000,'Pending Putaway'!$A$2:$A$3000,$K$2,'Pending Putaway'!$B$2:$B$3000,$A122),IF(COUNTIFS('Pending Putaway'!$A$2:$A$3000,$K$2,'Pending Putaway'!$B$2:$B$3000,SUBSTITUTE($A122," SS","  SS"))&gt;0,SUMIFS('Pending Putaway'!$E$2:$E$3000,'Pending Putaway'!$A$2:$A$3000,$K$2,'Pending Putaway'!$B$2:$B$3000,SUBSTITUTE($A122," SS","  SS")),"NA"))</f>
        <v>8265</v>
      </c>
      <c r="J122" s="81" t="n">
        <f aca="false">IF(COUNTIFS('Pending Putaway'!$A$2:$A$3000,$K$2,'Pending Putaway'!$B$2:$B$3000,$A122)&gt;0,SUMIFS('Pending Putaway'!$L$2:$L$3000,'Pending Putaway'!$A$2:$A$3000,$K$2,'Pending Putaway'!$B$2:$B$3000,$A122),IF(COUNTIFS('Pending Putaway'!$A$2:$A$3000,$K$2,'Pending Putaway'!$B$2:$B$3000,SUBSTITUTE($A122," SS","  SS"))&gt;0,SUMIFS('Pending Putaway'!$L$2:$L$3000,'Pending Putaway'!$A$2:$A$3000,$K$2,'Pending Putaway'!$B$2:$B$3000,SUBSTITUTE($A122," SS","  SS")),"NA"))</f>
        <v>149</v>
      </c>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row>
    <row r="123" customFormat="false" ht="15.75" hidden="false" customHeight="true" outlineLevel="0" collapsed="false">
      <c r="A123" s="81" t="s">
        <v>89</v>
      </c>
      <c r="B123" s="81" t="str">
        <f aca="false" t="array" ref="B123:B123">IFERROR(INDEX('CLM &amp; IM Mapping'!$B$2:$B$270,MATCH($A123,'CLM &amp; IM Mapping'!$A$2:$A$270,0)),"Not Mapped")</f>
        <v>Raghavendra Vernekar</v>
      </c>
      <c r="C123" s="81" t="str">
        <f aca="false" t="array" ref="C123:C123">IFERROR(INDEX('CLM &amp; IM Mapping'!$C$2:$C$270,MATCH($A123,'CLM &amp; IM Mapping'!$A$2:$A$270,0)),"Not Mapped")</f>
        <v>Prakash BS</v>
      </c>
      <c r="D123" s="82" t="n">
        <f aca="false">IF(COUNTIFS(Shrinkage!$A$2:$A$3000,$K$2,Shrinkage!$D$2:$D$3000,$A123)&gt;0,SUMIFS(Shrinkage!$P$2:$P$3000,Shrinkage!$A$2:$A$3000,$K$2,Shrinkage!$D$2:$D$3000,$A123),IF(COUNTIFS(Shrinkage!$A$2:$A$3000,$K$2,Shrinkage!$D$2:$D$3000,SUBSTITUTE($A123," SS","  SS"))&gt;0,SUMIFS(Shrinkage!$P$2:$P$3000,Shrinkage!$A$2:$A$3000,$K$2,Shrinkage!$D$2:$D$3000,SUBSTITUTE($A123," SS","  SS")),"NA"))</f>
        <v>-6711</v>
      </c>
      <c r="E123" s="83" t="n">
        <f aca="false">IF(COUNTIFS('Inventory Hygiene'!$A$2:$A$3000,$K$2,'Inventory Hygiene'!$B$2:$B$3000,$A123)&gt;0,AVERAGEIFS('Inventory Hygiene'!$J$2:$J$3000,'Inventory Hygiene'!$A$2:$A$3000,$K$2,'Inventory Hygiene'!$B$2:$B$3000,$A123),IF(COUNTIFS('Inventory Hygiene'!$A$2:$A$3000,$K$2,'Inventory Hygiene'!$B$2:$B$3000,SUBSTITUTE($A123," SS","  SS"))&gt;0,AVERAGEIFS('Inventory Hygiene'!$J$2:$J$3000,'Inventory Hygiene'!$A$2:$A$3000,$K$2,'Inventory Hygiene'!$B$2:$B$3000,SUBSTITUTE($A123," SS","  SS")),"NA"))</f>
        <v>0.488077634011091</v>
      </c>
      <c r="F123" s="81" t="n">
        <f aca="false">IF(COUNTIFS('Bad Bins'!$A$2:$A$3000,$K$2,'Bad Bins'!$B$2:$B$3000,$A123)&gt;0,SUMIFS('Bad Bins'!$K$2:$K$3000,'Bad Bins'!$A$2:$A$3000,$K$2,'Bad Bins'!$B$2:$B$3000,$A123),IF(COUNTIFS('Bad Bins'!$A$2:$A$3000,$K$2,'Bad Bins'!$B$2:$B$3000,SUBSTITUTE($A123," SS","  SS"))&gt;0,SUMIFS('Bad Bins'!$K$2:$K$3000,'Bad Bins'!$A$2:$A$3000,$K$2,'Bad Bins'!$B$2:$B$3000,SUBSTITUTE($A123," SS","  SS")),"NA"))</f>
        <v>50</v>
      </c>
      <c r="G123" s="81" t="str">
        <f aca="false">IF(COUNTIFS('RSTO &gt; 48hrs'!$A$2:$A$3000,$K$2,'RSTO &gt; 48hrs'!$B$2:$B$3000,$A123)&gt;0,SUMIFS('RSTO &gt; 48hrs'!$H$2:$H$3000,'RSTO &gt; 48hrs'!$A$2:$A$3000,$K$2,'RSTO &gt; 48hrs'!$B$2:$B$3000,$A123),IF(COUNTIFS('RSTO &gt; 48hrs'!$A$2:$A$3000,$K$2,'RSTO &gt; 48hrs'!$B$2:$B$3000,SUBSTITUTE($A123," SS","  SS"))&gt;0,SUMIFS('RSTO &gt; 48hrs'!$H$2:$H$3000,'RSTO &gt; 48hrs'!$A$2:$A$3000,$K$2,'RSTO &gt; 48hrs'!$B$2:$B$3000,SUBSTITUTE($A123," SS","  SS")),"NA"))</f>
        <v>NA</v>
      </c>
      <c r="H123" s="81" t="str">
        <f aca="false">IF(COUNTIFS('Recirculation &gt; 24 hrs'!$A$2:$A$3000,$K$2,'Recirculation &gt; 24 hrs'!$B$2:$B$3000,$A123)&gt;0,SUMIFS('Recirculation &gt; 24 hrs'!$K$2:$K$3000,'Recirculation &gt; 24 hrs'!$A$2:$A$3000,$K$2,'Recirculation &gt; 24 hrs'!$B$2:$B$3000,$A123),IF(COUNTIFS('Recirculation &gt; 24 hrs'!$A$2:$A$3000,$K$2,'Recirculation &gt; 24 hrs'!$B$2:$B$3000,SUBSTITUTE($A123," SS","  SS"))&gt;0,SUMIFS('Recirculation &gt; 24 hrs'!$K$2:$K$3000,'Recirculation &gt; 24 hrs'!$A$2:$A$3000,$K$2,'Recirculation &gt; 24 hrs'!$B$2:$B$3000,SUBSTITUTE($A123," SS","  SS")),"NA"))</f>
        <v>NA</v>
      </c>
      <c r="I123" s="81" t="n">
        <f aca="false">IF(COUNTIFS('Pending Putaway'!$A$2:$A$3000,$K$2,'Pending Putaway'!$B$2:$B$3000,$A123)&gt;0,SUMIFS('Pending Putaway'!$E$2:$E$3000,'Pending Putaway'!$A$2:$A$3000,$K$2,'Pending Putaway'!$B$2:$B$3000,$A123),IF(COUNTIFS('Pending Putaway'!$A$2:$A$3000,$K$2,'Pending Putaway'!$B$2:$B$3000,SUBSTITUTE($A123," SS","  SS"))&gt;0,SUMIFS('Pending Putaway'!$E$2:$E$3000,'Pending Putaway'!$A$2:$A$3000,$K$2,'Pending Putaway'!$B$2:$B$3000,SUBSTITUTE($A123," SS","  SS")),"NA"))</f>
        <v>1886</v>
      </c>
      <c r="J123" s="81" t="n">
        <f aca="false">IF(COUNTIFS('Pending Putaway'!$A$2:$A$3000,$K$2,'Pending Putaway'!$B$2:$B$3000,$A123)&gt;0,SUMIFS('Pending Putaway'!$L$2:$L$3000,'Pending Putaway'!$A$2:$A$3000,$K$2,'Pending Putaway'!$B$2:$B$3000,$A123),IF(COUNTIFS('Pending Putaway'!$A$2:$A$3000,$K$2,'Pending Putaway'!$B$2:$B$3000,SUBSTITUTE($A123," SS","  SS"))&gt;0,SUMIFS('Pending Putaway'!$L$2:$L$3000,'Pending Putaway'!$A$2:$A$3000,$K$2,'Pending Putaway'!$B$2:$B$3000,SUBSTITUTE($A123," SS","  SS")),"NA"))</f>
        <v>0</v>
      </c>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row>
    <row r="124" customFormat="false" ht="15.75" hidden="false" customHeight="true" outlineLevel="0" collapsed="false">
      <c r="A124" s="81" t="s">
        <v>245</v>
      </c>
      <c r="B124" s="81" t="str">
        <f aca="false" t="array" ref="B124:B124">IFERROR(INDEX('CLM &amp; IM Mapping'!$B$2:$B$270,MATCH($A124,'CLM &amp; IM Mapping'!$A$2:$A$270,0)),"Not Mapped")</f>
        <v>Adhavan Subramani</v>
      </c>
      <c r="C124" s="81" t="str">
        <f aca="false" t="array" ref="C124:C124">IFERROR(INDEX('CLM &amp; IM Mapping'!$C$2:$C$270,MATCH($A124,'CLM &amp; IM Mapping'!$A$2:$A$270,0)),"Not Mapped")</f>
        <v>Mohammed Akbar</v>
      </c>
      <c r="D124" s="82" t="n">
        <f aca="false">IF(COUNTIFS(Shrinkage!$A$2:$A$3000,$K$2,Shrinkage!$D$2:$D$3000,$A124)&gt;0,SUMIFS(Shrinkage!$P$2:$P$3000,Shrinkage!$A$2:$A$3000,$K$2,Shrinkage!$D$2:$D$3000,$A124),IF(COUNTIFS(Shrinkage!$A$2:$A$3000,$K$2,Shrinkage!$D$2:$D$3000,SUBSTITUTE($A124," SS","  SS"))&gt;0,SUMIFS(Shrinkage!$P$2:$P$3000,Shrinkage!$A$2:$A$3000,$K$2,Shrinkage!$D$2:$D$3000,SUBSTITUTE($A124," SS","  SS")),"NA"))</f>
        <v>-12782</v>
      </c>
      <c r="E124" s="83" t="n">
        <f aca="false">IF(COUNTIFS('Inventory Hygiene'!$A$2:$A$3000,$K$2,'Inventory Hygiene'!$B$2:$B$3000,$A124)&gt;0,AVERAGEIFS('Inventory Hygiene'!$J$2:$J$3000,'Inventory Hygiene'!$A$2:$A$3000,$K$2,'Inventory Hygiene'!$B$2:$B$3000,$A124),IF(COUNTIFS('Inventory Hygiene'!$A$2:$A$3000,$K$2,'Inventory Hygiene'!$B$2:$B$3000,SUBSTITUTE($A124," SS","  SS"))&gt;0,AVERAGEIFS('Inventory Hygiene'!$J$2:$J$3000,'Inventory Hygiene'!$A$2:$A$3000,$K$2,'Inventory Hygiene'!$B$2:$B$3000,SUBSTITUTE($A124," SS","  SS")),"NA"))</f>
        <v>0.797860768672951</v>
      </c>
      <c r="F124" s="81" t="n">
        <f aca="false">IF(COUNTIFS('Bad Bins'!$A$2:$A$3000,$K$2,'Bad Bins'!$B$2:$B$3000,$A124)&gt;0,SUMIFS('Bad Bins'!$K$2:$K$3000,'Bad Bins'!$A$2:$A$3000,$K$2,'Bad Bins'!$B$2:$B$3000,$A124),IF(COUNTIFS('Bad Bins'!$A$2:$A$3000,$K$2,'Bad Bins'!$B$2:$B$3000,SUBSTITUTE($A124," SS","  SS"))&gt;0,SUMIFS('Bad Bins'!$K$2:$K$3000,'Bad Bins'!$A$2:$A$3000,$K$2,'Bad Bins'!$B$2:$B$3000,SUBSTITUTE($A124," SS","  SS")),"NA"))</f>
        <v>19</v>
      </c>
      <c r="G124" s="81" t="str">
        <f aca="false">IF(COUNTIFS('RSTO &gt; 48hrs'!$A$2:$A$3000,$K$2,'RSTO &gt; 48hrs'!$B$2:$B$3000,$A124)&gt;0,SUMIFS('RSTO &gt; 48hrs'!$H$2:$H$3000,'RSTO &gt; 48hrs'!$A$2:$A$3000,$K$2,'RSTO &gt; 48hrs'!$B$2:$B$3000,$A124),IF(COUNTIFS('RSTO &gt; 48hrs'!$A$2:$A$3000,$K$2,'RSTO &gt; 48hrs'!$B$2:$B$3000,SUBSTITUTE($A124," SS","  SS"))&gt;0,SUMIFS('RSTO &gt; 48hrs'!$H$2:$H$3000,'RSTO &gt; 48hrs'!$A$2:$A$3000,$K$2,'RSTO &gt; 48hrs'!$B$2:$B$3000,SUBSTITUTE($A124," SS","  SS")),"NA"))</f>
        <v>NA</v>
      </c>
      <c r="H124" s="81" t="str">
        <f aca="false">IF(COUNTIFS('Recirculation &gt; 24 hrs'!$A$2:$A$3000,$K$2,'Recirculation &gt; 24 hrs'!$B$2:$B$3000,$A124)&gt;0,SUMIFS('Recirculation &gt; 24 hrs'!$K$2:$K$3000,'Recirculation &gt; 24 hrs'!$A$2:$A$3000,$K$2,'Recirculation &gt; 24 hrs'!$B$2:$B$3000,$A124),IF(COUNTIFS('Recirculation &gt; 24 hrs'!$A$2:$A$3000,$K$2,'Recirculation &gt; 24 hrs'!$B$2:$B$3000,SUBSTITUTE($A124," SS","  SS"))&gt;0,SUMIFS('Recirculation &gt; 24 hrs'!$K$2:$K$3000,'Recirculation &gt; 24 hrs'!$A$2:$A$3000,$K$2,'Recirculation &gt; 24 hrs'!$B$2:$B$3000,SUBSTITUTE($A124," SS","  SS")),"NA"))</f>
        <v>NA</v>
      </c>
      <c r="I124" s="81" t="n">
        <f aca="false">IF(COUNTIFS('Pending Putaway'!$A$2:$A$3000,$K$2,'Pending Putaway'!$B$2:$B$3000,$A124)&gt;0,SUMIFS('Pending Putaway'!$E$2:$E$3000,'Pending Putaway'!$A$2:$A$3000,$K$2,'Pending Putaway'!$B$2:$B$3000,$A124),IF(COUNTIFS('Pending Putaway'!$A$2:$A$3000,$K$2,'Pending Putaway'!$B$2:$B$3000,SUBSTITUTE($A124," SS","  SS"))&gt;0,SUMIFS('Pending Putaway'!$E$2:$E$3000,'Pending Putaway'!$A$2:$A$3000,$K$2,'Pending Putaway'!$B$2:$B$3000,SUBSTITUTE($A124," SS","  SS")),"NA"))</f>
        <v>6403</v>
      </c>
      <c r="J124" s="81" t="n">
        <f aca="false">IF(COUNTIFS('Pending Putaway'!$A$2:$A$3000,$K$2,'Pending Putaway'!$B$2:$B$3000,$A124)&gt;0,SUMIFS('Pending Putaway'!$L$2:$L$3000,'Pending Putaway'!$A$2:$A$3000,$K$2,'Pending Putaway'!$B$2:$B$3000,$A124),IF(COUNTIFS('Pending Putaway'!$A$2:$A$3000,$K$2,'Pending Putaway'!$B$2:$B$3000,SUBSTITUTE($A124," SS","  SS"))&gt;0,SUMIFS('Pending Putaway'!$L$2:$L$3000,'Pending Putaway'!$A$2:$A$3000,$K$2,'Pending Putaway'!$B$2:$B$3000,SUBSTITUTE($A124," SS","  SS")),"NA"))</f>
        <v>1237</v>
      </c>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row>
    <row r="125" customFormat="false" ht="15.75" hidden="false" customHeight="true" outlineLevel="0" collapsed="false">
      <c r="A125" s="81" t="s">
        <v>118</v>
      </c>
      <c r="B125" s="81" t="str">
        <f aca="false" t="array" ref="B125:B125">IFERROR(INDEX('CLM &amp; IM Mapping'!$B$2:$B$270,MATCH($A125,'CLM &amp; IM Mapping'!$A$2:$A$270,0)),"Not Mapped")</f>
        <v>Adhavan Subramani</v>
      </c>
      <c r="C125" s="81" t="str">
        <f aca="false" t="array" ref="C125:C125">IFERROR(INDEX('CLM &amp; IM Mapping'!$C$2:$C$270,MATCH($A125,'CLM &amp; IM Mapping'!$A$2:$A$270,0)),"Not Mapped")</f>
        <v>Mohammed Akbar</v>
      </c>
      <c r="D125" s="82" t="n">
        <f aca="false">IF(COUNTIFS(Shrinkage!$A$2:$A$3000,$K$2,Shrinkage!$D$2:$D$3000,$A125)&gt;0,SUMIFS(Shrinkage!$P$2:$P$3000,Shrinkage!$A$2:$A$3000,$K$2,Shrinkage!$D$2:$D$3000,$A125),IF(COUNTIFS(Shrinkage!$A$2:$A$3000,$K$2,Shrinkage!$D$2:$D$3000,SUBSTITUTE($A125," SS","  SS"))&gt;0,SUMIFS(Shrinkage!$P$2:$P$3000,Shrinkage!$A$2:$A$3000,$K$2,Shrinkage!$D$2:$D$3000,SUBSTITUTE($A125," SS","  SS")),"NA"))</f>
        <v>35391</v>
      </c>
      <c r="E125" s="83" t="n">
        <f aca="false">IF(COUNTIFS('Inventory Hygiene'!$A$2:$A$3000,$K$2,'Inventory Hygiene'!$B$2:$B$3000,$A125)&gt;0,AVERAGEIFS('Inventory Hygiene'!$J$2:$J$3000,'Inventory Hygiene'!$A$2:$A$3000,$K$2,'Inventory Hygiene'!$B$2:$B$3000,$A125),IF(COUNTIFS('Inventory Hygiene'!$A$2:$A$3000,$K$2,'Inventory Hygiene'!$B$2:$B$3000,SUBSTITUTE($A125," SS","  SS"))&gt;0,AVERAGEIFS('Inventory Hygiene'!$J$2:$J$3000,'Inventory Hygiene'!$A$2:$A$3000,$K$2,'Inventory Hygiene'!$B$2:$B$3000,SUBSTITUTE($A125," SS","  SS")),"NA"))</f>
        <v>0.4280296784831</v>
      </c>
      <c r="F125" s="81" t="n">
        <f aca="false">IF(COUNTIFS('Bad Bins'!$A$2:$A$3000,$K$2,'Bad Bins'!$B$2:$B$3000,$A125)&gt;0,SUMIFS('Bad Bins'!$K$2:$K$3000,'Bad Bins'!$A$2:$A$3000,$K$2,'Bad Bins'!$B$2:$B$3000,$A125),IF(COUNTIFS('Bad Bins'!$A$2:$A$3000,$K$2,'Bad Bins'!$B$2:$B$3000,SUBSTITUTE($A125," SS","  SS"))&gt;0,SUMIFS('Bad Bins'!$K$2:$K$3000,'Bad Bins'!$A$2:$A$3000,$K$2,'Bad Bins'!$B$2:$B$3000,SUBSTITUTE($A125," SS","  SS")),"NA"))</f>
        <v>95</v>
      </c>
      <c r="G125" s="81" t="str">
        <f aca="false">IF(COUNTIFS('RSTO &gt; 48hrs'!$A$2:$A$3000,$K$2,'RSTO &gt; 48hrs'!$B$2:$B$3000,$A125)&gt;0,SUMIFS('RSTO &gt; 48hrs'!$H$2:$H$3000,'RSTO &gt; 48hrs'!$A$2:$A$3000,$K$2,'RSTO &gt; 48hrs'!$B$2:$B$3000,$A125),IF(COUNTIFS('RSTO &gt; 48hrs'!$A$2:$A$3000,$K$2,'RSTO &gt; 48hrs'!$B$2:$B$3000,SUBSTITUTE($A125," SS","  SS"))&gt;0,SUMIFS('RSTO &gt; 48hrs'!$H$2:$H$3000,'RSTO &gt; 48hrs'!$A$2:$A$3000,$K$2,'RSTO &gt; 48hrs'!$B$2:$B$3000,SUBSTITUTE($A125," SS","  SS")),"NA"))</f>
        <v>NA</v>
      </c>
      <c r="H125" s="81" t="n">
        <f aca="false">IF(COUNTIFS('Recirculation &gt; 24 hrs'!$A$2:$A$3000,$K$2,'Recirculation &gt; 24 hrs'!$B$2:$B$3000,$A125)&gt;0,SUMIFS('Recirculation &gt; 24 hrs'!$K$2:$K$3000,'Recirculation &gt; 24 hrs'!$A$2:$A$3000,$K$2,'Recirculation &gt; 24 hrs'!$B$2:$B$3000,$A125),IF(COUNTIFS('Recirculation &gt; 24 hrs'!$A$2:$A$3000,$K$2,'Recirculation &gt; 24 hrs'!$B$2:$B$3000,SUBSTITUTE($A125," SS","  SS"))&gt;0,SUMIFS('Recirculation &gt; 24 hrs'!$K$2:$K$3000,'Recirculation &gt; 24 hrs'!$A$2:$A$3000,$K$2,'Recirculation &gt; 24 hrs'!$B$2:$B$3000,SUBSTITUTE($A125," SS","  SS")),"NA"))</f>
        <v>4</v>
      </c>
      <c r="I125" s="81" t="n">
        <f aca="false">IF(COUNTIFS('Pending Putaway'!$A$2:$A$3000,$K$2,'Pending Putaway'!$B$2:$B$3000,$A125)&gt;0,SUMIFS('Pending Putaway'!$E$2:$E$3000,'Pending Putaway'!$A$2:$A$3000,$K$2,'Pending Putaway'!$B$2:$B$3000,$A125),IF(COUNTIFS('Pending Putaway'!$A$2:$A$3000,$K$2,'Pending Putaway'!$B$2:$B$3000,SUBSTITUTE($A125," SS","  SS"))&gt;0,SUMIFS('Pending Putaway'!$E$2:$E$3000,'Pending Putaway'!$A$2:$A$3000,$K$2,'Pending Putaway'!$B$2:$B$3000,SUBSTITUTE($A125," SS","  SS")),"NA"))</f>
        <v>3092</v>
      </c>
      <c r="J125" s="81" t="n">
        <f aca="false">IF(COUNTIFS('Pending Putaway'!$A$2:$A$3000,$K$2,'Pending Putaway'!$B$2:$B$3000,$A125)&gt;0,SUMIFS('Pending Putaway'!$L$2:$L$3000,'Pending Putaway'!$A$2:$A$3000,$K$2,'Pending Putaway'!$B$2:$B$3000,$A125),IF(COUNTIFS('Pending Putaway'!$A$2:$A$3000,$K$2,'Pending Putaway'!$B$2:$B$3000,SUBSTITUTE($A125," SS","  SS"))&gt;0,SUMIFS('Pending Putaway'!$L$2:$L$3000,'Pending Putaway'!$A$2:$A$3000,$K$2,'Pending Putaway'!$B$2:$B$3000,SUBSTITUTE($A125," SS","  SS")),"NA"))</f>
        <v>32</v>
      </c>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row>
    <row r="126" customFormat="false" ht="15.75" hidden="false" customHeight="true" outlineLevel="0" collapsed="false">
      <c r="A126" s="81" t="s">
        <v>114</v>
      </c>
      <c r="B126" s="81" t="str">
        <f aca="false" t="array" ref="B126:B126">IFERROR(INDEX('CLM &amp; IM Mapping'!$B$2:$B$270,MATCH($A126,'CLM &amp; IM Mapping'!$A$2:$A$270,0)),"Not Mapped")</f>
        <v>Adhavan Subramani</v>
      </c>
      <c r="C126" s="81" t="str">
        <f aca="false" t="array" ref="C126:C126">IFERROR(INDEX('CLM &amp; IM Mapping'!$C$2:$C$270,MATCH($A126,'CLM &amp; IM Mapping'!$A$2:$A$270,0)),"Not Mapped")</f>
        <v>Mohammed Akbar</v>
      </c>
      <c r="D126" s="82" t="n">
        <f aca="false">IF(COUNTIFS(Shrinkage!$A$2:$A$3000,$K$2,Shrinkage!$D$2:$D$3000,$A126)&gt;0,SUMIFS(Shrinkage!$P$2:$P$3000,Shrinkage!$A$2:$A$3000,$K$2,Shrinkage!$D$2:$D$3000,$A126),IF(COUNTIFS(Shrinkage!$A$2:$A$3000,$K$2,Shrinkage!$D$2:$D$3000,SUBSTITUTE($A126," SS","  SS"))&gt;0,SUMIFS(Shrinkage!$P$2:$P$3000,Shrinkage!$A$2:$A$3000,$K$2,Shrinkage!$D$2:$D$3000,SUBSTITUTE($A126," SS","  SS")),"NA"))</f>
        <v>5972</v>
      </c>
      <c r="E126" s="83" t="n">
        <f aca="false">IF(COUNTIFS('Inventory Hygiene'!$A$2:$A$3000,$K$2,'Inventory Hygiene'!$B$2:$B$3000,$A126)&gt;0,AVERAGEIFS('Inventory Hygiene'!$J$2:$J$3000,'Inventory Hygiene'!$A$2:$A$3000,$K$2,'Inventory Hygiene'!$B$2:$B$3000,$A126),IF(COUNTIFS('Inventory Hygiene'!$A$2:$A$3000,$K$2,'Inventory Hygiene'!$B$2:$B$3000,SUBSTITUTE($A126," SS","  SS"))&gt;0,AVERAGEIFS('Inventory Hygiene'!$J$2:$J$3000,'Inventory Hygiene'!$A$2:$A$3000,$K$2,'Inventory Hygiene'!$B$2:$B$3000,SUBSTITUTE($A126," SS","  SS")),"NA"))</f>
        <v>0.582817747922927</v>
      </c>
      <c r="F126" s="81" t="n">
        <f aca="false">IF(COUNTIFS('Bad Bins'!$A$2:$A$3000,$K$2,'Bad Bins'!$B$2:$B$3000,$A126)&gt;0,SUMIFS('Bad Bins'!$K$2:$K$3000,'Bad Bins'!$A$2:$A$3000,$K$2,'Bad Bins'!$B$2:$B$3000,$A126),IF(COUNTIFS('Bad Bins'!$A$2:$A$3000,$K$2,'Bad Bins'!$B$2:$B$3000,SUBSTITUTE($A126," SS","  SS"))&gt;0,SUMIFS('Bad Bins'!$K$2:$K$3000,'Bad Bins'!$A$2:$A$3000,$K$2,'Bad Bins'!$B$2:$B$3000,SUBSTITUTE($A126," SS","  SS")),"NA"))</f>
        <v>41</v>
      </c>
      <c r="G126" s="81" t="str">
        <f aca="false">IF(COUNTIFS('RSTO &gt; 48hrs'!$A$2:$A$3000,$K$2,'RSTO &gt; 48hrs'!$B$2:$B$3000,$A126)&gt;0,SUMIFS('RSTO &gt; 48hrs'!$H$2:$H$3000,'RSTO &gt; 48hrs'!$A$2:$A$3000,$K$2,'RSTO &gt; 48hrs'!$B$2:$B$3000,$A126),IF(COUNTIFS('RSTO &gt; 48hrs'!$A$2:$A$3000,$K$2,'RSTO &gt; 48hrs'!$B$2:$B$3000,SUBSTITUTE($A126," SS","  SS"))&gt;0,SUMIFS('RSTO &gt; 48hrs'!$H$2:$H$3000,'RSTO &gt; 48hrs'!$A$2:$A$3000,$K$2,'RSTO &gt; 48hrs'!$B$2:$B$3000,SUBSTITUTE($A126," SS","  SS")),"NA"))</f>
        <v>NA</v>
      </c>
      <c r="H126" s="81" t="n">
        <f aca="false">IF(COUNTIFS('Recirculation &gt; 24 hrs'!$A$2:$A$3000,$K$2,'Recirculation &gt; 24 hrs'!$B$2:$B$3000,$A126)&gt;0,SUMIFS('Recirculation &gt; 24 hrs'!$K$2:$K$3000,'Recirculation &gt; 24 hrs'!$A$2:$A$3000,$K$2,'Recirculation &gt; 24 hrs'!$B$2:$B$3000,$A126),IF(COUNTIFS('Recirculation &gt; 24 hrs'!$A$2:$A$3000,$K$2,'Recirculation &gt; 24 hrs'!$B$2:$B$3000,SUBSTITUTE($A126," SS","  SS"))&gt;0,SUMIFS('Recirculation &gt; 24 hrs'!$K$2:$K$3000,'Recirculation &gt; 24 hrs'!$A$2:$A$3000,$K$2,'Recirculation &gt; 24 hrs'!$B$2:$B$3000,SUBSTITUTE($A126," SS","  SS")),"NA"))</f>
        <v>6</v>
      </c>
      <c r="I126" s="81" t="n">
        <f aca="false">IF(COUNTIFS('Pending Putaway'!$A$2:$A$3000,$K$2,'Pending Putaway'!$B$2:$B$3000,$A126)&gt;0,SUMIFS('Pending Putaway'!$E$2:$E$3000,'Pending Putaway'!$A$2:$A$3000,$K$2,'Pending Putaway'!$B$2:$B$3000,$A126),IF(COUNTIFS('Pending Putaway'!$A$2:$A$3000,$K$2,'Pending Putaway'!$B$2:$B$3000,SUBSTITUTE($A126," SS","  SS"))&gt;0,SUMIFS('Pending Putaway'!$E$2:$E$3000,'Pending Putaway'!$A$2:$A$3000,$K$2,'Pending Putaway'!$B$2:$B$3000,SUBSTITUTE($A126," SS","  SS")),"NA"))</f>
        <v>826</v>
      </c>
      <c r="J126" s="81" t="n">
        <f aca="false">IF(COUNTIFS('Pending Putaway'!$A$2:$A$3000,$K$2,'Pending Putaway'!$B$2:$B$3000,$A126)&gt;0,SUMIFS('Pending Putaway'!$L$2:$L$3000,'Pending Putaway'!$A$2:$A$3000,$K$2,'Pending Putaway'!$B$2:$B$3000,$A126),IF(COUNTIFS('Pending Putaway'!$A$2:$A$3000,$K$2,'Pending Putaway'!$B$2:$B$3000,SUBSTITUTE($A126," SS","  SS"))&gt;0,SUMIFS('Pending Putaway'!$L$2:$L$3000,'Pending Putaway'!$A$2:$A$3000,$K$2,'Pending Putaway'!$B$2:$B$3000,SUBSTITUTE($A126," SS","  SS")),"NA"))</f>
        <v>723</v>
      </c>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row>
    <row r="127" customFormat="false" ht="15.75" hidden="false" customHeight="true" outlineLevel="0" collapsed="false">
      <c r="A127" s="81" t="s">
        <v>65</v>
      </c>
      <c r="B127" s="81" t="str">
        <f aca="false" t="array" ref="B127:B127">IFERROR(INDEX('CLM &amp; IM Mapping'!$B$2:$B$270,MATCH($A127,'CLM &amp; IM Mapping'!$A$2:$A$270,0)),"Not Mapped")</f>
        <v>Adhavan Subramani</v>
      </c>
      <c r="C127" s="81" t="str">
        <f aca="false" t="array" ref="C127:C127">IFERROR(INDEX('CLM &amp; IM Mapping'!$C$2:$C$270,MATCH($A127,'CLM &amp; IM Mapping'!$A$2:$A$270,0)),"Not Mapped")</f>
        <v>Mohammed Akbar</v>
      </c>
      <c r="D127" s="82" t="n">
        <f aca="false">IF(COUNTIFS(Shrinkage!$A$2:$A$3000,$K$2,Shrinkage!$D$2:$D$3000,$A127)&gt;0,SUMIFS(Shrinkage!$P$2:$P$3000,Shrinkage!$A$2:$A$3000,$K$2,Shrinkage!$D$2:$D$3000,$A127),IF(COUNTIFS(Shrinkage!$A$2:$A$3000,$K$2,Shrinkage!$D$2:$D$3000,SUBSTITUTE($A127," SS","  SS"))&gt;0,SUMIFS(Shrinkage!$P$2:$P$3000,Shrinkage!$A$2:$A$3000,$K$2,Shrinkage!$D$2:$D$3000,SUBSTITUTE($A127," SS","  SS")),"NA"))</f>
        <v>21548</v>
      </c>
      <c r="E127" s="83" t="n">
        <f aca="false">IF(COUNTIFS('Inventory Hygiene'!$A$2:$A$3000,$K$2,'Inventory Hygiene'!$B$2:$B$3000,$A127)&gt;0,AVERAGEIFS('Inventory Hygiene'!$J$2:$J$3000,'Inventory Hygiene'!$A$2:$A$3000,$K$2,'Inventory Hygiene'!$B$2:$B$3000,$A127),IF(COUNTIFS('Inventory Hygiene'!$A$2:$A$3000,$K$2,'Inventory Hygiene'!$B$2:$B$3000,SUBSTITUTE($A127," SS","  SS"))&gt;0,AVERAGEIFS('Inventory Hygiene'!$J$2:$J$3000,'Inventory Hygiene'!$A$2:$A$3000,$K$2,'Inventory Hygiene'!$B$2:$B$3000,SUBSTITUTE($A127," SS","  SS")),"NA"))</f>
        <v>0.765434314429289</v>
      </c>
      <c r="F127" s="81" t="n">
        <f aca="false">IF(COUNTIFS('Bad Bins'!$A$2:$A$3000,$K$2,'Bad Bins'!$B$2:$B$3000,$A127)&gt;0,SUMIFS('Bad Bins'!$K$2:$K$3000,'Bad Bins'!$A$2:$A$3000,$K$2,'Bad Bins'!$B$2:$B$3000,$A127),IF(COUNTIFS('Bad Bins'!$A$2:$A$3000,$K$2,'Bad Bins'!$B$2:$B$3000,SUBSTITUTE($A127," SS","  SS"))&gt;0,SUMIFS('Bad Bins'!$K$2:$K$3000,'Bad Bins'!$A$2:$A$3000,$K$2,'Bad Bins'!$B$2:$B$3000,SUBSTITUTE($A127," SS","  SS")),"NA"))</f>
        <v>24</v>
      </c>
      <c r="G127" s="81" t="str">
        <f aca="false">IF(COUNTIFS('RSTO &gt; 48hrs'!$A$2:$A$3000,$K$2,'RSTO &gt; 48hrs'!$B$2:$B$3000,$A127)&gt;0,SUMIFS('RSTO &gt; 48hrs'!$H$2:$H$3000,'RSTO &gt; 48hrs'!$A$2:$A$3000,$K$2,'RSTO &gt; 48hrs'!$B$2:$B$3000,$A127),IF(COUNTIFS('RSTO &gt; 48hrs'!$A$2:$A$3000,$K$2,'RSTO &gt; 48hrs'!$B$2:$B$3000,SUBSTITUTE($A127," SS","  SS"))&gt;0,SUMIFS('RSTO &gt; 48hrs'!$H$2:$H$3000,'RSTO &gt; 48hrs'!$A$2:$A$3000,$K$2,'RSTO &gt; 48hrs'!$B$2:$B$3000,SUBSTITUTE($A127," SS","  SS")),"NA"))</f>
        <v>NA</v>
      </c>
      <c r="H127" s="81" t="n">
        <f aca="false">IF(COUNTIFS('Recirculation &gt; 24 hrs'!$A$2:$A$3000,$K$2,'Recirculation &gt; 24 hrs'!$B$2:$B$3000,$A127)&gt;0,SUMIFS('Recirculation &gt; 24 hrs'!$K$2:$K$3000,'Recirculation &gt; 24 hrs'!$A$2:$A$3000,$K$2,'Recirculation &gt; 24 hrs'!$B$2:$B$3000,$A127),IF(COUNTIFS('Recirculation &gt; 24 hrs'!$A$2:$A$3000,$K$2,'Recirculation &gt; 24 hrs'!$B$2:$B$3000,SUBSTITUTE($A127," SS","  SS"))&gt;0,SUMIFS('Recirculation &gt; 24 hrs'!$K$2:$K$3000,'Recirculation &gt; 24 hrs'!$A$2:$A$3000,$K$2,'Recirculation &gt; 24 hrs'!$B$2:$B$3000,SUBSTITUTE($A127," SS","  SS")),"NA"))</f>
        <v>783</v>
      </c>
      <c r="I127" s="81" t="n">
        <f aca="false">IF(COUNTIFS('Pending Putaway'!$A$2:$A$3000,$K$2,'Pending Putaway'!$B$2:$B$3000,$A127)&gt;0,SUMIFS('Pending Putaway'!$E$2:$E$3000,'Pending Putaway'!$A$2:$A$3000,$K$2,'Pending Putaway'!$B$2:$B$3000,$A127),IF(COUNTIFS('Pending Putaway'!$A$2:$A$3000,$K$2,'Pending Putaway'!$B$2:$B$3000,SUBSTITUTE($A127," SS","  SS"))&gt;0,SUMIFS('Pending Putaway'!$E$2:$E$3000,'Pending Putaway'!$A$2:$A$3000,$K$2,'Pending Putaway'!$B$2:$B$3000,SUBSTITUTE($A127," SS","  SS")),"NA"))</f>
        <v>3471</v>
      </c>
      <c r="J127" s="81" t="n">
        <f aca="false">IF(COUNTIFS('Pending Putaway'!$A$2:$A$3000,$K$2,'Pending Putaway'!$B$2:$B$3000,$A127)&gt;0,SUMIFS('Pending Putaway'!$L$2:$L$3000,'Pending Putaway'!$A$2:$A$3000,$K$2,'Pending Putaway'!$B$2:$B$3000,$A127),IF(COUNTIFS('Pending Putaway'!$A$2:$A$3000,$K$2,'Pending Putaway'!$B$2:$B$3000,SUBSTITUTE($A127," SS","  SS"))&gt;0,SUMIFS('Pending Putaway'!$L$2:$L$3000,'Pending Putaway'!$A$2:$A$3000,$K$2,'Pending Putaway'!$B$2:$B$3000,SUBSTITUTE($A127," SS","  SS")),"NA"))</f>
        <v>1319</v>
      </c>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row>
    <row r="128" customFormat="false" ht="15.75" hidden="false" customHeight="true" outlineLevel="0" collapsed="false">
      <c r="A128" s="81" t="s">
        <v>195</v>
      </c>
      <c r="B128" s="81" t="str">
        <f aca="false" t="array" ref="B128:B128">IFERROR(INDEX('CLM &amp; IM Mapping'!$B$2:$B$270,MATCH($A128,'CLM &amp; IM Mapping'!$A$2:$A$270,0)),"Not Mapped")</f>
        <v>Adhavan Subramani</v>
      </c>
      <c r="C128" s="81" t="str">
        <f aca="false" t="array" ref="C128:C128">IFERROR(INDEX('CLM &amp; IM Mapping'!$C$2:$C$270,MATCH($A128,'CLM &amp; IM Mapping'!$A$2:$A$270,0)),"Not Mapped")</f>
        <v>Mohammed Akbar</v>
      </c>
      <c r="D128" s="82" t="n">
        <f aca="false">IF(COUNTIFS(Shrinkage!$A$2:$A$3000,$K$2,Shrinkage!$D$2:$D$3000,$A128)&gt;0,SUMIFS(Shrinkage!$P$2:$P$3000,Shrinkage!$A$2:$A$3000,$K$2,Shrinkage!$D$2:$D$3000,$A128),IF(COUNTIFS(Shrinkage!$A$2:$A$3000,$K$2,Shrinkage!$D$2:$D$3000,SUBSTITUTE($A128," SS","  SS"))&gt;0,SUMIFS(Shrinkage!$P$2:$P$3000,Shrinkage!$A$2:$A$3000,$K$2,Shrinkage!$D$2:$D$3000,SUBSTITUTE($A128," SS","  SS")),"NA"))</f>
        <v>21062</v>
      </c>
      <c r="E128" s="83" t="n">
        <f aca="false">IF(COUNTIFS('Inventory Hygiene'!$A$2:$A$3000,$K$2,'Inventory Hygiene'!$B$2:$B$3000,$A128)&gt;0,AVERAGEIFS('Inventory Hygiene'!$J$2:$J$3000,'Inventory Hygiene'!$A$2:$A$3000,$K$2,'Inventory Hygiene'!$B$2:$B$3000,$A128),IF(COUNTIFS('Inventory Hygiene'!$A$2:$A$3000,$K$2,'Inventory Hygiene'!$B$2:$B$3000,SUBSTITUTE($A128," SS","  SS"))&gt;0,AVERAGEIFS('Inventory Hygiene'!$J$2:$J$3000,'Inventory Hygiene'!$A$2:$A$3000,$K$2,'Inventory Hygiene'!$B$2:$B$3000,SUBSTITUTE($A128," SS","  SS")),"NA"))</f>
        <v>0.607931096357438</v>
      </c>
      <c r="F128" s="81" t="n">
        <f aca="false">IF(COUNTIFS('Bad Bins'!$A$2:$A$3000,$K$2,'Bad Bins'!$B$2:$B$3000,$A128)&gt;0,SUMIFS('Bad Bins'!$K$2:$K$3000,'Bad Bins'!$A$2:$A$3000,$K$2,'Bad Bins'!$B$2:$B$3000,$A128),IF(COUNTIFS('Bad Bins'!$A$2:$A$3000,$K$2,'Bad Bins'!$B$2:$B$3000,SUBSTITUTE($A128," SS","  SS"))&gt;0,SUMIFS('Bad Bins'!$K$2:$K$3000,'Bad Bins'!$A$2:$A$3000,$K$2,'Bad Bins'!$B$2:$B$3000,SUBSTITUTE($A128," SS","  SS")),"NA"))</f>
        <v>62</v>
      </c>
      <c r="G128" s="81" t="str">
        <f aca="false">IF(COUNTIFS('RSTO &gt; 48hrs'!$A$2:$A$3000,$K$2,'RSTO &gt; 48hrs'!$B$2:$B$3000,$A128)&gt;0,SUMIFS('RSTO &gt; 48hrs'!$H$2:$H$3000,'RSTO &gt; 48hrs'!$A$2:$A$3000,$K$2,'RSTO &gt; 48hrs'!$B$2:$B$3000,$A128),IF(COUNTIFS('RSTO &gt; 48hrs'!$A$2:$A$3000,$K$2,'RSTO &gt; 48hrs'!$B$2:$B$3000,SUBSTITUTE($A128," SS","  SS"))&gt;0,SUMIFS('RSTO &gt; 48hrs'!$H$2:$H$3000,'RSTO &gt; 48hrs'!$A$2:$A$3000,$K$2,'RSTO &gt; 48hrs'!$B$2:$B$3000,SUBSTITUTE($A128," SS","  SS")),"NA"))</f>
        <v>NA</v>
      </c>
      <c r="H128" s="81" t="str">
        <f aca="false">IF(COUNTIFS('Recirculation &gt; 24 hrs'!$A$2:$A$3000,$K$2,'Recirculation &gt; 24 hrs'!$B$2:$B$3000,$A128)&gt;0,SUMIFS('Recirculation &gt; 24 hrs'!$K$2:$K$3000,'Recirculation &gt; 24 hrs'!$A$2:$A$3000,$K$2,'Recirculation &gt; 24 hrs'!$B$2:$B$3000,$A128),IF(COUNTIFS('Recirculation &gt; 24 hrs'!$A$2:$A$3000,$K$2,'Recirculation &gt; 24 hrs'!$B$2:$B$3000,SUBSTITUTE($A128," SS","  SS"))&gt;0,SUMIFS('Recirculation &gt; 24 hrs'!$K$2:$K$3000,'Recirculation &gt; 24 hrs'!$A$2:$A$3000,$K$2,'Recirculation &gt; 24 hrs'!$B$2:$B$3000,SUBSTITUTE($A128," SS","  SS")),"NA"))</f>
        <v>NA</v>
      </c>
      <c r="I128" s="81" t="n">
        <f aca="false">IF(COUNTIFS('Pending Putaway'!$A$2:$A$3000,$K$2,'Pending Putaway'!$B$2:$B$3000,$A128)&gt;0,SUMIFS('Pending Putaway'!$E$2:$E$3000,'Pending Putaway'!$A$2:$A$3000,$K$2,'Pending Putaway'!$B$2:$B$3000,$A128),IF(COUNTIFS('Pending Putaway'!$A$2:$A$3000,$K$2,'Pending Putaway'!$B$2:$B$3000,SUBSTITUTE($A128," SS","  SS"))&gt;0,SUMIFS('Pending Putaway'!$E$2:$E$3000,'Pending Putaway'!$A$2:$A$3000,$K$2,'Pending Putaway'!$B$2:$B$3000,SUBSTITUTE($A128," SS","  SS")),"NA"))</f>
        <v>8044</v>
      </c>
      <c r="J128" s="81" t="n">
        <f aca="false">IF(COUNTIFS('Pending Putaway'!$A$2:$A$3000,$K$2,'Pending Putaway'!$B$2:$B$3000,$A128)&gt;0,SUMIFS('Pending Putaway'!$L$2:$L$3000,'Pending Putaway'!$A$2:$A$3000,$K$2,'Pending Putaway'!$B$2:$B$3000,$A128),IF(COUNTIFS('Pending Putaway'!$A$2:$A$3000,$K$2,'Pending Putaway'!$B$2:$B$3000,SUBSTITUTE($A128," SS","  SS"))&gt;0,SUMIFS('Pending Putaway'!$L$2:$L$3000,'Pending Putaway'!$A$2:$A$3000,$K$2,'Pending Putaway'!$B$2:$B$3000,SUBSTITUTE($A128," SS","  SS")),"NA"))</f>
        <v>2702</v>
      </c>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row>
    <row r="129" customFormat="false" ht="15.75" hidden="false" customHeight="true" outlineLevel="0" collapsed="false">
      <c r="A129" s="81" t="s">
        <v>200</v>
      </c>
      <c r="B129" s="81" t="str">
        <f aca="false" t="array" ref="B129:B129">IFERROR(INDEX('CLM &amp; IM Mapping'!$B$2:$B$270,MATCH($A129,'CLM &amp; IM Mapping'!$A$2:$A$270,0)),"Not Mapped")</f>
        <v>Adhavan Subramani</v>
      </c>
      <c r="C129" s="81" t="str">
        <f aca="false" t="array" ref="C129:C129">IFERROR(INDEX('CLM &amp; IM Mapping'!$C$2:$C$270,MATCH($A129,'CLM &amp; IM Mapping'!$A$2:$A$270,0)),"Not Mapped")</f>
        <v>Mohammed Akbar</v>
      </c>
      <c r="D129" s="82" t="n">
        <f aca="false">IF(COUNTIFS(Shrinkage!$A$2:$A$3000,$K$2,Shrinkage!$D$2:$D$3000,$A129)&gt;0,SUMIFS(Shrinkage!$P$2:$P$3000,Shrinkage!$A$2:$A$3000,$K$2,Shrinkage!$D$2:$D$3000,$A129),IF(COUNTIFS(Shrinkage!$A$2:$A$3000,$K$2,Shrinkage!$D$2:$D$3000,SUBSTITUTE($A129," SS","  SS"))&gt;0,SUMIFS(Shrinkage!$P$2:$P$3000,Shrinkage!$A$2:$A$3000,$K$2,Shrinkage!$D$2:$D$3000,SUBSTITUTE($A129," SS","  SS")),"NA"))</f>
        <v>95491</v>
      </c>
      <c r="E129" s="83" t="n">
        <f aca="false">IF(COUNTIFS('Inventory Hygiene'!$A$2:$A$3000,$K$2,'Inventory Hygiene'!$B$2:$B$3000,$A129)&gt;0,AVERAGEIFS('Inventory Hygiene'!$J$2:$J$3000,'Inventory Hygiene'!$A$2:$A$3000,$K$2,'Inventory Hygiene'!$B$2:$B$3000,$A129),IF(COUNTIFS('Inventory Hygiene'!$A$2:$A$3000,$K$2,'Inventory Hygiene'!$B$2:$B$3000,SUBSTITUTE($A129," SS","  SS"))&gt;0,AVERAGEIFS('Inventory Hygiene'!$J$2:$J$3000,'Inventory Hygiene'!$A$2:$A$3000,$K$2,'Inventory Hygiene'!$B$2:$B$3000,SUBSTITUTE($A129," SS","  SS")),"NA"))</f>
        <v>0.391187618445989</v>
      </c>
      <c r="F129" s="81" t="n">
        <f aca="false">IF(COUNTIFS('Bad Bins'!$A$2:$A$3000,$K$2,'Bad Bins'!$B$2:$B$3000,$A129)&gt;0,SUMIFS('Bad Bins'!$K$2:$K$3000,'Bad Bins'!$A$2:$A$3000,$K$2,'Bad Bins'!$B$2:$B$3000,$A129),IF(COUNTIFS('Bad Bins'!$A$2:$A$3000,$K$2,'Bad Bins'!$B$2:$B$3000,SUBSTITUTE($A129," SS","  SS"))&gt;0,SUMIFS('Bad Bins'!$K$2:$K$3000,'Bad Bins'!$A$2:$A$3000,$K$2,'Bad Bins'!$B$2:$B$3000,SUBSTITUTE($A129," SS","  SS")),"NA"))</f>
        <v>50</v>
      </c>
      <c r="G129" s="81" t="str">
        <f aca="false">IF(COUNTIFS('RSTO &gt; 48hrs'!$A$2:$A$3000,$K$2,'RSTO &gt; 48hrs'!$B$2:$B$3000,$A129)&gt;0,SUMIFS('RSTO &gt; 48hrs'!$H$2:$H$3000,'RSTO &gt; 48hrs'!$A$2:$A$3000,$K$2,'RSTO &gt; 48hrs'!$B$2:$B$3000,$A129),IF(COUNTIFS('RSTO &gt; 48hrs'!$A$2:$A$3000,$K$2,'RSTO &gt; 48hrs'!$B$2:$B$3000,SUBSTITUTE($A129," SS","  SS"))&gt;0,SUMIFS('RSTO &gt; 48hrs'!$H$2:$H$3000,'RSTO &gt; 48hrs'!$A$2:$A$3000,$K$2,'RSTO &gt; 48hrs'!$B$2:$B$3000,SUBSTITUTE($A129," SS","  SS")),"NA"))</f>
        <v>NA</v>
      </c>
      <c r="H129" s="81" t="str">
        <f aca="false">IF(COUNTIFS('Recirculation &gt; 24 hrs'!$A$2:$A$3000,$K$2,'Recirculation &gt; 24 hrs'!$B$2:$B$3000,$A129)&gt;0,SUMIFS('Recirculation &gt; 24 hrs'!$K$2:$K$3000,'Recirculation &gt; 24 hrs'!$A$2:$A$3000,$K$2,'Recirculation &gt; 24 hrs'!$B$2:$B$3000,$A129),IF(COUNTIFS('Recirculation &gt; 24 hrs'!$A$2:$A$3000,$K$2,'Recirculation &gt; 24 hrs'!$B$2:$B$3000,SUBSTITUTE($A129," SS","  SS"))&gt;0,SUMIFS('Recirculation &gt; 24 hrs'!$K$2:$K$3000,'Recirculation &gt; 24 hrs'!$A$2:$A$3000,$K$2,'Recirculation &gt; 24 hrs'!$B$2:$B$3000,SUBSTITUTE($A129," SS","  SS")),"NA"))</f>
        <v>NA</v>
      </c>
      <c r="I129" s="81" t="n">
        <f aca="false">IF(COUNTIFS('Pending Putaway'!$A$2:$A$3000,$K$2,'Pending Putaway'!$B$2:$B$3000,$A129)&gt;0,SUMIFS('Pending Putaway'!$E$2:$E$3000,'Pending Putaway'!$A$2:$A$3000,$K$2,'Pending Putaway'!$B$2:$B$3000,$A129),IF(COUNTIFS('Pending Putaway'!$A$2:$A$3000,$K$2,'Pending Putaway'!$B$2:$B$3000,SUBSTITUTE($A129," SS","  SS"))&gt;0,SUMIFS('Pending Putaway'!$E$2:$E$3000,'Pending Putaway'!$A$2:$A$3000,$K$2,'Pending Putaway'!$B$2:$B$3000,SUBSTITUTE($A129," SS","  SS")),"NA"))</f>
        <v>2141</v>
      </c>
      <c r="J129" s="81" t="n">
        <f aca="false">IF(COUNTIFS('Pending Putaway'!$A$2:$A$3000,$K$2,'Pending Putaway'!$B$2:$B$3000,$A129)&gt;0,SUMIFS('Pending Putaway'!$L$2:$L$3000,'Pending Putaway'!$A$2:$A$3000,$K$2,'Pending Putaway'!$B$2:$B$3000,$A129),IF(COUNTIFS('Pending Putaway'!$A$2:$A$3000,$K$2,'Pending Putaway'!$B$2:$B$3000,SUBSTITUTE($A129," SS","  SS"))&gt;0,SUMIFS('Pending Putaway'!$L$2:$L$3000,'Pending Putaway'!$A$2:$A$3000,$K$2,'Pending Putaway'!$B$2:$B$3000,SUBSTITUTE($A129," SS","  SS")),"NA"))</f>
        <v>302</v>
      </c>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row>
    <row r="130" customFormat="false" ht="15.75" hidden="false" customHeight="true" outlineLevel="0" collapsed="false">
      <c r="A130" s="81" t="s">
        <v>191</v>
      </c>
      <c r="B130" s="81" t="str">
        <f aca="false" t="array" ref="B130:B130">IFERROR(INDEX('CLM &amp; IM Mapping'!$B$2:$B$270,MATCH($A130,'CLM &amp; IM Mapping'!$A$2:$A$270,0)),"Not Mapped")</f>
        <v>Adhavan Subramani</v>
      </c>
      <c r="C130" s="81" t="str">
        <f aca="false" t="array" ref="C130:C130">IFERROR(INDEX('CLM &amp; IM Mapping'!$C$2:$C$270,MATCH($A130,'CLM &amp; IM Mapping'!$A$2:$A$270,0)),"Not Mapped")</f>
        <v>Mohammed Akbar</v>
      </c>
      <c r="D130" s="82" t="n">
        <f aca="false">IF(COUNTIFS(Shrinkage!$A$2:$A$3000,$K$2,Shrinkage!$D$2:$D$3000,$A130)&gt;0,SUMIFS(Shrinkage!$P$2:$P$3000,Shrinkage!$A$2:$A$3000,$K$2,Shrinkage!$D$2:$D$3000,$A130),IF(COUNTIFS(Shrinkage!$A$2:$A$3000,$K$2,Shrinkage!$D$2:$D$3000,SUBSTITUTE($A130," SS","  SS"))&gt;0,SUMIFS(Shrinkage!$P$2:$P$3000,Shrinkage!$A$2:$A$3000,$K$2,Shrinkage!$D$2:$D$3000,SUBSTITUTE($A130," SS","  SS")),"NA"))</f>
        <v>40907</v>
      </c>
      <c r="E130" s="83" t="str">
        <f aca="false">IF(COUNTIFS('Inventory Hygiene'!$A$2:$A$3000,$K$2,'Inventory Hygiene'!$B$2:$B$3000,$A130)&gt;0,AVERAGEIFS('Inventory Hygiene'!$J$2:$J$3000,'Inventory Hygiene'!$A$2:$A$3000,$K$2,'Inventory Hygiene'!$B$2:$B$3000,$A130),IF(COUNTIFS('Inventory Hygiene'!$A$2:$A$3000,$K$2,'Inventory Hygiene'!$B$2:$B$3000,SUBSTITUTE($A130," SS","  SS"))&gt;0,AVERAGEIFS('Inventory Hygiene'!$J$2:$J$3000,'Inventory Hygiene'!$A$2:$A$3000,$K$2,'Inventory Hygiene'!$B$2:$B$3000,SUBSTITUTE($A130," SS","  SS")),"NA"))</f>
        <v>NA</v>
      </c>
      <c r="F130" s="81" t="str">
        <f aca="false">IF(COUNTIFS('Bad Bins'!$A$2:$A$3000,$K$2,'Bad Bins'!$B$2:$B$3000,$A130)&gt;0,SUMIFS('Bad Bins'!$K$2:$K$3000,'Bad Bins'!$A$2:$A$3000,$K$2,'Bad Bins'!$B$2:$B$3000,$A130),IF(COUNTIFS('Bad Bins'!$A$2:$A$3000,$K$2,'Bad Bins'!$B$2:$B$3000,SUBSTITUTE($A130," SS","  SS"))&gt;0,SUMIFS('Bad Bins'!$K$2:$K$3000,'Bad Bins'!$A$2:$A$3000,$K$2,'Bad Bins'!$B$2:$B$3000,SUBSTITUTE($A130," SS","  SS")),"NA"))</f>
        <v>NA</v>
      </c>
      <c r="G130" s="81" t="str">
        <f aca="false">IF(COUNTIFS('RSTO &gt; 48hrs'!$A$2:$A$3000,$K$2,'RSTO &gt; 48hrs'!$B$2:$B$3000,$A130)&gt;0,SUMIFS('RSTO &gt; 48hrs'!$H$2:$H$3000,'RSTO &gt; 48hrs'!$A$2:$A$3000,$K$2,'RSTO &gt; 48hrs'!$B$2:$B$3000,$A130),IF(COUNTIFS('RSTO &gt; 48hrs'!$A$2:$A$3000,$K$2,'RSTO &gt; 48hrs'!$B$2:$B$3000,SUBSTITUTE($A130," SS","  SS"))&gt;0,SUMIFS('RSTO &gt; 48hrs'!$H$2:$H$3000,'RSTO &gt; 48hrs'!$A$2:$A$3000,$K$2,'RSTO &gt; 48hrs'!$B$2:$B$3000,SUBSTITUTE($A130," SS","  SS")),"NA"))</f>
        <v>NA</v>
      </c>
      <c r="H130" s="81" t="n">
        <f aca="false">IF(COUNTIFS('Recirculation &gt; 24 hrs'!$A$2:$A$3000,$K$2,'Recirculation &gt; 24 hrs'!$B$2:$B$3000,$A130)&gt;0,SUMIFS('Recirculation &gt; 24 hrs'!$K$2:$K$3000,'Recirculation &gt; 24 hrs'!$A$2:$A$3000,$K$2,'Recirculation &gt; 24 hrs'!$B$2:$B$3000,$A130),IF(COUNTIFS('Recirculation &gt; 24 hrs'!$A$2:$A$3000,$K$2,'Recirculation &gt; 24 hrs'!$B$2:$B$3000,SUBSTITUTE($A130," SS","  SS"))&gt;0,SUMIFS('Recirculation &gt; 24 hrs'!$K$2:$K$3000,'Recirculation &gt; 24 hrs'!$A$2:$A$3000,$K$2,'Recirculation &gt; 24 hrs'!$B$2:$B$3000,SUBSTITUTE($A130," SS","  SS")),"NA"))</f>
        <v>7999</v>
      </c>
      <c r="I130" s="81" t="n">
        <f aca="false">IF(COUNTIFS('Pending Putaway'!$A$2:$A$3000,$K$2,'Pending Putaway'!$B$2:$B$3000,$A130)&gt;0,SUMIFS('Pending Putaway'!$E$2:$E$3000,'Pending Putaway'!$A$2:$A$3000,$K$2,'Pending Putaway'!$B$2:$B$3000,$A130),IF(COUNTIFS('Pending Putaway'!$A$2:$A$3000,$K$2,'Pending Putaway'!$B$2:$B$3000,SUBSTITUTE($A130," SS","  SS"))&gt;0,SUMIFS('Pending Putaway'!$E$2:$E$3000,'Pending Putaway'!$A$2:$A$3000,$K$2,'Pending Putaway'!$B$2:$B$3000,SUBSTITUTE($A130," SS","  SS")),"NA"))</f>
        <v>0</v>
      </c>
      <c r="J130" s="81" t="n">
        <f aca="false">IF(COUNTIFS('Pending Putaway'!$A$2:$A$3000,$K$2,'Pending Putaway'!$B$2:$B$3000,$A130)&gt;0,SUMIFS('Pending Putaway'!$L$2:$L$3000,'Pending Putaway'!$A$2:$A$3000,$K$2,'Pending Putaway'!$B$2:$B$3000,$A130),IF(COUNTIFS('Pending Putaway'!$A$2:$A$3000,$K$2,'Pending Putaway'!$B$2:$B$3000,SUBSTITUTE($A130," SS","  SS"))&gt;0,SUMIFS('Pending Putaway'!$L$2:$L$3000,'Pending Putaway'!$A$2:$A$3000,$K$2,'Pending Putaway'!$B$2:$B$3000,SUBSTITUTE($A130," SS","  SS")),"NA"))</f>
        <v>0</v>
      </c>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row>
    <row r="131" customFormat="false" ht="15.75" hidden="false" customHeight="true" outlineLevel="0" collapsed="false">
      <c r="A131" s="81" t="s">
        <v>381</v>
      </c>
      <c r="B131" s="81" t="str">
        <f aca="false" t="array" ref="B131:B131">IFERROR(INDEX('CLM &amp; IM Mapping'!$B$2:$B$270,MATCH($A131,'CLM &amp; IM Mapping'!$A$2:$A$270,0)),"Not Mapped")</f>
        <v>Balaji G</v>
      </c>
      <c r="C131" s="81" t="str">
        <f aca="false" t="array" ref="C131:C131">IFERROR(INDEX('CLM &amp; IM Mapping'!$C$2:$C$270,MATCH($A131,'CLM &amp; IM Mapping'!$A$2:$A$270,0)),"Not Mapped")</f>
        <v>Mohammed Akbar</v>
      </c>
      <c r="D131" s="82" t="n">
        <f aca="false">IF(COUNTIFS(Shrinkage!$A$2:$A$3000,$K$2,Shrinkage!$D$2:$D$3000,$A131)&gt;0,SUMIFS(Shrinkage!$P$2:$P$3000,Shrinkage!$A$2:$A$3000,$K$2,Shrinkage!$D$2:$D$3000,$A131),IF(COUNTIFS(Shrinkage!$A$2:$A$3000,$K$2,Shrinkage!$D$2:$D$3000,SUBSTITUTE($A131," SS","  SS"))&gt;0,SUMIFS(Shrinkage!$P$2:$P$3000,Shrinkage!$A$2:$A$3000,$K$2,Shrinkage!$D$2:$D$3000,SUBSTITUTE($A131," SS","  SS")),"NA"))</f>
        <v>1633</v>
      </c>
      <c r="E131" s="83" t="n">
        <f aca="false">IF(COUNTIFS('Inventory Hygiene'!$A$2:$A$3000,$K$2,'Inventory Hygiene'!$B$2:$B$3000,$A131)&gt;0,AVERAGEIFS('Inventory Hygiene'!$J$2:$J$3000,'Inventory Hygiene'!$A$2:$A$3000,$K$2,'Inventory Hygiene'!$B$2:$B$3000,$A131),IF(COUNTIFS('Inventory Hygiene'!$A$2:$A$3000,$K$2,'Inventory Hygiene'!$B$2:$B$3000,SUBSTITUTE($A131," SS","  SS"))&gt;0,AVERAGEIFS('Inventory Hygiene'!$J$2:$J$3000,'Inventory Hygiene'!$A$2:$A$3000,$K$2,'Inventory Hygiene'!$B$2:$B$3000,SUBSTITUTE($A131," SS","  SS")),"NA"))</f>
        <v>0.96351197263398</v>
      </c>
      <c r="F131" s="81" t="n">
        <f aca="false">IF(COUNTIFS('Bad Bins'!$A$2:$A$3000,$K$2,'Bad Bins'!$B$2:$B$3000,$A131)&gt;0,SUMIFS('Bad Bins'!$K$2:$K$3000,'Bad Bins'!$A$2:$A$3000,$K$2,'Bad Bins'!$B$2:$B$3000,$A131),IF(COUNTIFS('Bad Bins'!$A$2:$A$3000,$K$2,'Bad Bins'!$B$2:$B$3000,SUBSTITUTE($A131," SS","  SS"))&gt;0,SUMIFS('Bad Bins'!$K$2:$K$3000,'Bad Bins'!$A$2:$A$3000,$K$2,'Bad Bins'!$B$2:$B$3000,SUBSTITUTE($A131," SS","  SS")),"NA"))</f>
        <v>242</v>
      </c>
      <c r="G131" s="81" t="str">
        <f aca="false">IF(COUNTIFS('RSTO &gt; 48hrs'!$A$2:$A$3000,$K$2,'RSTO &gt; 48hrs'!$B$2:$B$3000,$A131)&gt;0,SUMIFS('RSTO &gt; 48hrs'!$H$2:$H$3000,'RSTO &gt; 48hrs'!$A$2:$A$3000,$K$2,'RSTO &gt; 48hrs'!$B$2:$B$3000,$A131),IF(COUNTIFS('RSTO &gt; 48hrs'!$A$2:$A$3000,$K$2,'RSTO &gt; 48hrs'!$B$2:$B$3000,SUBSTITUTE($A131," SS","  SS"))&gt;0,SUMIFS('RSTO &gt; 48hrs'!$H$2:$H$3000,'RSTO &gt; 48hrs'!$A$2:$A$3000,$K$2,'RSTO &gt; 48hrs'!$B$2:$B$3000,SUBSTITUTE($A131," SS","  SS")),"NA"))</f>
        <v>NA</v>
      </c>
      <c r="H131" s="81" t="n">
        <f aca="false">IF(COUNTIFS('Recirculation &gt; 24 hrs'!$A$2:$A$3000,$K$2,'Recirculation &gt; 24 hrs'!$B$2:$B$3000,$A131)&gt;0,SUMIFS('Recirculation &gt; 24 hrs'!$K$2:$K$3000,'Recirculation &gt; 24 hrs'!$A$2:$A$3000,$K$2,'Recirculation &gt; 24 hrs'!$B$2:$B$3000,$A131),IF(COUNTIFS('Recirculation &gt; 24 hrs'!$A$2:$A$3000,$K$2,'Recirculation &gt; 24 hrs'!$B$2:$B$3000,SUBSTITUTE($A131," SS","  SS"))&gt;0,SUMIFS('Recirculation &gt; 24 hrs'!$K$2:$K$3000,'Recirculation &gt; 24 hrs'!$A$2:$A$3000,$K$2,'Recirculation &gt; 24 hrs'!$B$2:$B$3000,SUBSTITUTE($A131," SS","  SS")),"NA"))</f>
        <v>1</v>
      </c>
      <c r="I131" s="81" t="n">
        <f aca="false">IF(COUNTIFS('Pending Putaway'!$A$2:$A$3000,$K$2,'Pending Putaway'!$B$2:$B$3000,$A131)&gt;0,SUMIFS('Pending Putaway'!$E$2:$E$3000,'Pending Putaway'!$A$2:$A$3000,$K$2,'Pending Putaway'!$B$2:$B$3000,$A131),IF(COUNTIFS('Pending Putaway'!$A$2:$A$3000,$K$2,'Pending Putaway'!$B$2:$B$3000,SUBSTITUTE($A131," SS","  SS"))&gt;0,SUMIFS('Pending Putaway'!$E$2:$E$3000,'Pending Putaway'!$A$2:$A$3000,$K$2,'Pending Putaway'!$B$2:$B$3000,SUBSTITUTE($A131," SS","  SS")),"NA"))</f>
        <v>46</v>
      </c>
      <c r="J131" s="81" t="n">
        <f aca="false">IF(COUNTIFS('Pending Putaway'!$A$2:$A$3000,$K$2,'Pending Putaway'!$B$2:$B$3000,$A131)&gt;0,SUMIFS('Pending Putaway'!$L$2:$L$3000,'Pending Putaway'!$A$2:$A$3000,$K$2,'Pending Putaway'!$B$2:$B$3000,$A131),IF(COUNTIFS('Pending Putaway'!$A$2:$A$3000,$K$2,'Pending Putaway'!$B$2:$B$3000,SUBSTITUTE($A131," SS","  SS"))&gt;0,SUMIFS('Pending Putaway'!$L$2:$L$3000,'Pending Putaway'!$A$2:$A$3000,$K$2,'Pending Putaway'!$B$2:$B$3000,SUBSTITUTE($A131," SS","  SS")),"NA"))</f>
        <v>46</v>
      </c>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row>
    <row r="132" customFormat="false" ht="15.75" hidden="false" customHeight="true" outlineLevel="0" collapsed="false">
      <c r="A132" s="81" t="s">
        <v>281</v>
      </c>
      <c r="B132" s="81" t="str">
        <f aca="false" t="array" ref="B132:B132">IFERROR(INDEX('CLM &amp; IM Mapping'!$B$2:$B$270,MATCH($A132,'CLM &amp; IM Mapping'!$A$2:$A$270,0)),"Not Mapped")</f>
        <v>Balaji G</v>
      </c>
      <c r="C132" s="81" t="str">
        <f aca="false" t="array" ref="C132:C132">IFERROR(INDEX('CLM &amp; IM Mapping'!$C$2:$C$270,MATCH($A132,'CLM &amp; IM Mapping'!$A$2:$A$270,0)),"Not Mapped")</f>
        <v>Mohammed Akbar</v>
      </c>
      <c r="D132" s="82" t="n">
        <f aca="false">IF(COUNTIFS(Shrinkage!$A$2:$A$3000,$K$2,Shrinkage!$D$2:$D$3000,$A132)&gt;0,SUMIFS(Shrinkage!$P$2:$P$3000,Shrinkage!$A$2:$A$3000,$K$2,Shrinkage!$D$2:$D$3000,$A132),IF(COUNTIFS(Shrinkage!$A$2:$A$3000,$K$2,Shrinkage!$D$2:$D$3000,SUBSTITUTE($A132," SS","  SS"))&gt;0,SUMIFS(Shrinkage!$P$2:$P$3000,Shrinkage!$A$2:$A$3000,$K$2,Shrinkage!$D$2:$D$3000,SUBSTITUTE($A132," SS","  SS")),"NA"))</f>
        <v>15134</v>
      </c>
      <c r="E132" s="83" t="n">
        <f aca="false">IF(COUNTIFS('Inventory Hygiene'!$A$2:$A$3000,$K$2,'Inventory Hygiene'!$B$2:$B$3000,$A132)&gt;0,AVERAGEIFS('Inventory Hygiene'!$J$2:$J$3000,'Inventory Hygiene'!$A$2:$A$3000,$K$2,'Inventory Hygiene'!$B$2:$B$3000,$A132),IF(COUNTIFS('Inventory Hygiene'!$A$2:$A$3000,$K$2,'Inventory Hygiene'!$B$2:$B$3000,SUBSTITUTE($A132," SS","  SS"))&gt;0,AVERAGEIFS('Inventory Hygiene'!$J$2:$J$3000,'Inventory Hygiene'!$A$2:$A$3000,$K$2,'Inventory Hygiene'!$B$2:$B$3000,SUBSTITUTE($A132," SS","  SS")),"NA"))</f>
        <v>0.847558121391793</v>
      </c>
      <c r="F132" s="81" t="n">
        <f aca="false">IF(COUNTIFS('Bad Bins'!$A$2:$A$3000,$K$2,'Bad Bins'!$B$2:$B$3000,$A132)&gt;0,SUMIFS('Bad Bins'!$K$2:$K$3000,'Bad Bins'!$A$2:$A$3000,$K$2,'Bad Bins'!$B$2:$B$3000,$A132),IF(COUNTIFS('Bad Bins'!$A$2:$A$3000,$K$2,'Bad Bins'!$B$2:$B$3000,SUBSTITUTE($A132," SS","  SS"))&gt;0,SUMIFS('Bad Bins'!$K$2:$K$3000,'Bad Bins'!$A$2:$A$3000,$K$2,'Bad Bins'!$B$2:$B$3000,SUBSTITUTE($A132," SS","  SS")),"NA"))</f>
        <v>264</v>
      </c>
      <c r="G132" s="81" t="str">
        <f aca="false">IF(COUNTIFS('RSTO &gt; 48hrs'!$A$2:$A$3000,$K$2,'RSTO &gt; 48hrs'!$B$2:$B$3000,$A132)&gt;0,SUMIFS('RSTO &gt; 48hrs'!$H$2:$H$3000,'RSTO &gt; 48hrs'!$A$2:$A$3000,$K$2,'RSTO &gt; 48hrs'!$B$2:$B$3000,$A132),IF(COUNTIFS('RSTO &gt; 48hrs'!$A$2:$A$3000,$K$2,'RSTO &gt; 48hrs'!$B$2:$B$3000,SUBSTITUTE($A132," SS","  SS"))&gt;0,SUMIFS('RSTO &gt; 48hrs'!$H$2:$H$3000,'RSTO &gt; 48hrs'!$A$2:$A$3000,$K$2,'RSTO &gt; 48hrs'!$B$2:$B$3000,SUBSTITUTE($A132," SS","  SS")),"NA"))</f>
        <v>NA</v>
      </c>
      <c r="H132" s="81" t="str">
        <f aca="false">IF(COUNTIFS('Recirculation &gt; 24 hrs'!$A$2:$A$3000,$K$2,'Recirculation &gt; 24 hrs'!$B$2:$B$3000,$A132)&gt;0,SUMIFS('Recirculation &gt; 24 hrs'!$K$2:$K$3000,'Recirculation &gt; 24 hrs'!$A$2:$A$3000,$K$2,'Recirculation &gt; 24 hrs'!$B$2:$B$3000,$A132),IF(COUNTIFS('Recirculation &gt; 24 hrs'!$A$2:$A$3000,$K$2,'Recirculation &gt; 24 hrs'!$B$2:$B$3000,SUBSTITUTE($A132," SS","  SS"))&gt;0,SUMIFS('Recirculation &gt; 24 hrs'!$K$2:$K$3000,'Recirculation &gt; 24 hrs'!$A$2:$A$3000,$K$2,'Recirculation &gt; 24 hrs'!$B$2:$B$3000,SUBSTITUTE($A132," SS","  SS")),"NA"))</f>
        <v>NA</v>
      </c>
      <c r="I132" s="81" t="n">
        <f aca="false">IF(COUNTIFS('Pending Putaway'!$A$2:$A$3000,$K$2,'Pending Putaway'!$B$2:$B$3000,$A132)&gt;0,SUMIFS('Pending Putaway'!$E$2:$E$3000,'Pending Putaway'!$A$2:$A$3000,$K$2,'Pending Putaway'!$B$2:$B$3000,$A132),IF(COUNTIFS('Pending Putaway'!$A$2:$A$3000,$K$2,'Pending Putaway'!$B$2:$B$3000,SUBSTITUTE($A132," SS","  SS"))&gt;0,SUMIFS('Pending Putaway'!$E$2:$E$3000,'Pending Putaway'!$A$2:$A$3000,$K$2,'Pending Putaway'!$B$2:$B$3000,SUBSTITUTE($A132," SS","  SS")),"NA"))</f>
        <v>400</v>
      </c>
      <c r="J132" s="81" t="n">
        <f aca="false">IF(COUNTIFS('Pending Putaway'!$A$2:$A$3000,$K$2,'Pending Putaway'!$B$2:$B$3000,$A132)&gt;0,SUMIFS('Pending Putaway'!$L$2:$L$3000,'Pending Putaway'!$A$2:$A$3000,$K$2,'Pending Putaway'!$B$2:$B$3000,$A132),IF(COUNTIFS('Pending Putaway'!$A$2:$A$3000,$K$2,'Pending Putaway'!$B$2:$B$3000,SUBSTITUTE($A132," SS","  SS"))&gt;0,SUMIFS('Pending Putaway'!$L$2:$L$3000,'Pending Putaway'!$A$2:$A$3000,$K$2,'Pending Putaway'!$B$2:$B$3000,SUBSTITUTE($A132," SS","  SS")),"NA"))</f>
        <v>188</v>
      </c>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row>
    <row r="133" customFormat="false" ht="15.75" hidden="false" customHeight="true" outlineLevel="0" collapsed="false">
      <c r="A133" s="81" t="s">
        <v>92</v>
      </c>
      <c r="B133" s="81" t="str">
        <f aca="false" t="array" ref="B133:B133">IFERROR(INDEX('CLM &amp; IM Mapping'!$B$2:$B$270,MATCH($A133,'CLM &amp; IM Mapping'!$A$2:$A$270,0)),"Not Mapped")</f>
        <v>Balaji G</v>
      </c>
      <c r="C133" s="81" t="str">
        <f aca="false" t="array" ref="C133:C133">IFERROR(INDEX('CLM &amp; IM Mapping'!$C$2:$C$270,MATCH($A133,'CLM &amp; IM Mapping'!$A$2:$A$270,0)),"Not Mapped")</f>
        <v>Mohammed Akbar</v>
      </c>
      <c r="D133" s="82" t="n">
        <f aca="false">IF(COUNTIFS(Shrinkage!$A$2:$A$3000,$K$2,Shrinkage!$D$2:$D$3000,$A133)&gt;0,SUMIFS(Shrinkage!$P$2:$P$3000,Shrinkage!$A$2:$A$3000,$K$2,Shrinkage!$D$2:$D$3000,$A133),IF(COUNTIFS(Shrinkage!$A$2:$A$3000,$K$2,Shrinkage!$D$2:$D$3000,SUBSTITUTE($A133," SS","  SS"))&gt;0,SUMIFS(Shrinkage!$P$2:$P$3000,Shrinkage!$A$2:$A$3000,$K$2,Shrinkage!$D$2:$D$3000,SUBSTITUTE($A133," SS","  SS")),"NA"))</f>
        <v>14573</v>
      </c>
      <c r="E133" s="83" t="n">
        <f aca="false">IF(COUNTIFS('Inventory Hygiene'!$A$2:$A$3000,$K$2,'Inventory Hygiene'!$B$2:$B$3000,$A133)&gt;0,AVERAGEIFS('Inventory Hygiene'!$J$2:$J$3000,'Inventory Hygiene'!$A$2:$A$3000,$K$2,'Inventory Hygiene'!$B$2:$B$3000,$A133),IF(COUNTIFS('Inventory Hygiene'!$A$2:$A$3000,$K$2,'Inventory Hygiene'!$B$2:$B$3000,SUBSTITUTE($A133," SS","  SS"))&gt;0,AVERAGEIFS('Inventory Hygiene'!$J$2:$J$3000,'Inventory Hygiene'!$A$2:$A$3000,$K$2,'Inventory Hygiene'!$B$2:$B$3000,SUBSTITUTE($A133," SS","  SS")),"NA"))</f>
        <v>0.627188853323291</v>
      </c>
      <c r="F133" s="81" t="n">
        <f aca="false">IF(COUNTIFS('Bad Bins'!$A$2:$A$3000,$K$2,'Bad Bins'!$B$2:$B$3000,$A133)&gt;0,SUMIFS('Bad Bins'!$K$2:$K$3000,'Bad Bins'!$A$2:$A$3000,$K$2,'Bad Bins'!$B$2:$B$3000,$A133),IF(COUNTIFS('Bad Bins'!$A$2:$A$3000,$K$2,'Bad Bins'!$B$2:$B$3000,SUBSTITUTE($A133," SS","  SS"))&gt;0,SUMIFS('Bad Bins'!$K$2:$K$3000,'Bad Bins'!$A$2:$A$3000,$K$2,'Bad Bins'!$B$2:$B$3000,SUBSTITUTE($A133," SS","  SS")),"NA"))</f>
        <v>40</v>
      </c>
      <c r="G133" s="81" t="str">
        <f aca="false">IF(COUNTIFS('RSTO &gt; 48hrs'!$A$2:$A$3000,$K$2,'RSTO &gt; 48hrs'!$B$2:$B$3000,$A133)&gt;0,SUMIFS('RSTO &gt; 48hrs'!$H$2:$H$3000,'RSTO &gt; 48hrs'!$A$2:$A$3000,$K$2,'RSTO &gt; 48hrs'!$B$2:$B$3000,$A133),IF(COUNTIFS('RSTO &gt; 48hrs'!$A$2:$A$3000,$K$2,'RSTO &gt; 48hrs'!$B$2:$B$3000,SUBSTITUTE($A133," SS","  SS"))&gt;0,SUMIFS('RSTO &gt; 48hrs'!$H$2:$H$3000,'RSTO &gt; 48hrs'!$A$2:$A$3000,$K$2,'RSTO &gt; 48hrs'!$B$2:$B$3000,SUBSTITUTE($A133," SS","  SS")),"NA"))</f>
        <v>NA</v>
      </c>
      <c r="H133" s="81" t="str">
        <f aca="false">IF(COUNTIFS('Recirculation &gt; 24 hrs'!$A$2:$A$3000,$K$2,'Recirculation &gt; 24 hrs'!$B$2:$B$3000,$A133)&gt;0,SUMIFS('Recirculation &gt; 24 hrs'!$K$2:$K$3000,'Recirculation &gt; 24 hrs'!$A$2:$A$3000,$K$2,'Recirculation &gt; 24 hrs'!$B$2:$B$3000,$A133),IF(COUNTIFS('Recirculation &gt; 24 hrs'!$A$2:$A$3000,$K$2,'Recirculation &gt; 24 hrs'!$B$2:$B$3000,SUBSTITUTE($A133," SS","  SS"))&gt;0,SUMIFS('Recirculation &gt; 24 hrs'!$K$2:$K$3000,'Recirculation &gt; 24 hrs'!$A$2:$A$3000,$K$2,'Recirculation &gt; 24 hrs'!$B$2:$B$3000,SUBSTITUTE($A133," SS","  SS")),"NA"))</f>
        <v>NA</v>
      </c>
      <c r="I133" s="81" t="n">
        <f aca="false">IF(COUNTIFS('Pending Putaway'!$A$2:$A$3000,$K$2,'Pending Putaway'!$B$2:$B$3000,$A133)&gt;0,SUMIFS('Pending Putaway'!$E$2:$E$3000,'Pending Putaway'!$A$2:$A$3000,$K$2,'Pending Putaway'!$B$2:$B$3000,$A133),IF(COUNTIFS('Pending Putaway'!$A$2:$A$3000,$K$2,'Pending Putaway'!$B$2:$B$3000,SUBSTITUTE($A133," SS","  SS"))&gt;0,SUMIFS('Pending Putaway'!$E$2:$E$3000,'Pending Putaway'!$A$2:$A$3000,$K$2,'Pending Putaway'!$B$2:$B$3000,SUBSTITUTE($A133," SS","  SS")),"NA"))</f>
        <v>0</v>
      </c>
      <c r="J133" s="81" t="n">
        <f aca="false">IF(COUNTIFS('Pending Putaway'!$A$2:$A$3000,$K$2,'Pending Putaway'!$B$2:$B$3000,$A133)&gt;0,SUMIFS('Pending Putaway'!$L$2:$L$3000,'Pending Putaway'!$A$2:$A$3000,$K$2,'Pending Putaway'!$B$2:$B$3000,$A133),IF(COUNTIFS('Pending Putaway'!$A$2:$A$3000,$K$2,'Pending Putaway'!$B$2:$B$3000,SUBSTITUTE($A133," SS","  SS"))&gt;0,SUMIFS('Pending Putaway'!$L$2:$L$3000,'Pending Putaway'!$A$2:$A$3000,$K$2,'Pending Putaway'!$B$2:$B$3000,SUBSTITUTE($A133," SS","  SS")),"NA"))</f>
        <v>0</v>
      </c>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row>
    <row r="134" customFormat="false" ht="15.75" hidden="false" customHeight="true" outlineLevel="0" collapsed="false">
      <c r="A134" s="81" t="s">
        <v>437</v>
      </c>
      <c r="B134" s="81" t="str">
        <f aca="false" t="array" ref="B134:B134">IFERROR(INDEX('CLM &amp; IM Mapping'!$B$2:$B$270,MATCH($A134,'CLM &amp; IM Mapping'!$A$2:$A$270,0)),"Not Mapped")</f>
        <v>Balaji G</v>
      </c>
      <c r="C134" s="81" t="str">
        <f aca="false" t="array" ref="C134:C134">IFERROR(INDEX('CLM &amp; IM Mapping'!$C$2:$C$270,MATCH($A134,'CLM &amp; IM Mapping'!$A$2:$A$270,0)),"Not Mapped")</f>
        <v>Mohammed Akbar</v>
      </c>
      <c r="D134" s="82" t="n">
        <f aca="false">IF(COUNTIFS(Shrinkage!$A$2:$A$3000,$K$2,Shrinkage!$D$2:$D$3000,$A134)&gt;0,SUMIFS(Shrinkage!$P$2:$P$3000,Shrinkage!$A$2:$A$3000,$K$2,Shrinkage!$D$2:$D$3000,$A134),IF(COUNTIFS(Shrinkage!$A$2:$A$3000,$K$2,Shrinkage!$D$2:$D$3000,SUBSTITUTE($A134," SS","  SS"))&gt;0,SUMIFS(Shrinkage!$P$2:$P$3000,Shrinkage!$A$2:$A$3000,$K$2,Shrinkage!$D$2:$D$3000,SUBSTITUTE($A134," SS","  SS")),"NA"))</f>
        <v>-15980</v>
      </c>
      <c r="E134" s="83" t="n">
        <f aca="false">IF(COUNTIFS('Inventory Hygiene'!$A$2:$A$3000,$K$2,'Inventory Hygiene'!$B$2:$B$3000,$A134)&gt;0,AVERAGEIFS('Inventory Hygiene'!$J$2:$J$3000,'Inventory Hygiene'!$A$2:$A$3000,$K$2,'Inventory Hygiene'!$B$2:$B$3000,$A134),IF(COUNTIFS('Inventory Hygiene'!$A$2:$A$3000,$K$2,'Inventory Hygiene'!$B$2:$B$3000,SUBSTITUTE($A134," SS","  SS"))&gt;0,AVERAGEIFS('Inventory Hygiene'!$J$2:$J$3000,'Inventory Hygiene'!$A$2:$A$3000,$K$2,'Inventory Hygiene'!$B$2:$B$3000,SUBSTITUTE($A134," SS","  SS")),"NA"))</f>
        <v>0.846222222222222</v>
      </c>
      <c r="F134" s="81" t="n">
        <f aca="false">IF(COUNTIFS('Bad Bins'!$A$2:$A$3000,$K$2,'Bad Bins'!$B$2:$B$3000,$A134)&gt;0,SUMIFS('Bad Bins'!$K$2:$K$3000,'Bad Bins'!$A$2:$A$3000,$K$2,'Bad Bins'!$B$2:$B$3000,$A134),IF(COUNTIFS('Bad Bins'!$A$2:$A$3000,$K$2,'Bad Bins'!$B$2:$B$3000,SUBSTITUTE($A134," SS","  SS"))&gt;0,SUMIFS('Bad Bins'!$K$2:$K$3000,'Bad Bins'!$A$2:$A$3000,$K$2,'Bad Bins'!$B$2:$B$3000,SUBSTITUTE($A134," SS","  SS")),"NA"))</f>
        <v>41</v>
      </c>
      <c r="G134" s="81" t="str">
        <f aca="false">IF(COUNTIFS('RSTO &gt; 48hrs'!$A$2:$A$3000,$K$2,'RSTO &gt; 48hrs'!$B$2:$B$3000,$A134)&gt;0,SUMIFS('RSTO &gt; 48hrs'!$H$2:$H$3000,'RSTO &gt; 48hrs'!$A$2:$A$3000,$K$2,'RSTO &gt; 48hrs'!$B$2:$B$3000,$A134),IF(COUNTIFS('RSTO &gt; 48hrs'!$A$2:$A$3000,$K$2,'RSTO &gt; 48hrs'!$B$2:$B$3000,SUBSTITUTE($A134," SS","  SS"))&gt;0,SUMIFS('RSTO &gt; 48hrs'!$H$2:$H$3000,'RSTO &gt; 48hrs'!$A$2:$A$3000,$K$2,'RSTO &gt; 48hrs'!$B$2:$B$3000,SUBSTITUTE($A134," SS","  SS")),"NA"))</f>
        <v>NA</v>
      </c>
      <c r="H134" s="81" t="str">
        <f aca="false">IF(COUNTIFS('Recirculation &gt; 24 hrs'!$A$2:$A$3000,$K$2,'Recirculation &gt; 24 hrs'!$B$2:$B$3000,$A134)&gt;0,SUMIFS('Recirculation &gt; 24 hrs'!$K$2:$K$3000,'Recirculation &gt; 24 hrs'!$A$2:$A$3000,$K$2,'Recirculation &gt; 24 hrs'!$B$2:$B$3000,$A134),IF(COUNTIFS('Recirculation &gt; 24 hrs'!$A$2:$A$3000,$K$2,'Recirculation &gt; 24 hrs'!$B$2:$B$3000,SUBSTITUTE($A134," SS","  SS"))&gt;0,SUMIFS('Recirculation &gt; 24 hrs'!$K$2:$K$3000,'Recirculation &gt; 24 hrs'!$A$2:$A$3000,$K$2,'Recirculation &gt; 24 hrs'!$B$2:$B$3000,SUBSTITUTE($A134," SS","  SS")),"NA"))</f>
        <v>NA</v>
      </c>
      <c r="I134" s="81" t="n">
        <f aca="false">IF(COUNTIFS('Pending Putaway'!$A$2:$A$3000,$K$2,'Pending Putaway'!$B$2:$B$3000,$A134)&gt;0,SUMIFS('Pending Putaway'!$E$2:$E$3000,'Pending Putaway'!$A$2:$A$3000,$K$2,'Pending Putaway'!$B$2:$B$3000,$A134),IF(COUNTIFS('Pending Putaway'!$A$2:$A$3000,$K$2,'Pending Putaway'!$B$2:$B$3000,SUBSTITUTE($A134," SS","  SS"))&gt;0,SUMIFS('Pending Putaway'!$E$2:$E$3000,'Pending Putaway'!$A$2:$A$3000,$K$2,'Pending Putaway'!$B$2:$B$3000,SUBSTITUTE($A134," SS","  SS")),"NA"))</f>
        <v>1215</v>
      </c>
      <c r="J134" s="81" t="n">
        <f aca="false">IF(COUNTIFS('Pending Putaway'!$A$2:$A$3000,$K$2,'Pending Putaway'!$B$2:$B$3000,$A134)&gt;0,SUMIFS('Pending Putaway'!$L$2:$L$3000,'Pending Putaway'!$A$2:$A$3000,$K$2,'Pending Putaway'!$B$2:$B$3000,$A134),IF(COUNTIFS('Pending Putaway'!$A$2:$A$3000,$K$2,'Pending Putaway'!$B$2:$B$3000,SUBSTITUTE($A134," SS","  SS"))&gt;0,SUMIFS('Pending Putaway'!$L$2:$L$3000,'Pending Putaway'!$A$2:$A$3000,$K$2,'Pending Putaway'!$B$2:$B$3000,SUBSTITUTE($A134," SS","  SS")),"NA"))</f>
        <v>523</v>
      </c>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row>
    <row r="135" customFormat="false" ht="15.75" hidden="false" customHeight="true" outlineLevel="0" collapsed="false">
      <c r="A135" s="81" t="s">
        <v>284</v>
      </c>
      <c r="B135" s="81" t="str">
        <f aca="false" t="array" ref="B135:B135">IFERROR(INDEX('CLM &amp; IM Mapping'!$B$2:$B$270,MATCH($A135,'CLM &amp; IM Mapping'!$A$2:$A$270,0)),"Not Mapped")</f>
        <v>Balaji G</v>
      </c>
      <c r="C135" s="81" t="str">
        <f aca="false" t="array" ref="C135:C135">IFERROR(INDEX('CLM &amp; IM Mapping'!$C$2:$C$270,MATCH($A135,'CLM &amp; IM Mapping'!$A$2:$A$270,0)),"Not Mapped")</f>
        <v>Mohammed Akbar</v>
      </c>
      <c r="D135" s="82" t="n">
        <f aca="false">IF(COUNTIFS(Shrinkage!$A$2:$A$3000,$K$2,Shrinkage!$D$2:$D$3000,$A135)&gt;0,SUMIFS(Shrinkage!$P$2:$P$3000,Shrinkage!$A$2:$A$3000,$K$2,Shrinkage!$D$2:$D$3000,$A135),IF(COUNTIFS(Shrinkage!$A$2:$A$3000,$K$2,Shrinkage!$D$2:$D$3000,SUBSTITUTE($A135," SS","  SS"))&gt;0,SUMIFS(Shrinkage!$P$2:$P$3000,Shrinkage!$A$2:$A$3000,$K$2,Shrinkage!$D$2:$D$3000,SUBSTITUTE($A135," SS","  SS")),"NA"))</f>
        <v>1553</v>
      </c>
      <c r="E135" s="83" t="n">
        <f aca="false">IF(COUNTIFS('Inventory Hygiene'!$A$2:$A$3000,$K$2,'Inventory Hygiene'!$B$2:$B$3000,$A135)&gt;0,AVERAGEIFS('Inventory Hygiene'!$J$2:$J$3000,'Inventory Hygiene'!$A$2:$A$3000,$K$2,'Inventory Hygiene'!$B$2:$B$3000,$A135),IF(COUNTIFS('Inventory Hygiene'!$A$2:$A$3000,$K$2,'Inventory Hygiene'!$B$2:$B$3000,SUBSTITUTE($A135," SS","  SS"))&gt;0,AVERAGEIFS('Inventory Hygiene'!$J$2:$J$3000,'Inventory Hygiene'!$A$2:$A$3000,$K$2,'Inventory Hygiene'!$B$2:$B$3000,SUBSTITUTE($A135," SS","  SS")),"NA"))</f>
        <v>0.686088741512711</v>
      </c>
      <c r="F135" s="81" t="n">
        <f aca="false">IF(COUNTIFS('Bad Bins'!$A$2:$A$3000,$K$2,'Bad Bins'!$B$2:$B$3000,$A135)&gt;0,SUMIFS('Bad Bins'!$K$2:$K$3000,'Bad Bins'!$A$2:$A$3000,$K$2,'Bad Bins'!$B$2:$B$3000,$A135),IF(COUNTIFS('Bad Bins'!$A$2:$A$3000,$K$2,'Bad Bins'!$B$2:$B$3000,SUBSTITUTE($A135," SS","  SS"))&gt;0,SUMIFS('Bad Bins'!$K$2:$K$3000,'Bad Bins'!$A$2:$A$3000,$K$2,'Bad Bins'!$B$2:$B$3000,SUBSTITUTE($A135," SS","  SS")),"NA"))</f>
        <v>18</v>
      </c>
      <c r="G135" s="81" t="str">
        <f aca="false">IF(COUNTIFS('RSTO &gt; 48hrs'!$A$2:$A$3000,$K$2,'RSTO &gt; 48hrs'!$B$2:$B$3000,$A135)&gt;0,SUMIFS('RSTO &gt; 48hrs'!$H$2:$H$3000,'RSTO &gt; 48hrs'!$A$2:$A$3000,$K$2,'RSTO &gt; 48hrs'!$B$2:$B$3000,$A135),IF(COUNTIFS('RSTO &gt; 48hrs'!$A$2:$A$3000,$K$2,'RSTO &gt; 48hrs'!$B$2:$B$3000,SUBSTITUTE($A135," SS","  SS"))&gt;0,SUMIFS('RSTO &gt; 48hrs'!$H$2:$H$3000,'RSTO &gt; 48hrs'!$A$2:$A$3000,$K$2,'RSTO &gt; 48hrs'!$B$2:$B$3000,SUBSTITUTE($A135," SS","  SS")),"NA"))</f>
        <v>NA</v>
      </c>
      <c r="H135" s="81" t="str">
        <f aca="false">IF(COUNTIFS('Recirculation &gt; 24 hrs'!$A$2:$A$3000,$K$2,'Recirculation &gt; 24 hrs'!$B$2:$B$3000,$A135)&gt;0,SUMIFS('Recirculation &gt; 24 hrs'!$K$2:$K$3000,'Recirculation &gt; 24 hrs'!$A$2:$A$3000,$K$2,'Recirculation &gt; 24 hrs'!$B$2:$B$3000,$A135),IF(COUNTIFS('Recirculation &gt; 24 hrs'!$A$2:$A$3000,$K$2,'Recirculation &gt; 24 hrs'!$B$2:$B$3000,SUBSTITUTE($A135," SS","  SS"))&gt;0,SUMIFS('Recirculation &gt; 24 hrs'!$K$2:$K$3000,'Recirculation &gt; 24 hrs'!$A$2:$A$3000,$K$2,'Recirculation &gt; 24 hrs'!$B$2:$B$3000,SUBSTITUTE($A135," SS","  SS")),"NA"))</f>
        <v>NA</v>
      </c>
      <c r="I135" s="81" t="n">
        <f aca="false">IF(COUNTIFS('Pending Putaway'!$A$2:$A$3000,$K$2,'Pending Putaway'!$B$2:$B$3000,$A135)&gt;0,SUMIFS('Pending Putaway'!$E$2:$E$3000,'Pending Putaway'!$A$2:$A$3000,$K$2,'Pending Putaway'!$B$2:$B$3000,$A135),IF(COUNTIFS('Pending Putaway'!$A$2:$A$3000,$K$2,'Pending Putaway'!$B$2:$B$3000,SUBSTITUTE($A135," SS","  SS"))&gt;0,SUMIFS('Pending Putaway'!$E$2:$E$3000,'Pending Putaway'!$A$2:$A$3000,$K$2,'Pending Putaway'!$B$2:$B$3000,SUBSTITUTE($A135," SS","  SS")),"NA"))</f>
        <v>7024</v>
      </c>
      <c r="J135" s="81" t="n">
        <f aca="false">IF(COUNTIFS('Pending Putaway'!$A$2:$A$3000,$K$2,'Pending Putaway'!$B$2:$B$3000,$A135)&gt;0,SUMIFS('Pending Putaway'!$L$2:$L$3000,'Pending Putaway'!$A$2:$A$3000,$K$2,'Pending Putaway'!$B$2:$B$3000,$A135),IF(COUNTIFS('Pending Putaway'!$A$2:$A$3000,$K$2,'Pending Putaway'!$B$2:$B$3000,SUBSTITUTE($A135," SS","  SS"))&gt;0,SUMIFS('Pending Putaway'!$L$2:$L$3000,'Pending Putaway'!$A$2:$A$3000,$K$2,'Pending Putaway'!$B$2:$B$3000,SUBSTITUTE($A135," SS","  SS")),"NA"))</f>
        <v>0</v>
      </c>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row>
    <row r="136" customFormat="false" ht="15.75" hidden="false" customHeight="true" outlineLevel="0" collapsed="false">
      <c r="A136" s="81" t="s">
        <v>454</v>
      </c>
      <c r="B136" s="81" t="str">
        <f aca="false" t="array" ref="B136:B136">IFERROR(INDEX('CLM &amp; IM Mapping'!$B$2:$B$270,MATCH($A136,'CLM &amp; IM Mapping'!$A$2:$A$270,0)),"Not Mapped")</f>
        <v>Balaji G</v>
      </c>
      <c r="C136" s="81" t="str">
        <f aca="false" t="array" ref="C136:C136">IFERROR(INDEX('CLM &amp; IM Mapping'!$C$2:$C$270,MATCH($A136,'CLM &amp; IM Mapping'!$A$2:$A$270,0)),"Not Mapped")</f>
        <v>Mohammed Akbar</v>
      </c>
      <c r="D136" s="82" t="n">
        <f aca="false">IF(COUNTIFS(Shrinkage!$A$2:$A$3000,$K$2,Shrinkage!$D$2:$D$3000,$A136)&gt;0,SUMIFS(Shrinkage!$P$2:$P$3000,Shrinkage!$A$2:$A$3000,$K$2,Shrinkage!$D$2:$D$3000,$A136),IF(COUNTIFS(Shrinkage!$A$2:$A$3000,$K$2,Shrinkage!$D$2:$D$3000,SUBSTITUTE($A136," SS","  SS"))&gt;0,SUMIFS(Shrinkage!$P$2:$P$3000,Shrinkage!$A$2:$A$3000,$K$2,Shrinkage!$D$2:$D$3000,SUBSTITUTE($A136," SS","  SS")),"NA"))</f>
        <v>-4349</v>
      </c>
      <c r="E136" s="83" t="n">
        <f aca="false">IF(COUNTIFS('Inventory Hygiene'!$A$2:$A$3000,$K$2,'Inventory Hygiene'!$B$2:$B$3000,$A136)&gt;0,AVERAGEIFS('Inventory Hygiene'!$J$2:$J$3000,'Inventory Hygiene'!$A$2:$A$3000,$K$2,'Inventory Hygiene'!$B$2:$B$3000,$A136),IF(COUNTIFS('Inventory Hygiene'!$A$2:$A$3000,$K$2,'Inventory Hygiene'!$B$2:$B$3000,SUBSTITUTE($A136," SS","  SS"))&gt;0,AVERAGEIFS('Inventory Hygiene'!$J$2:$J$3000,'Inventory Hygiene'!$A$2:$A$3000,$K$2,'Inventory Hygiene'!$B$2:$B$3000,SUBSTITUTE($A136," SS","  SS")),"NA"))</f>
        <v>0.980463718334049</v>
      </c>
      <c r="F136" s="81" t="n">
        <f aca="false">IF(COUNTIFS('Bad Bins'!$A$2:$A$3000,$K$2,'Bad Bins'!$B$2:$B$3000,$A136)&gt;0,SUMIFS('Bad Bins'!$K$2:$K$3000,'Bad Bins'!$A$2:$A$3000,$K$2,'Bad Bins'!$B$2:$B$3000,$A136),IF(COUNTIFS('Bad Bins'!$A$2:$A$3000,$K$2,'Bad Bins'!$B$2:$B$3000,SUBSTITUTE($A136," SS","  SS"))&gt;0,SUMIFS('Bad Bins'!$K$2:$K$3000,'Bad Bins'!$A$2:$A$3000,$K$2,'Bad Bins'!$B$2:$B$3000,SUBSTITUTE($A136," SS","  SS")),"NA"))</f>
        <v>35</v>
      </c>
      <c r="G136" s="81" t="str">
        <f aca="false">IF(COUNTIFS('RSTO &gt; 48hrs'!$A$2:$A$3000,$K$2,'RSTO &gt; 48hrs'!$B$2:$B$3000,$A136)&gt;0,SUMIFS('RSTO &gt; 48hrs'!$H$2:$H$3000,'RSTO &gt; 48hrs'!$A$2:$A$3000,$K$2,'RSTO &gt; 48hrs'!$B$2:$B$3000,$A136),IF(COUNTIFS('RSTO &gt; 48hrs'!$A$2:$A$3000,$K$2,'RSTO &gt; 48hrs'!$B$2:$B$3000,SUBSTITUTE($A136," SS","  SS"))&gt;0,SUMIFS('RSTO &gt; 48hrs'!$H$2:$H$3000,'RSTO &gt; 48hrs'!$A$2:$A$3000,$K$2,'RSTO &gt; 48hrs'!$B$2:$B$3000,SUBSTITUTE($A136," SS","  SS")),"NA"))</f>
        <v>NA</v>
      </c>
      <c r="H136" s="81" t="str">
        <f aca="false">IF(COUNTIFS('Recirculation &gt; 24 hrs'!$A$2:$A$3000,$K$2,'Recirculation &gt; 24 hrs'!$B$2:$B$3000,$A136)&gt;0,SUMIFS('Recirculation &gt; 24 hrs'!$K$2:$K$3000,'Recirculation &gt; 24 hrs'!$A$2:$A$3000,$K$2,'Recirculation &gt; 24 hrs'!$B$2:$B$3000,$A136),IF(COUNTIFS('Recirculation &gt; 24 hrs'!$A$2:$A$3000,$K$2,'Recirculation &gt; 24 hrs'!$B$2:$B$3000,SUBSTITUTE($A136," SS","  SS"))&gt;0,SUMIFS('Recirculation &gt; 24 hrs'!$K$2:$K$3000,'Recirculation &gt; 24 hrs'!$A$2:$A$3000,$K$2,'Recirculation &gt; 24 hrs'!$B$2:$B$3000,SUBSTITUTE($A136," SS","  SS")),"NA"))</f>
        <v>NA</v>
      </c>
      <c r="I136" s="81" t="n">
        <f aca="false">IF(COUNTIFS('Pending Putaway'!$A$2:$A$3000,$K$2,'Pending Putaway'!$B$2:$B$3000,$A136)&gt;0,SUMIFS('Pending Putaway'!$E$2:$E$3000,'Pending Putaway'!$A$2:$A$3000,$K$2,'Pending Putaway'!$B$2:$B$3000,$A136),IF(COUNTIFS('Pending Putaway'!$A$2:$A$3000,$K$2,'Pending Putaway'!$B$2:$B$3000,SUBSTITUTE($A136," SS","  SS"))&gt;0,SUMIFS('Pending Putaway'!$E$2:$E$3000,'Pending Putaway'!$A$2:$A$3000,$K$2,'Pending Putaway'!$B$2:$B$3000,SUBSTITUTE($A136," SS","  SS")),"NA"))</f>
        <v>0</v>
      </c>
      <c r="J136" s="81" t="n">
        <f aca="false">IF(COUNTIFS('Pending Putaway'!$A$2:$A$3000,$K$2,'Pending Putaway'!$B$2:$B$3000,$A136)&gt;0,SUMIFS('Pending Putaway'!$L$2:$L$3000,'Pending Putaway'!$A$2:$A$3000,$K$2,'Pending Putaway'!$B$2:$B$3000,$A136),IF(COUNTIFS('Pending Putaway'!$A$2:$A$3000,$K$2,'Pending Putaway'!$B$2:$B$3000,SUBSTITUTE($A136," SS","  SS"))&gt;0,SUMIFS('Pending Putaway'!$L$2:$L$3000,'Pending Putaway'!$A$2:$A$3000,$K$2,'Pending Putaway'!$B$2:$B$3000,SUBSTITUTE($A136," SS","  SS")),"NA"))</f>
        <v>0</v>
      </c>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row>
    <row r="137" customFormat="false" ht="15.75" hidden="false" customHeight="true" outlineLevel="0" collapsed="false">
      <c r="A137" s="81" t="s">
        <v>392</v>
      </c>
      <c r="B137" s="81" t="str">
        <f aca="false" t="array" ref="B137:B137">IFERROR(INDEX('CLM &amp; IM Mapping'!$B$2:$B$270,MATCH($A137,'CLM &amp; IM Mapping'!$A$2:$A$270,0)),"Not Mapped")</f>
        <v>Balaji G</v>
      </c>
      <c r="C137" s="81" t="str">
        <f aca="false" t="array" ref="C137:C137">IFERROR(INDEX('CLM &amp; IM Mapping'!$C$2:$C$270,MATCH($A137,'CLM &amp; IM Mapping'!$A$2:$A$270,0)),"Not Mapped")</f>
        <v>Mohammed Akbar</v>
      </c>
      <c r="D137" s="82" t="n">
        <f aca="false">IF(COUNTIFS(Shrinkage!$A$2:$A$3000,$K$2,Shrinkage!$D$2:$D$3000,$A137)&gt;0,SUMIFS(Shrinkage!$P$2:$P$3000,Shrinkage!$A$2:$A$3000,$K$2,Shrinkage!$D$2:$D$3000,$A137),IF(COUNTIFS(Shrinkage!$A$2:$A$3000,$K$2,Shrinkage!$D$2:$D$3000,SUBSTITUTE($A137," SS","  SS"))&gt;0,SUMIFS(Shrinkage!$P$2:$P$3000,Shrinkage!$A$2:$A$3000,$K$2,Shrinkage!$D$2:$D$3000,SUBSTITUTE($A137," SS","  SS")),"NA"))</f>
        <v>-2571</v>
      </c>
      <c r="E137" s="83" t="n">
        <f aca="false">IF(COUNTIFS('Inventory Hygiene'!$A$2:$A$3000,$K$2,'Inventory Hygiene'!$B$2:$B$3000,$A137)&gt;0,AVERAGEIFS('Inventory Hygiene'!$J$2:$J$3000,'Inventory Hygiene'!$A$2:$A$3000,$K$2,'Inventory Hygiene'!$B$2:$B$3000,$A137),IF(COUNTIFS('Inventory Hygiene'!$A$2:$A$3000,$K$2,'Inventory Hygiene'!$B$2:$B$3000,SUBSTITUTE($A137," SS","  SS"))&gt;0,AVERAGEIFS('Inventory Hygiene'!$J$2:$J$3000,'Inventory Hygiene'!$A$2:$A$3000,$K$2,'Inventory Hygiene'!$B$2:$B$3000,SUBSTITUTE($A137," SS","  SS")),"NA"))</f>
        <v>0.910802775024777</v>
      </c>
      <c r="F137" s="81" t="n">
        <f aca="false">IF(COUNTIFS('Bad Bins'!$A$2:$A$3000,$K$2,'Bad Bins'!$B$2:$B$3000,$A137)&gt;0,SUMIFS('Bad Bins'!$K$2:$K$3000,'Bad Bins'!$A$2:$A$3000,$K$2,'Bad Bins'!$B$2:$B$3000,$A137),IF(COUNTIFS('Bad Bins'!$A$2:$A$3000,$K$2,'Bad Bins'!$B$2:$B$3000,SUBSTITUTE($A137," SS","  SS"))&gt;0,SUMIFS('Bad Bins'!$K$2:$K$3000,'Bad Bins'!$A$2:$A$3000,$K$2,'Bad Bins'!$B$2:$B$3000,SUBSTITUTE($A137," SS","  SS")),"NA"))</f>
        <v>58</v>
      </c>
      <c r="G137" s="81" t="str">
        <f aca="false">IF(COUNTIFS('RSTO &gt; 48hrs'!$A$2:$A$3000,$K$2,'RSTO &gt; 48hrs'!$B$2:$B$3000,$A137)&gt;0,SUMIFS('RSTO &gt; 48hrs'!$H$2:$H$3000,'RSTO &gt; 48hrs'!$A$2:$A$3000,$K$2,'RSTO &gt; 48hrs'!$B$2:$B$3000,$A137),IF(COUNTIFS('RSTO &gt; 48hrs'!$A$2:$A$3000,$K$2,'RSTO &gt; 48hrs'!$B$2:$B$3000,SUBSTITUTE($A137," SS","  SS"))&gt;0,SUMIFS('RSTO &gt; 48hrs'!$H$2:$H$3000,'RSTO &gt; 48hrs'!$A$2:$A$3000,$K$2,'RSTO &gt; 48hrs'!$B$2:$B$3000,SUBSTITUTE($A137," SS","  SS")),"NA"))</f>
        <v>NA</v>
      </c>
      <c r="H137" s="81" t="str">
        <f aca="false">IF(COUNTIFS('Recirculation &gt; 24 hrs'!$A$2:$A$3000,$K$2,'Recirculation &gt; 24 hrs'!$B$2:$B$3000,$A137)&gt;0,SUMIFS('Recirculation &gt; 24 hrs'!$K$2:$K$3000,'Recirculation &gt; 24 hrs'!$A$2:$A$3000,$K$2,'Recirculation &gt; 24 hrs'!$B$2:$B$3000,$A137),IF(COUNTIFS('Recirculation &gt; 24 hrs'!$A$2:$A$3000,$K$2,'Recirculation &gt; 24 hrs'!$B$2:$B$3000,SUBSTITUTE($A137," SS","  SS"))&gt;0,SUMIFS('Recirculation &gt; 24 hrs'!$K$2:$K$3000,'Recirculation &gt; 24 hrs'!$A$2:$A$3000,$K$2,'Recirculation &gt; 24 hrs'!$B$2:$B$3000,SUBSTITUTE($A137," SS","  SS")),"NA"))</f>
        <v>NA</v>
      </c>
      <c r="I137" s="81" t="n">
        <f aca="false">IF(COUNTIFS('Pending Putaway'!$A$2:$A$3000,$K$2,'Pending Putaway'!$B$2:$B$3000,$A137)&gt;0,SUMIFS('Pending Putaway'!$E$2:$E$3000,'Pending Putaway'!$A$2:$A$3000,$K$2,'Pending Putaway'!$B$2:$B$3000,$A137),IF(COUNTIFS('Pending Putaway'!$A$2:$A$3000,$K$2,'Pending Putaway'!$B$2:$B$3000,SUBSTITUTE($A137," SS","  SS"))&gt;0,SUMIFS('Pending Putaway'!$E$2:$E$3000,'Pending Putaway'!$A$2:$A$3000,$K$2,'Pending Putaway'!$B$2:$B$3000,SUBSTITUTE($A137," SS","  SS")),"NA"))</f>
        <v>0</v>
      </c>
      <c r="J137" s="81" t="n">
        <f aca="false">IF(COUNTIFS('Pending Putaway'!$A$2:$A$3000,$K$2,'Pending Putaway'!$B$2:$B$3000,$A137)&gt;0,SUMIFS('Pending Putaway'!$L$2:$L$3000,'Pending Putaway'!$A$2:$A$3000,$K$2,'Pending Putaway'!$B$2:$B$3000,$A137),IF(COUNTIFS('Pending Putaway'!$A$2:$A$3000,$K$2,'Pending Putaway'!$B$2:$B$3000,SUBSTITUTE($A137," SS","  SS"))&gt;0,SUMIFS('Pending Putaway'!$L$2:$L$3000,'Pending Putaway'!$A$2:$A$3000,$K$2,'Pending Putaway'!$B$2:$B$3000,SUBSTITUTE($A137," SS","  SS")),"NA"))</f>
        <v>0</v>
      </c>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row>
    <row r="138" customFormat="false" ht="15.75" hidden="false" customHeight="true" outlineLevel="0" collapsed="false">
      <c r="A138" s="81" t="s">
        <v>486</v>
      </c>
      <c r="B138" s="81" t="str">
        <f aca="false" t="array" ref="B138:B138">IFERROR(INDEX('CLM &amp; IM Mapping'!$B$2:$B$270,MATCH($A138,'CLM &amp; IM Mapping'!$A$2:$A$270,0)),"Not Mapped")</f>
        <v>Balaji G</v>
      </c>
      <c r="C138" s="81" t="str">
        <f aca="false" t="array" ref="C138:C138">IFERROR(INDEX('CLM &amp; IM Mapping'!$C$2:$C$270,MATCH($A138,'CLM &amp; IM Mapping'!$A$2:$A$270,0)),"Not Mapped")</f>
        <v>Mohammed Akbar</v>
      </c>
      <c r="D138" s="82" t="n">
        <f aca="false">IF(COUNTIFS(Shrinkage!$A$2:$A$3000,$K$2,Shrinkage!$D$2:$D$3000,$A138)&gt;0,SUMIFS(Shrinkage!$P$2:$P$3000,Shrinkage!$A$2:$A$3000,$K$2,Shrinkage!$D$2:$D$3000,$A138),IF(COUNTIFS(Shrinkage!$A$2:$A$3000,$K$2,Shrinkage!$D$2:$D$3000,SUBSTITUTE($A138," SS","  SS"))&gt;0,SUMIFS(Shrinkage!$P$2:$P$3000,Shrinkage!$A$2:$A$3000,$K$2,Shrinkage!$D$2:$D$3000,SUBSTITUTE($A138," SS","  SS")),"NA"))</f>
        <v>-11254</v>
      </c>
      <c r="E138" s="83" t="n">
        <f aca="false">IF(COUNTIFS('Inventory Hygiene'!$A$2:$A$3000,$K$2,'Inventory Hygiene'!$B$2:$B$3000,$A138)&gt;0,AVERAGEIFS('Inventory Hygiene'!$J$2:$J$3000,'Inventory Hygiene'!$A$2:$A$3000,$K$2,'Inventory Hygiene'!$B$2:$B$3000,$A138),IF(COUNTIFS('Inventory Hygiene'!$A$2:$A$3000,$K$2,'Inventory Hygiene'!$B$2:$B$3000,SUBSTITUTE($A138," SS","  SS"))&gt;0,AVERAGEIFS('Inventory Hygiene'!$J$2:$J$3000,'Inventory Hygiene'!$A$2:$A$3000,$K$2,'Inventory Hygiene'!$B$2:$B$3000,SUBSTITUTE($A138," SS","  SS")),"NA"))</f>
        <v>0.971633368918713</v>
      </c>
      <c r="F138" s="81" t="n">
        <f aca="false">IF(COUNTIFS('Bad Bins'!$A$2:$A$3000,$K$2,'Bad Bins'!$B$2:$B$3000,$A138)&gt;0,SUMIFS('Bad Bins'!$K$2:$K$3000,'Bad Bins'!$A$2:$A$3000,$K$2,'Bad Bins'!$B$2:$B$3000,$A138),IF(COUNTIFS('Bad Bins'!$A$2:$A$3000,$K$2,'Bad Bins'!$B$2:$B$3000,SUBSTITUTE($A138," SS","  SS"))&gt;0,SUMIFS('Bad Bins'!$K$2:$K$3000,'Bad Bins'!$A$2:$A$3000,$K$2,'Bad Bins'!$B$2:$B$3000,SUBSTITUTE($A138," SS","  SS")),"NA"))</f>
        <v>101</v>
      </c>
      <c r="G138" s="81" t="str">
        <f aca="false">IF(COUNTIFS('RSTO &gt; 48hrs'!$A$2:$A$3000,$K$2,'RSTO &gt; 48hrs'!$B$2:$B$3000,$A138)&gt;0,SUMIFS('RSTO &gt; 48hrs'!$H$2:$H$3000,'RSTO &gt; 48hrs'!$A$2:$A$3000,$K$2,'RSTO &gt; 48hrs'!$B$2:$B$3000,$A138),IF(COUNTIFS('RSTO &gt; 48hrs'!$A$2:$A$3000,$K$2,'RSTO &gt; 48hrs'!$B$2:$B$3000,SUBSTITUTE($A138," SS","  SS"))&gt;0,SUMIFS('RSTO &gt; 48hrs'!$H$2:$H$3000,'RSTO &gt; 48hrs'!$A$2:$A$3000,$K$2,'RSTO &gt; 48hrs'!$B$2:$B$3000,SUBSTITUTE($A138," SS","  SS")),"NA"))</f>
        <v>NA</v>
      </c>
      <c r="H138" s="81" t="str">
        <f aca="false">IF(COUNTIFS('Recirculation &gt; 24 hrs'!$A$2:$A$3000,$K$2,'Recirculation &gt; 24 hrs'!$B$2:$B$3000,$A138)&gt;0,SUMIFS('Recirculation &gt; 24 hrs'!$K$2:$K$3000,'Recirculation &gt; 24 hrs'!$A$2:$A$3000,$K$2,'Recirculation &gt; 24 hrs'!$B$2:$B$3000,$A138),IF(COUNTIFS('Recirculation &gt; 24 hrs'!$A$2:$A$3000,$K$2,'Recirculation &gt; 24 hrs'!$B$2:$B$3000,SUBSTITUTE($A138," SS","  SS"))&gt;0,SUMIFS('Recirculation &gt; 24 hrs'!$K$2:$K$3000,'Recirculation &gt; 24 hrs'!$A$2:$A$3000,$K$2,'Recirculation &gt; 24 hrs'!$B$2:$B$3000,SUBSTITUTE($A138," SS","  SS")),"NA"))</f>
        <v>NA</v>
      </c>
      <c r="I138" s="81" t="n">
        <f aca="false">IF(COUNTIFS('Pending Putaway'!$A$2:$A$3000,$K$2,'Pending Putaway'!$B$2:$B$3000,$A138)&gt;0,SUMIFS('Pending Putaway'!$E$2:$E$3000,'Pending Putaway'!$A$2:$A$3000,$K$2,'Pending Putaway'!$B$2:$B$3000,$A138),IF(COUNTIFS('Pending Putaway'!$A$2:$A$3000,$K$2,'Pending Putaway'!$B$2:$B$3000,SUBSTITUTE($A138," SS","  SS"))&gt;0,SUMIFS('Pending Putaway'!$E$2:$E$3000,'Pending Putaway'!$A$2:$A$3000,$K$2,'Pending Putaway'!$B$2:$B$3000,SUBSTITUTE($A138," SS","  SS")),"NA"))</f>
        <v>271</v>
      </c>
      <c r="J138" s="81" t="n">
        <f aca="false">IF(COUNTIFS('Pending Putaway'!$A$2:$A$3000,$K$2,'Pending Putaway'!$B$2:$B$3000,$A138)&gt;0,SUMIFS('Pending Putaway'!$L$2:$L$3000,'Pending Putaway'!$A$2:$A$3000,$K$2,'Pending Putaway'!$B$2:$B$3000,$A138),IF(COUNTIFS('Pending Putaway'!$A$2:$A$3000,$K$2,'Pending Putaway'!$B$2:$B$3000,SUBSTITUTE($A138," SS","  SS"))&gt;0,SUMIFS('Pending Putaway'!$L$2:$L$3000,'Pending Putaway'!$A$2:$A$3000,$K$2,'Pending Putaway'!$B$2:$B$3000,SUBSTITUTE($A138," SS","  SS")),"NA"))</f>
        <v>0</v>
      </c>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row>
    <row r="139" customFormat="false" ht="15.75" hidden="false" customHeight="true" outlineLevel="0" collapsed="false">
      <c r="A139" s="81" t="s">
        <v>120</v>
      </c>
      <c r="B139" s="81" t="str">
        <f aca="false" t="array" ref="B139:B139">IFERROR(INDEX('CLM &amp; IM Mapping'!$B$2:$B$270,MATCH($A139,'CLM &amp; IM Mapping'!$A$2:$A$270,0)),"Not Mapped")</f>
        <v>Balaji G</v>
      </c>
      <c r="C139" s="81" t="str">
        <f aca="false" t="array" ref="C139:C139">IFERROR(INDEX('CLM &amp; IM Mapping'!$C$2:$C$270,MATCH($A139,'CLM &amp; IM Mapping'!$A$2:$A$270,0)),"Not Mapped")</f>
        <v>Mohammed Akbar</v>
      </c>
      <c r="D139" s="82" t="n">
        <f aca="false">IF(COUNTIFS(Shrinkage!$A$2:$A$3000,$K$2,Shrinkage!$D$2:$D$3000,$A139)&gt;0,SUMIFS(Shrinkage!$P$2:$P$3000,Shrinkage!$A$2:$A$3000,$K$2,Shrinkage!$D$2:$D$3000,$A139),IF(COUNTIFS(Shrinkage!$A$2:$A$3000,$K$2,Shrinkage!$D$2:$D$3000,SUBSTITUTE($A139," SS","  SS"))&gt;0,SUMIFS(Shrinkage!$P$2:$P$3000,Shrinkage!$A$2:$A$3000,$K$2,Shrinkage!$D$2:$D$3000,SUBSTITUTE($A139," SS","  SS")),"NA"))</f>
        <v>37464</v>
      </c>
      <c r="E139" s="83" t="n">
        <f aca="false">IF(COUNTIFS('Inventory Hygiene'!$A$2:$A$3000,$K$2,'Inventory Hygiene'!$B$2:$B$3000,$A139)&gt;0,AVERAGEIFS('Inventory Hygiene'!$J$2:$J$3000,'Inventory Hygiene'!$A$2:$A$3000,$K$2,'Inventory Hygiene'!$B$2:$B$3000,$A139),IF(COUNTIFS('Inventory Hygiene'!$A$2:$A$3000,$K$2,'Inventory Hygiene'!$B$2:$B$3000,SUBSTITUTE($A139," SS","  SS"))&gt;0,AVERAGEIFS('Inventory Hygiene'!$J$2:$J$3000,'Inventory Hygiene'!$A$2:$A$3000,$K$2,'Inventory Hygiene'!$B$2:$B$3000,SUBSTITUTE($A139," SS","  SS")),"NA"))</f>
        <v>0.847885304659498</v>
      </c>
      <c r="F139" s="81" t="n">
        <f aca="false">IF(COUNTIFS('Bad Bins'!$A$2:$A$3000,$K$2,'Bad Bins'!$B$2:$B$3000,$A139)&gt;0,SUMIFS('Bad Bins'!$K$2:$K$3000,'Bad Bins'!$A$2:$A$3000,$K$2,'Bad Bins'!$B$2:$B$3000,$A139),IF(COUNTIFS('Bad Bins'!$A$2:$A$3000,$K$2,'Bad Bins'!$B$2:$B$3000,SUBSTITUTE($A139," SS","  SS"))&gt;0,SUMIFS('Bad Bins'!$K$2:$K$3000,'Bad Bins'!$A$2:$A$3000,$K$2,'Bad Bins'!$B$2:$B$3000,SUBSTITUTE($A139," SS","  SS")),"NA"))</f>
        <v>109</v>
      </c>
      <c r="G139" s="81" t="str">
        <f aca="false">IF(COUNTIFS('RSTO &gt; 48hrs'!$A$2:$A$3000,$K$2,'RSTO &gt; 48hrs'!$B$2:$B$3000,$A139)&gt;0,SUMIFS('RSTO &gt; 48hrs'!$H$2:$H$3000,'RSTO &gt; 48hrs'!$A$2:$A$3000,$K$2,'RSTO &gt; 48hrs'!$B$2:$B$3000,$A139),IF(COUNTIFS('RSTO &gt; 48hrs'!$A$2:$A$3000,$K$2,'RSTO &gt; 48hrs'!$B$2:$B$3000,SUBSTITUTE($A139," SS","  SS"))&gt;0,SUMIFS('RSTO &gt; 48hrs'!$H$2:$H$3000,'RSTO &gt; 48hrs'!$A$2:$A$3000,$K$2,'RSTO &gt; 48hrs'!$B$2:$B$3000,SUBSTITUTE($A139," SS","  SS")),"NA"))</f>
        <v>NA</v>
      </c>
      <c r="H139" s="81" t="str">
        <f aca="false">IF(COUNTIFS('Recirculation &gt; 24 hrs'!$A$2:$A$3000,$K$2,'Recirculation &gt; 24 hrs'!$B$2:$B$3000,$A139)&gt;0,SUMIFS('Recirculation &gt; 24 hrs'!$K$2:$K$3000,'Recirculation &gt; 24 hrs'!$A$2:$A$3000,$K$2,'Recirculation &gt; 24 hrs'!$B$2:$B$3000,$A139),IF(COUNTIFS('Recirculation &gt; 24 hrs'!$A$2:$A$3000,$K$2,'Recirculation &gt; 24 hrs'!$B$2:$B$3000,SUBSTITUTE($A139," SS","  SS"))&gt;0,SUMIFS('Recirculation &gt; 24 hrs'!$K$2:$K$3000,'Recirculation &gt; 24 hrs'!$A$2:$A$3000,$K$2,'Recirculation &gt; 24 hrs'!$B$2:$B$3000,SUBSTITUTE($A139," SS","  SS")),"NA"))</f>
        <v>NA</v>
      </c>
      <c r="I139" s="81" t="n">
        <f aca="false">IF(COUNTIFS('Pending Putaway'!$A$2:$A$3000,$K$2,'Pending Putaway'!$B$2:$B$3000,$A139)&gt;0,SUMIFS('Pending Putaway'!$E$2:$E$3000,'Pending Putaway'!$A$2:$A$3000,$K$2,'Pending Putaway'!$B$2:$B$3000,$A139),IF(COUNTIFS('Pending Putaway'!$A$2:$A$3000,$K$2,'Pending Putaway'!$B$2:$B$3000,SUBSTITUTE($A139," SS","  SS"))&gt;0,SUMIFS('Pending Putaway'!$E$2:$E$3000,'Pending Putaway'!$A$2:$A$3000,$K$2,'Pending Putaway'!$B$2:$B$3000,SUBSTITUTE($A139," SS","  SS")),"NA"))</f>
        <v>0</v>
      </c>
      <c r="J139" s="81" t="n">
        <f aca="false">IF(COUNTIFS('Pending Putaway'!$A$2:$A$3000,$K$2,'Pending Putaway'!$B$2:$B$3000,$A139)&gt;0,SUMIFS('Pending Putaway'!$L$2:$L$3000,'Pending Putaway'!$A$2:$A$3000,$K$2,'Pending Putaway'!$B$2:$B$3000,$A139),IF(COUNTIFS('Pending Putaway'!$A$2:$A$3000,$K$2,'Pending Putaway'!$B$2:$B$3000,SUBSTITUTE($A139," SS","  SS"))&gt;0,SUMIFS('Pending Putaway'!$L$2:$L$3000,'Pending Putaway'!$A$2:$A$3000,$K$2,'Pending Putaway'!$B$2:$B$3000,SUBSTITUTE($A139," SS","  SS")),"NA"))</f>
        <v>0</v>
      </c>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row>
    <row r="140" customFormat="false" ht="15.75" hidden="false" customHeight="true" outlineLevel="0" collapsed="false">
      <c r="A140" s="81" t="s">
        <v>688</v>
      </c>
      <c r="B140" s="81" t="str">
        <f aca="false" t="array" ref="B140:B140">IFERROR(INDEX('CLM &amp; IM Mapping'!$B$2:$B$270,MATCH($A140,'CLM &amp; IM Mapping'!$A$2:$A$270,0)),"Not Mapped")</f>
        <v>Balaji G</v>
      </c>
      <c r="C140" s="81" t="str">
        <f aca="false" t="array" ref="C140:C140">IFERROR(INDEX('CLM &amp; IM Mapping'!$C$2:$C$270,MATCH($A140,'CLM &amp; IM Mapping'!$A$2:$A$270,0)),"Not Mapped")</f>
        <v>Mohammed Akbar</v>
      </c>
      <c r="D140" s="82" t="str">
        <f aca="false">IF(COUNTIFS(Shrinkage!$A$2:$A$3000,$K$2,Shrinkage!$D$2:$D$3000,$A140)&gt;0,SUMIFS(Shrinkage!$P$2:$P$3000,Shrinkage!$A$2:$A$3000,$K$2,Shrinkage!$D$2:$D$3000,$A140),IF(COUNTIFS(Shrinkage!$A$2:$A$3000,$K$2,Shrinkage!$D$2:$D$3000,SUBSTITUTE($A140," SS","  SS"))&gt;0,SUMIFS(Shrinkage!$P$2:$P$3000,Shrinkage!$A$2:$A$3000,$K$2,Shrinkage!$D$2:$D$3000,SUBSTITUTE($A140," SS","  SS")),"NA"))</f>
        <v>NA</v>
      </c>
      <c r="E140" s="83" t="str">
        <f aca="false">IF(COUNTIFS('Inventory Hygiene'!$A$2:$A$3000,$K$2,'Inventory Hygiene'!$B$2:$B$3000,$A140)&gt;0,AVERAGEIFS('Inventory Hygiene'!$J$2:$J$3000,'Inventory Hygiene'!$A$2:$A$3000,$K$2,'Inventory Hygiene'!$B$2:$B$3000,$A140),IF(COUNTIFS('Inventory Hygiene'!$A$2:$A$3000,$K$2,'Inventory Hygiene'!$B$2:$B$3000,SUBSTITUTE($A140," SS","  SS"))&gt;0,AVERAGEIFS('Inventory Hygiene'!$J$2:$J$3000,'Inventory Hygiene'!$A$2:$A$3000,$K$2,'Inventory Hygiene'!$B$2:$B$3000,SUBSTITUTE($A140," SS","  SS")),"NA"))</f>
        <v>NA</v>
      </c>
      <c r="F140" s="81" t="str">
        <f aca="false">IF(COUNTIFS('Bad Bins'!$A$2:$A$3000,$K$2,'Bad Bins'!$B$2:$B$3000,$A140)&gt;0,SUMIFS('Bad Bins'!$K$2:$K$3000,'Bad Bins'!$A$2:$A$3000,$K$2,'Bad Bins'!$B$2:$B$3000,$A140),IF(COUNTIFS('Bad Bins'!$A$2:$A$3000,$K$2,'Bad Bins'!$B$2:$B$3000,SUBSTITUTE($A140," SS","  SS"))&gt;0,SUMIFS('Bad Bins'!$K$2:$K$3000,'Bad Bins'!$A$2:$A$3000,$K$2,'Bad Bins'!$B$2:$B$3000,SUBSTITUTE($A140," SS","  SS")),"NA"))</f>
        <v>NA</v>
      </c>
      <c r="G140" s="81" t="str">
        <f aca="false">IF(COUNTIFS('RSTO &gt; 48hrs'!$A$2:$A$3000,$K$2,'RSTO &gt; 48hrs'!$B$2:$B$3000,$A140)&gt;0,SUMIFS('RSTO &gt; 48hrs'!$H$2:$H$3000,'RSTO &gt; 48hrs'!$A$2:$A$3000,$K$2,'RSTO &gt; 48hrs'!$B$2:$B$3000,$A140),IF(COUNTIFS('RSTO &gt; 48hrs'!$A$2:$A$3000,$K$2,'RSTO &gt; 48hrs'!$B$2:$B$3000,SUBSTITUTE($A140," SS","  SS"))&gt;0,SUMIFS('RSTO &gt; 48hrs'!$H$2:$H$3000,'RSTO &gt; 48hrs'!$A$2:$A$3000,$K$2,'RSTO &gt; 48hrs'!$B$2:$B$3000,SUBSTITUTE($A140," SS","  SS")),"NA"))</f>
        <v>NA</v>
      </c>
      <c r="H140" s="81" t="str">
        <f aca="false">IF(COUNTIFS('Recirculation &gt; 24 hrs'!$A$2:$A$3000,$K$2,'Recirculation &gt; 24 hrs'!$B$2:$B$3000,$A140)&gt;0,SUMIFS('Recirculation &gt; 24 hrs'!$K$2:$K$3000,'Recirculation &gt; 24 hrs'!$A$2:$A$3000,$K$2,'Recirculation &gt; 24 hrs'!$B$2:$B$3000,$A140),IF(COUNTIFS('Recirculation &gt; 24 hrs'!$A$2:$A$3000,$K$2,'Recirculation &gt; 24 hrs'!$B$2:$B$3000,SUBSTITUTE($A140," SS","  SS"))&gt;0,SUMIFS('Recirculation &gt; 24 hrs'!$K$2:$K$3000,'Recirculation &gt; 24 hrs'!$A$2:$A$3000,$K$2,'Recirculation &gt; 24 hrs'!$B$2:$B$3000,SUBSTITUTE($A140," SS","  SS")),"NA"))</f>
        <v>NA</v>
      </c>
      <c r="I140" s="81" t="str">
        <f aca="false">IF(COUNTIFS('Pending Putaway'!$A$2:$A$3000,$K$2,'Pending Putaway'!$B$2:$B$3000,$A140)&gt;0,SUMIFS('Pending Putaway'!$E$2:$E$3000,'Pending Putaway'!$A$2:$A$3000,$K$2,'Pending Putaway'!$B$2:$B$3000,$A140),IF(COUNTIFS('Pending Putaway'!$A$2:$A$3000,$K$2,'Pending Putaway'!$B$2:$B$3000,SUBSTITUTE($A140," SS","  SS"))&gt;0,SUMIFS('Pending Putaway'!$E$2:$E$3000,'Pending Putaway'!$A$2:$A$3000,$K$2,'Pending Putaway'!$B$2:$B$3000,SUBSTITUTE($A140," SS","  SS")),"NA"))</f>
        <v>NA</v>
      </c>
      <c r="J140" s="81" t="str">
        <f aca="false">IF(COUNTIFS('Pending Putaway'!$A$2:$A$3000,$K$2,'Pending Putaway'!$B$2:$B$3000,$A140)&gt;0,SUMIFS('Pending Putaway'!$L$2:$L$3000,'Pending Putaway'!$A$2:$A$3000,$K$2,'Pending Putaway'!$B$2:$B$3000,$A140),IF(COUNTIFS('Pending Putaway'!$A$2:$A$3000,$K$2,'Pending Putaway'!$B$2:$B$3000,SUBSTITUTE($A140," SS","  SS"))&gt;0,SUMIFS('Pending Putaway'!$L$2:$L$3000,'Pending Putaway'!$A$2:$A$3000,$K$2,'Pending Putaway'!$B$2:$B$3000,SUBSTITUTE($A140," SS","  SS")),"NA"))</f>
        <v>NA</v>
      </c>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row>
    <row r="141" customFormat="false" ht="15.75" hidden="false" customHeight="true" outlineLevel="0" collapsed="false">
      <c r="A141" s="81" t="s">
        <v>515</v>
      </c>
      <c r="B141" s="81" t="str">
        <f aca="false" t="array" ref="B141:B141">IFERROR(INDEX('CLM &amp; IM Mapping'!$B$2:$B$270,MATCH($A141,'CLM &amp; IM Mapping'!$A$2:$A$270,0)),"Not Mapped")</f>
        <v>Balaji G</v>
      </c>
      <c r="C141" s="81" t="str">
        <f aca="false" t="array" ref="C141:C141">IFERROR(INDEX('CLM &amp; IM Mapping'!$C$2:$C$270,MATCH($A141,'CLM &amp; IM Mapping'!$A$2:$A$270,0)),"Not Mapped")</f>
        <v>Mohammed Akbar</v>
      </c>
      <c r="D141" s="82" t="n">
        <f aca="false">IF(COUNTIFS(Shrinkage!$A$2:$A$3000,$K$2,Shrinkage!$D$2:$D$3000,$A141)&gt;0,SUMIFS(Shrinkage!$P$2:$P$3000,Shrinkage!$A$2:$A$3000,$K$2,Shrinkage!$D$2:$D$3000,$A141),IF(COUNTIFS(Shrinkage!$A$2:$A$3000,$K$2,Shrinkage!$D$2:$D$3000,SUBSTITUTE($A141," SS","  SS"))&gt;0,SUMIFS(Shrinkage!$P$2:$P$3000,Shrinkage!$A$2:$A$3000,$K$2,Shrinkage!$D$2:$D$3000,SUBSTITUTE($A141," SS","  SS")),"NA"))</f>
        <v>-30680</v>
      </c>
      <c r="E141" s="83" t="n">
        <f aca="false">IF(COUNTIFS('Inventory Hygiene'!$A$2:$A$3000,$K$2,'Inventory Hygiene'!$B$2:$B$3000,$A141)&gt;0,AVERAGEIFS('Inventory Hygiene'!$J$2:$J$3000,'Inventory Hygiene'!$A$2:$A$3000,$K$2,'Inventory Hygiene'!$B$2:$B$3000,$A141),IF(COUNTIFS('Inventory Hygiene'!$A$2:$A$3000,$K$2,'Inventory Hygiene'!$B$2:$B$3000,SUBSTITUTE($A141," SS","  SS"))&gt;0,AVERAGEIFS('Inventory Hygiene'!$J$2:$J$3000,'Inventory Hygiene'!$A$2:$A$3000,$K$2,'Inventory Hygiene'!$B$2:$B$3000,SUBSTITUTE($A141," SS","  SS")),"NA"))</f>
        <v>0.999803033287374</v>
      </c>
      <c r="F141" s="81" t="n">
        <f aca="false">IF(COUNTIFS('Bad Bins'!$A$2:$A$3000,$K$2,'Bad Bins'!$B$2:$B$3000,$A141)&gt;0,SUMIFS('Bad Bins'!$K$2:$K$3000,'Bad Bins'!$A$2:$A$3000,$K$2,'Bad Bins'!$B$2:$B$3000,$A141),IF(COUNTIFS('Bad Bins'!$A$2:$A$3000,$K$2,'Bad Bins'!$B$2:$B$3000,SUBSTITUTE($A141," SS","  SS"))&gt;0,SUMIFS('Bad Bins'!$K$2:$K$3000,'Bad Bins'!$A$2:$A$3000,$K$2,'Bad Bins'!$B$2:$B$3000,SUBSTITUTE($A141," SS","  SS")),"NA"))</f>
        <v>12</v>
      </c>
      <c r="G141" s="81" t="str">
        <f aca="false">IF(COUNTIFS('RSTO &gt; 48hrs'!$A$2:$A$3000,$K$2,'RSTO &gt; 48hrs'!$B$2:$B$3000,$A141)&gt;0,SUMIFS('RSTO &gt; 48hrs'!$H$2:$H$3000,'RSTO &gt; 48hrs'!$A$2:$A$3000,$K$2,'RSTO &gt; 48hrs'!$B$2:$B$3000,$A141),IF(COUNTIFS('RSTO &gt; 48hrs'!$A$2:$A$3000,$K$2,'RSTO &gt; 48hrs'!$B$2:$B$3000,SUBSTITUTE($A141," SS","  SS"))&gt;0,SUMIFS('RSTO &gt; 48hrs'!$H$2:$H$3000,'RSTO &gt; 48hrs'!$A$2:$A$3000,$K$2,'RSTO &gt; 48hrs'!$B$2:$B$3000,SUBSTITUTE($A141," SS","  SS")),"NA"))</f>
        <v>NA</v>
      </c>
      <c r="H141" s="81" t="str">
        <f aca="false">IF(COUNTIFS('Recirculation &gt; 24 hrs'!$A$2:$A$3000,$K$2,'Recirculation &gt; 24 hrs'!$B$2:$B$3000,$A141)&gt;0,SUMIFS('Recirculation &gt; 24 hrs'!$K$2:$K$3000,'Recirculation &gt; 24 hrs'!$A$2:$A$3000,$K$2,'Recirculation &gt; 24 hrs'!$B$2:$B$3000,$A141),IF(COUNTIFS('Recirculation &gt; 24 hrs'!$A$2:$A$3000,$K$2,'Recirculation &gt; 24 hrs'!$B$2:$B$3000,SUBSTITUTE($A141," SS","  SS"))&gt;0,SUMIFS('Recirculation &gt; 24 hrs'!$K$2:$K$3000,'Recirculation &gt; 24 hrs'!$A$2:$A$3000,$K$2,'Recirculation &gt; 24 hrs'!$B$2:$B$3000,SUBSTITUTE($A141," SS","  SS")),"NA"))</f>
        <v>NA</v>
      </c>
      <c r="I141" s="81" t="n">
        <f aca="false">IF(COUNTIFS('Pending Putaway'!$A$2:$A$3000,$K$2,'Pending Putaway'!$B$2:$B$3000,$A141)&gt;0,SUMIFS('Pending Putaway'!$E$2:$E$3000,'Pending Putaway'!$A$2:$A$3000,$K$2,'Pending Putaway'!$B$2:$B$3000,$A141),IF(COUNTIFS('Pending Putaway'!$A$2:$A$3000,$K$2,'Pending Putaway'!$B$2:$B$3000,SUBSTITUTE($A141," SS","  SS"))&gt;0,SUMIFS('Pending Putaway'!$E$2:$E$3000,'Pending Putaway'!$A$2:$A$3000,$K$2,'Pending Putaway'!$B$2:$B$3000,SUBSTITUTE($A141," SS","  SS")),"NA"))</f>
        <v>0</v>
      </c>
      <c r="J141" s="81" t="n">
        <f aca="false">IF(COUNTIFS('Pending Putaway'!$A$2:$A$3000,$K$2,'Pending Putaway'!$B$2:$B$3000,$A141)&gt;0,SUMIFS('Pending Putaway'!$L$2:$L$3000,'Pending Putaway'!$A$2:$A$3000,$K$2,'Pending Putaway'!$B$2:$B$3000,$A141),IF(COUNTIFS('Pending Putaway'!$A$2:$A$3000,$K$2,'Pending Putaway'!$B$2:$B$3000,SUBSTITUTE($A141," SS","  SS"))&gt;0,SUMIFS('Pending Putaway'!$L$2:$L$3000,'Pending Putaway'!$A$2:$A$3000,$K$2,'Pending Putaway'!$B$2:$B$3000,SUBSTITUTE($A141," SS","  SS")),"NA"))</f>
        <v>0</v>
      </c>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row>
    <row r="142" customFormat="false" ht="15.75" hidden="false" customHeight="true" outlineLevel="0" collapsed="false">
      <c r="A142" s="81" t="s">
        <v>178</v>
      </c>
      <c r="B142" s="81" t="str">
        <f aca="false" t="array" ref="B142:B142">IFERROR(INDEX('CLM &amp; IM Mapping'!$B$2:$B$270,MATCH($A142,'CLM &amp; IM Mapping'!$A$2:$A$270,0)),"Not Mapped")</f>
        <v>Balaji G</v>
      </c>
      <c r="C142" s="81" t="str">
        <f aca="false" t="array" ref="C142:C142">IFERROR(INDEX('CLM &amp; IM Mapping'!$C$2:$C$270,MATCH($A142,'CLM &amp; IM Mapping'!$A$2:$A$270,0)),"Not Mapped")</f>
        <v>Mohammed Akbar</v>
      </c>
      <c r="D142" s="82" t="n">
        <f aca="false">IF(COUNTIFS(Shrinkage!$A$2:$A$3000,$K$2,Shrinkage!$D$2:$D$3000,$A142)&gt;0,SUMIFS(Shrinkage!$P$2:$P$3000,Shrinkage!$A$2:$A$3000,$K$2,Shrinkage!$D$2:$D$3000,$A142),IF(COUNTIFS(Shrinkage!$A$2:$A$3000,$K$2,Shrinkage!$D$2:$D$3000,SUBSTITUTE($A142," SS","  SS"))&gt;0,SUMIFS(Shrinkage!$P$2:$P$3000,Shrinkage!$A$2:$A$3000,$K$2,Shrinkage!$D$2:$D$3000,SUBSTITUTE($A142," SS","  SS")),"NA"))</f>
        <v>34704</v>
      </c>
      <c r="E142" s="83" t="n">
        <f aca="false">IF(COUNTIFS('Inventory Hygiene'!$A$2:$A$3000,$K$2,'Inventory Hygiene'!$B$2:$B$3000,$A142)&gt;0,AVERAGEIFS('Inventory Hygiene'!$J$2:$J$3000,'Inventory Hygiene'!$A$2:$A$3000,$K$2,'Inventory Hygiene'!$B$2:$B$3000,$A142),IF(COUNTIFS('Inventory Hygiene'!$A$2:$A$3000,$K$2,'Inventory Hygiene'!$B$2:$B$3000,SUBSTITUTE($A142," SS","  SS"))&gt;0,AVERAGEIFS('Inventory Hygiene'!$J$2:$J$3000,'Inventory Hygiene'!$A$2:$A$3000,$K$2,'Inventory Hygiene'!$B$2:$B$3000,SUBSTITUTE($A142," SS","  SS")),"NA"))</f>
        <v>0.759760380086759</v>
      </c>
      <c r="F142" s="81" t="n">
        <f aca="false">IF(COUNTIFS('Bad Bins'!$A$2:$A$3000,$K$2,'Bad Bins'!$B$2:$B$3000,$A142)&gt;0,SUMIFS('Bad Bins'!$K$2:$K$3000,'Bad Bins'!$A$2:$A$3000,$K$2,'Bad Bins'!$B$2:$B$3000,$A142),IF(COUNTIFS('Bad Bins'!$A$2:$A$3000,$K$2,'Bad Bins'!$B$2:$B$3000,SUBSTITUTE($A142," SS","  SS"))&gt;0,SUMIFS('Bad Bins'!$K$2:$K$3000,'Bad Bins'!$A$2:$A$3000,$K$2,'Bad Bins'!$B$2:$B$3000,SUBSTITUTE($A142," SS","  SS")),"NA"))</f>
        <v>175</v>
      </c>
      <c r="G142" s="81" t="str">
        <f aca="false">IF(COUNTIFS('RSTO &gt; 48hrs'!$A$2:$A$3000,$K$2,'RSTO &gt; 48hrs'!$B$2:$B$3000,$A142)&gt;0,SUMIFS('RSTO &gt; 48hrs'!$H$2:$H$3000,'RSTO &gt; 48hrs'!$A$2:$A$3000,$K$2,'RSTO &gt; 48hrs'!$B$2:$B$3000,$A142),IF(COUNTIFS('RSTO &gt; 48hrs'!$A$2:$A$3000,$K$2,'RSTO &gt; 48hrs'!$B$2:$B$3000,SUBSTITUTE($A142," SS","  SS"))&gt;0,SUMIFS('RSTO &gt; 48hrs'!$H$2:$H$3000,'RSTO &gt; 48hrs'!$A$2:$A$3000,$K$2,'RSTO &gt; 48hrs'!$B$2:$B$3000,SUBSTITUTE($A142," SS","  SS")),"NA"))</f>
        <v>NA</v>
      </c>
      <c r="H142" s="81" t="str">
        <f aca="false">IF(COUNTIFS('Recirculation &gt; 24 hrs'!$A$2:$A$3000,$K$2,'Recirculation &gt; 24 hrs'!$B$2:$B$3000,$A142)&gt;0,SUMIFS('Recirculation &gt; 24 hrs'!$K$2:$K$3000,'Recirculation &gt; 24 hrs'!$A$2:$A$3000,$K$2,'Recirculation &gt; 24 hrs'!$B$2:$B$3000,$A142),IF(COUNTIFS('Recirculation &gt; 24 hrs'!$A$2:$A$3000,$K$2,'Recirculation &gt; 24 hrs'!$B$2:$B$3000,SUBSTITUTE($A142," SS","  SS"))&gt;0,SUMIFS('Recirculation &gt; 24 hrs'!$K$2:$K$3000,'Recirculation &gt; 24 hrs'!$A$2:$A$3000,$K$2,'Recirculation &gt; 24 hrs'!$B$2:$B$3000,SUBSTITUTE($A142," SS","  SS")),"NA"))</f>
        <v>NA</v>
      </c>
      <c r="I142" s="81" t="n">
        <f aca="false">IF(COUNTIFS('Pending Putaway'!$A$2:$A$3000,$K$2,'Pending Putaway'!$B$2:$B$3000,$A142)&gt;0,SUMIFS('Pending Putaway'!$E$2:$E$3000,'Pending Putaway'!$A$2:$A$3000,$K$2,'Pending Putaway'!$B$2:$B$3000,$A142),IF(COUNTIFS('Pending Putaway'!$A$2:$A$3000,$K$2,'Pending Putaway'!$B$2:$B$3000,SUBSTITUTE($A142," SS","  SS"))&gt;0,SUMIFS('Pending Putaway'!$E$2:$E$3000,'Pending Putaway'!$A$2:$A$3000,$K$2,'Pending Putaway'!$B$2:$B$3000,SUBSTITUTE($A142," SS","  SS")),"NA"))</f>
        <v>8066</v>
      </c>
      <c r="J142" s="81" t="n">
        <f aca="false">IF(COUNTIFS('Pending Putaway'!$A$2:$A$3000,$K$2,'Pending Putaway'!$B$2:$B$3000,$A142)&gt;0,SUMIFS('Pending Putaway'!$L$2:$L$3000,'Pending Putaway'!$A$2:$A$3000,$K$2,'Pending Putaway'!$B$2:$B$3000,$A142),IF(COUNTIFS('Pending Putaway'!$A$2:$A$3000,$K$2,'Pending Putaway'!$B$2:$B$3000,SUBSTITUTE($A142," SS","  SS"))&gt;0,SUMIFS('Pending Putaway'!$L$2:$L$3000,'Pending Putaway'!$A$2:$A$3000,$K$2,'Pending Putaway'!$B$2:$B$3000,SUBSTITUTE($A142," SS","  SS")),"NA"))</f>
        <v>2244</v>
      </c>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row>
    <row r="143" customFormat="false" ht="15.75" hidden="false" customHeight="true" outlineLevel="0" collapsed="false">
      <c r="A143" s="81" t="s">
        <v>296</v>
      </c>
      <c r="B143" s="81" t="str">
        <f aca="false" t="array" ref="B143:B143">IFERROR(INDEX('CLM &amp; IM Mapping'!$B$2:$B$270,MATCH($A143,'CLM &amp; IM Mapping'!$A$2:$A$270,0)),"Not Mapped")</f>
        <v>Balaji G</v>
      </c>
      <c r="C143" s="81" t="str">
        <f aca="false" t="array" ref="C143:C143">IFERROR(INDEX('CLM &amp; IM Mapping'!$C$2:$C$270,MATCH($A143,'CLM &amp; IM Mapping'!$A$2:$A$270,0)),"Not Mapped")</f>
        <v>Mohammed Akbar</v>
      </c>
      <c r="D143" s="82" t="n">
        <f aca="false">IF(COUNTIFS(Shrinkage!$A$2:$A$3000,$K$2,Shrinkage!$D$2:$D$3000,$A143)&gt;0,SUMIFS(Shrinkage!$P$2:$P$3000,Shrinkage!$A$2:$A$3000,$K$2,Shrinkage!$D$2:$D$3000,$A143),IF(COUNTIFS(Shrinkage!$A$2:$A$3000,$K$2,Shrinkage!$D$2:$D$3000,SUBSTITUTE($A143," SS","  SS"))&gt;0,SUMIFS(Shrinkage!$P$2:$P$3000,Shrinkage!$A$2:$A$3000,$K$2,Shrinkage!$D$2:$D$3000,SUBSTITUTE($A143," SS","  SS")),"NA"))</f>
        <v>4031</v>
      </c>
      <c r="E143" s="83" t="n">
        <f aca="false">IF(COUNTIFS('Inventory Hygiene'!$A$2:$A$3000,$K$2,'Inventory Hygiene'!$B$2:$B$3000,$A143)&gt;0,AVERAGEIFS('Inventory Hygiene'!$J$2:$J$3000,'Inventory Hygiene'!$A$2:$A$3000,$K$2,'Inventory Hygiene'!$B$2:$B$3000,$A143),IF(COUNTIFS('Inventory Hygiene'!$A$2:$A$3000,$K$2,'Inventory Hygiene'!$B$2:$B$3000,SUBSTITUTE($A143," SS","  SS"))&gt;0,AVERAGEIFS('Inventory Hygiene'!$J$2:$J$3000,'Inventory Hygiene'!$A$2:$A$3000,$K$2,'Inventory Hygiene'!$B$2:$B$3000,SUBSTITUTE($A143," SS","  SS")),"NA"))</f>
        <v>0.674582798459564</v>
      </c>
      <c r="F143" s="81" t="n">
        <f aca="false">IF(COUNTIFS('Bad Bins'!$A$2:$A$3000,$K$2,'Bad Bins'!$B$2:$B$3000,$A143)&gt;0,SUMIFS('Bad Bins'!$K$2:$K$3000,'Bad Bins'!$A$2:$A$3000,$K$2,'Bad Bins'!$B$2:$B$3000,$A143),IF(COUNTIFS('Bad Bins'!$A$2:$A$3000,$K$2,'Bad Bins'!$B$2:$B$3000,SUBSTITUTE($A143," SS","  SS"))&gt;0,SUMIFS('Bad Bins'!$K$2:$K$3000,'Bad Bins'!$A$2:$A$3000,$K$2,'Bad Bins'!$B$2:$B$3000,SUBSTITUTE($A143," SS","  SS")),"NA"))</f>
        <v>149</v>
      </c>
      <c r="G143" s="81" t="str">
        <f aca="false">IF(COUNTIFS('RSTO &gt; 48hrs'!$A$2:$A$3000,$K$2,'RSTO &gt; 48hrs'!$B$2:$B$3000,$A143)&gt;0,SUMIFS('RSTO &gt; 48hrs'!$H$2:$H$3000,'RSTO &gt; 48hrs'!$A$2:$A$3000,$K$2,'RSTO &gt; 48hrs'!$B$2:$B$3000,$A143),IF(COUNTIFS('RSTO &gt; 48hrs'!$A$2:$A$3000,$K$2,'RSTO &gt; 48hrs'!$B$2:$B$3000,SUBSTITUTE($A143," SS","  SS"))&gt;0,SUMIFS('RSTO &gt; 48hrs'!$H$2:$H$3000,'RSTO &gt; 48hrs'!$A$2:$A$3000,$K$2,'RSTO &gt; 48hrs'!$B$2:$B$3000,SUBSTITUTE($A143," SS","  SS")),"NA"))</f>
        <v>NA</v>
      </c>
      <c r="H143" s="81" t="str">
        <f aca="false">IF(COUNTIFS('Recirculation &gt; 24 hrs'!$A$2:$A$3000,$K$2,'Recirculation &gt; 24 hrs'!$B$2:$B$3000,$A143)&gt;0,SUMIFS('Recirculation &gt; 24 hrs'!$K$2:$K$3000,'Recirculation &gt; 24 hrs'!$A$2:$A$3000,$K$2,'Recirculation &gt; 24 hrs'!$B$2:$B$3000,$A143),IF(COUNTIFS('Recirculation &gt; 24 hrs'!$A$2:$A$3000,$K$2,'Recirculation &gt; 24 hrs'!$B$2:$B$3000,SUBSTITUTE($A143," SS","  SS"))&gt;0,SUMIFS('Recirculation &gt; 24 hrs'!$K$2:$K$3000,'Recirculation &gt; 24 hrs'!$A$2:$A$3000,$K$2,'Recirculation &gt; 24 hrs'!$B$2:$B$3000,SUBSTITUTE($A143," SS","  SS")),"NA"))</f>
        <v>NA</v>
      </c>
      <c r="I143" s="81" t="n">
        <f aca="false">IF(COUNTIFS('Pending Putaway'!$A$2:$A$3000,$K$2,'Pending Putaway'!$B$2:$B$3000,$A143)&gt;0,SUMIFS('Pending Putaway'!$E$2:$E$3000,'Pending Putaway'!$A$2:$A$3000,$K$2,'Pending Putaway'!$B$2:$B$3000,$A143),IF(COUNTIFS('Pending Putaway'!$A$2:$A$3000,$K$2,'Pending Putaway'!$B$2:$B$3000,SUBSTITUTE($A143," SS","  SS"))&gt;0,SUMIFS('Pending Putaway'!$E$2:$E$3000,'Pending Putaway'!$A$2:$A$3000,$K$2,'Pending Putaway'!$B$2:$B$3000,SUBSTITUTE($A143," SS","  SS")),"NA"))</f>
        <v>0</v>
      </c>
      <c r="J143" s="81" t="n">
        <f aca="false">IF(COUNTIFS('Pending Putaway'!$A$2:$A$3000,$K$2,'Pending Putaway'!$B$2:$B$3000,$A143)&gt;0,SUMIFS('Pending Putaway'!$L$2:$L$3000,'Pending Putaway'!$A$2:$A$3000,$K$2,'Pending Putaway'!$B$2:$B$3000,$A143),IF(COUNTIFS('Pending Putaway'!$A$2:$A$3000,$K$2,'Pending Putaway'!$B$2:$B$3000,SUBSTITUTE($A143," SS","  SS"))&gt;0,SUMIFS('Pending Putaway'!$L$2:$L$3000,'Pending Putaway'!$A$2:$A$3000,$K$2,'Pending Putaway'!$B$2:$B$3000,SUBSTITUTE($A143," SS","  SS")),"NA"))</f>
        <v>0</v>
      </c>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row>
    <row r="144" customFormat="false" ht="15.75" hidden="false" customHeight="true" outlineLevel="0" collapsed="false">
      <c r="A144" s="81" t="s">
        <v>83</v>
      </c>
      <c r="B144" s="81" t="str">
        <f aca="false" t="array" ref="B144:B144">IFERROR(INDEX('CLM &amp; IM Mapping'!$B$2:$B$270,MATCH($A144,'CLM &amp; IM Mapping'!$A$2:$A$270,0)),"Not Mapped")</f>
        <v>Keshav G</v>
      </c>
      <c r="C144" s="81" t="str">
        <f aca="false" t="array" ref="C144:C144">IFERROR(INDEX('CLM &amp; IM Mapping'!$C$2:$C$270,MATCH($A144,'CLM &amp; IM Mapping'!$A$2:$A$270,0)),"Not Mapped")</f>
        <v>Mohammed Akbar</v>
      </c>
      <c r="D144" s="82" t="n">
        <f aca="false">IF(COUNTIFS(Shrinkage!$A$2:$A$3000,$K$2,Shrinkage!$D$2:$D$3000,$A144)&gt;0,SUMIFS(Shrinkage!$P$2:$P$3000,Shrinkage!$A$2:$A$3000,$K$2,Shrinkage!$D$2:$D$3000,$A144),IF(COUNTIFS(Shrinkage!$A$2:$A$3000,$K$2,Shrinkage!$D$2:$D$3000,SUBSTITUTE($A144," SS","  SS"))&gt;0,SUMIFS(Shrinkage!$P$2:$P$3000,Shrinkage!$A$2:$A$3000,$K$2,Shrinkage!$D$2:$D$3000,SUBSTITUTE($A144," SS","  SS")),"NA"))</f>
        <v>43438</v>
      </c>
      <c r="E144" s="83" t="n">
        <f aca="false">IF(COUNTIFS('Inventory Hygiene'!$A$2:$A$3000,$K$2,'Inventory Hygiene'!$B$2:$B$3000,$A144)&gt;0,AVERAGEIFS('Inventory Hygiene'!$J$2:$J$3000,'Inventory Hygiene'!$A$2:$A$3000,$K$2,'Inventory Hygiene'!$B$2:$B$3000,$A144),IF(COUNTIFS('Inventory Hygiene'!$A$2:$A$3000,$K$2,'Inventory Hygiene'!$B$2:$B$3000,SUBSTITUTE($A144," SS","  SS"))&gt;0,AVERAGEIFS('Inventory Hygiene'!$J$2:$J$3000,'Inventory Hygiene'!$A$2:$A$3000,$K$2,'Inventory Hygiene'!$B$2:$B$3000,SUBSTITUTE($A144," SS","  SS")),"NA"))</f>
        <v>0.87471283229406</v>
      </c>
      <c r="F144" s="81" t="n">
        <f aca="false">IF(COUNTIFS('Bad Bins'!$A$2:$A$3000,$K$2,'Bad Bins'!$B$2:$B$3000,$A144)&gt;0,SUMIFS('Bad Bins'!$K$2:$K$3000,'Bad Bins'!$A$2:$A$3000,$K$2,'Bad Bins'!$B$2:$B$3000,$A144),IF(COUNTIFS('Bad Bins'!$A$2:$A$3000,$K$2,'Bad Bins'!$B$2:$B$3000,SUBSTITUTE($A144," SS","  SS"))&gt;0,SUMIFS('Bad Bins'!$K$2:$K$3000,'Bad Bins'!$A$2:$A$3000,$K$2,'Bad Bins'!$B$2:$B$3000,SUBSTITUTE($A144," SS","  SS")),"NA"))</f>
        <v>837</v>
      </c>
      <c r="G144" s="81" t="str">
        <f aca="false">IF(COUNTIFS('RSTO &gt; 48hrs'!$A$2:$A$3000,$K$2,'RSTO &gt; 48hrs'!$B$2:$B$3000,$A144)&gt;0,SUMIFS('RSTO &gt; 48hrs'!$H$2:$H$3000,'RSTO &gt; 48hrs'!$A$2:$A$3000,$K$2,'RSTO &gt; 48hrs'!$B$2:$B$3000,$A144),IF(COUNTIFS('RSTO &gt; 48hrs'!$A$2:$A$3000,$K$2,'RSTO &gt; 48hrs'!$B$2:$B$3000,SUBSTITUTE($A144," SS","  SS"))&gt;0,SUMIFS('RSTO &gt; 48hrs'!$H$2:$H$3000,'RSTO &gt; 48hrs'!$A$2:$A$3000,$K$2,'RSTO &gt; 48hrs'!$B$2:$B$3000,SUBSTITUTE($A144," SS","  SS")),"NA"))</f>
        <v>NA</v>
      </c>
      <c r="H144" s="81" t="str">
        <f aca="false">IF(COUNTIFS('Recirculation &gt; 24 hrs'!$A$2:$A$3000,$K$2,'Recirculation &gt; 24 hrs'!$B$2:$B$3000,$A144)&gt;0,SUMIFS('Recirculation &gt; 24 hrs'!$K$2:$K$3000,'Recirculation &gt; 24 hrs'!$A$2:$A$3000,$K$2,'Recirculation &gt; 24 hrs'!$B$2:$B$3000,$A144),IF(COUNTIFS('Recirculation &gt; 24 hrs'!$A$2:$A$3000,$K$2,'Recirculation &gt; 24 hrs'!$B$2:$B$3000,SUBSTITUTE($A144," SS","  SS"))&gt;0,SUMIFS('Recirculation &gt; 24 hrs'!$K$2:$K$3000,'Recirculation &gt; 24 hrs'!$A$2:$A$3000,$K$2,'Recirculation &gt; 24 hrs'!$B$2:$B$3000,SUBSTITUTE($A144," SS","  SS")),"NA"))</f>
        <v>NA</v>
      </c>
      <c r="I144" s="81" t="n">
        <f aca="false">IF(COUNTIFS('Pending Putaway'!$A$2:$A$3000,$K$2,'Pending Putaway'!$B$2:$B$3000,$A144)&gt;0,SUMIFS('Pending Putaway'!$E$2:$E$3000,'Pending Putaway'!$A$2:$A$3000,$K$2,'Pending Putaway'!$B$2:$B$3000,$A144),IF(COUNTIFS('Pending Putaway'!$A$2:$A$3000,$K$2,'Pending Putaway'!$B$2:$B$3000,SUBSTITUTE($A144," SS","  SS"))&gt;0,SUMIFS('Pending Putaway'!$E$2:$E$3000,'Pending Putaway'!$A$2:$A$3000,$K$2,'Pending Putaway'!$B$2:$B$3000,SUBSTITUTE($A144," SS","  SS")),"NA"))</f>
        <v>1537</v>
      </c>
      <c r="J144" s="81" t="n">
        <f aca="false">IF(COUNTIFS('Pending Putaway'!$A$2:$A$3000,$K$2,'Pending Putaway'!$B$2:$B$3000,$A144)&gt;0,SUMIFS('Pending Putaway'!$L$2:$L$3000,'Pending Putaway'!$A$2:$A$3000,$K$2,'Pending Putaway'!$B$2:$B$3000,$A144),IF(COUNTIFS('Pending Putaway'!$A$2:$A$3000,$K$2,'Pending Putaway'!$B$2:$B$3000,SUBSTITUTE($A144," SS","  SS"))&gt;0,SUMIFS('Pending Putaway'!$L$2:$L$3000,'Pending Putaway'!$A$2:$A$3000,$K$2,'Pending Putaway'!$B$2:$B$3000,SUBSTITUTE($A144," SS","  SS")),"NA"))</f>
        <v>1038</v>
      </c>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row>
    <row r="145" customFormat="false" ht="15.75" hidden="false" customHeight="true" outlineLevel="0" collapsed="false">
      <c r="A145" s="81" t="s">
        <v>524</v>
      </c>
      <c r="B145" s="81" t="str">
        <f aca="false" t="array" ref="B145:B145">IFERROR(INDEX('CLM &amp; IM Mapping'!$B$2:$B$270,MATCH($A145,'CLM &amp; IM Mapping'!$A$2:$A$270,0)),"Not Mapped")</f>
        <v>Balaji G</v>
      </c>
      <c r="C145" s="81" t="str">
        <f aca="false" t="array" ref="C145:C145">IFERROR(INDEX('CLM &amp; IM Mapping'!$C$2:$C$270,MATCH($A145,'CLM &amp; IM Mapping'!$A$2:$A$270,0)),"Not Mapped")</f>
        <v>Mohammed Akbar</v>
      </c>
      <c r="D145" s="82" t="n">
        <f aca="false">IF(COUNTIFS(Shrinkage!$A$2:$A$3000,$K$2,Shrinkage!$D$2:$D$3000,$A145)&gt;0,SUMIFS(Shrinkage!$P$2:$P$3000,Shrinkage!$A$2:$A$3000,$K$2,Shrinkage!$D$2:$D$3000,$A145),IF(COUNTIFS(Shrinkage!$A$2:$A$3000,$K$2,Shrinkage!$D$2:$D$3000,SUBSTITUTE($A145," SS","  SS"))&gt;0,SUMIFS(Shrinkage!$P$2:$P$3000,Shrinkage!$A$2:$A$3000,$K$2,Shrinkage!$D$2:$D$3000,SUBSTITUTE($A145," SS","  SS")),"NA"))</f>
        <v>-51150</v>
      </c>
      <c r="E145" s="83" t="n">
        <f aca="false">IF(COUNTIFS('Inventory Hygiene'!$A$2:$A$3000,$K$2,'Inventory Hygiene'!$B$2:$B$3000,$A145)&gt;0,AVERAGEIFS('Inventory Hygiene'!$J$2:$J$3000,'Inventory Hygiene'!$A$2:$A$3000,$K$2,'Inventory Hygiene'!$B$2:$B$3000,$A145),IF(COUNTIFS('Inventory Hygiene'!$A$2:$A$3000,$K$2,'Inventory Hygiene'!$B$2:$B$3000,SUBSTITUTE($A145," SS","  SS"))&gt;0,AVERAGEIFS('Inventory Hygiene'!$J$2:$J$3000,'Inventory Hygiene'!$A$2:$A$3000,$K$2,'Inventory Hygiene'!$B$2:$B$3000,SUBSTITUTE($A145," SS","  SS")),"NA"))</f>
        <v>0.979781641730692</v>
      </c>
      <c r="F145" s="81" t="n">
        <f aca="false">IF(COUNTIFS('Bad Bins'!$A$2:$A$3000,$K$2,'Bad Bins'!$B$2:$B$3000,$A145)&gt;0,SUMIFS('Bad Bins'!$K$2:$K$3000,'Bad Bins'!$A$2:$A$3000,$K$2,'Bad Bins'!$B$2:$B$3000,$A145),IF(COUNTIFS('Bad Bins'!$A$2:$A$3000,$K$2,'Bad Bins'!$B$2:$B$3000,SUBSTITUTE($A145," SS","  SS"))&gt;0,SUMIFS('Bad Bins'!$K$2:$K$3000,'Bad Bins'!$A$2:$A$3000,$K$2,'Bad Bins'!$B$2:$B$3000,SUBSTITUTE($A145," SS","  SS")),"NA"))</f>
        <v>255</v>
      </c>
      <c r="G145" s="81" t="str">
        <f aca="false">IF(COUNTIFS('RSTO &gt; 48hrs'!$A$2:$A$3000,$K$2,'RSTO &gt; 48hrs'!$B$2:$B$3000,$A145)&gt;0,SUMIFS('RSTO &gt; 48hrs'!$H$2:$H$3000,'RSTO &gt; 48hrs'!$A$2:$A$3000,$K$2,'RSTO &gt; 48hrs'!$B$2:$B$3000,$A145),IF(COUNTIFS('RSTO &gt; 48hrs'!$A$2:$A$3000,$K$2,'RSTO &gt; 48hrs'!$B$2:$B$3000,SUBSTITUTE($A145," SS","  SS"))&gt;0,SUMIFS('RSTO &gt; 48hrs'!$H$2:$H$3000,'RSTO &gt; 48hrs'!$A$2:$A$3000,$K$2,'RSTO &gt; 48hrs'!$B$2:$B$3000,SUBSTITUTE($A145," SS","  SS")),"NA"))</f>
        <v>NA</v>
      </c>
      <c r="H145" s="81" t="str">
        <f aca="false">IF(COUNTIFS('Recirculation &gt; 24 hrs'!$A$2:$A$3000,$K$2,'Recirculation &gt; 24 hrs'!$B$2:$B$3000,$A145)&gt;0,SUMIFS('Recirculation &gt; 24 hrs'!$K$2:$K$3000,'Recirculation &gt; 24 hrs'!$A$2:$A$3000,$K$2,'Recirculation &gt; 24 hrs'!$B$2:$B$3000,$A145),IF(COUNTIFS('Recirculation &gt; 24 hrs'!$A$2:$A$3000,$K$2,'Recirculation &gt; 24 hrs'!$B$2:$B$3000,SUBSTITUTE($A145," SS","  SS"))&gt;0,SUMIFS('Recirculation &gt; 24 hrs'!$K$2:$K$3000,'Recirculation &gt; 24 hrs'!$A$2:$A$3000,$K$2,'Recirculation &gt; 24 hrs'!$B$2:$B$3000,SUBSTITUTE($A145," SS","  SS")),"NA"))</f>
        <v>NA</v>
      </c>
      <c r="I145" s="81" t="n">
        <f aca="false">IF(COUNTIFS('Pending Putaway'!$A$2:$A$3000,$K$2,'Pending Putaway'!$B$2:$B$3000,$A145)&gt;0,SUMIFS('Pending Putaway'!$E$2:$E$3000,'Pending Putaway'!$A$2:$A$3000,$K$2,'Pending Putaway'!$B$2:$B$3000,$A145),IF(COUNTIFS('Pending Putaway'!$A$2:$A$3000,$K$2,'Pending Putaway'!$B$2:$B$3000,SUBSTITUTE($A145," SS","  SS"))&gt;0,SUMIFS('Pending Putaway'!$E$2:$E$3000,'Pending Putaway'!$A$2:$A$3000,$K$2,'Pending Putaway'!$B$2:$B$3000,SUBSTITUTE($A145," SS","  SS")),"NA"))</f>
        <v>2605</v>
      </c>
      <c r="J145" s="81" t="n">
        <f aca="false">IF(COUNTIFS('Pending Putaway'!$A$2:$A$3000,$K$2,'Pending Putaway'!$B$2:$B$3000,$A145)&gt;0,SUMIFS('Pending Putaway'!$L$2:$L$3000,'Pending Putaway'!$A$2:$A$3000,$K$2,'Pending Putaway'!$B$2:$B$3000,$A145),IF(COUNTIFS('Pending Putaway'!$A$2:$A$3000,$K$2,'Pending Putaway'!$B$2:$B$3000,SUBSTITUTE($A145," SS","  SS"))&gt;0,SUMIFS('Pending Putaway'!$L$2:$L$3000,'Pending Putaway'!$A$2:$A$3000,$K$2,'Pending Putaway'!$B$2:$B$3000,SUBSTITUTE($A145," SS","  SS")),"NA"))</f>
        <v>1050</v>
      </c>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row>
    <row r="146" customFormat="false" ht="15.75" hidden="false" customHeight="true" outlineLevel="0" collapsed="false">
      <c r="A146" s="81" t="s">
        <v>521</v>
      </c>
      <c r="B146" s="81" t="str">
        <f aca="false" t="array" ref="B146:B146">IFERROR(INDEX('CLM &amp; IM Mapping'!$B$2:$B$270,MATCH($A146,'CLM &amp; IM Mapping'!$A$2:$A$270,0)),"Not Mapped")</f>
        <v>Mohaideen DH</v>
      </c>
      <c r="C146" s="81" t="str">
        <f aca="false" t="array" ref="C146:C146">IFERROR(INDEX('CLM &amp; IM Mapping'!$C$2:$C$270,MATCH($A146,'CLM &amp; IM Mapping'!$A$2:$A$270,0)),"Not Mapped")</f>
        <v>Mohammed Akbar</v>
      </c>
      <c r="D146" s="82" t="n">
        <f aca="false">IF(COUNTIFS(Shrinkage!$A$2:$A$3000,$K$2,Shrinkage!$D$2:$D$3000,$A146)&gt;0,SUMIFS(Shrinkage!$P$2:$P$3000,Shrinkage!$A$2:$A$3000,$K$2,Shrinkage!$D$2:$D$3000,$A146),IF(COUNTIFS(Shrinkage!$A$2:$A$3000,$K$2,Shrinkage!$D$2:$D$3000,SUBSTITUTE($A146," SS","  SS"))&gt;0,SUMIFS(Shrinkage!$P$2:$P$3000,Shrinkage!$A$2:$A$3000,$K$2,Shrinkage!$D$2:$D$3000,SUBSTITUTE($A146," SS","  SS")),"NA"))</f>
        <v>-36128</v>
      </c>
      <c r="E146" s="83" t="n">
        <f aca="false">IF(COUNTIFS('Inventory Hygiene'!$A$2:$A$3000,$K$2,'Inventory Hygiene'!$B$2:$B$3000,$A146)&gt;0,AVERAGEIFS('Inventory Hygiene'!$J$2:$J$3000,'Inventory Hygiene'!$A$2:$A$3000,$K$2,'Inventory Hygiene'!$B$2:$B$3000,$A146),IF(COUNTIFS('Inventory Hygiene'!$A$2:$A$3000,$K$2,'Inventory Hygiene'!$B$2:$B$3000,SUBSTITUTE($A146," SS","  SS"))&gt;0,AVERAGEIFS('Inventory Hygiene'!$J$2:$J$3000,'Inventory Hygiene'!$A$2:$A$3000,$K$2,'Inventory Hygiene'!$B$2:$B$3000,SUBSTITUTE($A146," SS","  SS")),"NA"))</f>
        <v>0.999775935469415</v>
      </c>
      <c r="F146" s="81" t="n">
        <f aca="false">IF(COUNTIFS('Bad Bins'!$A$2:$A$3000,$K$2,'Bad Bins'!$B$2:$B$3000,$A146)&gt;0,SUMIFS('Bad Bins'!$K$2:$K$3000,'Bad Bins'!$A$2:$A$3000,$K$2,'Bad Bins'!$B$2:$B$3000,$A146),IF(COUNTIFS('Bad Bins'!$A$2:$A$3000,$K$2,'Bad Bins'!$B$2:$B$3000,SUBSTITUTE($A146," SS","  SS"))&gt;0,SUMIFS('Bad Bins'!$K$2:$K$3000,'Bad Bins'!$A$2:$A$3000,$K$2,'Bad Bins'!$B$2:$B$3000,SUBSTITUTE($A146," SS","  SS")),"NA"))</f>
        <v>334</v>
      </c>
      <c r="G146" s="81" t="str">
        <f aca="false">IF(COUNTIFS('RSTO &gt; 48hrs'!$A$2:$A$3000,$K$2,'RSTO &gt; 48hrs'!$B$2:$B$3000,$A146)&gt;0,SUMIFS('RSTO &gt; 48hrs'!$H$2:$H$3000,'RSTO &gt; 48hrs'!$A$2:$A$3000,$K$2,'RSTO &gt; 48hrs'!$B$2:$B$3000,$A146),IF(COUNTIFS('RSTO &gt; 48hrs'!$A$2:$A$3000,$K$2,'RSTO &gt; 48hrs'!$B$2:$B$3000,SUBSTITUTE($A146," SS","  SS"))&gt;0,SUMIFS('RSTO &gt; 48hrs'!$H$2:$H$3000,'RSTO &gt; 48hrs'!$A$2:$A$3000,$K$2,'RSTO &gt; 48hrs'!$B$2:$B$3000,SUBSTITUTE($A146," SS","  SS")),"NA"))</f>
        <v>NA</v>
      </c>
      <c r="H146" s="81" t="str">
        <f aca="false">IF(COUNTIFS('Recirculation &gt; 24 hrs'!$A$2:$A$3000,$K$2,'Recirculation &gt; 24 hrs'!$B$2:$B$3000,$A146)&gt;0,SUMIFS('Recirculation &gt; 24 hrs'!$K$2:$K$3000,'Recirculation &gt; 24 hrs'!$A$2:$A$3000,$K$2,'Recirculation &gt; 24 hrs'!$B$2:$B$3000,$A146),IF(COUNTIFS('Recirculation &gt; 24 hrs'!$A$2:$A$3000,$K$2,'Recirculation &gt; 24 hrs'!$B$2:$B$3000,SUBSTITUTE($A146," SS","  SS"))&gt;0,SUMIFS('Recirculation &gt; 24 hrs'!$K$2:$K$3000,'Recirculation &gt; 24 hrs'!$A$2:$A$3000,$K$2,'Recirculation &gt; 24 hrs'!$B$2:$B$3000,SUBSTITUTE($A146," SS","  SS")),"NA"))</f>
        <v>NA</v>
      </c>
      <c r="I146" s="81" t="n">
        <f aca="false">IF(COUNTIFS('Pending Putaway'!$A$2:$A$3000,$K$2,'Pending Putaway'!$B$2:$B$3000,$A146)&gt;0,SUMIFS('Pending Putaway'!$E$2:$E$3000,'Pending Putaway'!$A$2:$A$3000,$K$2,'Pending Putaway'!$B$2:$B$3000,$A146),IF(COUNTIFS('Pending Putaway'!$A$2:$A$3000,$K$2,'Pending Putaway'!$B$2:$B$3000,SUBSTITUTE($A146," SS","  SS"))&gt;0,SUMIFS('Pending Putaway'!$E$2:$E$3000,'Pending Putaway'!$A$2:$A$3000,$K$2,'Pending Putaway'!$B$2:$B$3000,SUBSTITUTE($A146," SS","  SS")),"NA"))</f>
        <v>976</v>
      </c>
      <c r="J146" s="81" t="n">
        <f aca="false">IF(COUNTIFS('Pending Putaway'!$A$2:$A$3000,$K$2,'Pending Putaway'!$B$2:$B$3000,$A146)&gt;0,SUMIFS('Pending Putaway'!$L$2:$L$3000,'Pending Putaway'!$A$2:$A$3000,$K$2,'Pending Putaway'!$B$2:$B$3000,$A146),IF(COUNTIFS('Pending Putaway'!$A$2:$A$3000,$K$2,'Pending Putaway'!$B$2:$B$3000,SUBSTITUTE($A146," SS","  SS"))&gt;0,SUMIFS('Pending Putaway'!$L$2:$L$3000,'Pending Putaway'!$A$2:$A$3000,$K$2,'Pending Putaway'!$B$2:$B$3000,SUBSTITUTE($A146," SS","  SS")),"NA"))</f>
        <v>280</v>
      </c>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row>
    <row r="147" customFormat="false" ht="15.75" hidden="false" customHeight="true" outlineLevel="0" collapsed="false">
      <c r="A147" s="81" t="s">
        <v>144</v>
      </c>
      <c r="B147" s="81" t="str">
        <f aca="false" t="array" ref="B147:B147">IFERROR(INDEX('CLM &amp; IM Mapping'!$B$2:$B$270,MATCH($A147,'CLM &amp; IM Mapping'!$A$2:$A$270,0)),"Not Mapped")</f>
        <v>Mohaideen DH</v>
      </c>
      <c r="C147" s="81" t="str">
        <f aca="false" t="array" ref="C147:C147">IFERROR(INDEX('CLM &amp; IM Mapping'!$C$2:$C$270,MATCH($A147,'CLM &amp; IM Mapping'!$A$2:$A$270,0)),"Not Mapped")</f>
        <v>Mohammed Akbar</v>
      </c>
      <c r="D147" s="82" t="n">
        <f aca="false">IF(COUNTIFS(Shrinkage!$A$2:$A$3000,$K$2,Shrinkage!$D$2:$D$3000,$A147)&gt;0,SUMIFS(Shrinkage!$P$2:$P$3000,Shrinkage!$A$2:$A$3000,$K$2,Shrinkage!$D$2:$D$3000,$A147),IF(COUNTIFS(Shrinkage!$A$2:$A$3000,$K$2,Shrinkage!$D$2:$D$3000,SUBSTITUTE($A147," SS","  SS"))&gt;0,SUMIFS(Shrinkage!$P$2:$P$3000,Shrinkage!$A$2:$A$3000,$K$2,Shrinkage!$D$2:$D$3000,SUBSTITUTE($A147," SS","  SS")),"NA"))</f>
        <v>17267</v>
      </c>
      <c r="E147" s="83" t="n">
        <f aca="false">IF(COUNTIFS('Inventory Hygiene'!$A$2:$A$3000,$K$2,'Inventory Hygiene'!$B$2:$B$3000,$A147)&gt;0,AVERAGEIFS('Inventory Hygiene'!$J$2:$J$3000,'Inventory Hygiene'!$A$2:$A$3000,$K$2,'Inventory Hygiene'!$B$2:$B$3000,$A147),IF(COUNTIFS('Inventory Hygiene'!$A$2:$A$3000,$K$2,'Inventory Hygiene'!$B$2:$B$3000,SUBSTITUTE($A147," SS","  SS"))&gt;0,AVERAGEIFS('Inventory Hygiene'!$J$2:$J$3000,'Inventory Hygiene'!$A$2:$A$3000,$K$2,'Inventory Hygiene'!$B$2:$B$3000,SUBSTITUTE($A147," SS","  SS")),"NA"))</f>
        <v>0.767235926628716</v>
      </c>
      <c r="F147" s="81" t="n">
        <f aca="false">IF(COUNTIFS('Bad Bins'!$A$2:$A$3000,$K$2,'Bad Bins'!$B$2:$B$3000,$A147)&gt;0,SUMIFS('Bad Bins'!$K$2:$K$3000,'Bad Bins'!$A$2:$A$3000,$K$2,'Bad Bins'!$B$2:$B$3000,$A147),IF(COUNTIFS('Bad Bins'!$A$2:$A$3000,$K$2,'Bad Bins'!$B$2:$B$3000,SUBSTITUTE($A147," SS","  SS"))&gt;0,SUMIFS('Bad Bins'!$K$2:$K$3000,'Bad Bins'!$A$2:$A$3000,$K$2,'Bad Bins'!$B$2:$B$3000,SUBSTITUTE($A147," SS","  SS")),"NA"))</f>
        <v>288</v>
      </c>
      <c r="G147" s="81" t="str">
        <f aca="false">IF(COUNTIFS('RSTO &gt; 48hrs'!$A$2:$A$3000,$K$2,'RSTO &gt; 48hrs'!$B$2:$B$3000,$A147)&gt;0,SUMIFS('RSTO &gt; 48hrs'!$H$2:$H$3000,'RSTO &gt; 48hrs'!$A$2:$A$3000,$K$2,'RSTO &gt; 48hrs'!$B$2:$B$3000,$A147),IF(COUNTIFS('RSTO &gt; 48hrs'!$A$2:$A$3000,$K$2,'RSTO &gt; 48hrs'!$B$2:$B$3000,SUBSTITUTE($A147," SS","  SS"))&gt;0,SUMIFS('RSTO &gt; 48hrs'!$H$2:$H$3000,'RSTO &gt; 48hrs'!$A$2:$A$3000,$K$2,'RSTO &gt; 48hrs'!$B$2:$B$3000,SUBSTITUTE($A147," SS","  SS")),"NA"))</f>
        <v>NA</v>
      </c>
      <c r="H147" s="81" t="n">
        <f aca="false">IF(COUNTIFS('Recirculation &gt; 24 hrs'!$A$2:$A$3000,$K$2,'Recirculation &gt; 24 hrs'!$B$2:$B$3000,$A147)&gt;0,SUMIFS('Recirculation &gt; 24 hrs'!$K$2:$K$3000,'Recirculation &gt; 24 hrs'!$A$2:$A$3000,$K$2,'Recirculation &gt; 24 hrs'!$B$2:$B$3000,$A147),IF(COUNTIFS('Recirculation &gt; 24 hrs'!$A$2:$A$3000,$K$2,'Recirculation &gt; 24 hrs'!$B$2:$B$3000,SUBSTITUTE($A147," SS","  SS"))&gt;0,SUMIFS('Recirculation &gt; 24 hrs'!$K$2:$K$3000,'Recirculation &gt; 24 hrs'!$A$2:$A$3000,$K$2,'Recirculation &gt; 24 hrs'!$B$2:$B$3000,SUBSTITUTE($A147," SS","  SS")),"NA"))</f>
        <v>106</v>
      </c>
      <c r="I147" s="81" t="n">
        <f aca="false">IF(COUNTIFS('Pending Putaway'!$A$2:$A$3000,$K$2,'Pending Putaway'!$B$2:$B$3000,$A147)&gt;0,SUMIFS('Pending Putaway'!$E$2:$E$3000,'Pending Putaway'!$A$2:$A$3000,$K$2,'Pending Putaway'!$B$2:$B$3000,$A147),IF(COUNTIFS('Pending Putaway'!$A$2:$A$3000,$K$2,'Pending Putaway'!$B$2:$B$3000,SUBSTITUTE($A147," SS","  SS"))&gt;0,SUMIFS('Pending Putaway'!$E$2:$E$3000,'Pending Putaway'!$A$2:$A$3000,$K$2,'Pending Putaway'!$B$2:$B$3000,SUBSTITUTE($A147," SS","  SS")),"NA"))</f>
        <v>3788</v>
      </c>
      <c r="J147" s="81" t="n">
        <f aca="false">IF(COUNTIFS('Pending Putaway'!$A$2:$A$3000,$K$2,'Pending Putaway'!$B$2:$B$3000,$A147)&gt;0,SUMIFS('Pending Putaway'!$L$2:$L$3000,'Pending Putaway'!$A$2:$A$3000,$K$2,'Pending Putaway'!$B$2:$B$3000,$A147),IF(COUNTIFS('Pending Putaway'!$A$2:$A$3000,$K$2,'Pending Putaway'!$B$2:$B$3000,SUBSTITUTE($A147," SS","  SS"))&gt;0,SUMIFS('Pending Putaway'!$L$2:$L$3000,'Pending Putaway'!$A$2:$A$3000,$K$2,'Pending Putaway'!$B$2:$B$3000,SUBSTITUTE($A147," SS","  SS")),"NA"))</f>
        <v>0</v>
      </c>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row>
    <row r="148" customFormat="false" ht="15.75" hidden="false" customHeight="true" outlineLevel="0" collapsed="false">
      <c r="A148" s="81" t="s">
        <v>139</v>
      </c>
      <c r="B148" s="81" t="str">
        <f aca="false" t="array" ref="B148:B148">IFERROR(INDEX('CLM &amp; IM Mapping'!$B$2:$B$270,MATCH($A148,'CLM &amp; IM Mapping'!$A$2:$A$270,0)),"Not Mapped")</f>
        <v>Mohaideen DH</v>
      </c>
      <c r="C148" s="81" t="str">
        <f aca="false" t="array" ref="C148:C148">IFERROR(INDEX('CLM &amp; IM Mapping'!$C$2:$C$270,MATCH($A148,'CLM &amp; IM Mapping'!$A$2:$A$270,0)),"Not Mapped")</f>
        <v>Mohammed Akbar</v>
      </c>
      <c r="D148" s="82" t="n">
        <f aca="false">IF(COUNTIFS(Shrinkage!$A$2:$A$3000,$K$2,Shrinkage!$D$2:$D$3000,$A148)&gt;0,SUMIFS(Shrinkage!$P$2:$P$3000,Shrinkage!$A$2:$A$3000,$K$2,Shrinkage!$D$2:$D$3000,$A148),IF(COUNTIFS(Shrinkage!$A$2:$A$3000,$K$2,Shrinkage!$D$2:$D$3000,SUBSTITUTE($A148," SS","  SS"))&gt;0,SUMIFS(Shrinkage!$P$2:$P$3000,Shrinkage!$A$2:$A$3000,$K$2,Shrinkage!$D$2:$D$3000,SUBSTITUTE($A148," SS","  SS")),"NA"))</f>
        <v>21653</v>
      </c>
      <c r="E148" s="83" t="n">
        <f aca="false">IF(COUNTIFS('Inventory Hygiene'!$A$2:$A$3000,$K$2,'Inventory Hygiene'!$B$2:$B$3000,$A148)&gt;0,AVERAGEIFS('Inventory Hygiene'!$J$2:$J$3000,'Inventory Hygiene'!$A$2:$A$3000,$K$2,'Inventory Hygiene'!$B$2:$B$3000,$A148),IF(COUNTIFS('Inventory Hygiene'!$A$2:$A$3000,$K$2,'Inventory Hygiene'!$B$2:$B$3000,SUBSTITUTE($A148," SS","  SS"))&gt;0,AVERAGEIFS('Inventory Hygiene'!$J$2:$J$3000,'Inventory Hygiene'!$A$2:$A$3000,$K$2,'Inventory Hygiene'!$B$2:$B$3000,SUBSTITUTE($A148," SS","  SS")),"NA"))</f>
        <v>0.815068493150685</v>
      </c>
      <c r="F148" s="81" t="n">
        <f aca="false">IF(COUNTIFS('Bad Bins'!$A$2:$A$3000,$K$2,'Bad Bins'!$B$2:$B$3000,$A148)&gt;0,SUMIFS('Bad Bins'!$K$2:$K$3000,'Bad Bins'!$A$2:$A$3000,$K$2,'Bad Bins'!$B$2:$B$3000,$A148),IF(COUNTIFS('Bad Bins'!$A$2:$A$3000,$K$2,'Bad Bins'!$B$2:$B$3000,SUBSTITUTE($A148," SS","  SS"))&gt;0,SUMIFS('Bad Bins'!$K$2:$K$3000,'Bad Bins'!$A$2:$A$3000,$K$2,'Bad Bins'!$B$2:$B$3000,SUBSTITUTE($A148," SS","  SS")),"NA"))</f>
        <v>79</v>
      </c>
      <c r="G148" s="81" t="str">
        <f aca="false">IF(COUNTIFS('RSTO &gt; 48hrs'!$A$2:$A$3000,$K$2,'RSTO &gt; 48hrs'!$B$2:$B$3000,$A148)&gt;0,SUMIFS('RSTO &gt; 48hrs'!$H$2:$H$3000,'RSTO &gt; 48hrs'!$A$2:$A$3000,$K$2,'RSTO &gt; 48hrs'!$B$2:$B$3000,$A148),IF(COUNTIFS('RSTO &gt; 48hrs'!$A$2:$A$3000,$K$2,'RSTO &gt; 48hrs'!$B$2:$B$3000,SUBSTITUTE($A148," SS","  SS"))&gt;0,SUMIFS('RSTO &gt; 48hrs'!$H$2:$H$3000,'RSTO &gt; 48hrs'!$A$2:$A$3000,$K$2,'RSTO &gt; 48hrs'!$B$2:$B$3000,SUBSTITUTE($A148," SS","  SS")),"NA"))</f>
        <v>NA</v>
      </c>
      <c r="H148" s="81" t="n">
        <f aca="false">IF(COUNTIFS('Recirculation &gt; 24 hrs'!$A$2:$A$3000,$K$2,'Recirculation &gt; 24 hrs'!$B$2:$B$3000,$A148)&gt;0,SUMIFS('Recirculation &gt; 24 hrs'!$K$2:$K$3000,'Recirculation &gt; 24 hrs'!$A$2:$A$3000,$K$2,'Recirculation &gt; 24 hrs'!$B$2:$B$3000,$A148),IF(COUNTIFS('Recirculation &gt; 24 hrs'!$A$2:$A$3000,$K$2,'Recirculation &gt; 24 hrs'!$B$2:$B$3000,SUBSTITUTE($A148," SS","  SS"))&gt;0,SUMIFS('Recirculation &gt; 24 hrs'!$K$2:$K$3000,'Recirculation &gt; 24 hrs'!$A$2:$A$3000,$K$2,'Recirculation &gt; 24 hrs'!$B$2:$B$3000,SUBSTITUTE($A148," SS","  SS")),"NA"))</f>
        <v>3</v>
      </c>
      <c r="I148" s="81" t="n">
        <f aca="false">IF(COUNTIFS('Pending Putaway'!$A$2:$A$3000,$K$2,'Pending Putaway'!$B$2:$B$3000,$A148)&gt;0,SUMIFS('Pending Putaway'!$E$2:$E$3000,'Pending Putaway'!$A$2:$A$3000,$K$2,'Pending Putaway'!$B$2:$B$3000,$A148),IF(COUNTIFS('Pending Putaway'!$A$2:$A$3000,$K$2,'Pending Putaway'!$B$2:$B$3000,SUBSTITUTE($A148," SS","  SS"))&gt;0,SUMIFS('Pending Putaway'!$E$2:$E$3000,'Pending Putaway'!$A$2:$A$3000,$K$2,'Pending Putaway'!$B$2:$B$3000,SUBSTITUTE($A148," SS","  SS")),"NA"))</f>
        <v>90</v>
      </c>
      <c r="J148" s="81" t="n">
        <f aca="false">IF(COUNTIFS('Pending Putaway'!$A$2:$A$3000,$K$2,'Pending Putaway'!$B$2:$B$3000,$A148)&gt;0,SUMIFS('Pending Putaway'!$L$2:$L$3000,'Pending Putaway'!$A$2:$A$3000,$K$2,'Pending Putaway'!$B$2:$B$3000,$A148),IF(COUNTIFS('Pending Putaway'!$A$2:$A$3000,$K$2,'Pending Putaway'!$B$2:$B$3000,SUBSTITUTE($A148," SS","  SS"))&gt;0,SUMIFS('Pending Putaway'!$L$2:$L$3000,'Pending Putaway'!$A$2:$A$3000,$K$2,'Pending Putaway'!$B$2:$B$3000,SUBSTITUTE($A148," SS","  SS")),"NA"))</f>
        <v>0</v>
      </c>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row>
    <row r="149" customFormat="false" ht="15.75" hidden="false" customHeight="true" outlineLevel="0" collapsed="false">
      <c r="A149" s="81" t="s">
        <v>435</v>
      </c>
      <c r="B149" s="81" t="str">
        <f aca="false" t="array" ref="B149:B149">IFERROR(INDEX('CLM &amp; IM Mapping'!$B$2:$B$270,MATCH($A149,'CLM &amp; IM Mapping'!$A$2:$A$270,0)),"Not Mapped")</f>
        <v>Balaji G</v>
      </c>
      <c r="C149" s="81" t="str">
        <f aca="false" t="array" ref="C149:C149">IFERROR(INDEX('CLM &amp; IM Mapping'!$C$2:$C$270,MATCH($A149,'CLM &amp; IM Mapping'!$A$2:$A$270,0)),"Not Mapped")</f>
        <v>Mohammed Akbar</v>
      </c>
      <c r="D149" s="82" t="n">
        <f aca="false">IF(COUNTIFS(Shrinkage!$A$2:$A$3000,$K$2,Shrinkage!$D$2:$D$3000,$A149)&gt;0,SUMIFS(Shrinkage!$P$2:$P$3000,Shrinkage!$A$2:$A$3000,$K$2,Shrinkage!$D$2:$D$3000,$A149),IF(COUNTIFS(Shrinkage!$A$2:$A$3000,$K$2,Shrinkage!$D$2:$D$3000,SUBSTITUTE($A149," SS","  SS"))&gt;0,SUMIFS(Shrinkage!$P$2:$P$3000,Shrinkage!$A$2:$A$3000,$K$2,Shrinkage!$D$2:$D$3000,SUBSTITUTE($A149," SS","  SS")),"NA"))</f>
        <v>-11426</v>
      </c>
      <c r="E149" s="83" t="n">
        <f aca="false">IF(COUNTIFS('Inventory Hygiene'!$A$2:$A$3000,$K$2,'Inventory Hygiene'!$B$2:$B$3000,$A149)&gt;0,AVERAGEIFS('Inventory Hygiene'!$J$2:$J$3000,'Inventory Hygiene'!$A$2:$A$3000,$K$2,'Inventory Hygiene'!$B$2:$B$3000,$A149),IF(COUNTIFS('Inventory Hygiene'!$A$2:$A$3000,$K$2,'Inventory Hygiene'!$B$2:$B$3000,SUBSTITUTE($A149," SS","  SS"))&gt;0,AVERAGEIFS('Inventory Hygiene'!$J$2:$J$3000,'Inventory Hygiene'!$A$2:$A$3000,$K$2,'Inventory Hygiene'!$B$2:$B$3000,SUBSTITUTE($A149," SS","  SS")),"NA"))</f>
        <v>0.976462676529926</v>
      </c>
      <c r="F149" s="81" t="n">
        <f aca="false">IF(COUNTIFS('Bad Bins'!$A$2:$A$3000,$K$2,'Bad Bins'!$B$2:$B$3000,$A149)&gt;0,SUMIFS('Bad Bins'!$K$2:$K$3000,'Bad Bins'!$A$2:$A$3000,$K$2,'Bad Bins'!$B$2:$B$3000,$A149),IF(COUNTIFS('Bad Bins'!$A$2:$A$3000,$K$2,'Bad Bins'!$B$2:$B$3000,SUBSTITUTE($A149," SS","  SS"))&gt;0,SUMIFS('Bad Bins'!$K$2:$K$3000,'Bad Bins'!$A$2:$A$3000,$K$2,'Bad Bins'!$B$2:$B$3000,SUBSTITUTE($A149," SS","  SS")),"NA"))</f>
        <v>60</v>
      </c>
      <c r="G149" s="81" t="str">
        <f aca="false">IF(COUNTIFS('RSTO &gt; 48hrs'!$A$2:$A$3000,$K$2,'RSTO &gt; 48hrs'!$B$2:$B$3000,$A149)&gt;0,SUMIFS('RSTO &gt; 48hrs'!$H$2:$H$3000,'RSTO &gt; 48hrs'!$A$2:$A$3000,$K$2,'RSTO &gt; 48hrs'!$B$2:$B$3000,$A149),IF(COUNTIFS('RSTO &gt; 48hrs'!$A$2:$A$3000,$K$2,'RSTO &gt; 48hrs'!$B$2:$B$3000,SUBSTITUTE($A149," SS","  SS"))&gt;0,SUMIFS('RSTO &gt; 48hrs'!$H$2:$H$3000,'RSTO &gt; 48hrs'!$A$2:$A$3000,$K$2,'RSTO &gt; 48hrs'!$B$2:$B$3000,SUBSTITUTE($A149," SS","  SS")),"NA"))</f>
        <v>NA</v>
      </c>
      <c r="H149" s="81" t="str">
        <f aca="false">IF(COUNTIFS('Recirculation &gt; 24 hrs'!$A$2:$A$3000,$K$2,'Recirculation &gt; 24 hrs'!$B$2:$B$3000,$A149)&gt;0,SUMIFS('Recirculation &gt; 24 hrs'!$K$2:$K$3000,'Recirculation &gt; 24 hrs'!$A$2:$A$3000,$K$2,'Recirculation &gt; 24 hrs'!$B$2:$B$3000,$A149),IF(COUNTIFS('Recirculation &gt; 24 hrs'!$A$2:$A$3000,$K$2,'Recirculation &gt; 24 hrs'!$B$2:$B$3000,SUBSTITUTE($A149," SS","  SS"))&gt;0,SUMIFS('Recirculation &gt; 24 hrs'!$K$2:$K$3000,'Recirculation &gt; 24 hrs'!$A$2:$A$3000,$K$2,'Recirculation &gt; 24 hrs'!$B$2:$B$3000,SUBSTITUTE($A149," SS","  SS")),"NA"))</f>
        <v>NA</v>
      </c>
      <c r="I149" s="81" t="n">
        <f aca="false">IF(COUNTIFS('Pending Putaway'!$A$2:$A$3000,$K$2,'Pending Putaway'!$B$2:$B$3000,$A149)&gt;0,SUMIFS('Pending Putaway'!$E$2:$E$3000,'Pending Putaway'!$A$2:$A$3000,$K$2,'Pending Putaway'!$B$2:$B$3000,$A149),IF(COUNTIFS('Pending Putaway'!$A$2:$A$3000,$K$2,'Pending Putaway'!$B$2:$B$3000,SUBSTITUTE($A149," SS","  SS"))&gt;0,SUMIFS('Pending Putaway'!$E$2:$E$3000,'Pending Putaway'!$A$2:$A$3000,$K$2,'Pending Putaway'!$B$2:$B$3000,SUBSTITUTE($A149," SS","  SS")),"NA"))</f>
        <v>0</v>
      </c>
      <c r="J149" s="81" t="n">
        <f aca="false">IF(COUNTIFS('Pending Putaway'!$A$2:$A$3000,$K$2,'Pending Putaway'!$B$2:$B$3000,$A149)&gt;0,SUMIFS('Pending Putaway'!$L$2:$L$3000,'Pending Putaway'!$A$2:$A$3000,$K$2,'Pending Putaway'!$B$2:$B$3000,$A149),IF(COUNTIFS('Pending Putaway'!$A$2:$A$3000,$K$2,'Pending Putaway'!$B$2:$B$3000,SUBSTITUTE($A149," SS","  SS"))&gt;0,SUMIFS('Pending Putaway'!$L$2:$L$3000,'Pending Putaway'!$A$2:$A$3000,$K$2,'Pending Putaway'!$B$2:$B$3000,SUBSTITUTE($A149," SS","  SS")),"NA"))</f>
        <v>0</v>
      </c>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row>
    <row r="150" customFormat="false" ht="15.75" hidden="false" customHeight="true" outlineLevel="0" collapsed="false">
      <c r="A150" s="81" t="s">
        <v>492</v>
      </c>
      <c r="B150" s="81" t="str">
        <f aca="false" t="array" ref="B150:B150">IFERROR(INDEX('CLM &amp; IM Mapping'!$B$2:$B$270,MATCH($A150,'CLM &amp; IM Mapping'!$A$2:$A$270,0)),"Not Mapped")</f>
        <v>Balaji G</v>
      </c>
      <c r="C150" s="81" t="str">
        <f aca="false" t="array" ref="C150:C150">IFERROR(INDEX('CLM &amp; IM Mapping'!$C$2:$C$270,MATCH($A150,'CLM &amp; IM Mapping'!$A$2:$A$270,0)),"Not Mapped")</f>
        <v>Mohammed Akbar</v>
      </c>
      <c r="D150" s="82" t="n">
        <f aca="false">IF(COUNTIFS(Shrinkage!$A$2:$A$3000,$K$2,Shrinkage!$D$2:$D$3000,$A150)&gt;0,SUMIFS(Shrinkage!$P$2:$P$3000,Shrinkage!$A$2:$A$3000,$K$2,Shrinkage!$D$2:$D$3000,$A150),IF(COUNTIFS(Shrinkage!$A$2:$A$3000,$K$2,Shrinkage!$D$2:$D$3000,SUBSTITUTE($A150," SS","  SS"))&gt;0,SUMIFS(Shrinkage!$P$2:$P$3000,Shrinkage!$A$2:$A$3000,$K$2,Shrinkage!$D$2:$D$3000,SUBSTITUTE($A150," SS","  SS")),"NA"))</f>
        <v>-8525</v>
      </c>
      <c r="E150" s="83" t="n">
        <f aca="false">IF(COUNTIFS('Inventory Hygiene'!$A$2:$A$3000,$K$2,'Inventory Hygiene'!$B$2:$B$3000,$A150)&gt;0,AVERAGEIFS('Inventory Hygiene'!$J$2:$J$3000,'Inventory Hygiene'!$A$2:$A$3000,$K$2,'Inventory Hygiene'!$B$2:$B$3000,$A150),IF(COUNTIFS('Inventory Hygiene'!$A$2:$A$3000,$K$2,'Inventory Hygiene'!$B$2:$B$3000,SUBSTITUTE($A150," SS","  SS"))&gt;0,AVERAGEIFS('Inventory Hygiene'!$J$2:$J$3000,'Inventory Hygiene'!$A$2:$A$3000,$K$2,'Inventory Hygiene'!$B$2:$B$3000,SUBSTITUTE($A150," SS","  SS")),"NA"))</f>
        <v>0.993006993006993</v>
      </c>
      <c r="F150" s="81" t="n">
        <f aca="false">IF(COUNTIFS('Bad Bins'!$A$2:$A$3000,$K$2,'Bad Bins'!$B$2:$B$3000,$A150)&gt;0,SUMIFS('Bad Bins'!$K$2:$K$3000,'Bad Bins'!$A$2:$A$3000,$K$2,'Bad Bins'!$B$2:$B$3000,$A150),IF(COUNTIFS('Bad Bins'!$A$2:$A$3000,$K$2,'Bad Bins'!$B$2:$B$3000,SUBSTITUTE($A150," SS","  SS"))&gt;0,SUMIFS('Bad Bins'!$K$2:$K$3000,'Bad Bins'!$A$2:$A$3000,$K$2,'Bad Bins'!$B$2:$B$3000,SUBSTITUTE($A150," SS","  SS")),"NA"))</f>
        <v>84</v>
      </c>
      <c r="G150" s="81" t="str">
        <f aca="false">IF(COUNTIFS('RSTO &gt; 48hrs'!$A$2:$A$3000,$K$2,'RSTO &gt; 48hrs'!$B$2:$B$3000,$A150)&gt;0,SUMIFS('RSTO &gt; 48hrs'!$H$2:$H$3000,'RSTO &gt; 48hrs'!$A$2:$A$3000,$K$2,'RSTO &gt; 48hrs'!$B$2:$B$3000,$A150),IF(COUNTIFS('RSTO &gt; 48hrs'!$A$2:$A$3000,$K$2,'RSTO &gt; 48hrs'!$B$2:$B$3000,SUBSTITUTE($A150," SS","  SS"))&gt;0,SUMIFS('RSTO &gt; 48hrs'!$H$2:$H$3000,'RSTO &gt; 48hrs'!$A$2:$A$3000,$K$2,'RSTO &gt; 48hrs'!$B$2:$B$3000,SUBSTITUTE($A150," SS","  SS")),"NA"))</f>
        <v>NA</v>
      </c>
      <c r="H150" s="81" t="str">
        <f aca="false">IF(COUNTIFS('Recirculation &gt; 24 hrs'!$A$2:$A$3000,$K$2,'Recirculation &gt; 24 hrs'!$B$2:$B$3000,$A150)&gt;0,SUMIFS('Recirculation &gt; 24 hrs'!$K$2:$K$3000,'Recirculation &gt; 24 hrs'!$A$2:$A$3000,$K$2,'Recirculation &gt; 24 hrs'!$B$2:$B$3000,$A150),IF(COUNTIFS('Recirculation &gt; 24 hrs'!$A$2:$A$3000,$K$2,'Recirculation &gt; 24 hrs'!$B$2:$B$3000,SUBSTITUTE($A150," SS","  SS"))&gt;0,SUMIFS('Recirculation &gt; 24 hrs'!$K$2:$K$3000,'Recirculation &gt; 24 hrs'!$A$2:$A$3000,$K$2,'Recirculation &gt; 24 hrs'!$B$2:$B$3000,SUBSTITUTE($A150," SS","  SS")),"NA"))</f>
        <v>NA</v>
      </c>
      <c r="I150" s="81" t="n">
        <f aca="false">IF(COUNTIFS('Pending Putaway'!$A$2:$A$3000,$K$2,'Pending Putaway'!$B$2:$B$3000,$A150)&gt;0,SUMIFS('Pending Putaway'!$E$2:$E$3000,'Pending Putaway'!$A$2:$A$3000,$K$2,'Pending Putaway'!$B$2:$B$3000,$A150),IF(COUNTIFS('Pending Putaway'!$A$2:$A$3000,$K$2,'Pending Putaway'!$B$2:$B$3000,SUBSTITUTE($A150," SS","  SS"))&gt;0,SUMIFS('Pending Putaway'!$E$2:$E$3000,'Pending Putaway'!$A$2:$A$3000,$K$2,'Pending Putaway'!$B$2:$B$3000,SUBSTITUTE($A150," SS","  SS")),"NA"))</f>
        <v>0</v>
      </c>
      <c r="J150" s="81" t="n">
        <f aca="false">IF(COUNTIFS('Pending Putaway'!$A$2:$A$3000,$K$2,'Pending Putaway'!$B$2:$B$3000,$A150)&gt;0,SUMIFS('Pending Putaway'!$L$2:$L$3000,'Pending Putaway'!$A$2:$A$3000,$K$2,'Pending Putaway'!$B$2:$B$3000,$A150),IF(COUNTIFS('Pending Putaway'!$A$2:$A$3000,$K$2,'Pending Putaway'!$B$2:$B$3000,SUBSTITUTE($A150," SS","  SS"))&gt;0,SUMIFS('Pending Putaway'!$L$2:$L$3000,'Pending Putaway'!$A$2:$A$3000,$K$2,'Pending Putaway'!$B$2:$B$3000,SUBSTITUTE($A150," SS","  SS")),"NA"))</f>
        <v>0</v>
      </c>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row>
    <row r="151" customFormat="false" ht="15.75" hidden="false" customHeight="true" outlineLevel="0" collapsed="false">
      <c r="A151" s="81" t="s">
        <v>292</v>
      </c>
      <c r="B151" s="81" t="str">
        <f aca="false" t="array" ref="B151:B151">IFERROR(INDEX('CLM &amp; IM Mapping'!$B$2:$B$270,MATCH($A151,'CLM &amp; IM Mapping'!$A$2:$A$270,0)),"Not Mapped")</f>
        <v>Mohaideen DH</v>
      </c>
      <c r="C151" s="81" t="str">
        <f aca="false" t="array" ref="C151:C151">IFERROR(INDEX('CLM &amp; IM Mapping'!$C$2:$C$270,MATCH($A151,'CLM &amp; IM Mapping'!$A$2:$A$270,0)),"Not Mapped")</f>
        <v>Mohammed Akbar</v>
      </c>
      <c r="D151" s="82" t="n">
        <f aca="false">IF(COUNTIFS(Shrinkage!$A$2:$A$3000,$K$2,Shrinkage!$D$2:$D$3000,$A151)&gt;0,SUMIFS(Shrinkage!$P$2:$P$3000,Shrinkage!$A$2:$A$3000,$K$2,Shrinkage!$D$2:$D$3000,$A151),IF(COUNTIFS(Shrinkage!$A$2:$A$3000,$K$2,Shrinkage!$D$2:$D$3000,SUBSTITUTE($A151," SS","  SS"))&gt;0,SUMIFS(Shrinkage!$P$2:$P$3000,Shrinkage!$A$2:$A$3000,$K$2,Shrinkage!$D$2:$D$3000,SUBSTITUTE($A151," SS","  SS")),"NA"))</f>
        <v>16661</v>
      </c>
      <c r="E151" s="83" t="n">
        <f aca="false">IF(COUNTIFS('Inventory Hygiene'!$A$2:$A$3000,$K$2,'Inventory Hygiene'!$B$2:$B$3000,$A151)&gt;0,AVERAGEIFS('Inventory Hygiene'!$J$2:$J$3000,'Inventory Hygiene'!$A$2:$A$3000,$K$2,'Inventory Hygiene'!$B$2:$B$3000,$A151),IF(COUNTIFS('Inventory Hygiene'!$A$2:$A$3000,$K$2,'Inventory Hygiene'!$B$2:$B$3000,SUBSTITUTE($A151," SS","  SS"))&gt;0,AVERAGEIFS('Inventory Hygiene'!$J$2:$J$3000,'Inventory Hygiene'!$A$2:$A$3000,$K$2,'Inventory Hygiene'!$B$2:$B$3000,SUBSTITUTE($A151," SS","  SS")),"NA"))</f>
        <v>0.479978643886813</v>
      </c>
      <c r="F151" s="81" t="n">
        <f aca="false">IF(COUNTIFS('Bad Bins'!$A$2:$A$3000,$K$2,'Bad Bins'!$B$2:$B$3000,$A151)&gt;0,SUMIFS('Bad Bins'!$K$2:$K$3000,'Bad Bins'!$A$2:$A$3000,$K$2,'Bad Bins'!$B$2:$B$3000,$A151),IF(COUNTIFS('Bad Bins'!$A$2:$A$3000,$K$2,'Bad Bins'!$B$2:$B$3000,SUBSTITUTE($A151," SS","  SS"))&gt;0,SUMIFS('Bad Bins'!$K$2:$K$3000,'Bad Bins'!$A$2:$A$3000,$K$2,'Bad Bins'!$B$2:$B$3000,SUBSTITUTE($A151," SS","  SS")),"NA"))</f>
        <v>91</v>
      </c>
      <c r="G151" s="81" t="str">
        <f aca="false">IF(COUNTIFS('RSTO &gt; 48hrs'!$A$2:$A$3000,$K$2,'RSTO &gt; 48hrs'!$B$2:$B$3000,$A151)&gt;0,SUMIFS('RSTO &gt; 48hrs'!$H$2:$H$3000,'RSTO &gt; 48hrs'!$A$2:$A$3000,$K$2,'RSTO &gt; 48hrs'!$B$2:$B$3000,$A151),IF(COUNTIFS('RSTO &gt; 48hrs'!$A$2:$A$3000,$K$2,'RSTO &gt; 48hrs'!$B$2:$B$3000,SUBSTITUTE($A151," SS","  SS"))&gt;0,SUMIFS('RSTO &gt; 48hrs'!$H$2:$H$3000,'RSTO &gt; 48hrs'!$A$2:$A$3000,$K$2,'RSTO &gt; 48hrs'!$B$2:$B$3000,SUBSTITUTE($A151," SS","  SS")),"NA"))</f>
        <v>NA</v>
      </c>
      <c r="H151" s="81" t="str">
        <f aca="false">IF(COUNTIFS('Recirculation &gt; 24 hrs'!$A$2:$A$3000,$K$2,'Recirculation &gt; 24 hrs'!$B$2:$B$3000,$A151)&gt;0,SUMIFS('Recirculation &gt; 24 hrs'!$K$2:$K$3000,'Recirculation &gt; 24 hrs'!$A$2:$A$3000,$K$2,'Recirculation &gt; 24 hrs'!$B$2:$B$3000,$A151),IF(COUNTIFS('Recirculation &gt; 24 hrs'!$A$2:$A$3000,$K$2,'Recirculation &gt; 24 hrs'!$B$2:$B$3000,SUBSTITUTE($A151," SS","  SS"))&gt;0,SUMIFS('Recirculation &gt; 24 hrs'!$K$2:$K$3000,'Recirculation &gt; 24 hrs'!$A$2:$A$3000,$K$2,'Recirculation &gt; 24 hrs'!$B$2:$B$3000,SUBSTITUTE($A151," SS","  SS")),"NA"))</f>
        <v>NA</v>
      </c>
      <c r="I151" s="81" t="n">
        <f aca="false">IF(COUNTIFS('Pending Putaway'!$A$2:$A$3000,$K$2,'Pending Putaway'!$B$2:$B$3000,$A151)&gt;0,SUMIFS('Pending Putaway'!$E$2:$E$3000,'Pending Putaway'!$A$2:$A$3000,$K$2,'Pending Putaway'!$B$2:$B$3000,$A151),IF(COUNTIFS('Pending Putaway'!$A$2:$A$3000,$K$2,'Pending Putaway'!$B$2:$B$3000,SUBSTITUTE($A151," SS","  SS"))&gt;0,SUMIFS('Pending Putaway'!$E$2:$E$3000,'Pending Putaway'!$A$2:$A$3000,$K$2,'Pending Putaway'!$B$2:$B$3000,SUBSTITUTE($A151," SS","  SS")),"NA"))</f>
        <v>1693</v>
      </c>
      <c r="J151" s="81" t="n">
        <f aca="false">IF(COUNTIFS('Pending Putaway'!$A$2:$A$3000,$K$2,'Pending Putaway'!$B$2:$B$3000,$A151)&gt;0,SUMIFS('Pending Putaway'!$L$2:$L$3000,'Pending Putaway'!$A$2:$A$3000,$K$2,'Pending Putaway'!$B$2:$B$3000,$A151),IF(COUNTIFS('Pending Putaway'!$A$2:$A$3000,$K$2,'Pending Putaway'!$B$2:$B$3000,SUBSTITUTE($A151," SS","  SS"))&gt;0,SUMIFS('Pending Putaway'!$L$2:$L$3000,'Pending Putaway'!$A$2:$A$3000,$K$2,'Pending Putaway'!$B$2:$B$3000,SUBSTITUTE($A151," SS","  SS")),"NA"))</f>
        <v>0</v>
      </c>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row>
    <row r="152" customFormat="false" ht="15.75" hidden="false" customHeight="true" outlineLevel="0" collapsed="false">
      <c r="A152" s="81" t="s">
        <v>530</v>
      </c>
      <c r="B152" s="81" t="str">
        <f aca="false" t="array" ref="B152:B152">IFERROR(INDEX('CLM &amp; IM Mapping'!$B$2:$B$270,MATCH($A152,'CLM &amp; IM Mapping'!$A$2:$A$270,0)),"Not Mapped")</f>
        <v>Balaji G</v>
      </c>
      <c r="C152" s="81" t="str">
        <f aca="false" t="array" ref="C152:C152">IFERROR(INDEX('CLM &amp; IM Mapping'!$C$2:$C$270,MATCH($A152,'CLM &amp; IM Mapping'!$A$2:$A$270,0)),"Not Mapped")</f>
        <v>Mohammed Akbar</v>
      </c>
      <c r="D152" s="82" t="n">
        <f aca="false">IF(COUNTIFS(Shrinkage!$A$2:$A$3000,$K$2,Shrinkage!$D$2:$D$3000,$A152)&gt;0,SUMIFS(Shrinkage!$P$2:$P$3000,Shrinkage!$A$2:$A$3000,$K$2,Shrinkage!$D$2:$D$3000,$A152),IF(COUNTIFS(Shrinkage!$A$2:$A$3000,$K$2,Shrinkage!$D$2:$D$3000,SUBSTITUTE($A152," SS","  SS"))&gt;0,SUMIFS(Shrinkage!$P$2:$P$3000,Shrinkage!$A$2:$A$3000,$K$2,Shrinkage!$D$2:$D$3000,SUBSTITUTE($A152," SS","  SS")),"NA"))</f>
        <v>-49155</v>
      </c>
      <c r="E152" s="83" t="n">
        <f aca="false">IF(COUNTIFS('Inventory Hygiene'!$A$2:$A$3000,$K$2,'Inventory Hygiene'!$B$2:$B$3000,$A152)&gt;0,AVERAGEIFS('Inventory Hygiene'!$J$2:$J$3000,'Inventory Hygiene'!$A$2:$A$3000,$K$2,'Inventory Hygiene'!$B$2:$B$3000,$A152),IF(COUNTIFS('Inventory Hygiene'!$A$2:$A$3000,$K$2,'Inventory Hygiene'!$B$2:$B$3000,SUBSTITUTE($A152," SS","  SS"))&gt;0,AVERAGEIFS('Inventory Hygiene'!$J$2:$J$3000,'Inventory Hygiene'!$A$2:$A$3000,$K$2,'Inventory Hygiene'!$B$2:$B$3000,SUBSTITUTE($A152," SS","  SS")),"NA"))</f>
        <v>0.954466084620551</v>
      </c>
      <c r="F152" s="81" t="n">
        <f aca="false">IF(COUNTIFS('Bad Bins'!$A$2:$A$3000,$K$2,'Bad Bins'!$B$2:$B$3000,$A152)&gt;0,SUMIFS('Bad Bins'!$K$2:$K$3000,'Bad Bins'!$A$2:$A$3000,$K$2,'Bad Bins'!$B$2:$B$3000,$A152),IF(COUNTIFS('Bad Bins'!$A$2:$A$3000,$K$2,'Bad Bins'!$B$2:$B$3000,SUBSTITUTE($A152," SS","  SS"))&gt;0,SUMIFS('Bad Bins'!$K$2:$K$3000,'Bad Bins'!$A$2:$A$3000,$K$2,'Bad Bins'!$B$2:$B$3000,SUBSTITUTE($A152," SS","  SS")),"NA"))</f>
        <v>99</v>
      </c>
      <c r="G152" s="81" t="str">
        <f aca="false">IF(COUNTIFS('RSTO &gt; 48hrs'!$A$2:$A$3000,$K$2,'RSTO &gt; 48hrs'!$B$2:$B$3000,$A152)&gt;0,SUMIFS('RSTO &gt; 48hrs'!$H$2:$H$3000,'RSTO &gt; 48hrs'!$A$2:$A$3000,$K$2,'RSTO &gt; 48hrs'!$B$2:$B$3000,$A152),IF(COUNTIFS('RSTO &gt; 48hrs'!$A$2:$A$3000,$K$2,'RSTO &gt; 48hrs'!$B$2:$B$3000,SUBSTITUTE($A152," SS","  SS"))&gt;0,SUMIFS('RSTO &gt; 48hrs'!$H$2:$H$3000,'RSTO &gt; 48hrs'!$A$2:$A$3000,$K$2,'RSTO &gt; 48hrs'!$B$2:$B$3000,SUBSTITUTE($A152," SS","  SS")),"NA"))</f>
        <v>NA</v>
      </c>
      <c r="H152" s="81" t="str">
        <f aca="false">IF(COUNTIFS('Recirculation &gt; 24 hrs'!$A$2:$A$3000,$K$2,'Recirculation &gt; 24 hrs'!$B$2:$B$3000,$A152)&gt;0,SUMIFS('Recirculation &gt; 24 hrs'!$K$2:$K$3000,'Recirculation &gt; 24 hrs'!$A$2:$A$3000,$K$2,'Recirculation &gt; 24 hrs'!$B$2:$B$3000,$A152),IF(COUNTIFS('Recirculation &gt; 24 hrs'!$A$2:$A$3000,$K$2,'Recirculation &gt; 24 hrs'!$B$2:$B$3000,SUBSTITUTE($A152," SS","  SS"))&gt;0,SUMIFS('Recirculation &gt; 24 hrs'!$K$2:$K$3000,'Recirculation &gt; 24 hrs'!$A$2:$A$3000,$K$2,'Recirculation &gt; 24 hrs'!$B$2:$B$3000,SUBSTITUTE($A152," SS","  SS")),"NA"))</f>
        <v>NA</v>
      </c>
      <c r="I152" s="81" t="n">
        <f aca="false">IF(COUNTIFS('Pending Putaway'!$A$2:$A$3000,$K$2,'Pending Putaway'!$B$2:$B$3000,$A152)&gt;0,SUMIFS('Pending Putaway'!$E$2:$E$3000,'Pending Putaway'!$A$2:$A$3000,$K$2,'Pending Putaway'!$B$2:$B$3000,$A152),IF(COUNTIFS('Pending Putaway'!$A$2:$A$3000,$K$2,'Pending Putaway'!$B$2:$B$3000,SUBSTITUTE($A152," SS","  SS"))&gt;0,SUMIFS('Pending Putaway'!$E$2:$E$3000,'Pending Putaway'!$A$2:$A$3000,$K$2,'Pending Putaway'!$B$2:$B$3000,SUBSTITUTE($A152," SS","  SS")),"NA"))</f>
        <v>1539</v>
      </c>
      <c r="J152" s="81" t="n">
        <f aca="false">IF(COUNTIFS('Pending Putaway'!$A$2:$A$3000,$K$2,'Pending Putaway'!$B$2:$B$3000,$A152)&gt;0,SUMIFS('Pending Putaway'!$L$2:$L$3000,'Pending Putaway'!$A$2:$A$3000,$K$2,'Pending Putaway'!$B$2:$B$3000,$A152),IF(COUNTIFS('Pending Putaway'!$A$2:$A$3000,$K$2,'Pending Putaway'!$B$2:$B$3000,SUBSTITUTE($A152," SS","  SS"))&gt;0,SUMIFS('Pending Putaway'!$L$2:$L$3000,'Pending Putaway'!$A$2:$A$3000,$K$2,'Pending Putaway'!$B$2:$B$3000,SUBSTITUTE($A152," SS","  SS")),"NA"))</f>
        <v>172</v>
      </c>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row>
    <row r="153" customFormat="false" ht="15.75" hidden="false" customHeight="true" outlineLevel="0" collapsed="false">
      <c r="A153" s="81" t="s">
        <v>267</v>
      </c>
      <c r="B153" s="81" t="str">
        <f aca="false" t="array" ref="B153:B153">IFERROR(INDEX('CLM &amp; IM Mapping'!$B$2:$B$270,MATCH($A153,'CLM &amp; IM Mapping'!$A$2:$A$270,0)),"Not Mapped")</f>
        <v>Balaji G</v>
      </c>
      <c r="C153" s="81" t="str">
        <f aca="false" t="array" ref="C153:C153">IFERROR(INDEX('CLM &amp; IM Mapping'!$C$2:$C$270,MATCH($A153,'CLM &amp; IM Mapping'!$A$2:$A$270,0)),"Not Mapped")</f>
        <v>Mohammed Akbar</v>
      </c>
      <c r="D153" s="82" t="n">
        <f aca="false">IF(COUNTIFS(Shrinkage!$A$2:$A$3000,$K$2,Shrinkage!$D$2:$D$3000,$A153)&gt;0,SUMIFS(Shrinkage!$P$2:$P$3000,Shrinkage!$A$2:$A$3000,$K$2,Shrinkage!$D$2:$D$3000,$A153),IF(COUNTIFS(Shrinkage!$A$2:$A$3000,$K$2,Shrinkage!$D$2:$D$3000,SUBSTITUTE($A153," SS","  SS"))&gt;0,SUMIFS(Shrinkage!$P$2:$P$3000,Shrinkage!$A$2:$A$3000,$K$2,Shrinkage!$D$2:$D$3000,SUBSTITUTE($A153," SS","  SS")),"NA"))</f>
        <v>-917</v>
      </c>
      <c r="E153" s="83" t="n">
        <f aca="false">IF(COUNTIFS('Inventory Hygiene'!$A$2:$A$3000,$K$2,'Inventory Hygiene'!$B$2:$B$3000,$A153)&gt;0,AVERAGEIFS('Inventory Hygiene'!$J$2:$J$3000,'Inventory Hygiene'!$A$2:$A$3000,$K$2,'Inventory Hygiene'!$B$2:$B$3000,$A153),IF(COUNTIFS('Inventory Hygiene'!$A$2:$A$3000,$K$2,'Inventory Hygiene'!$B$2:$B$3000,SUBSTITUTE($A153," SS","  SS"))&gt;0,AVERAGEIFS('Inventory Hygiene'!$J$2:$J$3000,'Inventory Hygiene'!$A$2:$A$3000,$K$2,'Inventory Hygiene'!$B$2:$B$3000,SUBSTITUTE($A153," SS","  SS")),"NA"))</f>
        <v>0.940360200767641</v>
      </c>
      <c r="F153" s="81" t="n">
        <f aca="false">IF(COUNTIFS('Bad Bins'!$A$2:$A$3000,$K$2,'Bad Bins'!$B$2:$B$3000,$A153)&gt;0,SUMIFS('Bad Bins'!$K$2:$K$3000,'Bad Bins'!$A$2:$A$3000,$K$2,'Bad Bins'!$B$2:$B$3000,$A153),IF(COUNTIFS('Bad Bins'!$A$2:$A$3000,$K$2,'Bad Bins'!$B$2:$B$3000,SUBSTITUTE($A153," SS","  SS"))&gt;0,SUMIFS('Bad Bins'!$K$2:$K$3000,'Bad Bins'!$A$2:$A$3000,$K$2,'Bad Bins'!$B$2:$B$3000,SUBSTITUTE($A153," SS","  SS")),"NA"))</f>
        <v>51</v>
      </c>
      <c r="G153" s="81" t="str">
        <f aca="false">IF(COUNTIFS('RSTO &gt; 48hrs'!$A$2:$A$3000,$K$2,'RSTO &gt; 48hrs'!$B$2:$B$3000,$A153)&gt;0,SUMIFS('RSTO &gt; 48hrs'!$H$2:$H$3000,'RSTO &gt; 48hrs'!$A$2:$A$3000,$K$2,'RSTO &gt; 48hrs'!$B$2:$B$3000,$A153),IF(COUNTIFS('RSTO &gt; 48hrs'!$A$2:$A$3000,$K$2,'RSTO &gt; 48hrs'!$B$2:$B$3000,SUBSTITUTE($A153," SS","  SS"))&gt;0,SUMIFS('RSTO &gt; 48hrs'!$H$2:$H$3000,'RSTO &gt; 48hrs'!$A$2:$A$3000,$K$2,'RSTO &gt; 48hrs'!$B$2:$B$3000,SUBSTITUTE($A153," SS","  SS")),"NA"))</f>
        <v>NA</v>
      </c>
      <c r="H153" s="81" t="str">
        <f aca="false">IF(COUNTIFS('Recirculation &gt; 24 hrs'!$A$2:$A$3000,$K$2,'Recirculation &gt; 24 hrs'!$B$2:$B$3000,$A153)&gt;0,SUMIFS('Recirculation &gt; 24 hrs'!$K$2:$K$3000,'Recirculation &gt; 24 hrs'!$A$2:$A$3000,$K$2,'Recirculation &gt; 24 hrs'!$B$2:$B$3000,$A153),IF(COUNTIFS('Recirculation &gt; 24 hrs'!$A$2:$A$3000,$K$2,'Recirculation &gt; 24 hrs'!$B$2:$B$3000,SUBSTITUTE($A153," SS","  SS"))&gt;0,SUMIFS('Recirculation &gt; 24 hrs'!$K$2:$K$3000,'Recirculation &gt; 24 hrs'!$A$2:$A$3000,$K$2,'Recirculation &gt; 24 hrs'!$B$2:$B$3000,SUBSTITUTE($A153," SS","  SS")),"NA"))</f>
        <v>NA</v>
      </c>
      <c r="I153" s="81" t="n">
        <f aca="false">IF(COUNTIFS('Pending Putaway'!$A$2:$A$3000,$K$2,'Pending Putaway'!$B$2:$B$3000,$A153)&gt;0,SUMIFS('Pending Putaway'!$E$2:$E$3000,'Pending Putaway'!$A$2:$A$3000,$K$2,'Pending Putaway'!$B$2:$B$3000,$A153),IF(COUNTIFS('Pending Putaway'!$A$2:$A$3000,$K$2,'Pending Putaway'!$B$2:$B$3000,SUBSTITUTE($A153," SS","  SS"))&gt;0,SUMIFS('Pending Putaway'!$E$2:$E$3000,'Pending Putaway'!$A$2:$A$3000,$K$2,'Pending Putaway'!$B$2:$B$3000,SUBSTITUTE($A153," SS","  SS")),"NA"))</f>
        <v>676</v>
      </c>
      <c r="J153" s="81" t="n">
        <f aca="false">IF(COUNTIFS('Pending Putaway'!$A$2:$A$3000,$K$2,'Pending Putaway'!$B$2:$B$3000,$A153)&gt;0,SUMIFS('Pending Putaway'!$L$2:$L$3000,'Pending Putaway'!$A$2:$A$3000,$K$2,'Pending Putaway'!$B$2:$B$3000,$A153),IF(COUNTIFS('Pending Putaway'!$A$2:$A$3000,$K$2,'Pending Putaway'!$B$2:$B$3000,SUBSTITUTE($A153," SS","  SS"))&gt;0,SUMIFS('Pending Putaway'!$L$2:$L$3000,'Pending Putaway'!$A$2:$A$3000,$K$2,'Pending Putaway'!$B$2:$B$3000,SUBSTITUTE($A153," SS","  SS")),"NA"))</f>
        <v>0</v>
      </c>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row>
    <row r="154" customFormat="false" ht="15.75" hidden="false" customHeight="true" outlineLevel="0" collapsed="false">
      <c r="A154" s="81" t="s">
        <v>265</v>
      </c>
      <c r="B154" s="81" t="str">
        <f aca="false" t="array" ref="B154:B154">IFERROR(INDEX('CLM &amp; IM Mapping'!$B$2:$B$270,MATCH($A154,'CLM &amp; IM Mapping'!$A$2:$A$270,0)),"Not Mapped")</f>
        <v>Adhavan Subramani</v>
      </c>
      <c r="C154" s="81" t="str">
        <f aca="false" t="array" ref="C154:C154">IFERROR(INDEX('CLM &amp; IM Mapping'!$C$2:$C$270,MATCH($A154,'CLM &amp; IM Mapping'!$A$2:$A$270,0)),"Not Mapped")</f>
        <v>Mohammed Akbar</v>
      </c>
      <c r="D154" s="82" t="n">
        <f aca="false">IF(COUNTIFS(Shrinkage!$A$2:$A$3000,$K$2,Shrinkage!$D$2:$D$3000,$A154)&gt;0,SUMIFS(Shrinkage!$P$2:$P$3000,Shrinkage!$A$2:$A$3000,$K$2,Shrinkage!$D$2:$D$3000,$A154),IF(COUNTIFS(Shrinkage!$A$2:$A$3000,$K$2,Shrinkage!$D$2:$D$3000,SUBSTITUTE($A154," SS","  SS"))&gt;0,SUMIFS(Shrinkage!$P$2:$P$3000,Shrinkage!$A$2:$A$3000,$K$2,Shrinkage!$D$2:$D$3000,SUBSTITUTE($A154," SS","  SS")),"NA"))</f>
        <v>10126</v>
      </c>
      <c r="E154" s="83" t="n">
        <f aca="false">IF(COUNTIFS('Inventory Hygiene'!$A$2:$A$3000,$K$2,'Inventory Hygiene'!$B$2:$B$3000,$A154)&gt;0,AVERAGEIFS('Inventory Hygiene'!$J$2:$J$3000,'Inventory Hygiene'!$A$2:$A$3000,$K$2,'Inventory Hygiene'!$B$2:$B$3000,$A154),IF(COUNTIFS('Inventory Hygiene'!$A$2:$A$3000,$K$2,'Inventory Hygiene'!$B$2:$B$3000,SUBSTITUTE($A154," SS","  SS"))&gt;0,AVERAGEIFS('Inventory Hygiene'!$J$2:$J$3000,'Inventory Hygiene'!$A$2:$A$3000,$K$2,'Inventory Hygiene'!$B$2:$B$3000,SUBSTITUTE($A154," SS","  SS")),"NA"))</f>
        <v>0.448315248429469</v>
      </c>
      <c r="F154" s="81" t="n">
        <f aca="false">IF(COUNTIFS('Bad Bins'!$A$2:$A$3000,$K$2,'Bad Bins'!$B$2:$B$3000,$A154)&gt;0,SUMIFS('Bad Bins'!$K$2:$K$3000,'Bad Bins'!$A$2:$A$3000,$K$2,'Bad Bins'!$B$2:$B$3000,$A154),IF(COUNTIFS('Bad Bins'!$A$2:$A$3000,$K$2,'Bad Bins'!$B$2:$B$3000,SUBSTITUTE($A154," SS","  SS"))&gt;0,SUMIFS('Bad Bins'!$K$2:$K$3000,'Bad Bins'!$A$2:$A$3000,$K$2,'Bad Bins'!$B$2:$B$3000,SUBSTITUTE($A154," SS","  SS")),"NA"))</f>
        <v>347</v>
      </c>
      <c r="G154" s="81" t="str">
        <f aca="false">IF(COUNTIFS('RSTO &gt; 48hrs'!$A$2:$A$3000,$K$2,'RSTO &gt; 48hrs'!$B$2:$B$3000,$A154)&gt;0,SUMIFS('RSTO &gt; 48hrs'!$H$2:$H$3000,'RSTO &gt; 48hrs'!$A$2:$A$3000,$K$2,'RSTO &gt; 48hrs'!$B$2:$B$3000,$A154),IF(COUNTIFS('RSTO &gt; 48hrs'!$A$2:$A$3000,$K$2,'RSTO &gt; 48hrs'!$B$2:$B$3000,SUBSTITUTE($A154," SS","  SS"))&gt;0,SUMIFS('RSTO &gt; 48hrs'!$H$2:$H$3000,'RSTO &gt; 48hrs'!$A$2:$A$3000,$K$2,'RSTO &gt; 48hrs'!$B$2:$B$3000,SUBSTITUTE($A154," SS","  SS")),"NA"))</f>
        <v>NA</v>
      </c>
      <c r="H154" s="81" t="str">
        <f aca="false">IF(COUNTIFS('Recirculation &gt; 24 hrs'!$A$2:$A$3000,$K$2,'Recirculation &gt; 24 hrs'!$B$2:$B$3000,$A154)&gt;0,SUMIFS('Recirculation &gt; 24 hrs'!$K$2:$K$3000,'Recirculation &gt; 24 hrs'!$A$2:$A$3000,$K$2,'Recirculation &gt; 24 hrs'!$B$2:$B$3000,$A154),IF(COUNTIFS('Recirculation &gt; 24 hrs'!$A$2:$A$3000,$K$2,'Recirculation &gt; 24 hrs'!$B$2:$B$3000,SUBSTITUTE($A154," SS","  SS"))&gt;0,SUMIFS('Recirculation &gt; 24 hrs'!$K$2:$K$3000,'Recirculation &gt; 24 hrs'!$A$2:$A$3000,$K$2,'Recirculation &gt; 24 hrs'!$B$2:$B$3000,SUBSTITUTE($A154," SS","  SS")),"NA"))</f>
        <v>NA</v>
      </c>
      <c r="I154" s="81" t="n">
        <f aca="false">IF(COUNTIFS('Pending Putaway'!$A$2:$A$3000,$K$2,'Pending Putaway'!$B$2:$B$3000,$A154)&gt;0,SUMIFS('Pending Putaway'!$E$2:$E$3000,'Pending Putaway'!$A$2:$A$3000,$K$2,'Pending Putaway'!$B$2:$B$3000,$A154),IF(COUNTIFS('Pending Putaway'!$A$2:$A$3000,$K$2,'Pending Putaway'!$B$2:$B$3000,SUBSTITUTE($A154," SS","  SS"))&gt;0,SUMIFS('Pending Putaway'!$E$2:$E$3000,'Pending Putaway'!$A$2:$A$3000,$K$2,'Pending Putaway'!$B$2:$B$3000,SUBSTITUTE($A154," SS","  SS")),"NA"))</f>
        <v>5380</v>
      </c>
      <c r="J154" s="81" t="n">
        <f aca="false">IF(COUNTIFS('Pending Putaway'!$A$2:$A$3000,$K$2,'Pending Putaway'!$B$2:$B$3000,$A154)&gt;0,SUMIFS('Pending Putaway'!$L$2:$L$3000,'Pending Putaway'!$A$2:$A$3000,$K$2,'Pending Putaway'!$B$2:$B$3000,$A154),IF(COUNTIFS('Pending Putaway'!$A$2:$A$3000,$K$2,'Pending Putaway'!$B$2:$B$3000,SUBSTITUTE($A154," SS","  SS"))&gt;0,SUMIFS('Pending Putaway'!$L$2:$L$3000,'Pending Putaway'!$A$2:$A$3000,$K$2,'Pending Putaway'!$B$2:$B$3000,SUBSTITUTE($A154," SS","  SS")),"NA"))</f>
        <v>1055</v>
      </c>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row>
    <row r="155" customFormat="false" ht="15.75" hidden="false" customHeight="true" outlineLevel="0" collapsed="false">
      <c r="A155" s="81" t="s">
        <v>400</v>
      </c>
      <c r="B155" s="81" t="str">
        <f aca="false" t="array" ref="B155:B155">IFERROR(INDEX('CLM &amp; IM Mapping'!$B$2:$B$270,MATCH($A155,'CLM &amp; IM Mapping'!$A$2:$A$270,0)),"Not Mapped")</f>
        <v>Bangareppa CS</v>
      </c>
      <c r="C155" s="81" t="str">
        <f aca="false" t="array" ref="C155:C155">IFERROR(INDEX('CLM &amp; IM Mapping'!$C$2:$C$270,MATCH($A155,'CLM &amp; IM Mapping'!$A$2:$A$270,0)),"Not Mapped")</f>
        <v>Kishor K</v>
      </c>
      <c r="D155" s="82" t="n">
        <f aca="false">IF(COUNTIFS(Shrinkage!$A$2:$A$3000,$K$2,Shrinkage!$D$2:$D$3000,$A155)&gt;0,SUMIFS(Shrinkage!$P$2:$P$3000,Shrinkage!$A$2:$A$3000,$K$2,Shrinkage!$D$2:$D$3000,$A155),IF(COUNTIFS(Shrinkage!$A$2:$A$3000,$K$2,Shrinkage!$D$2:$D$3000,SUBSTITUTE($A155," SS","  SS"))&gt;0,SUMIFS(Shrinkage!$P$2:$P$3000,Shrinkage!$A$2:$A$3000,$K$2,Shrinkage!$D$2:$D$3000,SUBSTITUTE($A155," SS","  SS")),"NA"))</f>
        <v>-320</v>
      </c>
      <c r="E155" s="83" t="n">
        <f aca="false">IF(COUNTIFS('Inventory Hygiene'!$A$2:$A$3000,$K$2,'Inventory Hygiene'!$B$2:$B$3000,$A155)&gt;0,AVERAGEIFS('Inventory Hygiene'!$J$2:$J$3000,'Inventory Hygiene'!$A$2:$A$3000,$K$2,'Inventory Hygiene'!$B$2:$B$3000,$A155),IF(COUNTIFS('Inventory Hygiene'!$A$2:$A$3000,$K$2,'Inventory Hygiene'!$B$2:$B$3000,SUBSTITUTE($A155," SS","  SS"))&gt;0,AVERAGEIFS('Inventory Hygiene'!$J$2:$J$3000,'Inventory Hygiene'!$A$2:$A$3000,$K$2,'Inventory Hygiene'!$B$2:$B$3000,SUBSTITUTE($A155," SS","  SS")),"NA"))</f>
        <v>0.827879581151833</v>
      </c>
      <c r="F155" s="81" t="n">
        <f aca="false">IF(COUNTIFS('Bad Bins'!$A$2:$A$3000,$K$2,'Bad Bins'!$B$2:$B$3000,$A155)&gt;0,SUMIFS('Bad Bins'!$K$2:$K$3000,'Bad Bins'!$A$2:$A$3000,$K$2,'Bad Bins'!$B$2:$B$3000,$A155),IF(COUNTIFS('Bad Bins'!$A$2:$A$3000,$K$2,'Bad Bins'!$B$2:$B$3000,SUBSTITUTE($A155," SS","  SS"))&gt;0,SUMIFS('Bad Bins'!$K$2:$K$3000,'Bad Bins'!$A$2:$A$3000,$K$2,'Bad Bins'!$B$2:$B$3000,SUBSTITUTE($A155," SS","  SS")),"NA"))</f>
        <v>55</v>
      </c>
      <c r="G155" s="81" t="str">
        <f aca="false">IF(COUNTIFS('RSTO &gt; 48hrs'!$A$2:$A$3000,$K$2,'RSTO &gt; 48hrs'!$B$2:$B$3000,$A155)&gt;0,SUMIFS('RSTO &gt; 48hrs'!$H$2:$H$3000,'RSTO &gt; 48hrs'!$A$2:$A$3000,$K$2,'RSTO &gt; 48hrs'!$B$2:$B$3000,$A155),IF(COUNTIFS('RSTO &gt; 48hrs'!$A$2:$A$3000,$K$2,'RSTO &gt; 48hrs'!$B$2:$B$3000,SUBSTITUTE($A155," SS","  SS"))&gt;0,SUMIFS('RSTO &gt; 48hrs'!$H$2:$H$3000,'RSTO &gt; 48hrs'!$A$2:$A$3000,$K$2,'RSTO &gt; 48hrs'!$B$2:$B$3000,SUBSTITUTE($A155," SS","  SS")),"NA"))</f>
        <v>NA</v>
      </c>
      <c r="H155" s="81" t="str">
        <f aca="false">IF(COUNTIFS('Recirculation &gt; 24 hrs'!$A$2:$A$3000,$K$2,'Recirculation &gt; 24 hrs'!$B$2:$B$3000,$A155)&gt;0,SUMIFS('Recirculation &gt; 24 hrs'!$K$2:$K$3000,'Recirculation &gt; 24 hrs'!$A$2:$A$3000,$K$2,'Recirculation &gt; 24 hrs'!$B$2:$B$3000,$A155),IF(COUNTIFS('Recirculation &gt; 24 hrs'!$A$2:$A$3000,$K$2,'Recirculation &gt; 24 hrs'!$B$2:$B$3000,SUBSTITUTE($A155," SS","  SS"))&gt;0,SUMIFS('Recirculation &gt; 24 hrs'!$K$2:$K$3000,'Recirculation &gt; 24 hrs'!$A$2:$A$3000,$K$2,'Recirculation &gt; 24 hrs'!$B$2:$B$3000,SUBSTITUTE($A155," SS","  SS")),"NA"))</f>
        <v>NA</v>
      </c>
      <c r="I155" s="81" t="n">
        <f aca="false">IF(COUNTIFS('Pending Putaway'!$A$2:$A$3000,$K$2,'Pending Putaway'!$B$2:$B$3000,$A155)&gt;0,SUMIFS('Pending Putaway'!$E$2:$E$3000,'Pending Putaway'!$A$2:$A$3000,$K$2,'Pending Putaway'!$B$2:$B$3000,$A155),IF(COUNTIFS('Pending Putaway'!$A$2:$A$3000,$K$2,'Pending Putaway'!$B$2:$B$3000,SUBSTITUTE($A155," SS","  SS"))&gt;0,SUMIFS('Pending Putaway'!$E$2:$E$3000,'Pending Putaway'!$A$2:$A$3000,$K$2,'Pending Putaway'!$B$2:$B$3000,SUBSTITUTE($A155," SS","  SS")),"NA"))</f>
        <v>3776</v>
      </c>
      <c r="J155" s="81" t="n">
        <f aca="false">IF(COUNTIFS('Pending Putaway'!$A$2:$A$3000,$K$2,'Pending Putaway'!$B$2:$B$3000,$A155)&gt;0,SUMIFS('Pending Putaway'!$L$2:$L$3000,'Pending Putaway'!$A$2:$A$3000,$K$2,'Pending Putaway'!$B$2:$B$3000,$A155),IF(COUNTIFS('Pending Putaway'!$A$2:$A$3000,$K$2,'Pending Putaway'!$B$2:$B$3000,SUBSTITUTE($A155," SS","  SS"))&gt;0,SUMIFS('Pending Putaway'!$L$2:$L$3000,'Pending Putaway'!$A$2:$A$3000,$K$2,'Pending Putaway'!$B$2:$B$3000,SUBSTITUTE($A155," SS","  SS")),"NA"))</f>
        <v>0</v>
      </c>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row>
    <row r="156" customFormat="false" ht="15.75" hidden="false" customHeight="true" outlineLevel="0" collapsed="false">
      <c r="A156" s="81" t="s">
        <v>395</v>
      </c>
      <c r="B156" s="81" t="str">
        <f aca="false" t="array" ref="B156:B156">IFERROR(INDEX('CLM &amp; IM Mapping'!$B$2:$B$270,MATCH($A156,'CLM &amp; IM Mapping'!$A$2:$A$270,0)),"Not Mapped")</f>
        <v>Bangareppa CS</v>
      </c>
      <c r="C156" s="81" t="str">
        <f aca="false" t="array" ref="C156:C156">IFERROR(INDEX('CLM &amp; IM Mapping'!$C$2:$C$270,MATCH($A156,'CLM &amp; IM Mapping'!$A$2:$A$270,0)),"Not Mapped")</f>
        <v>Kishor K</v>
      </c>
      <c r="D156" s="82" t="n">
        <f aca="false">IF(COUNTIFS(Shrinkage!$A$2:$A$3000,$K$2,Shrinkage!$D$2:$D$3000,$A156)&gt;0,SUMIFS(Shrinkage!$P$2:$P$3000,Shrinkage!$A$2:$A$3000,$K$2,Shrinkage!$D$2:$D$3000,$A156),IF(COUNTIFS(Shrinkage!$A$2:$A$3000,$K$2,Shrinkage!$D$2:$D$3000,SUBSTITUTE($A156," SS","  SS"))&gt;0,SUMIFS(Shrinkage!$P$2:$P$3000,Shrinkage!$A$2:$A$3000,$K$2,Shrinkage!$D$2:$D$3000,SUBSTITUTE($A156," SS","  SS")),"NA"))</f>
        <v>-1591</v>
      </c>
      <c r="E156" s="83" t="n">
        <f aca="false">IF(COUNTIFS('Inventory Hygiene'!$A$2:$A$3000,$K$2,'Inventory Hygiene'!$B$2:$B$3000,$A156)&gt;0,AVERAGEIFS('Inventory Hygiene'!$J$2:$J$3000,'Inventory Hygiene'!$A$2:$A$3000,$K$2,'Inventory Hygiene'!$B$2:$B$3000,$A156),IF(COUNTIFS('Inventory Hygiene'!$A$2:$A$3000,$K$2,'Inventory Hygiene'!$B$2:$B$3000,SUBSTITUTE($A156," SS","  SS"))&gt;0,AVERAGEIFS('Inventory Hygiene'!$J$2:$J$3000,'Inventory Hygiene'!$A$2:$A$3000,$K$2,'Inventory Hygiene'!$B$2:$B$3000,SUBSTITUTE($A156," SS","  SS")),"NA"))</f>
        <v>0.675018155410312</v>
      </c>
      <c r="F156" s="81" t="n">
        <f aca="false">IF(COUNTIFS('Bad Bins'!$A$2:$A$3000,$K$2,'Bad Bins'!$B$2:$B$3000,$A156)&gt;0,SUMIFS('Bad Bins'!$K$2:$K$3000,'Bad Bins'!$A$2:$A$3000,$K$2,'Bad Bins'!$B$2:$B$3000,$A156),IF(COUNTIFS('Bad Bins'!$A$2:$A$3000,$K$2,'Bad Bins'!$B$2:$B$3000,SUBSTITUTE($A156," SS","  SS"))&gt;0,SUMIFS('Bad Bins'!$K$2:$K$3000,'Bad Bins'!$A$2:$A$3000,$K$2,'Bad Bins'!$B$2:$B$3000,SUBSTITUTE($A156," SS","  SS")),"NA"))</f>
        <v>29</v>
      </c>
      <c r="G156" s="81" t="str">
        <f aca="false">IF(COUNTIFS('RSTO &gt; 48hrs'!$A$2:$A$3000,$K$2,'RSTO &gt; 48hrs'!$B$2:$B$3000,$A156)&gt;0,SUMIFS('RSTO &gt; 48hrs'!$H$2:$H$3000,'RSTO &gt; 48hrs'!$A$2:$A$3000,$K$2,'RSTO &gt; 48hrs'!$B$2:$B$3000,$A156),IF(COUNTIFS('RSTO &gt; 48hrs'!$A$2:$A$3000,$K$2,'RSTO &gt; 48hrs'!$B$2:$B$3000,SUBSTITUTE($A156," SS","  SS"))&gt;0,SUMIFS('RSTO &gt; 48hrs'!$H$2:$H$3000,'RSTO &gt; 48hrs'!$A$2:$A$3000,$K$2,'RSTO &gt; 48hrs'!$B$2:$B$3000,SUBSTITUTE($A156," SS","  SS")),"NA"))</f>
        <v>NA</v>
      </c>
      <c r="H156" s="81" t="str">
        <f aca="false">IF(COUNTIFS('Recirculation &gt; 24 hrs'!$A$2:$A$3000,$K$2,'Recirculation &gt; 24 hrs'!$B$2:$B$3000,$A156)&gt;0,SUMIFS('Recirculation &gt; 24 hrs'!$K$2:$K$3000,'Recirculation &gt; 24 hrs'!$A$2:$A$3000,$K$2,'Recirculation &gt; 24 hrs'!$B$2:$B$3000,$A156),IF(COUNTIFS('Recirculation &gt; 24 hrs'!$A$2:$A$3000,$K$2,'Recirculation &gt; 24 hrs'!$B$2:$B$3000,SUBSTITUTE($A156," SS","  SS"))&gt;0,SUMIFS('Recirculation &gt; 24 hrs'!$K$2:$K$3000,'Recirculation &gt; 24 hrs'!$A$2:$A$3000,$K$2,'Recirculation &gt; 24 hrs'!$B$2:$B$3000,SUBSTITUTE($A156," SS","  SS")),"NA"))</f>
        <v>NA</v>
      </c>
      <c r="I156" s="81" t="n">
        <f aca="false">IF(COUNTIFS('Pending Putaway'!$A$2:$A$3000,$K$2,'Pending Putaway'!$B$2:$B$3000,$A156)&gt;0,SUMIFS('Pending Putaway'!$E$2:$E$3000,'Pending Putaway'!$A$2:$A$3000,$K$2,'Pending Putaway'!$B$2:$B$3000,$A156),IF(COUNTIFS('Pending Putaway'!$A$2:$A$3000,$K$2,'Pending Putaway'!$B$2:$B$3000,SUBSTITUTE($A156," SS","  SS"))&gt;0,SUMIFS('Pending Putaway'!$E$2:$E$3000,'Pending Putaway'!$A$2:$A$3000,$K$2,'Pending Putaway'!$B$2:$B$3000,SUBSTITUTE($A156," SS","  SS")),"NA"))</f>
        <v>1889</v>
      </c>
      <c r="J156" s="81" t="n">
        <f aca="false">IF(COUNTIFS('Pending Putaway'!$A$2:$A$3000,$K$2,'Pending Putaway'!$B$2:$B$3000,$A156)&gt;0,SUMIFS('Pending Putaway'!$L$2:$L$3000,'Pending Putaway'!$A$2:$A$3000,$K$2,'Pending Putaway'!$B$2:$B$3000,$A156),IF(COUNTIFS('Pending Putaway'!$A$2:$A$3000,$K$2,'Pending Putaway'!$B$2:$B$3000,SUBSTITUTE($A156," SS","  SS"))&gt;0,SUMIFS('Pending Putaway'!$L$2:$L$3000,'Pending Putaway'!$A$2:$A$3000,$K$2,'Pending Putaway'!$B$2:$B$3000,SUBSTITUTE($A156," SS","  SS")),"NA"))</f>
        <v>0</v>
      </c>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row>
    <row r="157" customFormat="false" ht="15.75" hidden="false" customHeight="true" outlineLevel="0" collapsed="false">
      <c r="A157" s="81" t="s">
        <v>300</v>
      </c>
      <c r="B157" s="81" t="str">
        <f aca="false" t="array" ref="B157:B157">IFERROR(INDEX('CLM &amp; IM Mapping'!$B$2:$B$270,MATCH($A157,'CLM &amp; IM Mapping'!$A$2:$A$270,0)),"Not Mapped")</f>
        <v>Bangareppa CS</v>
      </c>
      <c r="C157" s="81" t="str">
        <f aca="false" t="array" ref="C157:C157">IFERROR(INDEX('CLM &amp; IM Mapping'!$C$2:$C$270,MATCH($A157,'CLM &amp; IM Mapping'!$A$2:$A$270,0)),"Not Mapped")</f>
        <v>Kishor K</v>
      </c>
      <c r="D157" s="82" t="n">
        <f aca="false">IF(COUNTIFS(Shrinkage!$A$2:$A$3000,$K$2,Shrinkage!$D$2:$D$3000,$A157)&gt;0,SUMIFS(Shrinkage!$P$2:$P$3000,Shrinkage!$A$2:$A$3000,$K$2,Shrinkage!$D$2:$D$3000,$A157),IF(COUNTIFS(Shrinkage!$A$2:$A$3000,$K$2,Shrinkage!$D$2:$D$3000,SUBSTITUTE($A157," SS","  SS"))&gt;0,SUMIFS(Shrinkage!$P$2:$P$3000,Shrinkage!$A$2:$A$3000,$K$2,Shrinkage!$D$2:$D$3000,SUBSTITUTE($A157," SS","  SS")),"NA"))</f>
        <v>7161</v>
      </c>
      <c r="E157" s="83" t="n">
        <f aca="false">IF(COUNTIFS('Inventory Hygiene'!$A$2:$A$3000,$K$2,'Inventory Hygiene'!$B$2:$B$3000,$A157)&gt;0,AVERAGEIFS('Inventory Hygiene'!$J$2:$J$3000,'Inventory Hygiene'!$A$2:$A$3000,$K$2,'Inventory Hygiene'!$B$2:$B$3000,$A157),IF(COUNTIFS('Inventory Hygiene'!$A$2:$A$3000,$K$2,'Inventory Hygiene'!$B$2:$B$3000,SUBSTITUTE($A157," SS","  SS"))&gt;0,AVERAGEIFS('Inventory Hygiene'!$J$2:$J$3000,'Inventory Hygiene'!$A$2:$A$3000,$K$2,'Inventory Hygiene'!$B$2:$B$3000,SUBSTITUTE($A157," SS","  SS")),"NA"))</f>
        <v>0.581492764661082</v>
      </c>
      <c r="F157" s="81" t="n">
        <f aca="false">IF(COUNTIFS('Bad Bins'!$A$2:$A$3000,$K$2,'Bad Bins'!$B$2:$B$3000,$A157)&gt;0,SUMIFS('Bad Bins'!$K$2:$K$3000,'Bad Bins'!$A$2:$A$3000,$K$2,'Bad Bins'!$B$2:$B$3000,$A157),IF(COUNTIFS('Bad Bins'!$A$2:$A$3000,$K$2,'Bad Bins'!$B$2:$B$3000,SUBSTITUTE($A157," SS","  SS"))&gt;0,SUMIFS('Bad Bins'!$K$2:$K$3000,'Bad Bins'!$A$2:$A$3000,$K$2,'Bad Bins'!$B$2:$B$3000,SUBSTITUTE($A157," SS","  SS")),"NA"))</f>
        <v>139</v>
      </c>
      <c r="G157" s="81" t="str">
        <f aca="false">IF(COUNTIFS('RSTO &gt; 48hrs'!$A$2:$A$3000,$K$2,'RSTO &gt; 48hrs'!$B$2:$B$3000,$A157)&gt;0,SUMIFS('RSTO &gt; 48hrs'!$H$2:$H$3000,'RSTO &gt; 48hrs'!$A$2:$A$3000,$K$2,'RSTO &gt; 48hrs'!$B$2:$B$3000,$A157),IF(COUNTIFS('RSTO &gt; 48hrs'!$A$2:$A$3000,$K$2,'RSTO &gt; 48hrs'!$B$2:$B$3000,SUBSTITUTE($A157," SS","  SS"))&gt;0,SUMIFS('RSTO &gt; 48hrs'!$H$2:$H$3000,'RSTO &gt; 48hrs'!$A$2:$A$3000,$K$2,'RSTO &gt; 48hrs'!$B$2:$B$3000,SUBSTITUTE($A157," SS","  SS")),"NA"))</f>
        <v>NA</v>
      </c>
      <c r="H157" s="81" t="n">
        <f aca="false">IF(COUNTIFS('Recirculation &gt; 24 hrs'!$A$2:$A$3000,$K$2,'Recirculation &gt; 24 hrs'!$B$2:$B$3000,$A157)&gt;0,SUMIFS('Recirculation &gt; 24 hrs'!$K$2:$K$3000,'Recirculation &gt; 24 hrs'!$A$2:$A$3000,$K$2,'Recirculation &gt; 24 hrs'!$B$2:$B$3000,$A157),IF(COUNTIFS('Recirculation &gt; 24 hrs'!$A$2:$A$3000,$K$2,'Recirculation &gt; 24 hrs'!$B$2:$B$3000,SUBSTITUTE($A157," SS","  SS"))&gt;0,SUMIFS('Recirculation &gt; 24 hrs'!$K$2:$K$3000,'Recirculation &gt; 24 hrs'!$A$2:$A$3000,$K$2,'Recirculation &gt; 24 hrs'!$B$2:$B$3000,SUBSTITUTE($A157," SS","  SS")),"NA"))</f>
        <v>789</v>
      </c>
      <c r="I157" s="81" t="n">
        <f aca="false">IF(COUNTIFS('Pending Putaway'!$A$2:$A$3000,$K$2,'Pending Putaway'!$B$2:$B$3000,$A157)&gt;0,SUMIFS('Pending Putaway'!$E$2:$E$3000,'Pending Putaway'!$A$2:$A$3000,$K$2,'Pending Putaway'!$B$2:$B$3000,$A157),IF(COUNTIFS('Pending Putaway'!$A$2:$A$3000,$K$2,'Pending Putaway'!$B$2:$B$3000,SUBSTITUTE($A157," SS","  SS"))&gt;0,SUMIFS('Pending Putaway'!$E$2:$E$3000,'Pending Putaway'!$A$2:$A$3000,$K$2,'Pending Putaway'!$B$2:$B$3000,SUBSTITUTE($A157," SS","  SS")),"NA"))</f>
        <v>2</v>
      </c>
      <c r="J157" s="81" t="n">
        <f aca="false">IF(COUNTIFS('Pending Putaway'!$A$2:$A$3000,$K$2,'Pending Putaway'!$B$2:$B$3000,$A157)&gt;0,SUMIFS('Pending Putaway'!$L$2:$L$3000,'Pending Putaway'!$A$2:$A$3000,$K$2,'Pending Putaway'!$B$2:$B$3000,$A157),IF(COUNTIFS('Pending Putaway'!$A$2:$A$3000,$K$2,'Pending Putaway'!$B$2:$B$3000,SUBSTITUTE($A157," SS","  SS"))&gt;0,SUMIFS('Pending Putaway'!$L$2:$L$3000,'Pending Putaway'!$A$2:$A$3000,$K$2,'Pending Putaway'!$B$2:$B$3000,SUBSTITUTE($A157," SS","  SS")),"NA"))</f>
        <v>0</v>
      </c>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row>
    <row r="158" customFormat="false" ht="15.75" hidden="false" customHeight="true" outlineLevel="0" collapsed="false">
      <c r="A158" s="81" t="s">
        <v>472</v>
      </c>
      <c r="B158" s="81" t="str">
        <f aca="false" t="array" ref="B158:B158">IFERROR(INDEX('CLM &amp; IM Mapping'!$B$2:$B$270,MATCH($A158,'CLM &amp; IM Mapping'!$A$2:$A$270,0)),"Not Mapped")</f>
        <v>Bangareppa CS</v>
      </c>
      <c r="C158" s="81" t="str">
        <f aca="false" t="array" ref="C158:C158">IFERROR(INDEX('CLM &amp; IM Mapping'!$C$2:$C$270,MATCH($A158,'CLM &amp; IM Mapping'!$A$2:$A$270,0)),"Not Mapped")</f>
        <v>Kishor K</v>
      </c>
      <c r="D158" s="82" t="n">
        <f aca="false">IF(COUNTIFS(Shrinkage!$A$2:$A$3000,$K$2,Shrinkage!$D$2:$D$3000,$A158)&gt;0,SUMIFS(Shrinkage!$P$2:$P$3000,Shrinkage!$A$2:$A$3000,$K$2,Shrinkage!$D$2:$D$3000,$A158),IF(COUNTIFS(Shrinkage!$A$2:$A$3000,$K$2,Shrinkage!$D$2:$D$3000,SUBSTITUTE($A158," SS","  SS"))&gt;0,SUMIFS(Shrinkage!$P$2:$P$3000,Shrinkage!$A$2:$A$3000,$K$2,Shrinkage!$D$2:$D$3000,SUBSTITUTE($A158," SS","  SS")),"NA"))</f>
        <v>-12280</v>
      </c>
      <c r="E158" s="83" t="n">
        <f aca="false">IF(COUNTIFS('Inventory Hygiene'!$A$2:$A$3000,$K$2,'Inventory Hygiene'!$B$2:$B$3000,$A158)&gt;0,AVERAGEIFS('Inventory Hygiene'!$J$2:$J$3000,'Inventory Hygiene'!$A$2:$A$3000,$K$2,'Inventory Hygiene'!$B$2:$B$3000,$A158),IF(COUNTIFS('Inventory Hygiene'!$A$2:$A$3000,$K$2,'Inventory Hygiene'!$B$2:$B$3000,SUBSTITUTE($A158," SS","  SS"))&gt;0,AVERAGEIFS('Inventory Hygiene'!$J$2:$J$3000,'Inventory Hygiene'!$A$2:$A$3000,$K$2,'Inventory Hygiene'!$B$2:$B$3000,SUBSTITUTE($A158," SS","  SS")),"NA"))</f>
        <v>0.697601120644371</v>
      </c>
      <c r="F158" s="81" t="n">
        <f aca="false">IF(COUNTIFS('Bad Bins'!$A$2:$A$3000,$K$2,'Bad Bins'!$B$2:$B$3000,$A158)&gt;0,SUMIFS('Bad Bins'!$K$2:$K$3000,'Bad Bins'!$A$2:$A$3000,$K$2,'Bad Bins'!$B$2:$B$3000,$A158),IF(COUNTIFS('Bad Bins'!$A$2:$A$3000,$K$2,'Bad Bins'!$B$2:$B$3000,SUBSTITUTE($A158," SS","  SS"))&gt;0,SUMIFS('Bad Bins'!$K$2:$K$3000,'Bad Bins'!$A$2:$A$3000,$K$2,'Bad Bins'!$B$2:$B$3000,SUBSTITUTE($A158," SS","  SS")),"NA"))</f>
        <v>75</v>
      </c>
      <c r="G158" s="81" t="str">
        <f aca="false">IF(COUNTIFS('RSTO &gt; 48hrs'!$A$2:$A$3000,$K$2,'RSTO &gt; 48hrs'!$B$2:$B$3000,$A158)&gt;0,SUMIFS('RSTO &gt; 48hrs'!$H$2:$H$3000,'RSTO &gt; 48hrs'!$A$2:$A$3000,$K$2,'RSTO &gt; 48hrs'!$B$2:$B$3000,$A158),IF(COUNTIFS('RSTO &gt; 48hrs'!$A$2:$A$3000,$K$2,'RSTO &gt; 48hrs'!$B$2:$B$3000,SUBSTITUTE($A158," SS","  SS"))&gt;0,SUMIFS('RSTO &gt; 48hrs'!$H$2:$H$3000,'RSTO &gt; 48hrs'!$A$2:$A$3000,$K$2,'RSTO &gt; 48hrs'!$B$2:$B$3000,SUBSTITUTE($A158," SS","  SS")),"NA"))</f>
        <v>NA</v>
      </c>
      <c r="H158" s="81" t="n">
        <f aca="false">IF(COUNTIFS('Recirculation &gt; 24 hrs'!$A$2:$A$3000,$K$2,'Recirculation &gt; 24 hrs'!$B$2:$B$3000,$A158)&gt;0,SUMIFS('Recirculation &gt; 24 hrs'!$K$2:$K$3000,'Recirculation &gt; 24 hrs'!$A$2:$A$3000,$K$2,'Recirculation &gt; 24 hrs'!$B$2:$B$3000,$A158),IF(COUNTIFS('Recirculation &gt; 24 hrs'!$A$2:$A$3000,$K$2,'Recirculation &gt; 24 hrs'!$B$2:$B$3000,SUBSTITUTE($A158," SS","  SS"))&gt;0,SUMIFS('Recirculation &gt; 24 hrs'!$K$2:$K$3000,'Recirculation &gt; 24 hrs'!$A$2:$A$3000,$K$2,'Recirculation &gt; 24 hrs'!$B$2:$B$3000,SUBSTITUTE($A158," SS","  SS")),"NA"))</f>
        <v>1</v>
      </c>
      <c r="I158" s="81" t="n">
        <f aca="false">IF(COUNTIFS('Pending Putaway'!$A$2:$A$3000,$K$2,'Pending Putaway'!$B$2:$B$3000,$A158)&gt;0,SUMIFS('Pending Putaway'!$E$2:$E$3000,'Pending Putaway'!$A$2:$A$3000,$K$2,'Pending Putaway'!$B$2:$B$3000,$A158),IF(COUNTIFS('Pending Putaway'!$A$2:$A$3000,$K$2,'Pending Putaway'!$B$2:$B$3000,SUBSTITUTE($A158," SS","  SS"))&gt;0,SUMIFS('Pending Putaway'!$E$2:$E$3000,'Pending Putaway'!$A$2:$A$3000,$K$2,'Pending Putaway'!$B$2:$B$3000,SUBSTITUTE($A158," SS","  SS")),"NA"))</f>
        <v>400</v>
      </c>
      <c r="J158" s="81" t="n">
        <f aca="false">IF(COUNTIFS('Pending Putaway'!$A$2:$A$3000,$K$2,'Pending Putaway'!$B$2:$B$3000,$A158)&gt;0,SUMIFS('Pending Putaway'!$L$2:$L$3000,'Pending Putaway'!$A$2:$A$3000,$K$2,'Pending Putaway'!$B$2:$B$3000,$A158),IF(COUNTIFS('Pending Putaway'!$A$2:$A$3000,$K$2,'Pending Putaway'!$B$2:$B$3000,SUBSTITUTE($A158," SS","  SS"))&gt;0,SUMIFS('Pending Putaway'!$L$2:$L$3000,'Pending Putaway'!$A$2:$A$3000,$K$2,'Pending Putaway'!$B$2:$B$3000,SUBSTITUTE($A158," SS","  SS")),"NA"))</f>
        <v>0</v>
      </c>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row>
    <row r="159" customFormat="false" ht="15.75" hidden="false" customHeight="true" outlineLevel="0" collapsed="false">
      <c r="A159" s="81" t="s">
        <v>213</v>
      </c>
      <c r="B159" s="81" t="str">
        <f aca="false" t="array" ref="B159:B159">IFERROR(INDEX('CLM &amp; IM Mapping'!$B$2:$B$270,MATCH($A159,'CLM &amp; IM Mapping'!$A$2:$A$270,0)),"Not Mapped")</f>
        <v>Bangareppa CS</v>
      </c>
      <c r="C159" s="81" t="str">
        <f aca="false" t="array" ref="C159:C159">IFERROR(INDEX('CLM &amp; IM Mapping'!$C$2:$C$270,MATCH($A159,'CLM &amp; IM Mapping'!$A$2:$A$270,0)),"Not Mapped")</f>
        <v>Kishor K</v>
      </c>
      <c r="D159" s="82" t="n">
        <f aca="false">IF(COUNTIFS(Shrinkage!$A$2:$A$3000,$K$2,Shrinkage!$D$2:$D$3000,$A159)&gt;0,SUMIFS(Shrinkage!$P$2:$P$3000,Shrinkage!$A$2:$A$3000,$K$2,Shrinkage!$D$2:$D$3000,$A159),IF(COUNTIFS(Shrinkage!$A$2:$A$3000,$K$2,Shrinkage!$D$2:$D$3000,SUBSTITUTE($A159," SS","  SS"))&gt;0,SUMIFS(Shrinkage!$P$2:$P$3000,Shrinkage!$A$2:$A$3000,$K$2,Shrinkage!$D$2:$D$3000,SUBSTITUTE($A159," SS","  SS")),"NA"))</f>
        <v>-2921</v>
      </c>
      <c r="E159" s="83" t="n">
        <f aca="false">IF(COUNTIFS('Inventory Hygiene'!$A$2:$A$3000,$K$2,'Inventory Hygiene'!$B$2:$B$3000,$A159)&gt;0,AVERAGEIFS('Inventory Hygiene'!$J$2:$J$3000,'Inventory Hygiene'!$A$2:$A$3000,$K$2,'Inventory Hygiene'!$B$2:$B$3000,$A159),IF(COUNTIFS('Inventory Hygiene'!$A$2:$A$3000,$K$2,'Inventory Hygiene'!$B$2:$B$3000,SUBSTITUTE($A159," SS","  SS"))&gt;0,AVERAGEIFS('Inventory Hygiene'!$J$2:$J$3000,'Inventory Hygiene'!$A$2:$A$3000,$K$2,'Inventory Hygiene'!$B$2:$B$3000,SUBSTITUTE($A159," SS","  SS")),"NA"))</f>
        <v>0.534753857457752</v>
      </c>
      <c r="F159" s="81" t="n">
        <f aca="false">IF(COUNTIFS('Bad Bins'!$A$2:$A$3000,$K$2,'Bad Bins'!$B$2:$B$3000,$A159)&gt;0,SUMIFS('Bad Bins'!$K$2:$K$3000,'Bad Bins'!$A$2:$A$3000,$K$2,'Bad Bins'!$B$2:$B$3000,$A159),IF(COUNTIFS('Bad Bins'!$A$2:$A$3000,$K$2,'Bad Bins'!$B$2:$B$3000,SUBSTITUTE($A159," SS","  SS"))&gt;0,SUMIFS('Bad Bins'!$K$2:$K$3000,'Bad Bins'!$A$2:$A$3000,$K$2,'Bad Bins'!$B$2:$B$3000,SUBSTITUTE($A159," SS","  SS")),"NA"))</f>
        <v>297</v>
      </c>
      <c r="G159" s="81" t="str">
        <f aca="false">IF(COUNTIFS('RSTO &gt; 48hrs'!$A$2:$A$3000,$K$2,'RSTO &gt; 48hrs'!$B$2:$B$3000,$A159)&gt;0,SUMIFS('RSTO &gt; 48hrs'!$H$2:$H$3000,'RSTO &gt; 48hrs'!$A$2:$A$3000,$K$2,'RSTO &gt; 48hrs'!$B$2:$B$3000,$A159),IF(COUNTIFS('RSTO &gt; 48hrs'!$A$2:$A$3000,$K$2,'RSTO &gt; 48hrs'!$B$2:$B$3000,SUBSTITUTE($A159," SS","  SS"))&gt;0,SUMIFS('RSTO &gt; 48hrs'!$H$2:$H$3000,'RSTO &gt; 48hrs'!$A$2:$A$3000,$K$2,'RSTO &gt; 48hrs'!$B$2:$B$3000,SUBSTITUTE($A159," SS","  SS")),"NA"))</f>
        <v>NA</v>
      </c>
      <c r="H159" s="81" t="str">
        <f aca="false">IF(COUNTIFS('Recirculation &gt; 24 hrs'!$A$2:$A$3000,$K$2,'Recirculation &gt; 24 hrs'!$B$2:$B$3000,$A159)&gt;0,SUMIFS('Recirculation &gt; 24 hrs'!$K$2:$K$3000,'Recirculation &gt; 24 hrs'!$A$2:$A$3000,$K$2,'Recirculation &gt; 24 hrs'!$B$2:$B$3000,$A159),IF(COUNTIFS('Recirculation &gt; 24 hrs'!$A$2:$A$3000,$K$2,'Recirculation &gt; 24 hrs'!$B$2:$B$3000,SUBSTITUTE($A159," SS","  SS"))&gt;0,SUMIFS('Recirculation &gt; 24 hrs'!$K$2:$K$3000,'Recirculation &gt; 24 hrs'!$A$2:$A$3000,$K$2,'Recirculation &gt; 24 hrs'!$B$2:$B$3000,SUBSTITUTE($A159," SS","  SS")),"NA"))</f>
        <v>NA</v>
      </c>
      <c r="I159" s="81" t="n">
        <f aca="false">IF(COUNTIFS('Pending Putaway'!$A$2:$A$3000,$K$2,'Pending Putaway'!$B$2:$B$3000,$A159)&gt;0,SUMIFS('Pending Putaway'!$E$2:$E$3000,'Pending Putaway'!$A$2:$A$3000,$K$2,'Pending Putaway'!$B$2:$B$3000,$A159),IF(COUNTIFS('Pending Putaway'!$A$2:$A$3000,$K$2,'Pending Putaway'!$B$2:$B$3000,SUBSTITUTE($A159," SS","  SS"))&gt;0,SUMIFS('Pending Putaway'!$E$2:$E$3000,'Pending Putaway'!$A$2:$A$3000,$K$2,'Pending Putaway'!$B$2:$B$3000,SUBSTITUTE($A159," SS","  SS")),"NA"))</f>
        <v>26</v>
      </c>
      <c r="J159" s="81" t="n">
        <f aca="false">IF(COUNTIFS('Pending Putaway'!$A$2:$A$3000,$K$2,'Pending Putaway'!$B$2:$B$3000,$A159)&gt;0,SUMIFS('Pending Putaway'!$L$2:$L$3000,'Pending Putaway'!$A$2:$A$3000,$K$2,'Pending Putaway'!$B$2:$B$3000,$A159),IF(COUNTIFS('Pending Putaway'!$A$2:$A$3000,$K$2,'Pending Putaway'!$B$2:$B$3000,SUBSTITUTE($A159," SS","  SS"))&gt;0,SUMIFS('Pending Putaway'!$L$2:$L$3000,'Pending Putaway'!$A$2:$A$3000,$K$2,'Pending Putaway'!$B$2:$B$3000,SUBSTITUTE($A159," SS","  SS")),"NA"))</f>
        <v>0</v>
      </c>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row>
    <row r="160" customFormat="false" ht="15.75" hidden="false" customHeight="true" outlineLevel="0" collapsed="false">
      <c r="A160" s="81" t="s">
        <v>306</v>
      </c>
      <c r="B160" s="81" t="str">
        <f aca="false" t="array" ref="B160:B160">IFERROR(INDEX('CLM &amp; IM Mapping'!$B$2:$B$270,MATCH($A160,'CLM &amp; IM Mapping'!$A$2:$A$270,0)),"Not Mapped")</f>
        <v>Narasimhamurthy R</v>
      </c>
      <c r="C160" s="81" t="str">
        <f aca="false" t="array" ref="C160:C160">IFERROR(INDEX('CLM &amp; IM Mapping'!$C$2:$C$270,MATCH($A160,'CLM &amp; IM Mapping'!$A$2:$A$270,0)),"Not Mapped")</f>
        <v>Kishor K</v>
      </c>
      <c r="D160" s="82" t="n">
        <f aca="false">IF(COUNTIFS(Shrinkage!$A$2:$A$3000,$K$2,Shrinkage!$D$2:$D$3000,$A160)&gt;0,SUMIFS(Shrinkage!$P$2:$P$3000,Shrinkage!$A$2:$A$3000,$K$2,Shrinkage!$D$2:$D$3000,$A160),IF(COUNTIFS(Shrinkage!$A$2:$A$3000,$K$2,Shrinkage!$D$2:$D$3000,SUBSTITUTE($A160," SS","  SS"))&gt;0,SUMIFS(Shrinkage!$P$2:$P$3000,Shrinkage!$A$2:$A$3000,$K$2,Shrinkage!$D$2:$D$3000,SUBSTITUTE($A160," SS","  SS")),"NA"))</f>
        <v>-3560</v>
      </c>
      <c r="E160" s="83" t="n">
        <f aca="false">IF(COUNTIFS('Inventory Hygiene'!$A$2:$A$3000,$K$2,'Inventory Hygiene'!$B$2:$B$3000,$A160)&gt;0,AVERAGEIFS('Inventory Hygiene'!$J$2:$J$3000,'Inventory Hygiene'!$A$2:$A$3000,$K$2,'Inventory Hygiene'!$B$2:$B$3000,$A160),IF(COUNTIFS('Inventory Hygiene'!$A$2:$A$3000,$K$2,'Inventory Hygiene'!$B$2:$B$3000,SUBSTITUTE($A160," SS","  SS"))&gt;0,AVERAGEIFS('Inventory Hygiene'!$J$2:$J$3000,'Inventory Hygiene'!$A$2:$A$3000,$K$2,'Inventory Hygiene'!$B$2:$B$3000,SUBSTITUTE($A160," SS","  SS")),"NA"))</f>
        <v>0.702574402044915</v>
      </c>
      <c r="F160" s="81" t="n">
        <f aca="false">IF(COUNTIFS('Bad Bins'!$A$2:$A$3000,$K$2,'Bad Bins'!$B$2:$B$3000,$A160)&gt;0,SUMIFS('Bad Bins'!$K$2:$K$3000,'Bad Bins'!$A$2:$A$3000,$K$2,'Bad Bins'!$B$2:$B$3000,$A160),IF(COUNTIFS('Bad Bins'!$A$2:$A$3000,$K$2,'Bad Bins'!$B$2:$B$3000,SUBSTITUTE($A160," SS","  SS"))&gt;0,SUMIFS('Bad Bins'!$K$2:$K$3000,'Bad Bins'!$A$2:$A$3000,$K$2,'Bad Bins'!$B$2:$B$3000,SUBSTITUTE($A160," SS","  SS")),"NA"))</f>
        <v>27</v>
      </c>
      <c r="G160" s="81" t="str">
        <f aca="false">IF(COUNTIFS('RSTO &gt; 48hrs'!$A$2:$A$3000,$K$2,'RSTO &gt; 48hrs'!$B$2:$B$3000,$A160)&gt;0,SUMIFS('RSTO &gt; 48hrs'!$H$2:$H$3000,'RSTO &gt; 48hrs'!$A$2:$A$3000,$K$2,'RSTO &gt; 48hrs'!$B$2:$B$3000,$A160),IF(COUNTIFS('RSTO &gt; 48hrs'!$A$2:$A$3000,$K$2,'RSTO &gt; 48hrs'!$B$2:$B$3000,SUBSTITUTE($A160," SS","  SS"))&gt;0,SUMIFS('RSTO &gt; 48hrs'!$H$2:$H$3000,'RSTO &gt; 48hrs'!$A$2:$A$3000,$K$2,'RSTO &gt; 48hrs'!$B$2:$B$3000,SUBSTITUTE($A160," SS","  SS")),"NA"))</f>
        <v>NA</v>
      </c>
      <c r="H160" s="81" t="str">
        <f aca="false">IF(COUNTIFS('Recirculation &gt; 24 hrs'!$A$2:$A$3000,$K$2,'Recirculation &gt; 24 hrs'!$B$2:$B$3000,$A160)&gt;0,SUMIFS('Recirculation &gt; 24 hrs'!$K$2:$K$3000,'Recirculation &gt; 24 hrs'!$A$2:$A$3000,$K$2,'Recirculation &gt; 24 hrs'!$B$2:$B$3000,$A160),IF(COUNTIFS('Recirculation &gt; 24 hrs'!$A$2:$A$3000,$K$2,'Recirculation &gt; 24 hrs'!$B$2:$B$3000,SUBSTITUTE($A160," SS","  SS"))&gt;0,SUMIFS('Recirculation &gt; 24 hrs'!$K$2:$K$3000,'Recirculation &gt; 24 hrs'!$A$2:$A$3000,$K$2,'Recirculation &gt; 24 hrs'!$B$2:$B$3000,SUBSTITUTE($A160," SS","  SS")),"NA"))</f>
        <v>NA</v>
      </c>
      <c r="I160" s="81" t="n">
        <f aca="false">IF(COUNTIFS('Pending Putaway'!$A$2:$A$3000,$K$2,'Pending Putaway'!$B$2:$B$3000,$A160)&gt;0,SUMIFS('Pending Putaway'!$E$2:$E$3000,'Pending Putaway'!$A$2:$A$3000,$K$2,'Pending Putaway'!$B$2:$B$3000,$A160),IF(COUNTIFS('Pending Putaway'!$A$2:$A$3000,$K$2,'Pending Putaway'!$B$2:$B$3000,SUBSTITUTE($A160," SS","  SS"))&gt;0,SUMIFS('Pending Putaway'!$E$2:$E$3000,'Pending Putaway'!$A$2:$A$3000,$K$2,'Pending Putaway'!$B$2:$B$3000,SUBSTITUTE($A160," SS","  SS")),"NA"))</f>
        <v>1851</v>
      </c>
      <c r="J160" s="81" t="n">
        <f aca="false">IF(COUNTIFS('Pending Putaway'!$A$2:$A$3000,$K$2,'Pending Putaway'!$B$2:$B$3000,$A160)&gt;0,SUMIFS('Pending Putaway'!$L$2:$L$3000,'Pending Putaway'!$A$2:$A$3000,$K$2,'Pending Putaway'!$B$2:$B$3000,$A160),IF(COUNTIFS('Pending Putaway'!$A$2:$A$3000,$K$2,'Pending Putaway'!$B$2:$B$3000,SUBSTITUTE($A160," SS","  SS"))&gt;0,SUMIFS('Pending Putaway'!$L$2:$L$3000,'Pending Putaway'!$A$2:$A$3000,$K$2,'Pending Putaway'!$B$2:$B$3000,SUBSTITUTE($A160," SS","  SS")),"NA"))</f>
        <v>5</v>
      </c>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row>
    <row r="161" customFormat="false" ht="15.75" hidden="false" customHeight="true" outlineLevel="0" collapsed="false">
      <c r="A161" s="81" t="s">
        <v>339</v>
      </c>
      <c r="B161" s="81" t="str">
        <f aca="false" t="array" ref="B161:B161">IFERROR(INDEX('CLM &amp; IM Mapping'!$B$2:$B$270,MATCH($A161,'CLM &amp; IM Mapping'!$A$2:$A$270,0)),"Not Mapped")</f>
        <v>Ravishankar gowda</v>
      </c>
      <c r="C161" s="81" t="str">
        <f aca="false" t="array" ref="C161:C161">IFERROR(INDEX('CLM &amp; IM Mapping'!$C$2:$C$270,MATCH($A161,'CLM &amp; IM Mapping'!$A$2:$A$270,0)),"Not Mapped")</f>
        <v>Kishor K</v>
      </c>
      <c r="D161" s="82" t="n">
        <f aca="false">IF(COUNTIFS(Shrinkage!$A$2:$A$3000,$K$2,Shrinkage!$D$2:$D$3000,$A161)&gt;0,SUMIFS(Shrinkage!$P$2:$P$3000,Shrinkage!$A$2:$A$3000,$K$2,Shrinkage!$D$2:$D$3000,$A161),IF(COUNTIFS(Shrinkage!$A$2:$A$3000,$K$2,Shrinkage!$D$2:$D$3000,SUBSTITUTE($A161," SS","  SS"))&gt;0,SUMIFS(Shrinkage!$P$2:$P$3000,Shrinkage!$A$2:$A$3000,$K$2,Shrinkage!$D$2:$D$3000,SUBSTITUTE($A161," SS","  SS")),"NA"))</f>
        <v>-543</v>
      </c>
      <c r="E161" s="83" t="n">
        <f aca="false">IF(COUNTIFS('Inventory Hygiene'!$A$2:$A$3000,$K$2,'Inventory Hygiene'!$B$2:$B$3000,$A161)&gt;0,AVERAGEIFS('Inventory Hygiene'!$J$2:$J$3000,'Inventory Hygiene'!$A$2:$A$3000,$K$2,'Inventory Hygiene'!$B$2:$B$3000,$A161),IF(COUNTIFS('Inventory Hygiene'!$A$2:$A$3000,$K$2,'Inventory Hygiene'!$B$2:$B$3000,SUBSTITUTE($A161," SS","  SS"))&gt;0,AVERAGEIFS('Inventory Hygiene'!$J$2:$J$3000,'Inventory Hygiene'!$A$2:$A$3000,$K$2,'Inventory Hygiene'!$B$2:$B$3000,SUBSTITUTE($A161," SS","  SS")),"NA"))</f>
        <v>0.527549414028337</v>
      </c>
      <c r="F161" s="81" t="n">
        <f aca="false">IF(COUNTIFS('Bad Bins'!$A$2:$A$3000,$K$2,'Bad Bins'!$B$2:$B$3000,$A161)&gt;0,SUMIFS('Bad Bins'!$K$2:$K$3000,'Bad Bins'!$A$2:$A$3000,$K$2,'Bad Bins'!$B$2:$B$3000,$A161),IF(COUNTIFS('Bad Bins'!$A$2:$A$3000,$K$2,'Bad Bins'!$B$2:$B$3000,SUBSTITUTE($A161," SS","  SS"))&gt;0,SUMIFS('Bad Bins'!$K$2:$K$3000,'Bad Bins'!$A$2:$A$3000,$K$2,'Bad Bins'!$B$2:$B$3000,SUBSTITUTE($A161," SS","  SS")),"NA"))</f>
        <v>38</v>
      </c>
      <c r="G161" s="81" t="str">
        <f aca="false">IF(COUNTIFS('RSTO &gt; 48hrs'!$A$2:$A$3000,$K$2,'RSTO &gt; 48hrs'!$B$2:$B$3000,$A161)&gt;0,SUMIFS('RSTO &gt; 48hrs'!$H$2:$H$3000,'RSTO &gt; 48hrs'!$A$2:$A$3000,$K$2,'RSTO &gt; 48hrs'!$B$2:$B$3000,$A161),IF(COUNTIFS('RSTO &gt; 48hrs'!$A$2:$A$3000,$K$2,'RSTO &gt; 48hrs'!$B$2:$B$3000,SUBSTITUTE($A161," SS","  SS"))&gt;0,SUMIFS('RSTO &gt; 48hrs'!$H$2:$H$3000,'RSTO &gt; 48hrs'!$A$2:$A$3000,$K$2,'RSTO &gt; 48hrs'!$B$2:$B$3000,SUBSTITUTE($A161," SS","  SS")),"NA"))</f>
        <v>NA</v>
      </c>
      <c r="H161" s="81" t="str">
        <f aca="false">IF(COUNTIFS('Recirculation &gt; 24 hrs'!$A$2:$A$3000,$K$2,'Recirculation &gt; 24 hrs'!$B$2:$B$3000,$A161)&gt;0,SUMIFS('Recirculation &gt; 24 hrs'!$K$2:$K$3000,'Recirculation &gt; 24 hrs'!$A$2:$A$3000,$K$2,'Recirculation &gt; 24 hrs'!$B$2:$B$3000,$A161),IF(COUNTIFS('Recirculation &gt; 24 hrs'!$A$2:$A$3000,$K$2,'Recirculation &gt; 24 hrs'!$B$2:$B$3000,SUBSTITUTE($A161," SS","  SS"))&gt;0,SUMIFS('Recirculation &gt; 24 hrs'!$K$2:$K$3000,'Recirculation &gt; 24 hrs'!$A$2:$A$3000,$K$2,'Recirculation &gt; 24 hrs'!$B$2:$B$3000,SUBSTITUTE($A161," SS","  SS")),"NA"))</f>
        <v>NA</v>
      </c>
      <c r="I161" s="81" t="n">
        <f aca="false">IF(COUNTIFS('Pending Putaway'!$A$2:$A$3000,$K$2,'Pending Putaway'!$B$2:$B$3000,$A161)&gt;0,SUMIFS('Pending Putaway'!$E$2:$E$3000,'Pending Putaway'!$A$2:$A$3000,$K$2,'Pending Putaway'!$B$2:$B$3000,$A161),IF(COUNTIFS('Pending Putaway'!$A$2:$A$3000,$K$2,'Pending Putaway'!$B$2:$B$3000,SUBSTITUTE($A161," SS","  SS"))&gt;0,SUMIFS('Pending Putaway'!$E$2:$E$3000,'Pending Putaway'!$A$2:$A$3000,$K$2,'Pending Putaway'!$B$2:$B$3000,SUBSTITUTE($A161," SS","  SS")),"NA"))</f>
        <v>0</v>
      </c>
      <c r="J161" s="81" t="n">
        <f aca="false">IF(COUNTIFS('Pending Putaway'!$A$2:$A$3000,$K$2,'Pending Putaway'!$B$2:$B$3000,$A161)&gt;0,SUMIFS('Pending Putaway'!$L$2:$L$3000,'Pending Putaway'!$A$2:$A$3000,$K$2,'Pending Putaway'!$B$2:$B$3000,$A161),IF(COUNTIFS('Pending Putaway'!$A$2:$A$3000,$K$2,'Pending Putaway'!$B$2:$B$3000,SUBSTITUTE($A161," SS","  SS"))&gt;0,SUMIFS('Pending Putaway'!$L$2:$L$3000,'Pending Putaway'!$A$2:$A$3000,$K$2,'Pending Putaway'!$B$2:$B$3000,SUBSTITUTE($A161," SS","  SS")),"NA"))</f>
        <v>0</v>
      </c>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row>
    <row r="162" customFormat="false" ht="15.75" hidden="false" customHeight="true" outlineLevel="0" collapsed="false">
      <c r="A162" s="81" t="s">
        <v>500</v>
      </c>
      <c r="B162" s="81" t="str">
        <f aca="false" t="array" ref="B162:B162">IFERROR(INDEX('CLM &amp; IM Mapping'!$B$2:$B$270,MATCH($A162,'CLM &amp; IM Mapping'!$A$2:$A$270,0)),"Not Mapped")</f>
        <v>Ravishankar gowda</v>
      </c>
      <c r="C162" s="81" t="str">
        <f aca="false" t="array" ref="C162:C162">IFERROR(INDEX('CLM &amp; IM Mapping'!$C$2:$C$270,MATCH($A162,'CLM &amp; IM Mapping'!$A$2:$A$270,0)),"Not Mapped")</f>
        <v>Kishor K</v>
      </c>
      <c r="D162" s="82" t="n">
        <f aca="false">IF(COUNTIFS(Shrinkage!$A$2:$A$3000,$K$2,Shrinkage!$D$2:$D$3000,$A162)&gt;0,SUMIFS(Shrinkage!$P$2:$P$3000,Shrinkage!$A$2:$A$3000,$K$2,Shrinkage!$D$2:$D$3000,$A162),IF(COUNTIFS(Shrinkage!$A$2:$A$3000,$K$2,Shrinkage!$D$2:$D$3000,SUBSTITUTE($A162," SS","  SS"))&gt;0,SUMIFS(Shrinkage!$P$2:$P$3000,Shrinkage!$A$2:$A$3000,$K$2,Shrinkage!$D$2:$D$3000,SUBSTITUTE($A162," SS","  SS")),"NA"))</f>
        <v>-16838</v>
      </c>
      <c r="E162" s="83" t="n">
        <f aca="false">IF(COUNTIFS('Inventory Hygiene'!$A$2:$A$3000,$K$2,'Inventory Hygiene'!$B$2:$B$3000,$A162)&gt;0,AVERAGEIFS('Inventory Hygiene'!$J$2:$J$3000,'Inventory Hygiene'!$A$2:$A$3000,$K$2,'Inventory Hygiene'!$B$2:$B$3000,$A162),IF(COUNTIFS('Inventory Hygiene'!$A$2:$A$3000,$K$2,'Inventory Hygiene'!$B$2:$B$3000,SUBSTITUTE($A162," SS","  SS"))&gt;0,AVERAGEIFS('Inventory Hygiene'!$J$2:$J$3000,'Inventory Hygiene'!$A$2:$A$3000,$K$2,'Inventory Hygiene'!$B$2:$B$3000,SUBSTITUTE($A162," SS","  SS")),"NA"))</f>
        <v>0.621654207861104</v>
      </c>
      <c r="F162" s="81" t="n">
        <f aca="false">IF(COUNTIFS('Bad Bins'!$A$2:$A$3000,$K$2,'Bad Bins'!$B$2:$B$3000,$A162)&gt;0,SUMIFS('Bad Bins'!$K$2:$K$3000,'Bad Bins'!$A$2:$A$3000,$K$2,'Bad Bins'!$B$2:$B$3000,$A162),IF(COUNTIFS('Bad Bins'!$A$2:$A$3000,$K$2,'Bad Bins'!$B$2:$B$3000,SUBSTITUTE($A162," SS","  SS"))&gt;0,SUMIFS('Bad Bins'!$K$2:$K$3000,'Bad Bins'!$A$2:$A$3000,$K$2,'Bad Bins'!$B$2:$B$3000,SUBSTITUTE($A162," SS","  SS")),"NA"))</f>
        <v>16</v>
      </c>
      <c r="G162" s="81" t="str">
        <f aca="false">IF(COUNTIFS('RSTO &gt; 48hrs'!$A$2:$A$3000,$K$2,'RSTO &gt; 48hrs'!$B$2:$B$3000,$A162)&gt;0,SUMIFS('RSTO &gt; 48hrs'!$H$2:$H$3000,'RSTO &gt; 48hrs'!$A$2:$A$3000,$K$2,'RSTO &gt; 48hrs'!$B$2:$B$3000,$A162),IF(COUNTIFS('RSTO &gt; 48hrs'!$A$2:$A$3000,$K$2,'RSTO &gt; 48hrs'!$B$2:$B$3000,SUBSTITUTE($A162," SS","  SS"))&gt;0,SUMIFS('RSTO &gt; 48hrs'!$H$2:$H$3000,'RSTO &gt; 48hrs'!$A$2:$A$3000,$K$2,'RSTO &gt; 48hrs'!$B$2:$B$3000,SUBSTITUTE($A162," SS","  SS")),"NA"))</f>
        <v>NA</v>
      </c>
      <c r="H162" s="81" t="str">
        <f aca="false">IF(COUNTIFS('Recirculation &gt; 24 hrs'!$A$2:$A$3000,$K$2,'Recirculation &gt; 24 hrs'!$B$2:$B$3000,$A162)&gt;0,SUMIFS('Recirculation &gt; 24 hrs'!$K$2:$K$3000,'Recirculation &gt; 24 hrs'!$A$2:$A$3000,$K$2,'Recirculation &gt; 24 hrs'!$B$2:$B$3000,$A162),IF(COUNTIFS('Recirculation &gt; 24 hrs'!$A$2:$A$3000,$K$2,'Recirculation &gt; 24 hrs'!$B$2:$B$3000,SUBSTITUTE($A162," SS","  SS"))&gt;0,SUMIFS('Recirculation &gt; 24 hrs'!$K$2:$K$3000,'Recirculation &gt; 24 hrs'!$A$2:$A$3000,$K$2,'Recirculation &gt; 24 hrs'!$B$2:$B$3000,SUBSTITUTE($A162," SS","  SS")),"NA"))</f>
        <v>NA</v>
      </c>
      <c r="I162" s="81" t="n">
        <f aca="false">IF(COUNTIFS('Pending Putaway'!$A$2:$A$3000,$K$2,'Pending Putaway'!$B$2:$B$3000,$A162)&gt;0,SUMIFS('Pending Putaway'!$E$2:$E$3000,'Pending Putaway'!$A$2:$A$3000,$K$2,'Pending Putaway'!$B$2:$B$3000,$A162),IF(COUNTIFS('Pending Putaway'!$A$2:$A$3000,$K$2,'Pending Putaway'!$B$2:$B$3000,SUBSTITUTE($A162," SS","  SS"))&gt;0,SUMIFS('Pending Putaway'!$E$2:$E$3000,'Pending Putaway'!$A$2:$A$3000,$K$2,'Pending Putaway'!$B$2:$B$3000,SUBSTITUTE($A162," SS","  SS")),"NA"))</f>
        <v>678</v>
      </c>
      <c r="J162" s="81" t="n">
        <f aca="false">IF(COUNTIFS('Pending Putaway'!$A$2:$A$3000,$K$2,'Pending Putaway'!$B$2:$B$3000,$A162)&gt;0,SUMIFS('Pending Putaway'!$L$2:$L$3000,'Pending Putaway'!$A$2:$A$3000,$K$2,'Pending Putaway'!$B$2:$B$3000,$A162),IF(COUNTIFS('Pending Putaway'!$A$2:$A$3000,$K$2,'Pending Putaway'!$B$2:$B$3000,SUBSTITUTE($A162," SS","  SS"))&gt;0,SUMIFS('Pending Putaway'!$L$2:$L$3000,'Pending Putaway'!$A$2:$A$3000,$K$2,'Pending Putaway'!$B$2:$B$3000,SUBSTITUTE($A162," SS","  SS")),"NA"))</f>
        <v>678</v>
      </c>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row>
    <row r="163" customFormat="false" ht="15.75" hidden="false" customHeight="true" outlineLevel="0" collapsed="false">
      <c r="A163" s="81" t="s">
        <v>298</v>
      </c>
      <c r="B163" s="81" t="str">
        <f aca="false" t="array" ref="B163:B163">IFERROR(INDEX('CLM &amp; IM Mapping'!$B$2:$B$270,MATCH($A163,'CLM &amp; IM Mapping'!$A$2:$A$270,0)),"Not Mapped")</f>
        <v>Ravishankar gowda</v>
      </c>
      <c r="C163" s="81" t="str">
        <f aca="false" t="array" ref="C163:C163">IFERROR(INDEX('CLM &amp; IM Mapping'!$C$2:$C$270,MATCH($A163,'CLM &amp; IM Mapping'!$A$2:$A$270,0)),"Not Mapped")</f>
        <v>Kishor K</v>
      </c>
      <c r="D163" s="82" t="n">
        <f aca="false">IF(COUNTIFS(Shrinkage!$A$2:$A$3000,$K$2,Shrinkage!$D$2:$D$3000,$A163)&gt;0,SUMIFS(Shrinkage!$P$2:$P$3000,Shrinkage!$A$2:$A$3000,$K$2,Shrinkage!$D$2:$D$3000,$A163),IF(COUNTIFS(Shrinkage!$A$2:$A$3000,$K$2,Shrinkage!$D$2:$D$3000,SUBSTITUTE($A163," SS","  SS"))&gt;0,SUMIFS(Shrinkage!$P$2:$P$3000,Shrinkage!$A$2:$A$3000,$K$2,Shrinkage!$D$2:$D$3000,SUBSTITUTE($A163," SS","  SS")),"NA"))</f>
        <v>3235</v>
      </c>
      <c r="E163" s="83" t="n">
        <f aca="false">IF(COUNTIFS('Inventory Hygiene'!$A$2:$A$3000,$K$2,'Inventory Hygiene'!$B$2:$B$3000,$A163)&gt;0,AVERAGEIFS('Inventory Hygiene'!$J$2:$J$3000,'Inventory Hygiene'!$A$2:$A$3000,$K$2,'Inventory Hygiene'!$B$2:$B$3000,$A163),IF(COUNTIFS('Inventory Hygiene'!$A$2:$A$3000,$K$2,'Inventory Hygiene'!$B$2:$B$3000,SUBSTITUTE($A163," SS","  SS"))&gt;0,AVERAGEIFS('Inventory Hygiene'!$J$2:$J$3000,'Inventory Hygiene'!$A$2:$A$3000,$K$2,'Inventory Hygiene'!$B$2:$B$3000,SUBSTITUTE($A163," SS","  SS")),"NA"))</f>
        <v>0.390806591500434</v>
      </c>
      <c r="F163" s="81" t="n">
        <f aca="false">IF(COUNTIFS('Bad Bins'!$A$2:$A$3000,$K$2,'Bad Bins'!$B$2:$B$3000,$A163)&gt;0,SUMIFS('Bad Bins'!$K$2:$K$3000,'Bad Bins'!$A$2:$A$3000,$K$2,'Bad Bins'!$B$2:$B$3000,$A163),IF(COUNTIFS('Bad Bins'!$A$2:$A$3000,$K$2,'Bad Bins'!$B$2:$B$3000,SUBSTITUTE($A163," SS","  SS"))&gt;0,SUMIFS('Bad Bins'!$K$2:$K$3000,'Bad Bins'!$A$2:$A$3000,$K$2,'Bad Bins'!$B$2:$B$3000,SUBSTITUTE($A163," SS","  SS")),"NA"))</f>
        <v>41</v>
      </c>
      <c r="G163" s="81" t="str">
        <f aca="false">IF(COUNTIFS('RSTO &gt; 48hrs'!$A$2:$A$3000,$K$2,'RSTO &gt; 48hrs'!$B$2:$B$3000,$A163)&gt;0,SUMIFS('RSTO &gt; 48hrs'!$H$2:$H$3000,'RSTO &gt; 48hrs'!$A$2:$A$3000,$K$2,'RSTO &gt; 48hrs'!$B$2:$B$3000,$A163),IF(COUNTIFS('RSTO &gt; 48hrs'!$A$2:$A$3000,$K$2,'RSTO &gt; 48hrs'!$B$2:$B$3000,SUBSTITUTE($A163," SS","  SS"))&gt;0,SUMIFS('RSTO &gt; 48hrs'!$H$2:$H$3000,'RSTO &gt; 48hrs'!$A$2:$A$3000,$K$2,'RSTO &gt; 48hrs'!$B$2:$B$3000,SUBSTITUTE($A163," SS","  SS")),"NA"))</f>
        <v>NA</v>
      </c>
      <c r="H163" s="81" t="str">
        <f aca="false">IF(COUNTIFS('Recirculation &gt; 24 hrs'!$A$2:$A$3000,$K$2,'Recirculation &gt; 24 hrs'!$B$2:$B$3000,$A163)&gt;0,SUMIFS('Recirculation &gt; 24 hrs'!$K$2:$K$3000,'Recirculation &gt; 24 hrs'!$A$2:$A$3000,$K$2,'Recirculation &gt; 24 hrs'!$B$2:$B$3000,$A163),IF(COUNTIFS('Recirculation &gt; 24 hrs'!$A$2:$A$3000,$K$2,'Recirculation &gt; 24 hrs'!$B$2:$B$3000,SUBSTITUTE($A163," SS","  SS"))&gt;0,SUMIFS('Recirculation &gt; 24 hrs'!$K$2:$K$3000,'Recirculation &gt; 24 hrs'!$A$2:$A$3000,$K$2,'Recirculation &gt; 24 hrs'!$B$2:$B$3000,SUBSTITUTE($A163," SS","  SS")),"NA"))</f>
        <v>NA</v>
      </c>
      <c r="I163" s="81" t="n">
        <f aca="false">IF(COUNTIFS('Pending Putaway'!$A$2:$A$3000,$K$2,'Pending Putaway'!$B$2:$B$3000,$A163)&gt;0,SUMIFS('Pending Putaway'!$E$2:$E$3000,'Pending Putaway'!$A$2:$A$3000,$K$2,'Pending Putaway'!$B$2:$B$3000,$A163),IF(COUNTIFS('Pending Putaway'!$A$2:$A$3000,$K$2,'Pending Putaway'!$B$2:$B$3000,SUBSTITUTE($A163," SS","  SS"))&gt;0,SUMIFS('Pending Putaway'!$E$2:$E$3000,'Pending Putaway'!$A$2:$A$3000,$K$2,'Pending Putaway'!$B$2:$B$3000,SUBSTITUTE($A163," SS","  SS")),"NA"))</f>
        <v>0</v>
      </c>
      <c r="J163" s="81" t="n">
        <f aca="false">IF(COUNTIFS('Pending Putaway'!$A$2:$A$3000,$K$2,'Pending Putaway'!$B$2:$B$3000,$A163)&gt;0,SUMIFS('Pending Putaway'!$L$2:$L$3000,'Pending Putaway'!$A$2:$A$3000,$K$2,'Pending Putaway'!$B$2:$B$3000,$A163),IF(COUNTIFS('Pending Putaway'!$A$2:$A$3000,$K$2,'Pending Putaway'!$B$2:$B$3000,SUBSTITUTE($A163," SS","  SS"))&gt;0,SUMIFS('Pending Putaway'!$L$2:$L$3000,'Pending Putaway'!$A$2:$A$3000,$K$2,'Pending Putaway'!$B$2:$B$3000,SUBSTITUTE($A163," SS","  SS")),"NA"))</f>
        <v>0</v>
      </c>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row>
    <row r="164" customFormat="false" ht="15.75" hidden="false" customHeight="true" outlineLevel="0" collapsed="false">
      <c r="A164" s="81" t="s">
        <v>396</v>
      </c>
      <c r="B164" s="81" t="str">
        <f aca="false" t="array" ref="B164:B164">IFERROR(INDEX('CLM &amp; IM Mapping'!$B$2:$B$270,MATCH($A164,'CLM &amp; IM Mapping'!$A$2:$A$270,0)),"Not Mapped")</f>
        <v>Ravishankar gowda</v>
      </c>
      <c r="C164" s="81" t="str">
        <f aca="false" t="array" ref="C164:C164">IFERROR(INDEX('CLM &amp; IM Mapping'!$C$2:$C$270,MATCH($A164,'CLM &amp; IM Mapping'!$A$2:$A$270,0)),"Not Mapped")</f>
        <v>Kishor K</v>
      </c>
      <c r="D164" s="82" t="n">
        <f aca="false">IF(COUNTIFS(Shrinkage!$A$2:$A$3000,$K$2,Shrinkage!$D$2:$D$3000,$A164)&gt;0,SUMIFS(Shrinkage!$P$2:$P$3000,Shrinkage!$A$2:$A$3000,$K$2,Shrinkage!$D$2:$D$3000,$A164),IF(COUNTIFS(Shrinkage!$A$2:$A$3000,$K$2,Shrinkage!$D$2:$D$3000,SUBSTITUTE($A164," SS","  SS"))&gt;0,SUMIFS(Shrinkage!$P$2:$P$3000,Shrinkage!$A$2:$A$3000,$K$2,Shrinkage!$D$2:$D$3000,SUBSTITUTE($A164," SS","  SS")),"NA"))</f>
        <v>-8873</v>
      </c>
      <c r="E164" s="83" t="n">
        <f aca="false">IF(COUNTIFS('Inventory Hygiene'!$A$2:$A$3000,$K$2,'Inventory Hygiene'!$B$2:$B$3000,$A164)&gt;0,AVERAGEIFS('Inventory Hygiene'!$J$2:$J$3000,'Inventory Hygiene'!$A$2:$A$3000,$K$2,'Inventory Hygiene'!$B$2:$B$3000,$A164),IF(COUNTIFS('Inventory Hygiene'!$A$2:$A$3000,$K$2,'Inventory Hygiene'!$B$2:$B$3000,SUBSTITUTE($A164," SS","  SS"))&gt;0,AVERAGEIFS('Inventory Hygiene'!$J$2:$J$3000,'Inventory Hygiene'!$A$2:$A$3000,$K$2,'Inventory Hygiene'!$B$2:$B$3000,SUBSTITUTE($A164," SS","  SS")),"NA"))</f>
        <v>0.837264551162396</v>
      </c>
      <c r="F164" s="81" t="n">
        <f aca="false">IF(COUNTIFS('Bad Bins'!$A$2:$A$3000,$K$2,'Bad Bins'!$B$2:$B$3000,$A164)&gt;0,SUMIFS('Bad Bins'!$K$2:$K$3000,'Bad Bins'!$A$2:$A$3000,$K$2,'Bad Bins'!$B$2:$B$3000,$A164),IF(COUNTIFS('Bad Bins'!$A$2:$A$3000,$K$2,'Bad Bins'!$B$2:$B$3000,SUBSTITUTE($A164," SS","  SS"))&gt;0,SUMIFS('Bad Bins'!$K$2:$K$3000,'Bad Bins'!$A$2:$A$3000,$K$2,'Bad Bins'!$B$2:$B$3000,SUBSTITUTE($A164," SS","  SS")),"NA"))</f>
        <v>196</v>
      </c>
      <c r="G164" s="81" t="str">
        <f aca="false">IF(COUNTIFS('RSTO &gt; 48hrs'!$A$2:$A$3000,$K$2,'RSTO &gt; 48hrs'!$B$2:$B$3000,$A164)&gt;0,SUMIFS('RSTO &gt; 48hrs'!$H$2:$H$3000,'RSTO &gt; 48hrs'!$A$2:$A$3000,$K$2,'RSTO &gt; 48hrs'!$B$2:$B$3000,$A164),IF(COUNTIFS('RSTO &gt; 48hrs'!$A$2:$A$3000,$K$2,'RSTO &gt; 48hrs'!$B$2:$B$3000,SUBSTITUTE($A164," SS","  SS"))&gt;0,SUMIFS('RSTO &gt; 48hrs'!$H$2:$H$3000,'RSTO &gt; 48hrs'!$A$2:$A$3000,$K$2,'RSTO &gt; 48hrs'!$B$2:$B$3000,SUBSTITUTE($A164," SS","  SS")),"NA"))</f>
        <v>NA</v>
      </c>
      <c r="H164" s="81" t="str">
        <f aca="false">IF(COUNTIFS('Recirculation &gt; 24 hrs'!$A$2:$A$3000,$K$2,'Recirculation &gt; 24 hrs'!$B$2:$B$3000,$A164)&gt;0,SUMIFS('Recirculation &gt; 24 hrs'!$K$2:$K$3000,'Recirculation &gt; 24 hrs'!$A$2:$A$3000,$K$2,'Recirculation &gt; 24 hrs'!$B$2:$B$3000,$A164),IF(COUNTIFS('Recirculation &gt; 24 hrs'!$A$2:$A$3000,$K$2,'Recirculation &gt; 24 hrs'!$B$2:$B$3000,SUBSTITUTE($A164," SS","  SS"))&gt;0,SUMIFS('Recirculation &gt; 24 hrs'!$K$2:$K$3000,'Recirculation &gt; 24 hrs'!$A$2:$A$3000,$K$2,'Recirculation &gt; 24 hrs'!$B$2:$B$3000,SUBSTITUTE($A164," SS","  SS")),"NA"))</f>
        <v>NA</v>
      </c>
      <c r="I164" s="81" t="n">
        <f aca="false">IF(COUNTIFS('Pending Putaway'!$A$2:$A$3000,$K$2,'Pending Putaway'!$B$2:$B$3000,$A164)&gt;0,SUMIFS('Pending Putaway'!$E$2:$E$3000,'Pending Putaway'!$A$2:$A$3000,$K$2,'Pending Putaway'!$B$2:$B$3000,$A164),IF(COUNTIFS('Pending Putaway'!$A$2:$A$3000,$K$2,'Pending Putaway'!$B$2:$B$3000,SUBSTITUTE($A164," SS","  SS"))&gt;0,SUMIFS('Pending Putaway'!$E$2:$E$3000,'Pending Putaway'!$A$2:$A$3000,$K$2,'Pending Putaway'!$B$2:$B$3000,SUBSTITUTE($A164," SS","  SS")),"NA"))</f>
        <v>1091</v>
      </c>
      <c r="J164" s="81" t="n">
        <f aca="false">IF(COUNTIFS('Pending Putaway'!$A$2:$A$3000,$K$2,'Pending Putaway'!$B$2:$B$3000,$A164)&gt;0,SUMIFS('Pending Putaway'!$L$2:$L$3000,'Pending Putaway'!$A$2:$A$3000,$K$2,'Pending Putaway'!$B$2:$B$3000,$A164),IF(COUNTIFS('Pending Putaway'!$A$2:$A$3000,$K$2,'Pending Putaway'!$B$2:$B$3000,SUBSTITUTE($A164," SS","  SS"))&gt;0,SUMIFS('Pending Putaway'!$L$2:$L$3000,'Pending Putaway'!$A$2:$A$3000,$K$2,'Pending Putaway'!$B$2:$B$3000,SUBSTITUTE($A164," SS","  SS")),"NA"))</f>
        <v>939</v>
      </c>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row>
    <row r="165" customFormat="false" ht="15.75" hidden="false" customHeight="true" outlineLevel="0" collapsed="false">
      <c r="A165" s="81" t="s">
        <v>508</v>
      </c>
      <c r="B165" s="81" t="str">
        <f aca="false" t="array" ref="B165:B165">IFERROR(INDEX('CLM &amp; IM Mapping'!$B$2:$B$270,MATCH($A165,'CLM &amp; IM Mapping'!$A$2:$A$270,0)),"Not Mapped")</f>
        <v>Ravishankar gowda</v>
      </c>
      <c r="C165" s="81" t="str">
        <f aca="false" t="array" ref="C165:C165">IFERROR(INDEX('CLM &amp; IM Mapping'!$C$2:$C$270,MATCH($A165,'CLM &amp; IM Mapping'!$A$2:$A$270,0)),"Not Mapped")</f>
        <v>Kishor K</v>
      </c>
      <c r="D165" s="82" t="n">
        <f aca="false">IF(COUNTIFS(Shrinkage!$A$2:$A$3000,$K$2,Shrinkage!$D$2:$D$3000,$A165)&gt;0,SUMIFS(Shrinkage!$P$2:$P$3000,Shrinkage!$A$2:$A$3000,$K$2,Shrinkage!$D$2:$D$3000,$A165),IF(COUNTIFS(Shrinkage!$A$2:$A$3000,$K$2,Shrinkage!$D$2:$D$3000,SUBSTITUTE($A165," SS","  SS"))&gt;0,SUMIFS(Shrinkage!$P$2:$P$3000,Shrinkage!$A$2:$A$3000,$K$2,Shrinkage!$D$2:$D$3000,SUBSTITUTE($A165," SS","  SS")),"NA"))</f>
        <v>-25086</v>
      </c>
      <c r="E165" s="83" t="n">
        <f aca="false">IF(COUNTIFS('Inventory Hygiene'!$A$2:$A$3000,$K$2,'Inventory Hygiene'!$B$2:$B$3000,$A165)&gt;0,AVERAGEIFS('Inventory Hygiene'!$J$2:$J$3000,'Inventory Hygiene'!$A$2:$A$3000,$K$2,'Inventory Hygiene'!$B$2:$B$3000,$A165),IF(COUNTIFS('Inventory Hygiene'!$A$2:$A$3000,$K$2,'Inventory Hygiene'!$B$2:$B$3000,SUBSTITUTE($A165," SS","  SS"))&gt;0,AVERAGEIFS('Inventory Hygiene'!$J$2:$J$3000,'Inventory Hygiene'!$A$2:$A$3000,$K$2,'Inventory Hygiene'!$B$2:$B$3000,SUBSTITUTE($A165," SS","  SS")),"NA"))</f>
        <v>0.961241461241461</v>
      </c>
      <c r="F165" s="81" t="n">
        <f aca="false">IF(COUNTIFS('Bad Bins'!$A$2:$A$3000,$K$2,'Bad Bins'!$B$2:$B$3000,$A165)&gt;0,SUMIFS('Bad Bins'!$K$2:$K$3000,'Bad Bins'!$A$2:$A$3000,$K$2,'Bad Bins'!$B$2:$B$3000,$A165),IF(COUNTIFS('Bad Bins'!$A$2:$A$3000,$K$2,'Bad Bins'!$B$2:$B$3000,SUBSTITUTE($A165," SS","  SS"))&gt;0,SUMIFS('Bad Bins'!$K$2:$K$3000,'Bad Bins'!$A$2:$A$3000,$K$2,'Bad Bins'!$B$2:$B$3000,SUBSTITUTE($A165," SS","  SS")),"NA"))</f>
        <v>140</v>
      </c>
      <c r="G165" s="81" t="str">
        <f aca="false">IF(COUNTIFS('RSTO &gt; 48hrs'!$A$2:$A$3000,$K$2,'RSTO &gt; 48hrs'!$B$2:$B$3000,$A165)&gt;0,SUMIFS('RSTO &gt; 48hrs'!$H$2:$H$3000,'RSTO &gt; 48hrs'!$A$2:$A$3000,$K$2,'RSTO &gt; 48hrs'!$B$2:$B$3000,$A165),IF(COUNTIFS('RSTO &gt; 48hrs'!$A$2:$A$3000,$K$2,'RSTO &gt; 48hrs'!$B$2:$B$3000,SUBSTITUTE($A165," SS","  SS"))&gt;0,SUMIFS('RSTO &gt; 48hrs'!$H$2:$H$3000,'RSTO &gt; 48hrs'!$A$2:$A$3000,$K$2,'RSTO &gt; 48hrs'!$B$2:$B$3000,SUBSTITUTE($A165," SS","  SS")),"NA"))</f>
        <v>NA</v>
      </c>
      <c r="H165" s="81" t="str">
        <f aca="false">IF(COUNTIFS('Recirculation &gt; 24 hrs'!$A$2:$A$3000,$K$2,'Recirculation &gt; 24 hrs'!$B$2:$B$3000,$A165)&gt;0,SUMIFS('Recirculation &gt; 24 hrs'!$K$2:$K$3000,'Recirculation &gt; 24 hrs'!$A$2:$A$3000,$K$2,'Recirculation &gt; 24 hrs'!$B$2:$B$3000,$A165),IF(COUNTIFS('Recirculation &gt; 24 hrs'!$A$2:$A$3000,$K$2,'Recirculation &gt; 24 hrs'!$B$2:$B$3000,SUBSTITUTE($A165," SS","  SS"))&gt;0,SUMIFS('Recirculation &gt; 24 hrs'!$K$2:$K$3000,'Recirculation &gt; 24 hrs'!$A$2:$A$3000,$K$2,'Recirculation &gt; 24 hrs'!$B$2:$B$3000,SUBSTITUTE($A165," SS","  SS")),"NA"))</f>
        <v>NA</v>
      </c>
      <c r="I165" s="81" t="n">
        <f aca="false">IF(COUNTIFS('Pending Putaway'!$A$2:$A$3000,$K$2,'Pending Putaway'!$B$2:$B$3000,$A165)&gt;0,SUMIFS('Pending Putaway'!$E$2:$E$3000,'Pending Putaway'!$A$2:$A$3000,$K$2,'Pending Putaway'!$B$2:$B$3000,$A165),IF(COUNTIFS('Pending Putaway'!$A$2:$A$3000,$K$2,'Pending Putaway'!$B$2:$B$3000,SUBSTITUTE($A165," SS","  SS"))&gt;0,SUMIFS('Pending Putaway'!$E$2:$E$3000,'Pending Putaway'!$A$2:$A$3000,$K$2,'Pending Putaway'!$B$2:$B$3000,SUBSTITUTE($A165," SS","  SS")),"NA"))</f>
        <v>7079</v>
      </c>
      <c r="J165" s="81" t="n">
        <f aca="false">IF(COUNTIFS('Pending Putaway'!$A$2:$A$3000,$K$2,'Pending Putaway'!$B$2:$B$3000,$A165)&gt;0,SUMIFS('Pending Putaway'!$L$2:$L$3000,'Pending Putaway'!$A$2:$A$3000,$K$2,'Pending Putaway'!$B$2:$B$3000,$A165),IF(COUNTIFS('Pending Putaway'!$A$2:$A$3000,$K$2,'Pending Putaway'!$B$2:$B$3000,SUBSTITUTE($A165," SS","  SS"))&gt;0,SUMIFS('Pending Putaway'!$L$2:$L$3000,'Pending Putaway'!$A$2:$A$3000,$K$2,'Pending Putaway'!$B$2:$B$3000,SUBSTITUTE($A165," SS","  SS")),"NA"))</f>
        <v>0</v>
      </c>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row>
    <row r="166" customFormat="false" ht="15.75" hidden="false" customHeight="true" outlineLevel="0" collapsed="false">
      <c r="A166" s="81" t="s">
        <v>408</v>
      </c>
      <c r="B166" s="81" t="str">
        <f aca="false" t="array" ref="B166:B166">IFERROR(INDEX('CLM &amp; IM Mapping'!$B$2:$B$270,MATCH($A166,'CLM &amp; IM Mapping'!$A$2:$A$270,0)),"Not Mapped")</f>
        <v>Ravishankar gowda</v>
      </c>
      <c r="C166" s="81" t="str">
        <f aca="false" t="array" ref="C166:C166">IFERROR(INDEX('CLM &amp; IM Mapping'!$C$2:$C$270,MATCH($A166,'CLM &amp; IM Mapping'!$A$2:$A$270,0)),"Not Mapped")</f>
        <v>Kishor K</v>
      </c>
      <c r="D166" s="82" t="n">
        <f aca="false">IF(COUNTIFS(Shrinkage!$A$2:$A$3000,$K$2,Shrinkage!$D$2:$D$3000,$A166)&gt;0,SUMIFS(Shrinkage!$P$2:$P$3000,Shrinkage!$A$2:$A$3000,$K$2,Shrinkage!$D$2:$D$3000,$A166),IF(COUNTIFS(Shrinkage!$A$2:$A$3000,$K$2,Shrinkage!$D$2:$D$3000,SUBSTITUTE($A166," SS","  SS"))&gt;0,SUMIFS(Shrinkage!$P$2:$P$3000,Shrinkage!$A$2:$A$3000,$K$2,Shrinkage!$D$2:$D$3000,SUBSTITUTE($A166," SS","  SS")),"NA"))</f>
        <v>1018</v>
      </c>
      <c r="E166" s="83" t="n">
        <f aca="false">IF(COUNTIFS('Inventory Hygiene'!$A$2:$A$3000,$K$2,'Inventory Hygiene'!$B$2:$B$3000,$A166)&gt;0,AVERAGEIFS('Inventory Hygiene'!$J$2:$J$3000,'Inventory Hygiene'!$A$2:$A$3000,$K$2,'Inventory Hygiene'!$B$2:$B$3000,$A166),IF(COUNTIFS('Inventory Hygiene'!$A$2:$A$3000,$K$2,'Inventory Hygiene'!$B$2:$B$3000,SUBSTITUTE($A166," SS","  SS"))&gt;0,AVERAGEIFS('Inventory Hygiene'!$J$2:$J$3000,'Inventory Hygiene'!$A$2:$A$3000,$K$2,'Inventory Hygiene'!$B$2:$B$3000,SUBSTITUTE($A166," SS","  SS")),"NA"))</f>
        <v>0.403557898204579</v>
      </c>
      <c r="F166" s="81" t="n">
        <f aca="false">IF(COUNTIFS('Bad Bins'!$A$2:$A$3000,$K$2,'Bad Bins'!$B$2:$B$3000,$A166)&gt;0,SUMIFS('Bad Bins'!$K$2:$K$3000,'Bad Bins'!$A$2:$A$3000,$K$2,'Bad Bins'!$B$2:$B$3000,$A166),IF(COUNTIFS('Bad Bins'!$A$2:$A$3000,$K$2,'Bad Bins'!$B$2:$B$3000,SUBSTITUTE($A166," SS","  SS"))&gt;0,SUMIFS('Bad Bins'!$K$2:$K$3000,'Bad Bins'!$A$2:$A$3000,$K$2,'Bad Bins'!$B$2:$B$3000,SUBSTITUTE($A166," SS","  SS")),"NA"))</f>
        <v>87</v>
      </c>
      <c r="G166" s="81" t="str">
        <f aca="false">IF(COUNTIFS('RSTO &gt; 48hrs'!$A$2:$A$3000,$K$2,'RSTO &gt; 48hrs'!$B$2:$B$3000,$A166)&gt;0,SUMIFS('RSTO &gt; 48hrs'!$H$2:$H$3000,'RSTO &gt; 48hrs'!$A$2:$A$3000,$K$2,'RSTO &gt; 48hrs'!$B$2:$B$3000,$A166),IF(COUNTIFS('RSTO &gt; 48hrs'!$A$2:$A$3000,$K$2,'RSTO &gt; 48hrs'!$B$2:$B$3000,SUBSTITUTE($A166," SS","  SS"))&gt;0,SUMIFS('RSTO &gt; 48hrs'!$H$2:$H$3000,'RSTO &gt; 48hrs'!$A$2:$A$3000,$K$2,'RSTO &gt; 48hrs'!$B$2:$B$3000,SUBSTITUTE($A166," SS","  SS")),"NA"))</f>
        <v>NA</v>
      </c>
      <c r="H166" s="81" t="str">
        <f aca="false">IF(COUNTIFS('Recirculation &gt; 24 hrs'!$A$2:$A$3000,$K$2,'Recirculation &gt; 24 hrs'!$B$2:$B$3000,$A166)&gt;0,SUMIFS('Recirculation &gt; 24 hrs'!$K$2:$K$3000,'Recirculation &gt; 24 hrs'!$A$2:$A$3000,$K$2,'Recirculation &gt; 24 hrs'!$B$2:$B$3000,$A166),IF(COUNTIFS('Recirculation &gt; 24 hrs'!$A$2:$A$3000,$K$2,'Recirculation &gt; 24 hrs'!$B$2:$B$3000,SUBSTITUTE($A166," SS","  SS"))&gt;0,SUMIFS('Recirculation &gt; 24 hrs'!$K$2:$K$3000,'Recirculation &gt; 24 hrs'!$A$2:$A$3000,$K$2,'Recirculation &gt; 24 hrs'!$B$2:$B$3000,SUBSTITUTE($A166," SS","  SS")),"NA"))</f>
        <v>NA</v>
      </c>
      <c r="I166" s="81" t="n">
        <f aca="false">IF(COUNTIFS('Pending Putaway'!$A$2:$A$3000,$K$2,'Pending Putaway'!$B$2:$B$3000,$A166)&gt;0,SUMIFS('Pending Putaway'!$E$2:$E$3000,'Pending Putaway'!$A$2:$A$3000,$K$2,'Pending Putaway'!$B$2:$B$3000,$A166),IF(COUNTIFS('Pending Putaway'!$A$2:$A$3000,$K$2,'Pending Putaway'!$B$2:$B$3000,SUBSTITUTE($A166," SS","  SS"))&gt;0,SUMIFS('Pending Putaway'!$E$2:$E$3000,'Pending Putaway'!$A$2:$A$3000,$K$2,'Pending Putaway'!$B$2:$B$3000,SUBSTITUTE($A166," SS","  SS")),"NA"))</f>
        <v>2</v>
      </c>
      <c r="J166" s="81" t="n">
        <f aca="false">IF(COUNTIFS('Pending Putaway'!$A$2:$A$3000,$K$2,'Pending Putaway'!$B$2:$B$3000,$A166)&gt;0,SUMIFS('Pending Putaway'!$L$2:$L$3000,'Pending Putaway'!$A$2:$A$3000,$K$2,'Pending Putaway'!$B$2:$B$3000,$A166),IF(COUNTIFS('Pending Putaway'!$A$2:$A$3000,$K$2,'Pending Putaway'!$B$2:$B$3000,SUBSTITUTE($A166," SS","  SS"))&gt;0,SUMIFS('Pending Putaway'!$L$2:$L$3000,'Pending Putaway'!$A$2:$A$3000,$K$2,'Pending Putaway'!$B$2:$B$3000,SUBSTITUTE($A166," SS","  SS")),"NA"))</f>
        <v>0</v>
      </c>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row>
    <row r="167" customFormat="false" ht="15.75" hidden="false" customHeight="true" outlineLevel="0" collapsed="false">
      <c r="A167" s="81" t="s">
        <v>420</v>
      </c>
      <c r="B167" s="81" t="str">
        <f aca="false" t="array" ref="B167:B167">IFERROR(INDEX('CLM &amp; IM Mapping'!$B$2:$B$270,MATCH($A167,'CLM &amp; IM Mapping'!$A$2:$A$270,0)),"Not Mapped")</f>
        <v>Ravishankar gowda</v>
      </c>
      <c r="C167" s="81" t="str">
        <f aca="false" t="array" ref="C167:C167">IFERROR(INDEX('CLM &amp; IM Mapping'!$C$2:$C$270,MATCH($A167,'CLM &amp; IM Mapping'!$A$2:$A$270,0)),"Not Mapped")</f>
        <v>Kishor K</v>
      </c>
      <c r="D167" s="82" t="n">
        <f aca="false">IF(COUNTIFS(Shrinkage!$A$2:$A$3000,$K$2,Shrinkage!$D$2:$D$3000,$A167)&gt;0,SUMIFS(Shrinkage!$P$2:$P$3000,Shrinkage!$A$2:$A$3000,$K$2,Shrinkage!$D$2:$D$3000,$A167),IF(COUNTIFS(Shrinkage!$A$2:$A$3000,$K$2,Shrinkage!$D$2:$D$3000,SUBSTITUTE($A167," SS","  SS"))&gt;0,SUMIFS(Shrinkage!$P$2:$P$3000,Shrinkage!$A$2:$A$3000,$K$2,Shrinkage!$D$2:$D$3000,SUBSTITUTE($A167," SS","  SS")),"NA"))</f>
        <v>-17095</v>
      </c>
      <c r="E167" s="83" t="n">
        <f aca="false">IF(COUNTIFS('Inventory Hygiene'!$A$2:$A$3000,$K$2,'Inventory Hygiene'!$B$2:$B$3000,$A167)&gt;0,AVERAGEIFS('Inventory Hygiene'!$J$2:$J$3000,'Inventory Hygiene'!$A$2:$A$3000,$K$2,'Inventory Hygiene'!$B$2:$B$3000,$A167),IF(COUNTIFS('Inventory Hygiene'!$A$2:$A$3000,$K$2,'Inventory Hygiene'!$B$2:$B$3000,SUBSTITUTE($A167," SS","  SS"))&gt;0,AVERAGEIFS('Inventory Hygiene'!$J$2:$J$3000,'Inventory Hygiene'!$A$2:$A$3000,$K$2,'Inventory Hygiene'!$B$2:$B$3000,SUBSTITUTE($A167," SS","  SS")),"NA"))</f>
        <v>0.857282343368592</v>
      </c>
      <c r="F167" s="81" t="n">
        <f aca="false">IF(COUNTIFS('Bad Bins'!$A$2:$A$3000,$K$2,'Bad Bins'!$B$2:$B$3000,$A167)&gt;0,SUMIFS('Bad Bins'!$K$2:$K$3000,'Bad Bins'!$A$2:$A$3000,$K$2,'Bad Bins'!$B$2:$B$3000,$A167),IF(COUNTIFS('Bad Bins'!$A$2:$A$3000,$K$2,'Bad Bins'!$B$2:$B$3000,SUBSTITUTE($A167," SS","  SS"))&gt;0,SUMIFS('Bad Bins'!$K$2:$K$3000,'Bad Bins'!$A$2:$A$3000,$K$2,'Bad Bins'!$B$2:$B$3000,SUBSTITUTE($A167," SS","  SS")),"NA"))</f>
        <v>106</v>
      </c>
      <c r="G167" s="81" t="str">
        <f aca="false">IF(COUNTIFS('RSTO &gt; 48hrs'!$A$2:$A$3000,$K$2,'RSTO &gt; 48hrs'!$B$2:$B$3000,$A167)&gt;0,SUMIFS('RSTO &gt; 48hrs'!$H$2:$H$3000,'RSTO &gt; 48hrs'!$A$2:$A$3000,$K$2,'RSTO &gt; 48hrs'!$B$2:$B$3000,$A167),IF(COUNTIFS('RSTO &gt; 48hrs'!$A$2:$A$3000,$K$2,'RSTO &gt; 48hrs'!$B$2:$B$3000,SUBSTITUTE($A167," SS","  SS"))&gt;0,SUMIFS('RSTO &gt; 48hrs'!$H$2:$H$3000,'RSTO &gt; 48hrs'!$A$2:$A$3000,$K$2,'RSTO &gt; 48hrs'!$B$2:$B$3000,SUBSTITUTE($A167," SS","  SS")),"NA"))</f>
        <v>NA</v>
      </c>
      <c r="H167" s="81" t="str">
        <f aca="false">IF(COUNTIFS('Recirculation &gt; 24 hrs'!$A$2:$A$3000,$K$2,'Recirculation &gt; 24 hrs'!$B$2:$B$3000,$A167)&gt;0,SUMIFS('Recirculation &gt; 24 hrs'!$K$2:$K$3000,'Recirculation &gt; 24 hrs'!$A$2:$A$3000,$K$2,'Recirculation &gt; 24 hrs'!$B$2:$B$3000,$A167),IF(COUNTIFS('Recirculation &gt; 24 hrs'!$A$2:$A$3000,$K$2,'Recirculation &gt; 24 hrs'!$B$2:$B$3000,SUBSTITUTE($A167," SS","  SS"))&gt;0,SUMIFS('Recirculation &gt; 24 hrs'!$K$2:$K$3000,'Recirculation &gt; 24 hrs'!$A$2:$A$3000,$K$2,'Recirculation &gt; 24 hrs'!$B$2:$B$3000,SUBSTITUTE($A167," SS","  SS")),"NA"))</f>
        <v>NA</v>
      </c>
      <c r="I167" s="81" t="n">
        <f aca="false">IF(COUNTIFS('Pending Putaway'!$A$2:$A$3000,$K$2,'Pending Putaway'!$B$2:$B$3000,$A167)&gt;0,SUMIFS('Pending Putaway'!$E$2:$E$3000,'Pending Putaway'!$A$2:$A$3000,$K$2,'Pending Putaway'!$B$2:$B$3000,$A167),IF(COUNTIFS('Pending Putaway'!$A$2:$A$3000,$K$2,'Pending Putaway'!$B$2:$B$3000,SUBSTITUTE($A167," SS","  SS"))&gt;0,SUMIFS('Pending Putaway'!$E$2:$E$3000,'Pending Putaway'!$A$2:$A$3000,$K$2,'Pending Putaway'!$B$2:$B$3000,SUBSTITUTE($A167," SS","  SS")),"NA"))</f>
        <v>995</v>
      </c>
      <c r="J167" s="81" t="n">
        <f aca="false">IF(COUNTIFS('Pending Putaway'!$A$2:$A$3000,$K$2,'Pending Putaway'!$B$2:$B$3000,$A167)&gt;0,SUMIFS('Pending Putaway'!$L$2:$L$3000,'Pending Putaway'!$A$2:$A$3000,$K$2,'Pending Putaway'!$B$2:$B$3000,$A167),IF(COUNTIFS('Pending Putaway'!$A$2:$A$3000,$K$2,'Pending Putaway'!$B$2:$B$3000,SUBSTITUTE($A167," SS","  SS"))&gt;0,SUMIFS('Pending Putaway'!$L$2:$L$3000,'Pending Putaway'!$A$2:$A$3000,$K$2,'Pending Putaway'!$B$2:$B$3000,SUBSTITUTE($A167," SS","  SS")),"NA"))</f>
        <v>0</v>
      </c>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row>
    <row r="168" customFormat="false" ht="15.75" hidden="false" customHeight="true" outlineLevel="0" collapsed="false">
      <c r="A168" s="81" t="s">
        <v>262</v>
      </c>
      <c r="B168" s="81" t="str">
        <f aca="false" t="array" ref="B168:B168">IFERROR(INDEX('CLM &amp; IM Mapping'!$B$2:$B$270,MATCH($A168,'CLM &amp; IM Mapping'!$A$2:$A$270,0)),"Not Mapped")</f>
        <v>Majid Kakatikar</v>
      </c>
      <c r="C168" s="81" t="str">
        <f aca="false" t="array" ref="C168:C168">IFERROR(INDEX('CLM &amp; IM Mapping'!$C$2:$C$270,MATCH($A168,'CLM &amp; IM Mapping'!$A$2:$A$270,0)),"Not Mapped")</f>
        <v>Kishor K</v>
      </c>
      <c r="D168" s="82" t="n">
        <f aca="false">IF(COUNTIFS(Shrinkage!$A$2:$A$3000,$K$2,Shrinkage!$D$2:$D$3000,$A168)&gt;0,SUMIFS(Shrinkage!$P$2:$P$3000,Shrinkage!$A$2:$A$3000,$K$2,Shrinkage!$D$2:$D$3000,$A168),IF(COUNTIFS(Shrinkage!$A$2:$A$3000,$K$2,Shrinkage!$D$2:$D$3000,SUBSTITUTE($A168," SS","  SS"))&gt;0,SUMIFS(Shrinkage!$P$2:$P$3000,Shrinkage!$A$2:$A$3000,$K$2,Shrinkage!$D$2:$D$3000,SUBSTITUTE($A168," SS","  SS")),"NA"))</f>
        <v>1947</v>
      </c>
      <c r="E168" s="83" t="n">
        <f aca="false">IF(COUNTIFS('Inventory Hygiene'!$A$2:$A$3000,$K$2,'Inventory Hygiene'!$B$2:$B$3000,$A168)&gt;0,AVERAGEIFS('Inventory Hygiene'!$J$2:$J$3000,'Inventory Hygiene'!$A$2:$A$3000,$K$2,'Inventory Hygiene'!$B$2:$B$3000,$A168),IF(COUNTIFS('Inventory Hygiene'!$A$2:$A$3000,$K$2,'Inventory Hygiene'!$B$2:$B$3000,SUBSTITUTE($A168," SS","  SS"))&gt;0,AVERAGEIFS('Inventory Hygiene'!$J$2:$J$3000,'Inventory Hygiene'!$A$2:$A$3000,$K$2,'Inventory Hygiene'!$B$2:$B$3000,SUBSTITUTE($A168," SS","  SS")),"NA"))</f>
        <v>0.529885731028421</v>
      </c>
      <c r="F168" s="81" t="n">
        <f aca="false">IF(COUNTIFS('Bad Bins'!$A$2:$A$3000,$K$2,'Bad Bins'!$B$2:$B$3000,$A168)&gt;0,SUMIFS('Bad Bins'!$K$2:$K$3000,'Bad Bins'!$A$2:$A$3000,$K$2,'Bad Bins'!$B$2:$B$3000,$A168),IF(COUNTIFS('Bad Bins'!$A$2:$A$3000,$K$2,'Bad Bins'!$B$2:$B$3000,SUBSTITUTE($A168," SS","  SS"))&gt;0,SUMIFS('Bad Bins'!$K$2:$K$3000,'Bad Bins'!$A$2:$A$3000,$K$2,'Bad Bins'!$B$2:$B$3000,SUBSTITUTE($A168," SS","  SS")),"NA"))</f>
        <v>120</v>
      </c>
      <c r="G168" s="81" t="str">
        <f aca="false">IF(COUNTIFS('RSTO &gt; 48hrs'!$A$2:$A$3000,$K$2,'RSTO &gt; 48hrs'!$B$2:$B$3000,$A168)&gt;0,SUMIFS('RSTO &gt; 48hrs'!$H$2:$H$3000,'RSTO &gt; 48hrs'!$A$2:$A$3000,$K$2,'RSTO &gt; 48hrs'!$B$2:$B$3000,$A168),IF(COUNTIFS('RSTO &gt; 48hrs'!$A$2:$A$3000,$K$2,'RSTO &gt; 48hrs'!$B$2:$B$3000,SUBSTITUTE($A168," SS","  SS"))&gt;0,SUMIFS('RSTO &gt; 48hrs'!$H$2:$H$3000,'RSTO &gt; 48hrs'!$A$2:$A$3000,$K$2,'RSTO &gt; 48hrs'!$B$2:$B$3000,SUBSTITUTE($A168," SS","  SS")),"NA"))</f>
        <v>NA</v>
      </c>
      <c r="H168" s="81" t="str">
        <f aca="false">IF(COUNTIFS('Recirculation &gt; 24 hrs'!$A$2:$A$3000,$K$2,'Recirculation &gt; 24 hrs'!$B$2:$B$3000,$A168)&gt;0,SUMIFS('Recirculation &gt; 24 hrs'!$K$2:$K$3000,'Recirculation &gt; 24 hrs'!$A$2:$A$3000,$K$2,'Recirculation &gt; 24 hrs'!$B$2:$B$3000,$A168),IF(COUNTIFS('Recirculation &gt; 24 hrs'!$A$2:$A$3000,$K$2,'Recirculation &gt; 24 hrs'!$B$2:$B$3000,SUBSTITUTE($A168," SS","  SS"))&gt;0,SUMIFS('Recirculation &gt; 24 hrs'!$K$2:$K$3000,'Recirculation &gt; 24 hrs'!$A$2:$A$3000,$K$2,'Recirculation &gt; 24 hrs'!$B$2:$B$3000,SUBSTITUTE($A168," SS","  SS")),"NA"))</f>
        <v>NA</v>
      </c>
      <c r="I168" s="81" t="n">
        <f aca="false">IF(COUNTIFS('Pending Putaway'!$A$2:$A$3000,$K$2,'Pending Putaway'!$B$2:$B$3000,$A168)&gt;0,SUMIFS('Pending Putaway'!$E$2:$E$3000,'Pending Putaway'!$A$2:$A$3000,$K$2,'Pending Putaway'!$B$2:$B$3000,$A168),IF(COUNTIFS('Pending Putaway'!$A$2:$A$3000,$K$2,'Pending Putaway'!$B$2:$B$3000,SUBSTITUTE($A168," SS","  SS"))&gt;0,SUMIFS('Pending Putaway'!$E$2:$E$3000,'Pending Putaway'!$A$2:$A$3000,$K$2,'Pending Putaway'!$B$2:$B$3000,SUBSTITUTE($A168," SS","  SS")),"NA"))</f>
        <v>2185</v>
      </c>
      <c r="J168" s="81" t="n">
        <f aca="false">IF(COUNTIFS('Pending Putaway'!$A$2:$A$3000,$K$2,'Pending Putaway'!$B$2:$B$3000,$A168)&gt;0,SUMIFS('Pending Putaway'!$L$2:$L$3000,'Pending Putaway'!$A$2:$A$3000,$K$2,'Pending Putaway'!$B$2:$B$3000,$A168),IF(COUNTIFS('Pending Putaway'!$A$2:$A$3000,$K$2,'Pending Putaway'!$B$2:$B$3000,SUBSTITUTE($A168," SS","  SS"))&gt;0,SUMIFS('Pending Putaway'!$L$2:$L$3000,'Pending Putaway'!$A$2:$A$3000,$K$2,'Pending Putaway'!$B$2:$B$3000,SUBSTITUTE($A168," SS","  SS")),"NA"))</f>
        <v>0</v>
      </c>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row>
    <row r="169" customFormat="false" ht="15.75" hidden="false" customHeight="true" outlineLevel="0" collapsed="false">
      <c r="A169" s="81" t="s">
        <v>373</v>
      </c>
      <c r="B169" s="81" t="str">
        <f aca="false" t="array" ref="B169:B169">IFERROR(INDEX('CLM &amp; IM Mapping'!$B$2:$B$270,MATCH($A169,'CLM &amp; IM Mapping'!$A$2:$A$270,0)),"Not Mapped")</f>
        <v>Majid Kakatikar</v>
      </c>
      <c r="C169" s="81" t="str">
        <f aca="false" t="array" ref="C169:C169">IFERROR(INDEX('CLM &amp; IM Mapping'!$C$2:$C$270,MATCH($A169,'CLM &amp; IM Mapping'!$A$2:$A$270,0)),"Not Mapped")</f>
        <v>Kishor K</v>
      </c>
      <c r="D169" s="82" t="n">
        <f aca="false">IF(COUNTIFS(Shrinkage!$A$2:$A$3000,$K$2,Shrinkage!$D$2:$D$3000,$A169)&gt;0,SUMIFS(Shrinkage!$P$2:$P$3000,Shrinkage!$A$2:$A$3000,$K$2,Shrinkage!$D$2:$D$3000,$A169),IF(COUNTIFS(Shrinkage!$A$2:$A$3000,$K$2,Shrinkage!$D$2:$D$3000,SUBSTITUTE($A169," SS","  SS"))&gt;0,SUMIFS(Shrinkage!$P$2:$P$3000,Shrinkage!$A$2:$A$3000,$K$2,Shrinkage!$D$2:$D$3000,SUBSTITUTE($A169," SS","  SS")),"NA"))</f>
        <v>467</v>
      </c>
      <c r="E169" s="83" t="n">
        <f aca="false">IF(COUNTIFS('Inventory Hygiene'!$A$2:$A$3000,$K$2,'Inventory Hygiene'!$B$2:$B$3000,$A169)&gt;0,AVERAGEIFS('Inventory Hygiene'!$J$2:$J$3000,'Inventory Hygiene'!$A$2:$A$3000,$K$2,'Inventory Hygiene'!$B$2:$B$3000,$A169),IF(COUNTIFS('Inventory Hygiene'!$A$2:$A$3000,$K$2,'Inventory Hygiene'!$B$2:$B$3000,SUBSTITUTE($A169," SS","  SS"))&gt;0,AVERAGEIFS('Inventory Hygiene'!$J$2:$J$3000,'Inventory Hygiene'!$A$2:$A$3000,$K$2,'Inventory Hygiene'!$B$2:$B$3000,SUBSTITUTE($A169," SS","  SS")),"NA"))</f>
        <v>0.7976171046189</v>
      </c>
      <c r="F169" s="81" t="n">
        <f aca="false">IF(COUNTIFS('Bad Bins'!$A$2:$A$3000,$K$2,'Bad Bins'!$B$2:$B$3000,$A169)&gt;0,SUMIFS('Bad Bins'!$K$2:$K$3000,'Bad Bins'!$A$2:$A$3000,$K$2,'Bad Bins'!$B$2:$B$3000,$A169),IF(COUNTIFS('Bad Bins'!$A$2:$A$3000,$K$2,'Bad Bins'!$B$2:$B$3000,SUBSTITUTE($A169," SS","  SS"))&gt;0,SUMIFS('Bad Bins'!$K$2:$K$3000,'Bad Bins'!$A$2:$A$3000,$K$2,'Bad Bins'!$B$2:$B$3000,SUBSTITUTE($A169," SS","  SS")),"NA"))</f>
        <v>84</v>
      </c>
      <c r="G169" s="81" t="str">
        <f aca="false">IF(COUNTIFS('RSTO &gt; 48hrs'!$A$2:$A$3000,$K$2,'RSTO &gt; 48hrs'!$B$2:$B$3000,$A169)&gt;0,SUMIFS('RSTO &gt; 48hrs'!$H$2:$H$3000,'RSTO &gt; 48hrs'!$A$2:$A$3000,$K$2,'RSTO &gt; 48hrs'!$B$2:$B$3000,$A169),IF(COUNTIFS('RSTO &gt; 48hrs'!$A$2:$A$3000,$K$2,'RSTO &gt; 48hrs'!$B$2:$B$3000,SUBSTITUTE($A169," SS","  SS"))&gt;0,SUMIFS('RSTO &gt; 48hrs'!$H$2:$H$3000,'RSTO &gt; 48hrs'!$A$2:$A$3000,$K$2,'RSTO &gt; 48hrs'!$B$2:$B$3000,SUBSTITUTE($A169," SS","  SS")),"NA"))</f>
        <v>NA</v>
      </c>
      <c r="H169" s="81" t="str">
        <f aca="false">IF(COUNTIFS('Recirculation &gt; 24 hrs'!$A$2:$A$3000,$K$2,'Recirculation &gt; 24 hrs'!$B$2:$B$3000,$A169)&gt;0,SUMIFS('Recirculation &gt; 24 hrs'!$K$2:$K$3000,'Recirculation &gt; 24 hrs'!$A$2:$A$3000,$K$2,'Recirculation &gt; 24 hrs'!$B$2:$B$3000,$A169),IF(COUNTIFS('Recirculation &gt; 24 hrs'!$A$2:$A$3000,$K$2,'Recirculation &gt; 24 hrs'!$B$2:$B$3000,SUBSTITUTE($A169," SS","  SS"))&gt;0,SUMIFS('Recirculation &gt; 24 hrs'!$K$2:$K$3000,'Recirculation &gt; 24 hrs'!$A$2:$A$3000,$K$2,'Recirculation &gt; 24 hrs'!$B$2:$B$3000,SUBSTITUTE($A169," SS","  SS")),"NA"))</f>
        <v>NA</v>
      </c>
      <c r="I169" s="81" t="n">
        <f aca="false">IF(COUNTIFS('Pending Putaway'!$A$2:$A$3000,$K$2,'Pending Putaway'!$B$2:$B$3000,$A169)&gt;0,SUMIFS('Pending Putaway'!$E$2:$E$3000,'Pending Putaway'!$A$2:$A$3000,$K$2,'Pending Putaway'!$B$2:$B$3000,$A169),IF(COUNTIFS('Pending Putaway'!$A$2:$A$3000,$K$2,'Pending Putaway'!$B$2:$B$3000,SUBSTITUTE($A169," SS","  SS"))&gt;0,SUMIFS('Pending Putaway'!$E$2:$E$3000,'Pending Putaway'!$A$2:$A$3000,$K$2,'Pending Putaway'!$B$2:$B$3000,SUBSTITUTE($A169," SS","  SS")),"NA"))</f>
        <v>0</v>
      </c>
      <c r="J169" s="81" t="n">
        <f aca="false">IF(COUNTIFS('Pending Putaway'!$A$2:$A$3000,$K$2,'Pending Putaway'!$B$2:$B$3000,$A169)&gt;0,SUMIFS('Pending Putaway'!$L$2:$L$3000,'Pending Putaway'!$A$2:$A$3000,$K$2,'Pending Putaway'!$B$2:$B$3000,$A169),IF(COUNTIFS('Pending Putaway'!$A$2:$A$3000,$K$2,'Pending Putaway'!$B$2:$B$3000,SUBSTITUTE($A169," SS","  SS"))&gt;0,SUMIFS('Pending Putaway'!$L$2:$L$3000,'Pending Putaway'!$A$2:$A$3000,$K$2,'Pending Putaway'!$B$2:$B$3000,SUBSTITUTE($A169," SS","  SS")),"NA"))</f>
        <v>0</v>
      </c>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row>
    <row r="170" customFormat="false" ht="15.75" hidden="false" customHeight="true" outlineLevel="0" collapsed="false">
      <c r="A170" s="81" t="s">
        <v>73</v>
      </c>
      <c r="B170" s="81" t="str">
        <f aca="false" t="array" ref="B170:B170">IFERROR(INDEX('CLM &amp; IM Mapping'!$B$2:$B$270,MATCH($A170,'CLM &amp; IM Mapping'!$A$2:$A$270,0)),"Not Mapped")</f>
        <v>Narasimhamurthy R</v>
      </c>
      <c r="C170" s="81" t="str">
        <f aca="false" t="array" ref="C170:C170">IFERROR(INDEX('CLM &amp; IM Mapping'!$C$2:$C$270,MATCH($A170,'CLM &amp; IM Mapping'!$A$2:$A$270,0)),"Not Mapped")</f>
        <v>Kishor K</v>
      </c>
      <c r="D170" s="82" t="n">
        <f aca="false">IF(COUNTIFS(Shrinkage!$A$2:$A$3000,$K$2,Shrinkage!$D$2:$D$3000,$A170)&gt;0,SUMIFS(Shrinkage!$P$2:$P$3000,Shrinkage!$A$2:$A$3000,$K$2,Shrinkage!$D$2:$D$3000,$A170),IF(COUNTIFS(Shrinkage!$A$2:$A$3000,$K$2,Shrinkage!$D$2:$D$3000,SUBSTITUTE($A170," SS","  SS"))&gt;0,SUMIFS(Shrinkage!$P$2:$P$3000,Shrinkage!$A$2:$A$3000,$K$2,Shrinkage!$D$2:$D$3000,SUBSTITUTE($A170," SS","  SS")),"NA"))</f>
        <v>50673</v>
      </c>
      <c r="E170" s="83" t="n">
        <f aca="false">IF(COUNTIFS('Inventory Hygiene'!$A$2:$A$3000,$K$2,'Inventory Hygiene'!$B$2:$B$3000,$A170)&gt;0,AVERAGEIFS('Inventory Hygiene'!$J$2:$J$3000,'Inventory Hygiene'!$A$2:$A$3000,$K$2,'Inventory Hygiene'!$B$2:$B$3000,$A170),IF(COUNTIFS('Inventory Hygiene'!$A$2:$A$3000,$K$2,'Inventory Hygiene'!$B$2:$B$3000,SUBSTITUTE($A170," SS","  SS"))&gt;0,AVERAGEIFS('Inventory Hygiene'!$J$2:$J$3000,'Inventory Hygiene'!$A$2:$A$3000,$K$2,'Inventory Hygiene'!$B$2:$B$3000,SUBSTITUTE($A170," SS","  SS")),"NA"))</f>
        <v>0.559446606139213</v>
      </c>
      <c r="F170" s="81" t="n">
        <f aca="false">IF(COUNTIFS('Bad Bins'!$A$2:$A$3000,$K$2,'Bad Bins'!$B$2:$B$3000,$A170)&gt;0,SUMIFS('Bad Bins'!$K$2:$K$3000,'Bad Bins'!$A$2:$A$3000,$K$2,'Bad Bins'!$B$2:$B$3000,$A170),IF(COUNTIFS('Bad Bins'!$A$2:$A$3000,$K$2,'Bad Bins'!$B$2:$B$3000,SUBSTITUTE($A170," SS","  SS"))&gt;0,SUMIFS('Bad Bins'!$K$2:$K$3000,'Bad Bins'!$A$2:$A$3000,$K$2,'Bad Bins'!$B$2:$B$3000,SUBSTITUTE($A170," SS","  SS")),"NA"))</f>
        <v>103</v>
      </c>
      <c r="G170" s="81" t="str">
        <f aca="false">IF(COUNTIFS('RSTO &gt; 48hrs'!$A$2:$A$3000,$K$2,'RSTO &gt; 48hrs'!$B$2:$B$3000,$A170)&gt;0,SUMIFS('RSTO &gt; 48hrs'!$H$2:$H$3000,'RSTO &gt; 48hrs'!$A$2:$A$3000,$K$2,'RSTO &gt; 48hrs'!$B$2:$B$3000,$A170),IF(COUNTIFS('RSTO &gt; 48hrs'!$A$2:$A$3000,$K$2,'RSTO &gt; 48hrs'!$B$2:$B$3000,SUBSTITUTE($A170," SS","  SS"))&gt;0,SUMIFS('RSTO &gt; 48hrs'!$H$2:$H$3000,'RSTO &gt; 48hrs'!$A$2:$A$3000,$K$2,'RSTO &gt; 48hrs'!$B$2:$B$3000,SUBSTITUTE($A170," SS","  SS")),"NA"))</f>
        <v>NA</v>
      </c>
      <c r="H170" s="81" t="n">
        <f aca="false">IF(COUNTIFS('Recirculation &gt; 24 hrs'!$A$2:$A$3000,$K$2,'Recirculation &gt; 24 hrs'!$B$2:$B$3000,$A170)&gt;0,SUMIFS('Recirculation &gt; 24 hrs'!$K$2:$K$3000,'Recirculation &gt; 24 hrs'!$A$2:$A$3000,$K$2,'Recirculation &gt; 24 hrs'!$B$2:$B$3000,$A170),IF(COUNTIFS('Recirculation &gt; 24 hrs'!$A$2:$A$3000,$K$2,'Recirculation &gt; 24 hrs'!$B$2:$B$3000,SUBSTITUTE($A170," SS","  SS"))&gt;0,SUMIFS('Recirculation &gt; 24 hrs'!$K$2:$K$3000,'Recirculation &gt; 24 hrs'!$A$2:$A$3000,$K$2,'Recirculation &gt; 24 hrs'!$B$2:$B$3000,SUBSTITUTE($A170," SS","  SS")),"NA"))</f>
        <v>1272</v>
      </c>
      <c r="I170" s="81" t="n">
        <f aca="false">IF(COUNTIFS('Pending Putaway'!$A$2:$A$3000,$K$2,'Pending Putaway'!$B$2:$B$3000,$A170)&gt;0,SUMIFS('Pending Putaway'!$E$2:$E$3000,'Pending Putaway'!$A$2:$A$3000,$K$2,'Pending Putaway'!$B$2:$B$3000,$A170),IF(COUNTIFS('Pending Putaway'!$A$2:$A$3000,$K$2,'Pending Putaway'!$B$2:$B$3000,SUBSTITUTE($A170," SS","  SS"))&gt;0,SUMIFS('Pending Putaway'!$E$2:$E$3000,'Pending Putaway'!$A$2:$A$3000,$K$2,'Pending Putaway'!$B$2:$B$3000,SUBSTITUTE($A170," SS","  SS")),"NA"))</f>
        <v>3979</v>
      </c>
      <c r="J170" s="81" t="n">
        <f aca="false">IF(COUNTIFS('Pending Putaway'!$A$2:$A$3000,$K$2,'Pending Putaway'!$B$2:$B$3000,$A170)&gt;0,SUMIFS('Pending Putaway'!$L$2:$L$3000,'Pending Putaway'!$A$2:$A$3000,$K$2,'Pending Putaway'!$B$2:$B$3000,$A170),IF(COUNTIFS('Pending Putaway'!$A$2:$A$3000,$K$2,'Pending Putaway'!$B$2:$B$3000,SUBSTITUTE($A170," SS","  SS"))&gt;0,SUMIFS('Pending Putaway'!$L$2:$L$3000,'Pending Putaway'!$A$2:$A$3000,$K$2,'Pending Putaway'!$B$2:$B$3000,SUBSTITUTE($A170," SS","  SS")),"NA"))</f>
        <v>3979</v>
      </c>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row>
    <row r="171" customFormat="false" ht="15.75" hidden="false" customHeight="true" outlineLevel="0" collapsed="false">
      <c r="A171" s="81" t="s">
        <v>111</v>
      </c>
      <c r="B171" s="81" t="str">
        <f aca="false" t="array" ref="B171:B171">IFERROR(INDEX('CLM &amp; IM Mapping'!$B$2:$B$270,MATCH($A171,'CLM &amp; IM Mapping'!$A$2:$A$270,0)),"Not Mapped")</f>
        <v>Narasimhamurthy R</v>
      </c>
      <c r="C171" s="81" t="str">
        <f aca="false" t="array" ref="C171:C171">IFERROR(INDEX('CLM &amp; IM Mapping'!$C$2:$C$270,MATCH($A171,'CLM &amp; IM Mapping'!$A$2:$A$270,0)),"Not Mapped")</f>
        <v>Kishor K</v>
      </c>
      <c r="D171" s="82" t="n">
        <f aca="false">IF(COUNTIFS(Shrinkage!$A$2:$A$3000,$K$2,Shrinkage!$D$2:$D$3000,$A171)&gt;0,SUMIFS(Shrinkage!$P$2:$P$3000,Shrinkage!$A$2:$A$3000,$K$2,Shrinkage!$D$2:$D$3000,$A171),IF(COUNTIFS(Shrinkage!$A$2:$A$3000,$K$2,Shrinkage!$D$2:$D$3000,SUBSTITUTE($A171," SS","  SS"))&gt;0,SUMIFS(Shrinkage!$P$2:$P$3000,Shrinkage!$A$2:$A$3000,$K$2,Shrinkage!$D$2:$D$3000,SUBSTITUTE($A171," SS","  SS")),"NA"))</f>
        <v>20346</v>
      </c>
      <c r="E171" s="83" t="n">
        <f aca="false">IF(COUNTIFS('Inventory Hygiene'!$A$2:$A$3000,$K$2,'Inventory Hygiene'!$B$2:$B$3000,$A171)&gt;0,AVERAGEIFS('Inventory Hygiene'!$J$2:$J$3000,'Inventory Hygiene'!$A$2:$A$3000,$K$2,'Inventory Hygiene'!$B$2:$B$3000,$A171),IF(COUNTIFS('Inventory Hygiene'!$A$2:$A$3000,$K$2,'Inventory Hygiene'!$B$2:$B$3000,SUBSTITUTE($A171," SS","  SS"))&gt;0,AVERAGEIFS('Inventory Hygiene'!$J$2:$J$3000,'Inventory Hygiene'!$A$2:$A$3000,$K$2,'Inventory Hygiene'!$B$2:$B$3000,SUBSTITUTE($A171," SS","  SS")),"NA"))</f>
        <v>0.313206858810653</v>
      </c>
      <c r="F171" s="81" t="n">
        <f aca="false">IF(COUNTIFS('Bad Bins'!$A$2:$A$3000,$K$2,'Bad Bins'!$B$2:$B$3000,$A171)&gt;0,SUMIFS('Bad Bins'!$K$2:$K$3000,'Bad Bins'!$A$2:$A$3000,$K$2,'Bad Bins'!$B$2:$B$3000,$A171),IF(COUNTIFS('Bad Bins'!$A$2:$A$3000,$K$2,'Bad Bins'!$B$2:$B$3000,SUBSTITUTE($A171," SS","  SS"))&gt;0,SUMIFS('Bad Bins'!$K$2:$K$3000,'Bad Bins'!$A$2:$A$3000,$K$2,'Bad Bins'!$B$2:$B$3000,SUBSTITUTE($A171," SS","  SS")),"NA"))</f>
        <v>52</v>
      </c>
      <c r="G171" s="81" t="str">
        <f aca="false">IF(COUNTIFS('RSTO &gt; 48hrs'!$A$2:$A$3000,$K$2,'RSTO &gt; 48hrs'!$B$2:$B$3000,$A171)&gt;0,SUMIFS('RSTO &gt; 48hrs'!$H$2:$H$3000,'RSTO &gt; 48hrs'!$A$2:$A$3000,$K$2,'RSTO &gt; 48hrs'!$B$2:$B$3000,$A171),IF(COUNTIFS('RSTO &gt; 48hrs'!$A$2:$A$3000,$K$2,'RSTO &gt; 48hrs'!$B$2:$B$3000,SUBSTITUTE($A171," SS","  SS"))&gt;0,SUMIFS('RSTO &gt; 48hrs'!$H$2:$H$3000,'RSTO &gt; 48hrs'!$A$2:$A$3000,$K$2,'RSTO &gt; 48hrs'!$B$2:$B$3000,SUBSTITUTE($A171," SS","  SS")),"NA"))</f>
        <v>NA</v>
      </c>
      <c r="H171" s="81" t="str">
        <f aca="false">IF(COUNTIFS('Recirculation &gt; 24 hrs'!$A$2:$A$3000,$K$2,'Recirculation &gt; 24 hrs'!$B$2:$B$3000,$A171)&gt;0,SUMIFS('Recirculation &gt; 24 hrs'!$K$2:$K$3000,'Recirculation &gt; 24 hrs'!$A$2:$A$3000,$K$2,'Recirculation &gt; 24 hrs'!$B$2:$B$3000,$A171),IF(COUNTIFS('Recirculation &gt; 24 hrs'!$A$2:$A$3000,$K$2,'Recirculation &gt; 24 hrs'!$B$2:$B$3000,SUBSTITUTE($A171," SS","  SS"))&gt;0,SUMIFS('Recirculation &gt; 24 hrs'!$K$2:$K$3000,'Recirculation &gt; 24 hrs'!$A$2:$A$3000,$K$2,'Recirculation &gt; 24 hrs'!$B$2:$B$3000,SUBSTITUTE($A171," SS","  SS")),"NA"))</f>
        <v>NA</v>
      </c>
      <c r="I171" s="81" t="n">
        <f aca="false">IF(COUNTIFS('Pending Putaway'!$A$2:$A$3000,$K$2,'Pending Putaway'!$B$2:$B$3000,$A171)&gt;0,SUMIFS('Pending Putaway'!$E$2:$E$3000,'Pending Putaway'!$A$2:$A$3000,$K$2,'Pending Putaway'!$B$2:$B$3000,$A171),IF(COUNTIFS('Pending Putaway'!$A$2:$A$3000,$K$2,'Pending Putaway'!$B$2:$B$3000,SUBSTITUTE($A171," SS","  SS"))&gt;0,SUMIFS('Pending Putaway'!$E$2:$E$3000,'Pending Putaway'!$A$2:$A$3000,$K$2,'Pending Putaway'!$B$2:$B$3000,SUBSTITUTE($A171," SS","  SS")),"NA"))</f>
        <v>6107</v>
      </c>
      <c r="J171" s="81" t="n">
        <f aca="false">IF(COUNTIFS('Pending Putaway'!$A$2:$A$3000,$K$2,'Pending Putaway'!$B$2:$B$3000,$A171)&gt;0,SUMIFS('Pending Putaway'!$L$2:$L$3000,'Pending Putaway'!$A$2:$A$3000,$K$2,'Pending Putaway'!$B$2:$B$3000,$A171),IF(COUNTIFS('Pending Putaway'!$A$2:$A$3000,$K$2,'Pending Putaway'!$B$2:$B$3000,SUBSTITUTE($A171," SS","  SS"))&gt;0,SUMIFS('Pending Putaway'!$L$2:$L$3000,'Pending Putaway'!$A$2:$A$3000,$K$2,'Pending Putaway'!$B$2:$B$3000,SUBSTITUTE($A171," SS","  SS")),"NA"))</f>
        <v>0</v>
      </c>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row>
    <row r="172" customFormat="false" ht="15.75" hidden="false" customHeight="true" outlineLevel="0" collapsed="false">
      <c r="A172" s="81" t="s">
        <v>436</v>
      </c>
      <c r="B172" s="81" t="str">
        <f aca="false" t="array" ref="B172:B172">IFERROR(INDEX('CLM &amp; IM Mapping'!$B$2:$B$270,MATCH($A172,'CLM &amp; IM Mapping'!$A$2:$A$270,0)),"Not Mapped")</f>
        <v>Narasimhamurthy R</v>
      </c>
      <c r="C172" s="81" t="str">
        <f aca="false" t="array" ref="C172:C172">IFERROR(INDEX('CLM &amp; IM Mapping'!$C$2:$C$270,MATCH($A172,'CLM &amp; IM Mapping'!$A$2:$A$270,0)),"Not Mapped")</f>
        <v>Kishor K</v>
      </c>
      <c r="D172" s="82" t="n">
        <f aca="false">IF(COUNTIFS(Shrinkage!$A$2:$A$3000,$K$2,Shrinkage!$D$2:$D$3000,$A172)&gt;0,SUMIFS(Shrinkage!$P$2:$P$3000,Shrinkage!$A$2:$A$3000,$K$2,Shrinkage!$D$2:$D$3000,$A172),IF(COUNTIFS(Shrinkage!$A$2:$A$3000,$K$2,Shrinkage!$D$2:$D$3000,SUBSTITUTE($A172," SS","  SS"))&gt;0,SUMIFS(Shrinkage!$P$2:$P$3000,Shrinkage!$A$2:$A$3000,$K$2,Shrinkage!$D$2:$D$3000,SUBSTITUTE($A172," SS","  SS")),"NA"))</f>
        <v>-2986</v>
      </c>
      <c r="E172" s="83" t="n">
        <f aca="false">IF(COUNTIFS('Inventory Hygiene'!$A$2:$A$3000,$K$2,'Inventory Hygiene'!$B$2:$B$3000,$A172)&gt;0,AVERAGEIFS('Inventory Hygiene'!$J$2:$J$3000,'Inventory Hygiene'!$A$2:$A$3000,$K$2,'Inventory Hygiene'!$B$2:$B$3000,$A172),IF(COUNTIFS('Inventory Hygiene'!$A$2:$A$3000,$K$2,'Inventory Hygiene'!$B$2:$B$3000,SUBSTITUTE($A172," SS","  SS"))&gt;0,AVERAGEIFS('Inventory Hygiene'!$J$2:$J$3000,'Inventory Hygiene'!$A$2:$A$3000,$K$2,'Inventory Hygiene'!$B$2:$B$3000,SUBSTITUTE($A172," SS","  SS")),"NA"))</f>
        <v>0.641111020872249</v>
      </c>
      <c r="F172" s="81" t="n">
        <f aca="false">IF(COUNTIFS('Bad Bins'!$A$2:$A$3000,$K$2,'Bad Bins'!$B$2:$B$3000,$A172)&gt;0,SUMIFS('Bad Bins'!$K$2:$K$3000,'Bad Bins'!$A$2:$A$3000,$K$2,'Bad Bins'!$B$2:$B$3000,$A172),IF(COUNTIFS('Bad Bins'!$A$2:$A$3000,$K$2,'Bad Bins'!$B$2:$B$3000,SUBSTITUTE($A172," SS","  SS"))&gt;0,SUMIFS('Bad Bins'!$K$2:$K$3000,'Bad Bins'!$A$2:$A$3000,$K$2,'Bad Bins'!$B$2:$B$3000,SUBSTITUTE($A172," SS","  SS")),"NA"))</f>
        <v>7</v>
      </c>
      <c r="G172" s="81" t="str">
        <f aca="false">IF(COUNTIFS('RSTO &gt; 48hrs'!$A$2:$A$3000,$K$2,'RSTO &gt; 48hrs'!$B$2:$B$3000,$A172)&gt;0,SUMIFS('RSTO &gt; 48hrs'!$H$2:$H$3000,'RSTO &gt; 48hrs'!$A$2:$A$3000,$K$2,'RSTO &gt; 48hrs'!$B$2:$B$3000,$A172),IF(COUNTIFS('RSTO &gt; 48hrs'!$A$2:$A$3000,$K$2,'RSTO &gt; 48hrs'!$B$2:$B$3000,SUBSTITUTE($A172," SS","  SS"))&gt;0,SUMIFS('RSTO &gt; 48hrs'!$H$2:$H$3000,'RSTO &gt; 48hrs'!$A$2:$A$3000,$K$2,'RSTO &gt; 48hrs'!$B$2:$B$3000,SUBSTITUTE($A172," SS","  SS")),"NA"))</f>
        <v>NA</v>
      </c>
      <c r="H172" s="81" t="str">
        <f aca="false">IF(COUNTIFS('Recirculation &gt; 24 hrs'!$A$2:$A$3000,$K$2,'Recirculation &gt; 24 hrs'!$B$2:$B$3000,$A172)&gt;0,SUMIFS('Recirculation &gt; 24 hrs'!$K$2:$K$3000,'Recirculation &gt; 24 hrs'!$A$2:$A$3000,$K$2,'Recirculation &gt; 24 hrs'!$B$2:$B$3000,$A172),IF(COUNTIFS('Recirculation &gt; 24 hrs'!$A$2:$A$3000,$K$2,'Recirculation &gt; 24 hrs'!$B$2:$B$3000,SUBSTITUTE($A172," SS","  SS"))&gt;0,SUMIFS('Recirculation &gt; 24 hrs'!$K$2:$K$3000,'Recirculation &gt; 24 hrs'!$A$2:$A$3000,$K$2,'Recirculation &gt; 24 hrs'!$B$2:$B$3000,SUBSTITUTE($A172," SS","  SS")),"NA"))</f>
        <v>NA</v>
      </c>
      <c r="I172" s="81" t="n">
        <f aca="false">IF(COUNTIFS('Pending Putaway'!$A$2:$A$3000,$K$2,'Pending Putaway'!$B$2:$B$3000,$A172)&gt;0,SUMIFS('Pending Putaway'!$E$2:$E$3000,'Pending Putaway'!$A$2:$A$3000,$K$2,'Pending Putaway'!$B$2:$B$3000,$A172),IF(COUNTIFS('Pending Putaway'!$A$2:$A$3000,$K$2,'Pending Putaway'!$B$2:$B$3000,SUBSTITUTE($A172," SS","  SS"))&gt;0,SUMIFS('Pending Putaway'!$E$2:$E$3000,'Pending Putaway'!$A$2:$A$3000,$K$2,'Pending Putaway'!$B$2:$B$3000,SUBSTITUTE($A172," SS","  SS")),"NA"))</f>
        <v>10</v>
      </c>
      <c r="J172" s="81" t="n">
        <f aca="false">IF(COUNTIFS('Pending Putaway'!$A$2:$A$3000,$K$2,'Pending Putaway'!$B$2:$B$3000,$A172)&gt;0,SUMIFS('Pending Putaway'!$L$2:$L$3000,'Pending Putaway'!$A$2:$A$3000,$K$2,'Pending Putaway'!$B$2:$B$3000,$A172),IF(COUNTIFS('Pending Putaway'!$A$2:$A$3000,$K$2,'Pending Putaway'!$B$2:$B$3000,SUBSTITUTE($A172," SS","  SS"))&gt;0,SUMIFS('Pending Putaway'!$L$2:$L$3000,'Pending Putaway'!$A$2:$A$3000,$K$2,'Pending Putaway'!$B$2:$B$3000,SUBSTITUTE($A172," SS","  SS")),"NA"))</f>
        <v>10</v>
      </c>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row>
    <row r="173" customFormat="false" ht="15.75" hidden="false" customHeight="true" outlineLevel="0" collapsed="false">
      <c r="A173" s="81" t="s">
        <v>497</v>
      </c>
      <c r="B173" s="81" t="str">
        <f aca="false" t="array" ref="B173:B173">IFERROR(INDEX('CLM &amp; IM Mapping'!$B$2:$B$270,MATCH($A173,'CLM &amp; IM Mapping'!$A$2:$A$270,0)),"Not Mapped")</f>
        <v>Narasimhamurthy R</v>
      </c>
      <c r="C173" s="81" t="str">
        <f aca="false" t="array" ref="C173:C173">IFERROR(INDEX('CLM &amp; IM Mapping'!$C$2:$C$270,MATCH($A173,'CLM &amp; IM Mapping'!$A$2:$A$270,0)),"Not Mapped")</f>
        <v>Kishor K</v>
      </c>
      <c r="D173" s="82" t="n">
        <f aca="false">IF(COUNTIFS(Shrinkage!$A$2:$A$3000,$K$2,Shrinkage!$D$2:$D$3000,$A173)&gt;0,SUMIFS(Shrinkage!$P$2:$P$3000,Shrinkage!$A$2:$A$3000,$K$2,Shrinkage!$D$2:$D$3000,$A173),IF(COUNTIFS(Shrinkage!$A$2:$A$3000,$K$2,Shrinkage!$D$2:$D$3000,SUBSTITUTE($A173," SS","  SS"))&gt;0,SUMIFS(Shrinkage!$P$2:$P$3000,Shrinkage!$A$2:$A$3000,$K$2,Shrinkage!$D$2:$D$3000,SUBSTITUTE($A173," SS","  SS")),"NA"))</f>
        <v>-19191</v>
      </c>
      <c r="E173" s="83" t="n">
        <f aca="false">IF(COUNTIFS('Inventory Hygiene'!$A$2:$A$3000,$K$2,'Inventory Hygiene'!$B$2:$B$3000,$A173)&gt;0,AVERAGEIFS('Inventory Hygiene'!$J$2:$J$3000,'Inventory Hygiene'!$A$2:$A$3000,$K$2,'Inventory Hygiene'!$B$2:$B$3000,$A173),IF(COUNTIFS('Inventory Hygiene'!$A$2:$A$3000,$K$2,'Inventory Hygiene'!$B$2:$B$3000,SUBSTITUTE($A173," SS","  SS"))&gt;0,AVERAGEIFS('Inventory Hygiene'!$J$2:$J$3000,'Inventory Hygiene'!$A$2:$A$3000,$K$2,'Inventory Hygiene'!$B$2:$B$3000,SUBSTITUTE($A173," SS","  SS")),"NA"))</f>
        <v>0.953301127214171</v>
      </c>
      <c r="F173" s="81" t="n">
        <f aca="false">IF(COUNTIFS('Bad Bins'!$A$2:$A$3000,$K$2,'Bad Bins'!$B$2:$B$3000,$A173)&gt;0,SUMIFS('Bad Bins'!$K$2:$K$3000,'Bad Bins'!$A$2:$A$3000,$K$2,'Bad Bins'!$B$2:$B$3000,$A173),IF(COUNTIFS('Bad Bins'!$A$2:$A$3000,$K$2,'Bad Bins'!$B$2:$B$3000,SUBSTITUTE($A173," SS","  SS"))&gt;0,SUMIFS('Bad Bins'!$K$2:$K$3000,'Bad Bins'!$A$2:$A$3000,$K$2,'Bad Bins'!$B$2:$B$3000,SUBSTITUTE($A173," SS","  SS")),"NA"))</f>
        <v>15</v>
      </c>
      <c r="G173" s="81" t="str">
        <f aca="false">IF(COUNTIFS('RSTO &gt; 48hrs'!$A$2:$A$3000,$K$2,'RSTO &gt; 48hrs'!$B$2:$B$3000,$A173)&gt;0,SUMIFS('RSTO &gt; 48hrs'!$H$2:$H$3000,'RSTO &gt; 48hrs'!$A$2:$A$3000,$K$2,'RSTO &gt; 48hrs'!$B$2:$B$3000,$A173),IF(COUNTIFS('RSTO &gt; 48hrs'!$A$2:$A$3000,$K$2,'RSTO &gt; 48hrs'!$B$2:$B$3000,SUBSTITUTE($A173," SS","  SS"))&gt;0,SUMIFS('RSTO &gt; 48hrs'!$H$2:$H$3000,'RSTO &gt; 48hrs'!$A$2:$A$3000,$K$2,'RSTO &gt; 48hrs'!$B$2:$B$3000,SUBSTITUTE($A173," SS","  SS")),"NA"))</f>
        <v>NA</v>
      </c>
      <c r="H173" s="81" t="n">
        <f aca="false">IF(COUNTIFS('Recirculation &gt; 24 hrs'!$A$2:$A$3000,$K$2,'Recirculation &gt; 24 hrs'!$B$2:$B$3000,$A173)&gt;0,SUMIFS('Recirculation &gt; 24 hrs'!$K$2:$K$3000,'Recirculation &gt; 24 hrs'!$A$2:$A$3000,$K$2,'Recirculation &gt; 24 hrs'!$B$2:$B$3000,$A173),IF(COUNTIFS('Recirculation &gt; 24 hrs'!$A$2:$A$3000,$K$2,'Recirculation &gt; 24 hrs'!$B$2:$B$3000,SUBSTITUTE($A173," SS","  SS"))&gt;0,SUMIFS('Recirculation &gt; 24 hrs'!$K$2:$K$3000,'Recirculation &gt; 24 hrs'!$A$2:$A$3000,$K$2,'Recirculation &gt; 24 hrs'!$B$2:$B$3000,SUBSTITUTE($A173," SS","  SS")),"NA"))</f>
        <v>1</v>
      </c>
      <c r="I173" s="81" t="n">
        <f aca="false">IF(COUNTIFS('Pending Putaway'!$A$2:$A$3000,$K$2,'Pending Putaway'!$B$2:$B$3000,$A173)&gt;0,SUMIFS('Pending Putaway'!$E$2:$E$3000,'Pending Putaway'!$A$2:$A$3000,$K$2,'Pending Putaway'!$B$2:$B$3000,$A173),IF(COUNTIFS('Pending Putaway'!$A$2:$A$3000,$K$2,'Pending Putaway'!$B$2:$B$3000,SUBSTITUTE($A173," SS","  SS"))&gt;0,SUMIFS('Pending Putaway'!$E$2:$E$3000,'Pending Putaway'!$A$2:$A$3000,$K$2,'Pending Putaway'!$B$2:$B$3000,SUBSTITUTE($A173," SS","  SS")),"NA"))</f>
        <v>0</v>
      </c>
      <c r="J173" s="81" t="n">
        <f aca="false">IF(COUNTIFS('Pending Putaway'!$A$2:$A$3000,$K$2,'Pending Putaway'!$B$2:$B$3000,$A173)&gt;0,SUMIFS('Pending Putaway'!$L$2:$L$3000,'Pending Putaway'!$A$2:$A$3000,$K$2,'Pending Putaway'!$B$2:$B$3000,$A173),IF(COUNTIFS('Pending Putaway'!$A$2:$A$3000,$K$2,'Pending Putaway'!$B$2:$B$3000,SUBSTITUTE($A173," SS","  SS"))&gt;0,SUMIFS('Pending Putaway'!$L$2:$L$3000,'Pending Putaway'!$A$2:$A$3000,$K$2,'Pending Putaway'!$B$2:$B$3000,SUBSTITUTE($A173," SS","  SS")),"NA"))</f>
        <v>0</v>
      </c>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row>
    <row r="174" customFormat="false" ht="15.75" hidden="false" customHeight="true" outlineLevel="0" collapsed="false">
      <c r="A174" s="81" t="s">
        <v>402</v>
      </c>
      <c r="B174" s="81" t="str">
        <f aca="false" t="array" ref="B174:B174">IFERROR(INDEX('CLM &amp; IM Mapping'!$B$2:$B$270,MATCH($A174,'CLM &amp; IM Mapping'!$A$2:$A$270,0)),"Not Mapped")</f>
        <v>Narasimhamurthy R</v>
      </c>
      <c r="C174" s="81" t="str">
        <f aca="false" t="array" ref="C174:C174">IFERROR(INDEX('CLM &amp; IM Mapping'!$C$2:$C$270,MATCH($A174,'CLM &amp; IM Mapping'!$A$2:$A$270,0)),"Not Mapped")</f>
        <v>Kishor K</v>
      </c>
      <c r="D174" s="82" t="n">
        <f aca="false">IF(COUNTIFS(Shrinkage!$A$2:$A$3000,$K$2,Shrinkage!$D$2:$D$3000,$A174)&gt;0,SUMIFS(Shrinkage!$P$2:$P$3000,Shrinkage!$A$2:$A$3000,$K$2,Shrinkage!$D$2:$D$3000,$A174),IF(COUNTIFS(Shrinkage!$A$2:$A$3000,$K$2,Shrinkage!$D$2:$D$3000,SUBSTITUTE($A174," SS","  SS"))&gt;0,SUMIFS(Shrinkage!$P$2:$P$3000,Shrinkage!$A$2:$A$3000,$K$2,Shrinkage!$D$2:$D$3000,SUBSTITUTE($A174," SS","  SS")),"NA"))</f>
        <v>-6289</v>
      </c>
      <c r="E174" s="83" t="n">
        <f aca="false">IF(COUNTIFS('Inventory Hygiene'!$A$2:$A$3000,$K$2,'Inventory Hygiene'!$B$2:$B$3000,$A174)&gt;0,AVERAGEIFS('Inventory Hygiene'!$J$2:$J$3000,'Inventory Hygiene'!$A$2:$A$3000,$K$2,'Inventory Hygiene'!$B$2:$B$3000,$A174),IF(COUNTIFS('Inventory Hygiene'!$A$2:$A$3000,$K$2,'Inventory Hygiene'!$B$2:$B$3000,SUBSTITUTE($A174," SS","  SS"))&gt;0,AVERAGEIFS('Inventory Hygiene'!$J$2:$J$3000,'Inventory Hygiene'!$A$2:$A$3000,$K$2,'Inventory Hygiene'!$B$2:$B$3000,SUBSTITUTE($A174," SS","  SS")),"NA"))</f>
        <v>0.808622335348393</v>
      </c>
      <c r="F174" s="81" t="n">
        <f aca="false">IF(COUNTIFS('Bad Bins'!$A$2:$A$3000,$K$2,'Bad Bins'!$B$2:$B$3000,$A174)&gt;0,SUMIFS('Bad Bins'!$K$2:$K$3000,'Bad Bins'!$A$2:$A$3000,$K$2,'Bad Bins'!$B$2:$B$3000,$A174),IF(COUNTIFS('Bad Bins'!$A$2:$A$3000,$K$2,'Bad Bins'!$B$2:$B$3000,SUBSTITUTE($A174," SS","  SS"))&gt;0,SUMIFS('Bad Bins'!$K$2:$K$3000,'Bad Bins'!$A$2:$A$3000,$K$2,'Bad Bins'!$B$2:$B$3000,SUBSTITUTE($A174," SS","  SS")),"NA"))</f>
        <v>43</v>
      </c>
      <c r="G174" s="81" t="str">
        <f aca="false">IF(COUNTIFS('RSTO &gt; 48hrs'!$A$2:$A$3000,$K$2,'RSTO &gt; 48hrs'!$B$2:$B$3000,$A174)&gt;0,SUMIFS('RSTO &gt; 48hrs'!$H$2:$H$3000,'RSTO &gt; 48hrs'!$A$2:$A$3000,$K$2,'RSTO &gt; 48hrs'!$B$2:$B$3000,$A174),IF(COUNTIFS('RSTO &gt; 48hrs'!$A$2:$A$3000,$K$2,'RSTO &gt; 48hrs'!$B$2:$B$3000,SUBSTITUTE($A174," SS","  SS"))&gt;0,SUMIFS('RSTO &gt; 48hrs'!$H$2:$H$3000,'RSTO &gt; 48hrs'!$A$2:$A$3000,$K$2,'RSTO &gt; 48hrs'!$B$2:$B$3000,SUBSTITUTE($A174," SS","  SS")),"NA"))</f>
        <v>NA</v>
      </c>
      <c r="H174" s="81" t="str">
        <f aca="false">IF(COUNTIFS('Recirculation &gt; 24 hrs'!$A$2:$A$3000,$K$2,'Recirculation &gt; 24 hrs'!$B$2:$B$3000,$A174)&gt;0,SUMIFS('Recirculation &gt; 24 hrs'!$K$2:$K$3000,'Recirculation &gt; 24 hrs'!$A$2:$A$3000,$K$2,'Recirculation &gt; 24 hrs'!$B$2:$B$3000,$A174),IF(COUNTIFS('Recirculation &gt; 24 hrs'!$A$2:$A$3000,$K$2,'Recirculation &gt; 24 hrs'!$B$2:$B$3000,SUBSTITUTE($A174," SS","  SS"))&gt;0,SUMIFS('Recirculation &gt; 24 hrs'!$K$2:$K$3000,'Recirculation &gt; 24 hrs'!$A$2:$A$3000,$K$2,'Recirculation &gt; 24 hrs'!$B$2:$B$3000,SUBSTITUTE($A174," SS","  SS")),"NA"))</f>
        <v>NA</v>
      </c>
      <c r="I174" s="81" t="n">
        <f aca="false">IF(COUNTIFS('Pending Putaway'!$A$2:$A$3000,$K$2,'Pending Putaway'!$B$2:$B$3000,$A174)&gt;0,SUMIFS('Pending Putaway'!$E$2:$E$3000,'Pending Putaway'!$A$2:$A$3000,$K$2,'Pending Putaway'!$B$2:$B$3000,$A174),IF(COUNTIFS('Pending Putaway'!$A$2:$A$3000,$K$2,'Pending Putaway'!$B$2:$B$3000,SUBSTITUTE($A174," SS","  SS"))&gt;0,SUMIFS('Pending Putaway'!$E$2:$E$3000,'Pending Putaway'!$A$2:$A$3000,$K$2,'Pending Putaway'!$B$2:$B$3000,SUBSTITUTE($A174," SS","  SS")),"NA"))</f>
        <v>2653</v>
      </c>
      <c r="J174" s="81" t="n">
        <f aca="false">IF(COUNTIFS('Pending Putaway'!$A$2:$A$3000,$K$2,'Pending Putaway'!$B$2:$B$3000,$A174)&gt;0,SUMIFS('Pending Putaway'!$L$2:$L$3000,'Pending Putaway'!$A$2:$A$3000,$K$2,'Pending Putaway'!$B$2:$B$3000,$A174),IF(COUNTIFS('Pending Putaway'!$A$2:$A$3000,$K$2,'Pending Putaway'!$B$2:$B$3000,SUBSTITUTE($A174," SS","  SS"))&gt;0,SUMIFS('Pending Putaway'!$L$2:$L$3000,'Pending Putaway'!$A$2:$A$3000,$K$2,'Pending Putaway'!$B$2:$B$3000,SUBSTITUTE($A174," SS","  SS")),"NA"))</f>
        <v>0</v>
      </c>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row>
    <row r="175" customFormat="false" ht="15.75" hidden="false" customHeight="true" outlineLevel="0" collapsed="false">
      <c r="A175" s="81" t="s">
        <v>444</v>
      </c>
      <c r="B175" s="81" t="str">
        <f aca="false" t="array" ref="B175:B175">IFERROR(INDEX('CLM &amp; IM Mapping'!$B$2:$B$270,MATCH($A175,'CLM &amp; IM Mapping'!$A$2:$A$270,0)),"Not Mapped")</f>
        <v>Narasimhamurthy R</v>
      </c>
      <c r="C175" s="81" t="str">
        <f aca="false" t="array" ref="C175:C175">IFERROR(INDEX('CLM &amp; IM Mapping'!$C$2:$C$270,MATCH($A175,'CLM &amp; IM Mapping'!$A$2:$A$270,0)),"Not Mapped")</f>
        <v>Kishor K</v>
      </c>
      <c r="D175" s="82" t="n">
        <f aca="false">IF(COUNTIFS(Shrinkage!$A$2:$A$3000,$K$2,Shrinkage!$D$2:$D$3000,$A175)&gt;0,SUMIFS(Shrinkage!$P$2:$P$3000,Shrinkage!$A$2:$A$3000,$K$2,Shrinkage!$D$2:$D$3000,$A175),IF(COUNTIFS(Shrinkage!$A$2:$A$3000,$K$2,Shrinkage!$D$2:$D$3000,SUBSTITUTE($A175," SS","  SS"))&gt;0,SUMIFS(Shrinkage!$P$2:$P$3000,Shrinkage!$A$2:$A$3000,$K$2,Shrinkage!$D$2:$D$3000,SUBSTITUTE($A175," SS","  SS")),"NA"))</f>
        <v>-8915</v>
      </c>
      <c r="E175" s="83" t="n">
        <f aca="false">IF(COUNTIFS('Inventory Hygiene'!$A$2:$A$3000,$K$2,'Inventory Hygiene'!$B$2:$B$3000,$A175)&gt;0,AVERAGEIFS('Inventory Hygiene'!$J$2:$J$3000,'Inventory Hygiene'!$A$2:$A$3000,$K$2,'Inventory Hygiene'!$B$2:$B$3000,$A175),IF(COUNTIFS('Inventory Hygiene'!$A$2:$A$3000,$K$2,'Inventory Hygiene'!$B$2:$B$3000,SUBSTITUTE($A175," SS","  SS"))&gt;0,AVERAGEIFS('Inventory Hygiene'!$J$2:$J$3000,'Inventory Hygiene'!$A$2:$A$3000,$K$2,'Inventory Hygiene'!$B$2:$B$3000,SUBSTITUTE($A175," SS","  SS")),"NA"))</f>
        <v>0.452591894439208</v>
      </c>
      <c r="F175" s="81" t="n">
        <f aca="false">IF(COUNTIFS('Bad Bins'!$A$2:$A$3000,$K$2,'Bad Bins'!$B$2:$B$3000,$A175)&gt;0,SUMIFS('Bad Bins'!$K$2:$K$3000,'Bad Bins'!$A$2:$A$3000,$K$2,'Bad Bins'!$B$2:$B$3000,$A175),IF(COUNTIFS('Bad Bins'!$A$2:$A$3000,$K$2,'Bad Bins'!$B$2:$B$3000,SUBSTITUTE($A175," SS","  SS"))&gt;0,SUMIFS('Bad Bins'!$K$2:$K$3000,'Bad Bins'!$A$2:$A$3000,$K$2,'Bad Bins'!$B$2:$B$3000,SUBSTITUTE($A175," SS","  SS")),"NA"))</f>
        <v>37</v>
      </c>
      <c r="G175" s="81" t="str">
        <f aca="false">IF(COUNTIFS('RSTO &gt; 48hrs'!$A$2:$A$3000,$K$2,'RSTO &gt; 48hrs'!$B$2:$B$3000,$A175)&gt;0,SUMIFS('RSTO &gt; 48hrs'!$H$2:$H$3000,'RSTO &gt; 48hrs'!$A$2:$A$3000,$K$2,'RSTO &gt; 48hrs'!$B$2:$B$3000,$A175),IF(COUNTIFS('RSTO &gt; 48hrs'!$A$2:$A$3000,$K$2,'RSTO &gt; 48hrs'!$B$2:$B$3000,SUBSTITUTE($A175," SS","  SS"))&gt;0,SUMIFS('RSTO &gt; 48hrs'!$H$2:$H$3000,'RSTO &gt; 48hrs'!$A$2:$A$3000,$K$2,'RSTO &gt; 48hrs'!$B$2:$B$3000,SUBSTITUTE($A175," SS","  SS")),"NA"))</f>
        <v>NA</v>
      </c>
      <c r="H175" s="81" t="str">
        <f aca="false">IF(COUNTIFS('Recirculation &gt; 24 hrs'!$A$2:$A$3000,$K$2,'Recirculation &gt; 24 hrs'!$B$2:$B$3000,$A175)&gt;0,SUMIFS('Recirculation &gt; 24 hrs'!$K$2:$K$3000,'Recirculation &gt; 24 hrs'!$A$2:$A$3000,$K$2,'Recirculation &gt; 24 hrs'!$B$2:$B$3000,$A175),IF(COUNTIFS('Recirculation &gt; 24 hrs'!$A$2:$A$3000,$K$2,'Recirculation &gt; 24 hrs'!$B$2:$B$3000,SUBSTITUTE($A175," SS","  SS"))&gt;0,SUMIFS('Recirculation &gt; 24 hrs'!$K$2:$K$3000,'Recirculation &gt; 24 hrs'!$A$2:$A$3000,$K$2,'Recirculation &gt; 24 hrs'!$B$2:$B$3000,SUBSTITUTE($A175," SS","  SS")),"NA"))</f>
        <v>NA</v>
      </c>
      <c r="I175" s="81" t="n">
        <f aca="false">IF(COUNTIFS('Pending Putaway'!$A$2:$A$3000,$K$2,'Pending Putaway'!$B$2:$B$3000,$A175)&gt;0,SUMIFS('Pending Putaway'!$E$2:$E$3000,'Pending Putaway'!$A$2:$A$3000,$K$2,'Pending Putaway'!$B$2:$B$3000,$A175),IF(COUNTIFS('Pending Putaway'!$A$2:$A$3000,$K$2,'Pending Putaway'!$B$2:$B$3000,SUBSTITUTE($A175," SS","  SS"))&gt;0,SUMIFS('Pending Putaway'!$E$2:$E$3000,'Pending Putaway'!$A$2:$A$3000,$K$2,'Pending Putaway'!$B$2:$B$3000,SUBSTITUTE($A175," SS","  SS")),"NA"))</f>
        <v>4734</v>
      </c>
      <c r="J175" s="81" t="n">
        <f aca="false">IF(COUNTIFS('Pending Putaway'!$A$2:$A$3000,$K$2,'Pending Putaway'!$B$2:$B$3000,$A175)&gt;0,SUMIFS('Pending Putaway'!$L$2:$L$3000,'Pending Putaway'!$A$2:$A$3000,$K$2,'Pending Putaway'!$B$2:$B$3000,$A175),IF(COUNTIFS('Pending Putaway'!$A$2:$A$3000,$K$2,'Pending Putaway'!$B$2:$B$3000,SUBSTITUTE($A175," SS","  SS"))&gt;0,SUMIFS('Pending Putaway'!$L$2:$L$3000,'Pending Putaway'!$A$2:$A$3000,$K$2,'Pending Putaway'!$B$2:$B$3000,SUBSTITUTE($A175," SS","  SS")),"NA"))</f>
        <v>0</v>
      </c>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row>
    <row r="176" customFormat="false" ht="15.75" hidden="false" customHeight="true" outlineLevel="0" collapsed="false">
      <c r="A176" s="81" t="s">
        <v>403</v>
      </c>
      <c r="B176" s="81" t="str">
        <f aca="false" t="array" ref="B176:B176">IFERROR(INDEX('CLM &amp; IM Mapping'!$B$2:$B$270,MATCH($A176,'CLM &amp; IM Mapping'!$A$2:$A$270,0)),"Not Mapped")</f>
        <v>Narasimhamurthy R</v>
      </c>
      <c r="C176" s="81" t="str">
        <f aca="false" t="array" ref="C176:C176">IFERROR(INDEX('CLM &amp; IM Mapping'!$C$2:$C$270,MATCH($A176,'CLM &amp; IM Mapping'!$A$2:$A$270,0)),"Not Mapped")</f>
        <v>Kishor K</v>
      </c>
      <c r="D176" s="82" t="n">
        <f aca="false">IF(COUNTIFS(Shrinkage!$A$2:$A$3000,$K$2,Shrinkage!$D$2:$D$3000,$A176)&gt;0,SUMIFS(Shrinkage!$P$2:$P$3000,Shrinkage!$A$2:$A$3000,$K$2,Shrinkage!$D$2:$D$3000,$A176),IF(COUNTIFS(Shrinkage!$A$2:$A$3000,$K$2,Shrinkage!$D$2:$D$3000,SUBSTITUTE($A176," SS","  SS"))&gt;0,SUMIFS(Shrinkage!$P$2:$P$3000,Shrinkage!$A$2:$A$3000,$K$2,Shrinkage!$D$2:$D$3000,SUBSTITUTE($A176," SS","  SS")),"NA"))</f>
        <v>51</v>
      </c>
      <c r="E176" s="83" t="n">
        <f aca="false">IF(COUNTIFS('Inventory Hygiene'!$A$2:$A$3000,$K$2,'Inventory Hygiene'!$B$2:$B$3000,$A176)&gt;0,AVERAGEIFS('Inventory Hygiene'!$J$2:$J$3000,'Inventory Hygiene'!$A$2:$A$3000,$K$2,'Inventory Hygiene'!$B$2:$B$3000,$A176),IF(COUNTIFS('Inventory Hygiene'!$A$2:$A$3000,$K$2,'Inventory Hygiene'!$B$2:$B$3000,SUBSTITUTE($A176," SS","  SS"))&gt;0,AVERAGEIFS('Inventory Hygiene'!$J$2:$J$3000,'Inventory Hygiene'!$A$2:$A$3000,$K$2,'Inventory Hygiene'!$B$2:$B$3000,SUBSTITUTE($A176," SS","  SS")),"NA"))</f>
        <v>0.669375756527754</v>
      </c>
      <c r="F176" s="81" t="n">
        <f aca="false">IF(COUNTIFS('Bad Bins'!$A$2:$A$3000,$K$2,'Bad Bins'!$B$2:$B$3000,$A176)&gt;0,SUMIFS('Bad Bins'!$K$2:$K$3000,'Bad Bins'!$A$2:$A$3000,$K$2,'Bad Bins'!$B$2:$B$3000,$A176),IF(COUNTIFS('Bad Bins'!$A$2:$A$3000,$K$2,'Bad Bins'!$B$2:$B$3000,SUBSTITUTE($A176," SS","  SS"))&gt;0,SUMIFS('Bad Bins'!$K$2:$K$3000,'Bad Bins'!$A$2:$A$3000,$K$2,'Bad Bins'!$B$2:$B$3000,SUBSTITUTE($A176," SS","  SS")),"NA"))</f>
        <v>46</v>
      </c>
      <c r="G176" s="81" t="str">
        <f aca="false">IF(COUNTIFS('RSTO &gt; 48hrs'!$A$2:$A$3000,$K$2,'RSTO &gt; 48hrs'!$B$2:$B$3000,$A176)&gt;0,SUMIFS('RSTO &gt; 48hrs'!$H$2:$H$3000,'RSTO &gt; 48hrs'!$A$2:$A$3000,$K$2,'RSTO &gt; 48hrs'!$B$2:$B$3000,$A176),IF(COUNTIFS('RSTO &gt; 48hrs'!$A$2:$A$3000,$K$2,'RSTO &gt; 48hrs'!$B$2:$B$3000,SUBSTITUTE($A176," SS","  SS"))&gt;0,SUMIFS('RSTO &gt; 48hrs'!$H$2:$H$3000,'RSTO &gt; 48hrs'!$A$2:$A$3000,$K$2,'RSTO &gt; 48hrs'!$B$2:$B$3000,SUBSTITUTE($A176," SS","  SS")),"NA"))</f>
        <v>NA</v>
      </c>
      <c r="H176" s="81" t="n">
        <f aca="false">IF(COUNTIFS('Recirculation &gt; 24 hrs'!$A$2:$A$3000,$K$2,'Recirculation &gt; 24 hrs'!$B$2:$B$3000,$A176)&gt;0,SUMIFS('Recirculation &gt; 24 hrs'!$K$2:$K$3000,'Recirculation &gt; 24 hrs'!$A$2:$A$3000,$K$2,'Recirculation &gt; 24 hrs'!$B$2:$B$3000,$A176),IF(COUNTIFS('Recirculation &gt; 24 hrs'!$A$2:$A$3000,$K$2,'Recirculation &gt; 24 hrs'!$B$2:$B$3000,SUBSTITUTE($A176," SS","  SS"))&gt;0,SUMIFS('Recirculation &gt; 24 hrs'!$K$2:$K$3000,'Recirculation &gt; 24 hrs'!$A$2:$A$3000,$K$2,'Recirculation &gt; 24 hrs'!$B$2:$B$3000,SUBSTITUTE($A176," SS","  SS")),"NA"))</f>
        <v>1</v>
      </c>
      <c r="I176" s="81" t="n">
        <f aca="false">IF(COUNTIFS('Pending Putaway'!$A$2:$A$3000,$K$2,'Pending Putaway'!$B$2:$B$3000,$A176)&gt;0,SUMIFS('Pending Putaway'!$E$2:$E$3000,'Pending Putaway'!$A$2:$A$3000,$K$2,'Pending Putaway'!$B$2:$B$3000,$A176),IF(COUNTIFS('Pending Putaway'!$A$2:$A$3000,$K$2,'Pending Putaway'!$B$2:$B$3000,SUBSTITUTE($A176," SS","  SS"))&gt;0,SUMIFS('Pending Putaway'!$E$2:$E$3000,'Pending Putaway'!$A$2:$A$3000,$K$2,'Pending Putaway'!$B$2:$B$3000,SUBSTITUTE($A176," SS","  SS")),"NA"))</f>
        <v>534</v>
      </c>
      <c r="J176" s="81" t="n">
        <f aca="false">IF(COUNTIFS('Pending Putaway'!$A$2:$A$3000,$K$2,'Pending Putaway'!$B$2:$B$3000,$A176)&gt;0,SUMIFS('Pending Putaway'!$L$2:$L$3000,'Pending Putaway'!$A$2:$A$3000,$K$2,'Pending Putaway'!$B$2:$B$3000,$A176),IF(COUNTIFS('Pending Putaway'!$A$2:$A$3000,$K$2,'Pending Putaway'!$B$2:$B$3000,SUBSTITUTE($A176," SS","  SS"))&gt;0,SUMIFS('Pending Putaway'!$L$2:$L$3000,'Pending Putaway'!$A$2:$A$3000,$K$2,'Pending Putaway'!$B$2:$B$3000,SUBSTITUTE($A176," SS","  SS")),"NA"))</f>
        <v>0</v>
      </c>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row>
    <row r="177" customFormat="false" ht="15.75" hidden="false" customHeight="true" outlineLevel="0" collapsed="false">
      <c r="A177" s="81" t="s">
        <v>188</v>
      </c>
      <c r="B177" s="81" t="str">
        <f aca="false" t="array" ref="B177:B177">IFERROR(INDEX('CLM &amp; IM Mapping'!$B$2:$B$270,MATCH($A177,'CLM &amp; IM Mapping'!$A$2:$A$270,0)),"Not Mapped")</f>
        <v>Richard Harris</v>
      </c>
      <c r="C177" s="81" t="str">
        <f aca="false" t="array" ref="C177:C177">IFERROR(INDEX('CLM &amp; IM Mapping'!$C$2:$C$270,MATCH($A177,'CLM &amp; IM Mapping'!$A$2:$A$270,0)),"Not Mapped")</f>
        <v>Kantha Kumar</v>
      </c>
      <c r="D177" s="82" t="n">
        <f aca="false">IF(COUNTIFS(Shrinkage!$A$2:$A$3000,$K$2,Shrinkage!$D$2:$D$3000,$A177)&gt;0,SUMIFS(Shrinkage!$P$2:$P$3000,Shrinkage!$A$2:$A$3000,$K$2,Shrinkage!$D$2:$D$3000,$A177),IF(COUNTIFS(Shrinkage!$A$2:$A$3000,$K$2,Shrinkage!$D$2:$D$3000,SUBSTITUTE($A177," SS","  SS"))&gt;0,SUMIFS(Shrinkage!$P$2:$P$3000,Shrinkage!$A$2:$A$3000,$K$2,Shrinkage!$D$2:$D$3000,SUBSTITUTE($A177," SS","  SS")),"NA"))</f>
        <v>48274</v>
      </c>
      <c r="E177" s="83" t="n">
        <f aca="false">IF(COUNTIFS('Inventory Hygiene'!$A$2:$A$3000,$K$2,'Inventory Hygiene'!$B$2:$B$3000,$A177)&gt;0,AVERAGEIFS('Inventory Hygiene'!$J$2:$J$3000,'Inventory Hygiene'!$A$2:$A$3000,$K$2,'Inventory Hygiene'!$B$2:$B$3000,$A177),IF(COUNTIFS('Inventory Hygiene'!$A$2:$A$3000,$K$2,'Inventory Hygiene'!$B$2:$B$3000,SUBSTITUTE($A177," SS","  SS"))&gt;0,AVERAGEIFS('Inventory Hygiene'!$J$2:$J$3000,'Inventory Hygiene'!$A$2:$A$3000,$K$2,'Inventory Hygiene'!$B$2:$B$3000,SUBSTITUTE($A177," SS","  SS")),"NA"))</f>
        <v>0.389756402248595</v>
      </c>
      <c r="F177" s="81" t="n">
        <f aca="false">IF(COUNTIFS('Bad Bins'!$A$2:$A$3000,$K$2,'Bad Bins'!$B$2:$B$3000,$A177)&gt;0,SUMIFS('Bad Bins'!$K$2:$K$3000,'Bad Bins'!$A$2:$A$3000,$K$2,'Bad Bins'!$B$2:$B$3000,$A177),IF(COUNTIFS('Bad Bins'!$A$2:$A$3000,$K$2,'Bad Bins'!$B$2:$B$3000,SUBSTITUTE($A177," SS","  SS"))&gt;0,SUMIFS('Bad Bins'!$K$2:$K$3000,'Bad Bins'!$A$2:$A$3000,$K$2,'Bad Bins'!$B$2:$B$3000,SUBSTITUTE($A177," SS","  SS")),"NA"))</f>
        <v>207</v>
      </c>
      <c r="G177" s="81" t="str">
        <f aca="false">IF(COUNTIFS('RSTO &gt; 48hrs'!$A$2:$A$3000,$K$2,'RSTO &gt; 48hrs'!$B$2:$B$3000,$A177)&gt;0,SUMIFS('RSTO &gt; 48hrs'!$H$2:$H$3000,'RSTO &gt; 48hrs'!$A$2:$A$3000,$K$2,'RSTO &gt; 48hrs'!$B$2:$B$3000,$A177),IF(COUNTIFS('RSTO &gt; 48hrs'!$A$2:$A$3000,$K$2,'RSTO &gt; 48hrs'!$B$2:$B$3000,SUBSTITUTE($A177," SS","  SS"))&gt;0,SUMIFS('RSTO &gt; 48hrs'!$H$2:$H$3000,'RSTO &gt; 48hrs'!$A$2:$A$3000,$K$2,'RSTO &gt; 48hrs'!$B$2:$B$3000,SUBSTITUTE($A177," SS","  SS")),"NA"))</f>
        <v>NA</v>
      </c>
      <c r="H177" s="81" t="str">
        <f aca="false">IF(COUNTIFS('Recirculation &gt; 24 hrs'!$A$2:$A$3000,$K$2,'Recirculation &gt; 24 hrs'!$B$2:$B$3000,$A177)&gt;0,SUMIFS('Recirculation &gt; 24 hrs'!$K$2:$K$3000,'Recirculation &gt; 24 hrs'!$A$2:$A$3000,$K$2,'Recirculation &gt; 24 hrs'!$B$2:$B$3000,$A177),IF(COUNTIFS('Recirculation &gt; 24 hrs'!$A$2:$A$3000,$K$2,'Recirculation &gt; 24 hrs'!$B$2:$B$3000,SUBSTITUTE($A177," SS","  SS"))&gt;0,SUMIFS('Recirculation &gt; 24 hrs'!$K$2:$K$3000,'Recirculation &gt; 24 hrs'!$A$2:$A$3000,$K$2,'Recirculation &gt; 24 hrs'!$B$2:$B$3000,SUBSTITUTE($A177," SS","  SS")),"NA"))</f>
        <v>NA</v>
      </c>
      <c r="I177" s="81" t="n">
        <f aca="false">IF(COUNTIFS('Pending Putaway'!$A$2:$A$3000,$K$2,'Pending Putaway'!$B$2:$B$3000,$A177)&gt;0,SUMIFS('Pending Putaway'!$E$2:$E$3000,'Pending Putaway'!$A$2:$A$3000,$K$2,'Pending Putaway'!$B$2:$B$3000,$A177),IF(COUNTIFS('Pending Putaway'!$A$2:$A$3000,$K$2,'Pending Putaway'!$B$2:$B$3000,SUBSTITUTE($A177," SS","  SS"))&gt;0,SUMIFS('Pending Putaway'!$E$2:$E$3000,'Pending Putaway'!$A$2:$A$3000,$K$2,'Pending Putaway'!$B$2:$B$3000,SUBSTITUTE($A177," SS","  SS")),"NA"))</f>
        <v>4395</v>
      </c>
      <c r="J177" s="81" t="n">
        <f aca="false">IF(COUNTIFS('Pending Putaway'!$A$2:$A$3000,$K$2,'Pending Putaway'!$B$2:$B$3000,$A177)&gt;0,SUMIFS('Pending Putaway'!$L$2:$L$3000,'Pending Putaway'!$A$2:$A$3000,$K$2,'Pending Putaway'!$B$2:$B$3000,$A177),IF(COUNTIFS('Pending Putaway'!$A$2:$A$3000,$K$2,'Pending Putaway'!$B$2:$B$3000,SUBSTITUTE($A177," SS","  SS"))&gt;0,SUMIFS('Pending Putaway'!$L$2:$L$3000,'Pending Putaway'!$A$2:$A$3000,$K$2,'Pending Putaway'!$B$2:$B$3000,SUBSTITUTE($A177," SS","  SS")),"NA"))</f>
        <v>4068</v>
      </c>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row>
    <row r="178" customFormat="false" ht="15.75" hidden="false" customHeight="true" outlineLevel="0" collapsed="false">
      <c r="A178" s="81" t="s">
        <v>184</v>
      </c>
      <c r="B178" s="81" t="str">
        <f aca="false" t="array" ref="B178:B178">IFERROR(INDEX('CLM &amp; IM Mapping'!$B$2:$B$270,MATCH($A178,'CLM &amp; IM Mapping'!$A$2:$A$270,0)),"Not Mapped")</f>
        <v>Richard Harris</v>
      </c>
      <c r="C178" s="81" t="str">
        <f aca="false" t="array" ref="C178:C178">IFERROR(INDEX('CLM &amp; IM Mapping'!$C$2:$C$270,MATCH($A178,'CLM &amp; IM Mapping'!$A$2:$A$270,0)),"Not Mapped")</f>
        <v>Kantha Kumar</v>
      </c>
      <c r="D178" s="82" t="n">
        <f aca="false">IF(COUNTIFS(Shrinkage!$A$2:$A$3000,$K$2,Shrinkage!$D$2:$D$3000,$A178)&gt;0,SUMIFS(Shrinkage!$P$2:$P$3000,Shrinkage!$A$2:$A$3000,$K$2,Shrinkage!$D$2:$D$3000,$A178),IF(COUNTIFS(Shrinkage!$A$2:$A$3000,$K$2,Shrinkage!$D$2:$D$3000,SUBSTITUTE($A178," SS","  SS"))&gt;0,SUMIFS(Shrinkage!$P$2:$P$3000,Shrinkage!$A$2:$A$3000,$K$2,Shrinkage!$D$2:$D$3000,SUBSTITUTE($A178," SS","  SS")),"NA"))</f>
        <v>28117</v>
      </c>
      <c r="E178" s="83" t="n">
        <f aca="false">IF(COUNTIFS('Inventory Hygiene'!$A$2:$A$3000,$K$2,'Inventory Hygiene'!$B$2:$B$3000,$A178)&gt;0,AVERAGEIFS('Inventory Hygiene'!$J$2:$J$3000,'Inventory Hygiene'!$A$2:$A$3000,$K$2,'Inventory Hygiene'!$B$2:$B$3000,$A178),IF(COUNTIFS('Inventory Hygiene'!$A$2:$A$3000,$K$2,'Inventory Hygiene'!$B$2:$B$3000,SUBSTITUTE($A178," SS","  SS"))&gt;0,AVERAGEIFS('Inventory Hygiene'!$J$2:$J$3000,'Inventory Hygiene'!$A$2:$A$3000,$K$2,'Inventory Hygiene'!$B$2:$B$3000,SUBSTITUTE($A178," SS","  SS")),"NA"))</f>
        <v>0.271705597179374</v>
      </c>
      <c r="F178" s="81" t="n">
        <f aca="false">IF(COUNTIFS('Bad Bins'!$A$2:$A$3000,$K$2,'Bad Bins'!$B$2:$B$3000,$A178)&gt;0,SUMIFS('Bad Bins'!$K$2:$K$3000,'Bad Bins'!$A$2:$A$3000,$K$2,'Bad Bins'!$B$2:$B$3000,$A178),IF(COUNTIFS('Bad Bins'!$A$2:$A$3000,$K$2,'Bad Bins'!$B$2:$B$3000,SUBSTITUTE($A178," SS","  SS"))&gt;0,SUMIFS('Bad Bins'!$K$2:$K$3000,'Bad Bins'!$A$2:$A$3000,$K$2,'Bad Bins'!$B$2:$B$3000,SUBSTITUTE($A178," SS","  SS")),"NA"))</f>
        <v>763</v>
      </c>
      <c r="G178" s="81" t="str">
        <f aca="false">IF(COUNTIFS('RSTO &gt; 48hrs'!$A$2:$A$3000,$K$2,'RSTO &gt; 48hrs'!$B$2:$B$3000,$A178)&gt;0,SUMIFS('RSTO &gt; 48hrs'!$H$2:$H$3000,'RSTO &gt; 48hrs'!$A$2:$A$3000,$K$2,'RSTO &gt; 48hrs'!$B$2:$B$3000,$A178),IF(COUNTIFS('RSTO &gt; 48hrs'!$A$2:$A$3000,$K$2,'RSTO &gt; 48hrs'!$B$2:$B$3000,SUBSTITUTE($A178," SS","  SS"))&gt;0,SUMIFS('RSTO &gt; 48hrs'!$H$2:$H$3000,'RSTO &gt; 48hrs'!$A$2:$A$3000,$K$2,'RSTO &gt; 48hrs'!$B$2:$B$3000,SUBSTITUTE($A178," SS","  SS")),"NA"))</f>
        <v>NA</v>
      </c>
      <c r="H178" s="81" t="str">
        <f aca="false">IF(COUNTIFS('Recirculation &gt; 24 hrs'!$A$2:$A$3000,$K$2,'Recirculation &gt; 24 hrs'!$B$2:$B$3000,$A178)&gt;0,SUMIFS('Recirculation &gt; 24 hrs'!$K$2:$K$3000,'Recirculation &gt; 24 hrs'!$A$2:$A$3000,$K$2,'Recirculation &gt; 24 hrs'!$B$2:$B$3000,$A178),IF(COUNTIFS('Recirculation &gt; 24 hrs'!$A$2:$A$3000,$K$2,'Recirculation &gt; 24 hrs'!$B$2:$B$3000,SUBSTITUTE($A178," SS","  SS"))&gt;0,SUMIFS('Recirculation &gt; 24 hrs'!$K$2:$K$3000,'Recirculation &gt; 24 hrs'!$A$2:$A$3000,$K$2,'Recirculation &gt; 24 hrs'!$B$2:$B$3000,SUBSTITUTE($A178," SS","  SS")),"NA"))</f>
        <v>NA</v>
      </c>
      <c r="I178" s="81" t="n">
        <f aca="false">IF(COUNTIFS('Pending Putaway'!$A$2:$A$3000,$K$2,'Pending Putaway'!$B$2:$B$3000,$A178)&gt;0,SUMIFS('Pending Putaway'!$E$2:$E$3000,'Pending Putaway'!$A$2:$A$3000,$K$2,'Pending Putaway'!$B$2:$B$3000,$A178),IF(COUNTIFS('Pending Putaway'!$A$2:$A$3000,$K$2,'Pending Putaway'!$B$2:$B$3000,SUBSTITUTE($A178," SS","  SS"))&gt;0,SUMIFS('Pending Putaway'!$E$2:$E$3000,'Pending Putaway'!$A$2:$A$3000,$K$2,'Pending Putaway'!$B$2:$B$3000,SUBSTITUTE($A178," SS","  SS")),"NA"))</f>
        <v>3246</v>
      </c>
      <c r="J178" s="81" t="n">
        <f aca="false">IF(COUNTIFS('Pending Putaway'!$A$2:$A$3000,$K$2,'Pending Putaway'!$B$2:$B$3000,$A178)&gt;0,SUMIFS('Pending Putaway'!$L$2:$L$3000,'Pending Putaway'!$A$2:$A$3000,$K$2,'Pending Putaway'!$B$2:$B$3000,$A178),IF(COUNTIFS('Pending Putaway'!$A$2:$A$3000,$K$2,'Pending Putaway'!$B$2:$B$3000,SUBSTITUTE($A178," SS","  SS"))&gt;0,SUMIFS('Pending Putaway'!$L$2:$L$3000,'Pending Putaway'!$A$2:$A$3000,$K$2,'Pending Putaway'!$B$2:$B$3000,SUBSTITUTE($A178," SS","  SS")),"NA"))</f>
        <v>23</v>
      </c>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row>
    <row r="179" customFormat="false" ht="15.75" hidden="false" customHeight="true" outlineLevel="0" collapsed="false">
      <c r="A179" s="81" t="s">
        <v>412</v>
      </c>
      <c r="B179" s="81" t="str">
        <f aca="false" t="array" ref="B179:B179">IFERROR(INDEX('CLM &amp; IM Mapping'!$B$2:$B$270,MATCH($A179,'CLM &amp; IM Mapping'!$A$2:$A$270,0)),"Not Mapped")</f>
        <v>Richard Harris</v>
      </c>
      <c r="C179" s="81" t="str">
        <f aca="false" t="array" ref="C179:C179">IFERROR(INDEX('CLM &amp; IM Mapping'!$C$2:$C$270,MATCH($A179,'CLM &amp; IM Mapping'!$A$2:$A$270,0)),"Not Mapped")</f>
        <v>Kantha Kumar</v>
      </c>
      <c r="D179" s="82" t="n">
        <f aca="false">IF(COUNTIFS(Shrinkage!$A$2:$A$3000,$K$2,Shrinkage!$D$2:$D$3000,$A179)&gt;0,SUMIFS(Shrinkage!$P$2:$P$3000,Shrinkage!$A$2:$A$3000,$K$2,Shrinkage!$D$2:$D$3000,$A179),IF(COUNTIFS(Shrinkage!$A$2:$A$3000,$K$2,Shrinkage!$D$2:$D$3000,SUBSTITUTE($A179," SS","  SS"))&gt;0,SUMIFS(Shrinkage!$P$2:$P$3000,Shrinkage!$A$2:$A$3000,$K$2,Shrinkage!$D$2:$D$3000,SUBSTITUTE($A179," SS","  SS")),"NA"))</f>
        <v>2847</v>
      </c>
      <c r="E179" s="83" t="n">
        <f aca="false">IF(COUNTIFS('Inventory Hygiene'!$A$2:$A$3000,$K$2,'Inventory Hygiene'!$B$2:$B$3000,$A179)&gt;0,AVERAGEIFS('Inventory Hygiene'!$J$2:$J$3000,'Inventory Hygiene'!$A$2:$A$3000,$K$2,'Inventory Hygiene'!$B$2:$B$3000,$A179),IF(COUNTIFS('Inventory Hygiene'!$A$2:$A$3000,$K$2,'Inventory Hygiene'!$B$2:$B$3000,SUBSTITUTE($A179," SS","  SS"))&gt;0,AVERAGEIFS('Inventory Hygiene'!$J$2:$J$3000,'Inventory Hygiene'!$A$2:$A$3000,$K$2,'Inventory Hygiene'!$B$2:$B$3000,SUBSTITUTE($A179," SS","  SS")),"NA"))</f>
        <v>0.65532583093431</v>
      </c>
      <c r="F179" s="81" t="n">
        <f aca="false">IF(COUNTIFS('Bad Bins'!$A$2:$A$3000,$K$2,'Bad Bins'!$B$2:$B$3000,$A179)&gt;0,SUMIFS('Bad Bins'!$K$2:$K$3000,'Bad Bins'!$A$2:$A$3000,$K$2,'Bad Bins'!$B$2:$B$3000,$A179),IF(COUNTIFS('Bad Bins'!$A$2:$A$3000,$K$2,'Bad Bins'!$B$2:$B$3000,SUBSTITUTE($A179," SS","  SS"))&gt;0,SUMIFS('Bad Bins'!$K$2:$K$3000,'Bad Bins'!$A$2:$A$3000,$K$2,'Bad Bins'!$B$2:$B$3000,SUBSTITUTE($A179," SS","  SS")),"NA"))</f>
        <v>126</v>
      </c>
      <c r="G179" s="81" t="str">
        <f aca="false">IF(COUNTIFS('RSTO &gt; 48hrs'!$A$2:$A$3000,$K$2,'RSTO &gt; 48hrs'!$B$2:$B$3000,$A179)&gt;0,SUMIFS('RSTO &gt; 48hrs'!$H$2:$H$3000,'RSTO &gt; 48hrs'!$A$2:$A$3000,$K$2,'RSTO &gt; 48hrs'!$B$2:$B$3000,$A179),IF(COUNTIFS('RSTO &gt; 48hrs'!$A$2:$A$3000,$K$2,'RSTO &gt; 48hrs'!$B$2:$B$3000,SUBSTITUTE($A179," SS","  SS"))&gt;0,SUMIFS('RSTO &gt; 48hrs'!$H$2:$H$3000,'RSTO &gt; 48hrs'!$A$2:$A$3000,$K$2,'RSTO &gt; 48hrs'!$B$2:$B$3000,SUBSTITUTE($A179," SS","  SS")),"NA"))</f>
        <v>NA</v>
      </c>
      <c r="H179" s="81" t="n">
        <f aca="false">IF(COUNTIFS('Recirculation &gt; 24 hrs'!$A$2:$A$3000,$K$2,'Recirculation &gt; 24 hrs'!$B$2:$B$3000,$A179)&gt;0,SUMIFS('Recirculation &gt; 24 hrs'!$K$2:$K$3000,'Recirculation &gt; 24 hrs'!$A$2:$A$3000,$K$2,'Recirculation &gt; 24 hrs'!$B$2:$B$3000,$A179),IF(COUNTIFS('Recirculation &gt; 24 hrs'!$A$2:$A$3000,$K$2,'Recirculation &gt; 24 hrs'!$B$2:$B$3000,SUBSTITUTE($A179," SS","  SS"))&gt;0,SUMIFS('Recirculation &gt; 24 hrs'!$K$2:$K$3000,'Recirculation &gt; 24 hrs'!$A$2:$A$3000,$K$2,'Recirculation &gt; 24 hrs'!$B$2:$B$3000,SUBSTITUTE($A179," SS","  SS")),"NA"))</f>
        <v>668</v>
      </c>
      <c r="I179" s="81" t="n">
        <f aca="false">IF(COUNTIFS('Pending Putaway'!$A$2:$A$3000,$K$2,'Pending Putaway'!$B$2:$B$3000,$A179)&gt;0,SUMIFS('Pending Putaway'!$E$2:$E$3000,'Pending Putaway'!$A$2:$A$3000,$K$2,'Pending Putaway'!$B$2:$B$3000,$A179),IF(COUNTIFS('Pending Putaway'!$A$2:$A$3000,$K$2,'Pending Putaway'!$B$2:$B$3000,SUBSTITUTE($A179," SS","  SS"))&gt;0,SUMIFS('Pending Putaway'!$E$2:$E$3000,'Pending Putaway'!$A$2:$A$3000,$K$2,'Pending Putaway'!$B$2:$B$3000,SUBSTITUTE($A179," SS","  SS")),"NA"))</f>
        <v>3133</v>
      </c>
      <c r="J179" s="81" t="n">
        <f aca="false">IF(COUNTIFS('Pending Putaway'!$A$2:$A$3000,$K$2,'Pending Putaway'!$B$2:$B$3000,$A179)&gt;0,SUMIFS('Pending Putaway'!$L$2:$L$3000,'Pending Putaway'!$A$2:$A$3000,$K$2,'Pending Putaway'!$B$2:$B$3000,$A179),IF(COUNTIFS('Pending Putaway'!$A$2:$A$3000,$K$2,'Pending Putaway'!$B$2:$B$3000,SUBSTITUTE($A179," SS","  SS"))&gt;0,SUMIFS('Pending Putaway'!$L$2:$L$3000,'Pending Putaway'!$A$2:$A$3000,$K$2,'Pending Putaway'!$B$2:$B$3000,SUBSTITUTE($A179," SS","  SS")),"NA"))</f>
        <v>0</v>
      </c>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row>
    <row r="180" customFormat="false" ht="15.75" hidden="false" customHeight="true" outlineLevel="0" collapsed="false">
      <c r="A180" s="81" t="s">
        <v>53</v>
      </c>
      <c r="B180" s="81" t="str">
        <f aca="false" t="array" ref="B180:B180">IFERROR(INDEX('CLM &amp; IM Mapping'!$B$2:$B$270,MATCH($A180,'CLM &amp; IM Mapping'!$A$2:$A$270,0)),"Not Mapped")</f>
        <v>Richard Harris</v>
      </c>
      <c r="C180" s="81" t="str">
        <f aca="false" t="array" ref="C180:C180">IFERROR(INDEX('CLM &amp; IM Mapping'!$C$2:$C$270,MATCH($A180,'CLM &amp; IM Mapping'!$A$2:$A$270,0)),"Not Mapped")</f>
        <v>Kantha Kumar</v>
      </c>
      <c r="D180" s="82" t="n">
        <f aca="false">IF(COUNTIFS(Shrinkage!$A$2:$A$3000,$K$2,Shrinkage!$D$2:$D$3000,$A180)&gt;0,SUMIFS(Shrinkage!$P$2:$P$3000,Shrinkage!$A$2:$A$3000,$K$2,Shrinkage!$D$2:$D$3000,$A180),IF(COUNTIFS(Shrinkage!$A$2:$A$3000,$K$2,Shrinkage!$D$2:$D$3000,SUBSTITUTE($A180," SS","  SS"))&gt;0,SUMIFS(Shrinkage!$P$2:$P$3000,Shrinkage!$A$2:$A$3000,$K$2,Shrinkage!$D$2:$D$3000,SUBSTITUTE($A180," SS","  SS")),"NA"))</f>
        <v>25248</v>
      </c>
      <c r="E180" s="83" t="n">
        <f aca="false">IF(COUNTIFS('Inventory Hygiene'!$A$2:$A$3000,$K$2,'Inventory Hygiene'!$B$2:$B$3000,$A180)&gt;0,AVERAGEIFS('Inventory Hygiene'!$J$2:$J$3000,'Inventory Hygiene'!$A$2:$A$3000,$K$2,'Inventory Hygiene'!$B$2:$B$3000,$A180),IF(COUNTIFS('Inventory Hygiene'!$A$2:$A$3000,$K$2,'Inventory Hygiene'!$B$2:$B$3000,SUBSTITUTE($A180," SS","  SS"))&gt;0,AVERAGEIFS('Inventory Hygiene'!$J$2:$J$3000,'Inventory Hygiene'!$A$2:$A$3000,$K$2,'Inventory Hygiene'!$B$2:$B$3000,SUBSTITUTE($A180," SS","  SS")),"NA"))</f>
        <v>0.450396076952094</v>
      </c>
      <c r="F180" s="81" t="n">
        <f aca="false">IF(COUNTIFS('Bad Bins'!$A$2:$A$3000,$K$2,'Bad Bins'!$B$2:$B$3000,$A180)&gt;0,SUMIFS('Bad Bins'!$K$2:$K$3000,'Bad Bins'!$A$2:$A$3000,$K$2,'Bad Bins'!$B$2:$B$3000,$A180),IF(COUNTIFS('Bad Bins'!$A$2:$A$3000,$K$2,'Bad Bins'!$B$2:$B$3000,SUBSTITUTE($A180," SS","  SS"))&gt;0,SUMIFS('Bad Bins'!$K$2:$K$3000,'Bad Bins'!$A$2:$A$3000,$K$2,'Bad Bins'!$B$2:$B$3000,SUBSTITUTE($A180," SS","  SS")),"NA"))</f>
        <v>76</v>
      </c>
      <c r="G180" s="81" t="str">
        <f aca="false">IF(COUNTIFS('RSTO &gt; 48hrs'!$A$2:$A$3000,$K$2,'RSTO &gt; 48hrs'!$B$2:$B$3000,$A180)&gt;0,SUMIFS('RSTO &gt; 48hrs'!$H$2:$H$3000,'RSTO &gt; 48hrs'!$A$2:$A$3000,$K$2,'RSTO &gt; 48hrs'!$B$2:$B$3000,$A180),IF(COUNTIFS('RSTO &gt; 48hrs'!$A$2:$A$3000,$K$2,'RSTO &gt; 48hrs'!$B$2:$B$3000,SUBSTITUTE($A180," SS","  SS"))&gt;0,SUMIFS('RSTO &gt; 48hrs'!$H$2:$H$3000,'RSTO &gt; 48hrs'!$A$2:$A$3000,$K$2,'RSTO &gt; 48hrs'!$B$2:$B$3000,SUBSTITUTE($A180," SS","  SS")),"NA"))</f>
        <v>NA</v>
      </c>
      <c r="H180" s="81" t="str">
        <f aca="false">IF(COUNTIFS('Recirculation &gt; 24 hrs'!$A$2:$A$3000,$K$2,'Recirculation &gt; 24 hrs'!$B$2:$B$3000,$A180)&gt;0,SUMIFS('Recirculation &gt; 24 hrs'!$K$2:$K$3000,'Recirculation &gt; 24 hrs'!$A$2:$A$3000,$K$2,'Recirculation &gt; 24 hrs'!$B$2:$B$3000,$A180),IF(COUNTIFS('Recirculation &gt; 24 hrs'!$A$2:$A$3000,$K$2,'Recirculation &gt; 24 hrs'!$B$2:$B$3000,SUBSTITUTE($A180," SS","  SS"))&gt;0,SUMIFS('Recirculation &gt; 24 hrs'!$K$2:$K$3000,'Recirculation &gt; 24 hrs'!$A$2:$A$3000,$K$2,'Recirculation &gt; 24 hrs'!$B$2:$B$3000,SUBSTITUTE($A180," SS","  SS")),"NA"))</f>
        <v>NA</v>
      </c>
      <c r="I180" s="81" t="n">
        <f aca="false">IF(COUNTIFS('Pending Putaway'!$A$2:$A$3000,$K$2,'Pending Putaway'!$B$2:$B$3000,$A180)&gt;0,SUMIFS('Pending Putaway'!$E$2:$E$3000,'Pending Putaway'!$A$2:$A$3000,$K$2,'Pending Putaway'!$B$2:$B$3000,$A180),IF(COUNTIFS('Pending Putaway'!$A$2:$A$3000,$K$2,'Pending Putaway'!$B$2:$B$3000,SUBSTITUTE($A180," SS","  SS"))&gt;0,SUMIFS('Pending Putaway'!$E$2:$E$3000,'Pending Putaway'!$A$2:$A$3000,$K$2,'Pending Putaway'!$B$2:$B$3000,SUBSTITUTE($A180," SS","  SS")),"NA"))</f>
        <v>3652</v>
      </c>
      <c r="J180" s="81" t="n">
        <f aca="false">IF(COUNTIFS('Pending Putaway'!$A$2:$A$3000,$K$2,'Pending Putaway'!$B$2:$B$3000,$A180)&gt;0,SUMIFS('Pending Putaway'!$L$2:$L$3000,'Pending Putaway'!$A$2:$A$3000,$K$2,'Pending Putaway'!$B$2:$B$3000,$A180),IF(COUNTIFS('Pending Putaway'!$A$2:$A$3000,$K$2,'Pending Putaway'!$B$2:$B$3000,SUBSTITUTE($A180," SS","  SS"))&gt;0,SUMIFS('Pending Putaway'!$L$2:$L$3000,'Pending Putaway'!$A$2:$A$3000,$K$2,'Pending Putaway'!$B$2:$B$3000,SUBSTITUTE($A180," SS","  SS")),"NA"))</f>
        <v>3652</v>
      </c>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row>
    <row r="181" customFormat="false" ht="15.75" hidden="false" customHeight="true" outlineLevel="0" collapsed="false">
      <c r="A181" s="81" t="s">
        <v>379</v>
      </c>
      <c r="B181" s="81" t="str">
        <f aca="false" t="array" ref="B181:B181">IFERROR(INDEX('CLM &amp; IM Mapping'!$B$2:$B$270,MATCH($A181,'CLM &amp; IM Mapping'!$A$2:$A$270,0)),"Not Mapped")</f>
        <v>Richard Harris</v>
      </c>
      <c r="C181" s="81" t="str">
        <f aca="false" t="array" ref="C181:C181">IFERROR(INDEX('CLM &amp; IM Mapping'!$C$2:$C$270,MATCH($A181,'CLM &amp; IM Mapping'!$A$2:$A$270,0)),"Not Mapped")</f>
        <v>Kantha Kumar</v>
      </c>
      <c r="D181" s="82" t="n">
        <f aca="false">IF(COUNTIFS(Shrinkage!$A$2:$A$3000,$K$2,Shrinkage!$D$2:$D$3000,$A181)&gt;0,SUMIFS(Shrinkage!$P$2:$P$3000,Shrinkage!$A$2:$A$3000,$K$2,Shrinkage!$D$2:$D$3000,$A181),IF(COUNTIFS(Shrinkage!$A$2:$A$3000,$K$2,Shrinkage!$D$2:$D$3000,SUBSTITUTE($A181," SS","  SS"))&gt;0,SUMIFS(Shrinkage!$P$2:$P$3000,Shrinkage!$A$2:$A$3000,$K$2,Shrinkage!$D$2:$D$3000,SUBSTITUTE($A181," SS","  SS")),"NA"))</f>
        <v>-626</v>
      </c>
      <c r="E181" s="83" t="n">
        <f aca="false">IF(COUNTIFS('Inventory Hygiene'!$A$2:$A$3000,$K$2,'Inventory Hygiene'!$B$2:$B$3000,$A181)&gt;0,AVERAGEIFS('Inventory Hygiene'!$J$2:$J$3000,'Inventory Hygiene'!$A$2:$A$3000,$K$2,'Inventory Hygiene'!$B$2:$B$3000,$A181),IF(COUNTIFS('Inventory Hygiene'!$A$2:$A$3000,$K$2,'Inventory Hygiene'!$B$2:$B$3000,SUBSTITUTE($A181," SS","  SS"))&gt;0,AVERAGEIFS('Inventory Hygiene'!$J$2:$J$3000,'Inventory Hygiene'!$A$2:$A$3000,$K$2,'Inventory Hygiene'!$B$2:$B$3000,SUBSTITUTE($A181," SS","  SS")),"NA"))</f>
        <v>0.464412111679119</v>
      </c>
      <c r="F181" s="81" t="n">
        <f aca="false">IF(COUNTIFS('Bad Bins'!$A$2:$A$3000,$K$2,'Bad Bins'!$B$2:$B$3000,$A181)&gt;0,SUMIFS('Bad Bins'!$K$2:$K$3000,'Bad Bins'!$A$2:$A$3000,$K$2,'Bad Bins'!$B$2:$B$3000,$A181),IF(COUNTIFS('Bad Bins'!$A$2:$A$3000,$K$2,'Bad Bins'!$B$2:$B$3000,SUBSTITUTE($A181," SS","  SS"))&gt;0,SUMIFS('Bad Bins'!$K$2:$K$3000,'Bad Bins'!$A$2:$A$3000,$K$2,'Bad Bins'!$B$2:$B$3000,SUBSTITUTE($A181," SS","  SS")),"NA"))</f>
        <v>239</v>
      </c>
      <c r="G181" s="81" t="str">
        <f aca="false">IF(COUNTIFS('RSTO &gt; 48hrs'!$A$2:$A$3000,$K$2,'RSTO &gt; 48hrs'!$B$2:$B$3000,$A181)&gt;0,SUMIFS('RSTO &gt; 48hrs'!$H$2:$H$3000,'RSTO &gt; 48hrs'!$A$2:$A$3000,$K$2,'RSTO &gt; 48hrs'!$B$2:$B$3000,$A181),IF(COUNTIFS('RSTO &gt; 48hrs'!$A$2:$A$3000,$K$2,'RSTO &gt; 48hrs'!$B$2:$B$3000,SUBSTITUTE($A181," SS","  SS"))&gt;0,SUMIFS('RSTO &gt; 48hrs'!$H$2:$H$3000,'RSTO &gt; 48hrs'!$A$2:$A$3000,$K$2,'RSTO &gt; 48hrs'!$B$2:$B$3000,SUBSTITUTE($A181," SS","  SS")),"NA"))</f>
        <v>NA</v>
      </c>
      <c r="H181" s="81" t="n">
        <f aca="false">IF(COUNTIFS('Recirculation &gt; 24 hrs'!$A$2:$A$3000,$K$2,'Recirculation &gt; 24 hrs'!$B$2:$B$3000,$A181)&gt;0,SUMIFS('Recirculation &gt; 24 hrs'!$K$2:$K$3000,'Recirculation &gt; 24 hrs'!$A$2:$A$3000,$K$2,'Recirculation &gt; 24 hrs'!$B$2:$B$3000,$A181),IF(COUNTIFS('Recirculation &gt; 24 hrs'!$A$2:$A$3000,$K$2,'Recirculation &gt; 24 hrs'!$B$2:$B$3000,SUBSTITUTE($A181," SS","  SS"))&gt;0,SUMIFS('Recirculation &gt; 24 hrs'!$K$2:$K$3000,'Recirculation &gt; 24 hrs'!$A$2:$A$3000,$K$2,'Recirculation &gt; 24 hrs'!$B$2:$B$3000,SUBSTITUTE($A181," SS","  SS")),"NA"))</f>
        <v>1</v>
      </c>
      <c r="I181" s="81" t="n">
        <f aca="false">IF(COUNTIFS('Pending Putaway'!$A$2:$A$3000,$K$2,'Pending Putaway'!$B$2:$B$3000,$A181)&gt;0,SUMIFS('Pending Putaway'!$E$2:$E$3000,'Pending Putaway'!$A$2:$A$3000,$K$2,'Pending Putaway'!$B$2:$B$3000,$A181),IF(COUNTIFS('Pending Putaway'!$A$2:$A$3000,$K$2,'Pending Putaway'!$B$2:$B$3000,SUBSTITUTE($A181," SS","  SS"))&gt;0,SUMIFS('Pending Putaway'!$E$2:$E$3000,'Pending Putaway'!$A$2:$A$3000,$K$2,'Pending Putaway'!$B$2:$B$3000,SUBSTITUTE($A181," SS","  SS")),"NA"))</f>
        <v>0</v>
      </c>
      <c r="J181" s="81" t="n">
        <f aca="false">IF(COUNTIFS('Pending Putaway'!$A$2:$A$3000,$K$2,'Pending Putaway'!$B$2:$B$3000,$A181)&gt;0,SUMIFS('Pending Putaway'!$L$2:$L$3000,'Pending Putaway'!$A$2:$A$3000,$K$2,'Pending Putaway'!$B$2:$B$3000,$A181),IF(COUNTIFS('Pending Putaway'!$A$2:$A$3000,$K$2,'Pending Putaway'!$B$2:$B$3000,SUBSTITUTE($A181," SS","  SS"))&gt;0,SUMIFS('Pending Putaway'!$L$2:$L$3000,'Pending Putaway'!$A$2:$A$3000,$K$2,'Pending Putaway'!$B$2:$B$3000,SUBSTITUTE($A181," SS","  SS")),"NA"))</f>
        <v>0</v>
      </c>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row>
    <row r="182" customFormat="false" ht="15.75" hidden="false" customHeight="true" outlineLevel="0" collapsed="false">
      <c r="A182" s="81" t="s">
        <v>171</v>
      </c>
      <c r="B182" s="81" t="str">
        <f aca="false" t="array" ref="B182:B182">IFERROR(INDEX('CLM &amp; IM Mapping'!$B$2:$B$270,MATCH($A182,'CLM &amp; IM Mapping'!$A$2:$A$270,0)),"Not Mapped")</f>
        <v>Ashwath S</v>
      </c>
      <c r="C182" s="81" t="str">
        <f aca="false" t="array" ref="C182:C182">IFERROR(INDEX('CLM &amp; IM Mapping'!$C$2:$C$270,MATCH($A182,'CLM &amp; IM Mapping'!$A$2:$A$270,0)),"Not Mapped")</f>
        <v>Kantha Kumar</v>
      </c>
      <c r="D182" s="82" t="n">
        <f aca="false">IF(COUNTIFS(Shrinkage!$A$2:$A$3000,$K$2,Shrinkage!$D$2:$D$3000,$A182)&gt;0,SUMIFS(Shrinkage!$P$2:$P$3000,Shrinkage!$A$2:$A$3000,$K$2,Shrinkage!$D$2:$D$3000,$A182),IF(COUNTIFS(Shrinkage!$A$2:$A$3000,$K$2,Shrinkage!$D$2:$D$3000,SUBSTITUTE($A182," SS","  SS"))&gt;0,SUMIFS(Shrinkage!$P$2:$P$3000,Shrinkage!$A$2:$A$3000,$K$2,Shrinkage!$D$2:$D$3000,SUBSTITUTE($A182," SS","  SS")),"NA"))</f>
        <v>28399</v>
      </c>
      <c r="E182" s="83" t="n">
        <f aca="false">IF(COUNTIFS('Inventory Hygiene'!$A$2:$A$3000,$K$2,'Inventory Hygiene'!$B$2:$B$3000,$A182)&gt;0,AVERAGEIFS('Inventory Hygiene'!$J$2:$J$3000,'Inventory Hygiene'!$A$2:$A$3000,$K$2,'Inventory Hygiene'!$B$2:$B$3000,$A182),IF(COUNTIFS('Inventory Hygiene'!$A$2:$A$3000,$K$2,'Inventory Hygiene'!$B$2:$B$3000,SUBSTITUTE($A182," SS","  SS"))&gt;0,AVERAGEIFS('Inventory Hygiene'!$J$2:$J$3000,'Inventory Hygiene'!$A$2:$A$3000,$K$2,'Inventory Hygiene'!$B$2:$B$3000,SUBSTITUTE($A182," SS","  SS")),"NA"))</f>
        <v>0.518827326519634</v>
      </c>
      <c r="F182" s="81" t="n">
        <f aca="false">IF(COUNTIFS('Bad Bins'!$A$2:$A$3000,$K$2,'Bad Bins'!$B$2:$B$3000,$A182)&gt;0,SUMIFS('Bad Bins'!$K$2:$K$3000,'Bad Bins'!$A$2:$A$3000,$K$2,'Bad Bins'!$B$2:$B$3000,$A182),IF(COUNTIFS('Bad Bins'!$A$2:$A$3000,$K$2,'Bad Bins'!$B$2:$B$3000,SUBSTITUTE($A182," SS","  SS"))&gt;0,SUMIFS('Bad Bins'!$K$2:$K$3000,'Bad Bins'!$A$2:$A$3000,$K$2,'Bad Bins'!$B$2:$B$3000,SUBSTITUTE($A182," SS","  SS")),"NA"))</f>
        <v>44</v>
      </c>
      <c r="G182" s="81" t="str">
        <f aca="false">IF(COUNTIFS('RSTO &gt; 48hrs'!$A$2:$A$3000,$K$2,'RSTO &gt; 48hrs'!$B$2:$B$3000,$A182)&gt;0,SUMIFS('RSTO &gt; 48hrs'!$H$2:$H$3000,'RSTO &gt; 48hrs'!$A$2:$A$3000,$K$2,'RSTO &gt; 48hrs'!$B$2:$B$3000,$A182),IF(COUNTIFS('RSTO &gt; 48hrs'!$A$2:$A$3000,$K$2,'RSTO &gt; 48hrs'!$B$2:$B$3000,SUBSTITUTE($A182," SS","  SS"))&gt;0,SUMIFS('RSTO &gt; 48hrs'!$H$2:$H$3000,'RSTO &gt; 48hrs'!$A$2:$A$3000,$K$2,'RSTO &gt; 48hrs'!$B$2:$B$3000,SUBSTITUTE($A182," SS","  SS")),"NA"))</f>
        <v>NA</v>
      </c>
      <c r="H182" s="81" t="str">
        <f aca="false">IF(COUNTIFS('Recirculation &gt; 24 hrs'!$A$2:$A$3000,$K$2,'Recirculation &gt; 24 hrs'!$B$2:$B$3000,$A182)&gt;0,SUMIFS('Recirculation &gt; 24 hrs'!$K$2:$K$3000,'Recirculation &gt; 24 hrs'!$A$2:$A$3000,$K$2,'Recirculation &gt; 24 hrs'!$B$2:$B$3000,$A182),IF(COUNTIFS('Recirculation &gt; 24 hrs'!$A$2:$A$3000,$K$2,'Recirculation &gt; 24 hrs'!$B$2:$B$3000,SUBSTITUTE($A182," SS","  SS"))&gt;0,SUMIFS('Recirculation &gt; 24 hrs'!$K$2:$K$3000,'Recirculation &gt; 24 hrs'!$A$2:$A$3000,$K$2,'Recirculation &gt; 24 hrs'!$B$2:$B$3000,SUBSTITUTE($A182," SS","  SS")),"NA"))</f>
        <v>NA</v>
      </c>
      <c r="I182" s="81" t="n">
        <f aca="false">IF(COUNTIFS('Pending Putaway'!$A$2:$A$3000,$K$2,'Pending Putaway'!$B$2:$B$3000,$A182)&gt;0,SUMIFS('Pending Putaway'!$E$2:$E$3000,'Pending Putaway'!$A$2:$A$3000,$K$2,'Pending Putaway'!$B$2:$B$3000,$A182),IF(COUNTIFS('Pending Putaway'!$A$2:$A$3000,$K$2,'Pending Putaway'!$B$2:$B$3000,SUBSTITUTE($A182," SS","  SS"))&gt;0,SUMIFS('Pending Putaway'!$E$2:$E$3000,'Pending Putaway'!$A$2:$A$3000,$K$2,'Pending Putaway'!$B$2:$B$3000,SUBSTITUTE($A182," SS","  SS")),"NA"))</f>
        <v>12</v>
      </c>
      <c r="J182" s="81" t="n">
        <f aca="false">IF(COUNTIFS('Pending Putaway'!$A$2:$A$3000,$K$2,'Pending Putaway'!$B$2:$B$3000,$A182)&gt;0,SUMIFS('Pending Putaway'!$L$2:$L$3000,'Pending Putaway'!$A$2:$A$3000,$K$2,'Pending Putaway'!$B$2:$B$3000,$A182),IF(COUNTIFS('Pending Putaway'!$A$2:$A$3000,$K$2,'Pending Putaway'!$B$2:$B$3000,SUBSTITUTE($A182," SS","  SS"))&gt;0,SUMIFS('Pending Putaway'!$L$2:$L$3000,'Pending Putaway'!$A$2:$A$3000,$K$2,'Pending Putaway'!$B$2:$B$3000,SUBSTITUTE($A182," SS","  SS")),"NA"))</f>
        <v>0</v>
      </c>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row>
    <row r="183" customFormat="false" ht="15.75" hidden="false" customHeight="true" outlineLevel="0" collapsed="false">
      <c r="A183" s="81" t="s">
        <v>162</v>
      </c>
      <c r="B183" s="81" t="str">
        <f aca="false" t="array" ref="B183:B183">IFERROR(INDEX('CLM &amp; IM Mapping'!$B$2:$B$270,MATCH($A183,'CLM &amp; IM Mapping'!$A$2:$A$270,0)),"Not Mapped")</f>
        <v>Ashwath S</v>
      </c>
      <c r="C183" s="81" t="str">
        <f aca="false" t="array" ref="C183:C183">IFERROR(INDEX('CLM &amp; IM Mapping'!$C$2:$C$270,MATCH($A183,'CLM &amp; IM Mapping'!$A$2:$A$270,0)),"Not Mapped")</f>
        <v>Kantha Kumar</v>
      </c>
      <c r="D183" s="82" t="n">
        <f aca="false">IF(COUNTIFS(Shrinkage!$A$2:$A$3000,$K$2,Shrinkage!$D$2:$D$3000,$A183)&gt;0,SUMIFS(Shrinkage!$P$2:$P$3000,Shrinkage!$A$2:$A$3000,$K$2,Shrinkage!$D$2:$D$3000,$A183),IF(COUNTIFS(Shrinkage!$A$2:$A$3000,$K$2,Shrinkage!$D$2:$D$3000,SUBSTITUTE($A183," SS","  SS"))&gt;0,SUMIFS(Shrinkage!$P$2:$P$3000,Shrinkage!$A$2:$A$3000,$K$2,Shrinkage!$D$2:$D$3000,SUBSTITUTE($A183," SS","  SS")),"NA"))</f>
        <v>7615</v>
      </c>
      <c r="E183" s="83" t="n">
        <f aca="false">IF(COUNTIFS('Inventory Hygiene'!$A$2:$A$3000,$K$2,'Inventory Hygiene'!$B$2:$B$3000,$A183)&gt;0,AVERAGEIFS('Inventory Hygiene'!$J$2:$J$3000,'Inventory Hygiene'!$A$2:$A$3000,$K$2,'Inventory Hygiene'!$B$2:$B$3000,$A183),IF(COUNTIFS('Inventory Hygiene'!$A$2:$A$3000,$K$2,'Inventory Hygiene'!$B$2:$B$3000,SUBSTITUTE($A183," SS","  SS"))&gt;0,AVERAGEIFS('Inventory Hygiene'!$J$2:$J$3000,'Inventory Hygiene'!$A$2:$A$3000,$K$2,'Inventory Hygiene'!$B$2:$B$3000,SUBSTITUTE($A183," SS","  SS")),"NA"))</f>
        <v>0.791165962974992</v>
      </c>
      <c r="F183" s="81" t="n">
        <f aca="false">IF(COUNTIFS('Bad Bins'!$A$2:$A$3000,$K$2,'Bad Bins'!$B$2:$B$3000,$A183)&gt;0,SUMIFS('Bad Bins'!$K$2:$K$3000,'Bad Bins'!$A$2:$A$3000,$K$2,'Bad Bins'!$B$2:$B$3000,$A183),IF(COUNTIFS('Bad Bins'!$A$2:$A$3000,$K$2,'Bad Bins'!$B$2:$B$3000,SUBSTITUTE($A183," SS","  SS"))&gt;0,SUMIFS('Bad Bins'!$K$2:$K$3000,'Bad Bins'!$A$2:$A$3000,$K$2,'Bad Bins'!$B$2:$B$3000,SUBSTITUTE($A183," SS","  SS")),"NA"))</f>
        <v>116</v>
      </c>
      <c r="G183" s="81" t="str">
        <f aca="false">IF(COUNTIFS('RSTO &gt; 48hrs'!$A$2:$A$3000,$K$2,'RSTO &gt; 48hrs'!$B$2:$B$3000,$A183)&gt;0,SUMIFS('RSTO &gt; 48hrs'!$H$2:$H$3000,'RSTO &gt; 48hrs'!$A$2:$A$3000,$K$2,'RSTO &gt; 48hrs'!$B$2:$B$3000,$A183),IF(COUNTIFS('RSTO &gt; 48hrs'!$A$2:$A$3000,$K$2,'RSTO &gt; 48hrs'!$B$2:$B$3000,SUBSTITUTE($A183," SS","  SS"))&gt;0,SUMIFS('RSTO &gt; 48hrs'!$H$2:$H$3000,'RSTO &gt; 48hrs'!$A$2:$A$3000,$K$2,'RSTO &gt; 48hrs'!$B$2:$B$3000,SUBSTITUTE($A183," SS","  SS")),"NA"))</f>
        <v>NA</v>
      </c>
      <c r="H183" s="81" t="str">
        <f aca="false">IF(COUNTIFS('Recirculation &gt; 24 hrs'!$A$2:$A$3000,$K$2,'Recirculation &gt; 24 hrs'!$B$2:$B$3000,$A183)&gt;0,SUMIFS('Recirculation &gt; 24 hrs'!$K$2:$K$3000,'Recirculation &gt; 24 hrs'!$A$2:$A$3000,$K$2,'Recirculation &gt; 24 hrs'!$B$2:$B$3000,$A183),IF(COUNTIFS('Recirculation &gt; 24 hrs'!$A$2:$A$3000,$K$2,'Recirculation &gt; 24 hrs'!$B$2:$B$3000,SUBSTITUTE($A183," SS","  SS"))&gt;0,SUMIFS('Recirculation &gt; 24 hrs'!$K$2:$K$3000,'Recirculation &gt; 24 hrs'!$A$2:$A$3000,$K$2,'Recirculation &gt; 24 hrs'!$B$2:$B$3000,SUBSTITUTE($A183," SS","  SS")),"NA"))</f>
        <v>NA</v>
      </c>
      <c r="I183" s="81" t="n">
        <f aca="false">IF(COUNTIFS('Pending Putaway'!$A$2:$A$3000,$K$2,'Pending Putaway'!$B$2:$B$3000,$A183)&gt;0,SUMIFS('Pending Putaway'!$E$2:$E$3000,'Pending Putaway'!$A$2:$A$3000,$K$2,'Pending Putaway'!$B$2:$B$3000,$A183),IF(COUNTIFS('Pending Putaway'!$A$2:$A$3000,$K$2,'Pending Putaway'!$B$2:$B$3000,SUBSTITUTE($A183," SS","  SS"))&gt;0,SUMIFS('Pending Putaway'!$E$2:$E$3000,'Pending Putaway'!$A$2:$A$3000,$K$2,'Pending Putaway'!$B$2:$B$3000,SUBSTITUTE($A183," SS","  SS")),"NA"))</f>
        <v>3049</v>
      </c>
      <c r="J183" s="81" t="n">
        <f aca="false">IF(COUNTIFS('Pending Putaway'!$A$2:$A$3000,$K$2,'Pending Putaway'!$B$2:$B$3000,$A183)&gt;0,SUMIFS('Pending Putaway'!$L$2:$L$3000,'Pending Putaway'!$A$2:$A$3000,$K$2,'Pending Putaway'!$B$2:$B$3000,$A183),IF(COUNTIFS('Pending Putaway'!$A$2:$A$3000,$K$2,'Pending Putaway'!$B$2:$B$3000,SUBSTITUTE($A183," SS","  SS"))&gt;0,SUMIFS('Pending Putaway'!$L$2:$L$3000,'Pending Putaway'!$A$2:$A$3000,$K$2,'Pending Putaway'!$B$2:$B$3000,SUBSTITUTE($A183," SS","  SS")),"NA"))</f>
        <v>2999</v>
      </c>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row>
    <row r="184" customFormat="false" ht="15.75" hidden="false" customHeight="true" outlineLevel="0" collapsed="false">
      <c r="A184" s="81" t="s">
        <v>362</v>
      </c>
      <c r="B184" s="81" t="str">
        <f aca="false" t="array" ref="B184:B184">IFERROR(INDEX('CLM &amp; IM Mapping'!$B$2:$B$270,MATCH($A184,'CLM &amp; IM Mapping'!$A$2:$A$270,0)),"Not Mapped")</f>
        <v>Ashwath S</v>
      </c>
      <c r="C184" s="81" t="str">
        <f aca="false" t="array" ref="C184:C184">IFERROR(INDEX('CLM &amp; IM Mapping'!$C$2:$C$270,MATCH($A184,'CLM &amp; IM Mapping'!$A$2:$A$270,0)),"Not Mapped")</f>
        <v>Kantha Kumar</v>
      </c>
      <c r="D184" s="82" t="n">
        <f aca="false">IF(COUNTIFS(Shrinkage!$A$2:$A$3000,$K$2,Shrinkage!$D$2:$D$3000,$A184)&gt;0,SUMIFS(Shrinkage!$P$2:$P$3000,Shrinkage!$A$2:$A$3000,$K$2,Shrinkage!$D$2:$D$3000,$A184),IF(COUNTIFS(Shrinkage!$A$2:$A$3000,$K$2,Shrinkage!$D$2:$D$3000,SUBSTITUTE($A184," SS","  SS"))&gt;0,SUMIFS(Shrinkage!$P$2:$P$3000,Shrinkage!$A$2:$A$3000,$K$2,Shrinkage!$D$2:$D$3000,SUBSTITUTE($A184," SS","  SS")),"NA"))</f>
        <v>-1019</v>
      </c>
      <c r="E184" s="83" t="n">
        <f aca="false">IF(COUNTIFS('Inventory Hygiene'!$A$2:$A$3000,$K$2,'Inventory Hygiene'!$B$2:$B$3000,$A184)&gt;0,AVERAGEIFS('Inventory Hygiene'!$J$2:$J$3000,'Inventory Hygiene'!$A$2:$A$3000,$K$2,'Inventory Hygiene'!$B$2:$B$3000,$A184),IF(COUNTIFS('Inventory Hygiene'!$A$2:$A$3000,$K$2,'Inventory Hygiene'!$B$2:$B$3000,SUBSTITUTE($A184," SS","  SS"))&gt;0,AVERAGEIFS('Inventory Hygiene'!$J$2:$J$3000,'Inventory Hygiene'!$A$2:$A$3000,$K$2,'Inventory Hygiene'!$B$2:$B$3000,SUBSTITUTE($A184," SS","  SS")),"NA"))</f>
        <v>0.640489546149924</v>
      </c>
      <c r="F184" s="81" t="n">
        <f aca="false">IF(COUNTIFS('Bad Bins'!$A$2:$A$3000,$K$2,'Bad Bins'!$B$2:$B$3000,$A184)&gt;0,SUMIFS('Bad Bins'!$K$2:$K$3000,'Bad Bins'!$A$2:$A$3000,$K$2,'Bad Bins'!$B$2:$B$3000,$A184),IF(COUNTIFS('Bad Bins'!$A$2:$A$3000,$K$2,'Bad Bins'!$B$2:$B$3000,SUBSTITUTE($A184," SS","  SS"))&gt;0,SUMIFS('Bad Bins'!$K$2:$K$3000,'Bad Bins'!$A$2:$A$3000,$K$2,'Bad Bins'!$B$2:$B$3000,SUBSTITUTE($A184," SS","  SS")),"NA"))</f>
        <v>50</v>
      </c>
      <c r="G184" s="81" t="str">
        <f aca="false">IF(COUNTIFS('RSTO &gt; 48hrs'!$A$2:$A$3000,$K$2,'RSTO &gt; 48hrs'!$B$2:$B$3000,$A184)&gt;0,SUMIFS('RSTO &gt; 48hrs'!$H$2:$H$3000,'RSTO &gt; 48hrs'!$A$2:$A$3000,$K$2,'RSTO &gt; 48hrs'!$B$2:$B$3000,$A184),IF(COUNTIFS('RSTO &gt; 48hrs'!$A$2:$A$3000,$K$2,'RSTO &gt; 48hrs'!$B$2:$B$3000,SUBSTITUTE($A184," SS","  SS"))&gt;0,SUMIFS('RSTO &gt; 48hrs'!$H$2:$H$3000,'RSTO &gt; 48hrs'!$A$2:$A$3000,$K$2,'RSTO &gt; 48hrs'!$B$2:$B$3000,SUBSTITUTE($A184," SS","  SS")),"NA"))</f>
        <v>NA</v>
      </c>
      <c r="H184" s="81" t="str">
        <f aca="false">IF(COUNTIFS('Recirculation &gt; 24 hrs'!$A$2:$A$3000,$K$2,'Recirculation &gt; 24 hrs'!$B$2:$B$3000,$A184)&gt;0,SUMIFS('Recirculation &gt; 24 hrs'!$K$2:$K$3000,'Recirculation &gt; 24 hrs'!$A$2:$A$3000,$K$2,'Recirculation &gt; 24 hrs'!$B$2:$B$3000,$A184),IF(COUNTIFS('Recirculation &gt; 24 hrs'!$A$2:$A$3000,$K$2,'Recirculation &gt; 24 hrs'!$B$2:$B$3000,SUBSTITUTE($A184," SS","  SS"))&gt;0,SUMIFS('Recirculation &gt; 24 hrs'!$K$2:$K$3000,'Recirculation &gt; 24 hrs'!$A$2:$A$3000,$K$2,'Recirculation &gt; 24 hrs'!$B$2:$B$3000,SUBSTITUTE($A184," SS","  SS")),"NA"))</f>
        <v>NA</v>
      </c>
      <c r="I184" s="81" t="n">
        <f aca="false">IF(COUNTIFS('Pending Putaway'!$A$2:$A$3000,$K$2,'Pending Putaway'!$B$2:$B$3000,$A184)&gt;0,SUMIFS('Pending Putaway'!$E$2:$E$3000,'Pending Putaway'!$A$2:$A$3000,$K$2,'Pending Putaway'!$B$2:$B$3000,$A184),IF(COUNTIFS('Pending Putaway'!$A$2:$A$3000,$K$2,'Pending Putaway'!$B$2:$B$3000,SUBSTITUTE($A184," SS","  SS"))&gt;0,SUMIFS('Pending Putaway'!$E$2:$E$3000,'Pending Putaway'!$A$2:$A$3000,$K$2,'Pending Putaway'!$B$2:$B$3000,SUBSTITUTE($A184," SS","  SS")),"NA"))</f>
        <v>0</v>
      </c>
      <c r="J184" s="81" t="n">
        <f aca="false">IF(COUNTIFS('Pending Putaway'!$A$2:$A$3000,$K$2,'Pending Putaway'!$B$2:$B$3000,$A184)&gt;0,SUMIFS('Pending Putaway'!$L$2:$L$3000,'Pending Putaway'!$A$2:$A$3000,$K$2,'Pending Putaway'!$B$2:$B$3000,$A184),IF(COUNTIFS('Pending Putaway'!$A$2:$A$3000,$K$2,'Pending Putaway'!$B$2:$B$3000,SUBSTITUTE($A184," SS","  SS"))&gt;0,SUMIFS('Pending Putaway'!$L$2:$L$3000,'Pending Putaway'!$A$2:$A$3000,$K$2,'Pending Putaway'!$B$2:$B$3000,SUBSTITUTE($A184," SS","  SS")),"NA"))</f>
        <v>0</v>
      </c>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row>
    <row r="185" customFormat="false" ht="15.75" hidden="false" customHeight="true" outlineLevel="0" collapsed="false">
      <c r="A185" s="81" t="s">
        <v>309</v>
      </c>
      <c r="B185" s="81" t="str">
        <f aca="false" t="array" ref="B185:B185">IFERROR(INDEX('CLM &amp; IM Mapping'!$B$2:$B$270,MATCH($A185,'CLM &amp; IM Mapping'!$A$2:$A$270,0)),"Not Mapped")</f>
        <v>Ashwath S</v>
      </c>
      <c r="C185" s="81" t="str">
        <f aca="false" t="array" ref="C185:C185">IFERROR(INDEX('CLM &amp; IM Mapping'!$C$2:$C$270,MATCH($A185,'CLM &amp; IM Mapping'!$A$2:$A$270,0)),"Not Mapped")</f>
        <v>Kantha Kumar</v>
      </c>
      <c r="D185" s="82" t="n">
        <f aca="false">IF(COUNTIFS(Shrinkage!$A$2:$A$3000,$K$2,Shrinkage!$D$2:$D$3000,$A185)&gt;0,SUMIFS(Shrinkage!$P$2:$P$3000,Shrinkage!$A$2:$A$3000,$K$2,Shrinkage!$D$2:$D$3000,$A185),IF(COUNTIFS(Shrinkage!$A$2:$A$3000,$K$2,Shrinkage!$D$2:$D$3000,SUBSTITUTE($A185," SS","  SS"))&gt;0,SUMIFS(Shrinkage!$P$2:$P$3000,Shrinkage!$A$2:$A$3000,$K$2,Shrinkage!$D$2:$D$3000,SUBSTITUTE($A185," SS","  SS")),"NA"))</f>
        <v>-5082</v>
      </c>
      <c r="E185" s="83" t="n">
        <f aca="false">IF(COUNTIFS('Inventory Hygiene'!$A$2:$A$3000,$K$2,'Inventory Hygiene'!$B$2:$B$3000,$A185)&gt;0,AVERAGEIFS('Inventory Hygiene'!$J$2:$J$3000,'Inventory Hygiene'!$A$2:$A$3000,$K$2,'Inventory Hygiene'!$B$2:$B$3000,$A185),IF(COUNTIFS('Inventory Hygiene'!$A$2:$A$3000,$K$2,'Inventory Hygiene'!$B$2:$B$3000,SUBSTITUTE($A185," SS","  SS"))&gt;0,AVERAGEIFS('Inventory Hygiene'!$J$2:$J$3000,'Inventory Hygiene'!$A$2:$A$3000,$K$2,'Inventory Hygiene'!$B$2:$B$3000,SUBSTITUTE($A185," SS","  SS")),"NA"))</f>
        <v>0.965565954441109</v>
      </c>
      <c r="F185" s="81" t="n">
        <f aca="false">IF(COUNTIFS('Bad Bins'!$A$2:$A$3000,$K$2,'Bad Bins'!$B$2:$B$3000,$A185)&gt;0,SUMIFS('Bad Bins'!$K$2:$K$3000,'Bad Bins'!$A$2:$A$3000,$K$2,'Bad Bins'!$B$2:$B$3000,$A185),IF(COUNTIFS('Bad Bins'!$A$2:$A$3000,$K$2,'Bad Bins'!$B$2:$B$3000,SUBSTITUTE($A185," SS","  SS"))&gt;0,SUMIFS('Bad Bins'!$K$2:$K$3000,'Bad Bins'!$A$2:$A$3000,$K$2,'Bad Bins'!$B$2:$B$3000,SUBSTITUTE($A185," SS","  SS")),"NA"))</f>
        <v>135</v>
      </c>
      <c r="G185" s="81" t="str">
        <f aca="false">IF(COUNTIFS('RSTO &gt; 48hrs'!$A$2:$A$3000,$K$2,'RSTO &gt; 48hrs'!$B$2:$B$3000,$A185)&gt;0,SUMIFS('RSTO &gt; 48hrs'!$H$2:$H$3000,'RSTO &gt; 48hrs'!$A$2:$A$3000,$K$2,'RSTO &gt; 48hrs'!$B$2:$B$3000,$A185),IF(COUNTIFS('RSTO &gt; 48hrs'!$A$2:$A$3000,$K$2,'RSTO &gt; 48hrs'!$B$2:$B$3000,SUBSTITUTE($A185," SS","  SS"))&gt;0,SUMIFS('RSTO &gt; 48hrs'!$H$2:$H$3000,'RSTO &gt; 48hrs'!$A$2:$A$3000,$K$2,'RSTO &gt; 48hrs'!$B$2:$B$3000,SUBSTITUTE($A185," SS","  SS")),"NA"))</f>
        <v>NA</v>
      </c>
      <c r="H185" s="81" t="str">
        <f aca="false">IF(COUNTIFS('Recirculation &gt; 24 hrs'!$A$2:$A$3000,$K$2,'Recirculation &gt; 24 hrs'!$B$2:$B$3000,$A185)&gt;0,SUMIFS('Recirculation &gt; 24 hrs'!$K$2:$K$3000,'Recirculation &gt; 24 hrs'!$A$2:$A$3000,$K$2,'Recirculation &gt; 24 hrs'!$B$2:$B$3000,$A185),IF(COUNTIFS('Recirculation &gt; 24 hrs'!$A$2:$A$3000,$K$2,'Recirculation &gt; 24 hrs'!$B$2:$B$3000,SUBSTITUTE($A185," SS","  SS"))&gt;0,SUMIFS('Recirculation &gt; 24 hrs'!$K$2:$K$3000,'Recirculation &gt; 24 hrs'!$A$2:$A$3000,$K$2,'Recirculation &gt; 24 hrs'!$B$2:$B$3000,SUBSTITUTE($A185," SS","  SS")),"NA"))</f>
        <v>NA</v>
      </c>
      <c r="I185" s="81" t="n">
        <f aca="false">IF(COUNTIFS('Pending Putaway'!$A$2:$A$3000,$K$2,'Pending Putaway'!$B$2:$B$3000,$A185)&gt;0,SUMIFS('Pending Putaway'!$E$2:$E$3000,'Pending Putaway'!$A$2:$A$3000,$K$2,'Pending Putaway'!$B$2:$B$3000,$A185),IF(COUNTIFS('Pending Putaway'!$A$2:$A$3000,$K$2,'Pending Putaway'!$B$2:$B$3000,SUBSTITUTE($A185," SS","  SS"))&gt;0,SUMIFS('Pending Putaway'!$E$2:$E$3000,'Pending Putaway'!$A$2:$A$3000,$K$2,'Pending Putaway'!$B$2:$B$3000,SUBSTITUTE($A185," SS","  SS")),"NA"))</f>
        <v>187</v>
      </c>
      <c r="J185" s="81" t="n">
        <f aca="false">IF(COUNTIFS('Pending Putaway'!$A$2:$A$3000,$K$2,'Pending Putaway'!$B$2:$B$3000,$A185)&gt;0,SUMIFS('Pending Putaway'!$L$2:$L$3000,'Pending Putaway'!$A$2:$A$3000,$K$2,'Pending Putaway'!$B$2:$B$3000,$A185),IF(COUNTIFS('Pending Putaway'!$A$2:$A$3000,$K$2,'Pending Putaway'!$B$2:$B$3000,SUBSTITUTE($A185," SS","  SS"))&gt;0,SUMIFS('Pending Putaway'!$L$2:$L$3000,'Pending Putaway'!$A$2:$A$3000,$K$2,'Pending Putaway'!$B$2:$B$3000,SUBSTITUTE($A185," SS","  SS")),"NA"))</f>
        <v>0</v>
      </c>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row>
    <row r="186" customFormat="false" ht="15.75" hidden="false" customHeight="true" outlineLevel="0" collapsed="false">
      <c r="A186" s="81" t="s">
        <v>218</v>
      </c>
      <c r="B186" s="81" t="str">
        <f aca="false" t="array" ref="B186:B186">IFERROR(INDEX('CLM &amp; IM Mapping'!$B$2:$B$270,MATCH($A186,'CLM &amp; IM Mapping'!$A$2:$A$270,0)),"Not Mapped")</f>
        <v>Ashwath S</v>
      </c>
      <c r="C186" s="81" t="str">
        <f aca="false" t="array" ref="C186:C186">IFERROR(INDEX('CLM &amp; IM Mapping'!$C$2:$C$270,MATCH($A186,'CLM &amp; IM Mapping'!$A$2:$A$270,0)),"Not Mapped")</f>
        <v>Kantha Kumar</v>
      </c>
      <c r="D186" s="82" t="n">
        <f aca="false">IF(COUNTIFS(Shrinkage!$A$2:$A$3000,$K$2,Shrinkage!$D$2:$D$3000,$A186)&gt;0,SUMIFS(Shrinkage!$P$2:$P$3000,Shrinkage!$A$2:$A$3000,$K$2,Shrinkage!$D$2:$D$3000,$A186),IF(COUNTIFS(Shrinkage!$A$2:$A$3000,$K$2,Shrinkage!$D$2:$D$3000,SUBSTITUTE($A186," SS","  SS"))&gt;0,SUMIFS(Shrinkage!$P$2:$P$3000,Shrinkage!$A$2:$A$3000,$K$2,Shrinkage!$D$2:$D$3000,SUBSTITUTE($A186," SS","  SS")),"NA"))</f>
        <v>34813</v>
      </c>
      <c r="E186" s="83" t="n">
        <f aca="false">IF(COUNTIFS('Inventory Hygiene'!$A$2:$A$3000,$K$2,'Inventory Hygiene'!$B$2:$B$3000,$A186)&gt;0,AVERAGEIFS('Inventory Hygiene'!$J$2:$J$3000,'Inventory Hygiene'!$A$2:$A$3000,$K$2,'Inventory Hygiene'!$B$2:$B$3000,$A186),IF(COUNTIFS('Inventory Hygiene'!$A$2:$A$3000,$K$2,'Inventory Hygiene'!$B$2:$B$3000,SUBSTITUTE($A186," SS","  SS"))&gt;0,AVERAGEIFS('Inventory Hygiene'!$J$2:$J$3000,'Inventory Hygiene'!$A$2:$A$3000,$K$2,'Inventory Hygiene'!$B$2:$B$3000,SUBSTITUTE($A186," SS","  SS")),"NA"))</f>
        <v>0.536062906724512</v>
      </c>
      <c r="F186" s="81" t="n">
        <f aca="false">IF(COUNTIFS('Bad Bins'!$A$2:$A$3000,$K$2,'Bad Bins'!$B$2:$B$3000,$A186)&gt;0,SUMIFS('Bad Bins'!$K$2:$K$3000,'Bad Bins'!$A$2:$A$3000,$K$2,'Bad Bins'!$B$2:$B$3000,$A186),IF(COUNTIFS('Bad Bins'!$A$2:$A$3000,$K$2,'Bad Bins'!$B$2:$B$3000,SUBSTITUTE($A186," SS","  SS"))&gt;0,SUMIFS('Bad Bins'!$K$2:$K$3000,'Bad Bins'!$A$2:$A$3000,$K$2,'Bad Bins'!$B$2:$B$3000,SUBSTITUTE($A186," SS","  SS")),"NA"))</f>
        <v>268</v>
      </c>
      <c r="G186" s="81" t="str">
        <f aca="false">IF(COUNTIFS('RSTO &gt; 48hrs'!$A$2:$A$3000,$K$2,'RSTO &gt; 48hrs'!$B$2:$B$3000,$A186)&gt;0,SUMIFS('RSTO &gt; 48hrs'!$H$2:$H$3000,'RSTO &gt; 48hrs'!$A$2:$A$3000,$K$2,'RSTO &gt; 48hrs'!$B$2:$B$3000,$A186),IF(COUNTIFS('RSTO &gt; 48hrs'!$A$2:$A$3000,$K$2,'RSTO &gt; 48hrs'!$B$2:$B$3000,SUBSTITUTE($A186," SS","  SS"))&gt;0,SUMIFS('RSTO &gt; 48hrs'!$H$2:$H$3000,'RSTO &gt; 48hrs'!$A$2:$A$3000,$K$2,'RSTO &gt; 48hrs'!$B$2:$B$3000,SUBSTITUTE($A186," SS","  SS")),"NA"))</f>
        <v>NA</v>
      </c>
      <c r="H186" s="81" t="str">
        <f aca="false">IF(COUNTIFS('Recirculation &gt; 24 hrs'!$A$2:$A$3000,$K$2,'Recirculation &gt; 24 hrs'!$B$2:$B$3000,$A186)&gt;0,SUMIFS('Recirculation &gt; 24 hrs'!$K$2:$K$3000,'Recirculation &gt; 24 hrs'!$A$2:$A$3000,$K$2,'Recirculation &gt; 24 hrs'!$B$2:$B$3000,$A186),IF(COUNTIFS('Recirculation &gt; 24 hrs'!$A$2:$A$3000,$K$2,'Recirculation &gt; 24 hrs'!$B$2:$B$3000,SUBSTITUTE($A186," SS","  SS"))&gt;0,SUMIFS('Recirculation &gt; 24 hrs'!$K$2:$K$3000,'Recirculation &gt; 24 hrs'!$A$2:$A$3000,$K$2,'Recirculation &gt; 24 hrs'!$B$2:$B$3000,SUBSTITUTE($A186," SS","  SS")),"NA"))</f>
        <v>NA</v>
      </c>
      <c r="I186" s="81" t="n">
        <f aca="false">IF(COUNTIFS('Pending Putaway'!$A$2:$A$3000,$K$2,'Pending Putaway'!$B$2:$B$3000,$A186)&gt;0,SUMIFS('Pending Putaway'!$E$2:$E$3000,'Pending Putaway'!$A$2:$A$3000,$K$2,'Pending Putaway'!$B$2:$B$3000,$A186),IF(COUNTIFS('Pending Putaway'!$A$2:$A$3000,$K$2,'Pending Putaway'!$B$2:$B$3000,SUBSTITUTE($A186," SS","  SS"))&gt;0,SUMIFS('Pending Putaway'!$E$2:$E$3000,'Pending Putaway'!$A$2:$A$3000,$K$2,'Pending Putaway'!$B$2:$B$3000,SUBSTITUTE($A186," SS","  SS")),"NA"))</f>
        <v>0</v>
      </c>
      <c r="J186" s="81" t="n">
        <f aca="false">IF(COUNTIFS('Pending Putaway'!$A$2:$A$3000,$K$2,'Pending Putaway'!$B$2:$B$3000,$A186)&gt;0,SUMIFS('Pending Putaway'!$L$2:$L$3000,'Pending Putaway'!$A$2:$A$3000,$K$2,'Pending Putaway'!$B$2:$B$3000,$A186),IF(COUNTIFS('Pending Putaway'!$A$2:$A$3000,$K$2,'Pending Putaway'!$B$2:$B$3000,SUBSTITUTE($A186," SS","  SS"))&gt;0,SUMIFS('Pending Putaway'!$L$2:$L$3000,'Pending Putaway'!$A$2:$A$3000,$K$2,'Pending Putaway'!$B$2:$B$3000,SUBSTITUTE($A186," SS","  SS")),"NA"))</f>
        <v>0</v>
      </c>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row>
    <row r="187" customFormat="false" ht="15.75" hidden="false" customHeight="true" outlineLevel="0" collapsed="false">
      <c r="A187" s="81" t="s">
        <v>153</v>
      </c>
      <c r="B187" s="81" t="str">
        <f aca="false" t="array" ref="B187:B187">IFERROR(INDEX('CLM &amp; IM Mapping'!$B$2:$B$270,MATCH($A187,'CLM &amp; IM Mapping'!$A$2:$A$270,0)),"Not Mapped")</f>
        <v>Ashwath S</v>
      </c>
      <c r="C187" s="81" t="str">
        <f aca="false" t="array" ref="C187:C187">IFERROR(INDEX('CLM &amp; IM Mapping'!$C$2:$C$270,MATCH($A187,'CLM &amp; IM Mapping'!$A$2:$A$270,0)),"Not Mapped")</f>
        <v>Kantha Kumar</v>
      </c>
      <c r="D187" s="82" t="n">
        <f aca="false">IF(COUNTIFS(Shrinkage!$A$2:$A$3000,$K$2,Shrinkage!$D$2:$D$3000,$A187)&gt;0,SUMIFS(Shrinkage!$P$2:$P$3000,Shrinkage!$A$2:$A$3000,$K$2,Shrinkage!$D$2:$D$3000,$A187),IF(COUNTIFS(Shrinkage!$A$2:$A$3000,$K$2,Shrinkage!$D$2:$D$3000,SUBSTITUTE($A187," SS","  SS"))&gt;0,SUMIFS(Shrinkage!$P$2:$P$3000,Shrinkage!$A$2:$A$3000,$K$2,Shrinkage!$D$2:$D$3000,SUBSTITUTE($A187," SS","  SS")),"NA"))</f>
        <v>358</v>
      </c>
      <c r="E187" s="83" t="n">
        <f aca="false">IF(COUNTIFS('Inventory Hygiene'!$A$2:$A$3000,$K$2,'Inventory Hygiene'!$B$2:$B$3000,$A187)&gt;0,AVERAGEIFS('Inventory Hygiene'!$J$2:$J$3000,'Inventory Hygiene'!$A$2:$A$3000,$K$2,'Inventory Hygiene'!$B$2:$B$3000,$A187),IF(COUNTIFS('Inventory Hygiene'!$A$2:$A$3000,$K$2,'Inventory Hygiene'!$B$2:$B$3000,SUBSTITUTE($A187," SS","  SS"))&gt;0,AVERAGEIFS('Inventory Hygiene'!$J$2:$J$3000,'Inventory Hygiene'!$A$2:$A$3000,$K$2,'Inventory Hygiene'!$B$2:$B$3000,SUBSTITUTE($A187," SS","  SS")),"NA"))</f>
        <v>0.475409836065574</v>
      </c>
      <c r="F187" s="81" t="n">
        <f aca="false">IF(COUNTIFS('Bad Bins'!$A$2:$A$3000,$K$2,'Bad Bins'!$B$2:$B$3000,$A187)&gt;0,SUMIFS('Bad Bins'!$K$2:$K$3000,'Bad Bins'!$A$2:$A$3000,$K$2,'Bad Bins'!$B$2:$B$3000,$A187),IF(COUNTIFS('Bad Bins'!$A$2:$A$3000,$K$2,'Bad Bins'!$B$2:$B$3000,SUBSTITUTE($A187," SS","  SS"))&gt;0,SUMIFS('Bad Bins'!$K$2:$K$3000,'Bad Bins'!$A$2:$A$3000,$K$2,'Bad Bins'!$B$2:$B$3000,SUBSTITUTE($A187," SS","  SS")),"NA"))</f>
        <v>244</v>
      </c>
      <c r="G187" s="81" t="str">
        <f aca="false">IF(COUNTIFS('RSTO &gt; 48hrs'!$A$2:$A$3000,$K$2,'RSTO &gt; 48hrs'!$B$2:$B$3000,$A187)&gt;0,SUMIFS('RSTO &gt; 48hrs'!$H$2:$H$3000,'RSTO &gt; 48hrs'!$A$2:$A$3000,$K$2,'RSTO &gt; 48hrs'!$B$2:$B$3000,$A187),IF(COUNTIFS('RSTO &gt; 48hrs'!$A$2:$A$3000,$K$2,'RSTO &gt; 48hrs'!$B$2:$B$3000,SUBSTITUTE($A187," SS","  SS"))&gt;0,SUMIFS('RSTO &gt; 48hrs'!$H$2:$H$3000,'RSTO &gt; 48hrs'!$A$2:$A$3000,$K$2,'RSTO &gt; 48hrs'!$B$2:$B$3000,SUBSTITUTE($A187," SS","  SS")),"NA"))</f>
        <v>NA</v>
      </c>
      <c r="H187" s="81" t="n">
        <f aca="false">IF(COUNTIFS('Recirculation &gt; 24 hrs'!$A$2:$A$3000,$K$2,'Recirculation &gt; 24 hrs'!$B$2:$B$3000,$A187)&gt;0,SUMIFS('Recirculation &gt; 24 hrs'!$K$2:$K$3000,'Recirculation &gt; 24 hrs'!$A$2:$A$3000,$K$2,'Recirculation &gt; 24 hrs'!$B$2:$B$3000,$A187),IF(COUNTIFS('Recirculation &gt; 24 hrs'!$A$2:$A$3000,$K$2,'Recirculation &gt; 24 hrs'!$B$2:$B$3000,SUBSTITUTE($A187," SS","  SS"))&gt;0,SUMIFS('Recirculation &gt; 24 hrs'!$K$2:$K$3000,'Recirculation &gt; 24 hrs'!$A$2:$A$3000,$K$2,'Recirculation &gt; 24 hrs'!$B$2:$B$3000,SUBSTITUTE($A187," SS","  SS")),"NA"))</f>
        <v>8</v>
      </c>
      <c r="I187" s="81" t="n">
        <f aca="false">IF(COUNTIFS('Pending Putaway'!$A$2:$A$3000,$K$2,'Pending Putaway'!$B$2:$B$3000,$A187)&gt;0,SUMIFS('Pending Putaway'!$E$2:$E$3000,'Pending Putaway'!$A$2:$A$3000,$K$2,'Pending Putaway'!$B$2:$B$3000,$A187),IF(COUNTIFS('Pending Putaway'!$A$2:$A$3000,$K$2,'Pending Putaway'!$B$2:$B$3000,SUBSTITUTE($A187," SS","  SS"))&gt;0,SUMIFS('Pending Putaway'!$E$2:$E$3000,'Pending Putaway'!$A$2:$A$3000,$K$2,'Pending Putaway'!$B$2:$B$3000,SUBSTITUTE($A187," SS","  SS")),"NA"))</f>
        <v>398</v>
      </c>
      <c r="J187" s="81" t="n">
        <f aca="false">IF(COUNTIFS('Pending Putaway'!$A$2:$A$3000,$K$2,'Pending Putaway'!$B$2:$B$3000,$A187)&gt;0,SUMIFS('Pending Putaway'!$L$2:$L$3000,'Pending Putaway'!$A$2:$A$3000,$K$2,'Pending Putaway'!$B$2:$B$3000,$A187),IF(COUNTIFS('Pending Putaway'!$A$2:$A$3000,$K$2,'Pending Putaway'!$B$2:$B$3000,SUBSTITUTE($A187," SS","  SS"))&gt;0,SUMIFS('Pending Putaway'!$L$2:$L$3000,'Pending Putaway'!$A$2:$A$3000,$K$2,'Pending Putaway'!$B$2:$B$3000,SUBSTITUTE($A187," SS","  SS")),"NA"))</f>
        <v>251</v>
      </c>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row>
    <row r="188" customFormat="false" ht="15.75" hidden="false" customHeight="true" outlineLevel="0" collapsed="false">
      <c r="A188" s="81" t="s">
        <v>329</v>
      </c>
      <c r="B188" s="81" t="str">
        <f aca="false" t="array" ref="B188:B188">IFERROR(INDEX('CLM &amp; IM Mapping'!$B$2:$B$270,MATCH($A188,'CLM &amp; IM Mapping'!$A$2:$A$270,0)),"Not Mapped")</f>
        <v>Ashwath S</v>
      </c>
      <c r="C188" s="81" t="str">
        <f aca="false" t="array" ref="C188:C188">IFERROR(INDEX('CLM &amp; IM Mapping'!$C$2:$C$270,MATCH($A188,'CLM &amp; IM Mapping'!$A$2:$A$270,0)),"Not Mapped")</f>
        <v>Kantha Kumar</v>
      </c>
      <c r="D188" s="82" t="n">
        <f aca="false">IF(COUNTIFS(Shrinkage!$A$2:$A$3000,$K$2,Shrinkage!$D$2:$D$3000,$A188)&gt;0,SUMIFS(Shrinkage!$P$2:$P$3000,Shrinkage!$A$2:$A$3000,$K$2,Shrinkage!$D$2:$D$3000,$A188),IF(COUNTIFS(Shrinkage!$A$2:$A$3000,$K$2,Shrinkage!$D$2:$D$3000,SUBSTITUTE($A188," SS","  SS"))&gt;0,SUMIFS(Shrinkage!$P$2:$P$3000,Shrinkage!$A$2:$A$3000,$K$2,Shrinkage!$D$2:$D$3000,SUBSTITUTE($A188," SS","  SS")),"NA"))</f>
        <v>5039</v>
      </c>
      <c r="E188" s="83" t="n">
        <f aca="false">IF(COUNTIFS('Inventory Hygiene'!$A$2:$A$3000,$K$2,'Inventory Hygiene'!$B$2:$B$3000,$A188)&gt;0,AVERAGEIFS('Inventory Hygiene'!$J$2:$J$3000,'Inventory Hygiene'!$A$2:$A$3000,$K$2,'Inventory Hygiene'!$B$2:$B$3000,$A188),IF(COUNTIFS('Inventory Hygiene'!$A$2:$A$3000,$K$2,'Inventory Hygiene'!$B$2:$B$3000,SUBSTITUTE($A188," SS","  SS"))&gt;0,AVERAGEIFS('Inventory Hygiene'!$J$2:$J$3000,'Inventory Hygiene'!$A$2:$A$3000,$K$2,'Inventory Hygiene'!$B$2:$B$3000,SUBSTITUTE($A188," SS","  SS")),"NA"))</f>
        <v>0.821382842509603</v>
      </c>
      <c r="F188" s="81" t="n">
        <f aca="false">IF(COUNTIFS('Bad Bins'!$A$2:$A$3000,$K$2,'Bad Bins'!$B$2:$B$3000,$A188)&gt;0,SUMIFS('Bad Bins'!$K$2:$K$3000,'Bad Bins'!$A$2:$A$3000,$K$2,'Bad Bins'!$B$2:$B$3000,$A188),IF(COUNTIFS('Bad Bins'!$A$2:$A$3000,$K$2,'Bad Bins'!$B$2:$B$3000,SUBSTITUTE($A188," SS","  SS"))&gt;0,SUMIFS('Bad Bins'!$K$2:$K$3000,'Bad Bins'!$A$2:$A$3000,$K$2,'Bad Bins'!$B$2:$B$3000,SUBSTITUTE($A188," SS","  SS")),"NA"))</f>
        <v>63</v>
      </c>
      <c r="G188" s="81" t="str">
        <f aca="false">IF(COUNTIFS('RSTO &gt; 48hrs'!$A$2:$A$3000,$K$2,'RSTO &gt; 48hrs'!$B$2:$B$3000,$A188)&gt;0,SUMIFS('RSTO &gt; 48hrs'!$H$2:$H$3000,'RSTO &gt; 48hrs'!$A$2:$A$3000,$K$2,'RSTO &gt; 48hrs'!$B$2:$B$3000,$A188),IF(COUNTIFS('RSTO &gt; 48hrs'!$A$2:$A$3000,$K$2,'RSTO &gt; 48hrs'!$B$2:$B$3000,SUBSTITUTE($A188," SS","  SS"))&gt;0,SUMIFS('RSTO &gt; 48hrs'!$H$2:$H$3000,'RSTO &gt; 48hrs'!$A$2:$A$3000,$K$2,'RSTO &gt; 48hrs'!$B$2:$B$3000,SUBSTITUTE($A188," SS","  SS")),"NA"))</f>
        <v>NA</v>
      </c>
      <c r="H188" s="81" t="str">
        <f aca="false">IF(COUNTIFS('Recirculation &gt; 24 hrs'!$A$2:$A$3000,$K$2,'Recirculation &gt; 24 hrs'!$B$2:$B$3000,$A188)&gt;0,SUMIFS('Recirculation &gt; 24 hrs'!$K$2:$K$3000,'Recirculation &gt; 24 hrs'!$A$2:$A$3000,$K$2,'Recirculation &gt; 24 hrs'!$B$2:$B$3000,$A188),IF(COUNTIFS('Recirculation &gt; 24 hrs'!$A$2:$A$3000,$K$2,'Recirculation &gt; 24 hrs'!$B$2:$B$3000,SUBSTITUTE($A188," SS","  SS"))&gt;0,SUMIFS('Recirculation &gt; 24 hrs'!$K$2:$K$3000,'Recirculation &gt; 24 hrs'!$A$2:$A$3000,$K$2,'Recirculation &gt; 24 hrs'!$B$2:$B$3000,SUBSTITUTE($A188," SS","  SS")),"NA"))</f>
        <v>NA</v>
      </c>
      <c r="I188" s="81" t="n">
        <f aca="false">IF(COUNTIFS('Pending Putaway'!$A$2:$A$3000,$K$2,'Pending Putaway'!$B$2:$B$3000,$A188)&gt;0,SUMIFS('Pending Putaway'!$E$2:$E$3000,'Pending Putaway'!$A$2:$A$3000,$K$2,'Pending Putaway'!$B$2:$B$3000,$A188),IF(COUNTIFS('Pending Putaway'!$A$2:$A$3000,$K$2,'Pending Putaway'!$B$2:$B$3000,SUBSTITUTE($A188," SS","  SS"))&gt;0,SUMIFS('Pending Putaway'!$E$2:$E$3000,'Pending Putaway'!$A$2:$A$3000,$K$2,'Pending Putaway'!$B$2:$B$3000,SUBSTITUTE($A188," SS","  SS")),"NA"))</f>
        <v>0</v>
      </c>
      <c r="J188" s="81" t="n">
        <f aca="false">IF(COUNTIFS('Pending Putaway'!$A$2:$A$3000,$K$2,'Pending Putaway'!$B$2:$B$3000,$A188)&gt;0,SUMIFS('Pending Putaway'!$L$2:$L$3000,'Pending Putaway'!$A$2:$A$3000,$K$2,'Pending Putaway'!$B$2:$B$3000,$A188),IF(COUNTIFS('Pending Putaway'!$A$2:$A$3000,$K$2,'Pending Putaway'!$B$2:$B$3000,SUBSTITUTE($A188," SS","  SS"))&gt;0,SUMIFS('Pending Putaway'!$L$2:$L$3000,'Pending Putaway'!$A$2:$A$3000,$K$2,'Pending Putaway'!$B$2:$B$3000,SUBSTITUTE($A188," SS","  SS")),"NA"))</f>
        <v>0</v>
      </c>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row>
    <row r="189" customFormat="false" ht="15.75" hidden="false" customHeight="true" outlineLevel="0" collapsed="false">
      <c r="A189" s="81" t="s">
        <v>320</v>
      </c>
      <c r="B189" s="81" t="str">
        <f aca="false" t="array" ref="B189:B189">IFERROR(INDEX('CLM &amp; IM Mapping'!$B$2:$B$270,MATCH($A189,'CLM &amp; IM Mapping'!$A$2:$A$270,0)),"Not Mapped")</f>
        <v>Ashwath S</v>
      </c>
      <c r="C189" s="81" t="str">
        <f aca="false" t="array" ref="C189:C189">IFERROR(INDEX('CLM &amp; IM Mapping'!$C$2:$C$270,MATCH($A189,'CLM &amp; IM Mapping'!$A$2:$A$270,0)),"Not Mapped")</f>
        <v>Kantha Kumar</v>
      </c>
      <c r="D189" s="82" t="n">
        <f aca="false">IF(COUNTIFS(Shrinkage!$A$2:$A$3000,$K$2,Shrinkage!$D$2:$D$3000,$A189)&gt;0,SUMIFS(Shrinkage!$P$2:$P$3000,Shrinkage!$A$2:$A$3000,$K$2,Shrinkage!$D$2:$D$3000,$A189),IF(COUNTIFS(Shrinkage!$A$2:$A$3000,$K$2,Shrinkage!$D$2:$D$3000,SUBSTITUTE($A189," SS","  SS"))&gt;0,SUMIFS(Shrinkage!$P$2:$P$3000,Shrinkage!$A$2:$A$3000,$K$2,Shrinkage!$D$2:$D$3000,SUBSTITUTE($A189," SS","  SS")),"NA"))</f>
        <v>6216</v>
      </c>
      <c r="E189" s="83" t="n">
        <f aca="false">IF(COUNTIFS('Inventory Hygiene'!$A$2:$A$3000,$K$2,'Inventory Hygiene'!$B$2:$B$3000,$A189)&gt;0,AVERAGEIFS('Inventory Hygiene'!$J$2:$J$3000,'Inventory Hygiene'!$A$2:$A$3000,$K$2,'Inventory Hygiene'!$B$2:$B$3000,$A189),IF(COUNTIFS('Inventory Hygiene'!$A$2:$A$3000,$K$2,'Inventory Hygiene'!$B$2:$B$3000,SUBSTITUTE($A189," SS","  SS"))&gt;0,AVERAGEIFS('Inventory Hygiene'!$J$2:$J$3000,'Inventory Hygiene'!$A$2:$A$3000,$K$2,'Inventory Hygiene'!$B$2:$B$3000,SUBSTITUTE($A189," SS","  SS")),"NA"))</f>
        <v>0.919106424309699</v>
      </c>
      <c r="F189" s="81" t="n">
        <f aca="false">IF(COUNTIFS('Bad Bins'!$A$2:$A$3000,$K$2,'Bad Bins'!$B$2:$B$3000,$A189)&gt;0,SUMIFS('Bad Bins'!$K$2:$K$3000,'Bad Bins'!$A$2:$A$3000,$K$2,'Bad Bins'!$B$2:$B$3000,$A189),IF(COUNTIFS('Bad Bins'!$A$2:$A$3000,$K$2,'Bad Bins'!$B$2:$B$3000,SUBSTITUTE($A189," SS","  SS"))&gt;0,SUMIFS('Bad Bins'!$K$2:$K$3000,'Bad Bins'!$A$2:$A$3000,$K$2,'Bad Bins'!$B$2:$B$3000,SUBSTITUTE($A189," SS","  SS")),"NA"))</f>
        <v>219</v>
      </c>
      <c r="G189" s="81" t="str">
        <f aca="false">IF(COUNTIFS('RSTO &gt; 48hrs'!$A$2:$A$3000,$K$2,'RSTO &gt; 48hrs'!$B$2:$B$3000,$A189)&gt;0,SUMIFS('RSTO &gt; 48hrs'!$H$2:$H$3000,'RSTO &gt; 48hrs'!$A$2:$A$3000,$K$2,'RSTO &gt; 48hrs'!$B$2:$B$3000,$A189),IF(COUNTIFS('RSTO &gt; 48hrs'!$A$2:$A$3000,$K$2,'RSTO &gt; 48hrs'!$B$2:$B$3000,SUBSTITUTE($A189," SS","  SS"))&gt;0,SUMIFS('RSTO &gt; 48hrs'!$H$2:$H$3000,'RSTO &gt; 48hrs'!$A$2:$A$3000,$K$2,'RSTO &gt; 48hrs'!$B$2:$B$3000,SUBSTITUTE($A189," SS","  SS")),"NA"))</f>
        <v>NA</v>
      </c>
      <c r="H189" s="81" t="n">
        <f aca="false">IF(COUNTIFS('Recirculation &gt; 24 hrs'!$A$2:$A$3000,$K$2,'Recirculation &gt; 24 hrs'!$B$2:$B$3000,$A189)&gt;0,SUMIFS('Recirculation &gt; 24 hrs'!$K$2:$K$3000,'Recirculation &gt; 24 hrs'!$A$2:$A$3000,$K$2,'Recirculation &gt; 24 hrs'!$B$2:$B$3000,$A189),IF(COUNTIFS('Recirculation &gt; 24 hrs'!$A$2:$A$3000,$K$2,'Recirculation &gt; 24 hrs'!$B$2:$B$3000,SUBSTITUTE($A189," SS","  SS"))&gt;0,SUMIFS('Recirculation &gt; 24 hrs'!$K$2:$K$3000,'Recirculation &gt; 24 hrs'!$A$2:$A$3000,$K$2,'Recirculation &gt; 24 hrs'!$B$2:$B$3000,SUBSTITUTE($A189," SS","  SS")),"NA"))</f>
        <v>202</v>
      </c>
      <c r="I189" s="81" t="n">
        <f aca="false">IF(COUNTIFS('Pending Putaway'!$A$2:$A$3000,$K$2,'Pending Putaway'!$B$2:$B$3000,$A189)&gt;0,SUMIFS('Pending Putaway'!$E$2:$E$3000,'Pending Putaway'!$A$2:$A$3000,$K$2,'Pending Putaway'!$B$2:$B$3000,$A189),IF(COUNTIFS('Pending Putaway'!$A$2:$A$3000,$K$2,'Pending Putaway'!$B$2:$B$3000,SUBSTITUTE($A189," SS","  SS"))&gt;0,SUMIFS('Pending Putaway'!$E$2:$E$3000,'Pending Putaway'!$A$2:$A$3000,$K$2,'Pending Putaway'!$B$2:$B$3000,SUBSTITUTE($A189," SS","  SS")),"NA"))</f>
        <v>0</v>
      </c>
      <c r="J189" s="81" t="n">
        <f aca="false">IF(COUNTIFS('Pending Putaway'!$A$2:$A$3000,$K$2,'Pending Putaway'!$B$2:$B$3000,$A189)&gt;0,SUMIFS('Pending Putaway'!$L$2:$L$3000,'Pending Putaway'!$A$2:$A$3000,$K$2,'Pending Putaway'!$B$2:$B$3000,$A189),IF(COUNTIFS('Pending Putaway'!$A$2:$A$3000,$K$2,'Pending Putaway'!$B$2:$B$3000,SUBSTITUTE($A189," SS","  SS"))&gt;0,SUMIFS('Pending Putaway'!$L$2:$L$3000,'Pending Putaway'!$A$2:$A$3000,$K$2,'Pending Putaway'!$B$2:$B$3000,SUBSTITUTE($A189," SS","  SS")),"NA"))</f>
        <v>0</v>
      </c>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row>
    <row r="190" customFormat="false" ht="15.75" hidden="false" customHeight="true" outlineLevel="0" collapsed="false">
      <c r="A190" s="81" t="s">
        <v>129</v>
      </c>
      <c r="B190" s="81" t="str">
        <f aca="false" t="array" ref="B190:B190">IFERROR(INDEX('CLM &amp; IM Mapping'!$B$2:$B$270,MATCH($A190,'CLM &amp; IM Mapping'!$A$2:$A$270,0)),"Not Mapped")</f>
        <v>Ashwath S</v>
      </c>
      <c r="C190" s="81" t="str">
        <f aca="false" t="array" ref="C190:C190">IFERROR(INDEX('CLM &amp; IM Mapping'!$C$2:$C$270,MATCH($A190,'CLM &amp; IM Mapping'!$A$2:$A$270,0)),"Not Mapped")</f>
        <v>Kantha Kumar</v>
      </c>
      <c r="D190" s="82" t="n">
        <f aca="false">IF(COUNTIFS(Shrinkage!$A$2:$A$3000,$K$2,Shrinkage!$D$2:$D$3000,$A190)&gt;0,SUMIFS(Shrinkage!$P$2:$P$3000,Shrinkage!$A$2:$A$3000,$K$2,Shrinkage!$D$2:$D$3000,$A190),IF(COUNTIFS(Shrinkage!$A$2:$A$3000,$K$2,Shrinkage!$D$2:$D$3000,SUBSTITUTE($A190," SS","  SS"))&gt;0,SUMIFS(Shrinkage!$P$2:$P$3000,Shrinkage!$A$2:$A$3000,$K$2,Shrinkage!$D$2:$D$3000,SUBSTITUTE($A190," SS","  SS")),"NA"))</f>
        <v>47235</v>
      </c>
      <c r="E190" s="83" t="n">
        <f aca="false">IF(COUNTIFS('Inventory Hygiene'!$A$2:$A$3000,$K$2,'Inventory Hygiene'!$B$2:$B$3000,$A190)&gt;0,AVERAGEIFS('Inventory Hygiene'!$J$2:$J$3000,'Inventory Hygiene'!$A$2:$A$3000,$K$2,'Inventory Hygiene'!$B$2:$B$3000,$A190),IF(COUNTIFS('Inventory Hygiene'!$A$2:$A$3000,$K$2,'Inventory Hygiene'!$B$2:$B$3000,SUBSTITUTE($A190," SS","  SS"))&gt;0,AVERAGEIFS('Inventory Hygiene'!$J$2:$J$3000,'Inventory Hygiene'!$A$2:$A$3000,$K$2,'Inventory Hygiene'!$B$2:$B$3000,SUBSTITUTE($A190," SS","  SS")),"NA"))</f>
        <v>0.501123595505618</v>
      </c>
      <c r="F190" s="81" t="n">
        <f aca="false">IF(COUNTIFS('Bad Bins'!$A$2:$A$3000,$K$2,'Bad Bins'!$B$2:$B$3000,$A190)&gt;0,SUMIFS('Bad Bins'!$K$2:$K$3000,'Bad Bins'!$A$2:$A$3000,$K$2,'Bad Bins'!$B$2:$B$3000,$A190),IF(COUNTIFS('Bad Bins'!$A$2:$A$3000,$K$2,'Bad Bins'!$B$2:$B$3000,SUBSTITUTE($A190," SS","  SS"))&gt;0,SUMIFS('Bad Bins'!$K$2:$K$3000,'Bad Bins'!$A$2:$A$3000,$K$2,'Bad Bins'!$B$2:$B$3000,SUBSTITUTE($A190," SS","  SS")),"NA"))</f>
        <v>44</v>
      </c>
      <c r="G190" s="81" t="str">
        <f aca="false">IF(COUNTIFS('RSTO &gt; 48hrs'!$A$2:$A$3000,$K$2,'RSTO &gt; 48hrs'!$B$2:$B$3000,$A190)&gt;0,SUMIFS('RSTO &gt; 48hrs'!$H$2:$H$3000,'RSTO &gt; 48hrs'!$A$2:$A$3000,$K$2,'RSTO &gt; 48hrs'!$B$2:$B$3000,$A190),IF(COUNTIFS('RSTO &gt; 48hrs'!$A$2:$A$3000,$K$2,'RSTO &gt; 48hrs'!$B$2:$B$3000,SUBSTITUTE($A190," SS","  SS"))&gt;0,SUMIFS('RSTO &gt; 48hrs'!$H$2:$H$3000,'RSTO &gt; 48hrs'!$A$2:$A$3000,$K$2,'RSTO &gt; 48hrs'!$B$2:$B$3000,SUBSTITUTE($A190," SS","  SS")),"NA"))</f>
        <v>NA</v>
      </c>
      <c r="H190" s="81" t="n">
        <f aca="false">IF(COUNTIFS('Recirculation &gt; 24 hrs'!$A$2:$A$3000,$K$2,'Recirculation &gt; 24 hrs'!$B$2:$B$3000,$A190)&gt;0,SUMIFS('Recirculation &gt; 24 hrs'!$K$2:$K$3000,'Recirculation &gt; 24 hrs'!$A$2:$A$3000,$K$2,'Recirculation &gt; 24 hrs'!$B$2:$B$3000,$A190),IF(COUNTIFS('Recirculation &gt; 24 hrs'!$A$2:$A$3000,$K$2,'Recirculation &gt; 24 hrs'!$B$2:$B$3000,SUBSTITUTE($A190," SS","  SS"))&gt;0,SUMIFS('Recirculation &gt; 24 hrs'!$K$2:$K$3000,'Recirculation &gt; 24 hrs'!$A$2:$A$3000,$K$2,'Recirculation &gt; 24 hrs'!$B$2:$B$3000,SUBSTITUTE($A190," SS","  SS")),"NA"))</f>
        <v>925</v>
      </c>
      <c r="I190" s="81" t="n">
        <f aca="false">IF(COUNTIFS('Pending Putaway'!$A$2:$A$3000,$K$2,'Pending Putaway'!$B$2:$B$3000,$A190)&gt;0,SUMIFS('Pending Putaway'!$E$2:$E$3000,'Pending Putaway'!$A$2:$A$3000,$K$2,'Pending Putaway'!$B$2:$B$3000,$A190),IF(COUNTIFS('Pending Putaway'!$A$2:$A$3000,$K$2,'Pending Putaway'!$B$2:$B$3000,SUBSTITUTE($A190," SS","  SS"))&gt;0,SUMIFS('Pending Putaway'!$E$2:$E$3000,'Pending Putaway'!$A$2:$A$3000,$K$2,'Pending Putaway'!$B$2:$B$3000,SUBSTITUTE($A190," SS","  SS")),"NA"))</f>
        <v>0</v>
      </c>
      <c r="J190" s="81" t="n">
        <f aca="false">IF(COUNTIFS('Pending Putaway'!$A$2:$A$3000,$K$2,'Pending Putaway'!$B$2:$B$3000,$A190)&gt;0,SUMIFS('Pending Putaway'!$L$2:$L$3000,'Pending Putaway'!$A$2:$A$3000,$K$2,'Pending Putaway'!$B$2:$B$3000,$A190),IF(COUNTIFS('Pending Putaway'!$A$2:$A$3000,$K$2,'Pending Putaway'!$B$2:$B$3000,SUBSTITUTE($A190," SS","  SS"))&gt;0,SUMIFS('Pending Putaway'!$L$2:$L$3000,'Pending Putaway'!$A$2:$A$3000,$K$2,'Pending Putaway'!$B$2:$B$3000,SUBSTITUTE($A190," SS","  SS")),"NA"))</f>
        <v>0</v>
      </c>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row>
    <row r="191" customFormat="false" ht="15.75" hidden="false" customHeight="true" outlineLevel="0" collapsed="false">
      <c r="A191" s="81" t="s">
        <v>94</v>
      </c>
      <c r="B191" s="81" t="str">
        <f aca="false" t="array" ref="B191:B191">IFERROR(INDEX('CLM &amp; IM Mapping'!$B$2:$B$270,MATCH($A191,'CLM &amp; IM Mapping'!$A$2:$A$270,0)),"Not Mapped")</f>
        <v>Ashwath S</v>
      </c>
      <c r="C191" s="81" t="str">
        <f aca="false" t="array" ref="C191:C191">IFERROR(INDEX('CLM &amp; IM Mapping'!$C$2:$C$270,MATCH($A191,'CLM &amp; IM Mapping'!$A$2:$A$270,0)),"Not Mapped")</f>
        <v>Kantha Kumar</v>
      </c>
      <c r="D191" s="82" t="n">
        <f aca="false">IF(COUNTIFS(Shrinkage!$A$2:$A$3000,$K$2,Shrinkage!$D$2:$D$3000,$A191)&gt;0,SUMIFS(Shrinkage!$P$2:$P$3000,Shrinkage!$A$2:$A$3000,$K$2,Shrinkage!$D$2:$D$3000,$A191),IF(COUNTIFS(Shrinkage!$A$2:$A$3000,$K$2,Shrinkage!$D$2:$D$3000,SUBSTITUTE($A191," SS","  SS"))&gt;0,SUMIFS(Shrinkage!$P$2:$P$3000,Shrinkage!$A$2:$A$3000,$K$2,Shrinkage!$D$2:$D$3000,SUBSTITUTE($A191," SS","  SS")),"NA"))</f>
        <v>8739</v>
      </c>
      <c r="E191" s="83" t="n">
        <f aca="false">IF(COUNTIFS('Inventory Hygiene'!$A$2:$A$3000,$K$2,'Inventory Hygiene'!$B$2:$B$3000,$A191)&gt;0,AVERAGEIFS('Inventory Hygiene'!$J$2:$J$3000,'Inventory Hygiene'!$A$2:$A$3000,$K$2,'Inventory Hygiene'!$B$2:$B$3000,$A191),IF(COUNTIFS('Inventory Hygiene'!$A$2:$A$3000,$K$2,'Inventory Hygiene'!$B$2:$B$3000,SUBSTITUTE($A191," SS","  SS"))&gt;0,AVERAGEIFS('Inventory Hygiene'!$J$2:$J$3000,'Inventory Hygiene'!$A$2:$A$3000,$K$2,'Inventory Hygiene'!$B$2:$B$3000,SUBSTITUTE($A191," SS","  SS")),"NA"))</f>
        <v>0.577615298087739</v>
      </c>
      <c r="F191" s="81" t="n">
        <f aca="false">IF(COUNTIFS('Bad Bins'!$A$2:$A$3000,$K$2,'Bad Bins'!$B$2:$B$3000,$A191)&gt;0,SUMIFS('Bad Bins'!$K$2:$K$3000,'Bad Bins'!$A$2:$A$3000,$K$2,'Bad Bins'!$B$2:$B$3000,$A191),IF(COUNTIFS('Bad Bins'!$A$2:$A$3000,$K$2,'Bad Bins'!$B$2:$B$3000,SUBSTITUTE($A191," SS","  SS"))&gt;0,SUMIFS('Bad Bins'!$K$2:$K$3000,'Bad Bins'!$A$2:$A$3000,$K$2,'Bad Bins'!$B$2:$B$3000,SUBSTITUTE($A191," SS","  SS")),"NA"))</f>
        <v>55</v>
      </c>
      <c r="G191" s="81" t="str">
        <f aca="false">IF(COUNTIFS('RSTO &gt; 48hrs'!$A$2:$A$3000,$K$2,'RSTO &gt; 48hrs'!$B$2:$B$3000,$A191)&gt;0,SUMIFS('RSTO &gt; 48hrs'!$H$2:$H$3000,'RSTO &gt; 48hrs'!$A$2:$A$3000,$K$2,'RSTO &gt; 48hrs'!$B$2:$B$3000,$A191),IF(COUNTIFS('RSTO &gt; 48hrs'!$A$2:$A$3000,$K$2,'RSTO &gt; 48hrs'!$B$2:$B$3000,SUBSTITUTE($A191," SS","  SS"))&gt;0,SUMIFS('RSTO &gt; 48hrs'!$H$2:$H$3000,'RSTO &gt; 48hrs'!$A$2:$A$3000,$K$2,'RSTO &gt; 48hrs'!$B$2:$B$3000,SUBSTITUTE($A191," SS","  SS")),"NA"))</f>
        <v>NA</v>
      </c>
      <c r="H191" s="81" t="str">
        <f aca="false">IF(COUNTIFS('Recirculation &gt; 24 hrs'!$A$2:$A$3000,$K$2,'Recirculation &gt; 24 hrs'!$B$2:$B$3000,$A191)&gt;0,SUMIFS('Recirculation &gt; 24 hrs'!$K$2:$K$3000,'Recirculation &gt; 24 hrs'!$A$2:$A$3000,$K$2,'Recirculation &gt; 24 hrs'!$B$2:$B$3000,$A191),IF(COUNTIFS('Recirculation &gt; 24 hrs'!$A$2:$A$3000,$K$2,'Recirculation &gt; 24 hrs'!$B$2:$B$3000,SUBSTITUTE($A191," SS","  SS"))&gt;0,SUMIFS('Recirculation &gt; 24 hrs'!$K$2:$K$3000,'Recirculation &gt; 24 hrs'!$A$2:$A$3000,$K$2,'Recirculation &gt; 24 hrs'!$B$2:$B$3000,SUBSTITUTE($A191," SS","  SS")),"NA"))</f>
        <v>NA</v>
      </c>
      <c r="I191" s="81" t="n">
        <f aca="false">IF(COUNTIFS('Pending Putaway'!$A$2:$A$3000,$K$2,'Pending Putaway'!$B$2:$B$3000,$A191)&gt;0,SUMIFS('Pending Putaway'!$E$2:$E$3000,'Pending Putaway'!$A$2:$A$3000,$K$2,'Pending Putaway'!$B$2:$B$3000,$A191),IF(COUNTIFS('Pending Putaway'!$A$2:$A$3000,$K$2,'Pending Putaway'!$B$2:$B$3000,SUBSTITUTE($A191," SS","  SS"))&gt;0,SUMIFS('Pending Putaway'!$E$2:$E$3000,'Pending Putaway'!$A$2:$A$3000,$K$2,'Pending Putaway'!$B$2:$B$3000,SUBSTITUTE($A191," SS","  SS")),"NA"))</f>
        <v>2080</v>
      </c>
      <c r="J191" s="81" t="n">
        <f aca="false">IF(COUNTIFS('Pending Putaway'!$A$2:$A$3000,$K$2,'Pending Putaway'!$B$2:$B$3000,$A191)&gt;0,SUMIFS('Pending Putaway'!$L$2:$L$3000,'Pending Putaway'!$A$2:$A$3000,$K$2,'Pending Putaway'!$B$2:$B$3000,$A191),IF(COUNTIFS('Pending Putaway'!$A$2:$A$3000,$K$2,'Pending Putaway'!$B$2:$B$3000,SUBSTITUTE($A191," SS","  SS"))&gt;0,SUMIFS('Pending Putaway'!$L$2:$L$3000,'Pending Putaway'!$A$2:$A$3000,$K$2,'Pending Putaway'!$B$2:$B$3000,SUBSTITUTE($A191," SS","  SS")),"NA"))</f>
        <v>137</v>
      </c>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row>
    <row r="192" customFormat="false" ht="15.75" hidden="false" customHeight="true" outlineLevel="0" collapsed="false">
      <c r="A192" s="81" t="s">
        <v>291</v>
      </c>
      <c r="B192" s="81" t="str">
        <f aca="false" t="array" ref="B192:B192">IFERROR(INDEX('CLM &amp; IM Mapping'!$B$2:$B$270,MATCH($A192,'CLM &amp; IM Mapping'!$A$2:$A$270,0)),"Not Mapped")</f>
        <v>Ashwath S</v>
      </c>
      <c r="C192" s="81" t="str">
        <f aca="false" t="array" ref="C192:C192">IFERROR(INDEX('CLM &amp; IM Mapping'!$C$2:$C$270,MATCH($A192,'CLM &amp; IM Mapping'!$A$2:$A$270,0)),"Not Mapped")</f>
        <v>Kantha Kumar</v>
      </c>
      <c r="D192" s="82" t="n">
        <f aca="false">IF(COUNTIFS(Shrinkage!$A$2:$A$3000,$K$2,Shrinkage!$D$2:$D$3000,$A192)&gt;0,SUMIFS(Shrinkage!$P$2:$P$3000,Shrinkage!$A$2:$A$3000,$K$2,Shrinkage!$D$2:$D$3000,$A192),IF(COUNTIFS(Shrinkage!$A$2:$A$3000,$K$2,Shrinkage!$D$2:$D$3000,SUBSTITUTE($A192," SS","  SS"))&gt;0,SUMIFS(Shrinkage!$P$2:$P$3000,Shrinkage!$A$2:$A$3000,$K$2,Shrinkage!$D$2:$D$3000,SUBSTITUTE($A192," SS","  SS")),"NA"))</f>
        <v>-4814</v>
      </c>
      <c r="E192" s="83" t="n">
        <f aca="false">IF(COUNTIFS('Inventory Hygiene'!$A$2:$A$3000,$K$2,'Inventory Hygiene'!$B$2:$B$3000,$A192)&gt;0,AVERAGEIFS('Inventory Hygiene'!$J$2:$J$3000,'Inventory Hygiene'!$A$2:$A$3000,$K$2,'Inventory Hygiene'!$B$2:$B$3000,$A192),IF(COUNTIFS('Inventory Hygiene'!$A$2:$A$3000,$K$2,'Inventory Hygiene'!$B$2:$B$3000,SUBSTITUTE($A192," SS","  SS"))&gt;0,AVERAGEIFS('Inventory Hygiene'!$J$2:$J$3000,'Inventory Hygiene'!$A$2:$A$3000,$K$2,'Inventory Hygiene'!$B$2:$B$3000,SUBSTITUTE($A192," SS","  SS")),"NA"))</f>
        <v>0.511487964989059</v>
      </c>
      <c r="F192" s="81" t="n">
        <f aca="false">IF(COUNTIFS('Bad Bins'!$A$2:$A$3000,$K$2,'Bad Bins'!$B$2:$B$3000,$A192)&gt;0,SUMIFS('Bad Bins'!$K$2:$K$3000,'Bad Bins'!$A$2:$A$3000,$K$2,'Bad Bins'!$B$2:$B$3000,$A192),IF(COUNTIFS('Bad Bins'!$A$2:$A$3000,$K$2,'Bad Bins'!$B$2:$B$3000,SUBSTITUTE($A192," SS","  SS"))&gt;0,SUMIFS('Bad Bins'!$K$2:$K$3000,'Bad Bins'!$A$2:$A$3000,$K$2,'Bad Bins'!$B$2:$B$3000,SUBSTITUTE($A192," SS","  SS")),"NA"))</f>
        <v>62</v>
      </c>
      <c r="G192" s="81" t="str">
        <f aca="false">IF(COUNTIFS('RSTO &gt; 48hrs'!$A$2:$A$3000,$K$2,'RSTO &gt; 48hrs'!$B$2:$B$3000,$A192)&gt;0,SUMIFS('RSTO &gt; 48hrs'!$H$2:$H$3000,'RSTO &gt; 48hrs'!$A$2:$A$3000,$K$2,'RSTO &gt; 48hrs'!$B$2:$B$3000,$A192),IF(COUNTIFS('RSTO &gt; 48hrs'!$A$2:$A$3000,$K$2,'RSTO &gt; 48hrs'!$B$2:$B$3000,SUBSTITUTE($A192," SS","  SS"))&gt;0,SUMIFS('RSTO &gt; 48hrs'!$H$2:$H$3000,'RSTO &gt; 48hrs'!$A$2:$A$3000,$K$2,'RSTO &gt; 48hrs'!$B$2:$B$3000,SUBSTITUTE($A192," SS","  SS")),"NA"))</f>
        <v>NA</v>
      </c>
      <c r="H192" s="81" t="str">
        <f aca="false">IF(COUNTIFS('Recirculation &gt; 24 hrs'!$A$2:$A$3000,$K$2,'Recirculation &gt; 24 hrs'!$B$2:$B$3000,$A192)&gt;0,SUMIFS('Recirculation &gt; 24 hrs'!$K$2:$K$3000,'Recirculation &gt; 24 hrs'!$A$2:$A$3000,$K$2,'Recirculation &gt; 24 hrs'!$B$2:$B$3000,$A192),IF(COUNTIFS('Recirculation &gt; 24 hrs'!$A$2:$A$3000,$K$2,'Recirculation &gt; 24 hrs'!$B$2:$B$3000,SUBSTITUTE($A192," SS","  SS"))&gt;0,SUMIFS('Recirculation &gt; 24 hrs'!$K$2:$K$3000,'Recirculation &gt; 24 hrs'!$A$2:$A$3000,$K$2,'Recirculation &gt; 24 hrs'!$B$2:$B$3000,SUBSTITUTE($A192," SS","  SS")),"NA"))</f>
        <v>NA</v>
      </c>
      <c r="I192" s="81" t="n">
        <f aca="false">IF(COUNTIFS('Pending Putaway'!$A$2:$A$3000,$K$2,'Pending Putaway'!$B$2:$B$3000,$A192)&gt;0,SUMIFS('Pending Putaway'!$E$2:$E$3000,'Pending Putaway'!$A$2:$A$3000,$K$2,'Pending Putaway'!$B$2:$B$3000,$A192),IF(COUNTIFS('Pending Putaway'!$A$2:$A$3000,$K$2,'Pending Putaway'!$B$2:$B$3000,SUBSTITUTE($A192," SS","  SS"))&gt;0,SUMIFS('Pending Putaway'!$E$2:$E$3000,'Pending Putaway'!$A$2:$A$3000,$K$2,'Pending Putaway'!$B$2:$B$3000,SUBSTITUTE($A192," SS","  SS")),"NA"))</f>
        <v>0</v>
      </c>
      <c r="J192" s="81" t="n">
        <f aca="false">IF(COUNTIFS('Pending Putaway'!$A$2:$A$3000,$K$2,'Pending Putaway'!$B$2:$B$3000,$A192)&gt;0,SUMIFS('Pending Putaway'!$L$2:$L$3000,'Pending Putaway'!$A$2:$A$3000,$K$2,'Pending Putaway'!$B$2:$B$3000,$A192),IF(COUNTIFS('Pending Putaway'!$A$2:$A$3000,$K$2,'Pending Putaway'!$B$2:$B$3000,SUBSTITUTE($A192," SS","  SS"))&gt;0,SUMIFS('Pending Putaway'!$L$2:$L$3000,'Pending Putaway'!$A$2:$A$3000,$K$2,'Pending Putaway'!$B$2:$B$3000,SUBSTITUTE($A192," SS","  SS")),"NA"))</f>
        <v>0</v>
      </c>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row>
    <row r="193" customFormat="false" ht="15.75" hidden="false" customHeight="true" outlineLevel="0" collapsed="false">
      <c r="A193" s="81" t="s">
        <v>451</v>
      </c>
      <c r="B193" s="81" t="str">
        <f aca="false" t="array" ref="B193:B193">IFERROR(INDEX('CLM &amp; IM Mapping'!$B$2:$B$270,MATCH($A193,'CLM &amp; IM Mapping'!$A$2:$A$270,0)),"Not Mapped")</f>
        <v>Ashwath S</v>
      </c>
      <c r="C193" s="81" t="str">
        <f aca="false" t="array" ref="C193:C193">IFERROR(INDEX('CLM &amp; IM Mapping'!$C$2:$C$270,MATCH($A193,'CLM &amp; IM Mapping'!$A$2:$A$270,0)),"Not Mapped")</f>
        <v>Kantha Kumar</v>
      </c>
      <c r="D193" s="82" t="n">
        <f aca="false">IF(COUNTIFS(Shrinkage!$A$2:$A$3000,$K$2,Shrinkage!$D$2:$D$3000,$A193)&gt;0,SUMIFS(Shrinkage!$P$2:$P$3000,Shrinkage!$A$2:$A$3000,$K$2,Shrinkage!$D$2:$D$3000,$A193),IF(COUNTIFS(Shrinkage!$A$2:$A$3000,$K$2,Shrinkage!$D$2:$D$3000,SUBSTITUTE($A193," SS","  SS"))&gt;0,SUMIFS(Shrinkage!$P$2:$P$3000,Shrinkage!$A$2:$A$3000,$K$2,Shrinkage!$D$2:$D$3000,SUBSTITUTE($A193," SS","  SS")),"NA"))</f>
        <v>-7456</v>
      </c>
      <c r="E193" s="83" t="n">
        <f aca="false">IF(COUNTIFS('Inventory Hygiene'!$A$2:$A$3000,$K$2,'Inventory Hygiene'!$B$2:$B$3000,$A193)&gt;0,AVERAGEIFS('Inventory Hygiene'!$J$2:$J$3000,'Inventory Hygiene'!$A$2:$A$3000,$K$2,'Inventory Hygiene'!$B$2:$B$3000,$A193),IF(COUNTIFS('Inventory Hygiene'!$A$2:$A$3000,$K$2,'Inventory Hygiene'!$B$2:$B$3000,SUBSTITUTE($A193," SS","  SS"))&gt;0,AVERAGEIFS('Inventory Hygiene'!$J$2:$J$3000,'Inventory Hygiene'!$A$2:$A$3000,$K$2,'Inventory Hygiene'!$B$2:$B$3000,SUBSTITUTE($A193," SS","  SS")),"NA"))</f>
        <v>0.964236351071182</v>
      </c>
      <c r="F193" s="81" t="n">
        <f aca="false">IF(COUNTIFS('Bad Bins'!$A$2:$A$3000,$K$2,'Bad Bins'!$B$2:$B$3000,$A193)&gt;0,SUMIFS('Bad Bins'!$K$2:$K$3000,'Bad Bins'!$A$2:$A$3000,$K$2,'Bad Bins'!$B$2:$B$3000,$A193),IF(COUNTIFS('Bad Bins'!$A$2:$A$3000,$K$2,'Bad Bins'!$B$2:$B$3000,SUBSTITUTE($A193," SS","  SS"))&gt;0,SUMIFS('Bad Bins'!$K$2:$K$3000,'Bad Bins'!$A$2:$A$3000,$K$2,'Bad Bins'!$B$2:$B$3000,SUBSTITUTE($A193," SS","  SS")),"NA"))</f>
        <v>101</v>
      </c>
      <c r="G193" s="81" t="str">
        <f aca="false">IF(COUNTIFS('RSTO &gt; 48hrs'!$A$2:$A$3000,$K$2,'RSTO &gt; 48hrs'!$B$2:$B$3000,$A193)&gt;0,SUMIFS('RSTO &gt; 48hrs'!$H$2:$H$3000,'RSTO &gt; 48hrs'!$A$2:$A$3000,$K$2,'RSTO &gt; 48hrs'!$B$2:$B$3000,$A193),IF(COUNTIFS('RSTO &gt; 48hrs'!$A$2:$A$3000,$K$2,'RSTO &gt; 48hrs'!$B$2:$B$3000,SUBSTITUTE($A193," SS","  SS"))&gt;0,SUMIFS('RSTO &gt; 48hrs'!$H$2:$H$3000,'RSTO &gt; 48hrs'!$A$2:$A$3000,$K$2,'RSTO &gt; 48hrs'!$B$2:$B$3000,SUBSTITUTE($A193," SS","  SS")),"NA"))</f>
        <v>NA</v>
      </c>
      <c r="H193" s="81" t="str">
        <f aca="false">IF(COUNTIFS('Recirculation &gt; 24 hrs'!$A$2:$A$3000,$K$2,'Recirculation &gt; 24 hrs'!$B$2:$B$3000,$A193)&gt;0,SUMIFS('Recirculation &gt; 24 hrs'!$K$2:$K$3000,'Recirculation &gt; 24 hrs'!$A$2:$A$3000,$K$2,'Recirculation &gt; 24 hrs'!$B$2:$B$3000,$A193),IF(COUNTIFS('Recirculation &gt; 24 hrs'!$A$2:$A$3000,$K$2,'Recirculation &gt; 24 hrs'!$B$2:$B$3000,SUBSTITUTE($A193," SS","  SS"))&gt;0,SUMIFS('Recirculation &gt; 24 hrs'!$K$2:$K$3000,'Recirculation &gt; 24 hrs'!$A$2:$A$3000,$K$2,'Recirculation &gt; 24 hrs'!$B$2:$B$3000,SUBSTITUTE($A193," SS","  SS")),"NA"))</f>
        <v>NA</v>
      </c>
      <c r="I193" s="81" t="n">
        <f aca="false">IF(COUNTIFS('Pending Putaway'!$A$2:$A$3000,$K$2,'Pending Putaway'!$B$2:$B$3000,$A193)&gt;0,SUMIFS('Pending Putaway'!$E$2:$E$3000,'Pending Putaway'!$A$2:$A$3000,$K$2,'Pending Putaway'!$B$2:$B$3000,$A193),IF(COUNTIFS('Pending Putaway'!$A$2:$A$3000,$K$2,'Pending Putaway'!$B$2:$B$3000,SUBSTITUTE($A193," SS","  SS"))&gt;0,SUMIFS('Pending Putaway'!$E$2:$E$3000,'Pending Putaway'!$A$2:$A$3000,$K$2,'Pending Putaway'!$B$2:$B$3000,SUBSTITUTE($A193," SS","  SS")),"NA"))</f>
        <v>0</v>
      </c>
      <c r="J193" s="81" t="n">
        <f aca="false">IF(COUNTIFS('Pending Putaway'!$A$2:$A$3000,$K$2,'Pending Putaway'!$B$2:$B$3000,$A193)&gt;0,SUMIFS('Pending Putaway'!$L$2:$L$3000,'Pending Putaway'!$A$2:$A$3000,$K$2,'Pending Putaway'!$B$2:$B$3000,$A193),IF(COUNTIFS('Pending Putaway'!$A$2:$A$3000,$K$2,'Pending Putaway'!$B$2:$B$3000,SUBSTITUTE($A193," SS","  SS"))&gt;0,SUMIFS('Pending Putaway'!$L$2:$L$3000,'Pending Putaway'!$A$2:$A$3000,$K$2,'Pending Putaway'!$B$2:$B$3000,SUBSTITUTE($A193," SS","  SS")),"NA"))</f>
        <v>0</v>
      </c>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row>
    <row r="194" customFormat="false" ht="15.75" hidden="false" customHeight="true" outlineLevel="0" collapsed="false">
      <c r="A194" s="81" t="s">
        <v>463</v>
      </c>
      <c r="B194" s="81" t="str">
        <f aca="false" t="array" ref="B194:B194">IFERROR(INDEX('CLM &amp; IM Mapping'!$B$2:$B$270,MATCH($A194,'CLM &amp; IM Mapping'!$A$2:$A$270,0)),"Not Mapped")</f>
        <v>Ashwath S</v>
      </c>
      <c r="C194" s="81" t="str">
        <f aca="false" t="array" ref="C194:C194">IFERROR(INDEX('CLM &amp; IM Mapping'!$C$2:$C$270,MATCH($A194,'CLM &amp; IM Mapping'!$A$2:$A$270,0)),"Not Mapped")</f>
        <v>Kantha Kumar</v>
      </c>
      <c r="D194" s="82" t="n">
        <f aca="false">IF(COUNTIFS(Shrinkage!$A$2:$A$3000,$K$2,Shrinkage!$D$2:$D$3000,$A194)&gt;0,SUMIFS(Shrinkage!$P$2:$P$3000,Shrinkage!$A$2:$A$3000,$K$2,Shrinkage!$D$2:$D$3000,$A194),IF(COUNTIFS(Shrinkage!$A$2:$A$3000,$K$2,Shrinkage!$D$2:$D$3000,SUBSTITUTE($A194," SS","  SS"))&gt;0,SUMIFS(Shrinkage!$P$2:$P$3000,Shrinkage!$A$2:$A$3000,$K$2,Shrinkage!$D$2:$D$3000,SUBSTITUTE($A194," SS","  SS")),"NA"))</f>
        <v>-23984</v>
      </c>
      <c r="E194" s="83" t="n">
        <f aca="false">IF(COUNTIFS('Inventory Hygiene'!$A$2:$A$3000,$K$2,'Inventory Hygiene'!$B$2:$B$3000,$A194)&gt;0,AVERAGEIFS('Inventory Hygiene'!$J$2:$J$3000,'Inventory Hygiene'!$A$2:$A$3000,$K$2,'Inventory Hygiene'!$B$2:$B$3000,$A194),IF(COUNTIFS('Inventory Hygiene'!$A$2:$A$3000,$K$2,'Inventory Hygiene'!$B$2:$B$3000,SUBSTITUTE($A194," SS","  SS"))&gt;0,AVERAGEIFS('Inventory Hygiene'!$J$2:$J$3000,'Inventory Hygiene'!$A$2:$A$3000,$K$2,'Inventory Hygiene'!$B$2:$B$3000,SUBSTITUTE($A194," SS","  SS")),"NA"))</f>
        <v>0.989301720399017</v>
      </c>
      <c r="F194" s="81" t="n">
        <f aca="false">IF(COUNTIFS('Bad Bins'!$A$2:$A$3000,$K$2,'Bad Bins'!$B$2:$B$3000,$A194)&gt;0,SUMIFS('Bad Bins'!$K$2:$K$3000,'Bad Bins'!$A$2:$A$3000,$K$2,'Bad Bins'!$B$2:$B$3000,$A194),IF(COUNTIFS('Bad Bins'!$A$2:$A$3000,$K$2,'Bad Bins'!$B$2:$B$3000,SUBSTITUTE($A194," SS","  SS"))&gt;0,SUMIFS('Bad Bins'!$K$2:$K$3000,'Bad Bins'!$A$2:$A$3000,$K$2,'Bad Bins'!$B$2:$B$3000,SUBSTITUTE($A194," SS","  SS")),"NA"))</f>
        <v>115</v>
      </c>
      <c r="G194" s="81" t="str">
        <f aca="false">IF(COUNTIFS('RSTO &gt; 48hrs'!$A$2:$A$3000,$K$2,'RSTO &gt; 48hrs'!$B$2:$B$3000,$A194)&gt;0,SUMIFS('RSTO &gt; 48hrs'!$H$2:$H$3000,'RSTO &gt; 48hrs'!$A$2:$A$3000,$K$2,'RSTO &gt; 48hrs'!$B$2:$B$3000,$A194),IF(COUNTIFS('RSTO &gt; 48hrs'!$A$2:$A$3000,$K$2,'RSTO &gt; 48hrs'!$B$2:$B$3000,SUBSTITUTE($A194," SS","  SS"))&gt;0,SUMIFS('RSTO &gt; 48hrs'!$H$2:$H$3000,'RSTO &gt; 48hrs'!$A$2:$A$3000,$K$2,'RSTO &gt; 48hrs'!$B$2:$B$3000,SUBSTITUTE($A194," SS","  SS")),"NA"))</f>
        <v>NA</v>
      </c>
      <c r="H194" s="81" t="n">
        <f aca="false">IF(COUNTIFS('Recirculation &gt; 24 hrs'!$A$2:$A$3000,$K$2,'Recirculation &gt; 24 hrs'!$B$2:$B$3000,$A194)&gt;0,SUMIFS('Recirculation &gt; 24 hrs'!$K$2:$K$3000,'Recirculation &gt; 24 hrs'!$A$2:$A$3000,$K$2,'Recirculation &gt; 24 hrs'!$B$2:$B$3000,$A194),IF(COUNTIFS('Recirculation &gt; 24 hrs'!$A$2:$A$3000,$K$2,'Recirculation &gt; 24 hrs'!$B$2:$B$3000,SUBSTITUTE($A194," SS","  SS"))&gt;0,SUMIFS('Recirculation &gt; 24 hrs'!$K$2:$K$3000,'Recirculation &gt; 24 hrs'!$A$2:$A$3000,$K$2,'Recirculation &gt; 24 hrs'!$B$2:$B$3000,SUBSTITUTE($A194," SS","  SS")),"NA"))</f>
        <v>651</v>
      </c>
      <c r="I194" s="81" t="n">
        <f aca="false">IF(COUNTIFS('Pending Putaway'!$A$2:$A$3000,$K$2,'Pending Putaway'!$B$2:$B$3000,$A194)&gt;0,SUMIFS('Pending Putaway'!$E$2:$E$3000,'Pending Putaway'!$A$2:$A$3000,$K$2,'Pending Putaway'!$B$2:$B$3000,$A194),IF(COUNTIFS('Pending Putaway'!$A$2:$A$3000,$K$2,'Pending Putaway'!$B$2:$B$3000,SUBSTITUTE($A194," SS","  SS"))&gt;0,SUMIFS('Pending Putaway'!$E$2:$E$3000,'Pending Putaway'!$A$2:$A$3000,$K$2,'Pending Putaway'!$B$2:$B$3000,SUBSTITUTE($A194," SS","  SS")),"NA"))</f>
        <v>1106</v>
      </c>
      <c r="J194" s="81" t="n">
        <f aca="false">IF(COUNTIFS('Pending Putaway'!$A$2:$A$3000,$K$2,'Pending Putaway'!$B$2:$B$3000,$A194)&gt;0,SUMIFS('Pending Putaway'!$L$2:$L$3000,'Pending Putaway'!$A$2:$A$3000,$K$2,'Pending Putaway'!$B$2:$B$3000,$A194),IF(COUNTIFS('Pending Putaway'!$A$2:$A$3000,$K$2,'Pending Putaway'!$B$2:$B$3000,SUBSTITUTE($A194," SS","  SS"))&gt;0,SUMIFS('Pending Putaway'!$L$2:$L$3000,'Pending Putaway'!$A$2:$A$3000,$K$2,'Pending Putaway'!$B$2:$B$3000,SUBSTITUTE($A194," SS","  SS")),"NA"))</f>
        <v>0</v>
      </c>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row>
    <row r="195" customFormat="false" ht="15.75" hidden="false" customHeight="true" outlineLevel="0" collapsed="false">
      <c r="A195" s="81" t="s">
        <v>322</v>
      </c>
      <c r="B195" s="81" t="str">
        <f aca="false" t="array" ref="B195:B195">IFERROR(INDEX('CLM &amp; IM Mapping'!$B$2:$B$270,MATCH($A195,'CLM &amp; IM Mapping'!$A$2:$A$270,0)),"Not Mapped")</f>
        <v>Ashwath S</v>
      </c>
      <c r="C195" s="81" t="str">
        <f aca="false" t="array" ref="C195:C195">IFERROR(INDEX('CLM &amp; IM Mapping'!$C$2:$C$270,MATCH($A195,'CLM &amp; IM Mapping'!$A$2:$A$270,0)),"Not Mapped")</f>
        <v>Kantha Kumar</v>
      </c>
      <c r="D195" s="82" t="n">
        <f aca="false">IF(COUNTIFS(Shrinkage!$A$2:$A$3000,$K$2,Shrinkage!$D$2:$D$3000,$A195)&gt;0,SUMIFS(Shrinkage!$P$2:$P$3000,Shrinkage!$A$2:$A$3000,$K$2,Shrinkage!$D$2:$D$3000,$A195),IF(COUNTIFS(Shrinkage!$A$2:$A$3000,$K$2,Shrinkage!$D$2:$D$3000,SUBSTITUTE($A195," SS","  SS"))&gt;0,SUMIFS(Shrinkage!$P$2:$P$3000,Shrinkage!$A$2:$A$3000,$K$2,Shrinkage!$D$2:$D$3000,SUBSTITUTE($A195," SS","  SS")),"NA"))</f>
        <v>15242</v>
      </c>
      <c r="E195" s="83" t="n">
        <f aca="false">IF(COUNTIFS('Inventory Hygiene'!$A$2:$A$3000,$K$2,'Inventory Hygiene'!$B$2:$B$3000,$A195)&gt;0,AVERAGEIFS('Inventory Hygiene'!$J$2:$J$3000,'Inventory Hygiene'!$A$2:$A$3000,$K$2,'Inventory Hygiene'!$B$2:$B$3000,$A195),IF(COUNTIFS('Inventory Hygiene'!$A$2:$A$3000,$K$2,'Inventory Hygiene'!$B$2:$B$3000,SUBSTITUTE($A195," SS","  SS"))&gt;0,AVERAGEIFS('Inventory Hygiene'!$J$2:$J$3000,'Inventory Hygiene'!$A$2:$A$3000,$K$2,'Inventory Hygiene'!$B$2:$B$3000,SUBSTITUTE($A195," SS","  SS")),"NA"))</f>
        <v>0.999141630901288</v>
      </c>
      <c r="F195" s="81" t="n">
        <f aca="false">IF(COUNTIFS('Bad Bins'!$A$2:$A$3000,$K$2,'Bad Bins'!$B$2:$B$3000,$A195)&gt;0,SUMIFS('Bad Bins'!$K$2:$K$3000,'Bad Bins'!$A$2:$A$3000,$K$2,'Bad Bins'!$B$2:$B$3000,$A195),IF(COUNTIFS('Bad Bins'!$A$2:$A$3000,$K$2,'Bad Bins'!$B$2:$B$3000,SUBSTITUTE($A195," SS","  SS"))&gt;0,SUMIFS('Bad Bins'!$K$2:$K$3000,'Bad Bins'!$A$2:$A$3000,$K$2,'Bad Bins'!$B$2:$B$3000,SUBSTITUTE($A195," SS","  SS")),"NA"))</f>
        <v>237</v>
      </c>
      <c r="G195" s="81" t="str">
        <f aca="false">IF(COUNTIFS('RSTO &gt; 48hrs'!$A$2:$A$3000,$K$2,'RSTO &gt; 48hrs'!$B$2:$B$3000,$A195)&gt;0,SUMIFS('RSTO &gt; 48hrs'!$H$2:$H$3000,'RSTO &gt; 48hrs'!$A$2:$A$3000,$K$2,'RSTO &gt; 48hrs'!$B$2:$B$3000,$A195),IF(COUNTIFS('RSTO &gt; 48hrs'!$A$2:$A$3000,$K$2,'RSTO &gt; 48hrs'!$B$2:$B$3000,SUBSTITUTE($A195," SS","  SS"))&gt;0,SUMIFS('RSTO &gt; 48hrs'!$H$2:$H$3000,'RSTO &gt; 48hrs'!$A$2:$A$3000,$K$2,'RSTO &gt; 48hrs'!$B$2:$B$3000,SUBSTITUTE($A195," SS","  SS")),"NA"))</f>
        <v>NA</v>
      </c>
      <c r="H195" s="81" t="n">
        <f aca="false">IF(COUNTIFS('Recirculation &gt; 24 hrs'!$A$2:$A$3000,$K$2,'Recirculation &gt; 24 hrs'!$B$2:$B$3000,$A195)&gt;0,SUMIFS('Recirculation &gt; 24 hrs'!$K$2:$K$3000,'Recirculation &gt; 24 hrs'!$A$2:$A$3000,$K$2,'Recirculation &gt; 24 hrs'!$B$2:$B$3000,$A195),IF(COUNTIFS('Recirculation &gt; 24 hrs'!$A$2:$A$3000,$K$2,'Recirculation &gt; 24 hrs'!$B$2:$B$3000,SUBSTITUTE($A195," SS","  SS"))&gt;0,SUMIFS('Recirculation &gt; 24 hrs'!$K$2:$K$3000,'Recirculation &gt; 24 hrs'!$A$2:$A$3000,$K$2,'Recirculation &gt; 24 hrs'!$B$2:$B$3000,SUBSTITUTE($A195," SS","  SS")),"NA"))</f>
        <v>734</v>
      </c>
      <c r="I195" s="81" t="n">
        <f aca="false">IF(COUNTIFS('Pending Putaway'!$A$2:$A$3000,$K$2,'Pending Putaway'!$B$2:$B$3000,$A195)&gt;0,SUMIFS('Pending Putaway'!$E$2:$E$3000,'Pending Putaway'!$A$2:$A$3000,$K$2,'Pending Putaway'!$B$2:$B$3000,$A195),IF(COUNTIFS('Pending Putaway'!$A$2:$A$3000,$K$2,'Pending Putaway'!$B$2:$B$3000,SUBSTITUTE($A195," SS","  SS"))&gt;0,SUMIFS('Pending Putaway'!$E$2:$E$3000,'Pending Putaway'!$A$2:$A$3000,$K$2,'Pending Putaway'!$B$2:$B$3000,SUBSTITUTE($A195," SS","  SS")),"NA"))</f>
        <v>2674</v>
      </c>
      <c r="J195" s="81" t="n">
        <f aca="false">IF(COUNTIFS('Pending Putaway'!$A$2:$A$3000,$K$2,'Pending Putaway'!$B$2:$B$3000,$A195)&gt;0,SUMIFS('Pending Putaway'!$L$2:$L$3000,'Pending Putaway'!$A$2:$A$3000,$K$2,'Pending Putaway'!$B$2:$B$3000,$A195),IF(COUNTIFS('Pending Putaway'!$A$2:$A$3000,$K$2,'Pending Putaway'!$B$2:$B$3000,SUBSTITUTE($A195," SS","  SS"))&gt;0,SUMIFS('Pending Putaway'!$L$2:$L$3000,'Pending Putaway'!$A$2:$A$3000,$K$2,'Pending Putaway'!$B$2:$B$3000,SUBSTITUTE($A195," SS","  SS")),"NA"))</f>
        <v>383</v>
      </c>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row>
    <row r="196" customFormat="false" ht="15.75" hidden="false" customHeight="true" outlineLevel="0" collapsed="false">
      <c r="A196" s="81" t="s">
        <v>38</v>
      </c>
      <c r="B196" s="81" t="str">
        <f aca="false" t="array" ref="B196:B196">IFERROR(INDEX('CLM &amp; IM Mapping'!$B$2:$B$270,MATCH($A196,'CLM &amp; IM Mapping'!$A$2:$A$270,0)),"Not Mapped")</f>
        <v>Vijay M</v>
      </c>
      <c r="C196" s="81" t="str">
        <f aca="false" t="array" ref="C196:C196">IFERROR(INDEX('CLM &amp; IM Mapping'!$C$2:$C$270,MATCH($A196,'CLM &amp; IM Mapping'!$A$2:$A$270,0)),"Not Mapped")</f>
        <v>Kantha Kumar</v>
      </c>
      <c r="D196" s="82" t="n">
        <f aca="false">IF(COUNTIFS(Shrinkage!$A$2:$A$3000,$K$2,Shrinkage!$D$2:$D$3000,$A196)&gt;0,SUMIFS(Shrinkage!$P$2:$P$3000,Shrinkage!$A$2:$A$3000,$K$2,Shrinkage!$D$2:$D$3000,$A196),IF(COUNTIFS(Shrinkage!$A$2:$A$3000,$K$2,Shrinkage!$D$2:$D$3000,SUBSTITUTE($A196," SS","  SS"))&gt;0,SUMIFS(Shrinkage!$P$2:$P$3000,Shrinkage!$A$2:$A$3000,$K$2,Shrinkage!$D$2:$D$3000,SUBSTITUTE($A196," SS","  SS")),"NA"))</f>
        <v>108084</v>
      </c>
      <c r="E196" s="83" t="n">
        <f aca="false">IF(COUNTIFS('Inventory Hygiene'!$A$2:$A$3000,$K$2,'Inventory Hygiene'!$B$2:$B$3000,$A196)&gt;0,AVERAGEIFS('Inventory Hygiene'!$J$2:$J$3000,'Inventory Hygiene'!$A$2:$A$3000,$K$2,'Inventory Hygiene'!$B$2:$B$3000,$A196),IF(COUNTIFS('Inventory Hygiene'!$A$2:$A$3000,$K$2,'Inventory Hygiene'!$B$2:$B$3000,SUBSTITUTE($A196," SS","  SS"))&gt;0,AVERAGEIFS('Inventory Hygiene'!$J$2:$J$3000,'Inventory Hygiene'!$A$2:$A$3000,$K$2,'Inventory Hygiene'!$B$2:$B$3000,SUBSTITUTE($A196," SS","  SS")),"NA"))</f>
        <v>0.632866479925304</v>
      </c>
      <c r="F196" s="81" t="n">
        <f aca="false">IF(COUNTIFS('Bad Bins'!$A$2:$A$3000,$K$2,'Bad Bins'!$B$2:$B$3000,$A196)&gt;0,SUMIFS('Bad Bins'!$K$2:$K$3000,'Bad Bins'!$A$2:$A$3000,$K$2,'Bad Bins'!$B$2:$B$3000,$A196),IF(COUNTIFS('Bad Bins'!$A$2:$A$3000,$K$2,'Bad Bins'!$B$2:$B$3000,SUBSTITUTE($A196," SS","  SS"))&gt;0,SUMIFS('Bad Bins'!$K$2:$K$3000,'Bad Bins'!$A$2:$A$3000,$K$2,'Bad Bins'!$B$2:$B$3000,SUBSTITUTE($A196," SS","  SS")),"NA"))</f>
        <v>1276</v>
      </c>
      <c r="G196" s="81" t="str">
        <f aca="false">IF(COUNTIFS('RSTO &gt; 48hrs'!$A$2:$A$3000,$K$2,'RSTO &gt; 48hrs'!$B$2:$B$3000,$A196)&gt;0,SUMIFS('RSTO &gt; 48hrs'!$H$2:$H$3000,'RSTO &gt; 48hrs'!$A$2:$A$3000,$K$2,'RSTO &gt; 48hrs'!$B$2:$B$3000,$A196),IF(COUNTIFS('RSTO &gt; 48hrs'!$A$2:$A$3000,$K$2,'RSTO &gt; 48hrs'!$B$2:$B$3000,SUBSTITUTE($A196," SS","  SS"))&gt;0,SUMIFS('RSTO &gt; 48hrs'!$H$2:$H$3000,'RSTO &gt; 48hrs'!$A$2:$A$3000,$K$2,'RSTO &gt; 48hrs'!$B$2:$B$3000,SUBSTITUTE($A196," SS","  SS")),"NA"))</f>
        <v>NA</v>
      </c>
      <c r="H196" s="81" t="n">
        <f aca="false">IF(COUNTIFS('Recirculation &gt; 24 hrs'!$A$2:$A$3000,$K$2,'Recirculation &gt; 24 hrs'!$B$2:$B$3000,$A196)&gt;0,SUMIFS('Recirculation &gt; 24 hrs'!$K$2:$K$3000,'Recirculation &gt; 24 hrs'!$A$2:$A$3000,$K$2,'Recirculation &gt; 24 hrs'!$B$2:$B$3000,$A196),IF(COUNTIFS('Recirculation &gt; 24 hrs'!$A$2:$A$3000,$K$2,'Recirculation &gt; 24 hrs'!$B$2:$B$3000,SUBSTITUTE($A196," SS","  SS"))&gt;0,SUMIFS('Recirculation &gt; 24 hrs'!$K$2:$K$3000,'Recirculation &gt; 24 hrs'!$A$2:$A$3000,$K$2,'Recirculation &gt; 24 hrs'!$B$2:$B$3000,SUBSTITUTE($A196," SS","  SS")),"NA"))</f>
        <v>932</v>
      </c>
      <c r="I196" s="81" t="n">
        <f aca="false">IF(COUNTIFS('Pending Putaway'!$A$2:$A$3000,$K$2,'Pending Putaway'!$B$2:$B$3000,$A196)&gt;0,SUMIFS('Pending Putaway'!$E$2:$E$3000,'Pending Putaway'!$A$2:$A$3000,$K$2,'Pending Putaway'!$B$2:$B$3000,$A196),IF(COUNTIFS('Pending Putaway'!$A$2:$A$3000,$K$2,'Pending Putaway'!$B$2:$B$3000,SUBSTITUTE($A196," SS","  SS"))&gt;0,SUMIFS('Pending Putaway'!$E$2:$E$3000,'Pending Putaway'!$A$2:$A$3000,$K$2,'Pending Putaway'!$B$2:$B$3000,SUBSTITUTE($A196," SS","  SS")),"NA"))</f>
        <v>8426</v>
      </c>
      <c r="J196" s="81" t="n">
        <f aca="false">IF(COUNTIFS('Pending Putaway'!$A$2:$A$3000,$K$2,'Pending Putaway'!$B$2:$B$3000,$A196)&gt;0,SUMIFS('Pending Putaway'!$L$2:$L$3000,'Pending Putaway'!$A$2:$A$3000,$K$2,'Pending Putaway'!$B$2:$B$3000,$A196),IF(COUNTIFS('Pending Putaway'!$A$2:$A$3000,$K$2,'Pending Putaway'!$B$2:$B$3000,SUBSTITUTE($A196," SS","  SS"))&gt;0,SUMIFS('Pending Putaway'!$L$2:$L$3000,'Pending Putaway'!$A$2:$A$3000,$K$2,'Pending Putaway'!$B$2:$B$3000,SUBSTITUTE($A196," SS","  SS")),"NA"))</f>
        <v>1860</v>
      </c>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row>
    <row r="197" customFormat="false" ht="15.75" hidden="false" customHeight="true" outlineLevel="0" collapsed="false">
      <c r="A197" s="81" t="s">
        <v>700</v>
      </c>
      <c r="B197" s="81" t="str">
        <f aca="false" t="array" ref="B197:B197">IFERROR(INDEX('CLM &amp; IM Mapping'!$B$2:$B$270,MATCH($A197,'CLM &amp; IM Mapping'!$A$2:$A$270,0)),"Not Mapped")</f>
        <v>Vijay M</v>
      </c>
      <c r="C197" s="81" t="str">
        <f aca="false" t="array" ref="C197:C197">IFERROR(INDEX('CLM &amp; IM Mapping'!$C$2:$C$270,MATCH($A197,'CLM &amp; IM Mapping'!$A$2:$A$270,0)),"Not Mapped")</f>
        <v>Kantha Kumar</v>
      </c>
      <c r="D197" s="82" t="n">
        <f aca="false">IF(COUNTIFS(Shrinkage!$A$2:$A$3000,$K$2,Shrinkage!$D$2:$D$3000,$A197)&gt;0,SUMIFS(Shrinkage!$P$2:$P$3000,Shrinkage!$A$2:$A$3000,$K$2,Shrinkage!$D$2:$D$3000,$A197),IF(COUNTIFS(Shrinkage!$A$2:$A$3000,$K$2,Shrinkage!$D$2:$D$3000,SUBSTITUTE($A197," SS","  SS"))&gt;0,SUMIFS(Shrinkage!$P$2:$P$3000,Shrinkage!$A$2:$A$3000,$K$2,Shrinkage!$D$2:$D$3000,SUBSTITUTE($A197," SS","  SS")),"NA"))</f>
        <v>-14700</v>
      </c>
      <c r="E197" s="83" t="n">
        <f aca="false">IF(COUNTIFS('Inventory Hygiene'!$A$2:$A$3000,$K$2,'Inventory Hygiene'!$B$2:$B$3000,$A197)&gt;0,AVERAGEIFS('Inventory Hygiene'!$J$2:$J$3000,'Inventory Hygiene'!$A$2:$A$3000,$K$2,'Inventory Hygiene'!$B$2:$B$3000,$A197),IF(COUNTIFS('Inventory Hygiene'!$A$2:$A$3000,$K$2,'Inventory Hygiene'!$B$2:$B$3000,SUBSTITUTE($A197," SS","  SS"))&gt;0,AVERAGEIFS('Inventory Hygiene'!$J$2:$J$3000,'Inventory Hygiene'!$A$2:$A$3000,$K$2,'Inventory Hygiene'!$B$2:$B$3000,SUBSTITUTE($A197," SS","  SS")),"NA"))</f>
        <v>0.836381514257621</v>
      </c>
      <c r="F197" s="81" t="n">
        <f aca="false">IF(COUNTIFS('Bad Bins'!$A$2:$A$3000,$K$2,'Bad Bins'!$B$2:$B$3000,$A197)&gt;0,SUMIFS('Bad Bins'!$K$2:$K$3000,'Bad Bins'!$A$2:$A$3000,$K$2,'Bad Bins'!$B$2:$B$3000,$A197),IF(COUNTIFS('Bad Bins'!$A$2:$A$3000,$K$2,'Bad Bins'!$B$2:$B$3000,SUBSTITUTE($A197," SS","  SS"))&gt;0,SUMIFS('Bad Bins'!$K$2:$K$3000,'Bad Bins'!$A$2:$A$3000,$K$2,'Bad Bins'!$B$2:$B$3000,SUBSTITUTE($A197," SS","  SS")),"NA"))</f>
        <v>38</v>
      </c>
      <c r="G197" s="81" t="str">
        <f aca="false">IF(COUNTIFS('RSTO &gt; 48hrs'!$A$2:$A$3000,$K$2,'RSTO &gt; 48hrs'!$B$2:$B$3000,$A197)&gt;0,SUMIFS('RSTO &gt; 48hrs'!$H$2:$H$3000,'RSTO &gt; 48hrs'!$A$2:$A$3000,$K$2,'RSTO &gt; 48hrs'!$B$2:$B$3000,$A197),IF(COUNTIFS('RSTO &gt; 48hrs'!$A$2:$A$3000,$K$2,'RSTO &gt; 48hrs'!$B$2:$B$3000,SUBSTITUTE($A197," SS","  SS"))&gt;0,SUMIFS('RSTO &gt; 48hrs'!$H$2:$H$3000,'RSTO &gt; 48hrs'!$A$2:$A$3000,$K$2,'RSTO &gt; 48hrs'!$B$2:$B$3000,SUBSTITUTE($A197," SS","  SS")),"NA"))</f>
        <v>NA</v>
      </c>
      <c r="H197" s="81" t="n">
        <f aca="false">IF(COUNTIFS('Recirculation &gt; 24 hrs'!$A$2:$A$3000,$K$2,'Recirculation &gt; 24 hrs'!$B$2:$B$3000,$A197)&gt;0,SUMIFS('Recirculation &gt; 24 hrs'!$K$2:$K$3000,'Recirculation &gt; 24 hrs'!$A$2:$A$3000,$K$2,'Recirculation &gt; 24 hrs'!$B$2:$B$3000,$A197),IF(COUNTIFS('Recirculation &gt; 24 hrs'!$A$2:$A$3000,$K$2,'Recirculation &gt; 24 hrs'!$B$2:$B$3000,SUBSTITUTE($A197," SS","  SS"))&gt;0,SUMIFS('Recirculation &gt; 24 hrs'!$K$2:$K$3000,'Recirculation &gt; 24 hrs'!$A$2:$A$3000,$K$2,'Recirculation &gt; 24 hrs'!$B$2:$B$3000,SUBSTITUTE($A197," SS","  SS")),"NA"))</f>
        <v>5</v>
      </c>
      <c r="I197" s="81" t="n">
        <f aca="false">IF(COUNTIFS('Pending Putaway'!$A$2:$A$3000,$K$2,'Pending Putaway'!$B$2:$B$3000,$A197)&gt;0,SUMIFS('Pending Putaway'!$E$2:$E$3000,'Pending Putaway'!$A$2:$A$3000,$K$2,'Pending Putaway'!$B$2:$B$3000,$A197),IF(COUNTIFS('Pending Putaway'!$A$2:$A$3000,$K$2,'Pending Putaway'!$B$2:$B$3000,SUBSTITUTE($A197," SS","  SS"))&gt;0,SUMIFS('Pending Putaway'!$E$2:$E$3000,'Pending Putaway'!$A$2:$A$3000,$K$2,'Pending Putaway'!$B$2:$B$3000,SUBSTITUTE($A197," SS","  SS")),"NA"))</f>
        <v>992</v>
      </c>
      <c r="J197" s="81" t="n">
        <f aca="false">IF(COUNTIFS('Pending Putaway'!$A$2:$A$3000,$K$2,'Pending Putaway'!$B$2:$B$3000,$A197)&gt;0,SUMIFS('Pending Putaway'!$L$2:$L$3000,'Pending Putaway'!$A$2:$A$3000,$K$2,'Pending Putaway'!$B$2:$B$3000,$A197),IF(COUNTIFS('Pending Putaway'!$A$2:$A$3000,$K$2,'Pending Putaway'!$B$2:$B$3000,SUBSTITUTE($A197," SS","  SS"))&gt;0,SUMIFS('Pending Putaway'!$L$2:$L$3000,'Pending Putaway'!$A$2:$A$3000,$K$2,'Pending Putaway'!$B$2:$B$3000,SUBSTITUTE($A197," SS","  SS")),"NA"))</f>
        <v>36</v>
      </c>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row>
    <row r="198" customFormat="false" ht="15.75" hidden="false" customHeight="true" outlineLevel="0" collapsed="false">
      <c r="A198" s="81" t="s">
        <v>460</v>
      </c>
      <c r="B198" s="81" t="str">
        <f aca="false" t="array" ref="B198:B198">IFERROR(INDEX('CLM &amp; IM Mapping'!$B$2:$B$270,MATCH($A198,'CLM &amp; IM Mapping'!$A$2:$A$270,0)),"Not Mapped")</f>
        <v>Vijay M</v>
      </c>
      <c r="C198" s="81" t="str">
        <f aca="false" t="array" ref="C198:C198">IFERROR(INDEX('CLM &amp; IM Mapping'!$C$2:$C$270,MATCH($A198,'CLM &amp; IM Mapping'!$A$2:$A$270,0)),"Not Mapped")</f>
        <v>Kantha Kumar</v>
      </c>
      <c r="D198" s="82" t="n">
        <f aca="false">IF(COUNTIFS(Shrinkage!$A$2:$A$3000,$K$2,Shrinkage!$D$2:$D$3000,$A198)&gt;0,SUMIFS(Shrinkage!$P$2:$P$3000,Shrinkage!$A$2:$A$3000,$K$2,Shrinkage!$D$2:$D$3000,$A198),IF(COUNTIFS(Shrinkage!$A$2:$A$3000,$K$2,Shrinkage!$D$2:$D$3000,SUBSTITUTE($A198," SS","  SS"))&gt;0,SUMIFS(Shrinkage!$P$2:$P$3000,Shrinkage!$A$2:$A$3000,$K$2,Shrinkage!$D$2:$D$3000,SUBSTITUTE($A198," SS","  SS")),"NA"))</f>
        <v>-9062</v>
      </c>
      <c r="E198" s="83" t="n">
        <f aca="false">IF(COUNTIFS('Inventory Hygiene'!$A$2:$A$3000,$K$2,'Inventory Hygiene'!$B$2:$B$3000,$A198)&gt;0,AVERAGEIFS('Inventory Hygiene'!$J$2:$J$3000,'Inventory Hygiene'!$A$2:$A$3000,$K$2,'Inventory Hygiene'!$B$2:$B$3000,$A198),IF(COUNTIFS('Inventory Hygiene'!$A$2:$A$3000,$K$2,'Inventory Hygiene'!$B$2:$B$3000,SUBSTITUTE($A198," SS","  SS"))&gt;0,AVERAGEIFS('Inventory Hygiene'!$J$2:$J$3000,'Inventory Hygiene'!$A$2:$A$3000,$K$2,'Inventory Hygiene'!$B$2:$B$3000,SUBSTITUTE($A198," SS","  SS")),"NA"))</f>
        <v>0.96459562651857</v>
      </c>
      <c r="F198" s="81" t="n">
        <f aca="false">IF(COUNTIFS('Bad Bins'!$A$2:$A$3000,$K$2,'Bad Bins'!$B$2:$B$3000,$A198)&gt;0,SUMIFS('Bad Bins'!$K$2:$K$3000,'Bad Bins'!$A$2:$A$3000,$K$2,'Bad Bins'!$B$2:$B$3000,$A198),IF(COUNTIFS('Bad Bins'!$A$2:$A$3000,$K$2,'Bad Bins'!$B$2:$B$3000,SUBSTITUTE($A198," SS","  SS"))&gt;0,SUMIFS('Bad Bins'!$K$2:$K$3000,'Bad Bins'!$A$2:$A$3000,$K$2,'Bad Bins'!$B$2:$B$3000,SUBSTITUTE($A198," SS","  SS")),"NA"))</f>
        <v>245</v>
      </c>
      <c r="G198" s="81" t="str">
        <f aca="false">IF(COUNTIFS('RSTO &gt; 48hrs'!$A$2:$A$3000,$K$2,'RSTO &gt; 48hrs'!$B$2:$B$3000,$A198)&gt;0,SUMIFS('RSTO &gt; 48hrs'!$H$2:$H$3000,'RSTO &gt; 48hrs'!$A$2:$A$3000,$K$2,'RSTO &gt; 48hrs'!$B$2:$B$3000,$A198),IF(COUNTIFS('RSTO &gt; 48hrs'!$A$2:$A$3000,$K$2,'RSTO &gt; 48hrs'!$B$2:$B$3000,SUBSTITUTE($A198," SS","  SS"))&gt;0,SUMIFS('RSTO &gt; 48hrs'!$H$2:$H$3000,'RSTO &gt; 48hrs'!$A$2:$A$3000,$K$2,'RSTO &gt; 48hrs'!$B$2:$B$3000,SUBSTITUTE($A198," SS","  SS")),"NA"))</f>
        <v>NA</v>
      </c>
      <c r="H198" s="81" t="n">
        <f aca="false">IF(COUNTIFS('Recirculation &gt; 24 hrs'!$A$2:$A$3000,$K$2,'Recirculation &gt; 24 hrs'!$B$2:$B$3000,$A198)&gt;0,SUMIFS('Recirculation &gt; 24 hrs'!$K$2:$K$3000,'Recirculation &gt; 24 hrs'!$A$2:$A$3000,$K$2,'Recirculation &gt; 24 hrs'!$B$2:$B$3000,$A198),IF(COUNTIFS('Recirculation &gt; 24 hrs'!$A$2:$A$3000,$K$2,'Recirculation &gt; 24 hrs'!$B$2:$B$3000,SUBSTITUTE($A198," SS","  SS"))&gt;0,SUMIFS('Recirculation &gt; 24 hrs'!$K$2:$K$3000,'Recirculation &gt; 24 hrs'!$A$2:$A$3000,$K$2,'Recirculation &gt; 24 hrs'!$B$2:$B$3000,SUBSTITUTE($A198," SS","  SS")),"NA"))</f>
        <v>739</v>
      </c>
      <c r="I198" s="81" t="n">
        <f aca="false">IF(COUNTIFS('Pending Putaway'!$A$2:$A$3000,$K$2,'Pending Putaway'!$B$2:$B$3000,$A198)&gt;0,SUMIFS('Pending Putaway'!$E$2:$E$3000,'Pending Putaway'!$A$2:$A$3000,$K$2,'Pending Putaway'!$B$2:$B$3000,$A198),IF(COUNTIFS('Pending Putaway'!$A$2:$A$3000,$K$2,'Pending Putaway'!$B$2:$B$3000,SUBSTITUTE($A198," SS","  SS"))&gt;0,SUMIFS('Pending Putaway'!$E$2:$E$3000,'Pending Putaway'!$A$2:$A$3000,$K$2,'Pending Putaway'!$B$2:$B$3000,SUBSTITUTE($A198," SS","  SS")),"NA"))</f>
        <v>11020</v>
      </c>
      <c r="J198" s="81" t="n">
        <f aca="false">IF(COUNTIFS('Pending Putaway'!$A$2:$A$3000,$K$2,'Pending Putaway'!$B$2:$B$3000,$A198)&gt;0,SUMIFS('Pending Putaway'!$L$2:$L$3000,'Pending Putaway'!$A$2:$A$3000,$K$2,'Pending Putaway'!$B$2:$B$3000,$A198),IF(COUNTIFS('Pending Putaway'!$A$2:$A$3000,$K$2,'Pending Putaway'!$B$2:$B$3000,SUBSTITUTE($A198," SS","  SS"))&gt;0,SUMIFS('Pending Putaway'!$L$2:$L$3000,'Pending Putaway'!$A$2:$A$3000,$K$2,'Pending Putaway'!$B$2:$B$3000,SUBSTITUTE($A198," SS","  SS")),"NA"))</f>
        <v>8401</v>
      </c>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row>
    <row r="199" customFormat="false" ht="15.75" hidden="false" customHeight="true" outlineLevel="0" collapsed="false">
      <c r="A199" s="81" t="s">
        <v>701</v>
      </c>
      <c r="B199" s="81" t="str">
        <f aca="false" t="array" ref="B199:B199">IFERROR(INDEX('CLM &amp; IM Mapping'!$B$2:$B$270,MATCH($A199,'CLM &amp; IM Mapping'!$A$2:$A$270,0)),"Not Mapped")</f>
        <v>Vijay M</v>
      </c>
      <c r="C199" s="81" t="str">
        <f aca="false" t="array" ref="C199:C199">IFERROR(INDEX('CLM &amp; IM Mapping'!$C$2:$C$270,MATCH($A199,'CLM &amp; IM Mapping'!$A$2:$A$270,0)),"Not Mapped")</f>
        <v>Kantha Kumar</v>
      </c>
      <c r="D199" s="82" t="n">
        <f aca="false">IF(COUNTIFS(Shrinkage!$A$2:$A$3000,$K$2,Shrinkage!$D$2:$D$3000,$A199)&gt;0,SUMIFS(Shrinkage!$P$2:$P$3000,Shrinkage!$A$2:$A$3000,$K$2,Shrinkage!$D$2:$D$3000,$A199),IF(COUNTIFS(Shrinkage!$A$2:$A$3000,$K$2,Shrinkage!$D$2:$D$3000,SUBSTITUTE($A199," SS","  SS"))&gt;0,SUMIFS(Shrinkage!$P$2:$P$3000,Shrinkage!$A$2:$A$3000,$K$2,Shrinkage!$D$2:$D$3000,SUBSTITUTE($A199," SS","  SS")),"NA"))</f>
        <v>-6523</v>
      </c>
      <c r="E199" s="83" t="n">
        <f aca="false">IF(COUNTIFS('Inventory Hygiene'!$A$2:$A$3000,$K$2,'Inventory Hygiene'!$B$2:$B$3000,$A199)&gt;0,AVERAGEIFS('Inventory Hygiene'!$J$2:$J$3000,'Inventory Hygiene'!$A$2:$A$3000,$K$2,'Inventory Hygiene'!$B$2:$B$3000,$A199),IF(COUNTIFS('Inventory Hygiene'!$A$2:$A$3000,$K$2,'Inventory Hygiene'!$B$2:$B$3000,SUBSTITUTE($A199," SS","  SS"))&gt;0,AVERAGEIFS('Inventory Hygiene'!$J$2:$J$3000,'Inventory Hygiene'!$A$2:$A$3000,$K$2,'Inventory Hygiene'!$B$2:$B$3000,SUBSTITUTE($A199," SS","  SS")),"NA"))</f>
        <v>0.479464285714286</v>
      </c>
      <c r="F199" s="81" t="n">
        <f aca="false">IF(COUNTIFS('Bad Bins'!$A$2:$A$3000,$K$2,'Bad Bins'!$B$2:$B$3000,$A199)&gt;0,SUMIFS('Bad Bins'!$K$2:$K$3000,'Bad Bins'!$A$2:$A$3000,$K$2,'Bad Bins'!$B$2:$B$3000,$A199),IF(COUNTIFS('Bad Bins'!$A$2:$A$3000,$K$2,'Bad Bins'!$B$2:$B$3000,SUBSTITUTE($A199," SS","  SS"))&gt;0,SUMIFS('Bad Bins'!$K$2:$K$3000,'Bad Bins'!$A$2:$A$3000,$K$2,'Bad Bins'!$B$2:$B$3000,SUBSTITUTE($A199," SS","  SS")),"NA"))</f>
        <v>102</v>
      </c>
      <c r="G199" s="81" t="str">
        <f aca="false">IF(COUNTIFS('RSTO &gt; 48hrs'!$A$2:$A$3000,$K$2,'RSTO &gt; 48hrs'!$B$2:$B$3000,$A199)&gt;0,SUMIFS('RSTO &gt; 48hrs'!$H$2:$H$3000,'RSTO &gt; 48hrs'!$A$2:$A$3000,$K$2,'RSTO &gt; 48hrs'!$B$2:$B$3000,$A199),IF(COUNTIFS('RSTO &gt; 48hrs'!$A$2:$A$3000,$K$2,'RSTO &gt; 48hrs'!$B$2:$B$3000,SUBSTITUTE($A199," SS","  SS"))&gt;0,SUMIFS('RSTO &gt; 48hrs'!$H$2:$H$3000,'RSTO &gt; 48hrs'!$A$2:$A$3000,$K$2,'RSTO &gt; 48hrs'!$B$2:$B$3000,SUBSTITUTE($A199," SS","  SS")),"NA"))</f>
        <v>NA</v>
      </c>
      <c r="H199" s="81" t="str">
        <f aca="false">IF(COUNTIFS('Recirculation &gt; 24 hrs'!$A$2:$A$3000,$K$2,'Recirculation &gt; 24 hrs'!$B$2:$B$3000,$A199)&gt;0,SUMIFS('Recirculation &gt; 24 hrs'!$K$2:$K$3000,'Recirculation &gt; 24 hrs'!$A$2:$A$3000,$K$2,'Recirculation &gt; 24 hrs'!$B$2:$B$3000,$A199),IF(COUNTIFS('Recirculation &gt; 24 hrs'!$A$2:$A$3000,$K$2,'Recirculation &gt; 24 hrs'!$B$2:$B$3000,SUBSTITUTE($A199," SS","  SS"))&gt;0,SUMIFS('Recirculation &gt; 24 hrs'!$K$2:$K$3000,'Recirculation &gt; 24 hrs'!$A$2:$A$3000,$K$2,'Recirculation &gt; 24 hrs'!$B$2:$B$3000,SUBSTITUTE($A199," SS","  SS")),"NA"))</f>
        <v>NA</v>
      </c>
      <c r="I199" s="81" t="n">
        <f aca="false">IF(COUNTIFS('Pending Putaway'!$A$2:$A$3000,$K$2,'Pending Putaway'!$B$2:$B$3000,$A199)&gt;0,SUMIFS('Pending Putaway'!$E$2:$E$3000,'Pending Putaway'!$A$2:$A$3000,$K$2,'Pending Putaway'!$B$2:$B$3000,$A199),IF(COUNTIFS('Pending Putaway'!$A$2:$A$3000,$K$2,'Pending Putaway'!$B$2:$B$3000,SUBSTITUTE($A199," SS","  SS"))&gt;0,SUMIFS('Pending Putaway'!$E$2:$E$3000,'Pending Putaway'!$A$2:$A$3000,$K$2,'Pending Putaway'!$B$2:$B$3000,SUBSTITUTE($A199," SS","  SS")),"NA"))</f>
        <v>3635</v>
      </c>
      <c r="J199" s="81" t="n">
        <f aca="false">IF(COUNTIFS('Pending Putaway'!$A$2:$A$3000,$K$2,'Pending Putaway'!$B$2:$B$3000,$A199)&gt;0,SUMIFS('Pending Putaway'!$L$2:$L$3000,'Pending Putaway'!$A$2:$A$3000,$K$2,'Pending Putaway'!$B$2:$B$3000,$A199),IF(COUNTIFS('Pending Putaway'!$A$2:$A$3000,$K$2,'Pending Putaway'!$B$2:$B$3000,SUBSTITUTE($A199," SS","  SS"))&gt;0,SUMIFS('Pending Putaway'!$L$2:$L$3000,'Pending Putaway'!$A$2:$A$3000,$K$2,'Pending Putaway'!$B$2:$B$3000,SUBSTITUTE($A199," SS","  SS")),"NA"))</f>
        <v>3635</v>
      </c>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row>
    <row r="200" customFormat="false" ht="15.75" hidden="false" customHeight="true" outlineLevel="0" collapsed="false">
      <c r="A200" s="81" t="s">
        <v>331</v>
      </c>
      <c r="B200" s="81" t="str">
        <f aca="false" t="array" ref="B200:B200">IFERROR(INDEX('CLM &amp; IM Mapping'!$B$2:$B$270,MATCH($A200,'CLM &amp; IM Mapping'!$A$2:$A$270,0)),"Not Mapped")</f>
        <v>Vijay M</v>
      </c>
      <c r="C200" s="81" t="str">
        <f aca="false" t="array" ref="C200:C200">IFERROR(INDEX('CLM &amp; IM Mapping'!$C$2:$C$270,MATCH($A200,'CLM &amp; IM Mapping'!$A$2:$A$270,0)),"Not Mapped")</f>
        <v>Kantha Kumar</v>
      </c>
      <c r="D200" s="82" t="n">
        <f aca="false">IF(COUNTIFS(Shrinkage!$A$2:$A$3000,$K$2,Shrinkage!$D$2:$D$3000,$A200)&gt;0,SUMIFS(Shrinkage!$P$2:$P$3000,Shrinkage!$A$2:$A$3000,$K$2,Shrinkage!$D$2:$D$3000,$A200),IF(COUNTIFS(Shrinkage!$A$2:$A$3000,$K$2,Shrinkage!$D$2:$D$3000,SUBSTITUTE($A200," SS","  SS"))&gt;0,SUMIFS(Shrinkage!$P$2:$P$3000,Shrinkage!$A$2:$A$3000,$K$2,Shrinkage!$D$2:$D$3000,SUBSTITUTE($A200," SS","  SS")),"NA"))</f>
        <v>690</v>
      </c>
      <c r="E200" s="83" t="n">
        <f aca="false">IF(COUNTIFS('Inventory Hygiene'!$A$2:$A$3000,$K$2,'Inventory Hygiene'!$B$2:$B$3000,$A200)&gt;0,AVERAGEIFS('Inventory Hygiene'!$J$2:$J$3000,'Inventory Hygiene'!$A$2:$A$3000,$K$2,'Inventory Hygiene'!$B$2:$B$3000,$A200),IF(COUNTIFS('Inventory Hygiene'!$A$2:$A$3000,$K$2,'Inventory Hygiene'!$B$2:$B$3000,SUBSTITUTE($A200," SS","  SS"))&gt;0,AVERAGEIFS('Inventory Hygiene'!$J$2:$J$3000,'Inventory Hygiene'!$A$2:$A$3000,$K$2,'Inventory Hygiene'!$B$2:$B$3000,SUBSTITUTE($A200," SS","  SS")),"NA"))</f>
        <v>0.720301946762018</v>
      </c>
      <c r="F200" s="81" t="n">
        <f aca="false">IF(COUNTIFS('Bad Bins'!$A$2:$A$3000,$K$2,'Bad Bins'!$B$2:$B$3000,$A200)&gt;0,SUMIFS('Bad Bins'!$K$2:$K$3000,'Bad Bins'!$A$2:$A$3000,$K$2,'Bad Bins'!$B$2:$B$3000,$A200),IF(COUNTIFS('Bad Bins'!$A$2:$A$3000,$K$2,'Bad Bins'!$B$2:$B$3000,SUBSTITUTE($A200," SS","  SS"))&gt;0,SUMIFS('Bad Bins'!$K$2:$K$3000,'Bad Bins'!$A$2:$A$3000,$K$2,'Bad Bins'!$B$2:$B$3000,SUBSTITUTE($A200," SS","  SS")),"NA"))</f>
        <v>257</v>
      </c>
      <c r="G200" s="81" t="str">
        <f aca="false">IF(COUNTIFS('RSTO &gt; 48hrs'!$A$2:$A$3000,$K$2,'RSTO &gt; 48hrs'!$B$2:$B$3000,$A200)&gt;0,SUMIFS('RSTO &gt; 48hrs'!$H$2:$H$3000,'RSTO &gt; 48hrs'!$A$2:$A$3000,$K$2,'RSTO &gt; 48hrs'!$B$2:$B$3000,$A200),IF(COUNTIFS('RSTO &gt; 48hrs'!$A$2:$A$3000,$K$2,'RSTO &gt; 48hrs'!$B$2:$B$3000,SUBSTITUTE($A200," SS","  SS"))&gt;0,SUMIFS('RSTO &gt; 48hrs'!$H$2:$H$3000,'RSTO &gt; 48hrs'!$A$2:$A$3000,$K$2,'RSTO &gt; 48hrs'!$B$2:$B$3000,SUBSTITUTE($A200," SS","  SS")),"NA"))</f>
        <v>NA</v>
      </c>
      <c r="H200" s="81" t="n">
        <f aca="false">IF(COUNTIFS('Recirculation &gt; 24 hrs'!$A$2:$A$3000,$K$2,'Recirculation &gt; 24 hrs'!$B$2:$B$3000,$A200)&gt;0,SUMIFS('Recirculation &gt; 24 hrs'!$K$2:$K$3000,'Recirculation &gt; 24 hrs'!$A$2:$A$3000,$K$2,'Recirculation &gt; 24 hrs'!$B$2:$B$3000,$A200),IF(COUNTIFS('Recirculation &gt; 24 hrs'!$A$2:$A$3000,$K$2,'Recirculation &gt; 24 hrs'!$B$2:$B$3000,SUBSTITUTE($A200," SS","  SS"))&gt;0,SUMIFS('Recirculation &gt; 24 hrs'!$K$2:$K$3000,'Recirculation &gt; 24 hrs'!$A$2:$A$3000,$K$2,'Recirculation &gt; 24 hrs'!$B$2:$B$3000,SUBSTITUTE($A200," SS","  SS")),"NA"))</f>
        <v>698</v>
      </c>
      <c r="I200" s="81" t="n">
        <f aca="false">IF(COUNTIFS('Pending Putaway'!$A$2:$A$3000,$K$2,'Pending Putaway'!$B$2:$B$3000,$A200)&gt;0,SUMIFS('Pending Putaway'!$E$2:$E$3000,'Pending Putaway'!$A$2:$A$3000,$K$2,'Pending Putaway'!$B$2:$B$3000,$A200),IF(COUNTIFS('Pending Putaway'!$A$2:$A$3000,$K$2,'Pending Putaway'!$B$2:$B$3000,SUBSTITUTE($A200," SS","  SS"))&gt;0,SUMIFS('Pending Putaway'!$E$2:$E$3000,'Pending Putaway'!$A$2:$A$3000,$K$2,'Pending Putaway'!$B$2:$B$3000,SUBSTITUTE($A200," SS","  SS")),"NA"))</f>
        <v>0</v>
      </c>
      <c r="J200" s="81" t="n">
        <f aca="false">IF(COUNTIFS('Pending Putaway'!$A$2:$A$3000,$K$2,'Pending Putaway'!$B$2:$B$3000,$A200)&gt;0,SUMIFS('Pending Putaway'!$L$2:$L$3000,'Pending Putaway'!$A$2:$A$3000,$K$2,'Pending Putaway'!$B$2:$B$3000,$A200),IF(COUNTIFS('Pending Putaway'!$A$2:$A$3000,$K$2,'Pending Putaway'!$B$2:$B$3000,SUBSTITUTE($A200," SS","  SS"))&gt;0,SUMIFS('Pending Putaway'!$L$2:$L$3000,'Pending Putaway'!$A$2:$A$3000,$K$2,'Pending Putaway'!$B$2:$B$3000,SUBSTITUTE($A200," SS","  SS")),"NA"))</f>
        <v>0</v>
      </c>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row>
    <row r="201" customFormat="false" ht="15.75" hidden="false" customHeight="true" outlineLevel="0" collapsed="false">
      <c r="A201" s="81" t="s">
        <v>168</v>
      </c>
      <c r="B201" s="81" t="str">
        <f aca="false" t="array" ref="B201:B201">IFERROR(INDEX('CLM &amp; IM Mapping'!$B$2:$B$270,MATCH($A201,'CLM &amp; IM Mapping'!$A$2:$A$270,0)),"Not Mapped")</f>
        <v>Vijay M</v>
      </c>
      <c r="C201" s="81" t="str">
        <f aca="false" t="array" ref="C201:C201">IFERROR(INDEX('CLM &amp; IM Mapping'!$C$2:$C$270,MATCH($A201,'CLM &amp; IM Mapping'!$A$2:$A$270,0)),"Not Mapped")</f>
        <v>Kantha Kumar</v>
      </c>
      <c r="D201" s="82" t="n">
        <f aca="false">IF(COUNTIFS(Shrinkage!$A$2:$A$3000,$K$2,Shrinkage!$D$2:$D$3000,$A201)&gt;0,SUMIFS(Shrinkage!$P$2:$P$3000,Shrinkage!$A$2:$A$3000,$K$2,Shrinkage!$D$2:$D$3000,$A201),IF(COUNTIFS(Shrinkage!$A$2:$A$3000,$K$2,Shrinkage!$D$2:$D$3000,SUBSTITUTE($A201," SS","  SS"))&gt;0,SUMIFS(Shrinkage!$P$2:$P$3000,Shrinkage!$A$2:$A$3000,$K$2,Shrinkage!$D$2:$D$3000,SUBSTITUTE($A201," SS","  SS")),"NA"))</f>
        <v>29849</v>
      </c>
      <c r="E201" s="83" t="n">
        <f aca="false">IF(COUNTIFS('Inventory Hygiene'!$A$2:$A$3000,$K$2,'Inventory Hygiene'!$B$2:$B$3000,$A201)&gt;0,AVERAGEIFS('Inventory Hygiene'!$J$2:$J$3000,'Inventory Hygiene'!$A$2:$A$3000,$K$2,'Inventory Hygiene'!$B$2:$B$3000,$A201),IF(COUNTIFS('Inventory Hygiene'!$A$2:$A$3000,$K$2,'Inventory Hygiene'!$B$2:$B$3000,SUBSTITUTE($A201," SS","  SS"))&gt;0,AVERAGEIFS('Inventory Hygiene'!$J$2:$J$3000,'Inventory Hygiene'!$A$2:$A$3000,$K$2,'Inventory Hygiene'!$B$2:$B$3000,SUBSTITUTE($A201," SS","  SS")),"NA"))</f>
        <v>0.871589609540925</v>
      </c>
      <c r="F201" s="81" t="n">
        <f aca="false">IF(COUNTIFS('Bad Bins'!$A$2:$A$3000,$K$2,'Bad Bins'!$B$2:$B$3000,$A201)&gt;0,SUMIFS('Bad Bins'!$K$2:$K$3000,'Bad Bins'!$A$2:$A$3000,$K$2,'Bad Bins'!$B$2:$B$3000,$A201),IF(COUNTIFS('Bad Bins'!$A$2:$A$3000,$K$2,'Bad Bins'!$B$2:$B$3000,SUBSTITUTE($A201," SS","  SS"))&gt;0,SUMIFS('Bad Bins'!$K$2:$K$3000,'Bad Bins'!$A$2:$A$3000,$K$2,'Bad Bins'!$B$2:$B$3000,SUBSTITUTE($A201," SS","  SS")),"NA"))</f>
        <v>215</v>
      </c>
      <c r="G201" s="81" t="str">
        <f aca="false">IF(COUNTIFS('RSTO &gt; 48hrs'!$A$2:$A$3000,$K$2,'RSTO &gt; 48hrs'!$B$2:$B$3000,$A201)&gt;0,SUMIFS('RSTO &gt; 48hrs'!$H$2:$H$3000,'RSTO &gt; 48hrs'!$A$2:$A$3000,$K$2,'RSTO &gt; 48hrs'!$B$2:$B$3000,$A201),IF(COUNTIFS('RSTO &gt; 48hrs'!$A$2:$A$3000,$K$2,'RSTO &gt; 48hrs'!$B$2:$B$3000,SUBSTITUTE($A201," SS","  SS"))&gt;0,SUMIFS('RSTO &gt; 48hrs'!$H$2:$H$3000,'RSTO &gt; 48hrs'!$A$2:$A$3000,$K$2,'RSTO &gt; 48hrs'!$B$2:$B$3000,SUBSTITUTE($A201," SS","  SS")),"NA"))</f>
        <v>NA</v>
      </c>
      <c r="H201" s="81" t="n">
        <f aca="false">IF(COUNTIFS('Recirculation &gt; 24 hrs'!$A$2:$A$3000,$K$2,'Recirculation &gt; 24 hrs'!$B$2:$B$3000,$A201)&gt;0,SUMIFS('Recirculation &gt; 24 hrs'!$K$2:$K$3000,'Recirculation &gt; 24 hrs'!$A$2:$A$3000,$K$2,'Recirculation &gt; 24 hrs'!$B$2:$B$3000,$A201),IF(COUNTIFS('Recirculation &gt; 24 hrs'!$A$2:$A$3000,$K$2,'Recirculation &gt; 24 hrs'!$B$2:$B$3000,SUBSTITUTE($A201," SS","  SS"))&gt;0,SUMIFS('Recirculation &gt; 24 hrs'!$K$2:$K$3000,'Recirculation &gt; 24 hrs'!$A$2:$A$3000,$K$2,'Recirculation &gt; 24 hrs'!$B$2:$B$3000,SUBSTITUTE($A201," SS","  SS")),"NA"))</f>
        <v>711</v>
      </c>
      <c r="I201" s="81" t="n">
        <f aca="false">IF(COUNTIFS('Pending Putaway'!$A$2:$A$3000,$K$2,'Pending Putaway'!$B$2:$B$3000,$A201)&gt;0,SUMIFS('Pending Putaway'!$E$2:$E$3000,'Pending Putaway'!$A$2:$A$3000,$K$2,'Pending Putaway'!$B$2:$B$3000,$A201),IF(COUNTIFS('Pending Putaway'!$A$2:$A$3000,$K$2,'Pending Putaway'!$B$2:$B$3000,SUBSTITUTE($A201," SS","  SS"))&gt;0,SUMIFS('Pending Putaway'!$E$2:$E$3000,'Pending Putaway'!$A$2:$A$3000,$K$2,'Pending Putaway'!$B$2:$B$3000,SUBSTITUTE($A201," SS","  SS")),"NA"))</f>
        <v>3274</v>
      </c>
      <c r="J201" s="81" t="n">
        <f aca="false">IF(COUNTIFS('Pending Putaway'!$A$2:$A$3000,$K$2,'Pending Putaway'!$B$2:$B$3000,$A201)&gt;0,SUMIFS('Pending Putaway'!$L$2:$L$3000,'Pending Putaway'!$A$2:$A$3000,$K$2,'Pending Putaway'!$B$2:$B$3000,$A201),IF(COUNTIFS('Pending Putaway'!$A$2:$A$3000,$K$2,'Pending Putaway'!$B$2:$B$3000,SUBSTITUTE($A201," SS","  SS"))&gt;0,SUMIFS('Pending Putaway'!$L$2:$L$3000,'Pending Putaway'!$A$2:$A$3000,$K$2,'Pending Putaway'!$B$2:$B$3000,SUBSTITUTE($A201," SS","  SS")),"NA"))</f>
        <v>0</v>
      </c>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row>
    <row r="202" customFormat="false" ht="15.75" hidden="false" customHeight="true" outlineLevel="0" collapsed="false">
      <c r="A202" s="81" t="s">
        <v>423</v>
      </c>
      <c r="B202" s="81" t="str">
        <f aca="false" t="array" ref="B202:B202">IFERROR(INDEX('CLM &amp; IM Mapping'!$B$2:$B$270,MATCH($A202,'CLM &amp; IM Mapping'!$A$2:$A$270,0)),"Not Mapped")</f>
        <v>Ashwath S</v>
      </c>
      <c r="C202" s="81" t="str">
        <f aca="false" t="array" ref="C202:C202">IFERROR(INDEX('CLM &amp; IM Mapping'!$C$2:$C$270,MATCH($A202,'CLM &amp; IM Mapping'!$A$2:$A$270,0)),"Not Mapped")</f>
        <v>Kantha Kumar</v>
      </c>
      <c r="D202" s="82" t="n">
        <f aca="false">IF(COUNTIFS(Shrinkage!$A$2:$A$3000,$K$2,Shrinkage!$D$2:$D$3000,$A202)&gt;0,SUMIFS(Shrinkage!$P$2:$P$3000,Shrinkage!$A$2:$A$3000,$K$2,Shrinkage!$D$2:$D$3000,$A202),IF(COUNTIFS(Shrinkage!$A$2:$A$3000,$K$2,Shrinkage!$D$2:$D$3000,SUBSTITUTE($A202," SS","  SS"))&gt;0,SUMIFS(Shrinkage!$P$2:$P$3000,Shrinkage!$A$2:$A$3000,$K$2,Shrinkage!$D$2:$D$3000,SUBSTITUTE($A202," SS","  SS")),"NA"))</f>
        <v>-5821</v>
      </c>
      <c r="E202" s="83" t="n">
        <f aca="false">IF(COUNTIFS('Inventory Hygiene'!$A$2:$A$3000,$K$2,'Inventory Hygiene'!$B$2:$B$3000,$A202)&gt;0,AVERAGEIFS('Inventory Hygiene'!$J$2:$J$3000,'Inventory Hygiene'!$A$2:$A$3000,$K$2,'Inventory Hygiene'!$B$2:$B$3000,$A202),IF(COUNTIFS('Inventory Hygiene'!$A$2:$A$3000,$K$2,'Inventory Hygiene'!$B$2:$B$3000,SUBSTITUTE($A202," SS","  SS"))&gt;0,AVERAGEIFS('Inventory Hygiene'!$J$2:$J$3000,'Inventory Hygiene'!$A$2:$A$3000,$K$2,'Inventory Hygiene'!$B$2:$B$3000,SUBSTITUTE($A202," SS","  SS")),"NA"))</f>
        <v>0.792279679533867</v>
      </c>
      <c r="F202" s="81" t="n">
        <f aca="false">IF(COUNTIFS('Bad Bins'!$A$2:$A$3000,$K$2,'Bad Bins'!$B$2:$B$3000,$A202)&gt;0,SUMIFS('Bad Bins'!$K$2:$K$3000,'Bad Bins'!$A$2:$A$3000,$K$2,'Bad Bins'!$B$2:$B$3000,$A202),IF(COUNTIFS('Bad Bins'!$A$2:$A$3000,$K$2,'Bad Bins'!$B$2:$B$3000,SUBSTITUTE($A202," SS","  SS"))&gt;0,SUMIFS('Bad Bins'!$K$2:$K$3000,'Bad Bins'!$A$2:$A$3000,$K$2,'Bad Bins'!$B$2:$B$3000,SUBSTITUTE($A202," SS","  SS")),"NA"))</f>
        <v>117</v>
      </c>
      <c r="G202" s="81" t="str">
        <f aca="false">IF(COUNTIFS('RSTO &gt; 48hrs'!$A$2:$A$3000,$K$2,'RSTO &gt; 48hrs'!$B$2:$B$3000,$A202)&gt;0,SUMIFS('RSTO &gt; 48hrs'!$H$2:$H$3000,'RSTO &gt; 48hrs'!$A$2:$A$3000,$K$2,'RSTO &gt; 48hrs'!$B$2:$B$3000,$A202),IF(COUNTIFS('RSTO &gt; 48hrs'!$A$2:$A$3000,$K$2,'RSTO &gt; 48hrs'!$B$2:$B$3000,SUBSTITUTE($A202," SS","  SS"))&gt;0,SUMIFS('RSTO &gt; 48hrs'!$H$2:$H$3000,'RSTO &gt; 48hrs'!$A$2:$A$3000,$K$2,'RSTO &gt; 48hrs'!$B$2:$B$3000,SUBSTITUTE($A202," SS","  SS")),"NA"))</f>
        <v>NA</v>
      </c>
      <c r="H202" s="81" t="str">
        <f aca="false">IF(COUNTIFS('Recirculation &gt; 24 hrs'!$A$2:$A$3000,$K$2,'Recirculation &gt; 24 hrs'!$B$2:$B$3000,$A202)&gt;0,SUMIFS('Recirculation &gt; 24 hrs'!$K$2:$K$3000,'Recirculation &gt; 24 hrs'!$A$2:$A$3000,$K$2,'Recirculation &gt; 24 hrs'!$B$2:$B$3000,$A202),IF(COUNTIFS('Recirculation &gt; 24 hrs'!$A$2:$A$3000,$K$2,'Recirculation &gt; 24 hrs'!$B$2:$B$3000,SUBSTITUTE($A202," SS","  SS"))&gt;0,SUMIFS('Recirculation &gt; 24 hrs'!$K$2:$K$3000,'Recirculation &gt; 24 hrs'!$A$2:$A$3000,$K$2,'Recirculation &gt; 24 hrs'!$B$2:$B$3000,SUBSTITUTE($A202," SS","  SS")),"NA"))</f>
        <v>NA</v>
      </c>
      <c r="I202" s="81" t="n">
        <f aca="false">IF(COUNTIFS('Pending Putaway'!$A$2:$A$3000,$K$2,'Pending Putaway'!$B$2:$B$3000,$A202)&gt;0,SUMIFS('Pending Putaway'!$E$2:$E$3000,'Pending Putaway'!$A$2:$A$3000,$K$2,'Pending Putaway'!$B$2:$B$3000,$A202),IF(COUNTIFS('Pending Putaway'!$A$2:$A$3000,$K$2,'Pending Putaway'!$B$2:$B$3000,SUBSTITUTE($A202," SS","  SS"))&gt;0,SUMIFS('Pending Putaway'!$E$2:$E$3000,'Pending Putaway'!$A$2:$A$3000,$K$2,'Pending Putaway'!$B$2:$B$3000,SUBSTITUTE($A202," SS","  SS")),"NA"))</f>
        <v>0</v>
      </c>
      <c r="J202" s="81" t="n">
        <f aca="false">IF(COUNTIFS('Pending Putaway'!$A$2:$A$3000,$K$2,'Pending Putaway'!$B$2:$B$3000,$A202)&gt;0,SUMIFS('Pending Putaway'!$L$2:$L$3000,'Pending Putaway'!$A$2:$A$3000,$K$2,'Pending Putaway'!$B$2:$B$3000,$A202),IF(COUNTIFS('Pending Putaway'!$A$2:$A$3000,$K$2,'Pending Putaway'!$B$2:$B$3000,SUBSTITUTE($A202," SS","  SS"))&gt;0,SUMIFS('Pending Putaway'!$L$2:$L$3000,'Pending Putaway'!$A$2:$A$3000,$K$2,'Pending Putaway'!$B$2:$B$3000,SUBSTITUTE($A202," SS","  SS")),"NA"))</f>
        <v>0</v>
      </c>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row>
    <row r="203" customFormat="false" ht="15.75" hidden="false" customHeight="true" outlineLevel="0" collapsed="false">
      <c r="A203" s="81" t="s">
        <v>208</v>
      </c>
      <c r="B203" s="81" t="str">
        <f aca="false" t="array" ref="B203:B203">IFERROR(INDEX('CLM &amp; IM Mapping'!$B$2:$B$270,MATCH($A203,'CLM &amp; IM Mapping'!$A$2:$A$270,0)),"Not Mapped")</f>
        <v>Silambarasan E</v>
      </c>
      <c r="C203" s="81" t="str">
        <f aca="false" t="array" ref="C203:C203">IFERROR(INDEX('CLM &amp; IM Mapping'!$C$2:$C$270,MATCH($A203,'CLM &amp; IM Mapping'!$A$2:$A$270,0)),"Not Mapped")</f>
        <v>Arivind S</v>
      </c>
      <c r="D203" s="82" t="n">
        <f aca="false">IF(COUNTIFS(Shrinkage!$A$2:$A$3000,$K$2,Shrinkage!$D$2:$D$3000,$A203)&gt;0,SUMIFS(Shrinkage!$P$2:$P$3000,Shrinkage!$A$2:$A$3000,$K$2,Shrinkage!$D$2:$D$3000,$A203),IF(COUNTIFS(Shrinkage!$A$2:$A$3000,$K$2,Shrinkage!$D$2:$D$3000,SUBSTITUTE($A203," SS","  SS"))&gt;0,SUMIFS(Shrinkage!$P$2:$P$3000,Shrinkage!$A$2:$A$3000,$K$2,Shrinkage!$D$2:$D$3000,SUBSTITUTE($A203," SS","  SS")),"NA"))</f>
        <v>24004</v>
      </c>
      <c r="E203" s="83" t="n">
        <f aca="false">IF(COUNTIFS('Inventory Hygiene'!$A$2:$A$3000,$K$2,'Inventory Hygiene'!$B$2:$B$3000,$A203)&gt;0,AVERAGEIFS('Inventory Hygiene'!$J$2:$J$3000,'Inventory Hygiene'!$A$2:$A$3000,$K$2,'Inventory Hygiene'!$B$2:$B$3000,$A203),IF(COUNTIFS('Inventory Hygiene'!$A$2:$A$3000,$K$2,'Inventory Hygiene'!$B$2:$B$3000,SUBSTITUTE($A203," SS","  SS"))&gt;0,AVERAGEIFS('Inventory Hygiene'!$J$2:$J$3000,'Inventory Hygiene'!$A$2:$A$3000,$K$2,'Inventory Hygiene'!$B$2:$B$3000,SUBSTITUTE($A203," SS","  SS")),"NA"))</f>
        <v>0.842792169270318</v>
      </c>
      <c r="F203" s="81" t="n">
        <f aca="false">IF(COUNTIFS('Bad Bins'!$A$2:$A$3000,$K$2,'Bad Bins'!$B$2:$B$3000,$A203)&gt;0,SUMIFS('Bad Bins'!$K$2:$K$3000,'Bad Bins'!$A$2:$A$3000,$K$2,'Bad Bins'!$B$2:$B$3000,$A203),IF(COUNTIFS('Bad Bins'!$A$2:$A$3000,$K$2,'Bad Bins'!$B$2:$B$3000,SUBSTITUTE($A203," SS","  SS"))&gt;0,SUMIFS('Bad Bins'!$K$2:$K$3000,'Bad Bins'!$A$2:$A$3000,$K$2,'Bad Bins'!$B$2:$B$3000,SUBSTITUTE($A203," SS","  SS")),"NA"))</f>
        <v>148</v>
      </c>
      <c r="G203" s="81" t="str">
        <f aca="false">IF(COUNTIFS('RSTO &gt; 48hrs'!$A$2:$A$3000,$K$2,'RSTO &gt; 48hrs'!$B$2:$B$3000,$A203)&gt;0,SUMIFS('RSTO &gt; 48hrs'!$H$2:$H$3000,'RSTO &gt; 48hrs'!$A$2:$A$3000,$K$2,'RSTO &gt; 48hrs'!$B$2:$B$3000,$A203),IF(COUNTIFS('RSTO &gt; 48hrs'!$A$2:$A$3000,$K$2,'RSTO &gt; 48hrs'!$B$2:$B$3000,SUBSTITUTE($A203," SS","  SS"))&gt;0,SUMIFS('RSTO &gt; 48hrs'!$H$2:$H$3000,'RSTO &gt; 48hrs'!$A$2:$A$3000,$K$2,'RSTO &gt; 48hrs'!$B$2:$B$3000,SUBSTITUTE($A203," SS","  SS")),"NA"))</f>
        <v>NA</v>
      </c>
      <c r="H203" s="81" t="str">
        <f aca="false">IF(COUNTIFS('Recirculation &gt; 24 hrs'!$A$2:$A$3000,$K$2,'Recirculation &gt; 24 hrs'!$B$2:$B$3000,$A203)&gt;0,SUMIFS('Recirculation &gt; 24 hrs'!$K$2:$K$3000,'Recirculation &gt; 24 hrs'!$A$2:$A$3000,$K$2,'Recirculation &gt; 24 hrs'!$B$2:$B$3000,$A203),IF(COUNTIFS('Recirculation &gt; 24 hrs'!$A$2:$A$3000,$K$2,'Recirculation &gt; 24 hrs'!$B$2:$B$3000,SUBSTITUTE($A203," SS","  SS"))&gt;0,SUMIFS('Recirculation &gt; 24 hrs'!$K$2:$K$3000,'Recirculation &gt; 24 hrs'!$A$2:$A$3000,$K$2,'Recirculation &gt; 24 hrs'!$B$2:$B$3000,SUBSTITUTE($A203," SS","  SS")),"NA"))</f>
        <v>NA</v>
      </c>
      <c r="I203" s="81" t="n">
        <f aca="false">IF(COUNTIFS('Pending Putaway'!$A$2:$A$3000,$K$2,'Pending Putaway'!$B$2:$B$3000,$A203)&gt;0,SUMIFS('Pending Putaway'!$E$2:$E$3000,'Pending Putaway'!$A$2:$A$3000,$K$2,'Pending Putaway'!$B$2:$B$3000,$A203),IF(COUNTIFS('Pending Putaway'!$A$2:$A$3000,$K$2,'Pending Putaway'!$B$2:$B$3000,SUBSTITUTE($A203," SS","  SS"))&gt;0,SUMIFS('Pending Putaway'!$E$2:$E$3000,'Pending Putaway'!$A$2:$A$3000,$K$2,'Pending Putaway'!$B$2:$B$3000,SUBSTITUTE($A203," SS","  SS")),"NA"))</f>
        <v>14847</v>
      </c>
      <c r="J203" s="81" t="n">
        <f aca="false">IF(COUNTIFS('Pending Putaway'!$A$2:$A$3000,$K$2,'Pending Putaway'!$B$2:$B$3000,$A203)&gt;0,SUMIFS('Pending Putaway'!$L$2:$L$3000,'Pending Putaway'!$A$2:$A$3000,$K$2,'Pending Putaway'!$B$2:$B$3000,$A203),IF(COUNTIFS('Pending Putaway'!$A$2:$A$3000,$K$2,'Pending Putaway'!$B$2:$B$3000,SUBSTITUTE($A203," SS","  SS"))&gt;0,SUMIFS('Pending Putaway'!$L$2:$L$3000,'Pending Putaway'!$A$2:$A$3000,$K$2,'Pending Putaway'!$B$2:$B$3000,SUBSTITUTE($A203," SS","  SS")),"NA"))</f>
        <v>6083</v>
      </c>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row>
    <row r="204" customFormat="false" ht="15.75" hidden="false" customHeight="true" outlineLevel="0" collapsed="false">
      <c r="A204" s="81" t="s">
        <v>216</v>
      </c>
      <c r="B204" s="81" t="str">
        <f aca="false" t="array" ref="B204:B204">IFERROR(INDEX('CLM &amp; IM Mapping'!$B$2:$B$270,MATCH($A204,'CLM &amp; IM Mapping'!$A$2:$A$270,0)),"Not Mapped")</f>
        <v>Silambarasan E</v>
      </c>
      <c r="C204" s="81" t="str">
        <f aca="false" t="array" ref="C204:C204">IFERROR(INDEX('CLM &amp; IM Mapping'!$C$2:$C$270,MATCH($A204,'CLM &amp; IM Mapping'!$A$2:$A$270,0)),"Not Mapped")</f>
        <v>Arivind S</v>
      </c>
      <c r="D204" s="82" t="n">
        <f aca="false">IF(COUNTIFS(Shrinkage!$A$2:$A$3000,$K$2,Shrinkage!$D$2:$D$3000,$A204)&gt;0,SUMIFS(Shrinkage!$P$2:$P$3000,Shrinkage!$A$2:$A$3000,$K$2,Shrinkage!$D$2:$D$3000,$A204),IF(COUNTIFS(Shrinkage!$A$2:$A$3000,$K$2,Shrinkage!$D$2:$D$3000,SUBSTITUTE($A204," SS","  SS"))&gt;0,SUMIFS(Shrinkage!$P$2:$P$3000,Shrinkage!$A$2:$A$3000,$K$2,Shrinkage!$D$2:$D$3000,SUBSTITUTE($A204," SS","  SS")),"NA"))</f>
        <v>20834</v>
      </c>
      <c r="E204" s="83" t="n">
        <f aca="false">IF(COUNTIFS('Inventory Hygiene'!$A$2:$A$3000,$K$2,'Inventory Hygiene'!$B$2:$B$3000,$A204)&gt;0,AVERAGEIFS('Inventory Hygiene'!$J$2:$J$3000,'Inventory Hygiene'!$A$2:$A$3000,$K$2,'Inventory Hygiene'!$B$2:$B$3000,$A204),IF(COUNTIFS('Inventory Hygiene'!$A$2:$A$3000,$K$2,'Inventory Hygiene'!$B$2:$B$3000,SUBSTITUTE($A204," SS","  SS"))&gt;0,AVERAGEIFS('Inventory Hygiene'!$J$2:$J$3000,'Inventory Hygiene'!$A$2:$A$3000,$K$2,'Inventory Hygiene'!$B$2:$B$3000,SUBSTITUTE($A204," SS","  SS")),"NA"))</f>
        <v>0.666908563134978</v>
      </c>
      <c r="F204" s="81" t="n">
        <f aca="false">IF(COUNTIFS('Bad Bins'!$A$2:$A$3000,$K$2,'Bad Bins'!$B$2:$B$3000,$A204)&gt;0,SUMIFS('Bad Bins'!$K$2:$K$3000,'Bad Bins'!$A$2:$A$3000,$K$2,'Bad Bins'!$B$2:$B$3000,$A204),IF(COUNTIFS('Bad Bins'!$A$2:$A$3000,$K$2,'Bad Bins'!$B$2:$B$3000,SUBSTITUTE($A204," SS","  SS"))&gt;0,SUMIFS('Bad Bins'!$K$2:$K$3000,'Bad Bins'!$A$2:$A$3000,$K$2,'Bad Bins'!$B$2:$B$3000,SUBSTITUTE($A204," SS","  SS")),"NA"))</f>
        <v>35</v>
      </c>
      <c r="G204" s="81" t="str">
        <f aca="false">IF(COUNTIFS('RSTO &gt; 48hrs'!$A$2:$A$3000,$K$2,'RSTO &gt; 48hrs'!$B$2:$B$3000,$A204)&gt;0,SUMIFS('RSTO &gt; 48hrs'!$H$2:$H$3000,'RSTO &gt; 48hrs'!$A$2:$A$3000,$K$2,'RSTO &gt; 48hrs'!$B$2:$B$3000,$A204),IF(COUNTIFS('RSTO &gt; 48hrs'!$A$2:$A$3000,$K$2,'RSTO &gt; 48hrs'!$B$2:$B$3000,SUBSTITUTE($A204," SS","  SS"))&gt;0,SUMIFS('RSTO &gt; 48hrs'!$H$2:$H$3000,'RSTO &gt; 48hrs'!$A$2:$A$3000,$K$2,'RSTO &gt; 48hrs'!$B$2:$B$3000,SUBSTITUTE($A204," SS","  SS")),"NA"))</f>
        <v>NA</v>
      </c>
      <c r="H204" s="81" t="str">
        <f aca="false">IF(COUNTIFS('Recirculation &gt; 24 hrs'!$A$2:$A$3000,$K$2,'Recirculation &gt; 24 hrs'!$B$2:$B$3000,$A204)&gt;0,SUMIFS('Recirculation &gt; 24 hrs'!$K$2:$K$3000,'Recirculation &gt; 24 hrs'!$A$2:$A$3000,$K$2,'Recirculation &gt; 24 hrs'!$B$2:$B$3000,$A204),IF(COUNTIFS('Recirculation &gt; 24 hrs'!$A$2:$A$3000,$K$2,'Recirculation &gt; 24 hrs'!$B$2:$B$3000,SUBSTITUTE($A204," SS","  SS"))&gt;0,SUMIFS('Recirculation &gt; 24 hrs'!$K$2:$K$3000,'Recirculation &gt; 24 hrs'!$A$2:$A$3000,$K$2,'Recirculation &gt; 24 hrs'!$B$2:$B$3000,SUBSTITUTE($A204," SS","  SS")),"NA"))</f>
        <v>NA</v>
      </c>
      <c r="I204" s="81" t="n">
        <f aca="false">IF(COUNTIFS('Pending Putaway'!$A$2:$A$3000,$K$2,'Pending Putaway'!$B$2:$B$3000,$A204)&gt;0,SUMIFS('Pending Putaway'!$E$2:$E$3000,'Pending Putaway'!$A$2:$A$3000,$K$2,'Pending Putaway'!$B$2:$B$3000,$A204),IF(COUNTIFS('Pending Putaway'!$A$2:$A$3000,$K$2,'Pending Putaway'!$B$2:$B$3000,SUBSTITUTE($A204," SS","  SS"))&gt;0,SUMIFS('Pending Putaway'!$E$2:$E$3000,'Pending Putaway'!$A$2:$A$3000,$K$2,'Pending Putaway'!$B$2:$B$3000,SUBSTITUTE($A204," SS","  SS")),"NA"))</f>
        <v>0</v>
      </c>
      <c r="J204" s="81" t="n">
        <f aca="false">IF(COUNTIFS('Pending Putaway'!$A$2:$A$3000,$K$2,'Pending Putaway'!$B$2:$B$3000,$A204)&gt;0,SUMIFS('Pending Putaway'!$L$2:$L$3000,'Pending Putaway'!$A$2:$A$3000,$K$2,'Pending Putaway'!$B$2:$B$3000,$A204),IF(COUNTIFS('Pending Putaway'!$A$2:$A$3000,$K$2,'Pending Putaway'!$B$2:$B$3000,SUBSTITUTE($A204," SS","  SS"))&gt;0,SUMIFS('Pending Putaway'!$L$2:$L$3000,'Pending Putaway'!$A$2:$A$3000,$K$2,'Pending Putaway'!$B$2:$B$3000,SUBSTITUTE($A204," SS","  SS")),"NA"))</f>
        <v>0</v>
      </c>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row>
    <row r="205" customFormat="false" ht="15.75" hidden="false" customHeight="true" outlineLevel="0" collapsed="false">
      <c r="A205" s="81" t="s">
        <v>426</v>
      </c>
      <c r="B205" s="81" t="str">
        <f aca="false" t="array" ref="B205:B205">IFERROR(INDEX('CLM &amp; IM Mapping'!$B$2:$B$270,MATCH($A205,'CLM &amp; IM Mapping'!$A$2:$A$270,0)),"Not Mapped")</f>
        <v>Silambarasan E</v>
      </c>
      <c r="C205" s="81" t="str">
        <f aca="false" t="array" ref="C205:C205">IFERROR(INDEX('CLM &amp; IM Mapping'!$C$2:$C$270,MATCH($A205,'CLM &amp; IM Mapping'!$A$2:$A$270,0)),"Not Mapped")</f>
        <v>Arivind S</v>
      </c>
      <c r="D205" s="82" t="n">
        <f aca="false">IF(COUNTIFS(Shrinkage!$A$2:$A$3000,$K$2,Shrinkage!$D$2:$D$3000,$A205)&gt;0,SUMIFS(Shrinkage!$P$2:$P$3000,Shrinkage!$A$2:$A$3000,$K$2,Shrinkage!$D$2:$D$3000,$A205),IF(COUNTIFS(Shrinkage!$A$2:$A$3000,$K$2,Shrinkage!$D$2:$D$3000,SUBSTITUTE($A205," SS","  SS"))&gt;0,SUMIFS(Shrinkage!$P$2:$P$3000,Shrinkage!$A$2:$A$3000,$K$2,Shrinkage!$D$2:$D$3000,SUBSTITUTE($A205," SS","  SS")),"NA"))</f>
        <v>1540</v>
      </c>
      <c r="E205" s="83" t="n">
        <f aca="false">IF(COUNTIFS('Inventory Hygiene'!$A$2:$A$3000,$K$2,'Inventory Hygiene'!$B$2:$B$3000,$A205)&gt;0,AVERAGEIFS('Inventory Hygiene'!$J$2:$J$3000,'Inventory Hygiene'!$A$2:$A$3000,$K$2,'Inventory Hygiene'!$B$2:$B$3000,$A205),IF(COUNTIFS('Inventory Hygiene'!$A$2:$A$3000,$K$2,'Inventory Hygiene'!$B$2:$B$3000,SUBSTITUTE($A205," SS","  SS"))&gt;0,AVERAGEIFS('Inventory Hygiene'!$J$2:$J$3000,'Inventory Hygiene'!$A$2:$A$3000,$K$2,'Inventory Hygiene'!$B$2:$B$3000,SUBSTITUTE($A205," SS","  SS")),"NA"))</f>
        <v>0.566930550557755</v>
      </c>
      <c r="F205" s="81" t="n">
        <f aca="false">IF(COUNTIFS('Bad Bins'!$A$2:$A$3000,$K$2,'Bad Bins'!$B$2:$B$3000,$A205)&gt;0,SUMIFS('Bad Bins'!$K$2:$K$3000,'Bad Bins'!$A$2:$A$3000,$K$2,'Bad Bins'!$B$2:$B$3000,$A205),IF(COUNTIFS('Bad Bins'!$A$2:$A$3000,$K$2,'Bad Bins'!$B$2:$B$3000,SUBSTITUTE($A205," SS","  SS"))&gt;0,SUMIFS('Bad Bins'!$K$2:$K$3000,'Bad Bins'!$A$2:$A$3000,$K$2,'Bad Bins'!$B$2:$B$3000,SUBSTITUTE($A205," SS","  SS")),"NA"))</f>
        <v>92</v>
      </c>
      <c r="G205" s="81" t="str">
        <f aca="false">IF(COUNTIFS('RSTO &gt; 48hrs'!$A$2:$A$3000,$K$2,'RSTO &gt; 48hrs'!$B$2:$B$3000,$A205)&gt;0,SUMIFS('RSTO &gt; 48hrs'!$H$2:$H$3000,'RSTO &gt; 48hrs'!$A$2:$A$3000,$K$2,'RSTO &gt; 48hrs'!$B$2:$B$3000,$A205),IF(COUNTIFS('RSTO &gt; 48hrs'!$A$2:$A$3000,$K$2,'RSTO &gt; 48hrs'!$B$2:$B$3000,SUBSTITUTE($A205," SS","  SS"))&gt;0,SUMIFS('RSTO &gt; 48hrs'!$H$2:$H$3000,'RSTO &gt; 48hrs'!$A$2:$A$3000,$K$2,'RSTO &gt; 48hrs'!$B$2:$B$3000,SUBSTITUTE($A205," SS","  SS")),"NA"))</f>
        <v>NA</v>
      </c>
      <c r="H205" s="81" t="n">
        <f aca="false">IF(COUNTIFS('Recirculation &gt; 24 hrs'!$A$2:$A$3000,$K$2,'Recirculation &gt; 24 hrs'!$B$2:$B$3000,$A205)&gt;0,SUMIFS('Recirculation &gt; 24 hrs'!$K$2:$K$3000,'Recirculation &gt; 24 hrs'!$A$2:$A$3000,$K$2,'Recirculation &gt; 24 hrs'!$B$2:$B$3000,$A205),IF(COUNTIFS('Recirculation &gt; 24 hrs'!$A$2:$A$3000,$K$2,'Recirculation &gt; 24 hrs'!$B$2:$B$3000,SUBSTITUTE($A205," SS","  SS"))&gt;0,SUMIFS('Recirculation &gt; 24 hrs'!$K$2:$K$3000,'Recirculation &gt; 24 hrs'!$A$2:$A$3000,$K$2,'Recirculation &gt; 24 hrs'!$B$2:$B$3000,SUBSTITUTE($A205," SS","  SS")),"NA"))</f>
        <v>565</v>
      </c>
      <c r="I205" s="81" t="n">
        <f aca="false">IF(COUNTIFS('Pending Putaway'!$A$2:$A$3000,$K$2,'Pending Putaway'!$B$2:$B$3000,$A205)&gt;0,SUMIFS('Pending Putaway'!$E$2:$E$3000,'Pending Putaway'!$A$2:$A$3000,$K$2,'Pending Putaway'!$B$2:$B$3000,$A205),IF(COUNTIFS('Pending Putaway'!$A$2:$A$3000,$K$2,'Pending Putaway'!$B$2:$B$3000,SUBSTITUTE($A205," SS","  SS"))&gt;0,SUMIFS('Pending Putaway'!$E$2:$E$3000,'Pending Putaway'!$A$2:$A$3000,$K$2,'Pending Putaway'!$B$2:$B$3000,SUBSTITUTE($A205," SS","  SS")),"NA"))</f>
        <v>2324</v>
      </c>
      <c r="J205" s="81" t="n">
        <f aca="false">IF(COUNTIFS('Pending Putaway'!$A$2:$A$3000,$K$2,'Pending Putaway'!$B$2:$B$3000,$A205)&gt;0,SUMIFS('Pending Putaway'!$L$2:$L$3000,'Pending Putaway'!$A$2:$A$3000,$K$2,'Pending Putaway'!$B$2:$B$3000,$A205),IF(COUNTIFS('Pending Putaway'!$A$2:$A$3000,$K$2,'Pending Putaway'!$B$2:$B$3000,SUBSTITUTE($A205," SS","  SS"))&gt;0,SUMIFS('Pending Putaway'!$L$2:$L$3000,'Pending Putaway'!$A$2:$A$3000,$K$2,'Pending Putaway'!$B$2:$B$3000,SUBSTITUTE($A205," SS","  SS")),"NA"))</f>
        <v>0</v>
      </c>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row>
    <row r="206" customFormat="false" ht="15.75" hidden="false" customHeight="true" outlineLevel="0" collapsed="false">
      <c r="A206" s="81" t="s">
        <v>433</v>
      </c>
      <c r="B206" s="81" t="str">
        <f aca="false" t="array" ref="B206:B206">IFERROR(INDEX('CLM &amp; IM Mapping'!$B$2:$B$270,MATCH($A206,'CLM &amp; IM Mapping'!$A$2:$A$270,0)),"Not Mapped")</f>
        <v>Silambarasan E</v>
      </c>
      <c r="C206" s="81" t="str">
        <f aca="false" t="array" ref="C206:C206">IFERROR(INDEX('CLM &amp; IM Mapping'!$C$2:$C$270,MATCH($A206,'CLM &amp; IM Mapping'!$A$2:$A$270,0)),"Not Mapped")</f>
        <v>Arivind S</v>
      </c>
      <c r="D206" s="82" t="n">
        <f aca="false">IF(COUNTIFS(Shrinkage!$A$2:$A$3000,$K$2,Shrinkage!$D$2:$D$3000,$A206)&gt;0,SUMIFS(Shrinkage!$P$2:$P$3000,Shrinkage!$A$2:$A$3000,$K$2,Shrinkage!$D$2:$D$3000,$A206),IF(COUNTIFS(Shrinkage!$A$2:$A$3000,$K$2,Shrinkage!$D$2:$D$3000,SUBSTITUTE($A206," SS","  SS"))&gt;0,SUMIFS(Shrinkage!$P$2:$P$3000,Shrinkage!$A$2:$A$3000,$K$2,Shrinkage!$D$2:$D$3000,SUBSTITUTE($A206," SS","  SS")),"NA"))</f>
        <v>16919</v>
      </c>
      <c r="E206" s="83" t="n">
        <f aca="false">IF(COUNTIFS('Inventory Hygiene'!$A$2:$A$3000,$K$2,'Inventory Hygiene'!$B$2:$B$3000,$A206)&gt;0,AVERAGEIFS('Inventory Hygiene'!$J$2:$J$3000,'Inventory Hygiene'!$A$2:$A$3000,$K$2,'Inventory Hygiene'!$B$2:$B$3000,$A206),IF(COUNTIFS('Inventory Hygiene'!$A$2:$A$3000,$K$2,'Inventory Hygiene'!$B$2:$B$3000,SUBSTITUTE($A206," SS","  SS"))&gt;0,AVERAGEIFS('Inventory Hygiene'!$J$2:$J$3000,'Inventory Hygiene'!$A$2:$A$3000,$K$2,'Inventory Hygiene'!$B$2:$B$3000,SUBSTITUTE($A206," SS","  SS")),"NA"))</f>
        <v>0.597884458909683</v>
      </c>
      <c r="F206" s="81" t="n">
        <f aca="false">IF(COUNTIFS('Bad Bins'!$A$2:$A$3000,$K$2,'Bad Bins'!$B$2:$B$3000,$A206)&gt;0,SUMIFS('Bad Bins'!$K$2:$K$3000,'Bad Bins'!$A$2:$A$3000,$K$2,'Bad Bins'!$B$2:$B$3000,$A206),IF(COUNTIFS('Bad Bins'!$A$2:$A$3000,$K$2,'Bad Bins'!$B$2:$B$3000,SUBSTITUTE($A206," SS","  SS"))&gt;0,SUMIFS('Bad Bins'!$K$2:$K$3000,'Bad Bins'!$A$2:$A$3000,$K$2,'Bad Bins'!$B$2:$B$3000,SUBSTITUTE($A206," SS","  SS")),"NA"))</f>
        <v>67</v>
      </c>
      <c r="G206" s="81" t="str">
        <f aca="false">IF(COUNTIFS('RSTO &gt; 48hrs'!$A$2:$A$3000,$K$2,'RSTO &gt; 48hrs'!$B$2:$B$3000,$A206)&gt;0,SUMIFS('RSTO &gt; 48hrs'!$H$2:$H$3000,'RSTO &gt; 48hrs'!$A$2:$A$3000,$K$2,'RSTO &gt; 48hrs'!$B$2:$B$3000,$A206),IF(COUNTIFS('RSTO &gt; 48hrs'!$A$2:$A$3000,$K$2,'RSTO &gt; 48hrs'!$B$2:$B$3000,SUBSTITUTE($A206," SS","  SS"))&gt;0,SUMIFS('RSTO &gt; 48hrs'!$H$2:$H$3000,'RSTO &gt; 48hrs'!$A$2:$A$3000,$K$2,'RSTO &gt; 48hrs'!$B$2:$B$3000,SUBSTITUTE($A206," SS","  SS")),"NA"))</f>
        <v>NA</v>
      </c>
      <c r="H206" s="81" t="str">
        <f aca="false">IF(COUNTIFS('Recirculation &gt; 24 hrs'!$A$2:$A$3000,$K$2,'Recirculation &gt; 24 hrs'!$B$2:$B$3000,$A206)&gt;0,SUMIFS('Recirculation &gt; 24 hrs'!$K$2:$K$3000,'Recirculation &gt; 24 hrs'!$A$2:$A$3000,$K$2,'Recirculation &gt; 24 hrs'!$B$2:$B$3000,$A206),IF(COUNTIFS('Recirculation &gt; 24 hrs'!$A$2:$A$3000,$K$2,'Recirculation &gt; 24 hrs'!$B$2:$B$3000,SUBSTITUTE($A206," SS","  SS"))&gt;0,SUMIFS('Recirculation &gt; 24 hrs'!$K$2:$K$3000,'Recirculation &gt; 24 hrs'!$A$2:$A$3000,$K$2,'Recirculation &gt; 24 hrs'!$B$2:$B$3000,SUBSTITUTE($A206," SS","  SS")),"NA"))</f>
        <v>NA</v>
      </c>
      <c r="I206" s="81" t="n">
        <f aca="false">IF(COUNTIFS('Pending Putaway'!$A$2:$A$3000,$K$2,'Pending Putaway'!$B$2:$B$3000,$A206)&gt;0,SUMIFS('Pending Putaway'!$E$2:$E$3000,'Pending Putaway'!$A$2:$A$3000,$K$2,'Pending Putaway'!$B$2:$B$3000,$A206),IF(COUNTIFS('Pending Putaway'!$A$2:$A$3000,$K$2,'Pending Putaway'!$B$2:$B$3000,SUBSTITUTE($A206," SS","  SS"))&gt;0,SUMIFS('Pending Putaway'!$E$2:$E$3000,'Pending Putaway'!$A$2:$A$3000,$K$2,'Pending Putaway'!$B$2:$B$3000,SUBSTITUTE($A206," SS","  SS")),"NA"))</f>
        <v>0</v>
      </c>
      <c r="J206" s="81" t="n">
        <f aca="false">IF(COUNTIFS('Pending Putaway'!$A$2:$A$3000,$K$2,'Pending Putaway'!$B$2:$B$3000,$A206)&gt;0,SUMIFS('Pending Putaway'!$L$2:$L$3000,'Pending Putaway'!$A$2:$A$3000,$K$2,'Pending Putaway'!$B$2:$B$3000,$A206),IF(COUNTIFS('Pending Putaway'!$A$2:$A$3000,$K$2,'Pending Putaway'!$B$2:$B$3000,SUBSTITUTE($A206," SS","  SS"))&gt;0,SUMIFS('Pending Putaway'!$L$2:$L$3000,'Pending Putaway'!$A$2:$A$3000,$K$2,'Pending Putaway'!$B$2:$B$3000,SUBSTITUTE($A206," SS","  SS")),"NA"))</f>
        <v>0</v>
      </c>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row>
    <row r="207" customFormat="false" ht="15.75" hidden="false" customHeight="true" outlineLevel="0" collapsed="false">
      <c r="A207" s="81" t="s">
        <v>186</v>
      </c>
      <c r="B207" s="81" t="str">
        <f aca="false" t="array" ref="B207:B207">IFERROR(INDEX('CLM &amp; IM Mapping'!$B$2:$B$270,MATCH($A207,'CLM &amp; IM Mapping'!$A$2:$A$270,0)),"Not Mapped")</f>
        <v>Silambarasan E</v>
      </c>
      <c r="C207" s="81" t="str">
        <f aca="false" t="array" ref="C207:C207">IFERROR(INDEX('CLM &amp; IM Mapping'!$C$2:$C$270,MATCH($A207,'CLM &amp; IM Mapping'!$A$2:$A$270,0)),"Not Mapped")</f>
        <v>Arivind S</v>
      </c>
      <c r="D207" s="82" t="n">
        <f aca="false">IF(COUNTIFS(Shrinkage!$A$2:$A$3000,$K$2,Shrinkage!$D$2:$D$3000,$A207)&gt;0,SUMIFS(Shrinkage!$P$2:$P$3000,Shrinkage!$A$2:$A$3000,$K$2,Shrinkage!$D$2:$D$3000,$A207),IF(COUNTIFS(Shrinkage!$A$2:$A$3000,$K$2,Shrinkage!$D$2:$D$3000,SUBSTITUTE($A207," SS","  SS"))&gt;0,SUMIFS(Shrinkage!$P$2:$P$3000,Shrinkage!$A$2:$A$3000,$K$2,Shrinkage!$D$2:$D$3000,SUBSTITUTE($A207," SS","  SS")),"NA"))</f>
        <v>11938</v>
      </c>
      <c r="E207" s="83" t="n">
        <f aca="false">IF(COUNTIFS('Inventory Hygiene'!$A$2:$A$3000,$K$2,'Inventory Hygiene'!$B$2:$B$3000,$A207)&gt;0,AVERAGEIFS('Inventory Hygiene'!$J$2:$J$3000,'Inventory Hygiene'!$A$2:$A$3000,$K$2,'Inventory Hygiene'!$B$2:$B$3000,$A207),IF(COUNTIFS('Inventory Hygiene'!$A$2:$A$3000,$K$2,'Inventory Hygiene'!$B$2:$B$3000,SUBSTITUTE($A207," SS","  SS"))&gt;0,AVERAGEIFS('Inventory Hygiene'!$J$2:$J$3000,'Inventory Hygiene'!$A$2:$A$3000,$K$2,'Inventory Hygiene'!$B$2:$B$3000,SUBSTITUTE($A207," SS","  SS")),"NA"))</f>
        <v>0.655050973123262</v>
      </c>
      <c r="F207" s="81" t="n">
        <f aca="false">IF(COUNTIFS('Bad Bins'!$A$2:$A$3000,$K$2,'Bad Bins'!$B$2:$B$3000,$A207)&gt;0,SUMIFS('Bad Bins'!$K$2:$K$3000,'Bad Bins'!$A$2:$A$3000,$K$2,'Bad Bins'!$B$2:$B$3000,$A207),IF(COUNTIFS('Bad Bins'!$A$2:$A$3000,$K$2,'Bad Bins'!$B$2:$B$3000,SUBSTITUTE($A207," SS","  SS"))&gt;0,SUMIFS('Bad Bins'!$K$2:$K$3000,'Bad Bins'!$A$2:$A$3000,$K$2,'Bad Bins'!$B$2:$B$3000,SUBSTITUTE($A207," SS","  SS")),"NA"))</f>
        <v>328</v>
      </c>
      <c r="G207" s="81" t="str">
        <f aca="false">IF(COUNTIFS('RSTO &gt; 48hrs'!$A$2:$A$3000,$K$2,'RSTO &gt; 48hrs'!$B$2:$B$3000,$A207)&gt;0,SUMIFS('RSTO &gt; 48hrs'!$H$2:$H$3000,'RSTO &gt; 48hrs'!$A$2:$A$3000,$K$2,'RSTO &gt; 48hrs'!$B$2:$B$3000,$A207),IF(COUNTIFS('RSTO &gt; 48hrs'!$A$2:$A$3000,$K$2,'RSTO &gt; 48hrs'!$B$2:$B$3000,SUBSTITUTE($A207," SS","  SS"))&gt;0,SUMIFS('RSTO &gt; 48hrs'!$H$2:$H$3000,'RSTO &gt; 48hrs'!$A$2:$A$3000,$K$2,'RSTO &gt; 48hrs'!$B$2:$B$3000,SUBSTITUTE($A207," SS","  SS")),"NA"))</f>
        <v>NA</v>
      </c>
      <c r="H207" s="81" t="n">
        <f aca="false">IF(COUNTIFS('Recirculation &gt; 24 hrs'!$A$2:$A$3000,$K$2,'Recirculation &gt; 24 hrs'!$B$2:$B$3000,$A207)&gt;0,SUMIFS('Recirculation &gt; 24 hrs'!$K$2:$K$3000,'Recirculation &gt; 24 hrs'!$A$2:$A$3000,$K$2,'Recirculation &gt; 24 hrs'!$B$2:$B$3000,$A207),IF(COUNTIFS('Recirculation &gt; 24 hrs'!$A$2:$A$3000,$K$2,'Recirculation &gt; 24 hrs'!$B$2:$B$3000,SUBSTITUTE($A207," SS","  SS"))&gt;0,SUMIFS('Recirculation &gt; 24 hrs'!$K$2:$K$3000,'Recirculation &gt; 24 hrs'!$A$2:$A$3000,$K$2,'Recirculation &gt; 24 hrs'!$B$2:$B$3000,SUBSTITUTE($A207," SS","  SS")),"NA"))</f>
        <v>8</v>
      </c>
      <c r="I207" s="81" t="n">
        <f aca="false">IF(COUNTIFS('Pending Putaway'!$A$2:$A$3000,$K$2,'Pending Putaway'!$B$2:$B$3000,$A207)&gt;0,SUMIFS('Pending Putaway'!$E$2:$E$3000,'Pending Putaway'!$A$2:$A$3000,$K$2,'Pending Putaway'!$B$2:$B$3000,$A207),IF(COUNTIFS('Pending Putaway'!$A$2:$A$3000,$K$2,'Pending Putaway'!$B$2:$B$3000,SUBSTITUTE($A207," SS","  SS"))&gt;0,SUMIFS('Pending Putaway'!$E$2:$E$3000,'Pending Putaway'!$A$2:$A$3000,$K$2,'Pending Putaway'!$B$2:$B$3000,SUBSTITUTE($A207," SS","  SS")),"NA"))</f>
        <v>709</v>
      </c>
      <c r="J207" s="81" t="n">
        <f aca="false">IF(COUNTIFS('Pending Putaway'!$A$2:$A$3000,$K$2,'Pending Putaway'!$B$2:$B$3000,$A207)&gt;0,SUMIFS('Pending Putaway'!$L$2:$L$3000,'Pending Putaway'!$A$2:$A$3000,$K$2,'Pending Putaway'!$B$2:$B$3000,$A207),IF(COUNTIFS('Pending Putaway'!$A$2:$A$3000,$K$2,'Pending Putaway'!$B$2:$B$3000,SUBSTITUTE($A207," SS","  SS"))&gt;0,SUMIFS('Pending Putaway'!$L$2:$L$3000,'Pending Putaway'!$A$2:$A$3000,$K$2,'Pending Putaway'!$B$2:$B$3000,SUBSTITUTE($A207," SS","  SS")),"NA"))</f>
        <v>145</v>
      </c>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row>
    <row r="208" customFormat="false" ht="15.75" hidden="false" customHeight="true" outlineLevel="0" collapsed="false">
      <c r="A208" s="81" t="s">
        <v>474</v>
      </c>
      <c r="B208" s="81" t="str">
        <f aca="false" t="array" ref="B208:B208">IFERROR(INDEX('CLM &amp; IM Mapping'!$B$2:$B$270,MATCH($A208,'CLM &amp; IM Mapping'!$A$2:$A$270,0)),"Not Mapped")</f>
        <v>Silambarasan E</v>
      </c>
      <c r="C208" s="81" t="str">
        <f aca="false" t="array" ref="C208:C208">IFERROR(INDEX('CLM &amp; IM Mapping'!$C$2:$C$270,MATCH($A208,'CLM &amp; IM Mapping'!$A$2:$A$270,0)),"Not Mapped")</f>
        <v>Arivind S</v>
      </c>
      <c r="D208" s="82" t="n">
        <f aca="false">IF(COUNTIFS(Shrinkage!$A$2:$A$3000,$K$2,Shrinkage!$D$2:$D$3000,$A208)&gt;0,SUMIFS(Shrinkage!$P$2:$P$3000,Shrinkage!$A$2:$A$3000,$K$2,Shrinkage!$D$2:$D$3000,$A208),IF(COUNTIFS(Shrinkage!$A$2:$A$3000,$K$2,Shrinkage!$D$2:$D$3000,SUBSTITUTE($A208," SS","  SS"))&gt;0,SUMIFS(Shrinkage!$P$2:$P$3000,Shrinkage!$A$2:$A$3000,$K$2,Shrinkage!$D$2:$D$3000,SUBSTITUTE($A208," SS","  SS")),"NA"))</f>
        <v>-7380</v>
      </c>
      <c r="E208" s="83" t="n">
        <f aca="false">IF(COUNTIFS('Inventory Hygiene'!$A$2:$A$3000,$K$2,'Inventory Hygiene'!$B$2:$B$3000,$A208)&gt;0,AVERAGEIFS('Inventory Hygiene'!$J$2:$J$3000,'Inventory Hygiene'!$A$2:$A$3000,$K$2,'Inventory Hygiene'!$B$2:$B$3000,$A208),IF(COUNTIFS('Inventory Hygiene'!$A$2:$A$3000,$K$2,'Inventory Hygiene'!$B$2:$B$3000,SUBSTITUTE($A208," SS","  SS"))&gt;0,AVERAGEIFS('Inventory Hygiene'!$J$2:$J$3000,'Inventory Hygiene'!$A$2:$A$3000,$K$2,'Inventory Hygiene'!$B$2:$B$3000,SUBSTITUTE($A208," SS","  SS")),"NA"))</f>
        <v>0.617635807192043</v>
      </c>
      <c r="F208" s="81" t="n">
        <f aca="false">IF(COUNTIFS('Bad Bins'!$A$2:$A$3000,$K$2,'Bad Bins'!$B$2:$B$3000,$A208)&gt;0,SUMIFS('Bad Bins'!$K$2:$K$3000,'Bad Bins'!$A$2:$A$3000,$K$2,'Bad Bins'!$B$2:$B$3000,$A208),IF(COUNTIFS('Bad Bins'!$A$2:$A$3000,$K$2,'Bad Bins'!$B$2:$B$3000,SUBSTITUTE($A208," SS","  SS"))&gt;0,SUMIFS('Bad Bins'!$K$2:$K$3000,'Bad Bins'!$A$2:$A$3000,$K$2,'Bad Bins'!$B$2:$B$3000,SUBSTITUTE($A208," SS","  SS")),"NA"))</f>
        <v>151</v>
      </c>
      <c r="G208" s="81" t="str">
        <f aca="false">IF(COUNTIFS('RSTO &gt; 48hrs'!$A$2:$A$3000,$K$2,'RSTO &gt; 48hrs'!$B$2:$B$3000,$A208)&gt;0,SUMIFS('RSTO &gt; 48hrs'!$H$2:$H$3000,'RSTO &gt; 48hrs'!$A$2:$A$3000,$K$2,'RSTO &gt; 48hrs'!$B$2:$B$3000,$A208),IF(COUNTIFS('RSTO &gt; 48hrs'!$A$2:$A$3000,$K$2,'RSTO &gt; 48hrs'!$B$2:$B$3000,SUBSTITUTE($A208," SS","  SS"))&gt;0,SUMIFS('RSTO &gt; 48hrs'!$H$2:$H$3000,'RSTO &gt; 48hrs'!$A$2:$A$3000,$K$2,'RSTO &gt; 48hrs'!$B$2:$B$3000,SUBSTITUTE($A208," SS","  SS")),"NA"))</f>
        <v>NA</v>
      </c>
      <c r="H208" s="81" t="str">
        <f aca="false">IF(COUNTIFS('Recirculation &gt; 24 hrs'!$A$2:$A$3000,$K$2,'Recirculation &gt; 24 hrs'!$B$2:$B$3000,$A208)&gt;0,SUMIFS('Recirculation &gt; 24 hrs'!$K$2:$K$3000,'Recirculation &gt; 24 hrs'!$A$2:$A$3000,$K$2,'Recirculation &gt; 24 hrs'!$B$2:$B$3000,$A208),IF(COUNTIFS('Recirculation &gt; 24 hrs'!$A$2:$A$3000,$K$2,'Recirculation &gt; 24 hrs'!$B$2:$B$3000,SUBSTITUTE($A208," SS","  SS"))&gt;0,SUMIFS('Recirculation &gt; 24 hrs'!$K$2:$K$3000,'Recirculation &gt; 24 hrs'!$A$2:$A$3000,$K$2,'Recirculation &gt; 24 hrs'!$B$2:$B$3000,SUBSTITUTE($A208," SS","  SS")),"NA"))</f>
        <v>NA</v>
      </c>
      <c r="I208" s="81" t="n">
        <f aca="false">IF(COUNTIFS('Pending Putaway'!$A$2:$A$3000,$K$2,'Pending Putaway'!$B$2:$B$3000,$A208)&gt;0,SUMIFS('Pending Putaway'!$E$2:$E$3000,'Pending Putaway'!$A$2:$A$3000,$K$2,'Pending Putaway'!$B$2:$B$3000,$A208),IF(COUNTIFS('Pending Putaway'!$A$2:$A$3000,$K$2,'Pending Putaway'!$B$2:$B$3000,SUBSTITUTE($A208," SS","  SS"))&gt;0,SUMIFS('Pending Putaway'!$E$2:$E$3000,'Pending Putaway'!$A$2:$A$3000,$K$2,'Pending Putaway'!$B$2:$B$3000,SUBSTITUTE($A208," SS","  SS")),"NA"))</f>
        <v>104</v>
      </c>
      <c r="J208" s="81" t="n">
        <f aca="false">IF(COUNTIFS('Pending Putaway'!$A$2:$A$3000,$K$2,'Pending Putaway'!$B$2:$B$3000,$A208)&gt;0,SUMIFS('Pending Putaway'!$L$2:$L$3000,'Pending Putaway'!$A$2:$A$3000,$K$2,'Pending Putaway'!$B$2:$B$3000,$A208),IF(COUNTIFS('Pending Putaway'!$A$2:$A$3000,$K$2,'Pending Putaway'!$B$2:$B$3000,SUBSTITUTE($A208," SS","  SS"))&gt;0,SUMIFS('Pending Putaway'!$L$2:$L$3000,'Pending Putaway'!$A$2:$A$3000,$K$2,'Pending Putaway'!$B$2:$B$3000,SUBSTITUTE($A208," SS","  SS")),"NA"))</f>
        <v>0</v>
      </c>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row>
    <row r="209" customFormat="false" ht="15.75" hidden="false" customHeight="true" outlineLevel="0" collapsed="false">
      <c r="A209" s="81" t="s">
        <v>123</v>
      </c>
      <c r="B209" s="81" t="str">
        <f aca="false" t="array" ref="B209:B209">IFERROR(INDEX('CLM &amp; IM Mapping'!$B$2:$B$270,MATCH($A209,'CLM &amp; IM Mapping'!$A$2:$A$270,0)),"Not Mapped")</f>
        <v>Silambarasan E</v>
      </c>
      <c r="C209" s="81" t="str">
        <f aca="false" t="array" ref="C209:C209">IFERROR(INDEX('CLM &amp; IM Mapping'!$C$2:$C$270,MATCH($A209,'CLM &amp; IM Mapping'!$A$2:$A$270,0)),"Not Mapped")</f>
        <v>Arivind S</v>
      </c>
      <c r="D209" s="82" t="n">
        <f aca="false">IF(COUNTIFS(Shrinkage!$A$2:$A$3000,$K$2,Shrinkage!$D$2:$D$3000,$A209)&gt;0,SUMIFS(Shrinkage!$P$2:$P$3000,Shrinkage!$A$2:$A$3000,$K$2,Shrinkage!$D$2:$D$3000,$A209),IF(COUNTIFS(Shrinkage!$A$2:$A$3000,$K$2,Shrinkage!$D$2:$D$3000,SUBSTITUTE($A209," SS","  SS"))&gt;0,SUMIFS(Shrinkage!$P$2:$P$3000,Shrinkage!$A$2:$A$3000,$K$2,Shrinkage!$D$2:$D$3000,SUBSTITUTE($A209," SS","  SS")),"NA"))</f>
        <v>24314</v>
      </c>
      <c r="E209" s="83" t="n">
        <f aca="false">IF(COUNTIFS('Inventory Hygiene'!$A$2:$A$3000,$K$2,'Inventory Hygiene'!$B$2:$B$3000,$A209)&gt;0,AVERAGEIFS('Inventory Hygiene'!$J$2:$J$3000,'Inventory Hygiene'!$A$2:$A$3000,$K$2,'Inventory Hygiene'!$B$2:$B$3000,$A209),IF(COUNTIFS('Inventory Hygiene'!$A$2:$A$3000,$K$2,'Inventory Hygiene'!$B$2:$B$3000,SUBSTITUTE($A209," SS","  SS"))&gt;0,AVERAGEIFS('Inventory Hygiene'!$J$2:$J$3000,'Inventory Hygiene'!$A$2:$A$3000,$K$2,'Inventory Hygiene'!$B$2:$B$3000,SUBSTITUTE($A209," SS","  SS")),"NA"))</f>
        <v>0.531156778256546</v>
      </c>
      <c r="F209" s="81" t="n">
        <f aca="false">IF(COUNTIFS('Bad Bins'!$A$2:$A$3000,$K$2,'Bad Bins'!$B$2:$B$3000,$A209)&gt;0,SUMIFS('Bad Bins'!$K$2:$K$3000,'Bad Bins'!$A$2:$A$3000,$K$2,'Bad Bins'!$B$2:$B$3000,$A209),IF(COUNTIFS('Bad Bins'!$A$2:$A$3000,$K$2,'Bad Bins'!$B$2:$B$3000,SUBSTITUTE($A209," SS","  SS"))&gt;0,SUMIFS('Bad Bins'!$K$2:$K$3000,'Bad Bins'!$A$2:$A$3000,$K$2,'Bad Bins'!$B$2:$B$3000,SUBSTITUTE($A209," SS","  SS")),"NA"))</f>
        <v>307</v>
      </c>
      <c r="G209" s="81" t="str">
        <f aca="false">IF(COUNTIFS('RSTO &gt; 48hrs'!$A$2:$A$3000,$K$2,'RSTO &gt; 48hrs'!$B$2:$B$3000,$A209)&gt;0,SUMIFS('RSTO &gt; 48hrs'!$H$2:$H$3000,'RSTO &gt; 48hrs'!$A$2:$A$3000,$K$2,'RSTO &gt; 48hrs'!$B$2:$B$3000,$A209),IF(COUNTIFS('RSTO &gt; 48hrs'!$A$2:$A$3000,$K$2,'RSTO &gt; 48hrs'!$B$2:$B$3000,SUBSTITUTE($A209," SS","  SS"))&gt;0,SUMIFS('RSTO &gt; 48hrs'!$H$2:$H$3000,'RSTO &gt; 48hrs'!$A$2:$A$3000,$K$2,'RSTO &gt; 48hrs'!$B$2:$B$3000,SUBSTITUTE($A209," SS","  SS")),"NA"))</f>
        <v>NA</v>
      </c>
      <c r="H209" s="81" t="n">
        <f aca="false">IF(COUNTIFS('Recirculation &gt; 24 hrs'!$A$2:$A$3000,$K$2,'Recirculation &gt; 24 hrs'!$B$2:$B$3000,$A209)&gt;0,SUMIFS('Recirculation &gt; 24 hrs'!$K$2:$K$3000,'Recirculation &gt; 24 hrs'!$A$2:$A$3000,$K$2,'Recirculation &gt; 24 hrs'!$B$2:$B$3000,$A209),IF(COUNTIFS('Recirculation &gt; 24 hrs'!$A$2:$A$3000,$K$2,'Recirculation &gt; 24 hrs'!$B$2:$B$3000,SUBSTITUTE($A209," SS","  SS"))&gt;0,SUMIFS('Recirculation &gt; 24 hrs'!$K$2:$K$3000,'Recirculation &gt; 24 hrs'!$A$2:$A$3000,$K$2,'Recirculation &gt; 24 hrs'!$B$2:$B$3000,SUBSTITUTE($A209," SS","  SS")),"NA"))</f>
        <v>12</v>
      </c>
      <c r="I209" s="81" t="n">
        <f aca="false">IF(COUNTIFS('Pending Putaway'!$A$2:$A$3000,$K$2,'Pending Putaway'!$B$2:$B$3000,$A209)&gt;0,SUMIFS('Pending Putaway'!$E$2:$E$3000,'Pending Putaway'!$A$2:$A$3000,$K$2,'Pending Putaway'!$B$2:$B$3000,$A209),IF(COUNTIFS('Pending Putaway'!$A$2:$A$3000,$K$2,'Pending Putaway'!$B$2:$B$3000,SUBSTITUTE($A209," SS","  SS"))&gt;0,SUMIFS('Pending Putaway'!$E$2:$E$3000,'Pending Putaway'!$A$2:$A$3000,$K$2,'Pending Putaway'!$B$2:$B$3000,SUBSTITUTE($A209," SS","  SS")),"NA"))</f>
        <v>8192</v>
      </c>
      <c r="J209" s="81" t="n">
        <f aca="false">IF(COUNTIFS('Pending Putaway'!$A$2:$A$3000,$K$2,'Pending Putaway'!$B$2:$B$3000,$A209)&gt;0,SUMIFS('Pending Putaway'!$L$2:$L$3000,'Pending Putaway'!$A$2:$A$3000,$K$2,'Pending Putaway'!$B$2:$B$3000,$A209),IF(COUNTIFS('Pending Putaway'!$A$2:$A$3000,$K$2,'Pending Putaway'!$B$2:$B$3000,SUBSTITUTE($A209," SS","  SS"))&gt;0,SUMIFS('Pending Putaway'!$L$2:$L$3000,'Pending Putaway'!$A$2:$A$3000,$K$2,'Pending Putaway'!$B$2:$B$3000,SUBSTITUTE($A209," SS","  SS")),"NA"))</f>
        <v>5236</v>
      </c>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row>
    <row r="210" customFormat="false" ht="15.75" hidden="false" customHeight="true" outlineLevel="0" collapsed="false">
      <c r="A210" s="81" t="s">
        <v>181</v>
      </c>
      <c r="B210" s="81" t="str">
        <f aca="false" t="array" ref="B210:B210">IFERROR(INDEX('CLM &amp; IM Mapping'!$B$2:$B$270,MATCH($A210,'CLM &amp; IM Mapping'!$A$2:$A$270,0)),"Not Mapped")</f>
        <v>Silambarasan E</v>
      </c>
      <c r="C210" s="81" t="str">
        <f aca="false" t="array" ref="C210:C210">IFERROR(INDEX('CLM &amp; IM Mapping'!$C$2:$C$270,MATCH($A210,'CLM &amp; IM Mapping'!$A$2:$A$270,0)),"Not Mapped")</f>
        <v>Arivind S</v>
      </c>
      <c r="D210" s="82" t="n">
        <f aca="false">IF(COUNTIFS(Shrinkage!$A$2:$A$3000,$K$2,Shrinkage!$D$2:$D$3000,$A210)&gt;0,SUMIFS(Shrinkage!$P$2:$P$3000,Shrinkage!$A$2:$A$3000,$K$2,Shrinkage!$D$2:$D$3000,$A210),IF(COUNTIFS(Shrinkage!$A$2:$A$3000,$K$2,Shrinkage!$D$2:$D$3000,SUBSTITUTE($A210," SS","  SS"))&gt;0,SUMIFS(Shrinkage!$P$2:$P$3000,Shrinkage!$A$2:$A$3000,$K$2,Shrinkage!$D$2:$D$3000,SUBSTITUTE($A210," SS","  SS")),"NA"))</f>
        <v>34868</v>
      </c>
      <c r="E210" s="83" t="n">
        <f aca="false">IF(COUNTIFS('Inventory Hygiene'!$A$2:$A$3000,$K$2,'Inventory Hygiene'!$B$2:$B$3000,$A210)&gt;0,AVERAGEIFS('Inventory Hygiene'!$J$2:$J$3000,'Inventory Hygiene'!$A$2:$A$3000,$K$2,'Inventory Hygiene'!$B$2:$B$3000,$A210),IF(COUNTIFS('Inventory Hygiene'!$A$2:$A$3000,$K$2,'Inventory Hygiene'!$B$2:$B$3000,SUBSTITUTE($A210," SS","  SS"))&gt;0,AVERAGEIFS('Inventory Hygiene'!$J$2:$J$3000,'Inventory Hygiene'!$A$2:$A$3000,$K$2,'Inventory Hygiene'!$B$2:$B$3000,SUBSTITUTE($A210," SS","  SS")),"NA"))</f>
        <v>0.507582069655058</v>
      </c>
      <c r="F210" s="81" t="n">
        <f aca="false">IF(COUNTIFS('Bad Bins'!$A$2:$A$3000,$K$2,'Bad Bins'!$B$2:$B$3000,$A210)&gt;0,SUMIFS('Bad Bins'!$K$2:$K$3000,'Bad Bins'!$A$2:$A$3000,$K$2,'Bad Bins'!$B$2:$B$3000,$A210),IF(COUNTIFS('Bad Bins'!$A$2:$A$3000,$K$2,'Bad Bins'!$B$2:$B$3000,SUBSTITUTE($A210," SS","  SS"))&gt;0,SUMIFS('Bad Bins'!$K$2:$K$3000,'Bad Bins'!$A$2:$A$3000,$K$2,'Bad Bins'!$B$2:$B$3000,SUBSTITUTE($A210," SS","  SS")),"NA"))</f>
        <v>265</v>
      </c>
      <c r="G210" s="81" t="str">
        <f aca="false">IF(COUNTIFS('RSTO &gt; 48hrs'!$A$2:$A$3000,$K$2,'RSTO &gt; 48hrs'!$B$2:$B$3000,$A210)&gt;0,SUMIFS('RSTO &gt; 48hrs'!$H$2:$H$3000,'RSTO &gt; 48hrs'!$A$2:$A$3000,$K$2,'RSTO &gt; 48hrs'!$B$2:$B$3000,$A210),IF(COUNTIFS('RSTO &gt; 48hrs'!$A$2:$A$3000,$K$2,'RSTO &gt; 48hrs'!$B$2:$B$3000,SUBSTITUTE($A210," SS","  SS"))&gt;0,SUMIFS('RSTO &gt; 48hrs'!$H$2:$H$3000,'RSTO &gt; 48hrs'!$A$2:$A$3000,$K$2,'RSTO &gt; 48hrs'!$B$2:$B$3000,SUBSTITUTE($A210," SS","  SS")),"NA"))</f>
        <v>NA</v>
      </c>
      <c r="H210" s="81" t="str">
        <f aca="false">IF(COUNTIFS('Recirculation &gt; 24 hrs'!$A$2:$A$3000,$K$2,'Recirculation &gt; 24 hrs'!$B$2:$B$3000,$A210)&gt;0,SUMIFS('Recirculation &gt; 24 hrs'!$K$2:$K$3000,'Recirculation &gt; 24 hrs'!$A$2:$A$3000,$K$2,'Recirculation &gt; 24 hrs'!$B$2:$B$3000,$A210),IF(COUNTIFS('Recirculation &gt; 24 hrs'!$A$2:$A$3000,$K$2,'Recirculation &gt; 24 hrs'!$B$2:$B$3000,SUBSTITUTE($A210," SS","  SS"))&gt;0,SUMIFS('Recirculation &gt; 24 hrs'!$K$2:$K$3000,'Recirculation &gt; 24 hrs'!$A$2:$A$3000,$K$2,'Recirculation &gt; 24 hrs'!$B$2:$B$3000,SUBSTITUTE($A210," SS","  SS")),"NA"))</f>
        <v>NA</v>
      </c>
      <c r="I210" s="81" t="n">
        <f aca="false">IF(COUNTIFS('Pending Putaway'!$A$2:$A$3000,$K$2,'Pending Putaway'!$B$2:$B$3000,$A210)&gt;0,SUMIFS('Pending Putaway'!$E$2:$E$3000,'Pending Putaway'!$A$2:$A$3000,$K$2,'Pending Putaway'!$B$2:$B$3000,$A210),IF(COUNTIFS('Pending Putaway'!$A$2:$A$3000,$K$2,'Pending Putaway'!$B$2:$B$3000,SUBSTITUTE($A210," SS","  SS"))&gt;0,SUMIFS('Pending Putaway'!$E$2:$E$3000,'Pending Putaway'!$A$2:$A$3000,$K$2,'Pending Putaway'!$B$2:$B$3000,SUBSTITUTE($A210," SS","  SS")),"NA"))</f>
        <v>430</v>
      </c>
      <c r="J210" s="81" t="n">
        <f aca="false">IF(COUNTIFS('Pending Putaway'!$A$2:$A$3000,$K$2,'Pending Putaway'!$B$2:$B$3000,$A210)&gt;0,SUMIFS('Pending Putaway'!$L$2:$L$3000,'Pending Putaway'!$A$2:$A$3000,$K$2,'Pending Putaway'!$B$2:$B$3000,$A210),IF(COUNTIFS('Pending Putaway'!$A$2:$A$3000,$K$2,'Pending Putaway'!$B$2:$B$3000,SUBSTITUTE($A210," SS","  SS"))&gt;0,SUMIFS('Pending Putaway'!$L$2:$L$3000,'Pending Putaway'!$A$2:$A$3000,$K$2,'Pending Putaway'!$B$2:$B$3000,SUBSTITUTE($A210," SS","  SS")),"NA"))</f>
        <v>45</v>
      </c>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row>
    <row r="211" customFormat="false" ht="15.75" hidden="false" customHeight="true" outlineLevel="0" collapsed="false">
      <c r="A211" s="81" t="s">
        <v>76</v>
      </c>
      <c r="B211" s="81" t="str">
        <f aca="false" t="array" ref="B211:B211">IFERROR(INDEX('CLM &amp; IM Mapping'!$B$2:$B$270,MATCH($A211,'CLM &amp; IM Mapping'!$A$2:$A$270,0)),"Not Mapped")</f>
        <v>Silambarasan E</v>
      </c>
      <c r="C211" s="81" t="str">
        <f aca="false" t="array" ref="C211:C211">IFERROR(INDEX('CLM &amp; IM Mapping'!$C$2:$C$270,MATCH($A211,'CLM &amp; IM Mapping'!$A$2:$A$270,0)),"Not Mapped")</f>
        <v>Arivind S</v>
      </c>
      <c r="D211" s="82" t="n">
        <f aca="false">IF(COUNTIFS(Shrinkage!$A$2:$A$3000,$K$2,Shrinkage!$D$2:$D$3000,$A211)&gt;0,SUMIFS(Shrinkage!$P$2:$P$3000,Shrinkage!$A$2:$A$3000,$K$2,Shrinkage!$D$2:$D$3000,$A211),IF(COUNTIFS(Shrinkage!$A$2:$A$3000,$K$2,Shrinkage!$D$2:$D$3000,SUBSTITUTE($A211," SS","  SS"))&gt;0,SUMIFS(Shrinkage!$P$2:$P$3000,Shrinkage!$A$2:$A$3000,$K$2,Shrinkage!$D$2:$D$3000,SUBSTITUTE($A211," SS","  SS")),"NA"))</f>
        <v>50456</v>
      </c>
      <c r="E211" s="83" t="n">
        <f aca="false">IF(COUNTIFS('Inventory Hygiene'!$A$2:$A$3000,$K$2,'Inventory Hygiene'!$B$2:$B$3000,$A211)&gt;0,AVERAGEIFS('Inventory Hygiene'!$J$2:$J$3000,'Inventory Hygiene'!$A$2:$A$3000,$K$2,'Inventory Hygiene'!$B$2:$B$3000,$A211),IF(COUNTIFS('Inventory Hygiene'!$A$2:$A$3000,$K$2,'Inventory Hygiene'!$B$2:$B$3000,SUBSTITUTE($A211," SS","  SS"))&gt;0,AVERAGEIFS('Inventory Hygiene'!$J$2:$J$3000,'Inventory Hygiene'!$A$2:$A$3000,$K$2,'Inventory Hygiene'!$B$2:$B$3000,SUBSTITUTE($A211," SS","  SS")),"NA"))</f>
        <v>0.730208993033566</v>
      </c>
      <c r="F211" s="81" t="n">
        <f aca="false">IF(COUNTIFS('Bad Bins'!$A$2:$A$3000,$K$2,'Bad Bins'!$B$2:$B$3000,$A211)&gt;0,SUMIFS('Bad Bins'!$K$2:$K$3000,'Bad Bins'!$A$2:$A$3000,$K$2,'Bad Bins'!$B$2:$B$3000,$A211),IF(COUNTIFS('Bad Bins'!$A$2:$A$3000,$K$2,'Bad Bins'!$B$2:$B$3000,SUBSTITUTE($A211," SS","  SS"))&gt;0,SUMIFS('Bad Bins'!$K$2:$K$3000,'Bad Bins'!$A$2:$A$3000,$K$2,'Bad Bins'!$B$2:$B$3000,SUBSTITUTE($A211," SS","  SS")),"NA"))</f>
        <v>53</v>
      </c>
      <c r="G211" s="81" t="str">
        <f aca="false">IF(COUNTIFS('RSTO &gt; 48hrs'!$A$2:$A$3000,$K$2,'RSTO &gt; 48hrs'!$B$2:$B$3000,$A211)&gt;0,SUMIFS('RSTO &gt; 48hrs'!$H$2:$H$3000,'RSTO &gt; 48hrs'!$A$2:$A$3000,$K$2,'RSTO &gt; 48hrs'!$B$2:$B$3000,$A211),IF(COUNTIFS('RSTO &gt; 48hrs'!$A$2:$A$3000,$K$2,'RSTO &gt; 48hrs'!$B$2:$B$3000,SUBSTITUTE($A211," SS","  SS"))&gt;0,SUMIFS('RSTO &gt; 48hrs'!$H$2:$H$3000,'RSTO &gt; 48hrs'!$A$2:$A$3000,$K$2,'RSTO &gt; 48hrs'!$B$2:$B$3000,SUBSTITUTE($A211," SS","  SS")),"NA"))</f>
        <v>NA</v>
      </c>
      <c r="H211" s="81" t="n">
        <f aca="false">IF(COUNTIFS('Recirculation &gt; 24 hrs'!$A$2:$A$3000,$K$2,'Recirculation &gt; 24 hrs'!$B$2:$B$3000,$A211)&gt;0,SUMIFS('Recirculation &gt; 24 hrs'!$K$2:$K$3000,'Recirculation &gt; 24 hrs'!$A$2:$A$3000,$K$2,'Recirculation &gt; 24 hrs'!$B$2:$B$3000,$A211),IF(COUNTIFS('Recirculation &gt; 24 hrs'!$A$2:$A$3000,$K$2,'Recirculation &gt; 24 hrs'!$B$2:$B$3000,SUBSTITUTE($A211," SS","  SS"))&gt;0,SUMIFS('Recirculation &gt; 24 hrs'!$K$2:$K$3000,'Recirculation &gt; 24 hrs'!$A$2:$A$3000,$K$2,'Recirculation &gt; 24 hrs'!$B$2:$B$3000,SUBSTITUTE($A211," SS","  SS")),"NA"))</f>
        <v>23</v>
      </c>
      <c r="I211" s="81" t="n">
        <f aca="false">IF(COUNTIFS('Pending Putaway'!$A$2:$A$3000,$K$2,'Pending Putaway'!$B$2:$B$3000,$A211)&gt;0,SUMIFS('Pending Putaway'!$E$2:$E$3000,'Pending Putaway'!$A$2:$A$3000,$K$2,'Pending Putaway'!$B$2:$B$3000,$A211),IF(COUNTIFS('Pending Putaway'!$A$2:$A$3000,$K$2,'Pending Putaway'!$B$2:$B$3000,SUBSTITUTE($A211," SS","  SS"))&gt;0,SUMIFS('Pending Putaway'!$E$2:$E$3000,'Pending Putaway'!$A$2:$A$3000,$K$2,'Pending Putaway'!$B$2:$B$3000,SUBSTITUTE($A211," SS","  SS")),"NA"))</f>
        <v>4072</v>
      </c>
      <c r="J211" s="81" t="n">
        <f aca="false">IF(COUNTIFS('Pending Putaway'!$A$2:$A$3000,$K$2,'Pending Putaway'!$B$2:$B$3000,$A211)&gt;0,SUMIFS('Pending Putaway'!$L$2:$L$3000,'Pending Putaway'!$A$2:$A$3000,$K$2,'Pending Putaway'!$B$2:$B$3000,$A211),IF(COUNTIFS('Pending Putaway'!$A$2:$A$3000,$K$2,'Pending Putaway'!$B$2:$B$3000,SUBSTITUTE($A211," SS","  SS"))&gt;0,SUMIFS('Pending Putaway'!$L$2:$L$3000,'Pending Putaway'!$A$2:$A$3000,$K$2,'Pending Putaway'!$B$2:$B$3000,SUBSTITUTE($A211," SS","  SS")),"NA"))</f>
        <v>3851</v>
      </c>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row>
    <row r="212" customFormat="false" ht="15.75" hidden="false" customHeight="true" outlineLevel="0" collapsed="false">
      <c r="A212" s="81" t="s">
        <v>222</v>
      </c>
      <c r="B212" s="81" t="str">
        <f aca="false" t="array" ref="B212:B212">IFERROR(INDEX('CLM &amp; IM Mapping'!$B$2:$B$270,MATCH($A212,'CLM &amp; IM Mapping'!$A$2:$A$270,0)),"Not Mapped")</f>
        <v>Vishnu V</v>
      </c>
      <c r="C212" s="81" t="str">
        <f aca="false" t="array" ref="C212:C212">IFERROR(INDEX('CLM &amp; IM Mapping'!$C$2:$C$270,MATCH($A212,'CLM &amp; IM Mapping'!$A$2:$A$270,0)),"Not Mapped")</f>
        <v>Arivind S</v>
      </c>
      <c r="D212" s="82" t="n">
        <f aca="false">IF(COUNTIFS(Shrinkage!$A$2:$A$3000,$K$2,Shrinkage!$D$2:$D$3000,$A212)&gt;0,SUMIFS(Shrinkage!$P$2:$P$3000,Shrinkage!$A$2:$A$3000,$K$2,Shrinkage!$D$2:$D$3000,$A212),IF(COUNTIFS(Shrinkage!$A$2:$A$3000,$K$2,Shrinkage!$D$2:$D$3000,SUBSTITUTE($A212," SS","  SS"))&gt;0,SUMIFS(Shrinkage!$P$2:$P$3000,Shrinkage!$A$2:$A$3000,$K$2,Shrinkage!$D$2:$D$3000,SUBSTITUTE($A212," SS","  SS")),"NA"))</f>
        <v>9911</v>
      </c>
      <c r="E212" s="83" t="n">
        <f aca="false">IF(COUNTIFS('Inventory Hygiene'!$A$2:$A$3000,$K$2,'Inventory Hygiene'!$B$2:$B$3000,$A212)&gt;0,AVERAGEIFS('Inventory Hygiene'!$J$2:$J$3000,'Inventory Hygiene'!$A$2:$A$3000,$K$2,'Inventory Hygiene'!$B$2:$B$3000,$A212),IF(COUNTIFS('Inventory Hygiene'!$A$2:$A$3000,$K$2,'Inventory Hygiene'!$B$2:$B$3000,SUBSTITUTE($A212," SS","  SS"))&gt;0,AVERAGEIFS('Inventory Hygiene'!$J$2:$J$3000,'Inventory Hygiene'!$A$2:$A$3000,$K$2,'Inventory Hygiene'!$B$2:$B$3000,SUBSTITUTE($A212," SS","  SS")),"NA"))</f>
        <v>0.651873921906853</v>
      </c>
      <c r="F212" s="81" t="n">
        <f aca="false">IF(COUNTIFS('Bad Bins'!$A$2:$A$3000,$K$2,'Bad Bins'!$B$2:$B$3000,$A212)&gt;0,SUMIFS('Bad Bins'!$K$2:$K$3000,'Bad Bins'!$A$2:$A$3000,$K$2,'Bad Bins'!$B$2:$B$3000,$A212),IF(COUNTIFS('Bad Bins'!$A$2:$A$3000,$K$2,'Bad Bins'!$B$2:$B$3000,SUBSTITUTE($A212," SS","  SS"))&gt;0,SUMIFS('Bad Bins'!$K$2:$K$3000,'Bad Bins'!$A$2:$A$3000,$K$2,'Bad Bins'!$B$2:$B$3000,SUBSTITUTE($A212," SS","  SS")),"NA"))</f>
        <v>1914</v>
      </c>
      <c r="G212" s="81" t="str">
        <f aca="false">IF(COUNTIFS('RSTO &gt; 48hrs'!$A$2:$A$3000,$K$2,'RSTO &gt; 48hrs'!$B$2:$B$3000,$A212)&gt;0,SUMIFS('RSTO &gt; 48hrs'!$H$2:$H$3000,'RSTO &gt; 48hrs'!$A$2:$A$3000,$K$2,'RSTO &gt; 48hrs'!$B$2:$B$3000,$A212),IF(COUNTIFS('RSTO &gt; 48hrs'!$A$2:$A$3000,$K$2,'RSTO &gt; 48hrs'!$B$2:$B$3000,SUBSTITUTE($A212," SS","  SS"))&gt;0,SUMIFS('RSTO &gt; 48hrs'!$H$2:$H$3000,'RSTO &gt; 48hrs'!$A$2:$A$3000,$K$2,'RSTO &gt; 48hrs'!$B$2:$B$3000,SUBSTITUTE($A212," SS","  SS")),"NA"))</f>
        <v>NA</v>
      </c>
      <c r="H212" s="81" t="str">
        <f aca="false">IF(COUNTIFS('Recirculation &gt; 24 hrs'!$A$2:$A$3000,$K$2,'Recirculation &gt; 24 hrs'!$B$2:$B$3000,$A212)&gt;0,SUMIFS('Recirculation &gt; 24 hrs'!$K$2:$K$3000,'Recirculation &gt; 24 hrs'!$A$2:$A$3000,$K$2,'Recirculation &gt; 24 hrs'!$B$2:$B$3000,$A212),IF(COUNTIFS('Recirculation &gt; 24 hrs'!$A$2:$A$3000,$K$2,'Recirculation &gt; 24 hrs'!$B$2:$B$3000,SUBSTITUTE($A212," SS","  SS"))&gt;0,SUMIFS('Recirculation &gt; 24 hrs'!$K$2:$K$3000,'Recirculation &gt; 24 hrs'!$A$2:$A$3000,$K$2,'Recirculation &gt; 24 hrs'!$B$2:$B$3000,SUBSTITUTE($A212," SS","  SS")),"NA"))</f>
        <v>NA</v>
      </c>
      <c r="I212" s="81" t="n">
        <f aca="false">IF(COUNTIFS('Pending Putaway'!$A$2:$A$3000,$K$2,'Pending Putaway'!$B$2:$B$3000,$A212)&gt;0,SUMIFS('Pending Putaway'!$E$2:$E$3000,'Pending Putaway'!$A$2:$A$3000,$K$2,'Pending Putaway'!$B$2:$B$3000,$A212),IF(COUNTIFS('Pending Putaway'!$A$2:$A$3000,$K$2,'Pending Putaway'!$B$2:$B$3000,SUBSTITUTE($A212," SS","  SS"))&gt;0,SUMIFS('Pending Putaway'!$E$2:$E$3000,'Pending Putaway'!$A$2:$A$3000,$K$2,'Pending Putaway'!$B$2:$B$3000,SUBSTITUTE($A212," SS","  SS")),"NA"))</f>
        <v>3191</v>
      </c>
      <c r="J212" s="81" t="n">
        <f aca="false">IF(COUNTIFS('Pending Putaway'!$A$2:$A$3000,$K$2,'Pending Putaway'!$B$2:$B$3000,$A212)&gt;0,SUMIFS('Pending Putaway'!$L$2:$L$3000,'Pending Putaway'!$A$2:$A$3000,$K$2,'Pending Putaway'!$B$2:$B$3000,$A212),IF(COUNTIFS('Pending Putaway'!$A$2:$A$3000,$K$2,'Pending Putaway'!$B$2:$B$3000,SUBSTITUTE($A212," SS","  SS"))&gt;0,SUMIFS('Pending Putaway'!$L$2:$L$3000,'Pending Putaway'!$A$2:$A$3000,$K$2,'Pending Putaway'!$B$2:$B$3000,SUBSTITUTE($A212," SS","  SS")),"NA"))</f>
        <v>0</v>
      </c>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row>
    <row r="213" customFormat="false" ht="15.75" hidden="false" customHeight="true" outlineLevel="0" collapsed="false">
      <c r="A213" s="81" t="s">
        <v>466</v>
      </c>
      <c r="B213" s="81" t="str">
        <f aca="false" t="array" ref="B213:B213">IFERROR(INDEX('CLM &amp; IM Mapping'!$B$2:$B$270,MATCH($A213,'CLM &amp; IM Mapping'!$A$2:$A$270,0)),"Not Mapped")</f>
        <v>Vishnu V</v>
      </c>
      <c r="C213" s="81" t="str">
        <f aca="false" t="array" ref="C213:C213">IFERROR(INDEX('CLM &amp; IM Mapping'!$C$2:$C$270,MATCH($A213,'CLM &amp; IM Mapping'!$A$2:$A$270,0)),"Not Mapped")</f>
        <v>Arivind S</v>
      </c>
      <c r="D213" s="82" t="n">
        <f aca="false">IF(COUNTIFS(Shrinkage!$A$2:$A$3000,$K$2,Shrinkage!$D$2:$D$3000,$A213)&gt;0,SUMIFS(Shrinkage!$P$2:$P$3000,Shrinkage!$A$2:$A$3000,$K$2,Shrinkage!$D$2:$D$3000,$A213),IF(COUNTIFS(Shrinkage!$A$2:$A$3000,$K$2,Shrinkage!$D$2:$D$3000,SUBSTITUTE($A213," SS","  SS"))&gt;0,SUMIFS(Shrinkage!$P$2:$P$3000,Shrinkage!$A$2:$A$3000,$K$2,Shrinkage!$D$2:$D$3000,SUBSTITUTE($A213," SS","  SS")),"NA"))</f>
        <v>-7680</v>
      </c>
      <c r="E213" s="83" t="n">
        <f aca="false">IF(COUNTIFS('Inventory Hygiene'!$A$2:$A$3000,$K$2,'Inventory Hygiene'!$B$2:$B$3000,$A213)&gt;0,AVERAGEIFS('Inventory Hygiene'!$J$2:$J$3000,'Inventory Hygiene'!$A$2:$A$3000,$K$2,'Inventory Hygiene'!$B$2:$B$3000,$A213),IF(COUNTIFS('Inventory Hygiene'!$A$2:$A$3000,$K$2,'Inventory Hygiene'!$B$2:$B$3000,SUBSTITUTE($A213," SS","  SS"))&gt;0,AVERAGEIFS('Inventory Hygiene'!$J$2:$J$3000,'Inventory Hygiene'!$A$2:$A$3000,$K$2,'Inventory Hygiene'!$B$2:$B$3000,SUBSTITUTE($A213," SS","  SS")),"NA"))</f>
        <v>0.900881057268722</v>
      </c>
      <c r="F213" s="81" t="n">
        <f aca="false">IF(COUNTIFS('Bad Bins'!$A$2:$A$3000,$K$2,'Bad Bins'!$B$2:$B$3000,$A213)&gt;0,SUMIFS('Bad Bins'!$K$2:$K$3000,'Bad Bins'!$A$2:$A$3000,$K$2,'Bad Bins'!$B$2:$B$3000,$A213),IF(COUNTIFS('Bad Bins'!$A$2:$A$3000,$K$2,'Bad Bins'!$B$2:$B$3000,SUBSTITUTE($A213," SS","  SS"))&gt;0,SUMIFS('Bad Bins'!$K$2:$K$3000,'Bad Bins'!$A$2:$A$3000,$K$2,'Bad Bins'!$B$2:$B$3000,SUBSTITUTE($A213," SS","  SS")),"NA"))</f>
        <v>99</v>
      </c>
      <c r="G213" s="81" t="str">
        <f aca="false">IF(COUNTIFS('RSTO &gt; 48hrs'!$A$2:$A$3000,$K$2,'RSTO &gt; 48hrs'!$B$2:$B$3000,$A213)&gt;0,SUMIFS('RSTO &gt; 48hrs'!$H$2:$H$3000,'RSTO &gt; 48hrs'!$A$2:$A$3000,$K$2,'RSTO &gt; 48hrs'!$B$2:$B$3000,$A213),IF(COUNTIFS('RSTO &gt; 48hrs'!$A$2:$A$3000,$K$2,'RSTO &gt; 48hrs'!$B$2:$B$3000,SUBSTITUTE($A213," SS","  SS"))&gt;0,SUMIFS('RSTO &gt; 48hrs'!$H$2:$H$3000,'RSTO &gt; 48hrs'!$A$2:$A$3000,$K$2,'RSTO &gt; 48hrs'!$B$2:$B$3000,SUBSTITUTE($A213," SS","  SS")),"NA"))</f>
        <v>NA</v>
      </c>
      <c r="H213" s="81" t="str">
        <f aca="false">IF(COUNTIFS('Recirculation &gt; 24 hrs'!$A$2:$A$3000,$K$2,'Recirculation &gt; 24 hrs'!$B$2:$B$3000,$A213)&gt;0,SUMIFS('Recirculation &gt; 24 hrs'!$K$2:$K$3000,'Recirculation &gt; 24 hrs'!$A$2:$A$3000,$K$2,'Recirculation &gt; 24 hrs'!$B$2:$B$3000,$A213),IF(COUNTIFS('Recirculation &gt; 24 hrs'!$A$2:$A$3000,$K$2,'Recirculation &gt; 24 hrs'!$B$2:$B$3000,SUBSTITUTE($A213," SS","  SS"))&gt;0,SUMIFS('Recirculation &gt; 24 hrs'!$K$2:$K$3000,'Recirculation &gt; 24 hrs'!$A$2:$A$3000,$K$2,'Recirculation &gt; 24 hrs'!$B$2:$B$3000,SUBSTITUTE($A213," SS","  SS")),"NA"))</f>
        <v>NA</v>
      </c>
      <c r="I213" s="81" t="n">
        <f aca="false">IF(COUNTIFS('Pending Putaway'!$A$2:$A$3000,$K$2,'Pending Putaway'!$B$2:$B$3000,$A213)&gt;0,SUMIFS('Pending Putaway'!$E$2:$E$3000,'Pending Putaway'!$A$2:$A$3000,$K$2,'Pending Putaway'!$B$2:$B$3000,$A213),IF(COUNTIFS('Pending Putaway'!$A$2:$A$3000,$K$2,'Pending Putaway'!$B$2:$B$3000,SUBSTITUTE($A213," SS","  SS"))&gt;0,SUMIFS('Pending Putaway'!$E$2:$E$3000,'Pending Putaway'!$A$2:$A$3000,$K$2,'Pending Putaway'!$B$2:$B$3000,SUBSTITUTE($A213," SS","  SS")),"NA"))</f>
        <v>3671</v>
      </c>
      <c r="J213" s="81" t="n">
        <f aca="false">IF(COUNTIFS('Pending Putaway'!$A$2:$A$3000,$K$2,'Pending Putaway'!$B$2:$B$3000,$A213)&gt;0,SUMIFS('Pending Putaway'!$L$2:$L$3000,'Pending Putaway'!$A$2:$A$3000,$K$2,'Pending Putaway'!$B$2:$B$3000,$A213),IF(COUNTIFS('Pending Putaway'!$A$2:$A$3000,$K$2,'Pending Putaway'!$B$2:$B$3000,SUBSTITUTE($A213," SS","  SS"))&gt;0,SUMIFS('Pending Putaway'!$L$2:$L$3000,'Pending Putaway'!$A$2:$A$3000,$K$2,'Pending Putaway'!$B$2:$B$3000,SUBSTITUTE($A213," SS","  SS")),"NA"))</f>
        <v>48</v>
      </c>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row>
    <row r="214" customFormat="false" ht="15.75" hidden="false" customHeight="true" outlineLevel="0" collapsed="false">
      <c r="A214" s="81" t="s">
        <v>316</v>
      </c>
      <c r="B214" s="81" t="str">
        <f aca="false" t="array" ref="B214:B214">IFERROR(INDEX('CLM &amp; IM Mapping'!$B$2:$B$270,MATCH($A214,'CLM &amp; IM Mapping'!$A$2:$A$270,0)),"Not Mapped")</f>
        <v>Vishnu V</v>
      </c>
      <c r="C214" s="81" t="str">
        <f aca="false" t="array" ref="C214:C214">IFERROR(INDEX('CLM &amp; IM Mapping'!$C$2:$C$270,MATCH($A214,'CLM &amp; IM Mapping'!$A$2:$A$270,0)),"Not Mapped")</f>
        <v>Arivind S</v>
      </c>
      <c r="D214" s="82" t="n">
        <f aca="false">IF(COUNTIFS(Shrinkage!$A$2:$A$3000,$K$2,Shrinkage!$D$2:$D$3000,$A214)&gt;0,SUMIFS(Shrinkage!$P$2:$P$3000,Shrinkage!$A$2:$A$3000,$K$2,Shrinkage!$D$2:$D$3000,$A214),IF(COUNTIFS(Shrinkage!$A$2:$A$3000,$K$2,Shrinkage!$D$2:$D$3000,SUBSTITUTE($A214," SS","  SS"))&gt;0,SUMIFS(Shrinkage!$P$2:$P$3000,Shrinkage!$A$2:$A$3000,$K$2,Shrinkage!$D$2:$D$3000,SUBSTITUTE($A214," SS","  SS")),"NA"))</f>
        <v>4169</v>
      </c>
      <c r="E214" s="83" t="n">
        <f aca="false">IF(COUNTIFS('Inventory Hygiene'!$A$2:$A$3000,$K$2,'Inventory Hygiene'!$B$2:$B$3000,$A214)&gt;0,AVERAGEIFS('Inventory Hygiene'!$J$2:$J$3000,'Inventory Hygiene'!$A$2:$A$3000,$K$2,'Inventory Hygiene'!$B$2:$B$3000,$A214),IF(COUNTIFS('Inventory Hygiene'!$A$2:$A$3000,$K$2,'Inventory Hygiene'!$B$2:$B$3000,SUBSTITUTE($A214," SS","  SS"))&gt;0,AVERAGEIFS('Inventory Hygiene'!$J$2:$J$3000,'Inventory Hygiene'!$A$2:$A$3000,$K$2,'Inventory Hygiene'!$B$2:$B$3000,SUBSTITUTE($A214," SS","  SS")),"NA"))</f>
        <v>0.920762781522275</v>
      </c>
      <c r="F214" s="81" t="n">
        <f aca="false">IF(COUNTIFS('Bad Bins'!$A$2:$A$3000,$K$2,'Bad Bins'!$B$2:$B$3000,$A214)&gt;0,SUMIFS('Bad Bins'!$K$2:$K$3000,'Bad Bins'!$A$2:$A$3000,$K$2,'Bad Bins'!$B$2:$B$3000,$A214),IF(COUNTIFS('Bad Bins'!$A$2:$A$3000,$K$2,'Bad Bins'!$B$2:$B$3000,SUBSTITUTE($A214," SS","  SS"))&gt;0,SUMIFS('Bad Bins'!$K$2:$K$3000,'Bad Bins'!$A$2:$A$3000,$K$2,'Bad Bins'!$B$2:$B$3000,SUBSTITUTE($A214," SS","  SS")),"NA"))</f>
        <v>31</v>
      </c>
      <c r="G214" s="81" t="str">
        <f aca="false">IF(COUNTIFS('RSTO &gt; 48hrs'!$A$2:$A$3000,$K$2,'RSTO &gt; 48hrs'!$B$2:$B$3000,$A214)&gt;0,SUMIFS('RSTO &gt; 48hrs'!$H$2:$H$3000,'RSTO &gt; 48hrs'!$A$2:$A$3000,$K$2,'RSTO &gt; 48hrs'!$B$2:$B$3000,$A214),IF(COUNTIFS('RSTO &gt; 48hrs'!$A$2:$A$3000,$K$2,'RSTO &gt; 48hrs'!$B$2:$B$3000,SUBSTITUTE($A214," SS","  SS"))&gt;0,SUMIFS('RSTO &gt; 48hrs'!$H$2:$H$3000,'RSTO &gt; 48hrs'!$A$2:$A$3000,$K$2,'RSTO &gt; 48hrs'!$B$2:$B$3000,SUBSTITUTE($A214," SS","  SS")),"NA"))</f>
        <v>NA</v>
      </c>
      <c r="H214" s="81" t="str">
        <f aca="false">IF(COUNTIFS('Recirculation &gt; 24 hrs'!$A$2:$A$3000,$K$2,'Recirculation &gt; 24 hrs'!$B$2:$B$3000,$A214)&gt;0,SUMIFS('Recirculation &gt; 24 hrs'!$K$2:$K$3000,'Recirculation &gt; 24 hrs'!$A$2:$A$3000,$K$2,'Recirculation &gt; 24 hrs'!$B$2:$B$3000,$A214),IF(COUNTIFS('Recirculation &gt; 24 hrs'!$A$2:$A$3000,$K$2,'Recirculation &gt; 24 hrs'!$B$2:$B$3000,SUBSTITUTE($A214," SS","  SS"))&gt;0,SUMIFS('Recirculation &gt; 24 hrs'!$K$2:$K$3000,'Recirculation &gt; 24 hrs'!$A$2:$A$3000,$K$2,'Recirculation &gt; 24 hrs'!$B$2:$B$3000,SUBSTITUTE($A214," SS","  SS")),"NA"))</f>
        <v>NA</v>
      </c>
      <c r="I214" s="81" t="n">
        <f aca="false">IF(COUNTIFS('Pending Putaway'!$A$2:$A$3000,$K$2,'Pending Putaway'!$B$2:$B$3000,$A214)&gt;0,SUMIFS('Pending Putaway'!$E$2:$E$3000,'Pending Putaway'!$A$2:$A$3000,$K$2,'Pending Putaway'!$B$2:$B$3000,$A214),IF(COUNTIFS('Pending Putaway'!$A$2:$A$3000,$K$2,'Pending Putaway'!$B$2:$B$3000,SUBSTITUTE($A214," SS","  SS"))&gt;0,SUMIFS('Pending Putaway'!$E$2:$E$3000,'Pending Putaway'!$A$2:$A$3000,$K$2,'Pending Putaway'!$B$2:$B$3000,SUBSTITUTE($A214," SS","  SS")),"NA"))</f>
        <v>2508</v>
      </c>
      <c r="J214" s="81" t="n">
        <f aca="false">IF(COUNTIFS('Pending Putaway'!$A$2:$A$3000,$K$2,'Pending Putaway'!$B$2:$B$3000,$A214)&gt;0,SUMIFS('Pending Putaway'!$L$2:$L$3000,'Pending Putaway'!$A$2:$A$3000,$K$2,'Pending Putaway'!$B$2:$B$3000,$A214),IF(COUNTIFS('Pending Putaway'!$A$2:$A$3000,$K$2,'Pending Putaway'!$B$2:$B$3000,SUBSTITUTE($A214," SS","  SS"))&gt;0,SUMIFS('Pending Putaway'!$L$2:$L$3000,'Pending Putaway'!$A$2:$A$3000,$K$2,'Pending Putaway'!$B$2:$B$3000,SUBSTITUTE($A214," SS","  SS")),"NA"))</f>
        <v>2508</v>
      </c>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row>
    <row r="215" customFormat="false" ht="15.75" hidden="false" customHeight="true" outlineLevel="0" collapsed="false">
      <c r="A215" s="81" t="s">
        <v>415</v>
      </c>
      <c r="B215" s="81" t="str">
        <f aca="false" t="array" ref="B215:B215">IFERROR(INDEX('CLM &amp; IM Mapping'!$B$2:$B$270,MATCH($A215,'CLM &amp; IM Mapping'!$A$2:$A$270,0)),"Not Mapped")</f>
        <v>Vishnu V</v>
      </c>
      <c r="C215" s="81" t="str">
        <f aca="false" t="array" ref="C215:C215">IFERROR(INDEX('CLM &amp; IM Mapping'!$C$2:$C$270,MATCH($A215,'CLM &amp; IM Mapping'!$A$2:$A$270,0)),"Not Mapped")</f>
        <v>Arivind S</v>
      </c>
      <c r="D215" s="82" t="n">
        <f aca="false">IF(COUNTIFS(Shrinkage!$A$2:$A$3000,$K$2,Shrinkage!$D$2:$D$3000,$A215)&gt;0,SUMIFS(Shrinkage!$P$2:$P$3000,Shrinkage!$A$2:$A$3000,$K$2,Shrinkage!$D$2:$D$3000,$A215),IF(COUNTIFS(Shrinkage!$A$2:$A$3000,$K$2,Shrinkage!$D$2:$D$3000,SUBSTITUTE($A215," SS","  SS"))&gt;0,SUMIFS(Shrinkage!$P$2:$P$3000,Shrinkage!$A$2:$A$3000,$K$2,Shrinkage!$D$2:$D$3000,SUBSTITUTE($A215," SS","  SS")),"NA"))</f>
        <v>-2782</v>
      </c>
      <c r="E215" s="83" t="n">
        <f aca="false">IF(COUNTIFS('Inventory Hygiene'!$A$2:$A$3000,$K$2,'Inventory Hygiene'!$B$2:$B$3000,$A215)&gt;0,AVERAGEIFS('Inventory Hygiene'!$J$2:$J$3000,'Inventory Hygiene'!$A$2:$A$3000,$K$2,'Inventory Hygiene'!$B$2:$B$3000,$A215),IF(COUNTIFS('Inventory Hygiene'!$A$2:$A$3000,$K$2,'Inventory Hygiene'!$B$2:$B$3000,SUBSTITUTE($A215," SS","  SS"))&gt;0,AVERAGEIFS('Inventory Hygiene'!$J$2:$J$3000,'Inventory Hygiene'!$A$2:$A$3000,$K$2,'Inventory Hygiene'!$B$2:$B$3000,SUBSTITUTE($A215," SS","  SS")),"NA"))</f>
        <v>0.937116010119263</v>
      </c>
      <c r="F215" s="81" t="n">
        <f aca="false">IF(COUNTIFS('Bad Bins'!$A$2:$A$3000,$K$2,'Bad Bins'!$B$2:$B$3000,$A215)&gt;0,SUMIFS('Bad Bins'!$K$2:$K$3000,'Bad Bins'!$A$2:$A$3000,$K$2,'Bad Bins'!$B$2:$B$3000,$A215),IF(COUNTIFS('Bad Bins'!$A$2:$A$3000,$K$2,'Bad Bins'!$B$2:$B$3000,SUBSTITUTE($A215," SS","  SS"))&gt;0,SUMIFS('Bad Bins'!$K$2:$K$3000,'Bad Bins'!$A$2:$A$3000,$K$2,'Bad Bins'!$B$2:$B$3000,SUBSTITUTE($A215," SS","  SS")),"NA"))</f>
        <v>18</v>
      </c>
      <c r="G215" s="81" t="str">
        <f aca="false">IF(COUNTIFS('RSTO &gt; 48hrs'!$A$2:$A$3000,$K$2,'RSTO &gt; 48hrs'!$B$2:$B$3000,$A215)&gt;0,SUMIFS('RSTO &gt; 48hrs'!$H$2:$H$3000,'RSTO &gt; 48hrs'!$A$2:$A$3000,$K$2,'RSTO &gt; 48hrs'!$B$2:$B$3000,$A215),IF(COUNTIFS('RSTO &gt; 48hrs'!$A$2:$A$3000,$K$2,'RSTO &gt; 48hrs'!$B$2:$B$3000,SUBSTITUTE($A215," SS","  SS"))&gt;0,SUMIFS('RSTO &gt; 48hrs'!$H$2:$H$3000,'RSTO &gt; 48hrs'!$A$2:$A$3000,$K$2,'RSTO &gt; 48hrs'!$B$2:$B$3000,SUBSTITUTE($A215," SS","  SS")),"NA"))</f>
        <v>NA</v>
      </c>
      <c r="H215" s="81" t="str">
        <f aca="false">IF(COUNTIFS('Recirculation &gt; 24 hrs'!$A$2:$A$3000,$K$2,'Recirculation &gt; 24 hrs'!$B$2:$B$3000,$A215)&gt;0,SUMIFS('Recirculation &gt; 24 hrs'!$K$2:$K$3000,'Recirculation &gt; 24 hrs'!$A$2:$A$3000,$K$2,'Recirculation &gt; 24 hrs'!$B$2:$B$3000,$A215),IF(COUNTIFS('Recirculation &gt; 24 hrs'!$A$2:$A$3000,$K$2,'Recirculation &gt; 24 hrs'!$B$2:$B$3000,SUBSTITUTE($A215," SS","  SS"))&gt;0,SUMIFS('Recirculation &gt; 24 hrs'!$K$2:$K$3000,'Recirculation &gt; 24 hrs'!$A$2:$A$3000,$K$2,'Recirculation &gt; 24 hrs'!$B$2:$B$3000,SUBSTITUTE($A215," SS","  SS")),"NA"))</f>
        <v>NA</v>
      </c>
      <c r="I215" s="81" t="n">
        <f aca="false">IF(COUNTIFS('Pending Putaway'!$A$2:$A$3000,$K$2,'Pending Putaway'!$B$2:$B$3000,$A215)&gt;0,SUMIFS('Pending Putaway'!$E$2:$E$3000,'Pending Putaway'!$A$2:$A$3000,$K$2,'Pending Putaway'!$B$2:$B$3000,$A215),IF(COUNTIFS('Pending Putaway'!$A$2:$A$3000,$K$2,'Pending Putaway'!$B$2:$B$3000,SUBSTITUTE($A215," SS","  SS"))&gt;0,SUMIFS('Pending Putaway'!$E$2:$E$3000,'Pending Putaway'!$A$2:$A$3000,$K$2,'Pending Putaway'!$B$2:$B$3000,SUBSTITUTE($A215," SS","  SS")),"NA"))</f>
        <v>0</v>
      </c>
      <c r="J215" s="81" t="n">
        <f aca="false">IF(COUNTIFS('Pending Putaway'!$A$2:$A$3000,$K$2,'Pending Putaway'!$B$2:$B$3000,$A215)&gt;0,SUMIFS('Pending Putaway'!$L$2:$L$3000,'Pending Putaway'!$A$2:$A$3000,$K$2,'Pending Putaway'!$B$2:$B$3000,$A215),IF(COUNTIFS('Pending Putaway'!$A$2:$A$3000,$K$2,'Pending Putaway'!$B$2:$B$3000,SUBSTITUTE($A215," SS","  SS"))&gt;0,SUMIFS('Pending Putaway'!$L$2:$L$3000,'Pending Putaway'!$A$2:$A$3000,$K$2,'Pending Putaway'!$B$2:$B$3000,SUBSTITUTE($A215," SS","  SS")),"NA"))</f>
        <v>0</v>
      </c>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row>
    <row r="216" customFormat="false" ht="15.75" hidden="false" customHeight="true" outlineLevel="0" collapsed="false">
      <c r="A216" s="81" t="s">
        <v>274</v>
      </c>
      <c r="B216" s="81" t="str">
        <f aca="false" t="array" ref="B216:B216">IFERROR(INDEX('CLM &amp; IM Mapping'!$B$2:$B$270,MATCH($A216,'CLM &amp; IM Mapping'!$A$2:$A$270,0)),"Not Mapped")</f>
        <v>Vishnu V</v>
      </c>
      <c r="C216" s="81" t="str">
        <f aca="false" t="array" ref="C216:C216">IFERROR(INDEX('CLM &amp; IM Mapping'!$C$2:$C$270,MATCH($A216,'CLM &amp; IM Mapping'!$A$2:$A$270,0)),"Not Mapped")</f>
        <v>Arivind S</v>
      </c>
      <c r="D216" s="82" t="n">
        <f aca="false">IF(COUNTIFS(Shrinkage!$A$2:$A$3000,$K$2,Shrinkage!$D$2:$D$3000,$A216)&gt;0,SUMIFS(Shrinkage!$P$2:$P$3000,Shrinkage!$A$2:$A$3000,$K$2,Shrinkage!$D$2:$D$3000,$A216),IF(COUNTIFS(Shrinkage!$A$2:$A$3000,$K$2,Shrinkage!$D$2:$D$3000,SUBSTITUTE($A216," SS","  SS"))&gt;0,SUMIFS(Shrinkage!$P$2:$P$3000,Shrinkage!$A$2:$A$3000,$K$2,Shrinkage!$D$2:$D$3000,SUBSTITUTE($A216," SS","  SS")),"NA"))</f>
        <v>11872</v>
      </c>
      <c r="E216" s="83" t="n">
        <f aca="false">IF(COUNTIFS('Inventory Hygiene'!$A$2:$A$3000,$K$2,'Inventory Hygiene'!$B$2:$B$3000,$A216)&gt;0,AVERAGEIFS('Inventory Hygiene'!$J$2:$J$3000,'Inventory Hygiene'!$A$2:$A$3000,$K$2,'Inventory Hygiene'!$B$2:$B$3000,$A216),IF(COUNTIFS('Inventory Hygiene'!$A$2:$A$3000,$K$2,'Inventory Hygiene'!$B$2:$B$3000,SUBSTITUTE($A216," SS","  SS"))&gt;0,AVERAGEIFS('Inventory Hygiene'!$J$2:$J$3000,'Inventory Hygiene'!$A$2:$A$3000,$K$2,'Inventory Hygiene'!$B$2:$B$3000,SUBSTITUTE($A216," SS","  SS")),"NA"))</f>
        <v>0.409309515630368</v>
      </c>
      <c r="F216" s="81" t="n">
        <f aca="false">IF(COUNTIFS('Bad Bins'!$A$2:$A$3000,$K$2,'Bad Bins'!$B$2:$B$3000,$A216)&gt;0,SUMIFS('Bad Bins'!$K$2:$K$3000,'Bad Bins'!$A$2:$A$3000,$K$2,'Bad Bins'!$B$2:$B$3000,$A216),IF(COUNTIFS('Bad Bins'!$A$2:$A$3000,$K$2,'Bad Bins'!$B$2:$B$3000,SUBSTITUTE($A216," SS","  SS"))&gt;0,SUMIFS('Bad Bins'!$K$2:$K$3000,'Bad Bins'!$A$2:$A$3000,$K$2,'Bad Bins'!$B$2:$B$3000,SUBSTITUTE($A216," SS","  SS")),"NA"))</f>
        <v>50</v>
      </c>
      <c r="G216" s="81" t="str">
        <f aca="false">IF(COUNTIFS('RSTO &gt; 48hrs'!$A$2:$A$3000,$K$2,'RSTO &gt; 48hrs'!$B$2:$B$3000,$A216)&gt;0,SUMIFS('RSTO &gt; 48hrs'!$H$2:$H$3000,'RSTO &gt; 48hrs'!$A$2:$A$3000,$K$2,'RSTO &gt; 48hrs'!$B$2:$B$3000,$A216),IF(COUNTIFS('RSTO &gt; 48hrs'!$A$2:$A$3000,$K$2,'RSTO &gt; 48hrs'!$B$2:$B$3000,SUBSTITUTE($A216," SS","  SS"))&gt;0,SUMIFS('RSTO &gt; 48hrs'!$H$2:$H$3000,'RSTO &gt; 48hrs'!$A$2:$A$3000,$K$2,'RSTO &gt; 48hrs'!$B$2:$B$3000,SUBSTITUTE($A216," SS","  SS")),"NA"))</f>
        <v>NA</v>
      </c>
      <c r="H216" s="81" t="str">
        <f aca="false">IF(COUNTIFS('Recirculation &gt; 24 hrs'!$A$2:$A$3000,$K$2,'Recirculation &gt; 24 hrs'!$B$2:$B$3000,$A216)&gt;0,SUMIFS('Recirculation &gt; 24 hrs'!$K$2:$K$3000,'Recirculation &gt; 24 hrs'!$A$2:$A$3000,$K$2,'Recirculation &gt; 24 hrs'!$B$2:$B$3000,$A216),IF(COUNTIFS('Recirculation &gt; 24 hrs'!$A$2:$A$3000,$K$2,'Recirculation &gt; 24 hrs'!$B$2:$B$3000,SUBSTITUTE($A216," SS","  SS"))&gt;0,SUMIFS('Recirculation &gt; 24 hrs'!$K$2:$K$3000,'Recirculation &gt; 24 hrs'!$A$2:$A$3000,$K$2,'Recirculation &gt; 24 hrs'!$B$2:$B$3000,SUBSTITUTE($A216," SS","  SS")),"NA"))</f>
        <v>NA</v>
      </c>
      <c r="I216" s="81" t="n">
        <f aca="false">IF(COUNTIFS('Pending Putaway'!$A$2:$A$3000,$K$2,'Pending Putaway'!$B$2:$B$3000,$A216)&gt;0,SUMIFS('Pending Putaway'!$E$2:$E$3000,'Pending Putaway'!$A$2:$A$3000,$K$2,'Pending Putaway'!$B$2:$B$3000,$A216),IF(COUNTIFS('Pending Putaway'!$A$2:$A$3000,$K$2,'Pending Putaway'!$B$2:$B$3000,SUBSTITUTE($A216," SS","  SS"))&gt;0,SUMIFS('Pending Putaway'!$E$2:$E$3000,'Pending Putaway'!$A$2:$A$3000,$K$2,'Pending Putaway'!$B$2:$B$3000,SUBSTITUTE($A216," SS","  SS")),"NA"))</f>
        <v>38</v>
      </c>
      <c r="J216" s="81" t="n">
        <f aca="false">IF(COUNTIFS('Pending Putaway'!$A$2:$A$3000,$K$2,'Pending Putaway'!$B$2:$B$3000,$A216)&gt;0,SUMIFS('Pending Putaway'!$L$2:$L$3000,'Pending Putaway'!$A$2:$A$3000,$K$2,'Pending Putaway'!$B$2:$B$3000,$A216),IF(COUNTIFS('Pending Putaway'!$A$2:$A$3000,$K$2,'Pending Putaway'!$B$2:$B$3000,SUBSTITUTE($A216," SS","  SS"))&gt;0,SUMIFS('Pending Putaway'!$L$2:$L$3000,'Pending Putaway'!$A$2:$A$3000,$K$2,'Pending Putaway'!$B$2:$B$3000,SUBSTITUTE($A216," SS","  SS")),"NA"))</f>
        <v>38</v>
      </c>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row>
    <row r="217" customFormat="false" ht="15.75" hidden="false" customHeight="true" outlineLevel="0" collapsed="false">
      <c r="A217" s="81" t="s">
        <v>439</v>
      </c>
      <c r="B217" s="81" t="str">
        <f aca="false" t="array" ref="B217:B217">IFERROR(INDEX('CLM &amp; IM Mapping'!$B$2:$B$270,MATCH($A217,'CLM &amp; IM Mapping'!$A$2:$A$270,0)),"Not Mapped")</f>
        <v>Vishnu V</v>
      </c>
      <c r="C217" s="81" t="str">
        <f aca="false" t="array" ref="C217:C217">IFERROR(INDEX('CLM &amp; IM Mapping'!$C$2:$C$270,MATCH($A217,'CLM &amp; IM Mapping'!$A$2:$A$270,0)),"Not Mapped")</f>
        <v>Arivind S</v>
      </c>
      <c r="D217" s="82" t="n">
        <f aca="false">IF(COUNTIFS(Shrinkage!$A$2:$A$3000,$K$2,Shrinkage!$D$2:$D$3000,$A217)&gt;0,SUMIFS(Shrinkage!$P$2:$P$3000,Shrinkage!$A$2:$A$3000,$K$2,Shrinkage!$D$2:$D$3000,$A217),IF(COUNTIFS(Shrinkage!$A$2:$A$3000,$K$2,Shrinkage!$D$2:$D$3000,SUBSTITUTE($A217," SS","  SS"))&gt;0,SUMIFS(Shrinkage!$P$2:$P$3000,Shrinkage!$A$2:$A$3000,$K$2,Shrinkage!$D$2:$D$3000,SUBSTITUTE($A217," SS","  SS")),"NA"))</f>
        <v>-7868</v>
      </c>
      <c r="E217" s="83" t="n">
        <f aca="false">IF(COUNTIFS('Inventory Hygiene'!$A$2:$A$3000,$K$2,'Inventory Hygiene'!$B$2:$B$3000,$A217)&gt;0,AVERAGEIFS('Inventory Hygiene'!$J$2:$J$3000,'Inventory Hygiene'!$A$2:$A$3000,$K$2,'Inventory Hygiene'!$B$2:$B$3000,$A217),IF(COUNTIFS('Inventory Hygiene'!$A$2:$A$3000,$K$2,'Inventory Hygiene'!$B$2:$B$3000,SUBSTITUTE($A217," SS","  SS"))&gt;0,AVERAGEIFS('Inventory Hygiene'!$J$2:$J$3000,'Inventory Hygiene'!$A$2:$A$3000,$K$2,'Inventory Hygiene'!$B$2:$B$3000,SUBSTITUTE($A217," SS","  SS")),"NA"))</f>
        <v>0.321812146065222</v>
      </c>
      <c r="F217" s="81" t="n">
        <f aca="false">IF(COUNTIFS('Bad Bins'!$A$2:$A$3000,$K$2,'Bad Bins'!$B$2:$B$3000,$A217)&gt;0,SUMIFS('Bad Bins'!$K$2:$K$3000,'Bad Bins'!$A$2:$A$3000,$K$2,'Bad Bins'!$B$2:$B$3000,$A217),IF(COUNTIFS('Bad Bins'!$A$2:$A$3000,$K$2,'Bad Bins'!$B$2:$B$3000,SUBSTITUTE($A217," SS","  SS"))&gt;0,SUMIFS('Bad Bins'!$K$2:$K$3000,'Bad Bins'!$A$2:$A$3000,$K$2,'Bad Bins'!$B$2:$B$3000,SUBSTITUTE($A217," SS","  SS")),"NA"))</f>
        <v>0</v>
      </c>
      <c r="G217" s="81" t="str">
        <f aca="false">IF(COUNTIFS('RSTO &gt; 48hrs'!$A$2:$A$3000,$K$2,'RSTO &gt; 48hrs'!$B$2:$B$3000,$A217)&gt;0,SUMIFS('RSTO &gt; 48hrs'!$H$2:$H$3000,'RSTO &gt; 48hrs'!$A$2:$A$3000,$K$2,'RSTO &gt; 48hrs'!$B$2:$B$3000,$A217),IF(COUNTIFS('RSTO &gt; 48hrs'!$A$2:$A$3000,$K$2,'RSTO &gt; 48hrs'!$B$2:$B$3000,SUBSTITUTE($A217," SS","  SS"))&gt;0,SUMIFS('RSTO &gt; 48hrs'!$H$2:$H$3000,'RSTO &gt; 48hrs'!$A$2:$A$3000,$K$2,'RSTO &gt; 48hrs'!$B$2:$B$3000,SUBSTITUTE($A217," SS","  SS")),"NA"))</f>
        <v>NA</v>
      </c>
      <c r="H217" s="81" t="str">
        <f aca="false">IF(COUNTIFS('Recirculation &gt; 24 hrs'!$A$2:$A$3000,$K$2,'Recirculation &gt; 24 hrs'!$B$2:$B$3000,$A217)&gt;0,SUMIFS('Recirculation &gt; 24 hrs'!$K$2:$K$3000,'Recirculation &gt; 24 hrs'!$A$2:$A$3000,$K$2,'Recirculation &gt; 24 hrs'!$B$2:$B$3000,$A217),IF(COUNTIFS('Recirculation &gt; 24 hrs'!$A$2:$A$3000,$K$2,'Recirculation &gt; 24 hrs'!$B$2:$B$3000,SUBSTITUTE($A217," SS","  SS"))&gt;0,SUMIFS('Recirculation &gt; 24 hrs'!$K$2:$K$3000,'Recirculation &gt; 24 hrs'!$A$2:$A$3000,$K$2,'Recirculation &gt; 24 hrs'!$B$2:$B$3000,SUBSTITUTE($A217," SS","  SS")),"NA"))</f>
        <v>NA</v>
      </c>
      <c r="I217" s="81" t="n">
        <f aca="false">IF(COUNTIFS('Pending Putaway'!$A$2:$A$3000,$K$2,'Pending Putaway'!$B$2:$B$3000,$A217)&gt;0,SUMIFS('Pending Putaway'!$E$2:$E$3000,'Pending Putaway'!$A$2:$A$3000,$K$2,'Pending Putaway'!$B$2:$B$3000,$A217),IF(COUNTIFS('Pending Putaway'!$A$2:$A$3000,$K$2,'Pending Putaway'!$B$2:$B$3000,SUBSTITUTE($A217," SS","  SS"))&gt;0,SUMIFS('Pending Putaway'!$E$2:$E$3000,'Pending Putaway'!$A$2:$A$3000,$K$2,'Pending Putaway'!$B$2:$B$3000,SUBSTITUTE($A217," SS","  SS")),"NA"))</f>
        <v>0</v>
      </c>
      <c r="J217" s="81" t="n">
        <f aca="false">IF(COUNTIFS('Pending Putaway'!$A$2:$A$3000,$K$2,'Pending Putaway'!$B$2:$B$3000,$A217)&gt;0,SUMIFS('Pending Putaway'!$L$2:$L$3000,'Pending Putaway'!$A$2:$A$3000,$K$2,'Pending Putaway'!$B$2:$B$3000,$A217),IF(COUNTIFS('Pending Putaway'!$A$2:$A$3000,$K$2,'Pending Putaway'!$B$2:$B$3000,SUBSTITUTE($A217," SS","  SS"))&gt;0,SUMIFS('Pending Putaway'!$L$2:$L$3000,'Pending Putaway'!$A$2:$A$3000,$K$2,'Pending Putaway'!$B$2:$B$3000,SUBSTITUTE($A217," SS","  SS")),"NA"))</f>
        <v>0</v>
      </c>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row>
    <row r="218" customFormat="false" ht="15.75" hidden="false" customHeight="true" outlineLevel="0" collapsed="false">
      <c r="A218" s="81" t="s">
        <v>452</v>
      </c>
      <c r="B218" s="81" t="str">
        <f aca="false" t="array" ref="B218:B218">IFERROR(INDEX('CLM &amp; IM Mapping'!$B$2:$B$270,MATCH($A218,'CLM &amp; IM Mapping'!$A$2:$A$270,0)),"Not Mapped")</f>
        <v>Vishnu V</v>
      </c>
      <c r="C218" s="81" t="str">
        <f aca="false" t="array" ref="C218:C218">IFERROR(INDEX('CLM &amp; IM Mapping'!$C$2:$C$270,MATCH($A218,'CLM &amp; IM Mapping'!$A$2:$A$270,0)),"Not Mapped")</f>
        <v>Arivind S</v>
      </c>
      <c r="D218" s="82" t="n">
        <f aca="false">IF(COUNTIFS(Shrinkage!$A$2:$A$3000,$K$2,Shrinkage!$D$2:$D$3000,$A218)&gt;0,SUMIFS(Shrinkage!$P$2:$P$3000,Shrinkage!$A$2:$A$3000,$K$2,Shrinkage!$D$2:$D$3000,$A218),IF(COUNTIFS(Shrinkage!$A$2:$A$3000,$K$2,Shrinkage!$D$2:$D$3000,SUBSTITUTE($A218," SS","  SS"))&gt;0,SUMIFS(Shrinkage!$P$2:$P$3000,Shrinkage!$A$2:$A$3000,$K$2,Shrinkage!$D$2:$D$3000,SUBSTITUTE($A218," SS","  SS")),"NA"))</f>
        <v>-12709</v>
      </c>
      <c r="E218" s="83" t="n">
        <f aca="false">IF(COUNTIFS('Inventory Hygiene'!$A$2:$A$3000,$K$2,'Inventory Hygiene'!$B$2:$B$3000,$A218)&gt;0,AVERAGEIFS('Inventory Hygiene'!$J$2:$J$3000,'Inventory Hygiene'!$A$2:$A$3000,$K$2,'Inventory Hygiene'!$B$2:$B$3000,$A218),IF(COUNTIFS('Inventory Hygiene'!$A$2:$A$3000,$K$2,'Inventory Hygiene'!$B$2:$B$3000,SUBSTITUTE($A218," SS","  SS"))&gt;0,AVERAGEIFS('Inventory Hygiene'!$J$2:$J$3000,'Inventory Hygiene'!$A$2:$A$3000,$K$2,'Inventory Hygiene'!$B$2:$B$3000,SUBSTITUTE($A218," SS","  SS")),"NA"))</f>
        <v>0.827417140615807</v>
      </c>
      <c r="F218" s="81" t="n">
        <f aca="false">IF(COUNTIFS('Bad Bins'!$A$2:$A$3000,$K$2,'Bad Bins'!$B$2:$B$3000,$A218)&gt;0,SUMIFS('Bad Bins'!$K$2:$K$3000,'Bad Bins'!$A$2:$A$3000,$K$2,'Bad Bins'!$B$2:$B$3000,$A218),IF(COUNTIFS('Bad Bins'!$A$2:$A$3000,$K$2,'Bad Bins'!$B$2:$B$3000,SUBSTITUTE($A218," SS","  SS"))&gt;0,SUMIFS('Bad Bins'!$K$2:$K$3000,'Bad Bins'!$A$2:$A$3000,$K$2,'Bad Bins'!$B$2:$B$3000,SUBSTITUTE($A218," SS","  SS")),"NA"))</f>
        <v>3</v>
      </c>
      <c r="G218" s="81" t="str">
        <f aca="false">IF(COUNTIFS('RSTO &gt; 48hrs'!$A$2:$A$3000,$K$2,'RSTO &gt; 48hrs'!$B$2:$B$3000,$A218)&gt;0,SUMIFS('RSTO &gt; 48hrs'!$H$2:$H$3000,'RSTO &gt; 48hrs'!$A$2:$A$3000,$K$2,'RSTO &gt; 48hrs'!$B$2:$B$3000,$A218),IF(COUNTIFS('RSTO &gt; 48hrs'!$A$2:$A$3000,$K$2,'RSTO &gt; 48hrs'!$B$2:$B$3000,SUBSTITUTE($A218," SS","  SS"))&gt;0,SUMIFS('RSTO &gt; 48hrs'!$H$2:$H$3000,'RSTO &gt; 48hrs'!$A$2:$A$3000,$K$2,'RSTO &gt; 48hrs'!$B$2:$B$3000,SUBSTITUTE($A218," SS","  SS")),"NA"))</f>
        <v>NA</v>
      </c>
      <c r="H218" s="81" t="str">
        <f aca="false">IF(COUNTIFS('Recirculation &gt; 24 hrs'!$A$2:$A$3000,$K$2,'Recirculation &gt; 24 hrs'!$B$2:$B$3000,$A218)&gt;0,SUMIFS('Recirculation &gt; 24 hrs'!$K$2:$K$3000,'Recirculation &gt; 24 hrs'!$A$2:$A$3000,$K$2,'Recirculation &gt; 24 hrs'!$B$2:$B$3000,$A218),IF(COUNTIFS('Recirculation &gt; 24 hrs'!$A$2:$A$3000,$K$2,'Recirculation &gt; 24 hrs'!$B$2:$B$3000,SUBSTITUTE($A218," SS","  SS"))&gt;0,SUMIFS('Recirculation &gt; 24 hrs'!$K$2:$K$3000,'Recirculation &gt; 24 hrs'!$A$2:$A$3000,$K$2,'Recirculation &gt; 24 hrs'!$B$2:$B$3000,SUBSTITUTE($A218," SS","  SS")),"NA"))</f>
        <v>NA</v>
      </c>
      <c r="I218" s="81" t="n">
        <f aca="false">IF(COUNTIFS('Pending Putaway'!$A$2:$A$3000,$K$2,'Pending Putaway'!$B$2:$B$3000,$A218)&gt;0,SUMIFS('Pending Putaway'!$E$2:$E$3000,'Pending Putaway'!$A$2:$A$3000,$K$2,'Pending Putaway'!$B$2:$B$3000,$A218),IF(COUNTIFS('Pending Putaway'!$A$2:$A$3000,$K$2,'Pending Putaway'!$B$2:$B$3000,SUBSTITUTE($A218," SS","  SS"))&gt;0,SUMIFS('Pending Putaway'!$E$2:$E$3000,'Pending Putaway'!$A$2:$A$3000,$K$2,'Pending Putaway'!$B$2:$B$3000,SUBSTITUTE($A218," SS","  SS")),"NA"))</f>
        <v>0</v>
      </c>
      <c r="J218" s="81" t="n">
        <f aca="false">IF(COUNTIFS('Pending Putaway'!$A$2:$A$3000,$K$2,'Pending Putaway'!$B$2:$B$3000,$A218)&gt;0,SUMIFS('Pending Putaway'!$L$2:$L$3000,'Pending Putaway'!$A$2:$A$3000,$K$2,'Pending Putaway'!$B$2:$B$3000,$A218),IF(COUNTIFS('Pending Putaway'!$A$2:$A$3000,$K$2,'Pending Putaway'!$B$2:$B$3000,SUBSTITUTE($A218," SS","  SS"))&gt;0,SUMIFS('Pending Putaway'!$L$2:$L$3000,'Pending Putaway'!$A$2:$A$3000,$K$2,'Pending Putaway'!$B$2:$B$3000,SUBSTITUTE($A218," SS","  SS")),"NA"))</f>
        <v>0</v>
      </c>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row>
    <row r="219" customFormat="false" ht="15.75" hidden="false" customHeight="true" outlineLevel="0" collapsed="false">
      <c r="A219" s="81" t="s">
        <v>418</v>
      </c>
      <c r="B219" s="81" t="str">
        <f aca="false" t="array" ref="B219:B219">IFERROR(INDEX('CLM &amp; IM Mapping'!$B$2:$B$270,MATCH($A219,'CLM &amp; IM Mapping'!$A$2:$A$270,0)),"Not Mapped")</f>
        <v>Vishnu V</v>
      </c>
      <c r="C219" s="81" t="str">
        <f aca="false" t="array" ref="C219:C219">IFERROR(INDEX('CLM &amp; IM Mapping'!$C$2:$C$270,MATCH($A219,'CLM &amp; IM Mapping'!$A$2:$A$270,0)),"Not Mapped")</f>
        <v>Arivind S</v>
      </c>
      <c r="D219" s="82" t="n">
        <f aca="false">IF(COUNTIFS(Shrinkage!$A$2:$A$3000,$K$2,Shrinkage!$D$2:$D$3000,$A219)&gt;0,SUMIFS(Shrinkage!$P$2:$P$3000,Shrinkage!$A$2:$A$3000,$K$2,Shrinkage!$D$2:$D$3000,$A219),IF(COUNTIFS(Shrinkage!$A$2:$A$3000,$K$2,Shrinkage!$D$2:$D$3000,SUBSTITUTE($A219," SS","  SS"))&gt;0,SUMIFS(Shrinkage!$P$2:$P$3000,Shrinkage!$A$2:$A$3000,$K$2,Shrinkage!$D$2:$D$3000,SUBSTITUTE($A219," SS","  SS")),"NA"))</f>
        <v>-4043</v>
      </c>
      <c r="E219" s="83" t="n">
        <f aca="false">IF(COUNTIFS('Inventory Hygiene'!$A$2:$A$3000,$K$2,'Inventory Hygiene'!$B$2:$B$3000,$A219)&gt;0,AVERAGEIFS('Inventory Hygiene'!$J$2:$J$3000,'Inventory Hygiene'!$A$2:$A$3000,$K$2,'Inventory Hygiene'!$B$2:$B$3000,$A219),IF(COUNTIFS('Inventory Hygiene'!$A$2:$A$3000,$K$2,'Inventory Hygiene'!$B$2:$B$3000,SUBSTITUTE($A219," SS","  SS"))&gt;0,AVERAGEIFS('Inventory Hygiene'!$J$2:$J$3000,'Inventory Hygiene'!$A$2:$A$3000,$K$2,'Inventory Hygiene'!$B$2:$B$3000,SUBSTITUTE($A219," SS","  SS")),"NA"))</f>
        <v>0.49896694214876</v>
      </c>
      <c r="F219" s="81" t="n">
        <f aca="false">IF(COUNTIFS('Bad Bins'!$A$2:$A$3000,$K$2,'Bad Bins'!$B$2:$B$3000,$A219)&gt;0,SUMIFS('Bad Bins'!$K$2:$K$3000,'Bad Bins'!$A$2:$A$3000,$K$2,'Bad Bins'!$B$2:$B$3000,$A219),IF(COUNTIFS('Bad Bins'!$A$2:$A$3000,$K$2,'Bad Bins'!$B$2:$B$3000,SUBSTITUTE($A219," SS","  SS"))&gt;0,SUMIFS('Bad Bins'!$K$2:$K$3000,'Bad Bins'!$A$2:$A$3000,$K$2,'Bad Bins'!$B$2:$B$3000,SUBSTITUTE($A219," SS","  SS")),"NA"))</f>
        <v>9</v>
      </c>
      <c r="G219" s="81" t="str">
        <f aca="false">IF(COUNTIFS('RSTO &gt; 48hrs'!$A$2:$A$3000,$K$2,'RSTO &gt; 48hrs'!$B$2:$B$3000,$A219)&gt;0,SUMIFS('RSTO &gt; 48hrs'!$H$2:$H$3000,'RSTO &gt; 48hrs'!$A$2:$A$3000,$K$2,'RSTO &gt; 48hrs'!$B$2:$B$3000,$A219),IF(COUNTIFS('RSTO &gt; 48hrs'!$A$2:$A$3000,$K$2,'RSTO &gt; 48hrs'!$B$2:$B$3000,SUBSTITUTE($A219," SS","  SS"))&gt;0,SUMIFS('RSTO &gt; 48hrs'!$H$2:$H$3000,'RSTO &gt; 48hrs'!$A$2:$A$3000,$K$2,'RSTO &gt; 48hrs'!$B$2:$B$3000,SUBSTITUTE($A219," SS","  SS")),"NA"))</f>
        <v>NA</v>
      </c>
      <c r="H219" s="81" t="str">
        <f aca="false">IF(COUNTIFS('Recirculation &gt; 24 hrs'!$A$2:$A$3000,$K$2,'Recirculation &gt; 24 hrs'!$B$2:$B$3000,$A219)&gt;0,SUMIFS('Recirculation &gt; 24 hrs'!$K$2:$K$3000,'Recirculation &gt; 24 hrs'!$A$2:$A$3000,$K$2,'Recirculation &gt; 24 hrs'!$B$2:$B$3000,$A219),IF(COUNTIFS('Recirculation &gt; 24 hrs'!$A$2:$A$3000,$K$2,'Recirculation &gt; 24 hrs'!$B$2:$B$3000,SUBSTITUTE($A219," SS","  SS"))&gt;0,SUMIFS('Recirculation &gt; 24 hrs'!$K$2:$K$3000,'Recirculation &gt; 24 hrs'!$A$2:$A$3000,$K$2,'Recirculation &gt; 24 hrs'!$B$2:$B$3000,SUBSTITUTE($A219," SS","  SS")),"NA"))</f>
        <v>NA</v>
      </c>
      <c r="I219" s="81" t="n">
        <f aca="false">IF(COUNTIFS('Pending Putaway'!$A$2:$A$3000,$K$2,'Pending Putaway'!$B$2:$B$3000,$A219)&gt;0,SUMIFS('Pending Putaway'!$E$2:$E$3000,'Pending Putaway'!$A$2:$A$3000,$K$2,'Pending Putaway'!$B$2:$B$3000,$A219),IF(COUNTIFS('Pending Putaway'!$A$2:$A$3000,$K$2,'Pending Putaway'!$B$2:$B$3000,SUBSTITUTE($A219," SS","  SS"))&gt;0,SUMIFS('Pending Putaway'!$E$2:$E$3000,'Pending Putaway'!$A$2:$A$3000,$K$2,'Pending Putaway'!$B$2:$B$3000,SUBSTITUTE($A219," SS","  SS")),"NA"))</f>
        <v>584</v>
      </c>
      <c r="J219" s="81" t="n">
        <f aca="false">IF(COUNTIFS('Pending Putaway'!$A$2:$A$3000,$K$2,'Pending Putaway'!$B$2:$B$3000,$A219)&gt;0,SUMIFS('Pending Putaway'!$L$2:$L$3000,'Pending Putaway'!$A$2:$A$3000,$K$2,'Pending Putaway'!$B$2:$B$3000,$A219),IF(COUNTIFS('Pending Putaway'!$A$2:$A$3000,$K$2,'Pending Putaway'!$B$2:$B$3000,SUBSTITUTE($A219," SS","  SS"))&gt;0,SUMIFS('Pending Putaway'!$L$2:$L$3000,'Pending Putaway'!$A$2:$A$3000,$K$2,'Pending Putaway'!$B$2:$B$3000,SUBSTITUTE($A219," SS","  SS")),"NA"))</f>
        <v>584</v>
      </c>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row>
    <row r="220" customFormat="false" ht="15.75" hidden="false" customHeight="true" outlineLevel="0" collapsed="false">
      <c r="A220" s="81" t="s">
        <v>323</v>
      </c>
      <c r="B220" s="81" t="str">
        <f aca="false" t="array" ref="B220:B220">IFERROR(INDEX('CLM &amp; IM Mapping'!$B$2:$B$270,MATCH($A220,'CLM &amp; IM Mapping'!$A$2:$A$270,0)),"Not Mapped")</f>
        <v>Vishnu V</v>
      </c>
      <c r="C220" s="81" t="str">
        <f aca="false" t="array" ref="C220:C220">IFERROR(INDEX('CLM &amp; IM Mapping'!$C$2:$C$270,MATCH($A220,'CLM &amp; IM Mapping'!$A$2:$A$270,0)),"Not Mapped")</f>
        <v>Arivind S</v>
      </c>
      <c r="D220" s="82" t="n">
        <f aca="false">IF(COUNTIFS(Shrinkage!$A$2:$A$3000,$K$2,Shrinkage!$D$2:$D$3000,$A220)&gt;0,SUMIFS(Shrinkage!$P$2:$P$3000,Shrinkage!$A$2:$A$3000,$K$2,Shrinkage!$D$2:$D$3000,$A220),IF(COUNTIFS(Shrinkage!$A$2:$A$3000,$K$2,Shrinkage!$D$2:$D$3000,SUBSTITUTE($A220," SS","  SS"))&gt;0,SUMIFS(Shrinkage!$P$2:$P$3000,Shrinkage!$A$2:$A$3000,$K$2,Shrinkage!$D$2:$D$3000,SUBSTITUTE($A220," SS","  SS")),"NA"))</f>
        <v>7419</v>
      </c>
      <c r="E220" s="83" t="n">
        <f aca="false">IF(COUNTIFS('Inventory Hygiene'!$A$2:$A$3000,$K$2,'Inventory Hygiene'!$B$2:$B$3000,$A220)&gt;0,AVERAGEIFS('Inventory Hygiene'!$J$2:$J$3000,'Inventory Hygiene'!$A$2:$A$3000,$K$2,'Inventory Hygiene'!$B$2:$B$3000,$A220),IF(COUNTIFS('Inventory Hygiene'!$A$2:$A$3000,$K$2,'Inventory Hygiene'!$B$2:$B$3000,SUBSTITUTE($A220," SS","  SS"))&gt;0,AVERAGEIFS('Inventory Hygiene'!$J$2:$J$3000,'Inventory Hygiene'!$A$2:$A$3000,$K$2,'Inventory Hygiene'!$B$2:$B$3000,SUBSTITUTE($A220," SS","  SS")),"NA"))</f>
        <v>0.304728546409807</v>
      </c>
      <c r="F220" s="81" t="n">
        <f aca="false">IF(COUNTIFS('Bad Bins'!$A$2:$A$3000,$K$2,'Bad Bins'!$B$2:$B$3000,$A220)&gt;0,SUMIFS('Bad Bins'!$K$2:$K$3000,'Bad Bins'!$A$2:$A$3000,$K$2,'Bad Bins'!$B$2:$B$3000,$A220),IF(COUNTIFS('Bad Bins'!$A$2:$A$3000,$K$2,'Bad Bins'!$B$2:$B$3000,SUBSTITUTE($A220," SS","  SS"))&gt;0,SUMIFS('Bad Bins'!$K$2:$K$3000,'Bad Bins'!$A$2:$A$3000,$K$2,'Bad Bins'!$B$2:$B$3000,SUBSTITUTE($A220," SS","  SS")),"NA"))</f>
        <v>30</v>
      </c>
      <c r="G220" s="81" t="str">
        <f aca="false">IF(COUNTIFS('RSTO &gt; 48hrs'!$A$2:$A$3000,$K$2,'RSTO &gt; 48hrs'!$B$2:$B$3000,$A220)&gt;0,SUMIFS('RSTO &gt; 48hrs'!$H$2:$H$3000,'RSTO &gt; 48hrs'!$A$2:$A$3000,$K$2,'RSTO &gt; 48hrs'!$B$2:$B$3000,$A220),IF(COUNTIFS('RSTO &gt; 48hrs'!$A$2:$A$3000,$K$2,'RSTO &gt; 48hrs'!$B$2:$B$3000,SUBSTITUTE($A220," SS","  SS"))&gt;0,SUMIFS('RSTO &gt; 48hrs'!$H$2:$H$3000,'RSTO &gt; 48hrs'!$A$2:$A$3000,$K$2,'RSTO &gt; 48hrs'!$B$2:$B$3000,SUBSTITUTE($A220," SS","  SS")),"NA"))</f>
        <v>NA</v>
      </c>
      <c r="H220" s="81" t="str">
        <f aca="false">IF(COUNTIFS('Recirculation &gt; 24 hrs'!$A$2:$A$3000,$K$2,'Recirculation &gt; 24 hrs'!$B$2:$B$3000,$A220)&gt;0,SUMIFS('Recirculation &gt; 24 hrs'!$K$2:$K$3000,'Recirculation &gt; 24 hrs'!$A$2:$A$3000,$K$2,'Recirculation &gt; 24 hrs'!$B$2:$B$3000,$A220),IF(COUNTIFS('Recirculation &gt; 24 hrs'!$A$2:$A$3000,$K$2,'Recirculation &gt; 24 hrs'!$B$2:$B$3000,SUBSTITUTE($A220," SS","  SS"))&gt;0,SUMIFS('Recirculation &gt; 24 hrs'!$K$2:$K$3000,'Recirculation &gt; 24 hrs'!$A$2:$A$3000,$K$2,'Recirculation &gt; 24 hrs'!$B$2:$B$3000,SUBSTITUTE($A220," SS","  SS")),"NA"))</f>
        <v>NA</v>
      </c>
      <c r="I220" s="81" t="n">
        <f aca="false">IF(COUNTIFS('Pending Putaway'!$A$2:$A$3000,$K$2,'Pending Putaway'!$B$2:$B$3000,$A220)&gt;0,SUMIFS('Pending Putaway'!$E$2:$E$3000,'Pending Putaway'!$A$2:$A$3000,$K$2,'Pending Putaway'!$B$2:$B$3000,$A220),IF(COUNTIFS('Pending Putaway'!$A$2:$A$3000,$K$2,'Pending Putaway'!$B$2:$B$3000,SUBSTITUTE($A220," SS","  SS"))&gt;0,SUMIFS('Pending Putaway'!$E$2:$E$3000,'Pending Putaway'!$A$2:$A$3000,$K$2,'Pending Putaway'!$B$2:$B$3000,SUBSTITUTE($A220," SS","  SS")),"NA"))</f>
        <v>1</v>
      </c>
      <c r="J220" s="81" t="n">
        <f aca="false">IF(COUNTIFS('Pending Putaway'!$A$2:$A$3000,$K$2,'Pending Putaway'!$B$2:$B$3000,$A220)&gt;0,SUMIFS('Pending Putaway'!$L$2:$L$3000,'Pending Putaway'!$A$2:$A$3000,$K$2,'Pending Putaway'!$B$2:$B$3000,$A220),IF(COUNTIFS('Pending Putaway'!$A$2:$A$3000,$K$2,'Pending Putaway'!$B$2:$B$3000,SUBSTITUTE($A220," SS","  SS"))&gt;0,SUMIFS('Pending Putaway'!$L$2:$L$3000,'Pending Putaway'!$A$2:$A$3000,$K$2,'Pending Putaway'!$B$2:$B$3000,SUBSTITUTE($A220," SS","  SS")),"NA"))</f>
        <v>0</v>
      </c>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row>
    <row r="221" customFormat="false" ht="15.75" hidden="false" customHeight="true" outlineLevel="0" collapsed="false">
      <c r="A221" s="81" t="s">
        <v>478</v>
      </c>
      <c r="B221" s="81" t="str">
        <f aca="false" t="array" ref="B221:B221">IFERROR(INDEX('CLM &amp; IM Mapping'!$B$2:$B$270,MATCH($A221,'CLM &amp; IM Mapping'!$A$2:$A$270,0)),"Not Mapped")</f>
        <v>Vishnu V</v>
      </c>
      <c r="C221" s="81" t="str">
        <f aca="false" t="array" ref="C221:C221">IFERROR(INDEX('CLM &amp; IM Mapping'!$C$2:$C$270,MATCH($A221,'CLM &amp; IM Mapping'!$A$2:$A$270,0)),"Not Mapped")</f>
        <v>Arivind S</v>
      </c>
      <c r="D221" s="82" t="n">
        <f aca="false">IF(COUNTIFS(Shrinkage!$A$2:$A$3000,$K$2,Shrinkage!$D$2:$D$3000,$A221)&gt;0,SUMIFS(Shrinkage!$P$2:$P$3000,Shrinkage!$A$2:$A$3000,$K$2,Shrinkage!$D$2:$D$3000,$A221),IF(COUNTIFS(Shrinkage!$A$2:$A$3000,$K$2,Shrinkage!$D$2:$D$3000,SUBSTITUTE($A221," SS","  SS"))&gt;0,SUMIFS(Shrinkage!$P$2:$P$3000,Shrinkage!$A$2:$A$3000,$K$2,Shrinkage!$D$2:$D$3000,SUBSTITUTE($A221," SS","  SS")),"NA"))</f>
        <v>-30160</v>
      </c>
      <c r="E221" s="83" t="n">
        <f aca="false">IF(COUNTIFS('Inventory Hygiene'!$A$2:$A$3000,$K$2,'Inventory Hygiene'!$B$2:$B$3000,$A221)&gt;0,AVERAGEIFS('Inventory Hygiene'!$J$2:$J$3000,'Inventory Hygiene'!$A$2:$A$3000,$K$2,'Inventory Hygiene'!$B$2:$B$3000,$A221),IF(COUNTIFS('Inventory Hygiene'!$A$2:$A$3000,$K$2,'Inventory Hygiene'!$B$2:$B$3000,SUBSTITUTE($A221," SS","  SS"))&gt;0,AVERAGEIFS('Inventory Hygiene'!$J$2:$J$3000,'Inventory Hygiene'!$A$2:$A$3000,$K$2,'Inventory Hygiene'!$B$2:$B$3000,SUBSTITUTE($A221," SS","  SS")),"NA"))</f>
        <v>0.564698331193838</v>
      </c>
      <c r="F221" s="81" t="n">
        <f aca="false">IF(COUNTIFS('Bad Bins'!$A$2:$A$3000,$K$2,'Bad Bins'!$B$2:$B$3000,$A221)&gt;0,SUMIFS('Bad Bins'!$K$2:$K$3000,'Bad Bins'!$A$2:$A$3000,$K$2,'Bad Bins'!$B$2:$B$3000,$A221),IF(COUNTIFS('Bad Bins'!$A$2:$A$3000,$K$2,'Bad Bins'!$B$2:$B$3000,SUBSTITUTE($A221," SS","  SS"))&gt;0,SUMIFS('Bad Bins'!$K$2:$K$3000,'Bad Bins'!$A$2:$A$3000,$K$2,'Bad Bins'!$B$2:$B$3000,SUBSTITUTE($A221," SS","  SS")),"NA"))</f>
        <v>20</v>
      </c>
      <c r="G221" s="81" t="str">
        <f aca="false">IF(COUNTIFS('RSTO &gt; 48hrs'!$A$2:$A$3000,$K$2,'RSTO &gt; 48hrs'!$B$2:$B$3000,$A221)&gt;0,SUMIFS('RSTO &gt; 48hrs'!$H$2:$H$3000,'RSTO &gt; 48hrs'!$A$2:$A$3000,$K$2,'RSTO &gt; 48hrs'!$B$2:$B$3000,$A221),IF(COUNTIFS('RSTO &gt; 48hrs'!$A$2:$A$3000,$K$2,'RSTO &gt; 48hrs'!$B$2:$B$3000,SUBSTITUTE($A221," SS","  SS"))&gt;0,SUMIFS('RSTO &gt; 48hrs'!$H$2:$H$3000,'RSTO &gt; 48hrs'!$A$2:$A$3000,$K$2,'RSTO &gt; 48hrs'!$B$2:$B$3000,SUBSTITUTE($A221," SS","  SS")),"NA"))</f>
        <v>NA</v>
      </c>
      <c r="H221" s="81" t="str">
        <f aca="false">IF(COUNTIFS('Recirculation &gt; 24 hrs'!$A$2:$A$3000,$K$2,'Recirculation &gt; 24 hrs'!$B$2:$B$3000,$A221)&gt;0,SUMIFS('Recirculation &gt; 24 hrs'!$K$2:$K$3000,'Recirculation &gt; 24 hrs'!$A$2:$A$3000,$K$2,'Recirculation &gt; 24 hrs'!$B$2:$B$3000,$A221),IF(COUNTIFS('Recirculation &gt; 24 hrs'!$A$2:$A$3000,$K$2,'Recirculation &gt; 24 hrs'!$B$2:$B$3000,SUBSTITUTE($A221," SS","  SS"))&gt;0,SUMIFS('Recirculation &gt; 24 hrs'!$K$2:$K$3000,'Recirculation &gt; 24 hrs'!$A$2:$A$3000,$K$2,'Recirculation &gt; 24 hrs'!$B$2:$B$3000,SUBSTITUTE($A221," SS","  SS")),"NA"))</f>
        <v>NA</v>
      </c>
      <c r="I221" s="81" t="n">
        <f aca="false">IF(COUNTIFS('Pending Putaway'!$A$2:$A$3000,$K$2,'Pending Putaway'!$B$2:$B$3000,$A221)&gt;0,SUMIFS('Pending Putaway'!$E$2:$E$3000,'Pending Putaway'!$A$2:$A$3000,$K$2,'Pending Putaway'!$B$2:$B$3000,$A221),IF(COUNTIFS('Pending Putaway'!$A$2:$A$3000,$K$2,'Pending Putaway'!$B$2:$B$3000,SUBSTITUTE($A221," SS","  SS"))&gt;0,SUMIFS('Pending Putaway'!$E$2:$E$3000,'Pending Putaway'!$A$2:$A$3000,$K$2,'Pending Putaway'!$B$2:$B$3000,SUBSTITUTE($A221," SS","  SS")),"NA"))</f>
        <v>594</v>
      </c>
      <c r="J221" s="81" t="n">
        <f aca="false">IF(COUNTIFS('Pending Putaway'!$A$2:$A$3000,$K$2,'Pending Putaway'!$B$2:$B$3000,$A221)&gt;0,SUMIFS('Pending Putaway'!$L$2:$L$3000,'Pending Putaway'!$A$2:$A$3000,$K$2,'Pending Putaway'!$B$2:$B$3000,$A221),IF(COUNTIFS('Pending Putaway'!$A$2:$A$3000,$K$2,'Pending Putaway'!$B$2:$B$3000,SUBSTITUTE($A221," SS","  SS"))&gt;0,SUMIFS('Pending Putaway'!$L$2:$L$3000,'Pending Putaway'!$A$2:$A$3000,$K$2,'Pending Putaway'!$B$2:$B$3000,SUBSTITUTE($A221," SS","  SS")),"NA"))</f>
        <v>594</v>
      </c>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row>
    <row r="222" customFormat="false" ht="15.75" hidden="false" customHeight="true" outlineLevel="0" collapsed="false">
      <c r="A222" s="81" t="s">
        <v>431</v>
      </c>
      <c r="B222" s="81" t="str">
        <f aca="false" t="array" ref="B222:B222">IFERROR(INDEX('CLM &amp; IM Mapping'!$B$2:$B$270,MATCH($A222,'CLM &amp; IM Mapping'!$A$2:$A$270,0)),"Not Mapped")</f>
        <v>Vishnu V</v>
      </c>
      <c r="C222" s="81" t="str">
        <f aca="false" t="array" ref="C222:C222">IFERROR(INDEX('CLM &amp; IM Mapping'!$C$2:$C$270,MATCH($A222,'CLM &amp; IM Mapping'!$A$2:$A$270,0)),"Not Mapped")</f>
        <v>Arivind S</v>
      </c>
      <c r="D222" s="82" t="n">
        <f aca="false">IF(COUNTIFS(Shrinkage!$A$2:$A$3000,$K$2,Shrinkage!$D$2:$D$3000,$A222)&gt;0,SUMIFS(Shrinkage!$P$2:$P$3000,Shrinkage!$A$2:$A$3000,$K$2,Shrinkage!$D$2:$D$3000,$A222),IF(COUNTIFS(Shrinkage!$A$2:$A$3000,$K$2,Shrinkage!$D$2:$D$3000,SUBSTITUTE($A222," SS","  SS"))&gt;0,SUMIFS(Shrinkage!$P$2:$P$3000,Shrinkage!$A$2:$A$3000,$K$2,Shrinkage!$D$2:$D$3000,SUBSTITUTE($A222," SS","  SS")),"NA"))</f>
        <v>-5327</v>
      </c>
      <c r="E222" s="83" t="n">
        <f aca="false">IF(COUNTIFS('Inventory Hygiene'!$A$2:$A$3000,$K$2,'Inventory Hygiene'!$B$2:$B$3000,$A222)&gt;0,AVERAGEIFS('Inventory Hygiene'!$J$2:$J$3000,'Inventory Hygiene'!$A$2:$A$3000,$K$2,'Inventory Hygiene'!$B$2:$B$3000,$A222),IF(COUNTIFS('Inventory Hygiene'!$A$2:$A$3000,$K$2,'Inventory Hygiene'!$B$2:$B$3000,SUBSTITUTE($A222," SS","  SS"))&gt;0,AVERAGEIFS('Inventory Hygiene'!$J$2:$J$3000,'Inventory Hygiene'!$A$2:$A$3000,$K$2,'Inventory Hygiene'!$B$2:$B$3000,SUBSTITUTE($A222," SS","  SS")),"NA"))</f>
        <v>0.865963566634708</v>
      </c>
      <c r="F222" s="81" t="n">
        <f aca="false">IF(COUNTIFS('Bad Bins'!$A$2:$A$3000,$K$2,'Bad Bins'!$B$2:$B$3000,$A222)&gt;0,SUMIFS('Bad Bins'!$K$2:$K$3000,'Bad Bins'!$A$2:$A$3000,$K$2,'Bad Bins'!$B$2:$B$3000,$A222),IF(COUNTIFS('Bad Bins'!$A$2:$A$3000,$K$2,'Bad Bins'!$B$2:$B$3000,SUBSTITUTE($A222," SS","  SS"))&gt;0,SUMIFS('Bad Bins'!$K$2:$K$3000,'Bad Bins'!$A$2:$A$3000,$K$2,'Bad Bins'!$B$2:$B$3000,SUBSTITUTE($A222," SS","  SS")),"NA"))</f>
        <v>2</v>
      </c>
      <c r="G222" s="81" t="str">
        <f aca="false">IF(COUNTIFS('RSTO &gt; 48hrs'!$A$2:$A$3000,$K$2,'RSTO &gt; 48hrs'!$B$2:$B$3000,$A222)&gt;0,SUMIFS('RSTO &gt; 48hrs'!$H$2:$H$3000,'RSTO &gt; 48hrs'!$A$2:$A$3000,$K$2,'RSTO &gt; 48hrs'!$B$2:$B$3000,$A222),IF(COUNTIFS('RSTO &gt; 48hrs'!$A$2:$A$3000,$K$2,'RSTO &gt; 48hrs'!$B$2:$B$3000,SUBSTITUTE($A222," SS","  SS"))&gt;0,SUMIFS('RSTO &gt; 48hrs'!$H$2:$H$3000,'RSTO &gt; 48hrs'!$A$2:$A$3000,$K$2,'RSTO &gt; 48hrs'!$B$2:$B$3000,SUBSTITUTE($A222," SS","  SS")),"NA"))</f>
        <v>NA</v>
      </c>
      <c r="H222" s="81" t="str">
        <f aca="false">IF(COUNTIFS('Recirculation &gt; 24 hrs'!$A$2:$A$3000,$K$2,'Recirculation &gt; 24 hrs'!$B$2:$B$3000,$A222)&gt;0,SUMIFS('Recirculation &gt; 24 hrs'!$K$2:$K$3000,'Recirculation &gt; 24 hrs'!$A$2:$A$3000,$K$2,'Recirculation &gt; 24 hrs'!$B$2:$B$3000,$A222),IF(COUNTIFS('Recirculation &gt; 24 hrs'!$A$2:$A$3000,$K$2,'Recirculation &gt; 24 hrs'!$B$2:$B$3000,SUBSTITUTE($A222," SS","  SS"))&gt;0,SUMIFS('Recirculation &gt; 24 hrs'!$K$2:$K$3000,'Recirculation &gt; 24 hrs'!$A$2:$A$3000,$K$2,'Recirculation &gt; 24 hrs'!$B$2:$B$3000,SUBSTITUTE($A222," SS","  SS")),"NA"))</f>
        <v>NA</v>
      </c>
      <c r="I222" s="81" t="n">
        <f aca="false">IF(COUNTIFS('Pending Putaway'!$A$2:$A$3000,$K$2,'Pending Putaway'!$B$2:$B$3000,$A222)&gt;0,SUMIFS('Pending Putaway'!$E$2:$E$3000,'Pending Putaway'!$A$2:$A$3000,$K$2,'Pending Putaway'!$B$2:$B$3000,$A222),IF(COUNTIFS('Pending Putaway'!$A$2:$A$3000,$K$2,'Pending Putaway'!$B$2:$B$3000,SUBSTITUTE($A222," SS","  SS"))&gt;0,SUMIFS('Pending Putaway'!$E$2:$E$3000,'Pending Putaway'!$A$2:$A$3000,$K$2,'Pending Putaway'!$B$2:$B$3000,SUBSTITUTE($A222," SS","  SS")),"NA"))</f>
        <v>0</v>
      </c>
      <c r="J222" s="81" t="n">
        <f aca="false">IF(COUNTIFS('Pending Putaway'!$A$2:$A$3000,$K$2,'Pending Putaway'!$B$2:$B$3000,$A222)&gt;0,SUMIFS('Pending Putaway'!$L$2:$L$3000,'Pending Putaway'!$A$2:$A$3000,$K$2,'Pending Putaway'!$B$2:$B$3000,$A222),IF(COUNTIFS('Pending Putaway'!$A$2:$A$3000,$K$2,'Pending Putaway'!$B$2:$B$3000,SUBSTITUTE($A222," SS","  SS"))&gt;0,SUMIFS('Pending Putaway'!$L$2:$L$3000,'Pending Putaway'!$A$2:$A$3000,$K$2,'Pending Putaway'!$B$2:$B$3000,SUBSTITUTE($A222," SS","  SS")),"NA"))</f>
        <v>0</v>
      </c>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row>
    <row r="223" customFormat="false" ht="15.75" hidden="false" customHeight="true" outlineLevel="0" collapsed="false">
      <c r="A223" s="81" t="s">
        <v>252</v>
      </c>
      <c r="B223" s="81" t="str">
        <f aca="false" t="array" ref="B223:B223">IFERROR(INDEX('CLM &amp; IM Mapping'!$B$2:$B$270,MATCH($A223,'CLM &amp; IM Mapping'!$A$2:$A$270,0)),"Not Mapped")</f>
        <v>Vishnu V</v>
      </c>
      <c r="C223" s="81" t="str">
        <f aca="false" t="array" ref="C223:C223">IFERROR(INDEX('CLM &amp; IM Mapping'!$C$2:$C$270,MATCH($A223,'CLM &amp; IM Mapping'!$A$2:$A$270,0)),"Not Mapped")</f>
        <v>Arivind S</v>
      </c>
      <c r="D223" s="82" t="n">
        <f aca="false">IF(COUNTIFS(Shrinkage!$A$2:$A$3000,$K$2,Shrinkage!$D$2:$D$3000,$A223)&gt;0,SUMIFS(Shrinkage!$P$2:$P$3000,Shrinkage!$A$2:$A$3000,$K$2,Shrinkage!$D$2:$D$3000,$A223),IF(COUNTIFS(Shrinkage!$A$2:$A$3000,$K$2,Shrinkage!$D$2:$D$3000,SUBSTITUTE($A223," SS","  SS"))&gt;0,SUMIFS(Shrinkage!$P$2:$P$3000,Shrinkage!$A$2:$A$3000,$K$2,Shrinkage!$D$2:$D$3000,SUBSTITUTE($A223," SS","  SS")),"NA"))</f>
        <v>7812</v>
      </c>
      <c r="E223" s="83" t="n">
        <f aca="false">IF(COUNTIFS('Inventory Hygiene'!$A$2:$A$3000,$K$2,'Inventory Hygiene'!$B$2:$B$3000,$A223)&gt;0,AVERAGEIFS('Inventory Hygiene'!$J$2:$J$3000,'Inventory Hygiene'!$A$2:$A$3000,$K$2,'Inventory Hygiene'!$B$2:$B$3000,$A223),IF(COUNTIFS('Inventory Hygiene'!$A$2:$A$3000,$K$2,'Inventory Hygiene'!$B$2:$B$3000,SUBSTITUTE($A223," SS","  SS"))&gt;0,AVERAGEIFS('Inventory Hygiene'!$J$2:$J$3000,'Inventory Hygiene'!$A$2:$A$3000,$K$2,'Inventory Hygiene'!$B$2:$B$3000,SUBSTITUTE($A223," SS","  SS")),"NA"))</f>
        <v>0.329178284402165</v>
      </c>
      <c r="F223" s="81" t="n">
        <f aca="false">IF(COUNTIFS('Bad Bins'!$A$2:$A$3000,$K$2,'Bad Bins'!$B$2:$B$3000,$A223)&gt;0,SUMIFS('Bad Bins'!$K$2:$K$3000,'Bad Bins'!$A$2:$A$3000,$K$2,'Bad Bins'!$B$2:$B$3000,$A223),IF(COUNTIFS('Bad Bins'!$A$2:$A$3000,$K$2,'Bad Bins'!$B$2:$B$3000,SUBSTITUTE($A223," SS","  SS"))&gt;0,SUMIFS('Bad Bins'!$K$2:$K$3000,'Bad Bins'!$A$2:$A$3000,$K$2,'Bad Bins'!$B$2:$B$3000,SUBSTITUTE($A223," SS","  SS")),"NA"))</f>
        <v>59</v>
      </c>
      <c r="G223" s="81" t="str">
        <f aca="false">IF(COUNTIFS('RSTO &gt; 48hrs'!$A$2:$A$3000,$K$2,'RSTO &gt; 48hrs'!$B$2:$B$3000,$A223)&gt;0,SUMIFS('RSTO &gt; 48hrs'!$H$2:$H$3000,'RSTO &gt; 48hrs'!$A$2:$A$3000,$K$2,'RSTO &gt; 48hrs'!$B$2:$B$3000,$A223),IF(COUNTIFS('RSTO &gt; 48hrs'!$A$2:$A$3000,$K$2,'RSTO &gt; 48hrs'!$B$2:$B$3000,SUBSTITUTE($A223," SS","  SS"))&gt;0,SUMIFS('RSTO &gt; 48hrs'!$H$2:$H$3000,'RSTO &gt; 48hrs'!$A$2:$A$3000,$K$2,'RSTO &gt; 48hrs'!$B$2:$B$3000,SUBSTITUTE($A223," SS","  SS")),"NA"))</f>
        <v>NA</v>
      </c>
      <c r="H223" s="81" t="str">
        <f aca="false">IF(COUNTIFS('Recirculation &gt; 24 hrs'!$A$2:$A$3000,$K$2,'Recirculation &gt; 24 hrs'!$B$2:$B$3000,$A223)&gt;0,SUMIFS('Recirculation &gt; 24 hrs'!$K$2:$K$3000,'Recirculation &gt; 24 hrs'!$A$2:$A$3000,$K$2,'Recirculation &gt; 24 hrs'!$B$2:$B$3000,$A223),IF(COUNTIFS('Recirculation &gt; 24 hrs'!$A$2:$A$3000,$K$2,'Recirculation &gt; 24 hrs'!$B$2:$B$3000,SUBSTITUTE($A223," SS","  SS"))&gt;0,SUMIFS('Recirculation &gt; 24 hrs'!$K$2:$K$3000,'Recirculation &gt; 24 hrs'!$A$2:$A$3000,$K$2,'Recirculation &gt; 24 hrs'!$B$2:$B$3000,SUBSTITUTE($A223," SS","  SS")),"NA"))</f>
        <v>NA</v>
      </c>
      <c r="I223" s="81" t="n">
        <f aca="false">IF(COUNTIFS('Pending Putaway'!$A$2:$A$3000,$K$2,'Pending Putaway'!$B$2:$B$3000,$A223)&gt;0,SUMIFS('Pending Putaway'!$E$2:$E$3000,'Pending Putaway'!$A$2:$A$3000,$K$2,'Pending Putaway'!$B$2:$B$3000,$A223),IF(COUNTIFS('Pending Putaway'!$A$2:$A$3000,$K$2,'Pending Putaway'!$B$2:$B$3000,SUBSTITUTE($A223," SS","  SS"))&gt;0,SUMIFS('Pending Putaway'!$E$2:$E$3000,'Pending Putaway'!$A$2:$A$3000,$K$2,'Pending Putaway'!$B$2:$B$3000,SUBSTITUTE($A223," SS","  SS")),"NA"))</f>
        <v>2347</v>
      </c>
      <c r="J223" s="81" t="n">
        <f aca="false">IF(COUNTIFS('Pending Putaway'!$A$2:$A$3000,$K$2,'Pending Putaway'!$B$2:$B$3000,$A223)&gt;0,SUMIFS('Pending Putaway'!$L$2:$L$3000,'Pending Putaway'!$A$2:$A$3000,$K$2,'Pending Putaway'!$B$2:$B$3000,$A223),IF(COUNTIFS('Pending Putaway'!$A$2:$A$3000,$K$2,'Pending Putaway'!$B$2:$B$3000,SUBSTITUTE($A223," SS","  SS"))&gt;0,SUMIFS('Pending Putaway'!$L$2:$L$3000,'Pending Putaway'!$A$2:$A$3000,$K$2,'Pending Putaway'!$B$2:$B$3000,SUBSTITUTE($A223," SS","  SS")),"NA"))</f>
        <v>2036</v>
      </c>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row>
    <row r="224" customFormat="false" ht="15.75" hidden="false" customHeight="true" outlineLevel="0" collapsed="false">
      <c r="A224" s="81" t="s">
        <v>470</v>
      </c>
      <c r="B224" s="81" t="str">
        <f aca="false" t="array" ref="B224:B224">IFERROR(INDEX('CLM &amp; IM Mapping'!$B$2:$B$270,MATCH($A224,'CLM &amp; IM Mapping'!$A$2:$A$270,0)),"Not Mapped")</f>
        <v>Vishnu V</v>
      </c>
      <c r="C224" s="81" t="str">
        <f aca="false" t="array" ref="C224:C224">IFERROR(INDEX('CLM &amp; IM Mapping'!$C$2:$C$270,MATCH($A224,'CLM &amp; IM Mapping'!$A$2:$A$270,0)),"Not Mapped")</f>
        <v>Arivind S</v>
      </c>
      <c r="D224" s="82" t="n">
        <f aca="false">IF(COUNTIFS(Shrinkage!$A$2:$A$3000,$K$2,Shrinkage!$D$2:$D$3000,$A224)&gt;0,SUMIFS(Shrinkage!$P$2:$P$3000,Shrinkage!$A$2:$A$3000,$K$2,Shrinkage!$D$2:$D$3000,$A224),IF(COUNTIFS(Shrinkage!$A$2:$A$3000,$K$2,Shrinkage!$D$2:$D$3000,SUBSTITUTE($A224," SS","  SS"))&gt;0,SUMIFS(Shrinkage!$P$2:$P$3000,Shrinkage!$A$2:$A$3000,$K$2,Shrinkage!$D$2:$D$3000,SUBSTITUTE($A224," SS","  SS")),"NA"))</f>
        <v>-10932</v>
      </c>
      <c r="E224" s="83" t="n">
        <f aca="false">IF(COUNTIFS('Inventory Hygiene'!$A$2:$A$3000,$K$2,'Inventory Hygiene'!$B$2:$B$3000,$A224)&gt;0,AVERAGEIFS('Inventory Hygiene'!$J$2:$J$3000,'Inventory Hygiene'!$A$2:$A$3000,$K$2,'Inventory Hygiene'!$B$2:$B$3000,$A224),IF(COUNTIFS('Inventory Hygiene'!$A$2:$A$3000,$K$2,'Inventory Hygiene'!$B$2:$B$3000,SUBSTITUTE($A224," SS","  SS"))&gt;0,AVERAGEIFS('Inventory Hygiene'!$J$2:$J$3000,'Inventory Hygiene'!$A$2:$A$3000,$K$2,'Inventory Hygiene'!$B$2:$B$3000,SUBSTITUTE($A224," SS","  SS")),"NA"))</f>
        <v>0.755141870590002</v>
      </c>
      <c r="F224" s="81" t="n">
        <f aca="false">IF(COUNTIFS('Bad Bins'!$A$2:$A$3000,$K$2,'Bad Bins'!$B$2:$B$3000,$A224)&gt;0,SUMIFS('Bad Bins'!$K$2:$K$3000,'Bad Bins'!$A$2:$A$3000,$K$2,'Bad Bins'!$B$2:$B$3000,$A224),IF(COUNTIFS('Bad Bins'!$A$2:$A$3000,$K$2,'Bad Bins'!$B$2:$B$3000,SUBSTITUTE($A224," SS","  SS"))&gt;0,SUMIFS('Bad Bins'!$K$2:$K$3000,'Bad Bins'!$A$2:$A$3000,$K$2,'Bad Bins'!$B$2:$B$3000,SUBSTITUTE($A224," SS","  SS")),"NA"))</f>
        <v>44</v>
      </c>
      <c r="G224" s="81" t="str">
        <f aca="false">IF(COUNTIFS('RSTO &gt; 48hrs'!$A$2:$A$3000,$K$2,'RSTO &gt; 48hrs'!$B$2:$B$3000,$A224)&gt;0,SUMIFS('RSTO &gt; 48hrs'!$H$2:$H$3000,'RSTO &gt; 48hrs'!$A$2:$A$3000,$K$2,'RSTO &gt; 48hrs'!$B$2:$B$3000,$A224),IF(COUNTIFS('RSTO &gt; 48hrs'!$A$2:$A$3000,$K$2,'RSTO &gt; 48hrs'!$B$2:$B$3000,SUBSTITUTE($A224," SS","  SS"))&gt;0,SUMIFS('RSTO &gt; 48hrs'!$H$2:$H$3000,'RSTO &gt; 48hrs'!$A$2:$A$3000,$K$2,'RSTO &gt; 48hrs'!$B$2:$B$3000,SUBSTITUTE($A224," SS","  SS")),"NA"))</f>
        <v>NA</v>
      </c>
      <c r="H224" s="81" t="str">
        <f aca="false">IF(COUNTIFS('Recirculation &gt; 24 hrs'!$A$2:$A$3000,$K$2,'Recirculation &gt; 24 hrs'!$B$2:$B$3000,$A224)&gt;0,SUMIFS('Recirculation &gt; 24 hrs'!$K$2:$K$3000,'Recirculation &gt; 24 hrs'!$A$2:$A$3000,$K$2,'Recirculation &gt; 24 hrs'!$B$2:$B$3000,$A224),IF(COUNTIFS('Recirculation &gt; 24 hrs'!$A$2:$A$3000,$K$2,'Recirculation &gt; 24 hrs'!$B$2:$B$3000,SUBSTITUTE($A224," SS","  SS"))&gt;0,SUMIFS('Recirculation &gt; 24 hrs'!$K$2:$K$3000,'Recirculation &gt; 24 hrs'!$A$2:$A$3000,$K$2,'Recirculation &gt; 24 hrs'!$B$2:$B$3000,SUBSTITUTE($A224," SS","  SS")),"NA"))</f>
        <v>NA</v>
      </c>
      <c r="I224" s="81" t="n">
        <f aca="false">IF(COUNTIFS('Pending Putaway'!$A$2:$A$3000,$K$2,'Pending Putaway'!$B$2:$B$3000,$A224)&gt;0,SUMIFS('Pending Putaway'!$E$2:$E$3000,'Pending Putaway'!$A$2:$A$3000,$K$2,'Pending Putaway'!$B$2:$B$3000,$A224),IF(COUNTIFS('Pending Putaway'!$A$2:$A$3000,$K$2,'Pending Putaway'!$B$2:$B$3000,SUBSTITUTE($A224," SS","  SS"))&gt;0,SUMIFS('Pending Putaway'!$E$2:$E$3000,'Pending Putaway'!$A$2:$A$3000,$K$2,'Pending Putaway'!$B$2:$B$3000,SUBSTITUTE($A224," SS","  SS")),"NA"))</f>
        <v>420</v>
      </c>
      <c r="J224" s="81" t="n">
        <f aca="false">IF(COUNTIFS('Pending Putaway'!$A$2:$A$3000,$K$2,'Pending Putaway'!$B$2:$B$3000,$A224)&gt;0,SUMIFS('Pending Putaway'!$L$2:$L$3000,'Pending Putaway'!$A$2:$A$3000,$K$2,'Pending Putaway'!$B$2:$B$3000,$A224),IF(COUNTIFS('Pending Putaway'!$A$2:$A$3000,$K$2,'Pending Putaway'!$B$2:$B$3000,SUBSTITUTE($A224," SS","  SS"))&gt;0,SUMIFS('Pending Putaway'!$L$2:$L$3000,'Pending Putaway'!$A$2:$A$3000,$K$2,'Pending Putaway'!$B$2:$B$3000,SUBSTITUTE($A224," SS","  SS")),"NA"))</f>
        <v>420</v>
      </c>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row>
    <row r="225" customFormat="false" ht="15.75" hidden="false" customHeight="true" outlineLevel="0" collapsed="false">
      <c r="A225" s="81" t="s">
        <v>411</v>
      </c>
      <c r="B225" s="81" t="str">
        <f aca="false" t="array" ref="B225:B225">IFERROR(INDEX('CLM &amp; IM Mapping'!$B$2:$B$270,MATCH($A225,'CLM &amp; IM Mapping'!$A$2:$A$270,0)),"Not Mapped")</f>
        <v>Vishnu V</v>
      </c>
      <c r="C225" s="81" t="str">
        <f aca="false" t="array" ref="C225:C225">IFERROR(INDEX('CLM &amp; IM Mapping'!$C$2:$C$270,MATCH($A225,'CLM &amp; IM Mapping'!$A$2:$A$270,0)),"Not Mapped")</f>
        <v>Arivind S</v>
      </c>
      <c r="D225" s="82" t="n">
        <f aca="false">IF(COUNTIFS(Shrinkage!$A$2:$A$3000,$K$2,Shrinkage!$D$2:$D$3000,$A225)&gt;0,SUMIFS(Shrinkage!$P$2:$P$3000,Shrinkage!$A$2:$A$3000,$K$2,Shrinkage!$D$2:$D$3000,$A225),IF(COUNTIFS(Shrinkage!$A$2:$A$3000,$K$2,Shrinkage!$D$2:$D$3000,SUBSTITUTE($A225," SS","  SS"))&gt;0,SUMIFS(Shrinkage!$P$2:$P$3000,Shrinkage!$A$2:$A$3000,$K$2,Shrinkage!$D$2:$D$3000,SUBSTITUTE($A225," SS","  SS")),"NA"))</f>
        <v>-5770</v>
      </c>
      <c r="E225" s="83" t="n">
        <f aca="false">IF(COUNTIFS('Inventory Hygiene'!$A$2:$A$3000,$K$2,'Inventory Hygiene'!$B$2:$B$3000,$A225)&gt;0,AVERAGEIFS('Inventory Hygiene'!$J$2:$J$3000,'Inventory Hygiene'!$A$2:$A$3000,$K$2,'Inventory Hygiene'!$B$2:$B$3000,$A225),IF(COUNTIFS('Inventory Hygiene'!$A$2:$A$3000,$K$2,'Inventory Hygiene'!$B$2:$B$3000,SUBSTITUTE($A225," SS","  SS"))&gt;0,AVERAGEIFS('Inventory Hygiene'!$J$2:$J$3000,'Inventory Hygiene'!$A$2:$A$3000,$K$2,'Inventory Hygiene'!$B$2:$B$3000,SUBSTITUTE($A225," SS","  SS")),"NA"))</f>
        <v>0.831528046421663</v>
      </c>
      <c r="F225" s="81" t="n">
        <f aca="false">IF(COUNTIFS('Bad Bins'!$A$2:$A$3000,$K$2,'Bad Bins'!$B$2:$B$3000,$A225)&gt;0,SUMIFS('Bad Bins'!$K$2:$K$3000,'Bad Bins'!$A$2:$A$3000,$K$2,'Bad Bins'!$B$2:$B$3000,$A225),IF(COUNTIFS('Bad Bins'!$A$2:$A$3000,$K$2,'Bad Bins'!$B$2:$B$3000,SUBSTITUTE($A225," SS","  SS"))&gt;0,SUMIFS('Bad Bins'!$K$2:$K$3000,'Bad Bins'!$A$2:$A$3000,$K$2,'Bad Bins'!$B$2:$B$3000,SUBSTITUTE($A225," SS","  SS")),"NA"))</f>
        <v>85</v>
      </c>
      <c r="G225" s="81" t="str">
        <f aca="false">IF(COUNTIFS('RSTO &gt; 48hrs'!$A$2:$A$3000,$K$2,'RSTO &gt; 48hrs'!$B$2:$B$3000,$A225)&gt;0,SUMIFS('RSTO &gt; 48hrs'!$H$2:$H$3000,'RSTO &gt; 48hrs'!$A$2:$A$3000,$K$2,'RSTO &gt; 48hrs'!$B$2:$B$3000,$A225),IF(COUNTIFS('RSTO &gt; 48hrs'!$A$2:$A$3000,$K$2,'RSTO &gt; 48hrs'!$B$2:$B$3000,SUBSTITUTE($A225," SS","  SS"))&gt;0,SUMIFS('RSTO &gt; 48hrs'!$H$2:$H$3000,'RSTO &gt; 48hrs'!$A$2:$A$3000,$K$2,'RSTO &gt; 48hrs'!$B$2:$B$3000,SUBSTITUTE($A225," SS","  SS")),"NA"))</f>
        <v>NA</v>
      </c>
      <c r="H225" s="81" t="str">
        <f aca="false">IF(COUNTIFS('Recirculation &gt; 24 hrs'!$A$2:$A$3000,$K$2,'Recirculation &gt; 24 hrs'!$B$2:$B$3000,$A225)&gt;0,SUMIFS('Recirculation &gt; 24 hrs'!$K$2:$K$3000,'Recirculation &gt; 24 hrs'!$A$2:$A$3000,$K$2,'Recirculation &gt; 24 hrs'!$B$2:$B$3000,$A225),IF(COUNTIFS('Recirculation &gt; 24 hrs'!$A$2:$A$3000,$K$2,'Recirculation &gt; 24 hrs'!$B$2:$B$3000,SUBSTITUTE($A225," SS","  SS"))&gt;0,SUMIFS('Recirculation &gt; 24 hrs'!$K$2:$K$3000,'Recirculation &gt; 24 hrs'!$A$2:$A$3000,$K$2,'Recirculation &gt; 24 hrs'!$B$2:$B$3000,SUBSTITUTE($A225," SS","  SS")),"NA"))</f>
        <v>NA</v>
      </c>
      <c r="I225" s="81" t="n">
        <f aca="false">IF(COUNTIFS('Pending Putaway'!$A$2:$A$3000,$K$2,'Pending Putaway'!$B$2:$B$3000,$A225)&gt;0,SUMIFS('Pending Putaway'!$E$2:$E$3000,'Pending Putaway'!$A$2:$A$3000,$K$2,'Pending Putaway'!$B$2:$B$3000,$A225),IF(COUNTIFS('Pending Putaway'!$A$2:$A$3000,$K$2,'Pending Putaway'!$B$2:$B$3000,SUBSTITUTE($A225," SS","  SS"))&gt;0,SUMIFS('Pending Putaway'!$E$2:$E$3000,'Pending Putaway'!$A$2:$A$3000,$K$2,'Pending Putaway'!$B$2:$B$3000,SUBSTITUTE($A225," SS","  SS")),"NA"))</f>
        <v>1653</v>
      </c>
      <c r="J225" s="81" t="n">
        <f aca="false">IF(COUNTIFS('Pending Putaway'!$A$2:$A$3000,$K$2,'Pending Putaway'!$B$2:$B$3000,$A225)&gt;0,SUMIFS('Pending Putaway'!$L$2:$L$3000,'Pending Putaway'!$A$2:$A$3000,$K$2,'Pending Putaway'!$B$2:$B$3000,$A225),IF(COUNTIFS('Pending Putaway'!$A$2:$A$3000,$K$2,'Pending Putaway'!$B$2:$B$3000,SUBSTITUTE($A225," SS","  SS"))&gt;0,SUMIFS('Pending Putaway'!$L$2:$L$3000,'Pending Putaway'!$A$2:$A$3000,$K$2,'Pending Putaway'!$B$2:$B$3000,SUBSTITUTE($A225," SS","  SS")),"NA"))</f>
        <v>4</v>
      </c>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row>
    <row r="226" customFormat="false" ht="15.75" hidden="false" customHeight="true" outlineLevel="0" collapsed="false">
      <c r="A226" s="81" t="s">
        <v>224</v>
      </c>
      <c r="B226" s="81" t="str">
        <f aca="false" t="array" ref="B226:B226">IFERROR(INDEX('CLM &amp; IM Mapping'!$B$2:$B$270,MATCH($A226,'CLM &amp; IM Mapping'!$A$2:$A$270,0)),"Not Mapped")</f>
        <v>Vishnu V</v>
      </c>
      <c r="C226" s="81" t="str">
        <f aca="false" t="array" ref="C226:C226">IFERROR(INDEX('CLM &amp; IM Mapping'!$C$2:$C$270,MATCH($A226,'CLM &amp; IM Mapping'!$A$2:$A$270,0)),"Not Mapped")</f>
        <v>Arivind S</v>
      </c>
      <c r="D226" s="82" t="n">
        <f aca="false">IF(COUNTIFS(Shrinkage!$A$2:$A$3000,$K$2,Shrinkage!$D$2:$D$3000,$A226)&gt;0,SUMIFS(Shrinkage!$P$2:$P$3000,Shrinkage!$A$2:$A$3000,$K$2,Shrinkage!$D$2:$D$3000,$A226),IF(COUNTIFS(Shrinkage!$A$2:$A$3000,$K$2,Shrinkage!$D$2:$D$3000,SUBSTITUTE($A226," SS","  SS"))&gt;0,SUMIFS(Shrinkage!$P$2:$P$3000,Shrinkage!$A$2:$A$3000,$K$2,Shrinkage!$D$2:$D$3000,SUBSTITUTE($A226," SS","  SS")),"NA"))</f>
        <v>26326</v>
      </c>
      <c r="E226" s="83" t="n">
        <f aca="false">IF(COUNTIFS('Inventory Hygiene'!$A$2:$A$3000,$K$2,'Inventory Hygiene'!$B$2:$B$3000,$A226)&gt;0,AVERAGEIFS('Inventory Hygiene'!$J$2:$J$3000,'Inventory Hygiene'!$A$2:$A$3000,$K$2,'Inventory Hygiene'!$B$2:$B$3000,$A226),IF(COUNTIFS('Inventory Hygiene'!$A$2:$A$3000,$K$2,'Inventory Hygiene'!$B$2:$B$3000,SUBSTITUTE($A226," SS","  SS"))&gt;0,AVERAGEIFS('Inventory Hygiene'!$J$2:$J$3000,'Inventory Hygiene'!$A$2:$A$3000,$K$2,'Inventory Hygiene'!$B$2:$B$3000,SUBSTITUTE($A226," SS","  SS")),"NA"))</f>
        <v>0.294651700231099</v>
      </c>
      <c r="F226" s="81" t="n">
        <f aca="false">IF(COUNTIFS('Bad Bins'!$A$2:$A$3000,$K$2,'Bad Bins'!$B$2:$B$3000,$A226)&gt;0,SUMIFS('Bad Bins'!$K$2:$K$3000,'Bad Bins'!$A$2:$A$3000,$K$2,'Bad Bins'!$B$2:$B$3000,$A226),IF(COUNTIFS('Bad Bins'!$A$2:$A$3000,$K$2,'Bad Bins'!$B$2:$B$3000,SUBSTITUTE($A226," SS","  SS"))&gt;0,SUMIFS('Bad Bins'!$K$2:$K$3000,'Bad Bins'!$A$2:$A$3000,$K$2,'Bad Bins'!$B$2:$B$3000,SUBSTITUTE($A226," SS","  SS")),"NA"))</f>
        <v>38</v>
      </c>
      <c r="G226" s="81" t="str">
        <f aca="false">IF(COUNTIFS('RSTO &gt; 48hrs'!$A$2:$A$3000,$K$2,'RSTO &gt; 48hrs'!$B$2:$B$3000,$A226)&gt;0,SUMIFS('RSTO &gt; 48hrs'!$H$2:$H$3000,'RSTO &gt; 48hrs'!$A$2:$A$3000,$K$2,'RSTO &gt; 48hrs'!$B$2:$B$3000,$A226),IF(COUNTIFS('RSTO &gt; 48hrs'!$A$2:$A$3000,$K$2,'RSTO &gt; 48hrs'!$B$2:$B$3000,SUBSTITUTE($A226," SS","  SS"))&gt;0,SUMIFS('RSTO &gt; 48hrs'!$H$2:$H$3000,'RSTO &gt; 48hrs'!$A$2:$A$3000,$K$2,'RSTO &gt; 48hrs'!$B$2:$B$3000,SUBSTITUTE($A226," SS","  SS")),"NA"))</f>
        <v>NA</v>
      </c>
      <c r="H226" s="81" t="str">
        <f aca="false">IF(COUNTIFS('Recirculation &gt; 24 hrs'!$A$2:$A$3000,$K$2,'Recirculation &gt; 24 hrs'!$B$2:$B$3000,$A226)&gt;0,SUMIFS('Recirculation &gt; 24 hrs'!$K$2:$K$3000,'Recirculation &gt; 24 hrs'!$A$2:$A$3000,$K$2,'Recirculation &gt; 24 hrs'!$B$2:$B$3000,$A226),IF(COUNTIFS('Recirculation &gt; 24 hrs'!$A$2:$A$3000,$K$2,'Recirculation &gt; 24 hrs'!$B$2:$B$3000,SUBSTITUTE($A226," SS","  SS"))&gt;0,SUMIFS('Recirculation &gt; 24 hrs'!$K$2:$K$3000,'Recirculation &gt; 24 hrs'!$A$2:$A$3000,$K$2,'Recirculation &gt; 24 hrs'!$B$2:$B$3000,SUBSTITUTE($A226," SS","  SS")),"NA"))</f>
        <v>NA</v>
      </c>
      <c r="I226" s="81" t="n">
        <f aca="false">IF(COUNTIFS('Pending Putaway'!$A$2:$A$3000,$K$2,'Pending Putaway'!$B$2:$B$3000,$A226)&gt;0,SUMIFS('Pending Putaway'!$E$2:$E$3000,'Pending Putaway'!$A$2:$A$3000,$K$2,'Pending Putaway'!$B$2:$B$3000,$A226),IF(COUNTIFS('Pending Putaway'!$A$2:$A$3000,$K$2,'Pending Putaway'!$B$2:$B$3000,SUBSTITUTE($A226," SS","  SS"))&gt;0,SUMIFS('Pending Putaway'!$E$2:$E$3000,'Pending Putaway'!$A$2:$A$3000,$K$2,'Pending Putaway'!$B$2:$B$3000,SUBSTITUTE($A226," SS","  SS")),"NA"))</f>
        <v>3978</v>
      </c>
      <c r="J226" s="81" t="n">
        <f aca="false">IF(COUNTIFS('Pending Putaway'!$A$2:$A$3000,$K$2,'Pending Putaway'!$B$2:$B$3000,$A226)&gt;0,SUMIFS('Pending Putaway'!$L$2:$L$3000,'Pending Putaway'!$A$2:$A$3000,$K$2,'Pending Putaway'!$B$2:$B$3000,$A226),IF(COUNTIFS('Pending Putaway'!$A$2:$A$3000,$K$2,'Pending Putaway'!$B$2:$B$3000,SUBSTITUTE($A226," SS","  SS"))&gt;0,SUMIFS('Pending Putaway'!$L$2:$L$3000,'Pending Putaway'!$A$2:$A$3000,$K$2,'Pending Putaway'!$B$2:$B$3000,SUBSTITUTE($A226," SS","  SS")),"NA"))</f>
        <v>0</v>
      </c>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row>
    <row r="227" customFormat="false" ht="15.75" hidden="false" customHeight="true" outlineLevel="0" collapsed="false">
      <c r="A227" s="81" t="s">
        <v>350</v>
      </c>
      <c r="B227" s="81" t="str">
        <f aca="false" t="array" ref="B227:B227">IFERROR(INDEX('CLM &amp; IM Mapping'!$B$2:$B$270,MATCH($A227,'CLM &amp; IM Mapping'!$A$2:$A$270,0)),"Not Mapped")</f>
        <v>Vishnu V</v>
      </c>
      <c r="C227" s="81" t="str">
        <f aca="false" t="array" ref="C227:C227">IFERROR(INDEX('CLM &amp; IM Mapping'!$C$2:$C$270,MATCH($A227,'CLM &amp; IM Mapping'!$A$2:$A$270,0)),"Not Mapped")</f>
        <v>Arivind S</v>
      </c>
      <c r="D227" s="82" t="n">
        <f aca="false">IF(COUNTIFS(Shrinkage!$A$2:$A$3000,$K$2,Shrinkage!$D$2:$D$3000,$A227)&gt;0,SUMIFS(Shrinkage!$P$2:$P$3000,Shrinkage!$A$2:$A$3000,$K$2,Shrinkage!$D$2:$D$3000,$A227),IF(COUNTIFS(Shrinkage!$A$2:$A$3000,$K$2,Shrinkage!$D$2:$D$3000,SUBSTITUTE($A227," SS","  SS"))&gt;0,SUMIFS(Shrinkage!$P$2:$P$3000,Shrinkage!$A$2:$A$3000,$K$2,Shrinkage!$D$2:$D$3000,SUBSTITUTE($A227," SS","  SS")),"NA"))</f>
        <v>1769</v>
      </c>
      <c r="E227" s="83" t="n">
        <f aca="false">IF(COUNTIFS('Inventory Hygiene'!$A$2:$A$3000,$K$2,'Inventory Hygiene'!$B$2:$B$3000,$A227)&gt;0,AVERAGEIFS('Inventory Hygiene'!$J$2:$J$3000,'Inventory Hygiene'!$A$2:$A$3000,$K$2,'Inventory Hygiene'!$B$2:$B$3000,$A227),IF(COUNTIFS('Inventory Hygiene'!$A$2:$A$3000,$K$2,'Inventory Hygiene'!$B$2:$B$3000,SUBSTITUTE($A227," SS","  SS"))&gt;0,AVERAGEIFS('Inventory Hygiene'!$J$2:$J$3000,'Inventory Hygiene'!$A$2:$A$3000,$K$2,'Inventory Hygiene'!$B$2:$B$3000,SUBSTITUTE($A227," SS","  SS")),"NA"))</f>
        <v>0.591958939264329</v>
      </c>
      <c r="F227" s="81" t="n">
        <f aca="false">IF(COUNTIFS('Bad Bins'!$A$2:$A$3000,$K$2,'Bad Bins'!$B$2:$B$3000,$A227)&gt;0,SUMIFS('Bad Bins'!$K$2:$K$3000,'Bad Bins'!$A$2:$A$3000,$K$2,'Bad Bins'!$B$2:$B$3000,$A227),IF(COUNTIFS('Bad Bins'!$A$2:$A$3000,$K$2,'Bad Bins'!$B$2:$B$3000,SUBSTITUTE($A227," SS","  SS"))&gt;0,SUMIFS('Bad Bins'!$K$2:$K$3000,'Bad Bins'!$A$2:$A$3000,$K$2,'Bad Bins'!$B$2:$B$3000,SUBSTITUTE($A227," SS","  SS")),"NA"))</f>
        <v>56</v>
      </c>
      <c r="G227" s="81" t="str">
        <f aca="false">IF(COUNTIFS('RSTO &gt; 48hrs'!$A$2:$A$3000,$K$2,'RSTO &gt; 48hrs'!$B$2:$B$3000,$A227)&gt;0,SUMIFS('RSTO &gt; 48hrs'!$H$2:$H$3000,'RSTO &gt; 48hrs'!$A$2:$A$3000,$K$2,'RSTO &gt; 48hrs'!$B$2:$B$3000,$A227),IF(COUNTIFS('RSTO &gt; 48hrs'!$A$2:$A$3000,$K$2,'RSTO &gt; 48hrs'!$B$2:$B$3000,SUBSTITUTE($A227," SS","  SS"))&gt;0,SUMIFS('RSTO &gt; 48hrs'!$H$2:$H$3000,'RSTO &gt; 48hrs'!$A$2:$A$3000,$K$2,'RSTO &gt; 48hrs'!$B$2:$B$3000,SUBSTITUTE($A227," SS","  SS")),"NA"))</f>
        <v>NA</v>
      </c>
      <c r="H227" s="81" t="n">
        <f aca="false">IF(COUNTIFS('Recirculation &gt; 24 hrs'!$A$2:$A$3000,$K$2,'Recirculation &gt; 24 hrs'!$B$2:$B$3000,$A227)&gt;0,SUMIFS('Recirculation &gt; 24 hrs'!$K$2:$K$3000,'Recirculation &gt; 24 hrs'!$A$2:$A$3000,$K$2,'Recirculation &gt; 24 hrs'!$B$2:$B$3000,$A227),IF(COUNTIFS('Recirculation &gt; 24 hrs'!$A$2:$A$3000,$K$2,'Recirculation &gt; 24 hrs'!$B$2:$B$3000,SUBSTITUTE($A227," SS","  SS"))&gt;0,SUMIFS('Recirculation &gt; 24 hrs'!$K$2:$K$3000,'Recirculation &gt; 24 hrs'!$A$2:$A$3000,$K$2,'Recirculation &gt; 24 hrs'!$B$2:$B$3000,SUBSTITUTE($A227," SS","  SS")),"NA"))</f>
        <v>1</v>
      </c>
      <c r="I227" s="81" t="n">
        <f aca="false">IF(COUNTIFS('Pending Putaway'!$A$2:$A$3000,$K$2,'Pending Putaway'!$B$2:$B$3000,$A227)&gt;0,SUMIFS('Pending Putaway'!$E$2:$E$3000,'Pending Putaway'!$A$2:$A$3000,$K$2,'Pending Putaway'!$B$2:$B$3000,$A227),IF(COUNTIFS('Pending Putaway'!$A$2:$A$3000,$K$2,'Pending Putaway'!$B$2:$B$3000,SUBSTITUTE($A227," SS","  SS"))&gt;0,SUMIFS('Pending Putaway'!$E$2:$E$3000,'Pending Putaway'!$A$2:$A$3000,$K$2,'Pending Putaway'!$B$2:$B$3000,SUBSTITUTE($A227," SS","  SS")),"NA"))</f>
        <v>899</v>
      </c>
      <c r="J227" s="81" t="n">
        <f aca="false">IF(COUNTIFS('Pending Putaway'!$A$2:$A$3000,$K$2,'Pending Putaway'!$B$2:$B$3000,$A227)&gt;0,SUMIFS('Pending Putaway'!$L$2:$L$3000,'Pending Putaway'!$A$2:$A$3000,$K$2,'Pending Putaway'!$B$2:$B$3000,$A227),IF(COUNTIFS('Pending Putaway'!$A$2:$A$3000,$K$2,'Pending Putaway'!$B$2:$B$3000,SUBSTITUTE($A227," SS","  SS"))&gt;0,SUMIFS('Pending Putaway'!$L$2:$L$3000,'Pending Putaway'!$A$2:$A$3000,$K$2,'Pending Putaway'!$B$2:$B$3000,SUBSTITUTE($A227," SS","  SS")),"NA"))</f>
        <v>899</v>
      </c>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row>
    <row r="228" customFormat="false" ht="15.75" hidden="false" customHeight="true" outlineLevel="0" collapsed="false">
      <c r="A228" s="81" t="s">
        <v>468</v>
      </c>
      <c r="B228" s="81" t="str">
        <f aca="false" t="array" ref="B228:B228">IFERROR(INDEX('CLM &amp; IM Mapping'!$B$2:$B$270,MATCH($A228,'CLM &amp; IM Mapping'!$A$2:$A$270,0)),"Not Mapped")</f>
        <v>Suhas N</v>
      </c>
      <c r="C228" s="81" t="str">
        <f aca="false" t="array" ref="C228:C228">IFERROR(INDEX('CLM &amp; IM Mapping'!$C$2:$C$270,MATCH($A228,'CLM &amp; IM Mapping'!$A$2:$A$270,0)),"Not Mapped")</f>
        <v>Aravind S</v>
      </c>
      <c r="D228" s="82" t="n">
        <f aca="false">IF(COUNTIFS(Shrinkage!$A$2:$A$3000,$K$2,Shrinkage!$D$2:$D$3000,$A228)&gt;0,SUMIFS(Shrinkage!$P$2:$P$3000,Shrinkage!$A$2:$A$3000,$K$2,Shrinkage!$D$2:$D$3000,$A228),IF(COUNTIFS(Shrinkage!$A$2:$A$3000,$K$2,Shrinkage!$D$2:$D$3000,SUBSTITUTE($A228," SS","  SS"))&gt;0,SUMIFS(Shrinkage!$P$2:$P$3000,Shrinkage!$A$2:$A$3000,$K$2,Shrinkage!$D$2:$D$3000,SUBSTITUTE($A228," SS","  SS")),"NA"))</f>
        <v>-5528</v>
      </c>
      <c r="E228" s="83" t="n">
        <f aca="false">IF(COUNTIFS('Inventory Hygiene'!$A$2:$A$3000,$K$2,'Inventory Hygiene'!$B$2:$B$3000,$A228)&gt;0,AVERAGEIFS('Inventory Hygiene'!$J$2:$J$3000,'Inventory Hygiene'!$A$2:$A$3000,$K$2,'Inventory Hygiene'!$B$2:$B$3000,$A228),IF(COUNTIFS('Inventory Hygiene'!$A$2:$A$3000,$K$2,'Inventory Hygiene'!$B$2:$B$3000,SUBSTITUTE($A228," SS","  SS"))&gt;0,AVERAGEIFS('Inventory Hygiene'!$J$2:$J$3000,'Inventory Hygiene'!$A$2:$A$3000,$K$2,'Inventory Hygiene'!$B$2:$B$3000,SUBSTITUTE($A228," SS","  SS")),"NA"))</f>
        <v>0.737723214285714</v>
      </c>
      <c r="F228" s="81" t="n">
        <f aca="false">IF(COUNTIFS('Bad Bins'!$A$2:$A$3000,$K$2,'Bad Bins'!$B$2:$B$3000,$A228)&gt;0,SUMIFS('Bad Bins'!$K$2:$K$3000,'Bad Bins'!$A$2:$A$3000,$K$2,'Bad Bins'!$B$2:$B$3000,$A228),IF(COUNTIFS('Bad Bins'!$A$2:$A$3000,$K$2,'Bad Bins'!$B$2:$B$3000,SUBSTITUTE($A228," SS","  SS"))&gt;0,SUMIFS('Bad Bins'!$K$2:$K$3000,'Bad Bins'!$A$2:$A$3000,$K$2,'Bad Bins'!$B$2:$B$3000,SUBSTITUTE($A228," SS","  SS")),"NA"))</f>
        <v>101</v>
      </c>
      <c r="G228" s="81" t="str">
        <f aca="false">IF(COUNTIFS('RSTO &gt; 48hrs'!$A$2:$A$3000,$K$2,'RSTO &gt; 48hrs'!$B$2:$B$3000,$A228)&gt;0,SUMIFS('RSTO &gt; 48hrs'!$H$2:$H$3000,'RSTO &gt; 48hrs'!$A$2:$A$3000,$K$2,'RSTO &gt; 48hrs'!$B$2:$B$3000,$A228),IF(COUNTIFS('RSTO &gt; 48hrs'!$A$2:$A$3000,$K$2,'RSTO &gt; 48hrs'!$B$2:$B$3000,SUBSTITUTE($A228," SS","  SS"))&gt;0,SUMIFS('RSTO &gt; 48hrs'!$H$2:$H$3000,'RSTO &gt; 48hrs'!$A$2:$A$3000,$K$2,'RSTO &gt; 48hrs'!$B$2:$B$3000,SUBSTITUTE($A228," SS","  SS")),"NA"))</f>
        <v>NA</v>
      </c>
      <c r="H228" s="81" t="str">
        <f aca="false">IF(COUNTIFS('Recirculation &gt; 24 hrs'!$A$2:$A$3000,$K$2,'Recirculation &gt; 24 hrs'!$B$2:$B$3000,$A228)&gt;0,SUMIFS('Recirculation &gt; 24 hrs'!$K$2:$K$3000,'Recirculation &gt; 24 hrs'!$A$2:$A$3000,$K$2,'Recirculation &gt; 24 hrs'!$B$2:$B$3000,$A228),IF(COUNTIFS('Recirculation &gt; 24 hrs'!$A$2:$A$3000,$K$2,'Recirculation &gt; 24 hrs'!$B$2:$B$3000,SUBSTITUTE($A228," SS","  SS"))&gt;0,SUMIFS('Recirculation &gt; 24 hrs'!$K$2:$K$3000,'Recirculation &gt; 24 hrs'!$A$2:$A$3000,$K$2,'Recirculation &gt; 24 hrs'!$B$2:$B$3000,SUBSTITUTE($A228," SS","  SS")),"NA"))</f>
        <v>NA</v>
      </c>
      <c r="I228" s="81" t="n">
        <f aca="false">IF(COUNTIFS('Pending Putaway'!$A$2:$A$3000,$K$2,'Pending Putaway'!$B$2:$B$3000,$A228)&gt;0,SUMIFS('Pending Putaway'!$E$2:$E$3000,'Pending Putaway'!$A$2:$A$3000,$K$2,'Pending Putaway'!$B$2:$B$3000,$A228),IF(COUNTIFS('Pending Putaway'!$A$2:$A$3000,$K$2,'Pending Putaway'!$B$2:$B$3000,SUBSTITUTE($A228," SS","  SS"))&gt;0,SUMIFS('Pending Putaway'!$E$2:$E$3000,'Pending Putaway'!$A$2:$A$3000,$K$2,'Pending Putaway'!$B$2:$B$3000,SUBSTITUTE($A228," SS","  SS")),"NA"))</f>
        <v>1984</v>
      </c>
      <c r="J228" s="81" t="n">
        <f aca="false">IF(COUNTIFS('Pending Putaway'!$A$2:$A$3000,$K$2,'Pending Putaway'!$B$2:$B$3000,$A228)&gt;0,SUMIFS('Pending Putaway'!$L$2:$L$3000,'Pending Putaway'!$A$2:$A$3000,$K$2,'Pending Putaway'!$B$2:$B$3000,$A228),IF(COUNTIFS('Pending Putaway'!$A$2:$A$3000,$K$2,'Pending Putaway'!$B$2:$B$3000,SUBSTITUTE($A228," SS","  SS"))&gt;0,SUMIFS('Pending Putaway'!$L$2:$L$3000,'Pending Putaway'!$A$2:$A$3000,$K$2,'Pending Putaway'!$B$2:$B$3000,SUBSTITUTE($A228," SS","  SS")),"NA"))</f>
        <v>68</v>
      </c>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row>
    <row r="229" customFormat="false" ht="15.75" hidden="false" customHeight="true" outlineLevel="0" collapsed="false">
      <c r="A229" s="81" t="s">
        <v>345</v>
      </c>
      <c r="B229" s="81" t="str">
        <f aca="false" t="array" ref="B229:B229">IFERROR(INDEX('CLM &amp; IM Mapping'!$B$2:$B$270,MATCH($A229,'CLM &amp; IM Mapping'!$A$2:$A$270,0)),"Not Mapped")</f>
        <v>John Britto</v>
      </c>
      <c r="C229" s="81" t="str">
        <f aca="false" t="array" ref="C229:C229">IFERROR(INDEX('CLM &amp; IM Mapping'!$C$2:$C$270,MATCH($A229,'CLM &amp; IM Mapping'!$A$2:$A$270,0)),"Not Mapped")</f>
        <v>Aravind S</v>
      </c>
      <c r="D229" s="82" t="n">
        <f aca="false">IF(COUNTIFS(Shrinkage!$A$2:$A$3000,$K$2,Shrinkage!$D$2:$D$3000,$A229)&gt;0,SUMIFS(Shrinkage!$P$2:$P$3000,Shrinkage!$A$2:$A$3000,$K$2,Shrinkage!$D$2:$D$3000,$A229),IF(COUNTIFS(Shrinkage!$A$2:$A$3000,$K$2,Shrinkage!$D$2:$D$3000,SUBSTITUTE($A229," SS","  SS"))&gt;0,SUMIFS(Shrinkage!$P$2:$P$3000,Shrinkage!$A$2:$A$3000,$K$2,Shrinkage!$D$2:$D$3000,SUBSTITUTE($A229," SS","  SS")),"NA"))</f>
        <v>-2743</v>
      </c>
      <c r="E229" s="83" t="n">
        <f aca="false">IF(COUNTIFS('Inventory Hygiene'!$A$2:$A$3000,$K$2,'Inventory Hygiene'!$B$2:$B$3000,$A229)&gt;0,AVERAGEIFS('Inventory Hygiene'!$J$2:$J$3000,'Inventory Hygiene'!$A$2:$A$3000,$K$2,'Inventory Hygiene'!$B$2:$B$3000,$A229),IF(COUNTIFS('Inventory Hygiene'!$A$2:$A$3000,$K$2,'Inventory Hygiene'!$B$2:$B$3000,SUBSTITUTE($A229," SS","  SS"))&gt;0,AVERAGEIFS('Inventory Hygiene'!$J$2:$J$3000,'Inventory Hygiene'!$A$2:$A$3000,$K$2,'Inventory Hygiene'!$B$2:$B$3000,SUBSTITUTE($A229," SS","  SS")),"NA"))</f>
        <v>0.173561732385262</v>
      </c>
      <c r="F229" s="81" t="n">
        <f aca="false">IF(COUNTIFS('Bad Bins'!$A$2:$A$3000,$K$2,'Bad Bins'!$B$2:$B$3000,$A229)&gt;0,SUMIFS('Bad Bins'!$K$2:$K$3000,'Bad Bins'!$A$2:$A$3000,$K$2,'Bad Bins'!$B$2:$B$3000,$A229),IF(COUNTIFS('Bad Bins'!$A$2:$A$3000,$K$2,'Bad Bins'!$B$2:$B$3000,SUBSTITUTE($A229," SS","  SS"))&gt;0,SUMIFS('Bad Bins'!$K$2:$K$3000,'Bad Bins'!$A$2:$A$3000,$K$2,'Bad Bins'!$B$2:$B$3000,SUBSTITUTE($A229," SS","  SS")),"NA"))</f>
        <v>42</v>
      </c>
      <c r="G229" s="81" t="str">
        <f aca="false">IF(COUNTIFS('RSTO &gt; 48hrs'!$A$2:$A$3000,$K$2,'RSTO &gt; 48hrs'!$B$2:$B$3000,$A229)&gt;0,SUMIFS('RSTO &gt; 48hrs'!$H$2:$H$3000,'RSTO &gt; 48hrs'!$A$2:$A$3000,$K$2,'RSTO &gt; 48hrs'!$B$2:$B$3000,$A229),IF(COUNTIFS('RSTO &gt; 48hrs'!$A$2:$A$3000,$K$2,'RSTO &gt; 48hrs'!$B$2:$B$3000,SUBSTITUTE($A229," SS","  SS"))&gt;0,SUMIFS('RSTO &gt; 48hrs'!$H$2:$H$3000,'RSTO &gt; 48hrs'!$A$2:$A$3000,$K$2,'RSTO &gt; 48hrs'!$B$2:$B$3000,SUBSTITUTE($A229," SS","  SS")),"NA"))</f>
        <v>NA</v>
      </c>
      <c r="H229" s="81" t="n">
        <f aca="false">IF(COUNTIFS('Recirculation &gt; 24 hrs'!$A$2:$A$3000,$K$2,'Recirculation &gt; 24 hrs'!$B$2:$B$3000,$A229)&gt;0,SUMIFS('Recirculation &gt; 24 hrs'!$K$2:$K$3000,'Recirculation &gt; 24 hrs'!$A$2:$A$3000,$K$2,'Recirculation &gt; 24 hrs'!$B$2:$B$3000,$A229),IF(COUNTIFS('Recirculation &gt; 24 hrs'!$A$2:$A$3000,$K$2,'Recirculation &gt; 24 hrs'!$B$2:$B$3000,SUBSTITUTE($A229," SS","  SS"))&gt;0,SUMIFS('Recirculation &gt; 24 hrs'!$K$2:$K$3000,'Recirculation &gt; 24 hrs'!$A$2:$A$3000,$K$2,'Recirculation &gt; 24 hrs'!$B$2:$B$3000,SUBSTITUTE($A229," SS","  SS")),"NA"))</f>
        <v>1</v>
      </c>
      <c r="I229" s="81" t="n">
        <f aca="false">IF(COUNTIFS('Pending Putaway'!$A$2:$A$3000,$K$2,'Pending Putaway'!$B$2:$B$3000,$A229)&gt;0,SUMIFS('Pending Putaway'!$E$2:$E$3000,'Pending Putaway'!$A$2:$A$3000,$K$2,'Pending Putaway'!$B$2:$B$3000,$A229),IF(COUNTIFS('Pending Putaway'!$A$2:$A$3000,$K$2,'Pending Putaway'!$B$2:$B$3000,SUBSTITUTE($A229," SS","  SS"))&gt;0,SUMIFS('Pending Putaway'!$E$2:$E$3000,'Pending Putaway'!$A$2:$A$3000,$K$2,'Pending Putaway'!$B$2:$B$3000,SUBSTITUTE($A229," SS","  SS")),"NA"))</f>
        <v>632</v>
      </c>
      <c r="J229" s="81" t="n">
        <f aca="false">IF(COUNTIFS('Pending Putaway'!$A$2:$A$3000,$K$2,'Pending Putaway'!$B$2:$B$3000,$A229)&gt;0,SUMIFS('Pending Putaway'!$L$2:$L$3000,'Pending Putaway'!$A$2:$A$3000,$K$2,'Pending Putaway'!$B$2:$B$3000,$A229),IF(COUNTIFS('Pending Putaway'!$A$2:$A$3000,$K$2,'Pending Putaway'!$B$2:$B$3000,SUBSTITUTE($A229," SS","  SS"))&gt;0,SUMIFS('Pending Putaway'!$L$2:$L$3000,'Pending Putaway'!$A$2:$A$3000,$K$2,'Pending Putaway'!$B$2:$B$3000,SUBSTITUTE($A229," SS","  SS")),"NA"))</f>
        <v>632</v>
      </c>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row>
    <row r="230" customFormat="false" ht="15.75" hidden="false" customHeight="true" outlineLevel="0" collapsed="false">
      <c r="A230" s="81" t="s">
        <v>427</v>
      </c>
      <c r="B230" s="81" t="str">
        <f aca="false" t="array" ref="B230:B230">IFERROR(INDEX('CLM &amp; IM Mapping'!$B$2:$B$270,MATCH($A230,'CLM &amp; IM Mapping'!$A$2:$A$270,0)),"Not Mapped")</f>
        <v>John Britto</v>
      </c>
      <c r="C230" s="81" t="str">
        <f aca="false" t="array" ref="C230:C230">IFERROR(INDEX('CLM &amp; IM Mapping'!$C$2:$C$270,MATCH($A230,'CLM &amp; IM Mapping'!$A$2:$A$270,0)),"Not Mapped")</f>
        <v>Aravind S</v>
      </c>
      <c r="D230" s="82" t="n">
        <f aca="false">IF(COUNTIFS(Shrinkage!$A$2:$A$3000,$K$2,Shrinkage!$D$2:$D$3000,$A230)&gt;0,SUMIFS(Shrinkage!$P$2:$P$3000,Shrinkage!$A$2:$A$3000,$K$2,Shrinkage!$D$2:$D$3000,$A230),IF(COUNTIFS(Shrinkage!$A$2:$A$3000,$K$2,Shrinkage!$D$2:$D$3000,SUBSTITUTE($A230," SS","  SS"))&gt;0,SUMIFS(Shrinkage!$P$2:$P$3000,Shrinkage!$A$2:$A$3000,$K$2,Shrinkage!$D$2:$D$3000,SUBSTITUTE($A230," SS","  SS")),"NA"))</f>
        <v>-7525</v>
      </c>
      <c r="E230" s="83" t="n">
        <f aca="false">IF(COUNTIFS('Inventory Hygiene'!$A$2:$A$3000,$K$2,'Inventory Hygiene'!$B$2:$B$3000,$A230)&gt;0,AVERAGEIFS('Inventory Hygiene'!$J$2:$J$3000,'Inventory Hygiene'!$A$2:$A$3000,$K$2,'Inventory Hygiene'!$B$2:$B$3000,$A230),IF(COUNTIFS('Inventory Hygiene'!$A$2:$A$3000,$K$2,'Inventory Hygiene'!$B$2:$B$3000,SUBSTITUTE($A230," SS","  SS"))&gt;0,AVERAGEIFS('Inventory Hygiene'!$J$2:$J$3000,'Inventory Hygiene'!$A$2:$A$3000,$K$2,'Inventory Hygiene'!$B$2:$B$3000,SUBSTITUTE($A230," SS","  SS")),"NA"))</f>
        <v>0.462352765767109</v>
      </c>
      <c r="F230" s="81" t="n">
        <f aca="false">IF(COUNTIFS('Bad Bins'!$A$2:$A$3000,$K$2,'Bad Bins'!$B$2:$B$3000,$A230)&gt;0,SUMIFS('Bad Bins'!$K$2:$K$3000,'Bad Bins'!$A$2:$A$3000,$K$2,'Bad Bins'!$B$2:$B$3000,$A230),IF(COUNTIFS('Bad Bins'!$A$2:$A$3000,$K$2,'Bad Bins'!$B$2:$B$3000,SUBSTITUTE($A230," SS","  SS"))&gt;0,SUMIFS('Bad Bins'!$K$2:$K$3000,'Bad Bins'!$A$2:$A$3000,$K$2,'Bad Bins'!$B$2:$B$3000,SUBSTITUTE($A230," SS","  SS")),"NA"))</f>
        <v>3</v>
      </c>
      <c r="G230" s="81" t="str">
        <f aca="false">IF(COUNTIFS('RSTO &gt; 48hrs'!$A$2:$A$3000,$K$2,'RSTO &gt; 48hrs'!$B$2:$B$3000,$A230)&gt;0,SUMIFS('RSTO &gt; 48hrs'!$H$2:$H$3000,'RSTO &gt; 48hrs'!$A$2:$A$3000,$K$2,'RSTO &gt; 48hrs'!$B$2:$B$3000,$A230),IF(COUNTIFS('RSTO &gt; 48hrs'!$A$2:$A$3000,$K$2,'RSTO &gt; 48hrs'!$B$2:$B$3000,SUBSTITUTE($A230," SS","  SS"))&gt;0,SUMIFS('RSTO &gt; 48hrs'!$H$2:$H$3000,'RSTO &gt; 48hrs'!$A$2:$A$3000,$K$2,'RSTO &gt; 48hrs'!$B$2:$B$3000,SUBSTITUTE($A230," SS","  SS")),"NA"))</f>
        <v>NA</v>
      </c>
      <c r="H230" s="81" t="str">
        <f aca="false">IF(COUNTIFS('Recirculation &gt; 24 hrs'!$A$2:$A$3000,$K$2,'Recirculation &gt; 24 hrs'!$B$2:$B$3000,$A230)&gt;0,SUMIFS('Recirculation &gt; 24 hrs'!$K$2:$K$3000,'Recirculation &gt; 24 hrs'!$A$2:$A$3000,$K$2,'Recirculation &gt; 24 hrs'!$B$2:$B$3000,$A230),IF(COUNTIFS('Recirculation &gt; 24 hrs'!$A$2:$A$3000,$K$2,'Recirculation &gt; 24 hrs'!$B$2:$B$3000,SUBSTITUTE($A230," SS","  SS"))&gt;0,SUMIFS('Recirculation &gt; 24 hrs'!$K$2:$K$3000,'Recirculation &gt; 24 hrs'!$A$2:$A$3000,$K$2,'Recirculation &gt; 24 hrs'!$B$2:$B$3000,SUBSTITUTE($A230," SS","  SS")),"NA"))</f>
        <v>NA</v>
      </c>
      <c r="I230" s="81" t="n">
        <f aca="false">IF(COUNTIFS('Pending Putaway'!$A$2:$A$3000,$K$2,'Pending Putaway'!$B$2:$B$3000,$A230)&gt;0,SUMIFS('Pending Putaway'!$E$2:$E$3000,'Pending Putaway'!$A$2:$A$3000,$K$2,'Pending Putaway'!$B$2:$B$3000,$A230),IF(COUNTIFS('Pending Putaway'!$A$2:$A$3000,$K$2,'Pending Putaway'!$B$2:$B$3000,SUBSTITUTE($A230," SS","  SS"))&gt;0,SUMIFS('Pending Putaway'!$E$2:$E$3000,'Pending Putaway'!$A$2:$A$3000,$K$2,'Pending Putaway'!$B$2:$B$3000,SUBSTITUTE($A230," SS","  SS")),"NA"))</f>
        <v>0</v>
      </c>
      <c r="J230" s="81" t="n">
        <f aca="false">IF(COUNTIFS('Pending Putaway'!$A$2:$A$3000,$K$2,'Pending Putaway'!$B$2:$B$3000,$A230)&gt;0,SUMIFS('Pending Putaway'!$L$2:$L$3000,'Pending Putaway'!$A$2:$A$3000,$K$2,'Pending Putaway'!$B$2:$B$3000,$A230),IF(COUNTIFS('Pending Putaway'!$A$2:$A$3000,$K$2,'Pending Putaway'!$B$2:$B$3000,SUBSTITUTE($A230," SS","  SS"))&gt;0,SUMIFS('Pending Putaway'!$L$2:$L$3000,'Pending Putaway'!$A$2:$A$3000,$K$2,'Pending Putaway'!$B$2:$B$3000,SUBSTITUTE($A230," SS","  SS")),"NA"))</f>
        <v>0</v>
      </c>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row>
    <row r="231" customFormat="false" ht="15.75" hidden="false" customHeight="true" outlineLevel="0" collapsed="false">
      <c r="A231" s="81" t="s">
        <v>458</v>
      </c>
      <c r="B231" s="81" t="str">
        <f aca="false" t="array" ref="B231:B231">IFERROR(INDEX('CLM &amp; IM Mapping'!$B$2:$B$270,MATCH($A231,'CLM &amp; IM Mapping'!$A$2:$A$270,0)),"Not Mapped")</f>
        <v>John Britto</v>
      </c>
      <c r="C231" s="81" t="str">
        <f aca="false" t="array" ref="C231:C231">IFERROR(INDEX('CLM &amp; IM Mapping'!$C$2:$C$270,MATCH($A231,'CLM &amp; IM Mapping'!$A$2:$A$270,0)),"Not Mapped")</f>
        <v>Aravind S</v>
      </c>
      <c r="D231" s="82" t="n">
        <f aca="false">IF(COUNTIFS(Shrinkage!$A$2:$A$3000,$K$2,Shrinkage!$D$2:$D$3000,$A231)&gt;0,SUMIFS(Shrinkage!$P$2:$P$3000,Shrinkage!$A$2:$A$3000,$K$2,Shrinkage!$D$2:$D$3000,$A231),IF(COUNTIFS(Shrinkage!$A$2:$A$3000,$K$2,Shrinkage!$D$2:$D$3000,SUBSTITUTE($A231," SS","  SS"))&gt;0,SUMIFS(Shrinkage!$P$2:$P$3000,Shrinkage!$A$2:$A$3000,$K$2,Shrinkage!$D$2:$D$3000,SUBSTITUTE($A231," SS","  SS")),"NA"))</f>
        <v>-9774</v>
      </c>
      <c r="E231" s="83" t="n">
        <f aca="false">IF(COUNTIFS('Inventory Hygiene'!$A$2:$A$3000,$K$2,'Inventory Hygiene'!$B$2:$B$3000,$A231)&gt;0,AVERAGEIFS('Inventory Hygiene'!$J$2:$J$3000,'Inventory Hygiene'!$A$2:$A$3000,$K$2,'Inventory Hygiene'!$B$2:$B$3000,$A231),IF(COUNTIFS('Inventory Hygiene'!$A$2:$A$3000,$K$2,'Inventory Hygiene'!$B$2:$B$3000,SUBSTITUTE($A231," SS","  SS"))&gt;0,AVERAGEIFS('Inventory Hygiene'!$J$2:$J$3000,'Inventory Hygiene'!$A$2:$A$3000,$K$2,'Inventory Hygiene'!$B$2:$B$3000,SUBSTITUTE($A231," SS","  SS")),"NA"))</f>
        <v>0.317604355716878</v>
      </c>
      <c r="F231" s="81" t="n">
        <f aca="false">IF(COUNTIFS('Bad Bins'!$A$2:$A$3000,$K$2,'Bad Bins'!$B$2:$B$3000,$A231)&gt;0,SUMIFS('Bad Bins'!$K$2:$K$3000,'Bad Bins'!$A$2:$A$3000,$K$2,'Bad Bins'!$B$2:$B$3000,$A231),IF(COUNTIFS('Bad Bins'!$A$2:$A$3000,$K$2,'Bad Bins'!$B$2:$B$3000,SUBSTITUTE($A231," SS","  SS"))&gt;0,SUMIFS('Bad Bins'!$K$2:$K$3000,'Bad Bins'!$A$2:$A$3000,$K$2,'Bad Bins'!$B$2:$B$3000,SUBSTITUTE($A231," SS","  SS")),"NA"))</f>
        <v>32</v>
      </c>
      <c r="G231" s="81" t="str">
        <f aca="false">IF(COUNTIFS('RSTO &gt; 48hrs'!$A$2:$A$3000,$K$2,'RSTO &gt; 48hrs'!$B$2:$B$3000,$A231)&gt;0,SUMIFS('RSTO &gt; 48hrs'!$H$2:$H$3000,'RSTO &gt; 48hrs'!$A$2:$A$3000,$K$2,'RSTO &gt; 48hrs'!$B$2:$B$3000,$A231),IF(COUNTIFS('RSTO &gt; 48hrs'!$A$2:$A$3000,$K$2,'RSTO &gt; 48hrs'!$B$2:$B$3000,SUBSTITUTE($A231," SS","  SS"))&gt;0,SUMIFS('RSTO &gt; 48hrs'!$H$2:$H$3000,'RSTO &gt; 48hrs'!$A$2:$A$3000,$K$2,'RSTO &gt; 48hrs'!$B$2:$B$3000,SUBSTITUTE($A231," SS","  SS")),"NA"))</f>
        <v>NA</v>
      </c>
      <c r="H231" s="81" t="str">
        <f aca="false">IF(COUNTIFS('Recirculation &gt; 24 hrs'!$A$2:$A$3000,$K$2,'Recirculation &gt; 24 hrs'!$B$2:$B$3000,$A231)&gt;0,SUMIFS('Recirculation &gt; 24 hrs'!$K$2:$K$3000,'Recirculation &gt; 24 hrs'!$A$2:$A$3000,$K$2,'Recirculation &gt; 24 hrs'!$B$2:$B$3000,$A231),IF(COUNTIFS('Recirculation &gt; 24 hrs'!$A$2:$A$3000,$K$2,'Recirculation &gt; 24 hrs'!$B$2:$B$3000,SUBSTITUTE($A231," SS","  SS"))&gt;0,SUMIFS('Recirculation &gt; 24 hrs'!$K$2:$K$3000,'Recirculation &gt; 24 hrs'!$A$2:$A$3000,$K$2,'Recirculation &gt; 24 hrs'!$B$2:$B$3000,SUBSTITUTE($A231," SS","  SS")),"NA"))</f>
        <v>NA</v>
      </c>
      <c r="I231" s="81" t="n">
        <f aca="false">IF(COUNTIFS('Pending Putaway'!$A$2:$A$3000,$K$2,'Pending Putaway'!$B$2:$B$3000,$A231)&gt;0,SUMIFS('Pending Putaway'!$E$2:$E$3000,'Pending Putaway'!$A$2:$A$3000,$K$2,'Pending Putaway'!$B$2:$B$3000,$A231),IF(COUNTIFS('Pending Putaway'!$A$2:$A$3000,$K$2,'Pending Putaway'!$B$2:$B$3000,SUBSTITUTE($A231," SS","  SS"))&gt;0,SUMIFS('Pending Putaway'!$E$2:$E$3000,'Pending Putaway'!$A$2:$A$3000,$K$2,'Pending Putaway'!$B$2:$B$3000,SUBSTITUTE($A231," SS","  SS")),"NA"))</f>
        <v>0</v>
      </c>
      <c r="J231" s="81" t="n">
        <f aca="false">IF(COUNTIFS('Pending Putaway'!$A$2:$A$3000,$K$2,'Pending Putaway'!$B$2:$B$3000,$A231)&gt;0,SUMIFS('Pending Putaway'!$L$2:$L$3000,'Pending Putaway'!$A$2:$A$3000,$K$2,'Pending Putaway'!$B$2:$B$3000,$A231),IF(COUNTIFS('Pending Putaway'!$A$2:$A$3000,$K$2,'Pending Putaway'!$B$2:$B$3000,SUBSTITUTE($A231," SS","  SS"))&gt;0,SUMIFS('Pending Putaway'!$L$2:$L$3000,'Pending Putaway'!$A$2:$A$3000,$K$2,'Pending Putaway'!$B$2:$B$3000,SUBSTITUTE($A231," SS","  SS")),"NA"))</f>
        <v>0</v>
      </c>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row>
    <row r="232" customFormat="false" ht="15.75" hidden="false" customHeight="true" outlineLevel="0" collapsed="false">
      <c r="A232" s="81" t="s">
        <v>475</v>
      </c>
      <c r="B232" s="81" t="str">
        <f aca="false" t="array" ref="B232:B232">IFERROR(INDEX('CLM &amp; IM Mapping'!$B$2:$B$270,MATCH($A232,'CLM &amp; IM Mapping'!$A$2:$A$270,0)),"Not Mapped")</f>
        <v>John Britto</v>
      </c>
      <c r="C232" s="81" t="str">
        <f aca="false" t="array" ref="C232:C232">IFERROR(INDEX('CLM &amp; IM Mapping'!$C$2:$C$270,MATCH($A232,'CLM &amp; IM Mapping'!$A$2:$A$270,0)),"Not Mapped")</f>
        <v>Aravind S</v>
      </c>
      <c r="D232" s="82" t="n">
        <f aca="false">IF(COUNTIFS(Shrinkage!$A$2:$A$3000,$K$2,Shrinkage!$D$2:$D$3000,$A232)&gt;0,SUMIFS(Shrinkage!$P$2:$P$3000,Shrinkage!$A$2:$A$3000,$K$2,Shrinkage!$D$2:$D$3000,$A232),IF(COUNTIFS(Shrinkage!$A$2:$A$3000,$K$2,Shrinkage!$D$2:$D$3000,SUBSTITUTE($A232," SS","  SS"))&gt;0,SUMIFS(Shrinkage!$P$2:$P$3000,Shrinkage!$A$2:$A$3000,$K$2,Shrinkage!$D$2:$D$3000,SUBSTITUTE($A232," SS","  SS")),"NA"))</f>
        <v>-11555</v>
      </c>
      <c r="E232" s="83" t="n">
        <f aca="false">IF(COUNTIFS('Inventory Hygiene'!$A$2:$A$3000,$K$2,'Inventory Hygiene'!$B$2:$B$3000,$A232)&gt;0,AVERAGEIFS('Inventory Hygiene'!$J$2:$J$3000,'Inventory Hygiene'!$A$2:$A$3000,$K$2,'Inventory Hygiene'!$B$2:$B$3000,$A232),IF(COUNTIFS('Inventory Hygiene'!$A$2:$A$3000,$K$2,'Inventory Hygiene'!$B$2:$B$3000,SUBSTITUTE($A232," SS","  SS"))&gt;0,AVERAGEIFS('Inventory Hygiene'!$J$2:$J$3000,'Inventory Hygiene'!$A$2:$A$3000,$K$2,'Inventory Hygiene'!$B$2:$B$3000,SUBSTITUTE($A232," SS","  SS")),"NA"))</f>
        <v>0.838786436644854</v>
      </c>
      <c r="F232" s="81" t="n">
        <f aca="false">IF(COUNTIFS('Bad Bins'!$A$2:$A$3000,$K$2,'Bad Bins'!$B$2:$B$3000,$A232)&gt;0,SUMIFS('Bad Bins'!$K$2:$K$3000,'Bad Bins'!$A$2:$A$3000,$K$2,'Bad Bins'!$B$2:$B$3000,$A232),IF(COUNTIFS('Bad Bins'!$A$2:$A$3000,$K$2,'Bad Bins'!$B$2:$B$3000,SUBSTITUTE($A232," SS","  SS"))&gt;0,SUMIFS('Bad Bins'!$K$2:$K$3000,'Bad Bins'!$A$2:$A$3000,$K$2,'Bad Bins'!$B$2:$B$3000,SUBSTITUTE($A232," SS","  SS")),"NA"))</f>
        <v>97</v>
      </c>
      <c r="G232" s="81" t="str">
        <f aca="false">IF(COUNTIFS('RSTO &gt; 48hrs'!$A$2:$A$3000,$K$2,'RSTO &gt; 48hrs'!$B$2:$B$3000,$A232)&gt;0,SUMIFS('RSTO &gt; 48hrs'!$H$2:$H$3000,'RSTO &gt; 48hrs'!$A$2:$A$3000,$K$2,'RSTO &gt; 48hrs'!$B$2:$B$3000,$A232),IF(COUNTIFS('RSTO &gt; 48hrs'!$A$2:$A$3000,$K$2,'RSTO &gt; 48hrs'!$B$2:$B$3000,SUBSTITUTE($A232," SS","  SS"))&gt;0,SUMIFS('RSTO &gt; 48hrs'!$H$2:$H$3000,'RSTO &gt; 48hrs'!$A$2:$A$3000,$K$2,'RSTO &gt; 48hrs'!$B$2:$B$3000,SUBSTITUTE($A232," SS","  SS")),"NA"))</f>
        <v>NA</v>
      </c>
      <c r="H232" s="81" t="str">
        <f aca="false">IF(COUNTIFS('Recirculation &gt; 24 hrs'!$A$2:$A$3000,$K$2,'Recirculation &gt; 24 hrs'!$B$2:$B$3000,$A232)&gt;0,SUMIFS('Recirculation &gt; 24 hrs'!$K$2:$K$3000,'Recirculation &gt; 24 hrs'!$A$2:$A$3000,$K$2,'Recirculation &gt; 24 hrs'!$B$2:$B$3000,$A232),IF(COUNTIFS('Recirculation &gt; 24 hrs'!$A$2:$A$3000,$K$2,'Recirculation &gt; 24 hrs'!$B$2:$B$3000,SUBSTITUTE($A232," SS","  SS"))&gt;0,SUMIFS('Recirculation &gt; 24 hrs'!$K$2:$K$3000,'Recirculation &gt; 24 hrs'!$A$2:$A$3000,$K$2,'Recirculation &gt; 24 hrs'!$B$2:$B$3000,SUBSTITUTE($A232," SS","  SS")),"NA"))</f>
        <v>NA</v>
      </c>
      <c r="I232" s="81" t="n">
        <f aca="false">IF(COUNTIFS('Pending Putaway'!$A$2:$A$3000,$K$2,'Pending Putaway'!$B$2:$B$3000,$A232)&gt;0,SUMIFS('Pending Putaway'!$E$2:$E$3000,'Pending Putaway'!$A$2:$A$3000,$K$2,'Pending Putaway'!$B$2:$B$3000,$A232),IF(COUNTIFS('Pending Putaway'!$A$2:$A$3000,$K$2,'Pending Putaway'!$B$2:$B$3000,SUBSTITUTE($A232," SS","  SS"))&gt;0,SUMIFS('Pending Putaway'!$E$2:$E$3000,'Pending Putaway'!$A$2:$A$3000,$K$2,'Pending Putaway'!$B$2:$B$3000,SUBSTITUTE($A232," SS","  SS")),"NA"))</f>
        <v>0</v>
      </c>
      <c r="J232" s="81" t="n">
        <f aca="false">IF(COUNTIFS('Pending Putaway'!$A$2:$A$3000,$K$2,'Pending Putaway'!$B$2:$B$3000,$A232)&gt;0,SUMIFS('Pending Putaway'!$L$2:$L$3000,'Pending Putaway'!$A$2:$A$3000,$K$2,'Pending Putaway'!$B$2:$B$3000,$A232),IF(COUNTIFS('Pending Putaway'!$A$2:$A$3000,$K$2,'Pending Putaway'!$B$2:$B$3000,SUBSTITUTE($A232," SS","  SS"))&gt;0,SUMIFS('Pending Putaway'!$L$2:$L$3000,'Pending Putaway'!$A$2:$A$3000,$K$2,'Pending Putaway'!$B$2:$B$3000,SUBSTITUTE($A232," SS","  SS")),"NA"))</f>
        <v>0</v>
      </c>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row>
    <row r="233" customFormat="false" ht="15.75" hidden="false" customHeight="true" outlineLevel="0" collapsed="false">
      <c r="A233" s="81" t="s">
        <v>304</v>
      </c>
      <c r="B233" s="81" t="str">
        <f aca="false" t="array" ref="B233:B233">IFERROR(INDEX('CLM &amp; IM Mapping'!$B$2:$B$270,MATCH($A233,'CLM &amp; IM Mapping'!$A$2:$A$270,0)),"Not Mapped")</f>
        <v>John Britto</v>
      </c>
      <c r="C233" s="81" t="str">
        <f aca="false" t="array" ref="C233:C233">IFERROR(INDEX('CLM &amp; IM Mapping'!$C$2:$C$270,MATCH($A233,'CLM &amp; IM Mapping'!$A$2:$A$270,0)),"Not Mapped")</f>
        <v>Aravind S</v>
      </c>
      <c r="D233" s="82" t="n">
        <f aca="false">IF(COUNTIFS(Shrinkage!$A$2:$A$3000,$K$2,Shrinkage!$D$2:$D$3000,$A233)&gt;0,SUMIFS(Shrinkage!$P$2:$P$3000,Shrinkage!$A$2:$A$3000,$K$2,Shrinkage!$D$2:$D$3000,$A233),IF(COUNTIFS(Shrinkage!$A$2:$A$3000,$K$2,Shrinkage!$D$2:$D$3000,SUBSTITUTE($A233," SS","  SS"))&gt;0,SUMIFS(Shrinkage!$P$2:$P$3000,Shrinkage!$A$2:$A$3000,$K$2,Shrinkage!$D$2:$D$3000,SUBSTITUTE($A233," SS","  SS")),"NA"))</f>
        <v>21</v>
      </c>
      <c r="E233" s="83" t="n">
        <f aca="false">IF(COUNTIFS('Inventory Hygiene'!$A$2:$A$3000,$K$2,'Inventory Hygiene'!$B$2:$B$3000,$A233)&gt;0,AVERAGEIFS('Inventory Hygiene'!$J$2:$J$3000,'Inventory Hygiene'!$A$2:$A$3000,$K$2,'Inventory Hygiene'!$B$2:$B$3000,$A233),IF(COUNTIFS('Inventory Hygiene'!$A$2:$A$3000,$K$2,'Inventory Hygiene'!$B$2:$B$3000,SUBSTITUTE($A233," SS","  SS"))&gt;0,AVERAGEIFS('Inventory Hygiene'!$J$2:$J$3000,'Inventory Hygiene'!$A$2:$A$3000,$K$2,'Inventory Hygiene'!$B$2:$B$3000,SUBSTITUTE($A233," SS","  SS")),"NA"))</f>
        <v>0.67156772652086</v>
      </c>
      <c r="F233" s="81" t="n">
        <f aca="false">IF(COUNTIFS('Bad Bins'!$A$2:$A$3000,$K$2,'Bad Bins'!$B$2:$B$3000,$A233)&gt;0,SUMIFS('Bad Bins'!$K$2:$K$3000,'Bad Bins'!$A$2:$A$3000,$K$2,'Bad Bins'!$B$2:$B$3000,$A233),IF(COUNTIFS('Bad Bins'!$A$2:$A$3000,$K$2,'Bad Bins'!$B$2:$B$3000,SUBSTITUTE($A233," SS","  SS"))&gt;0,SUMIFS('Bad Bins'!$K$2:$K$3000,'Bad Bins'!$A$2:$A$3000,$K$2,'Bad Bins'!$B$2:$B$3000,SUBSTITUTE($A233," SS","  SS")),"NA"))</f>
        <v>68</v>
      </c>
      <c r="G233" s="81" t="str">
        <f aca="false">IF(COUNTIFS('RSTO &gt; 48hrs'!$A$2:$A$3000,$K$2,'RSTO &gt; 48hrs'!$B$2:$B$3000,$A233)&gt;0,SUMIFS('RSTO &gt; 48hrs'!$H$2:$H$3000,'RSTO &gt; 48hrs'!$A$2:$A$3000,$K$2,'RSTO &gt; 48hrs'!$B$2:$B$3000,$A233),IF(COUNTIFS('RSTO &gt; 48hrs'!$A$2:$A$3000,$K$2,'RSTO &gt; 48hrs'!$B$2:$B$3000,SUBSTITUTE($A233," SS","  SS"))&gt;0,SUMIFS('RSTO &gt; 48hrs'!$H$2:$H$3000,'RSTO &gt; 48hrs'!$A$2:$A$3000,$K$2,'RSTO &gt; 48hrs'!$B$2:$B$3000,SUBSTITUTE($A233," SS","  SS")),"NA"))</f>
        <v>NA</v>
      </c>
      <c r="H233" s="81" t="str">
        <f aca="false">IF(COUNTIFS('Recirculation &gt; 24 hrs'!$A$2:$A$3000,$K$2,'Recirculation &gt; 24 hrs'!$B$2:$B$3000,$A233)&gt;0,SUMIFS('Recirculation &gt; 24 hrs'!$K$2:$K$3000,'Recirculation &gt; 24 hrs'!$A$2:$A$3000,$K$2,'Recirculation &gt; 24 hrs'!$B$2:$B$3000,$A233),IF(COUNTIFS('Recirculation &gt; 24 hrs'!$A$2:$A$3000,$K$2,'Recirculation &gt; 24 hrs'!$B$2:$B$3000,SUBSTITUTE($A233," SS","  SS"))&gt;0,SUMIFS('Recirculation &gt; 24 hrs'!$K$2:$K$3000,'Recirculation &gt; 24 hrs'!$A$2:$A$3000,$K$2,'Recirculation &gt; 24 hrs'!$B$2:$B$3000,SUBSTITUTE($A233," SS","  SS")),"NA"))</f>
        <v>NA</v>
      </c>
      <c r="I233" s="81" t="n">
        <f aca="false">IF(COUNTIFS('Pending Putaway'!$A$2:$A$3000,$K$2,'Pending Putaway'!$B$2:$B$3000,$A233)&gt;0,SUMIFS('Pending Putaway'!$E$2:$E$3000,'Pending Putaway'!$A$2:$A$3000,$K$2,'Pending Putaway'!$B$2:$B$3000,$A233),IF(COUNTIFS('Pending Putaway'!$A$2:$A$3000,$K$2,'Pending Putaway'!$B$2:$B$3000,SUBSTITUTE($A233," SS","  SS"))&gt;0,SUMIFS('Pending Putaway'!$E$2:$E$3000,'Pending Putaway'!$A$2:$A$3000,$K$2,'Pending Putaway'!$B$2:$B$3000,SUBSTITUTE($A233," SS","  SS")),"NA"))</f>
        <v>0</v>
      </c>
      <c r="J233" s="81" t="n">
        <f aca="false">IF(COUNTIFS('Pending Putaway'!$A$2:$A$3000,$K$2,'Pending Putaway'!$B$2:$B$3000,$A233)&gt;0,SUMIFS('Pending Putaway'!$L$2:$L$3000,'Pending Putaway'!$A$2:$A$3000,$K$2,'Pending Putaway'!$B$2:$B$3000,$A233),IF(COUNTIFS('Pending Putaway'!$A$2:$A$3000,$K$2,'Pending Putaway'!$B$2:$B$3000,SUBSTITUTE($A233," SS","  SS"))&gt;0,SUMIFS('Pending Putaway'!$L$2:$L$3000,'Pending Putaway'!$A$2:$A$3000,$K$2,'Pending Putaway'!$B$2:$B$3000,SUBSTITUTE($A233," SS","  SS")),"NA"))</f>
        <v>0</v>
      </c>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row>
    <row r="234" customFormat="false" ht="15.75" hidden="false" customHeight="true" outlineLevel="0" collapsed="false">
      <c r="A234" s="81" t="s">
        <v>520</v>
      </c>
      <c r="B234" s="81" t="str">
        <f aca="false" t="array" ref="B234:B234">IFERROR(INDEX('CLM &amp; IM Mapping'!$B$2:$B$270,MATCH($A234,'CLM &amp; IM Mapping'!$A$2:$A$270,0)),"Not Mapped")</f>
        <v>John Britto</v>
      </c>
      <c r="C234" s="81" t="str">
        <f aca="false" t="array" ref="C234:C234">IFERROR(INDEX('CLM &amp; IM Mapping'!$C$2:$C$270,MATCH($A234,'CLM &amp; IM Mapping'!$A$2:$A$270,0)),"Not Mapped")</f>
        <v>Aravind S</v>
      </c>
      <c r="D234" s="82" t="n">
        <f aca="false">IF(COUNTIFS(Shrinkage!$A$2:$A$3000,$K$2,Shrinkage!$D$2:$D$3000,$A234)&gt;0,SUMIFS(Shrinkage!$P$2:$P$3000,Shrinkage!$A$2:$A$3000,$K$2,Shrinkage!$D$2:$D$3000,$A234),IF(COUNTIFS(Shrinkage!$A$2:$A$3000,$K$2,Shrinkage!$D$2:$D$3000,SUBSTITUTE($A234," SS","  SS"))&gt;0,SUMIFS(Shrinkage!$P$2:$P$3000,Shrinkage!$A$2:$A$3000,$K$2,Shrinkage!$D$2:$D$3000,SUBSTITUTE($A234," SS","  SS")),"NA"))</f>
        <v>-33899</v>
      </c>
      <c r="E234" s="83" t="n">
        <f aca="false">IF(COUNTIFS('Inventory Hygiene'!$A$2:$A$3000,$K$2,'Inventory Hygiene'!$B$2:$B$3000,$A234)&gt;0,AVERAGEIFS('Inventory Hygiene'!$J$2:$J$3000,'Inventory Hygiene'!$A$2:$A$3000,$K$2,'Inventory Hygiene'!$B$2:$B$3000,$A234),IF(COUNTIFS('Inventory Hygiene'!$A$2:$A$3000,$K$2,'Inventory Hygiene'!$B$2:$B$3000,SUBSTITUTE($A234," SS","  SS"))&gt;0,AVERAGEIFS('Inventory Hygiene'!$J$2:$J$3000,'Inventory Hygiene'!$A$2:$A$3000,$K$2,'Inventory Hygiene'!$B$2:$B$3000,SUBSTITUTE($A234," SS","  SS")),"NA"))</f>
        <v>0.877008211353088</v>
      </c>
      <c r="F234" s="81" t="n">
        <f aca="false">IF(COUNTIFS('Bad Bins'!$A$2:$A$3000,$K$2,'Bad Bins'!$B$2:$B$3000,$A234)&gt;0,SUMIFS('Bad Bins'!$K$2:$K$3000,'Bad Bins'!$A$2:$A$3000,$K$2,'Bad Bins'!$B$2:$B$3000,$A234),IF(COUNTIFS('Bad Bins'!$A$2:$A$3000,$K$2,'Bad Bins'!$B$2:$B$3000,SUBSTITUTE($A234," SS","  SS"))&gt;0,SUMIFS('Bad Bins'!$K$2:$K$3000,'Bad Bins'!$A$2:$A$3000,$K$2,'Bad Bins'!$B$2:$B$3000,SUBSTITUTE($A234," SS","  SS")),"NA"))</f>
        <v>36</v>
      </c>
      <c r="G234" s="81" t="str">
        <f aca="false">IF(COUNTIFS('RSTO &gt; 48hrs'!$A$2:$A$3000,$K$2,'RSTO &gt; 48hrs'!$B$2:$B$3000,$A234)&gt;0,SUMIFS('RSTO &gt; 48hrs'!$H$2:$H$3000,'RSTO &gt; 48hrs'!$A$2:$A$3000,$K$2,'RSTO &gt; 48hrs'!$B$2:$B$3000,$A234),IF(COUNTIFS('RSTO &gt; 48hrs'!$A$2:$A$3000,$K$2,'RSTO &gt; 48hrs'!$B$2:$B$3000,SUBSTITUTE($A234," SS","  SS"))&gt;0,SUMIFS('RSTO &gt; 48hrs'!$H$2:$H$3000,'RSTO &gt; 48hrs'!$A$2:$A$3000,$K$2,'RSTO &gt; 48hrs'!$B$2:$B$3000,SUBSTITUTE($A234," SS","  SS")),"NA"))</f>
        <v>NA</v>
      </c>
      <c r="H234" s="81" t="str">
        <f aca="false">IF(COUNTIFS('Recirculation &gt; 24 hrs'!$A$2:$A$3000,$K$2,'Recirculation &gt; 24 hrs'!$B$2:$B$3000,$A234)&gt;0,SUMIFS('Recirculation &gt; 24 hrs'!$K$2:$K$3000,'Recirculation &gt; 24 hrs'!$A$2:$A$3000,$K$2,'Recirculation &gt; 24 hrs'!$B$2:$B$3000,$A234),IF(COUNTIFS('Recirculation &gt; 24 hrs'!$A$2:$A$3000,$K$2,'Recirculation &gt; 24 hrs'!$B$2:$B$3000,SUBSTITUTE($A234," SS","  SS"))&gt;0,SUMIFS('Recirculation &gt; 24 hrs'!$K$2:$K$3000,'Recirculation &gt; 24 hrs'!$A$2:$A$3000,$K$2,'Recirculation &gt; 24 hrs'!$B$2:$B$3000,SUBSTITUTE($A234," SS","  SS")),"NA"))</f>
        <v>NA</v>
      </c>
      <c r="I234" s="81" t="n">
        <f aca="false">IF(COUNTIFS('Pending Putaway'!$A$2:$A$3000,$K$2,'Pending Putaway'!$B$2:$B$3000,$A234)&gt;0,SUMIFS('Pending Putaway'!$E$2:$E$3000,'Pending Putaway'!$A$2:$A$3000,$K$2,'Pending Putaway'!$B$2:$B$3000,$A234),IF(COUNTIFS('Pending Putaway'!$A$2:$A$3000,$K$2,'Pending Putaway'!$B$2:$B$3000,SUBSTITUTE($A234," SS","  SS"))&gt;0,SUMIFS('Pending Putaway'!$E$2:$E$3000,'Pending Putaway'!$A$2:$A$3000,$K$2,'Pending Putaway'!$B$2:$B$3000,SUBSTITUTE($A234," SS","  SS")),"NA"))</f>
        <v>0</v>
      </c>
      <c r="J234" s="81" t="n">
        <f aca="false">IF(COUNTIFS('Pending Putaway'!$A$2:$A$3000,$K$2,'Pending Putaway'!$B$2:$B$3000,$A234)&gt;0,SUMIFS('Pending Putaway'!$L$2:$L$3000,'Pending Putaway'!$A$2:$A$3000,$K$2,'Pending Putaway'!$B$2:$B$3000,$A234),IF(COUNTIFS('Pending Putaway'!$A$2:$A$3000,$K$2,'Pending Putaway'!$B$2:$B$3000,SUBSTITUTE($A234," SS","  SS"))&gt;0,SUMIFS('Pending Putaway'!$L$2:$L$3000,'Pending Putaway'!$A$2:$A$3000,$K$2,'Pending Putaway'!$B$2:$B$3000,SUBSTITUTE($A234," SS","  SS")),"NA"))</f>
        <v>0</v>
      </c>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row>
    <row r="235" customFormat="false" ht="15.75" hidden="false" customHeight="true" outlineLevel="0" collapsed="false">
      <c r="A235" s="81" t="s">
        <v>319</v>
      </c>
      <c r="B235" s="81" t="str">
        <f aca="false" t="array" ref="B235:B235">IFERROR(INDEX('CLM &amp; IM Mapping'!$B$2:$B$270,MATCH($A235,'CLM &amp; IM Mapping'!$A$2:$A$270,0)),"Not Mapped")</f>
        <v>John Britto</v>
      </c>
      <c r="C235" s="81" t="str">
        <f aca="false" t="array" ref="C235:C235">IFERROR(INDEX('CLM &amp; IM Mapping'!$C$2:$C$270,MATCH($A235,'CLM &amp; IM Mapping'!$A$2:$A$270,0)),"Not Mapped")</f>
        <v>Aravind S</v>
      </c>
      <c r="D235" s="82" t="n">
        <f aca="false">IF(COUNTIFS(Shrinkage!$A$2:$A$3000,$K$2,Shrinkage!$D$2:$D$3000,$A235)&gt;0,SUMIFS(Shrinkage!$P$2:$P$3000,Shrinkage!$A$2:$A$3000,$K$2,Shrinkage!$D$2:$D$3000,$A235),IF(COUNTIFS(Shrinkage!$A$2:$A$3000,$K$2,Shrinkage!$D$2:$D$3000,SUBSTITUTE($A235," SS","  SS"))&gt;0,SUMIFS(Shrinkage!$P$2:$P$3000,Shrinkage!$A$2:$A$3000,$K$2,Shrinkage!$D$2:$D$3000,SUBSTITUTE($A235," SS","  SS")),"NA"))</f>
        <v>733</v>
      </c>
      <c r="E235" s="83" t="n">
        <f aca="false">IF(COUNTIFS('Inventory Hygiene'!$A$2:$A$3000,$K$2,'Inventory Hygiene'!$B$2:$B$3000,$A235)&gt;0,AVERAGEIFS('Inventory Hygiene'!$J$2:$J$3000,'Inventory Hygiene'!$A$2:$A$3000,$K$2,'Inventory Hygiene'!$B$2:$B$3000,$A235),IF(COUNTIFS('Inventory Hygiene'!$A$2:$A$3000,$K$2,'Inventory Hygiene'!$B$2:$B$3000,SUBSTITUTE($A235," SS","  SS"))&gt;0,AVERAGEIFS('Inventory Hygiene'!$J$2:$J$3000,'Inventory Hygiene'!$A$2:$A$3000,$K$2,'Inventory Hygiene'!$B$2:$B$3000,SUBSTITUTE($A235," SS","  SS")),"NA"))</f>
        <v>0.194041739684563</v>
      </c>
      <c r="F235" s="81" t="n">
        <f aca="false">IF(COUNTIFS('Bad Bins'!$A$2:$A$3000,$K$2,'Bad Bins'!$B$2:$B$3000,$A235)&gt;0,SUMIFS('Bad Bins'!$K$2:$K$3000,'Bad Bins'!$A$2:$A$3000,$K$2,'Bad Bins'!$B$2:$B$3000,$A235),IF(COUNTIFS('Bad Bins'!$A$2:$A$3000,$K$2,'Bad Bins'!$B$2:$B$3000,SUBSTITUTE($A235," SS","  SS"))&gt;0,SUMIFS('Bad Bins'!$K$2:$K$3000,'Bad Bins'!$A$2:$A$3000,$K$2,'Bad Bins'!$B$2:$B$3000,SUBSTITUTE($A235," SS","  SS")),"NA"))</f>
        <v>137</v>
      </c>
      <c r="G235" s="81" t="str">
        <f aca="false">IF(COUNTIFS('RSTO &gt; 48hrs'!$A$2:$A$3000,$K$2,'RSTO &gt; 48hrs'!$B$2:$B$3000,$A235)&gt;0,SUMIFS('RSTO &gt; 48hrs'!$H$2:$H$3000,'RSTO &gt; 48hrs'!$A$2:$A$3000,$K$2,'RSTO &gt; 48hrs'!$B$2:$B$3000,$A235),IF(COUNTIFS('RSTO &gt; 48hrs'!$A$2:$A$3000,$K$2,'RSTO &gt; 48hrs'!$B$2:$B$3000,SUBSTITUTE($A235," SS","  SS"))&gt;0,SUMIFS('RSTO &gt; 48hrs'!$H$2:$H$3000,'RSTO &gt; 48hrs'!$A$2:$A$3000,$K$2,'RSTO &gt; 48hrs'!$B$2:$B$3000,SUBSTITUTE($A235," SS","  SS")),"NA"))</f>
        <v>NA</v>
      </c>
      <c r="H235" s="81" t="str">
        <f aca="false">IF(COUNTIFS('Recirculation &gt; 24 hrs'!$A$2:$A$3000,$K$2,'Recirculation &gt; 24 hrs'!$B$2:$B$3000,$A235)&gt;0,SUMIFS('Recirculation &gt; 24 hrs'!$K$2:$K$3000,'Recirculation &gt; 24 hrs'!$A$2:$A$3000,$K$2,'Recirculation &gt; 24 hrs'!$B$2:$B$3000,$A235),IF(COUNTIFS('Recirculation &gt; 24 hrs'!$A$2:$A$3000,$K$2,'Recirculation &gt; 24 hrs'!$B$2:$B$3000,SUBSTITUTE($A235," SS","  SS"))&gt;0,SUMIFS('Recirculation &gt; 24 hrs'!$K$2:$K$3000,'Recirculation &gt; 24 hrs'!$A$2:$A$3000,$K$2,'Recirculation &gt; 24 hrs'!$B$2:$B$3000,SUBSTITUTE($A235," SS","  SS")),"NA"))</f>
        <v>NA</v>
      </c>
      <c r="I235" s="81" t="n">
        <f aca="false">IF(COUNTIFS('Pending Putaway'!$A$2:$A$3000,$K$2,'Pending Putaway'!$B$2:$B$3000,$A235)&gt;0,SUMIFS('Pending Putaway'!$E$2:$E$3000,'Pending Putaway'!$A$2:$A$3000,$K$2,'Pending Putaway'!$B$2:$B$3000,$A235),IF(COUNTIFS('Pending Putaway'!$A$2:$A$3000,$K$2,'Pending Putaway'!$B$2:$B$3000,SUBSTITUTE($A235," SS","  SS"))&gt;0,SUMIFS('Pending Putaway'!$E$2:$E$3000,'Pending Putaway'!$A$2:$A$3000,$K$2,'Pending Putaway'!$B$2:$B$3000,SUBSTITUTE($A235," SS","  SS")),"NA"))</f>
        <v>1655</v>
      </c>
      <c r="J235" s="81" t="n">
        <f aca="false">IF(COUNTIFS('Pending Putaway'!$A$2:$A$3000,$K$2,'Pending Putaway'!$B$2:$B$3000,$A235)&gt;0,SUMIFS('Pending Putaway'!$L$2:$L$3000,'Pending Putaway'!$A$2:$A$3000,$K$2,'Pending Putaway'!$B$2:$B$3000,$A235),IF(COUNTIFS('Pending Putaway'!$A$2:$A$3000,$K$2,'Pending Putaway'!$B$2:$B$3000,SUBSTITUTE($A235," SS","  SS"))&gt;0,SUMIFS('Pending Putaway'!$L$2:$L$3000,'Pending Putaway'!$A$2:$A$3000,$K$2,'Pending Putaway'!$B$2:$B$3000,SUBSTITUTE($A235," SS","  SS")),"NA"))</f>
        <v>1655</v>
      </c>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row>
    <row r="236" customFormat="false" ht="15.75" hidden="false" customHeight="true" outlineLevel="0" collapsed="false">
      <c r="A236" s="81" t="s">
        <v>391</v>
      </c>
      <c r="B236" s="81" t="str">
        <f aca="false" t="array" ref="B236:B236">IFERROR(INDEX('CLM &amp; IM Mapping'!$B$2:$B$270,MATCH($A236,'CLM &amp; IM Mapping'!$A$2:$A$270,0)),"Not Mapped")</f>
        <v>John Britto</v>
      </c>
      <c r="C236" s="81" t="str">
        <f aca="false" t="array" ref="C236:C236">IFERROR(INDEX('CLM &amp; IM Mapping'!$C$2:$C$270,MATCH($A236,'CLM &amp; IM Mapping'!$A$2:$A$270,0)),"Not Mapped")</f>
        <v>Aravind S</v>
      </c>
      <c r="D236" s="82" t="n">
        <f aca="false">IF(COUNTIFS(Shrinkage!$A$2:$A$3000,$K$2,Shrinkage!$D$2:$D$3000,$A236)&gt;0,SUMIFS(Shrinkage!$P$2:$P$3000,Shrinkage!$A$2:$A$3000,$K$2,Shrinkage!$D$2:$D$3000,$A236),IF(COUNTIFS(Shrinkage!$A$2:$A$3000,$K$2,Shrinkage!$D$2:$D$3000,SUBSTITUTE($A236," SS","  SS"))&gt;0,SUMIFS(Shrinkage!$P$2:$P$3000,Shrinkage!$A$2:$A$3000,$K$2,Shrinkage!$D$2:$D$3000,SUBSTITUTE($A236," SS","  SS")),"NA"))</f>
        <v>499</v>
      </c>
      <c r="E236" s="83" t="n">
        <f aca="false">IF(COUNTIFS('Inventory Hygiene'!$A$2:$A$3000,$K$2,'Inventory Hygiene'!$B$2:$B$3000,$A236)&gt;0,AVERAGEIFS('Inventory Hygiene'!$J$2:$J$3000,'Inventory Hygiene'!$A$2:$A$3000,$K$2,'Inventory Hygiene'!$B$2:$B$3000,$A236),IF(COUNTIFS('Inventory Hygiene'!$A$2:$A$3000,$K$2,'Inventory Hygiene'!$B$2:$B$3000,SUBSTITUTE($A236," SS","  SS"))&gt;0,AVERAGEIFS('Inventory Hygiene'!$J$2:$J$3000,'Inventory Hygiene'!$A$2:$A$3000,$K$2,'Inventory Hygiene'!$B$2:$B$3000,SUBSTITUTE($A236," SS","  SS")),"NA"))</f>
        <v>0.0754790770434102</v>
      </c>
      <c r="F236" s="81" t="n">
        <f aca="false">IF(COUNTIFS('Bad Bins'!$A$2:$A$3000,$K$2,'Bad Bins'!$B$2:$B$3000,$A236)&gt;0,SUMIFS('Bad Bins'!$K$2:$K$3000,'Bad Bins'!$A$2:$A$3000,$K$2,'Bad Bins'!$B$2:$B$3000,$A236),IF(COUNTIFS('Bad Bins'!$A$2:$A$3000,$K$2,'Bad Bins'!$B$2:$B$3000,SUBSTITUTE($A236," SS","  SS"))&gt;0,SUMIFS('Bad Bins'!$K$2:$K$3000,'Bad Bins'!$A$2:$A$3000,$K$2,'Bad Bins'!$B$2:$B$3000,SUBSTITUTE($A236," SS","  SS")),"NA"))</f>
        <v>29</v>
      </c>
      <c r="G236" s="81" t="str">
        <f aca="false">IF(COUNTIFS('RSTO &gt; 48hrs'!$A$2:$A$3000,$K$2,'RSTO &gt; 48hrs'!$B$2:$B$3000,$A236)&gt;0,SUMIFS('RSTO &gt; 48hrs'!$H$2:$H$3000,'RSTO &gt; 48hrs'!$A$2:$A$3000,$K$2,'RSTO &gt; 48hrs'!$B$2:$B$3000,$A236),IF(COUNTIFS('RSTO &gt; 48hrs'!$A$2:$A$3000,$K$2,'RSTO &gt; 48hrs'!$B$2:$B$3000,SUBSTITUTE($A236," SS","  SS"))&gt;0,SUMIFS('RSTO &gt; 48hrs'!$H$2:$H$3000,'RSTO &gt; 48hrs'!$A$2:$A$3000,$K$2,'RSTO &gt; 48hrs'!$B$2:$B$3000,SUBSTITUTE($A236," SS","  SS")),"NA"))</f>
        <v>NA</v>
      </c>
      <c r="H236" s="81" t="str">
        <f aca="false">IF(COUNTIFS('Recirculation &gt; 24 hrs'!$A$2:$A$3000,$K$2,'Recirculation &gt; 24 hrs'!$B$2:$B$3000,$A236)&gt;0,SUMIFS('Recirculation &gt; 24 hrs'!$K$2:$K$3000,'Recirculation &gt; 24 hrs'!$A$2:$A$3000,$K$2,'Recirculation &gt; 24 hrs'!$B$2:$B$3000,$A236),IF(COUNTIFS('Recirculation &gt; 24 hrs'!$A$2:$A$3000,$K$2,'Recirculation &gt; 24 hrs'!$B$2:$B$3000,SUBSTITUTE($A236," SS","  SS"))&gt;0,SUMIFS('Recirculation &gt; 24 hrs'!$K$2:$K$3000,'Recirculation &gt; 24 hrs'!$A$2:$A$3000,$K$2,'Recirculation &gt; 24 hrs'!$B$2:$B$3000,SUBSTITUTE($A236," SS","  SS")),"NA"))</f>
        <v>NA</v>
      </c>
      <c r="I236" s="81" t="n">
        <f aca="false">IF(COUNTIFS('Pending Putaway'!$A$2:$A$3000,$K$2,'Pending Putaway'!$B$2:$B$3000,$A236)&gt;0,SUMIFS('Pending Putaway'!$E$2:$E$3000,'Pending Putaway'!$A$2:$A$3000,$K$2,'Pending Putaway'!$B$2:$B$3000,$A236),IF(COUNTIFS('Pending Putaway'!$A$2:$A$3000,$K$2,'Pending Putaway'!$B$2:$B$3000,SUBSTITUTE($A236," SS","  SS"))&gt;0,SUMIFS('Pending Putaway'!$E$2:$E$3000,'Pending Putaway'!$A$2:$A$3000,$K$2,'Pending Putaway'!$B$2:$B$3000,SUBSTITUTE($A236," SS","  SS")),"NA"))</f>
        <v>0</v>
      </c>
      <c r="J236" s="81" t="n">
        <f aca="false">IF(COUNTIFS('Pending Putaway'!$A$2:$A$3000,$K$2,'Pending Putaway'!$B$2:$B$3000,$A236)&gt;0,SUMIFS('Pending Putaway'!$L$2:$L$3000,'Pending Putaway'!$A$2:$A$3000,$K$2,'Pending Putaway'!$B$2:$B$3000,$A236),IF(COUNTIFS('Pending Putaway'!$A$2:$A$3000,$K$2,'Pending Putaway'!$B$2:$B$3000,SUBSTITUTE($A236," SS","  SS"))&gt;0,SUMIFS('Pending Putaway'!$L$2:$L$3000,'Pending Putaway'!$A$2:$A$3000,$K$2,'Pending Putaway'!$B$2:$B$3000,SUBSTITUTE($A236," SS","  SS")),"NA"))</f>
        <v>0</v>
      </c>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row>
    <row r="237" customFormat="false" ht="15.75" hidden="false" customHeight="true" outlineLevel="0" collapsed="false">
      <c r="A237" s="81" t="s">
        <v>399</v>
      </c>
      <c r="B237" s="81" t="str">
        <f aca="false" t="array" ref="B237:B237">IFERROR(INDEX('CLM &amp; IM Mapping'!$B$2:$B$270,MATCH($A237,'CLM &amp; IM Mapping'!$A$2:$A$270,0)),"Not Mapped")</f>
        <v>John Britto</v>
      </c>
      <c r="C237" s="81" t="str">
        <f aca="false" t="array" ref="C237:C237">IFERROR(INDEX('CLM &amp; IM Mapping'!$C$2:$C$270,MATCH($A237,'CLM &amp; IM Mapping'!$A$2:$A$270,0)),"Not Mapped")</f>
        <v>Aravind S</v>
      </c>
      <c r="D237" s="82" t="n">
        <f aca="false">IF(COUNTIFS(Shrinkage!$A$2:$A$3000,$K$2,Shrinkage!$D$2:$D$3000,$A237)&gt;0,SUMIFS(Shrinkage!$P$2:$P$3000,Shrinkage!$A$2:$A$3000,$K$2,Shrinkage!$D$2:$D$3000,$A237),IF(COUNTIFS(Shrinkage!$A$2:$A$3000,$K$2,Shrinkage!$D$2:$D$3000,SUBSTITUTE($A237," SS","  SS"))&gt;0,SUMIFS(Shrinkage!$P$2:$P$3000,Shrinkage!$A$2:$A$3000,$K$2,Shrinkage!$D$2:$D$3000,SUBSTITUTE($A237," SS","  SS")),"NA"))</f>
        <v>-3891</v>
      </c>
      <c r="E237" s="83" t="n">
        <f aca="false">IF(COUNTIFS('Inventory Hygiene'!$A$2:$A$3000,$K$2,'Inventory Hygiene'!$B$2:$B$3000,$A237)&gt;0,AVERAGEIFS('Inventory Hygiene'!$J$2:$J$3000,'Inventory Hygiene'!$A$2:$A$3000,$K$2,'Inventory Hygiene'!$B$2:$B$3000,$A237),IF(COUNTIFS('Inventory Hygiene'!$A$2:$A$3000,$K$2,'Inventory Hygiene'!$B$2:$B$3000,SUBSTITUTE($A237," SS","  SS"))&gt;0,AVERAGEIFS('Inventory Hygiene'!$J$2:$J$3000,'Inventory Hygiene'!$A$2:$A$3000,$K$2,'Inventory Hygiene'!$B$2:$B$3000,SUBSTITUTE($A237," SS","  SS")),"NA"))</f>
        <v>0.349767572897591</v>
      </c>
      <c r="F237" s="81" t="n">
        <f aca="false">IF(COUNTIFS('Bad Bins'!$A$2:$A$3000,$K$2,'Bad Bins'!$B$2:$B$3000,$A237)&gt;0,SUMIFS('Bad Bins'!$K$2:$K$3000,'Bad Bins'!$A$2:$A$3000,$K$2,'Bad Bins'!$B$2:$B$3000,$A237),IF(COUNTIFS('Bad Bins'!$A$2:$A$3000,$K$2,'Bad Bins'!$B$2:$B$3000,SUBSTITUTE($A237," SS","  SS"))&gt;0,SUMIFS('Bad Bins'!$K$2:$K$3000,'Bad Bins'!$A$2:$A$3000,$K$2,'Bad Bins'!$B$2:$B$3000,SUBSTITUTE($A237," SS","  SS")),"NA"))</f>
        <v>0</v>
      </c>
      <c r="G237" s="81" t="str">
        <f aca="false">IF(COUNTIFS('RSTO &gt; 48hrs'!$A$2:$A$3000,$K$2,'RSTO &gt; 48hrs'!$B$2:$B$3000,$A237)&gt;0,SUMIFS('RSTO &gt; 48hrs'!$H$2:$H$3000,'RSTO &gt; 48hrs'!$A$2:$A$3000,$K$2,'RSTO &gt; 48hrs'!$B$2:$B$3000,$A237),IF(COUNTIFS('RSTO &gt; 48hrs'!$A$2:$A$3000,$K$2,'RSTO &gt; 48hrs'!$B$2:$B$3000,SUBSTITUTE($A237," SS","  SS"))&gt;0,SUMIFS('RSTO &gt; 48hrs'!$H$2:$H$3000,'RSTO &gt; 48hrs'!$A$2:$A$3000,$K$2,'RSTO &gt; 48hrs'!$B$2:$B$3000,SUBSTITUTE($A237," SS","  SS")),"NA"))</f>
        <v>NA</v>
      </c>
      <c r="H237" s="81" t="str">
        <f aca="false">IF(COUNTIFS('Recirculation &gt; 24 hrs'!$A$2:$A$3000,$K$2,'Recirculation &gt; 24 hrs'!$B$2:$B$3000,$A237)&gt;0,SUMIFS('Recirculation &gt; 24 hrs'!$K$2:$K$3000,'Recirculation &gt; 24 hrs'!$A$2:$A$3000,$K$2,'Recirculation &gt; 24 hrs'!$B$2:$B$3000,$A237),IF(COUNTIFS('Recirculation &gt; 24 hrs'!$A$2:$A$3000,$K$2,'Recirculation &gt; 24 hrs'!$B$2:$B$3000,SUBSTITUTE($A237," SS","  SS"))&gt;0,SUMIFS('Recirculation &gt; 24 hrs'!$K$2:$K$3000,'Recirculation &gt; 24 hrs'!$A$2:$A$3000,$K$2,'Recirculation &gt; 24 hrs'!$B$2:$B$3000,SUBSTITUTE($A237," SS","  SS")),"NA"))</f>
        <v>NA</v>
      </c>
      <c r="I237" s="81" t="n">
        <f aca="false">IF(COUNTIFS('Pending Putaway'!$A$2:$A$3000,$K$2,'Pending Putaway'!$B$2:$B$3000,$A237)&gt;0,SUMIFS('Pending Putaway'!$E$2:$E$3000,'Pending Putaway'!$A$2:$A$3000,$K$2,'Pending Putaway'!$B$2:$B$3000,$A237),IF(COUNTIFS('Pending Putaway'!$A$2:$A$3000,$K$2,'Pending Putaway'!$B$2:$B$3000,SUBSTITUTE($A237," SS","  SS"))&gt;0,SUMIFS('Pending Putaway'!$E$2:$E$3000,'Pending Putaway'!$A$2:$A$3000,$K$2,'Pending Putaway'!$B$2:$B$3000,SUBSTITUTE($A237," SS","  SS")),"NA"))</f>
        <v>0</v>
      </c>
      <c r="J237" s="81" t="n">
        <f aca="false">IF(COUNTIFS('Pending Putaway'!$A$2:$A$3000,$K$2,'Pending Putaway'!$B$2:$B$3000,$A237)&gt;0,SUMIFS('Pending Putaway'!$L$2:$L$3000,'Pending Putaway'!$A$2:$A$3000,$K$2,'Pending Putaway'!$B$2:$B$3000,$A237),IF(COUNTIFS('Pending Putaway'!$A$2:$A$3000,$K$2,'Pending Putaway'!$B$2:$B$3000,SUBSTITUTE($A237," SS","  SS"))&gt;0,SUMIFS('Pending Putaway'!$L$2:$L$3000,'Pending Putaway'!$A$2:$A$3000,$K$2,'Pending Putaway'!$B$2:$B$3000,SUBSTITUTE($A237," SS","  SS")),"NA"))</f>
        <v>0</v>
      </c>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row>
    <row r="238" customFormat="false" ht="15.75" hidden="false" customHeight="true" outlineLevel="0" collapsed="false">
      <c r="A238" s="81" t="s">
        <v>325</v>
      </c>
      <c r="B238" s="81" t="str">
        <f aca="false" t="array" ref="B238:B238">IFERROR(INDEX('CLM &amp; IM Mapping'!$B$2:$B$270,MATCH($A238,'CLM &amp; IM Mapping'!$A$2:$A$270,0)),"Not Mapped")</f>
        <v>Santhosha M</v>
      </c>
      <c r="C238" s="81" t="str">
        <f aca="false" t="array" ref="C238:C238">IFERROR(INDEX('CLM &amp; IM Mapping'!$C$2:$C$270,MATCH($A238,'CLM &amp; IM Mapping'!$A$2:$A$270,0)),"Not Mapped")</f>
        <v>Aravind S</v>
      </c>
      <c r="D238" s="82" t="n">
        <f aca="false">IF(COUNTIFS(Shrinkage!$A$2:$A$3000,$K$2,Shrinkage!$D$2:$D$3000,$A238)&gt;0,SUMIFS(Shrinkage!$P$2:$P$3000,Shrinkage!$A$2:$A$3000,$K$2,Shrinkage!$D$2:$D$3000,$A238),IF(COUNTIFS(Shrinkage!$A$2:$A$3000,$K$2,Shrinkage!$D$2:$D$3000,SUBSTITUTE($A238," SS","  SS"))&gt;0,SUMIFS(Shrinkage!$P$2:$P$3000,Shrinkage!$A$2:$A$3000,$K$2,Shrinkage!$D$2:$D$3000,SUBSTITUTE($A238," SS","  SS")),"NA"))</f>
        <v>6055</v>
      </c>
      <c r="E238" s="83" t="n">
        <f aca="false">IF(COUNTIFS('Inventory Hygiene'!$A$2:$A$3000,$K$2,'Inventory Hygiene'!$B$2:$B$3000,$A238)&gt;0,AVERAGEIFS('Inventory Hygiene'!$J$2:$J$3000,'Inventory Hygiene'!$A$2:$A$3000,$K$2,'Inventory Hygiene'!$B$2:$B$3000,$A238),IF(COUNTIFS('Inventory Hygiene'!$A$2:$A$3000,$K$2,'Inventory Hygiene'!$B$2:$B$3000,SUBSTITUTE($A238," SS","  SS"))&gt;0,AVERAGEIFS('Inventory Hygiene'!$J$2:$J$3000,'Inventory Hygiene'!$A$2:$A$3000,$K$2,'Inventory Hygiene'!$B$2:$B$3000,SUBSTITUTE($A238," SS","  SS")),"NA"))</f>
        <v>0.931792717086835</v>
      </c>
      <c r="F238" s="81" t="n">
        <f aca="false">IF(COUNTIFS('Bad Bins'!$A$2:$A$3000,$K$2,'Bad Bins'!$B$2:$B$3000,$A238)&gt;0,SUMIFS('Bad Bins'!$K$2:$K$3000,'Bad Bins'!$A$2:$A$3000,$K$2,'Bad Bins'!$B$2:$B$3000,$A238),IF(COUNTIFS('Bad Bins'!$A$2:$A$3000,$K$2,'Bad Bins'!$B$2:$B$3000,SUBSTITUTE($A238," SS","  SS"))&gt;0,SUMIFS('Bad Bins'!$K$2:$K$3000,'Bad Bins'!$A$2:$A$3000,$K$2,'Bad Bins'!$B$2:$B$3000,SUBSTITUTE($A238," SS","  SS")),"NA"))</f>
        <v>31</v>
      </c>
      <c r="G238" s="81" t="str">
        <f aca="false">IF(COUNTIFS('RSTO &gt; 48hrs'!$A$2:$A$3000,$K$2,'RSTO &gt; 48hrs'!$B$2:$B$3000,$A238)&gt;0,SUMIFS('RSTO &gt; 48hrs'!$H$2:$H$3000,'RSTO &gt; 48hrs'!$A$2:$A$3000,$K$2,'RSTO &gt; 48hrs'!$B$2:$B$3000,$A238),IF(COUNTIFS('RSTO &gt; 48hrs'!$A$2:$A$3000,$K$2,'RSTO &gt; 48hrs'!$B$2:$B$3000,SUBSTITUTE($A238," SS","  SS"))&gt;0,SUMIFS('RSTO &gt; 48hrs'!$H$2:$H$3000,'RSTO &gt; 48hrs'!$A$2:$A$3000,$K$2,'RSTO &gt; 48hrs'!$B$2:$B$3000,SUBSTITUTE($A238," SS","  SS")),"NA"))</f>
        <v>NA</v>
      </c>
      <c r="H238" s="81" t="str">
        <f aca="false">IF(COUNTIFS('Recirculation &gt; 24 hrs'!$A$2:$A$3000,$K$2,'Recirculation &gt; 24 hrs'!$B$2:$B$3000,$A238)&gt;0,SUMIFS('Recirculation &gt; 24 hrs'!$K$2:$K$3000,'Recirculation &gt; 24 hrs'!$A$2:$A$3000,$K$2,'Recirculation &gt; 24 hrs'!$B$2:$B$3000,$A238),IF(COUNTIFS('Recirculation &gt; 24 hrs'!$A$2:$A$3000,$K$2,'Recirculation &gt; 24 hrs'!$B$2:$B$3000,SUBSTITUTE($A238," SS","  SS"))&gt;0,SUMIFS('Recirculation &gt; 24 hrs'!$K$2:$K$3000,'Recirculation &gt; 24 hrs'!$A$2:$A$3000,$K$2,'Recirculation &gt; 24 hrs'!$B$2:$B$3000,SUBSTITUTE($A238," SS","  SS")),"NA"))</f>
        <v>NA</v>
      </c>
      <c r="I238" s="81" t="n">
        <f aca="false">IF(COUNTIFS('Pending Putaway'!$A$2:$A$3000,$K$2,'Pending Putaway'!$B$2:$B$3000,$A238)&gt;0,SUMIFS('Pending Putaway'!$E$2:$E$3000,'Pending Putaway'!$A$2:$A$3000,$K$2,'Pending Putaway'!$B$2:$B$3000,$A238),IF(COUNTIFS('Pending Putaway'!$A$2:$A$3000,$K$2,'Pending Putaway'!$B$2:$B$3000,SUBSTITUTE($A238," SS","  SS"))&gt;0,SUMIFS('Pending Putaway'!$E$2:$E$3000,'Pending Putaway'!$A$2:$A$3000,$K$2,'Pending Putaway'!$B$2:$B$3000,SUBSTITUTE($A238," SS","  SS")),"NA"))</f>
        <v>4111</v>
      </c>
      <c r="J238" s="81" t="n">
        <f aca="false">IF(COUNTIFS('Pending Putaway'!$A$2:$A$3000,$K$2,'Pending Putaway'!$B$2:$B$3000,$A238)&gt;0,SUMIFS('Pending Putaway'!$L$2:$L$3000,'Pending Putaway'!$A$2:$A$3000,$K$2,'Pending Putaway'!$B$2:$B$3000,$A238),IF(COUNTIFS('Pending Putaway'!$A$2:$A$3000,$K$2,'Pending Putaway'!$B$2:$B$3000,SUBSTITUTE($A238," SS","  SS"))&gt;0,SUMIFS('Pending Putaway'!$L$2:$L$3000,'Pending Putaway'!$A$2:$A$3000,$K$2,'Pending Putaway'!$B$2:$B$3000,SUBSTITUTE($A238," SS","  SS")),"NA"))</f>
        <v>0</v>
      </c>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row>
    <row r="239" customFormat="false" ht="15.75" hidden="false" customHeight="true" outlineLevel="0" collapsed="false">
      <c r="A239" s="81" t="s">
        <v>361</v>
      </c>
      <c r="B239" s="81" t="str">
        <f aca="false" t="array" ref="B239:B239">IFERROR(INDEX('CLM &amp; IM Mapping'!$B$2:$B$270,MATCH($A239,'CLM &amp; IM Mapping'!$A$2:$A$270,0)),"Not Mapped")</f>
        <v>Santhosha M</v>
      </c>
      <c r="C239" s="81" t="str">
        <f aca="false" t="array" ref="C239:C239">IFERROR(INDEX('CLM &amp; IM Mapping'!$C$2:$C$270,MATCH($A239,'CLM &amp; IM Mapping'!$A$2:$A$270,0)),"Not Mapped")</f>
        <v>Aravind S</v>
      </c>
      <c r="D239" s="82" t="n">
        <f aca="false">IF(COUNTIFS(Shrinkage!$A$2:$A$3000,$K$2,Shrinkage!$D$2:$D$3000,$A239)&gt;0,SUMIFS(Shrinkage!$P$2:$P$3000,Shrinkage!$A$2:$A$3000,$K$2,Shrinkage!$D$2:$D$3000,$A239),IF(COUNTIFS(Shrinkage!$A$2:$A$3000,$K$2,Shrinkage!$D$2:$D$3000,SUBSTITUTE($A239," SS","  SS"))&gt;0,SUMIFS(Shrinkage!$P$2:$P$3000,Shrinkage!$A$2:$A$3000,$K$2,Shrinkage!$D$2:$D$3000,SUBSTITUTE($A239," SS","  SS")),"NA"))</f>
        <v>-2592</v>
      </c>
      <c r="E239" s="83" t="n">
        <f aca="false">IF(COUNTIFS('Inventory Hygiene'!$A$2:$A$3000,$K$2,'Inventory Hygiene'!$B$2:$B$3000,$A239)&gt;0,AVERAGEIFS('Inventory Hygiene'!$J$2:$J$3000,'Inventory Hygiene'!$A$2:$A$3000,$K$2,'Inventory Hygiene'!$B$2:$B$3000,$A239),IF(COUNTIFS('Inventory Hygiene'!$A$2:$A$3000,$K$2,'Inventory Hygiene'!$B$2:$B$3000,SUBSTITUTE($A239," SS","  SS"))&gt;0,AVERAGEIFS('Inventory Hygiene'!$J$2:$J$3000,'Inventory Hygiene'!$A$2:$A$3000,$K$2,'Inventory Hygiene'!$B$2:$B$3000,SUBSTITUTE($A239," SS","  SS")),"NA"))</f>
        <v>0.897296562966988</v>
      </c>
      <c r="F239" s="81" t="n">
        <f aca="false">IF(COUNTIFS('Bad Bins'!$A$2:$A$3000,$K$2,'Bad Bins'!$B$2:$B$3000,$A239)&gt;0,SUMIFS('Bad Bins'!$K$2:$K$3000,'Bad Bins'!$A$2:$A$3000,$K$2,'Bad Bins'!$B$2:$B$3000,$A239),IF(COUNTIFS('Bad Bins'!$A$2:$A$3000,$K$2,'Bad Bins'!$B$2:$B$3000,SUBSTITUTE($A239," SS","  SS"))&gt;0,SUMIFS('Bad Bins'!$K$2:$K$3000,'Bad Bins'!$A$2:$A$3000,$K$2,'Bad Bins'!$B$2:$B$3000,SUBSTITUTE($A239," SS","  SS")),"NA"))</f>
        <v>93</v>
      </c>
      <c r="G239" s="81" t="str">
        <f aca="false">IF(COUNTIFS('RSTO &gt; 48hrs'!$A$2:$A$3000,$K$2,'RSTO &gt; 48hrs'!$B$2:$B$3000,$A239)&gt;0,SUMIFS('RSTO &gt; 48hrs'!$H$2:$H$3000,'RSTO &gt; 48hrs'!$A$2:$A$3000,$K$2,'RSTO &gt; 48hrs'!$B$2:$B$3000,$A239),IF(COUNTIFS('RSTO &gt; 48hrs'!$A$2:$A$3000,$K$2,'RSTO &gt; 48hrs'!$B$2:$B$3000,SUBSTITUTE($A239," SS","  SS"))&gt;0,SUMIFS('RSTO &gt; 48hrs'!$H$2:$H$3000,'RSTO &gt; 48hrs'!$A$2:$A$3000,$K$2,'RSTO &gt; 48hrs'!$B$2:$B$3000,SUBSTITUTE($A239," SS","  SS")),"NA"))</f>
        <v>NA</v>
      </c>
      <c r="H239" s="81" t="str">
        <f aca="false">IF(COUNTIFS('Recirculation &gt; 24 hrs'!$A$2:$A$3000,$K$2,'Recirculation &gt; 24 hrs'!$B$2:$B$3000,$A239)&gt;0,SUMIFS('Recirculation &gt; 24 hrs'!$K$2:$K$3000,'Recirculation &gt; 24 hrs'!$A$2:$A$3000,$K$2,'Recirculation &gt; 24 hrs'!$B$2:$B$3000,$A239),IF(COUNTIFS('Recirculation &gt; 24 hrs'!$A$2:$A$3000,$K$2,'Recirculation &gt; 24 hrs'!$B$2:$B$3000,SUBSTITUTE($A239," SS","  SS"))&gt;0,SUMIFS('Recirculation &gt; 24 hrs'!$K$2:$K$3000,'Recirculation &gt; 24 hrs'!$A$2:$A$3000,$K$2,'Recirculation &gt; 24 hrs'!$B$2:$B$3000,SUBSTITUTE($A239," SS","  SS")),"NA"))</f>
        <v>NA</v>
      </c>
      <c r="I239" s="81" t="n">
        <f aca="false">IF(COUNTIFS('Pending Putaway'!$A$2:$A$3000,$K$2,'Pending Putaway'!$B$2:$B$3000,$A239)&gt;0,SUMIFS('Pending Putaway'!$E$2:$E$3000,'Pending Putaway'!$A$2:$A$3000,$K$2,'Pending Putaway'!$B$2:$B$3000,$A239),IF(COUNTIFS('Pending Putaway'!$A$2:$A$3000,$K$2,'Pending Putaway'!$B$2:$B$3000,SUBSTITUTE($A239," SS","  SS"))&gt;0,SUMIFS('Pending Putaway'!$E$2:$E$3000,'Pending Putaway'!$A$2:$A$3000,$K$2,'Pending Putaway'!$B$2:$B$3000,SUBSTITUTE($A239," SS","  SS")),"NA"))</f>
        <v>1360</v>
      </c>
      <c r="J239" s="81" t="n">
        <f aca="false">IF(COUNTIFS('Pending Putaway'!$A$2:$A$3000,$K$2,'Pending Putaway'!$B$2:$B$3000,$A239)&gt;0,SUMIFS('Pending Putaway'!$L$2:$L$3000,'Pending Putaway'!$A$2:$A$3000,$K$2,'Pending Putaway'!$B$2:$B$3000,$A239),IF(COUNTIFS('Pending Putaway'!$A$2:$A$3000,$K$2,'Pending Putaway'!$B$2:$B$3000,SUBSTITUTE($A239," SS","  SS"))&gt;0,SUMIFS('Pending Putaway'!$L$2:$L$3000,'Pending Putaway'!$A$2:$A$3000,$K$2,'Pending Putaway'!$B$2:$B$3000,SUBSTITUTE($A239," SS","  SS")),"NA"))</f>
        <v>0</v>
      </c>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row>
    <row r="240" customFormat="false" ht="15.75" hidden="false" customHeight="true" outlineLevel="0" collapsed="false">
      <c r="A240" s="81" t="s">
        <v>421</v>
      </c>
      <c r="B240" s="81" t="str">
        <f aca="false" t="array" ref="B240:B240">IFERROR(INDEX('CLM &amp; IM Mapping'!$B$2:$B$270,MATCH($A240,'CLM &amp; IM Mapping'!$A$2:$A$270,0)),"Not Mapped")</f>
        <v>Santhosha M</v>
      </c>
      <c r="C240" s="81" t="str">
        <f aca="false" t="array" ref="C240:C240">IFERROR(INDEX('CLM &amp; IM Mapping'!$C$2:$C$270,MATCH($A240,'CLM &amp; IM Mapping'!$A$2:$A$270,0)),"Not Mapped")</f>
        <v>Aravind S</v>
      </c>
      <c r="D240" s="82" t="n">
        <f aca="false">IF(COUNTIFS(Shrinkage!$A$2:$A$3000,$K$2,Shrinkage!$D$2:$D$3000,$A240)&gt;0,SUMIFS(Shrinkage!$P$2:$P$3000,Shrinkage!$A$2:$A$3000,$K$2,Shrinkage!$D$2:$D$3000,$A240),IF(COUNTIFS(Shrinkage!$A$2:$A$3000,$K$2,Shrinkage!$D$2:$D$3000,SUBSTITUTE($A240," SS","  SS"))&gt;0,SUMIFS(Shrinkage!$P$2:$P$3000,Shrinkage!$A$2:$A$3000,$K$2,Shrinkage!$D$2:$D$3000,SUBSTITUTE($A240," SS","  SS")),"NA"))</f>
        <v>-7547</v>
      </c>
      <c r="E240" s="83" t="n">
        <f aca="false">IF(COUNTIFS('Inventory Hygiene'!$A$2:$A$3000,$K$2,'Inventory Hygiene'!$B$2:$B$3000,$A240)&gt;0,AVERAGEIFS('Inventory Hygiene'!$J$2:$J$3000,'Inventory Hygiene'!$A$2:$A$3000,$K$2,'Inventory Hygiene'!$B$2:$B$3000,$A240),IF(COUNTIFS('Inventory Hygiene'!$A$2:$A$3000,$K$2,'Inventory Hygiene'!$B$2:$B$3000,SUBSTITUTE($A240," SS","  SS"))&gt;0,AVERAGEIFS('Inventory Hygiene'!$J$2:$J$3000,'Inventory Hygiene'!$A$2:$A$3000,$K$2,'Inventory Hygiene'!$B$2:$B$3000,SUBSTITUTE($A240," SS","  SS")),"NA"))</f>
        <v>1</v>
      </c>
      <c r="F240" s="81" t="n">
        <f aca="false">IF(COUNTIFS('Bad Bins'!$A$2:$A$3000,$K$2,'Bad Bins'!$B$2:$B$3000,$A240)&gt;0,SUMIFS('Bad Bins'!$K$2:$K$3000,'Bad Bins'!$A$2:$A$3000,$K$2,'Bad Bins'!$B$2:$B$3000,$A240),IF(COUNTIFS('Bad Bins'!$A$2:$A$3000,$K$2,'Bad Bins'!$B$2:$B$3000,SUBSTITUTE($A240," SS","  SS"))&gt;0,SUMIFS('Bad Bins'!$K$2:$K$3000,'Bad Bins'!$A$2:$A$3000,$K$2,'Bad Bins'!$B$2:$B$3000,SUBSTITUTE($A240," SS","  SS")),"NA"))</f>
        <v>55</v>
      </c>
      <c r="G240" s="81" t="str">
        <f aca="false">IF(COUNTIFS('RSTO &gt; 48hrs'!$A$2:$A$3000,$K$2,'RSTO &gt; 48hrs'!$B$2:$B$3000,$A240)&gt;0,SUMIFS('RSTO &gt; 48hrs'!$H$2:$H$3000,'RSTO &gt; 48hrs'!$A$2:$A$3000,$K$2,'RSTO &gt; 48hrs'!$B$2:$B$3000,$A240),IF(COUNTIFS('RSTO &gt; 48hrs'!$A$2:$A$3000,$K$2,'RSTO &gt; 48hrs'!$B$2:$B$3000,SUBSTITUTE($A240," SS","  SS"))&gt;0,SUMIFS('RSTO &gt; 48hrs'!$H$2:$H$3000,'RSTO &gt; 48hrs'!$A$2:$A$3000,$K$2,'RSTO &gt; 48hrs'!$B$2:$B$3000,SUBSTITUTE($A240," SS","  SS")),"NA"))</f>
        <v>NA</v>
      </c>
      <c r="H240" s="81" t="str">
        <f aca="false">IF(COUNTIFS('Recirculation &gt; 24 hrs'!$A$2:$A$3000,$K$2,'Recirculation &gt; 24 hrs'!$B$2:$B$3000,$A240)&gt;0,SUMIFS('Recirculation &gt; 24 hrs'!$K$2:$K$3000,'Recirculation &gt; 24 hrs'!$A$2:$A$3000,$K$2,'Recirculation &gt; 24 hrs'!$B$2:$B$3000,$A240),IF(COUNTIFS('Recirculation &gt; 24 hrs'!$A$2:$A$3000,$K$2,'Recirculation &gt; 24 hrs'!$B$2:$B$3000,SUBSTITUTE($A240," SS","  SS"))&gt;0,SUMIFS('Recirculation &gt; 24 hrs'!$K$2:$K$3000,'Recirculation &gt; 24 hrs'!$A$2:$A$3000,$K$2,'Recirculation &gt; 24 hrs'!$B$2:$B$3000,SUBSTITUTE($A240," SS","  SS")),"NA"))</f>
        <v>NA</v>
      </c>
      <c r="I240" s="81" t="n">
        <f aca="false">IF(COUNTIFS('Pending Putaway'!$A$2:$A$3000,$K$2,'Pending Putaway'!$B$2:$B$3000,$A240)&gt;0,SUMIFS('Pending Putaway'!$E$2:$E$3000,'Pending Putaway'!$A$2:$A$3000,$K$2,'Pending Putaway'!$B$2:$B$3000,$A240),IF(COUNTIFS('Pending Putaway'!$A$2:$A$3000,$K$2,'Pending Putaway'!$B$2:$B$3000,SUBSTITUTE($A240," SS","  SS"))&gt;0,SUMIFS('Pending Putaway'!$E$2:$E$3000,'Pending Putaway'!$A$2:$A$3000,$K$2,'Pending Putaway'!$B$2:$B$3000,SUBSTITUTE($A240," SS","  SS")),"NA"))</f>
        <v>1817</v>
      </c>
      <c r="J240" s="81" t="n">
        <f aca="false">IF(COUNTIFS('Pending Putaway'!$A$2:$A$3000,$K$2,'Pending Putaway'!$B$2:$B$3000,$A240)&gt;0,SUMIFS('Pending Putaway'!$L$2:$L$3000,'Pending Putaway'!$A$2:$A$3000,$K$2,'Pending Putaway'!$B$2:$B$3000,$A240),IF(COUNTIFS('Pending Putaway'!$A$2:$A$3000,$K$2,'Pending Putaway'!$B$2:$B$3000,SUBSTITUTE($A240," SS","  SS"))&gt;0,SUMIFS('Pending Putaway'!$L$2:$L$3000,'Pending Putaway'!$A$2:$A$3000,$K$2,'Pending Putaway'!$B$2:$B$3000,SUBSTITUTE($A240," SS","  SS")),"NA"))</f>
        <v>0</v>
      </c>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row>
    <row r="241" customFormat="false" ht="15.75" hidden="false" customHeight="true" outlineLevel="0" collapsed="false">
      <c r="A241" s="81" t="s">
        <v>425</v>
      </c>
      <c r="B241" s="81" t="str">
        <f aca="false" t="array" ref="B241:B241">IFERROR(INDEX('CLM &amp; IM Mapping'!$B$2:$B$270,MATCH($A241,'CLM &amp; IM Mapping'!$A$2:$A$270,0)),"Not Mapped")</f>
        <v>Santhosha M</v>
      </c>
      <c r="C241" s="81" t="str">
        <f aca="false" t="array" ref="C241:C241">IFERROR(INDEX('CLM &amp; IM Mapping'!$C$2:$C$270,MATCH($A241,'CLM &amp; IM Mapping'!$A$2:$A$270,0)),"Not Mapped")</f>
        <v>Aravind S</v>
      </c>
      <c r="D241" s="82" t="n">
        <f aca="false">IF(COUNTIFS(Shrinkage!$A$2:$A$3000,$K$2,Shrinkage!$D$2:$D$3000,$A241)&gt;0,SUMIFS(Shrinkage!$P$2:$P$3000,Shrinkage!$A$2:$A$3000,$K$2,Shrinkage!$D$2:$D$3000,$A241),IF(COUNTIFS(Shrinkage!$A$2:$A$3000,$K$2,Shrinkage!$D$2:$D$3000,SUBSTITUTE($A241," SS","  SS"))&gt;0,SUMIFS(Shrinkage!$P$2:$P$3000,Shrinkage!$A$2:$A$3000,$K$2,Shrinkage!$D$2:$D$3000,SUBSTITUTE($A241," SS","  SS")),"NA"))</f>
        <v>-9370</v>
      </c>
      <c r="E241" s="83" t="n">
        <f aca="false">IF(COUNTIFS('Inventory Hygiene'!$A$2:$A$3000,$K$2,'Inventory Hygiene'!$B$2:$B$3000,$A241)&gt;0,AVERAGEIFS('Inventory Hygiene'!$J$2:$J$3000,'Inventory Hygiene'!$A$2:$A$3000,$K$2,'Inventory Hygiene'!$B$2:$B$3000,$A241),IF(COUNTIFS('Inventory Hygiene'!$A$2:$A$3000,$K$2,'Inventory Hygiene'!$B$2:$B$3000,SUBSTITUTE($A241," SS","  SS"))&gt;0,AVERAGEIFS('Inventory Hygiene'!$J$2:$J$3000,'Inventory Hygiene'!$A$2:$A$3000,$K$2,'Inventory Hygiene'!$B$2:$B$3000,SUBSTITUTE($A241," SS","  SS")),"NA"))</f>
        <v>1</v>
      </c>
      <c r="F241" s="81" t="n">
        <f aca="false">IF(COUNTIFS('Bad Bins'!$A$2:$A$3000,$K$2,'Bad Bins'!$B$2:$B$3000,$A241)&gt;0,SUMIFS('Bad Bins'!$K$2:$K$3000,'Bad Bins'!$A$2:$A$3000,$K$2,'Bad Bins'!$B$2:$B$3000,$A241),IF(COUNTIFS('Bad Bins'!$A$2:$A$3000,$K$2,'Bad Bins'!$B$2:$B$3000,SUBSTITUTE($A241," SS","  SS"))&gt;0,SUMIFS('Bad Bins'!$K$2:$K$3000,'Bad Bins'!$A$2:$A$3000,$K$2,'Bad Bins'!$B$2:$B$3000,SUBSTITUTE($A241," SS","  SS")),"NA"))</f>
        <v>83</v>
      </c>
      <c r="G241" s="81" t="str">
        <f aca="false">IF(COUNTIFS('RSTO &gt; 48hrs'!$A$2:$A$3000,$K$2,'RSTO &gt; 48hrs'!$B$2:$B$3000,$A241)&gt;0,SUMIFS('RSTO &gt; 48hrs'!$H$2:$H$3000,'RSTO &gt; 48hrs'!$A$2:$A$3000,$K$2,'RSTO &gt; 48hrs'!$B$2:$B$3000,$A241),IF(COUNTIFS('RSTO &gt; 48hrs'!$A$2:$A$3000,$K$2,'RSTO &gt; 48hrs'!$B$2:$B$3000,SUBSTITUTE($A241," SS","  SS"))&gt;0,SUMIFS('RSTO &gt; 48hrs'!$H$2:$H$3000,'RSTO &gt; 48hrs'!$A$2:$A$3000,$K$2,'RSTO &gt; 48hrs'!$B$2:$B$3000,SUBSTITUTE($A241," SS","  SS")),"NA"))</f>
        <v>NA</v>
      </c>
      <c r="H241" s="81" t="str">
        <f aca="false">IF(COUNTIFS('Recirculation &gt; 24 hrs'!$A$2:$A$3000,$K$2,'Recirculation &gt; 24 hrs'!$B$2:$B$3000,$A241)&gt;0,SUMIFS('Recirculation &gt; 24 hrs'!$K$2:$K$3000,'Recirculation &gt; 24 hrs'!$A$2:$A$3000,$K$2,'Recirculation &gt; 24 hrs'!$B$2:$B$3000,$A241),IF(COUNTIFS('Recirculation &gt; 24 hrs'!$A$2:$A$3000,$K$2,'Recirculation &gt; 24 hrs'!$B$2:$B$3000,SUBSTITUTE($A241," SS","  SS"))&gt;0,SUMIFS('Recirculation &gt; 24 hrs'!$K$2:$K$3000,'Recirculation &gt; 24 hrs'!$A$2:$A$3000,$K$2,'Recirculation &gt; 24 hrs'!$B$2:$B$3000,SUBSTITUTE($A241," SS","  SS")),"NA"))</f>
        <v>NA</v>
      </c>
      <c r="I241" s="81" t="n">
        <f aca="false">IF(COUNTIFS('Pending Putaway'!$A$2:$A$3000,$K$2,'Pending Putaway'!$B$2:$B$3000,$A241)&gt;0,SUMIFS('Pending Putaway'!$E$2:$E$3000,'Pending Putaway'!$A$2:$A$3000,$K$2,'Pending Putaway'!$B$2:$B$3000,$A241),IF(COUNTIFS('Pending Putaway'!$A$2:$A$3000,$K$2,'Pending Putaway'!$B$2:$B$3000,SUBSTITUTE($A241," SS","  SS"))&gt;0,SUMIFS('Pending Putaway'!$E$2:$E$3000,'Pending Putaway'!$A$2:$A$3000,$K$2,'Pending Putaway'!$B$2:$B$3000,SUBSTITUTE($A241," SS","  SS")),"NA"))</f>
        <v>1166</v>
      </c>
      <c r="J241" s="81" t="n">
        <f aca="false">IF(COUNTIFS('Pending Putaway'!$A$2:$A$3000,$K$2,'Pending Putaway'!$B$2:$B$3000,$A241)&gt;0,SUMIFS('Pending Putaway'!$L$2:$L$3000,'Pending Putaway'!$A$2:$A$3000,$K$2,'Pending Putaway'!$B$2:$B$3000,$A241),IF(COUNTIFS('Pending Putaway'!$A$2:$A$3000,$K$2,'Pending Putaway'!$B$2:$B$3000,SUBSTITUTE($A241," SS","  SS"))&gt;0,SUMIFS('Pending Putaway'!$L$2:$L$3000,'Pending Putaway'!$A$2:$A$3000,$K$2,'Pending Putaway'!$B$2:$B$3000,SUBSTITUTE($A241," SS","  SS")),"NA"))</f>
        <v>0</v>
      </c>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row>
    <row r="242" customFormat="false" ht="15.75" hidden="false" customHeight="true" outlineLevel="0" collapsed="false">
      <c r="A242" s="81" t="s">
        <v>493</v>
      </c>
      <c r="B242" s="81" t="str">
        <f aca="false" t="array" ref="B242:B242">IFERROR(INDEX('CLM &amp; IM Mapping'!$B$2:$B$270,MATCH($A242,'CLM &amp; IM Mapping'!$A$2:$A$270,0)),"Not Mapped")</f>
        <v>Santhosha M</v>
      </c>
      <c r="C242" s="81" t="str">
        <f aca="false" t="array" ref="C242:C242">IFERROR(INDEX('CLM &amp; IM Mapping'!$C$2:$C$270,MATCH($A242,'CLM &amp; IM Mapping'!$A$2:$A$270,0)),"Not Mapped")</f>
        <v>Aravind S</v>
      </c>
      <c r="D242" s="82" t="n">
        <f aca="false">IF(COUNTIFS(Shrinkage!$A$2:$A$3000,$K$2,Shrinkage!$D$2:$D$3000,$A242)&gt;0,SUMIFS(Shrinkage!$P$2:$P$3000,Shrinkage!$A$2:$A$3000,$K$2,Shrinkage!$D$2:$D$3000,$A242),IF(COUNTIFS(Shrinkage!$A$2:$A$3000,$K$2,Shrinkage!$D$2:$D$3000,SUBSTITUTE($A242," SS","  SS"))&gt;0,SUMIFS(Shrinkage!$P$2:$P$3000,Shrinkage!$A$2:$A$3000,$K$2,Shrinkage!$D$2:$D$3000,SUBSTITUTE($A242," SS","  SS")),"NA"))</f>
        <v>-4882</v>
      </c>
      <c r="E242" s="83" t="n">
        <f aca="false">IF(COUNTIFS('Inventory Hygiene'!$A$2:$A$3000,$K$2,'Inventory Hygiene'!$B$2:$B$3000,$A242)&gt;0,AVERAGEIFS('Inventory Hygiene'!$J$2:$J$3000,'Inventory Hygiene'!$A$2:$A$3000,$K$2,'Inventory Hygiene'!$B$2:$B$3000,$A242),IF(COUNTIFS('Inventory Hygiene'!$A$2:$A$3000,$K$2,'Inventory Hygiene'!$B$2:$B$3000,SUBSTITUTE($A242," SS","  SS"))&gt;0,AVERAGEIFS('Inventory Hygiene'!$J$2:$J$3000,'Inventory Hygiene'!$A$2:$A$3000,$K$2,'Inventory Hygiene'!$B$2:$B$3000,SUBSTITUTE($A242," SS","  SS")),"NA"))</f>
        <v>1</v>
      </c>
      <c r="F242" s="81" t="n">
        <f aca="false">IF(COUNTIFS('Bad Bins'!$A$2:$A$3000,$K$2,'Bad Bins'!$B$2:$B$3000,$A242)&gt;0,SUMIFS('Bad Bins'!$K$2:$K$3000,'Bad Bins'!$A$2:$A$3000,$K$2,'Bad Bins'!$B$2:$B$3000,$A242),IF(COUNTIFS('Bad Bins'!$A$2:$A$3000,$K$2,'Bad Bins'!$B$2:$B$3000,SUBSTITUTE($A242," SS","  SS"))&gt;0,SUMIFS('Bad Bins'!$K$2:$K$3000,'Bad Bins'!$A$2:$A$3000,$K$2,'Bad Bins'!$B$2:$B$3000,SUBSTITUTE($A242," SS","  SS")),"NA"))</f>
        <v>147</v>
      </c>
      <c r="G242" s="81" t="str">
        <f aca="false">IF(COUNTIFS('RSTO &gt; 48hrs'!$A$2:$A$3000,$K$2,'RSTO &gt; 48hrs'!$B$2:$B$3000,$A242)&gt;0,SUMIFS('RSTO &gt; 48hrs'!$H$2:$H$3000,'RSTO &gt; 48hrs'!$A$2:$A$3000,$K$2,'RSTO &gt; 48hrs'!$B$2:$B$3000,$A242),IF(COUNTIFS('RSTO &gt; 48hrs'!$A$2:$A$3000,$K$2,'RSTO &gt; 48hrs'!$B$2:$B$3000,SUBSTITUTE($A242," SS","  SS"))&gt;0,SUMIFS('RSTO &gt; 48hrs'!$H$2:$H$3000,'RSTO &gt; 48hrs'!$A$2:$A$3000,$K$2,'RSTO &gt; 48hrs'!$B$2:$B$3000,SUBSTITUTE($A242," SS","  SS")),"NA"))</f>
        <v>NA</v>
      </c>
      <c r="H242" s="81" t="str">
        <f aca="false">IF(COUNTIFS('Recirculation &gt; 24 hrs'!$A$2:$A$3000,$K$2,'Recirculation &gt; 24 hrs'!$B$2:$B$3000,$A242)&gt;0,SUMIFS('Recirculation &gt; 24 hrs'!$K$2:$K$3000,'Recirculation &gt; 24 hrs'!$A$2:$A$3000,$K$2,'Recirculation &gt; 24 hrs'!$B$2:$B$3000,$A242),IF(COUNTIFS('Recirculation &gt; 24 hrs'!$A$2:$A$3000,$K$2,'Recirculation &gt; 24 hrs'!$B$2:$B$3000,SUBSTITUTE($A242," SS","  SS"))&gt;0,SUMIFS('Recirculation &gt; 24 hrs'!$K$2:$K$3000,'Recirculation &gt; 24 hrs'!$A$2:$A$3000,$K$2,'Recirculation &gt; 24 hrs'!$B$2:$B$3000,SUBSTITUTE($A242," SS","  SS")),"NA"))</f>
        <v>NA</v>
      </c>
      <c r="I242" s="81" t="n">
        <f aca="false">IF(COUNTIFS('Pending Putaway'!$A$2:$A$3000,$K$2,'Pending Putaway'!$B$2:$B$3000,$A242)&gt;0,SUMIFS('Pending Putaway'!$E$2:$E$3000,'Pending Putaway'!$A$2:$A$3000,$K$2,'Pending Putaway'!$B$2:$B$3000,$A242),IF(COUNTIFS('Pending Putaway'!$A$2:$A$3000,$K$2,'Pending Putaway'!$B$2:$B$3000,SUBSTITUTE($A242," SS","  SS"))&gt;0,SUMIFS('Pending Putaway'!$E$2:$E$3000,'Pending Putaway'!$A$2:$A$3000,$K$2,'Pending Putaway'!$B$2:$B$3000,SUBSTITUTE($A242," SS","  SS")),"NA"))</f>
        <v>0</v>
      </c>
      <c r="J242" s="81" t="n">
        <f aca="false">IF(COUNTIFS('Pending Putaway'!$A$2:$A$3000,$K$2,'Pending Putaway'!$B$2:$B$3000,$A242)&gt;0,SUMIFS('Pending Putaway'!$L$2:$L$3000,'Pending Putaway'!$A$2:$A$3000,$K$2,'Pending Putaway'!$B$2:$B$3000,$A242),IF(COUNTIFS('Pending Putaway'!$A$2:$A$3000,$K$2,'Pending Putaway'!$B$2:$B$3000,SUBSTITUTE($A242," SS","  SS"))&gt;0,SUMIFS('Pending Putaway'!$L$2:$L$3000,'Pending Putaway'!$A$2:$A$3000,$K$2,'Pending Putaway'!$B$2:$B$3000,SUBSTITUTE($A242," SS","  SS")),"NA"))</f>
        <v>0</v>
      </c>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row>
    <row r="243" customFormat="false" ht="15.75" hidden="false" customHeight="true" outlineLevel="0" collapsed="false">
      <c r="A243" s="81" t="s">
        <v>277</v>
      </c>
      <c r="B243" s="81" t="str">
        <f aca="false" t="array" ref="B243:B243">IFERROR(INDEX('CLM &amp; IM Mapping'!$B$2:$B$270,MATCH($A243,'CLM &amp; IM Mapping'!$A$2:$A$270,0)),"Not Mapped")</f>
        <v>Santhosha M</v>
      </c>
      <c r="C243" s="81" t="str">
        <f aca="false" t="array" ref="C243:C243">IFERROR(INDEX('CLM &amp; IM Mapping'!$C$2:$C$270,MATCH($A243,'CLM &amp; IM Mapping'!$A$2:$A$270,0)),"Not Mapped")</f>
        <v>Aravind S</v>
      </c>
      <c r="D243" s="82" t="n">
        <f aca="false">IF(COUNTIFS(Shrinkage!$A$2:$A$3000,$K$2,Shrinkage!$D$2:$D$3000,$A243)&gt;0,SUMIFS(Shrinkage!$P$2:$P$3000,Shrinkage!$A$2:$A$3000,$K$2,Shrinkage!$D$2:$D$3000,$A243),IF(COUNTIFS(Shrinkage!$A$2:$A$3000,$K$2,Shrinkage!$D$2:$D$3000,SUBSTITUTE($A243," SS","  SS"))&gt;0,SUMIFS(Shrinkage!$P$2:$P$3000,Shrinkage!$A$2:$A$3000,$K$2,Shrinkage!$D$2:$D$3000,SUBSTITUTE($A243," SS","  SS")),"NA"))</f>
        <v>11026</v>
      </c>
      <c r="E243" s="83" t="n">
        <f aca="false">IF(COUNTIFS('Inventory Hygiene'!$A$2:$A$3000,$K$2,'Inventory Hygiene'!$B$2:$B$3000,$A243)&gt;0,AVERAGEIFS('Inventory Hygiene'!$J$2:$J$3000,'Inventory Hygiene'!$A$2:$A$3000,$K$2,'Inventory Hygiene'!$B$2:$B$3000,$A243),IF(COUNTIFS('Inventory Hygiene'!$A$2:$A$3000,$K$2,'Inventory Hygiene'!$B$2:$B$3000,SUBSTITUTE($A243," SS","  SS"))&gt;0,AVERAGEIFS('Inventory Hygiene'!$J$2:$J$3000,'Inventory Hygiene'!$A$2:$A$3000,$K$2,'Inventory Hygiene'!$B$2:$B$3000,SUBSTITUTE($A243," SS","  SS")),"NA"))</f>
        <v>1</v>
      </c>
      <c r="F243" s="81" t="n">
        <f aca="false">IF(COUNTIFS('Bad Bins'!$A$2:$A$3000,$K$2,'Bad Bins'!$B$2:$B$3000,$A243)&gt;0,SUMIFS('Bad Bins'!$K$2:$K$3000,'Bad Bins'!$A$2:$A$3000,$K$2,'Bad Bins'!$B$2:$B$3000,$A243),IF(COUNTIFS('Bad Bins'!$A$2:$A$3000,$K$2,'Bad Bins'!$B$2:$B$3000,SUBSTITUTE($A243," SS","  SS"))&gt;0,SUMIFS('Bad Bins'!$K$2:$K$3000,'Bad Bins'!$A$2:$A$3000,$K$2,'Bad Bins'!$B$2:$B$3000,SUBSTITUTE($A243," SS","  SS")),"NA"))</f>
        <v>10</v>
      </c>
      <c r="G243" s="81" t="str">
        <f aca="false">IF(COUNTIFS('RSTO &gt; 48hrs'!$A$2:$A$3000,$K$2,'RSTO &gt; 48hrs'!$B$2:$B$3000,$A243)&gt;0,SUMIFS('RSTO &gt; 48hrs'!$H$2:$H$3000,'RSTO &gt; 48hrs'!$A$2:$A$3000,$K$2,'RSTO &gt; 48hrs'!$B$2:$B$3000,$A243),IF(COUNTIFS('RSTO &gt; 48hrs'!$A$2:$A$3000,$K$2,'RSTO &gt; 48hrs'!$B$2:$B$3000,SUBSTITUTE($A243," SS","  SS"))&gt;0,SUMIFS('RSTO &gt; 48hrs'!$H$2:$H$3000,'RSTO &gt; 48hrs'!$A$2:$A$3000,$K$2,'RSTO &gt; 48hrs'!$B$2:$B$3000,SUBSTITUTE($A243," SS","  SS")),"NA"))</f>
        <v>NA</v>
      </c>
      <c r="H243" s="81" t="n">
        <f aca="false">IF(COUNTIFS('Recirculation &gt; 24 hrs'!$A$2:$A$3000,$K$2,'Recirculation &gt; 24 hrs'!$B$2:$B$3000,$A243)&gt;0,SUMIFS('Recirculation &gt; 24 hrs'!$K$2:$K$3000,'Recirculation &gt; 24 hrs'!$A$2:$A$3000,$K$2,'Recirculation &gt; 24 hrs'!$B$2:$B$3000,$A243),IF(COUNTIFS('Recirculation &gt; 24 hrs'!$A$2:$A$3000,$K$2,'Recirculation &gt; 24 hrs'!$B$2:$B$3000,SUBSTITUTE($A243," SS","  SS"))&gt;0,SUMIFS('Recirculation &gt; 24 hrs'!$K$2:$K$3000,'Recirculation &gt; 24 hrs'!$A$2:$A$3000,$K$2,'Recirculation &gt; 24 hrs'!$B$2:$B$3000,SUBSTITUTE($A243," SS","  SS")),"NA"))</f>
        <v>902</v>
      </c>
      <c r="I243" s="81" t="n">
        <f aca="false">IF(COUNTIFS('Pending Putaway'!$A$2:$A$3000,$K$2,'Pending Putaway'!$B$2:$B$3000,$A243)&gt;0,SUMIFS('Pending Putaway'!$E$2:$E$3000,'Pending Putaway'!$A$2:$A$3000,$K$2,'Pending Putaway'!$B$2:$B$3000,$A243),IF(COUNTIFS('Pending Putaway'!$A$2:$A$3000,$K$2,'Pending Putaway'!$B$2:$B$3000,SUBSTITUTE($A243," SS","  SS"))&gt;0,SUMIFS('Pending Putaway'!$E$2:$E$3000,'Pending Putaway'!$A$2:$A$3000,$K$2,'Pending Putaway'!$B$2:$B$3000,SUBSTITUTE($A243," SS","  SS")),"NA"))</f>
        <v>4604</v>
      </c>
      <c r="J243" s="81" t="n">
        <f aca="false">IF(COUNTIFS('Pending Putaway'!$A$2:$A$3000,$K$2,'Pending Putaway'!$B$2:$B$3000,$A243)&gt;0,SUMIFS('Pending Putaway'!$L$2:$L$3000,'Pending Putaway'!$A$2:$A$3000,$K$2,'Pending Putaway'!$B$2:$B$3000,$A243),IF(COUNTIFS('Pending Putaway'!$A$2:$A$3000,$K$2,'Pending Putaway'!$B$2:$B$3000,SUBSTITUTE($A243," SS","  SS"))&gt;0,SUMIFS('Pending Putaway'!$L$2:$L$3000,'Pending Putaway'!$A$2:$A$3000,$K$2,'Pending Putaway'!$B$2:$B$3000,SUBSTITUTE($A243," SS","  SS")),"NA"))</f>
        <v>0</v>
      </c>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row>
    <row r="244" customFormat="false" ht="15.75" hidden="false" customHeight="true" outlineLevel="0" collapsed="false">
      <c r="A244" s="81" t="s">
        <v>359</v>
      </c>
      <c r="B244" s="81" t="str">
        <f aca="false" t="array" ref="B244:B244">IFERROR(INDEX('CLM &amp; IM Mapping'!$B$2:$B$270,MATCH($A244,'CLM &amp; IM Mapping'!$A$2:$A$270,0)),"Not Mapped")</f>
        <v>Santhosha M</v>
      </c>
      <c r="C244" s="81" t="str">
        <f aca="false" t="array" ref="C244:C244">IFERROR(INDEX('CLM &amp; IM Mapping'!$C$2:$C$270,MATCH($A244,'CLM &amp; IM Mapping'!$A$2:$A$270,0)),"Not Mapped")</f>
        <v>Aravind S</v>
      </c>
      <c r="D244" s="82" t="n">
        <f aca="false">IF(COUNTIFS(Shrinkage!$A$2:$A$3000,$K$2,Shrinkage!$D$2:$D$3000,$A244)&gt;0,SUMIFS(Shrinkage!$P$2:$P$3000,Shrinkage!$A$2:$A$3000,$K$2,Shrinkage!$D$2:$D$3000,$A244),IF(COUNTIFS(Shrinkage!$A$2:$A$3000,$K$2,Shrinkage!$D$2:$D$3000,SUBSTITUTE($A244," SS","  SS"))&gt;0,SUMIFS(Shrinkage!$P$2:$P$3000,Shrinkage!$A$2:$A$3000,$K$2,Shrinkage!$D$2:$D$3000,SUBSTITUTE($A244," SS","  SS")),"NA"))</f>
        <v>-1281</v>
      </c>
      <c r="E244" s="83" t="n">
        <f aca="false">IF(COUNTIFS('Inventory Hygiene'!$A$2:$A$3000,$K$2,'Inventory Hygiene'!$B$2:$B$3000,$A244)&gt;0,AVERAGEIFS('Inventory Hygiene'!$J$2:$J$3000,'Inventory Hygiene'!$A$2:$A$3000,$K$2,'Inventory Hygiene'!$B$2:$B$3000,$A244),IF(COUNTIFS('Inventory Hygiene'!$A$2:$A$3000,$K$2,'Inventory Hygiene'!$B$2:$B$3000,SUBSTITUTE($A244," SS","  SS"))&gt;0,AVERAGEIFS('Inventory Hygiene'!$J$2:$J$3000,'Inventory Hygiene'!$A$2:$A$3000,$K$2,'Inventory Hygiene'!$B$2:$B$3000,SUBSTITUTE($A244," SS","  SS")),"NA"))</f>
        <v>0.925672018762403</v>
      </c>
      <c r="F244" s="81" t="n">
        <f aca="false">IF(COUNTIFS('Bad Bins'!$A$2:$A$3000,$K$2,'Bad Bins'!$B$2:$B$3000,$A244)&gt;0,SUMIFS('Bad Bins'!$K$2:$K$3000,'Bad Bins'!$A$2:$A$3000,$K$2,'Bad Bins'!$B$2:$B$3000,$A244),IF(COUNTIFS('Bad Bins'!$A$2:$A$3000,$K$2,'Bad Bins'!$B$2:$B$3000,SUBSTITUTE($A244," SS","  SS"))&gt;0,SUMIFS('Bad Bins'!$K$2:$K$3000,'Bad Bins'!$A$2:$A$3000,$K$2,'Bad Bins'!$B$2:$B$3000,SUBSTITUTE($A244," SS","  SS")),"NA"))</f>
        <v>48</v>
      </c>
      <c r="G244" s="81" t="str">
        <f aca="false">IF(COUNTIFS('RSTO &gt; 48hrs'!$A$2:$A$3000,$K$2,'RSTO &gt; 48hrs'!$B$2:$B$3000,$A244)&gt;0,SUMIFS('RSTO &gt; 48hrs'!$H$2:$H$3000,'RSTO &gt; 48hrs'!$A$2:$A$3000,$K$2,'RSTO &gt; 48hrs'!$B$2:$B$3000,$A244),IF(COUNTIFS('RSTO &gt; 48hrs'!$A$2:$A$3000,$K$2,'RSTO &gt; 48hrs'!$B$2:$B$3000,SUBSTITUTE($A244," SS","  SS"))&gt;0,SUMIFS('RSTO &gt; 48hrs'!$H$2:$H$3000,'RSTO &gt; 48hrs'!$A$2:$A$3000,$K$2,'RSTO &gt; 48hrs'!$B$2:$B$3000,SUBSTITUTE($A244," SS","  SS")),"NA"))</f>
        <v>NA</v>
      </c>
      <c r="H244" s="81" t="str">
        <f aca="false">IF(COUNTIFS('Recirculation &gt; 24 hrs'!$A$2:$A$3000,$K$2,'Recirculation &gt; 24 hrs'!$B$2:$B$3000,$A244)&gt;0,SUMIFS('Recirculation &gt; 24 hrs'!$K$2:$K$3000,'Recirculation &gt; 24 hrs'!$A$2:$A$3000,$K$2,'Recirculation &gt; 24 hrs'!$B$2:$B$3000,$A244),IF(COUNTIFS('Recirculation &gt; 24 hrs'!$A$2:$A$3000,$K$2,'Recirculation &gt; 24 hrs'!$B$2:$B$3000,SUBSTITUTE($A244," SS","  SS"))&gt;0,SUMIFS('Recirculation &gt; 24 hrs'!$K$2:$K$3000,'Recirculation &gt; 24 hrs'!$A$2:$A$3000,$K$2,'Recirculation &gt; 24 hrs'!$B$2:$B$3000,SUBSTITUTE($A244," SS","  SS")),"NA"))</f>
        <v>NA</v>
      </c>
      <c r="I244" s="81" t="n">
        <f aca="false">IF(COUNTIFS('Pending Putaway'!$A$2:$A$3000,$K$2,'Pending Putaway'!$B$2:$B$3000,$A244)&gt;0,SUMIFS('Pending Putaway'!$E$2:$E$3000,'Pending Putaway'!$A$2:$A$3000,$K$2,'Pending Putaway'!$B$2:$B$3000,$A244),IF(COUNTIFS('Pending Putaway'!$A$2:$A$3000,$K$2,'Pending Putaway'!$B$2:$B$3000,SUBSTITUTE($A244," SS","  SS"))&gt;0,SUMIFS('Pending Putaway'!$E$2:$E$3000,'Pending Putaway'!$A$2:$A$3000,$K$2,'Pending Putaway'!$B$2:$B$3000,SUBSTITUTE($A244," SS","  SS")),"NA"))</f>
        <v>2121</v>
      </c>
      <c r="J244" s="81" t="n">
        <f aca="false">IF(COUNTIFS('Pending Putaway'!$A$2:$A$3000,$K$2,'Pending Putaway'!$B$2:$B$3000,$A244)&gt;0,SUMIFS('Pending Putaway'!$L$2:$L$3000,'Pending Putaway'!$A$2:$A$3000,$K$2,'Pending Putaway'!$B$2:$B$3000,$A244),IF(COUNTIFS('Pending Putaway'!$A$2:$A$3000,$K$2,'Pending Putaway'!$B$2:$B$3000,SUBSTITUTE($A244," SS","  SS"))&gt;0,SUMIFS('Pending Putaway'!$L$2:$L$3000,'Pending Putaway'!$A$2:$A$3000,$K$2,'Pending Putaway'!$B$2:$B$3000,SUBSTITUTE($A244," SS","  SS")),"NA"))</f>
        <v>0</v>
      </c>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row>
    <row r="245" customFormat="false" ht="15.75" hidden="false" customHeight="true" outlineLevel="0" collapsed="false">
      <c r="A245" s="81" t="s">
        <v>450</v>
      </c>
      <c r="B245" s="81" t="str">
        <f aca="false" t="array" ref="B245:B245">IFERROR(INDEX('CLM &amp; IM Mapping'!$B$2:$B$270,MATCH($A245,'CLM &amp; IM Mapping'!$A$2:$A$270,0)),"Not Mapped")</f>
        <v>Santhosha M</v>
      </c>
      <c r="C245" s="81" t="str">
        <f aca="false" t="array" ref="C245:C245">IFERROR(INDEX('CLM &amp; IM Mapping'!$C$2:$C$270,MATCH($A245,'CLM &amp; IM Mapping'!$A$2:$A$270,0)),"Not Mapped")</f>
        <v>Aravind S</v>
      </c>
      <c r="D245" s="82" t="n">
        <f aca="false">IF(COUNTIFS(Shrinkage!$A$2:$A$3000,$K$2,Shrinkage!$D$2:$D$3000,$A245)&gt;0,SUMIFS(Shrinkage!$P$2:$P$3000,Shrinkage!$A$2:$A$3000,$K$2,Shrinkage!$D$2:$D$3000,$A245),IF(COUNTIFS(Shrinkage!$A$2:$A$3000,$K$2,Shrinkage!$D$2:$D$3000,SUBSTITUTE($A245," SS","  SS"))&gt;0,SUMIFS(Shrinkage!$P$2:$P$3000,Shrinkage!$A$2:$A$3000,$K$2,Shrinkage!$D$2:$D$3000,SUBSTITUTE($A245," SS","  SS")),"NA"))</f>
        <v>-14811</v>
      </c>
      <c r="E245" s="83" t="n">
        <f aca="false">IF(COUNTIFS('Inventory Hygiene'!$A$2:$A$3000,$K$2,'Inventory Hygiene'!$B$2:$B$3000,$A245)&gt;0,AVERAGEIFS('Inventory Hygiene'!$J$2:$J$3000,'Inventory Hygiene'!$A$2:$A$3000,$K$2,'Inventory Hygiene'!$B$2:$B$3000,$A245),IF(COUNTIFS('Inventory Hygiene'!$A$2:$A$3000,$K$2,'Inventory Hygiene'!$B$2:$B$3000,SUBSTITUTE($A245," SS","  SS"))&gt;0,AVERAGEIFS('Inventory Hygiene'!$J$2:$J$3000,'Inventory Hygiene'!$A$2:$A$3000,$K$2,'Inventory Hygiene'!$B$2:$B$3000,SUBSTITUTE($A245," SS","  SS")),"NA"))</f>
        <v>1</v>
      </c>
      <c r="F245" s="81" t="n">
        <f aca="false">IF(COUNTIFS('Bad Bins'!$A$2:$A$3000,$K$2,'Bad Bins'!$B$2:$B$3000,$A245)&gt;0,SUMIFS('Bad Bins'!$K$2:$K$3000,'Bad Bins'!$A$2:$A$3000,$K$2,'Bad Bins'!$B$2:$B$3000,$A245),IF(COUNTIFS('Bad Bins'!$A$2:$A$3000,$K$2,'Bad Bins'!$B$2:$B$3000,SUBSTITUTE($A245," SS","  SS"))&gt;0,SUMIFS('Bad Bins'!$K$2:$K$3000,'Bad Bins'!$A$2:$A$3000,$K$2,'Bad Bins'!$B$2:$B$3000,SUBSTITUTE($A245," SS","  SS")),"NA"))</f>
        <v>14</v>
      </c>
      <c r="G245" s="81" t="str">
        <f aca="false">IF(COUNTIFS('RSTO &gt; 48hrs'!$A$2:$A$3000,$K$2,'RSTO &gt; 48hrs'!$B$2:$B$3000,$A245)&gt;0,SUMIFS('RSTO &gt; 48hrs'!$H$2:$H$3000,'RSTO &gt; 48hrs'!$A$2:$A$3000,$K$2,'RSTO &gt; 48hrs'!$B$2:$B$3000,$A245),IF(COUNTIFS('RSTO &gt; 48hrs'!$A$2:$A$3000,$K$2,'RSTO &gt; 48hrs'!$B$2:$B$3000,SUBSTITUTE($A245," SS","  SS"))&gt;0,SUMIFS('RSTO &gt; 48hrs'!$H$2:$H$3000,'RSTO &gt; 48hrs'!$A$2:$A$3000,$K$2,'RSTO &gt; 48hrs'!$B$2:$B$3000,SUBSTITUTE($A245," SS","  SS")),"NA"))</f>
        <v>NA</v>
      </c>
      <c r="H245" s="81" t="str">
        <f aca="false">IF(COUNTIFS('Recirculation &gt; 24 hrs'!$A$2:$A$3000,$K$2,'Recirculation &gt; 24 hrs'!$B$2:$B$3000,$A245)&gt;0,SUMIFS('Recirculation &gt; 24 hrs'!$K$2:$K$3000,'Recirculation &gt; 24 hrs'!$A$2:$A$3000,$K$2,'Recirculation &gt; 24 hrs'!$B$2:$B$3000,$A245),IF(COUNTIFS('Recirculation &gt; 24 hrs'!$A$2:$A$3000,$K$2,'Recirculation &gt; 24 hrs'!$B$2:$B$3000,SUBSTITUTE($A245," SS","  SS"))&gt;0,SUMIFS('Recirculation &gt; 24 hrs'!$K$2:$K$3000,'Recirculation &gt; 24 hrs'!$A$2:$A$3000,$K$2,'Recirculation &gt; 24 hrs'!$B$2:$B$3000,SUBSTITUTE($A245," SS","  SS")),"NA"))</f>
        <v>NA</v>
      </c>
      <c r="I245" s="81" t="n">
        <f aca="false">IF(COUNTIFS('Pending Putaway'!$A$2:$A$3000,$K$2,'Pending Putaway'!$B$2:$B$3000,$A245)&gt;0,SUMIFS('Pending Putaway'!$E$2:$E$3000,'Pending Putaway'!$A$2:$A$3000,$K$2,'Pending Putaway'!$B$2:$B$3000,$A245),IF(COUNTIFS('Pending Putaway'!$A$2:$A$3000,$K$2,'Pending Putaway'!$B$2:$B$3000,SUBSTITUTE($A245," SS","  SS"))&gt;0,SUMIFS('Pending Putaway'!$E$2:$E$3000,'Pending Putaway'!$A$2:$A$3000,$K$2,'Pending Putaway'!$B$2:$B$3000,SUBSTITUTE($A245," SS","  SS")),"NA"))</f>
        <v>124</v>
      </c>
      <c r="J245" s="81" t="n">
        <f aca="false">IF(COUNTIFS('Pending Putaway'!$A$2:$A$3000,$K$2,'Pending Putaway'!$B$2:$B$3000,$A245)&gt;0,SUMIFS('Pending Putaway'!$L$2:$L$3000,'Pending Putaway'!$A$2:$A$3000,$K$2,'Pending Putaway'!$B$2:$B$3000,$A245),IF(COUNTIFS('Pending Putaway'!$A$2:$A$3000,$K$2,'Pending Putaway'!$B$2:$B$3000,SUBSTITUTE($A245," SS","  SS"))&gt;0,SUMIFS('Pending Putaway'!$L$2:$L$3000,'Pending Putaway'!$A$2:$A$3000,$K$2,'Pending Putaway'!$B$2:$B$3000,SUBSTITUTE($A245," SS","  SS")),"NA"))</f>
        <v>0</v>
      </c>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row>
    <row r="246" customFormat="false" ht="15.75" hidden="false" customHeight="true" outlineLevel="0" collapsed="false">
      <c r="A246" s="81" t="s">
        <v>503</v>
      </c>
      <c r="B246" s="81" t="str">
        <f aca="false" t="array" ref="B246:B246">IFERROR(INDEX('CLM &amp; IM Mapping'!$B$2:$B$270,MATCH($A246,'CLM &amp; IM Mapping'!$A$2:$A$270,0)),"Not Mapped")</f>
        <v>Santhosha M</v>
      </c>
      <c r="C246" s="81" t="str">
        <f aca="false" t="array" ref="C246:C246">IFERROR(INDEX('CLM &amp; IM Mapping'!$C$2:$C$270,MATCH($A246,'CLM &amp; IM Mapping'!$A$2:$A$270,0)),"Not Mapped")</f>
        <v>Aravind S</v>
      </c>
      <c r="D246" s="82" t="n">
        <f aca="false">IF(COUNTIFS(Shrinkage!$A$2:$A$3000,$K$2,Shrinkage!$D$2:$D$3000,$A246)&gt;0,SUMIFS(Shrinkage!$P$2:$P$3000,Shrinkage!$A$2:$A$3000,$K$2,Shrinkage!$D$2:$D$3000,$A246),IF(COUNTIFS(Shrinkage!$A$2:$A$3000,$K$2,Shrinkage!$D$2:$D$3000,SUBSTITUTE($A246," SS","  SS"))&gt;0,SUMIFS(Shrinkage!$P$2:$P$3000,Shrinkage!$A$2:$A$3000,$K$2,Shrinkage!$D$2:$D$3000,SUBSTITUTE($A246," SS","  SS")),"NA"))</f>
        <v>-15820</v>
      </c>
      <c r="E246" s="83" t="n">
        <f aca="false">IF(COUNTIFS('Inventory Hygiene'!$A$2:$A$3000,$K$2,'Inventory Hygiene'!$B$2:$B$3000,$A246)&gt;0,AVERAGEIFS('Inventory Hygiene'!$J$2:$J$3000,'Inventory Hygiene'!$A$2:$A$3000,$K$2,'Inventory Hygiene'!$B$2:$B$3000,$A246),IF(COUNTIFS('Inventory Hygiene'!$A$2:$A$3000,$K$2,'Inventory Hygiene'!$B$2:$B$3000,SUBSTITUTE($A246," SS","  SS"))&gt;0,AVERAGEIFS('Inventory Hygiene'!$J$2:$J$3000,'Inventory Hygiene'!$A$2:$A$3000,$K$2,'Inventory Hygiene'!$B$2:$B$3000,SUBSTITUTE($A246," SS","  SS")),"NA"))</f>
        <v>1</v>
      </c>
      <c r="F246" s="81" t="n">
        <f aca="false">IF(COUNTIFS('Bad Bins'!$A$2:$A$3000,$K$2,'Bad Bins'!$B$2:$B$3000,$A246)&gt;0,SUMIFS('Bad Bins'!$K$2:$K$3000,'Bad Bins'!$A$2:$A$3000,$K$2,'Bad Bins'!$B$2:$B$3000,$A246),IF(COUNTIFS('Bad Bins'!$A$2:$A$3000,$K$2,'Bad Bins'!$B$2:$B$3000,SUBSTITUTE($A246," SS","  SS"))&gt;0,SUMIFS('Bad Bins'!$K$2:$K$3000,'Bad Bins'!$A$2:$A$3000,$K$2,'Bad Bins'!$B$2:$B$3000,SUBSTITUTE($A246," SS","  SS")),"NA"))</f>
        <v>40</v>
      </c>
      <c r="G246" s="81" t="str">
        <f aca="false">IF(COUNTIFS('RSTO &gt; 48hrs'!$A$2:$A$3000,$K$2,'RSTO &gt; 48hrs'!$B$2:$B$3000,$A246)&gt;0,SUMIFS('RSTO &gt; 48hrs'!$H$2:$H$3000,'RSTO &gt; 48hrs'!$A$2:$A$3000,$K$2,'RSTO &gt; 48hrs'!$B$2:$B$3000,$A246),IF(COUNTIFS('RSTO &gt; 48hrs'!$A$2:$A$3000,$K$2,'RSTO &gt; 48hrs'!$B$2:$B$3000,SUBSTITUTE($A246," SS","  SS"))&gt;0,SUMIFS('RSTO &gt; 48hrs'!$H$2:$H$3000,'RSTO &gt; 48hrs'!$A$2:$A$3000,$K$2,'RSTO &gt; 48hrs'!$B$2:$B$3000,SUBSTITUTE($A246," SS","  SS")),"NA"))</f>
        <v>NA</v>
      </c>
      <c r="H246" s="81" t="str">
        <f aca="false">IF(COUNTIFS('Recirculation &gt; 24 hrs'!$A$2:$A$3000,$K$2,'Recirculation &gt; 24 hrs'!$B$2:$B$3000,$A246)&gt;0,SUMIFS('Recirculation &gt; 24 hrs'!$K$2:$K$3000,'Recirculation &gt; 24 hrs'!$A$2:$A$3000,$K$2,'Recirculation &gt; 24 hrs'!$B$2:$B$3000,$A246),IF(COUNTIFS('Recirculation &gt; 24 hrs'!$A$2:$A$3000,$K$2,'Recirculation &gt; 24 hrs'!$B$2:$B$3000,SUBSTITUTE($A246," SS","  SS"))&gt;0,SUMIFS('Recirculation &gt; 24 hrs'!$K$2:$K$3000,'Recirculation &gt; 24 hrs'!$A$2:$A$3000,$K$2,'Recirculation &gt; 24 hrs'!$B$2:$B$3000,SUBSTITUTE($A246," SS","  SS")),"NA"))</f>
        <v>NA</v>
      </c>
      <c r="I246" s="81" t="n">
        <f aca="false">IF(COUNTIFS('Pending Putaway'!$A$2:$A$3000,$K$2,'Pending Putaway'!$B$2:$B$3000,$A246)&gt;0,SUMIFS('Pending Putaway'!$E$2:$E$3000,'Pending Putaway'!$A$2:$A$3000,$K$2,'Pending Putaway'!$B$2:$B$3000,$A246),IF(COUNTIFS('Pending Putaway'!$A$2:$A$3000,$K$2,'Pending Putaway'!$B$2:$B$3000,SUBSTITUTE($A246," SS","  SS"))&gt;0,SUMIFS('Pending Putaway'!$E$2:$E$3000,'Pending Putaway'!$A$2:$A$3000,$K$2,'Pending Putaway'!$B$2:$B$3000,SUBSTITUTE($A246," SS","  SS")),"NA"))</f>
        <v>0</v>
      </c>
      <c r="J246" s="81" t="n">
        <f aca="false">IF(COUNTIFS('Pending Putaway'!$A$2:$A$3000,$K$2,'Pending Putaway'!$B$2:$B$3000,$A246)&gt;0,SUMIFS('Pending Putaway'!$L$2:$L$3000,'Pending Putaway'!$A$2:$A$3000,$K$2,'Pending Putaway'!$B$2:$B$3000,$A246),IF(COUNTIFS('Pending Putaway'!$A$2:$A$3000,$K$2,'Pending Putaway'!$B$2:$B$3000,SUBSTITUTE($A246," SS","  SS"))&gt;0,SUMIFS('Pending Putaway'!$L$2:$L$3000,'Pending Putaway'!$A$2:$A$3000,$K$2,'Pending Putaway'!$B$2:$B$3000,SUBSTITUTE($A246," SS","  SS")),"NA"))</f>
        <v>0</v>
      </c>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row>
    <row r="247" customFormat="false" ht="15.75" hidden="false" customHeight="true" outlineLevel="0" collapsed="false">
      <c r="A247" s="81" t="s">
        <v>238</v>
      </c>
      <c r="B247" s="81" t="str">
        <f aca="false" t="array" ref="B247:B247">IFERROR(INDEX('CLM &amp; IM Mapping'!$B$2:$B$270,MATCH($A247,'CLM &amp; IM Mapping'!$A$2:$A$270,0)),"Not Mapped")</f>
        <v>Suhas N</v>
      </c>
      <c r="C247" s="81" t="str">
        <f aca="false" t="array" ref="C247:C247">IFERROR(INDEX('CLM &amp; IM Mapping'!$C$2:$C$270,MATCH($A247,'CLM &amp; IM Mapping'!$A$2:$A$270,0)),"Not Mapped")</f>
        <v>Aravind S</v>
      </c>
      <c r="D247" s="82" t="n">
        <f aca="false">IF(COUNTIFS(Shrinkage!$A$2:$A$3000,$K$2,Shrinkage!$D$2:$D$3000,$A247)&gt;0,SUMIFS(Shrinkage!$P$2:$P$3000,Shrinkage!$A$2:$A$3000,$K$2,Shrinkage!$D$2:$D$3000,$A247),IF(COUNTIFS(Shrinkage!$A$2:$A$3000,$K$2,Shrinkage!$D$2:$D$3000,SUBSTITUTE($A247," SS","  SS"))&gt;0,SUMIFS(Shrinkage!$P$2:$P$3000,Shrinkage!$A$2:$A$3000,$K$2,Shrinkage!$D$2:$D$3000,SUBSTITUTE($A247," SS","  SS")),"NA"))</f>
        <v>2362</v>
      </c>
      <c r="E247" s="83" t="n">
        <f aca="false">IF(COUNTIFS('Inventory Hygiene'!$A$2:$A$3000,$K$2,'Inventory Hygiene'!$B$2:$B$3000,$A247)&gt;0,AVERAGEIFS('Inventory Hygiene'!$J$2:$J$3000,'Inventory Hygiene'!$A$2:$A$3000,$K$2,'Inventory Hygiene'!$B$2:$B$3000,$A247),IF(COUNTIFS('Inventory Hygiene'!$A$2:$A$3000,$K$2,'Inventory Hygiene'!$B$2:$B$3000,SUBSTITUTE($A247," SS","  SS"))&gt;0,AVERAGEIFS('Inventory Hygiene'!$J$2:$J$3000,'Inventory Hygiene'!$A$2:$A$3000,$K$2,'Inventory Hygiene'!$B$2:$B$3000,SUBSTITUTE($A247," SS","  SS")),"NA"))</f>
        <v>0.493691132041941</v>
      </c>
      <c r="F247" s="81" t="n">
        <f aca="false">IF(COUNTIFS('Bad Bins'!$A$2:$A$3000,$K$2,'Bad Bins'!$B$2:$B$3000,$A247)&gt;0,SUMIFS('Bad Bins'!$K$2:$K$3000,'Bad Bins'!$A$2:$A$3000,$K$2,'Bad Bins'!$B$2:$B$3000,$A247),IF(COUNTIFS('Bad Bins'!$A$2:$A$3000,$K$2,'Bad Bins'!$B$2:$B$3000,SUBSTITUTE($A247," SS","  SS"))&gt;0,SUMIFS('Bad Bins'!$K$2:$K$3000,'Bad Bins'!$A$2:$A$3000,$K$2,'Bad Bins'!$B$2:$B$3000,SUBSTITUTE($A247," SS","  SS")),"NA"))</f>
        <v>116</v>
      </c>
      <c r="G247" s="81" t="str">
        <f aca="false">IF(COUNTIFS('RSTO &gt; 48hrs'!$A$2:$A$3000,$K$2,'RSTO &gt; 48hrs'!$B$2:$B$3000,$A247)&gt;0,SUMIFS('RSTO &gt; 48hrs'!$H$2:$H$3000,'RSTO &gt; 48hrs'!$A$2:$A$3000,$K$2,'RSTO &gt; 48hrs'!$B$2:$B$3000,$A247),IF(COUNTIFS('RSTO &gt; 48hrs'!$A$2:$A$3000,$K$2,'RSTO &gt; 48hrs'!$B$2:$B$3000,SUBSTITUTE($A247," SS","  SS"))&gt;0,SUMIFS('RSTO &gt; 48hrs'!$H$2:$H$3000,'RSTO &gt; 48hrs'!$A$2:$A$3000,$K$2,'RSTO &gt; 48hrs'!$B$2:$B$3000,SUBSTITUTE($A247," SS","  SS")),"NA"))</f>
        <v>NA</v>
      </c>
      <c r="H247" s="81" t="n">
        <f aca="false">IF(COUNTIFS('Recirculation &gt; 24 hrs'!$A$2:$A$3000,$K$2,'Recirculation &gt; 24 hrs'!$B$2:$B$3000,$A247)&gt;0,SUMIFS('Recirculation &gt; 24 hrs'!$K$2:$K$3000,'Recirculation &gt; 24 hrs'!$A$2:$A$3000,$K$2,'Recirculation &gt; 24 hrs'!$B$2:$B$3000,$A247),IF(COUNTIFS('Recirculation &gt; 24 hrs'!$A$2:$A$3000,$K$2,'Recirculation &gt; 24 hrs'!$B$2:$B$3000,SUBSTITUTE($A247," SS","  SS"))&gt;0,SUMIFS('Recirculation &gt; 24 hrs'!$K$2:$K$3000,'Recirculation &gt; 24 hrs'!$A$2:$A$3000,$K$2,'Recirculation &gt; 24 hrs'!$B$2:$B$3000,SUBSTITUTE($A247," SS","  SS")),"NA"))</f>
        <v>3</v>
      </c>
      <c r="I247" s="81" t="n">
        <f aca="false">IF(COUNTIFS('Pending Putaway'!$A$2:$A$3000,$K$2,'Pending Putaway'!$B$2:$B$3000,$A247)&gt;0,SUMIFS('Pending Putaway'!$E$2:$E$3000,'Pending Putaway'!$A$2:$A$3000,$K$2,'Pending Putaway'!$B$2:$B$3000,$A247),IF(COUNTIFS('Pending Putaway'!$A$2:$A$3000,$K$2,'Pending Putaway'!$B$2:$B$3000,SUBSTITUTE($A247," SS","  SS"))&gt;0,SUMIFS('Pending Putaway'!$E$2:$E$3000,'Pending Putaway'!$A$2:$A$3000,$K$2,'Pending Putaway'!$B$2:$B$3000,SUBSTITUTE($A247," SS","  SS")),"NA"))</f>
        <v>214</v>
      </c>
      <c r="J247" s="81" t="n">
        <f aca="false">IF(COUNTIFS('Pending Putaway'!$A$2:$A$3000,$K$2,'Pending Putaway'!$B$2:$B$3000,$A247)&gt;0,SUMIFS('Pending Putaway'!$L$2:$L$3000,'Pending Putaway'!$A$2:$A$3000,$K$2,'Pending Putaway'!$B$2:$B$3000,$A247),IF(COUNTIFS('Pending Putaway'!$A$2:$A$3000,$K$2,'Pending Putaway'!$B$2:$B$3000,SUBSTITUTE($A247," SS","  SS"))&gt;0,SUMIFS('Pending Putaway'!$L$2:$L$3000,'Pending Putaway'!$A$2:$A$3000,$K$2,'Pending Putaway'!$B$2:$B$3000,SUBSTITUTE($A247," SS","  SS")),"NA"))</f>
        <v>4</v>
      </c>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row>
    <row r="248" customFormat="false" ht="15.75" hidden="false" customHeight="true" outlineLevel="0" collapsed="false">
      <c r="A248" s="81" t="s">
        <v>709</v>
      </c>
      <c r="B248" s="81" t="str">
        <f aca="false" t="array" ref="B248:B248">IFERROR(INDEX('CLM &amp; IM Mapping'!$B$2:$B$270,MATCH($A248,'CLM &amp; IM Mapping'!$A$2:$A$270,0)),"Not Mapped")</f>
        <v>Suhas N</v>
      </c>
      <c r="C248" s="81" t="str">
        <f aca="false" t="array" ref="C248:C248">IFERROR(INDEX('CLM &amp; IM Mapping'!$C$2:$C$270,MATCH($A248,'CLM &amp; IM Mapping'!$A$2:$A$270,0)),"Not Mapped")</f>
        <v>Aravind S</v>
      </c>
      <c r="D248" s="82" t="n">
        <f aca="false">IF(COUNTIFS(Shrinkage!$A$2:$A$3000,$K$2,Shrinkage!$D$2:$D$3000,$A248)&gt;0,SUMIFS(Shrinkage!$P$2:$P$3000,Shrinkage!$A$2:$A$3000,$K$2,Shrinkage!$D$2:$D$3000,$A248),IF(COUNTIFS(Shrinkage!$A$2:$A$3000,$K$2,Shrinkage!$D$2:$D$3000,SUBSTITUTE($A248," SS","  SS"))&gt;0,SUMIFS(Shrinkage!$P$2:$P$3000,Shrinkage!$A$2:$A$3000,$K$2,Shrinkage!$D$2:$D$3000,SUBSTITUTE($A248," SS","  SS")),"NA"))</f>
        <v>7017</v>
      </c>
      <c r="E248" s="83" t="n">
        <f aca="false">IF(COUNTIFS('Inventory Hygiene'!$A$2:$A$3000,$K$2,'Inventory Hygiene'!$B$2:$B$3000,$A248)&gt;0,AVERAGEIFS('Inventory Hygiene'!$J$2:$J$3000,'Inventory Hygiene'!$A$2:$A$3000,$K$2,'Inventory Hygiene'!$B$2:$B$3000,$A248),IF(COUNTIFS('Inventory Hygiene'!$A$2:$A$3000,$K$2,'Inventory Hygiene'!$B$2:$B$3000,SUBSTITUTE($A248," SS","  SS"))&gt;0,AVERAGEIFS('Inventory Hygiene'!$J$2:$J$3000,'Inventory Hygiene'!$A$2:$A$3000,$K$2,'Inventory Hygiene'!$B$2:$B$3000,SUBSTITUTE($A248," SS","  SS")),"NA"))</f>
        <v>0.662923523717328</v>
      </c>
      <c r="F248" s="81" t="n">
        <f aca="false">IF(COUNTIFS('Bad Bins'!$A$2:$A$3000,$K$2,'Bad Bins'!$B$2:$B$3000,$A248)&gt;0,SUMIFS('Bad Bins'!$K$2:$K$3000,'Bad Bins'!$A$2:$A$3000,$K$2,'Bad Bins'!$B$2:$B$3000,$A248),IF(COUNTIFS('Bad Bins'!$A$2:$A$3000,$K$2,'Bad Bins'!$B$2:$B$3000,SUBSTITUTE($A248," SS","  SS"))&gt;0,SUMIFS('Bad Bins'!$K$2:$K$3000,'Bad Bins'!$A$2:$A$3000,$K$2,'Bad Bins'!$B$2:$B$3000,SUBSTITUTE($A248," SS","  SS")),"NA"))</f>
        <v>181</v>
      </c>
      <c r="G248" s="81" t="str">
        <f aca="false">IF(COUNTIFS('RSTO &gt; 48hrs'!$A$2:$A$3000,$K$2,'RSTO &gt; 48hrs'!$B$2:$B$3000,$A248)&gt;0,SUMIFS('RSTO &gt; 48hrs'!$H$2:$H$3000,'RSTO &gt; 48hrs'!$A$2:$A$3000,$K$2,'RSTO &gt; 48hrs'!$B$2:$B$3000,$A248),IF(COUNTIFS('RSTO &gt; 48hrs'!$A$2:$A$3000,$K$2,'RSTO &gt; 48hrs'!$B$2:$B$3000,SUBSTITUTE($A248," SS","  SS"))&gt;0,SUMIFS('RSTO &gt; 48hrs'!$H$2:$H$3000,'RSTO &gt; 48hrs'!$A$2:$A$3000,$K$2,'RSTO &gt; 48hrs'!$B$2:$B$3000,SUBSTITUTE($A248," SS","  SS")),"NA"))</f>
        <v>NA</v>
      </c>
      <c r="H248" s="81" t="str">
        <f aca="false">IF(COUNTIFS('Recirculation &gt; 24 hrs'!$A$2:$A$3000,$K$2,'Recirculation &gt; 24 hrs'!$B$2:$B$3000,$A248)&gt;0,SUMIFS('Recirculation &gt; 24 hrs'!$K$2:$K$3000,'Recirculation &gt; 24 hrs'!$A$2:$A$3000,$K$2,'Recirculation &gt; 24 hrs'!$B$2:$B$3000,$A248),IF(COUNTIFS('Recirculation &gt; 24 hrs'!$A$2:$A$3000,$K$2,'Recirculation &gt; 24 hrs'!$B$2:$B$3000,SUBSTITUTE($A248," SS","  SS"))&gt;0,SUMIFS('Recirculation &gt; 24 hrs'!$K$2:$K$3000,'Recirculation &gt; 24 hrs'!$A$2:$A$3000,$K$2,'Recirculation &gt; 24 hrs'!$B$2:$B$3000,SUBSTITUTE($A248," SS","  SS")),"NA"))</f>
        <v>NA</v>
      </c>
      <c r="I248" s="81" t="n">
        <f aca="false">IF(COUNTIFS('Pending Putaway'!$A$2:$A$3000,$K$2,'Pending Putaway'!$B$2:$B$3000,$A248)&gt;0,SUMIFS('Pending Putaway'!$E$2:$E$3000,'Pending Putaway'!$A$2:$A$3000,$K$2,'Pending Putaway'!$B$2:$B$3000,$A248),IF(COUNTIFS('Pending Putaway'!$A$2:$A$3000,$K$2,'Pending Putaway'!$B$2:$B$3000,SUBSTITUTE($A248," SS","  SS"))&gt;0,SUMIFS('Pending Putaway'!$E$2:$E$3000,'Pending Putaway'!$A$2:$A$3000,$K$2,'Pending Putaway'!$B$2:$B$3000,SUBSTITUTE($A248," SS","  SS")),"NA"))</f>
        <v>4354</v>
      </c>
      <c r="J248" s="81" t="n">
        <f aca="false">IF(COUNTIFS('Pending Putaway'!$A$2:$A$3000,$K$2,'Pending Putaway'!$B$2:$B$3000,$A248)&gt;0,SUMIFS('Pending Putaway'!$L$2:$L$3000,'Pending Putaway'!$A$2:$A$3000,$K$2,'Pending Putaway'!$B$2:$B$3000,$A248),IF(COUNTIFS('Pending Putaway'!$A$2:$A$3000,$K$2,'Pending Putaway'!$B$2:$B$3000,SUBSTITUTE($A248," SS","  SS"))&gt;0,SUMIFS('Pending Putaway'!$L$2:$L$3000,'Pending Putaway'!$A$2:$A$3000,$K$2,'Pending Putaway'!$B$2:$B$3000,SUBSTITUTE($A248," SS","  SS")),"NA"))</f>
        <v>4354</v>
      </c>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row>
    <row r="249" customFormat="false" ht="15.75" hidden="false" customHeight="true" outlineLevel="0" collapsed="false">
      <c r="A249" s="81" t="s">
        <v>527</v>
      </c>
      <c r="B249" s="81" t="str">
        <f aca="false" t="array" ref="B249:B249">IFERROR(INDEX('CLM &amp; IM Mapping'!$B$2:$B$270,MATCH($A249,'CLM &amp; IM Mapping'!$A$2:$A$270,0)),"Not Mapped")</f>
        <v>Suhas N</v>
      </c>
      <c r="C249" s="81" t="str">
        <f aca="false" t="array" ref="C249:C249">IFERROR(INDEX('CLM &amp; IM Mapping'!$C$2:$C$270,MATCH($A249,'CLM &amp; IM Mapping'!$A$2:$A$270,0)),"Not Mapped")</f>
        <v>Aravind S</v>
      </c>
      <c r="D249" s="82" t="n">
        <f aca="false">IF(COUNTIFS(Shrinkage!$A$2:$A$3000,$K$2,Shrinkage!$D$2:$D$3000,$A249)&gt;0,SUMIFS(Shrinkage!$P$2:$P$3000,Shrinkage!$A$2:$A$3000,$K$2,Shrinkage!$D$2:$D$3000,$A249),IF(COUNTIFS(Shrinkage!$A$2:$A$3000,$K$2,Shrinkage!$D$2:$D$3000,SUBSTITUTE($A249," SS","  SS"))&gt;0,SUMIFS(Shrinkage!$P$2:$P$3000,Shrinkage!$A$2:$A$3000,$K$2,Shrinkage!$D$2:$D$3000,SUBSTITUTE($A249," SS","  SS")),"NA"))</f>
        <v>-33983</v>
      </c>
      <c r="E249" s="83" t="n">
        <f aca="false">IF(COUNTIFS('Inventory Hygiene'!$A$2:$A$3000,$K$2,'Inventory Hygiene'!$B$2:$B$3000,$A249)&gt;0,AVERAGEIFS('Inventory Hygiene'!$J$2:$J$3000,'Inventory Hygiene'!$A$2:$A$3000,$K$2,'Inventory Hygiene'!$B$2:$B$3000,$A249),IF(COUNTIFS('Inventory Hygiene'!$A$2:$A$3000,$K$2,'Inventory Hygiene'!$B$2:$B$3000,SUBSTITUTE($A249," SS","  SS"))&gt;0,AVERAGEIFS('Inventory Hygiene'!$J$2:$J$3000,'Inventory Hygiene'!$A$2:$A$3000,$K$2,'Inventory Hygiene'!$B$2:$B$3000,SUBSTITUTE($A249," SS","  SS")),"NA"))</f>
        <v>0.913130447206744</v>
      </c>
      <c r="F249" s="81" t="n">
        <f aca="false">IF(COUNTIFS('Bad Bins'!$A$2:$A$3000,$K$2,'Bad Bins'!$B$2:$B$3000,$A249)&gt;0,SUMIFS('Bad Bins'!$K$2:$K$3000,'Bad Bins'!$A$2:$A$3000,$K$2,'Bad Bins'!$B$2:$B$3000,$A249),IF(COUNTIFS('Bad Bins'!$A$2:$A$3000,$K$2,'Bad Bins'!$B$2:$B$3000,SUBSTITUTE($A249," SS","  SS"))&gt;0,SUMIFS('Bad Bins'!$K$2:$K$3000,'Bad Bins'!$A$2:$A$3000,$K$2,'Bad Bins'!$B$2:$B$3000,SUBSTITUTE($A249," SS","  SS")),"NA"))</f>
        <v>183</v>
      </c>
      <c r="G249" s="81" t="str">
        <f aca="false">IF(COUNTIFS('RSTO &gt; 48hrs'!$A$2:$A$3000,$K$2,'RSTO &gt; 48hrs'!$B$2:$B$3000,$A249)&gt;0,SUMIFS('RSTO &gt; 48hrs'!$H$2:$H$3000,'RSTO &gt; 48hrs'!$A$2:$A$3000,$K$2,'RSTO &gt; 48hrs'!$B$2:$B$3000,$A249),IF(COUNTIFS('RSTO &gt; 48hrs'!$A$2:$A$3000,$K$2,'RSTO &gt; 48hrs'!$B$2:$B$3000,SUBSTITUTE($A249," SS","  SS"))&gt;0,SUMIFS('RSTO &gt; 48hrs'!$H$2:$H$3000,'RSTO &gt; 48hrs'!$A$2:$A$3000,$K$2,'RSTO &gt; 48hrs'!$B$2:$B$3000,SUBSTITUTE($A249," SS","  SS")),"NA"))</f>
        <v>NA</v>
      </c>
      <c r="H249" s="81" t="n">
        <f aca="false">IF(COUNTIFS('Recirculation &gt; 24 hrs'!$A$2:$A$3000,$K$2,'Recirculation &gt; 24 hrs'!$B$2:$B$3000,$A249)&gt;0,SUMIFS('Recirculation &gt; 24 hrs'!$K$2:$K$3000,'Recirculation &gt; 24 hrs'!$A$2:$A$3000,$K$2,'Recirculation &gt; 24 hrs'!$B$2:$B$3000,$A249),IF(COUNTIFS('Recirculation &gt; 24 hrs'!$A$2:$A$3000,$K$2,'Recirculation &gt; 24 hrs'!$B$2:$B$3000,SUBSTITUTE($A249," SS","  SS"))&gt;0,SUMIFS('Recirculation &gt; 24 hrs'!$K$2:$K$3000,'Recirculation &gt; 24 hrs'!$A$2:$A$3000,$K$2,'Recirculation &gt; 24 hrs'!$B$2:$B$3000,SUBSTITUTE($A249," SS","  SS")),"NA"))</f>
        <v>460</v>
      </c>
      <c r="I249" s="81" t="n">
        <f aca="false">IF(COUNTIFS('Pending Putaway'!$A$2:$A$3000,$K$2,'Pending Putaway'!$B$2:$B$3000,$A249)&gt;0,SUMIFS('Pending Putaway'!$E$2:$E$3000,'Pending Putaway'!$A$2:$A$3000,$K$2,'Pending Putaway'!$B$2:$B$3000,$A249),IF(COUNTIFS('Pending Putaway'!$A$2:$A$3000,$K$2,'Pending Putaway'!$B$2:$B$3000,SUBSTITUTE($A249," SS","  SS"))&gt;0,SUMIFS('Pending Putaway'!$E$2:$E$3000,'Pending Putaway'!$A$2:$A$3000,$K$2,'Pending Putaway'!$B$2:$B$3000,SUBSTITUTE($A249," SS","  SS")),"NA"))</f>
        <v>0</v>
      </c>
      <c r="J249" s="81" t="n">
        <f aca="false">IF(COUNTIFS('Pending Putaway'!$A$2:$A$3000,$K$2,'Pending Putaway'!$B$2:$B$3000,$A249)&gt;0,SUMIFS('Pending Putaway'!$L$2:$L$3000,'Pending Putaway'!$A$2:$A$3000,$K$2,'Pending Putaway'!$B$2:$B$3000,$A249),IF(COUNTIFS('Pending Putaway'!$A$2:$A$3000,$K$2,'Pending Putaway'!$B$2:$B$3000,SUBSTITUTE($A249," SS","  SS"))&gt;0,SUMIFS('Pending Putaway'!$L$2:$L$3000,'Pending Putaway'!$A$2:$A$3000,$K$2,'Pending Putaway'!$B$2:$B$3000,SUBSTITUTE($A249," SS","  SS")),"NA"))</f>
        <v>0</v>
      </c>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row>
    <row r="250" customFormat="false" ht="15.75" hidden="false" customHeight="true" outlineLevel="0" collapsed="false">
      <c r="A250" s="81" t="s">
        <v>465</v>
      </c>
      <c r="B250" s="81" t="str">
        <f aca="false" t="array" ref="B250:B250">IFERROR(INDEX('CLM &amp; IM Mapping'!$B$2:$B$270,MATCH($A250,'CLM &amp; IM Mapping'!$A$2:$A$270,0)),"Not Mapped")</f>
        <v>Suhas N</v>
      </c>
      <c r="C250" s="81" t="str">
        <f aca="false" t="array" ref="C250:C250">IFERROR(INDEX('CLM &amp; IM Mapping'!$C$2:$C$270,MATCH($A250,'CLM &amp; IM Mapping'!$A$2:$A$270,0)),"Not Mapped")</f>
        <v>Aravind S</v>
      </c>
      <c r="D250" s="82" t="n">
        <f aca="false">IF(COUNTIFS(Shrinkage!$A$2:$A$3000,$K$2,Shrinkage!$D$2:$D$3000,$A250)&gt;0,SUMIFS(Shrinkage!$P$2:$P$3000,Shrinkage!$A$2:$A$3000,$K$2,Shrinkage!$D$2:$D$3000,$A250),IF(COUNTIFS(Shrinkage!$A$2:$A$3000,$K$2,Shrinkage!$D$2:$D$3000,SUBSTITUTE($A250," SS","  SS"))&gt;0,SUMIFS(Shrinkage!$P$2:$P$3000,Shrinkage!$A$2:$A$3000,$K$2,Shrinkage!$D$2:$D$3000,SUBSTITUTE($A250," SS","  SS")),"NA"))</f>
        <v>-6565</v>
      </c>
      <c r="E250" s="83" t="n">
        <f aca="false">IF(COUNTIFS('Inventory Hygiene'!$A$2:$A$3000,$K$2,'Inventory Hygiene'!$B$2:$B$3000,$A250)&gt;0,AVERAGEIFS('Inventory Hygiene'!$J$2:$J$3000,'Inventory Hygiene'!$A$2:$A$3000,$K$2,'Inventory Hygiene'!$B$2:$B$3000,$A250),IF(COUNTIFS('Inventory Hygiene'!$A$2:$A$3000,$K$2,'Inventory Hygiene'!$B$2:$B$3000,SUBSTITUTE($A250," SS","  SS"))&gt;0,AVERAGEIFS('Inventory Hygiene'!$J$2:$J$3000,'Inventory Hygiene'!$A$2:$A$3000,$K$2,'Inventory Hygiene'!$B$2:$B$3000,SUBSTITUTE($A250," SS","  SS")),"NA"))</f>
        <v>0.692747701736466</v>
      </c>
      <c r="F250" s="81" t="n">
        <f aca="false">IF(COUNTIFS('Bad Bins'!$A$2:$A$3000,$K$2,'Bad Bins'!$B$2:$B$3000,$A250)&gt;0,SUMIFS('Bad Bins'!$K$2:$K$3000,'Bad Bins'!$A$2:$A$3000,$K$2,'Bad Bins'!$B$2:$B$3000,$A250),IF(COUNTIFS('Bad Bins'!$A$2:$A$3000,$K$2,'Bad Bins'!$B$2:$B$3000,SUBSTITUTE($A250," SS","  SS"))&gt;0,SUMIFS('Bad Bins'!$K$2:$K$3000,'Bad Bins'!$A$2:$A$3000,$K$2,'Bad Bins'!$B$2:$B$3000,SUBSTITUTE($A250," SS","  SS")),"NA"))</f>
        <v>122</v>
      </c>
      <c r="G250" s="81" t="str">
        <f aca="false">IF(COUNTIFS('RSTO &gt; 48hrs'!$A$2:$A$3000,$K$2,'RSTO &gt; 48hrs'!$B$2:$B$3000,$A250)&gt;0,SUMIFS('RSTO &gt; 48hrs'!$H$2:$H$3000,'RSTO &gt; 48hrs'!$A$2:$A$3000,$K$2,'RSTO &gt; 48hrs'!$B$2:$B$3000,$A250),IF(COUNTIFS('RSTO &gt; 48hrs'!$A$2:$A$3000,$K$2,'RSTO &gt; 48hrs'!$B$2:$B$3000,SUBSTITUTE($A250," SS","  SS"))&gt;0,SUMIFS('RSTO &gt; 48hrs'!$H$2:$H$3000,'RSTO &gt; 48hrs'!$A$2:$A$3000,$K$2,'RSTO &gt; 48hrs'!$B$2:$B$3000,SUBSTITUTE($A250," SS","  SS")),"NA"))</f>
        <v>NA</v>
      </c>
      <c r="H250" s="81" t="n">
        <f aca="false">IF(COUNTIFS('Recirculation &gt; 24 hrs'!$A$2:$A$3000,$K$2,'Recirculation &gt; 24 hrs'!$B$2:$B$3000,$A250)&gt;0,SUMIFS('Recirculation &gt; 24 hrs'!$K$2:$K$3000,'Recirculation &gt; 24 hrs'!$A$2:$A$3000,$K$2,'Recirculation &gt; 24 hrs'!$B$2:$B$3000,$A250),IF(COUNTIFS('Recirculation &gt; 24 hrs'!$A$2:$A$3000,$K$2,'Recirculation &gt; 24 hrs'!$B$2:$B$3000,SUBSTITUTE($A250," SS","  SS"))&gt;0,SUMIFS('Recirculation &gt; 24 hrs'!$K$2:$K$3000,'Recirculation &gt; 24 hrs'!$A$2:$A$3000,$K$2,'Recirculation &gt; 24 hrs'!$B$2:$B$3000,SUBSTITUTE($A250," SS","  SS")),"NA"))</f>
        <v>17</v>
      </c>
      <c r="I250" s="81" t="n">
        <f aca="false">IF(COUNTIFS('Pending Putaway'!$A$2:$A$3000,$K$2,'Pending Putaway'!$B$2:$B$3000,$A250)&gt;0,SUMIFS('Pending Putaway'!$E$2:$E$3000,'Pending Putaway'!$A$2:$A$3000,$K$2,'Pending Putaway'!$B$2:$B$3000,$A250),IF(COUNTIFS('Pending Putaway'!$A$2:$A$3000,$K$2,'Pending Putaway'!$B$2:$B$3000,SUBSTITUTE($A250," SS","  SS"))&gt;0,SUMIFS('Pending Putaway'!$E$2:$E$3000,'Pending Putaway'!$A$2:$A$3000,$K$2,'Pending Putaway'!$B$2:$B$3000,SUBSTITUTE($A250," SS","  SS")),"NA"))</f>
        <v>1459</v>
      </c>
      <c r="J250" s="81" t="n">
        <f aca="false">IF(COUNTIFS('Pending Putaway'!$A$2:$A$3000,$K$2,'Pending Putaway'!$B$2:$B$3000,$A250)&gt;0,SUMIFS('Pending Putaway'!$L$2:$L$3000,'Pending Putaway'!$A$2:$A$3000,$K$2,'Pending Putaway'!$B$2:$B$3000,$A250),IF(COUNTIFS('Pending Putaway'!$A$2:$A$3000,$K$2,'Pending Putaway'!$B$2:$B$3000,SUBSTITUTE($A250," SS","  SS"))&gt;0,SUMIFS('Pending Putaway'!$L$2:$L$3000,'Pending Putaway'!$A$2:$A$3000,$K$2,'Pending Putaway'!$B$2:$B$3000,SUBSTITUTE($A250," SS","  SS")),"NA"))</f>
        <v>0</v>
      </c>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row>
    <row r="251" customFormat="false" ht="15.75" hidden="false" customHeight="true" outlineLevel="0" collapsed="false">
      <c r="A251" s="81" t="s">
        <v>233</v>
      </c>
      <c r="B251" s="81" t="str">
        <f aca="false" t="array" ref="B251:B251">IFERROR(INDEX('CLM &amp; IM Mapping'!$B$2:$B$270,MATCH($A251,'CLM &amp; IM Mapping'!$A$2:$A$270,0)),"Not Mapped")</f>
        <v>Suhas N</v>
      </c>
      <c r="C251" s="81" t="str">
        <f aca="false" t="array" ref="C251:C251">IFERROR(INDEX('CLM &amp; IM Mapping'!$C$2:$C$270,MATCH($A251,'CLM &amp; IM Mapping'!$A$2:$A$270,0)),"Not Mapped")</f>
        <v>Aravind S</v>
      </c>
      <c r="D251" s="82" t="n">
        <f aca="false">IF(COUNTIFS(Shrinkage!$A$2:$A$3000,$K$2,Shrinkage!$D$2:$D$3000,$A251)&gt;0,SUMIFS(Shrinkage!$P$2:$P$3000,Shrinkage!$A$2:$A$3000,$K$2,Shrinkage!$D$2:$D$3000,$A251),IF(COUNTIFS(Shrinkage!$A$2:$A$3000,$K$2,Shrinkage!$D$2:$D$3000,SUBSTITUTE($A251," SS","  SS"))&gt;0,SUMIFS(Shrinkage!$P$2:$P$3000,Shrinkage!$A$2:$A$3000,$K$2,Shrinkage!$D$2:$D$3000,SUBSTITUTE($A251," SS","  SS")),"NA"))</f>
        <v>23976</v>
      </c>
      <c r="E251" s="83" t="n">
        <f aca="false">IF(COUNTIFS('Inventory Hygiene'!$A$2:$A$3000,$K$2,'Inventory Hygiene'!$B$2:$B$3000,$A251)&gt;0,AVERAGEIFS('Inventory Hygiene'!$J$2:$J$3000,'Inventory Hygiene'!$A$2:$A$3000,$K$2,'Inventory Hygiene'!$B$2:$B$3000,$A251),IF(COUNTIFS('Inventory Hygiene'!$A$2:$A$3000,$K$2,'Inventory Hygiene'!$B$2:$B$3000,SUBSTITUTE($A251," SS","  SS"))&gt;0,AVERAGEIFS('Inventory Hygiene'!$J$2:$J$3000,'Inventory Hygiene'!$A$2:$A$3000,$K$2,'Inventory Hygiene'!$B$2:$B$3000,SUBSTITUTE($A251," SS","  SS")),"NA"))</f>
        <v>0.33880550343965</v>
      </c>
      <c r="F251" s="81" t="n">
        <f aca="false">IF(COUNTIFS('Bad Bins'!$A$2:$A$3000,$K$2,'Bad Bins'!$B$2:$B$3000,$A251)&gt;0,SUMIFS('Bad Bins'!$K$2:$K$3000,'Bad Bins'!$A$2:$A$3000,$K$2,'Bad Bins'!$B$2:$B$3000,$A251),IF(COUNTIFS('Bad Bins'!$A$2:$A$3000,$K$2,'Bad Bins'!$B$2:$B$3000,SUBSTITUTE($A251," SS","  SS"))&gt;0,SUMIFS('Bad Bins'!$K$2:$K$3000,'Bad Bins'!$A$2:$A$3000,$K$2,'Bad Bins'!$B$2:$B$3000,SUBSTITUTE($A251," SS","  SS")),"NA"))</f>
        <v>220</v>
      </c>
      <c r="G251" s="81" t="str">
        <f aca="false">IF(COUNTIFS('RSTO &gt; 48hrs'!$A$2:$A$3000,$K$2,'RSTO &gt; 48hrs'!$B$2:$B$3000,$A251)&gt;0,SUMIFS('RSTO &gt; 48hrs'!$H$2:$H$3000,'RSTO &gt; 48hrs'!$A$2:$A$3000,$K$2,'RSTO &gt; 48hrs'!$B$2:$B$3000,$A251),IF(COUNTIFS('RSTO &gt; 48hrs'!$A$2:$A$3000,$K$2,'RSTO &gt; 48hrs'!$B$2:$B$3000,SUBSTITUTE($A251," SS","  SS"))&gt;0,SUMIFS('RSTO &gt; 48hrs'!$H$2:$H$3000,'RSTO &gt; 48hrs'!$A$2:$A$3000,$K$2,'RSTO &gt; 48hrs'!$B$2:$B$3000,SUBSTITUTE($A251," SS","  SS")),"NA"))</f>
        <v>NA</v>
      </c>
      <c r="H251" s="81" t="n">
        <f aca="false">IF(COUNTIFS('Recirculation &gt; 24 hrs'!$A$2:$A$3000,$K$2,'Recirculation &gt; 24 hrs'!$B$2:$B$3000,$A251)&gt;0,SUMIFS('Recirculation &gt; 24 hrs'!$K$2:$K$3000,'Recirculation &gt; 24 hrs'!$A$2:$A$3000,$K$2,'Recirculation &gt; 24 hrs'!$B$2:$B$3000,$A251),IF(COUNTIFS('Recirculation &gt; 24 hrs'!$A$2:$A$3000,$K$2,'Recirculation &gt; 24 hrs'!$B$2:$B$3000,SUBSTITUTE($A251," SS","  SS"))&gt;0,SUMIFS('Recirculation &gt; 24 hrs'!$K$2:$K$3000,'Recirculation &gt; 24 hrs'!$A$2:$A$3000,$K$2,'Recirculation &gt; 24 hrs'!$B$2:$B$3000,SUBSTITUTE($A251," SS","  SS")),"NA"))</f>
        <v>20</v>
      </c>
      <c r="I251" s="81" t="n">
        <f aca="false">IF(COUNTIFS('Pending Putaway'!$A$2:$A$3000,$K$2,'Pending Putaway'!$B$2:$B$3000,$A251)&gt;0,SUMIFS('Pending Putaway'!$E$2:$E$3000,'Pending Putaway'!$A$2:$A$3000,$K$2,'Pending Putaway'!$B$2:$B$3000,$A251),IF(COUNTIFS('Pending Putaway'!$A$2:$A$3000,$K$2,'Pending Putaway'!$B$2:$B$3000,SUBSTITUTE($A251," SS","  SS"))&gt;0,SUMIFS('Pending Putaway'!$E$2:$E$3000,'Pending Putaway'!$A$2:$A$3000,$K$2,'Pending Putaway'!$B$2:$B$3000,SUBSTITUTE($A251," SS","  SS")),"NA"))</f>
        <v>394</v>
      </c>
      <c r="J251" s="81" t="n">
        <f aca="false">IF(COUNTIFS('Pending Putaway'!$A$2:$A$3000,$K$2,'Pending Putaway'!$B$2:$B$3000,$A251)&gt;0,SUMIFS('Pending Putaway'!$L$2:$L$3000,'Pending Putaway'!$A$2:$A$3000,$K$2,'Pending Putaway'!$B$2:$B$3000,$A251),IF(COUNTIFS('Pending Putaway'!$A$2:$A$3000,$K$2,'Pending Putaway'!$B$2:$B$3000,SUBSTITUTE($A251," SS","  SS"))&gt;0,SUMIFS('Pending Putaway'!$L$2:$L$3000,'Pending Putaway'!$A$2:$A$3000,$K$2,'Pending Putaway'!$B$2:$B$3000,SUBSTITUTE($A251," SS","  SS")),"NA"))</f>
        <v>232</v>
      </c>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row>
    <row r="252" customFormat="false" ht="15.75" hidden="false" customHeight="true" outlineLevel="0" collapsed="false">
      <c r="A252" s="81" t="s">
        <v>327</v>
      </c>
      <c r="B252" s="81" t="str">
        <f aca="false" t="array" ref="B252:B252">IFERROR(INDEX('CLM &amp; IM Mapping'!$B$2:$B$270,MATCH($A252,'CLM &amp; IM Mapping'!$A$2:$A$270,0)),"Not Mapped")</f>
        <v>Suhas N</v>
      </c>
      <c r="C252" s="81" t="str">
        <f aca="false" t="array" ref="C252:C252">IFERROR(INDEX('CLM &amp; IM Mapping'!$C$2:$C$270,MATCH($A252,'CLM &amp; IM Mapping'!$A$2:$A$270,0)),"Not Mapped")</f>
        <v>Aravind S</v>
      </c>
      <c r="D252" s="82" t="n">
        <f aca="false">IF(COUNTIFS(Shrinkage!$A$2:$A$3000,$K$2,Shrinkage!$D$2:$D$3000,$A252)&gt;0,SUMIFS(Shrinkage!$P$2:$P$3000,Shrinkage!$A$2:$A$3000,$K$2,Shrinkage!$D$2:$D$3000,$A252),IF(COUNTIFS(Shrinkage!$A$2:$A$3000,$K$2,Shrinkage!$D$2:$D$3000,SUBSTITUTE($A252," SS","  SS"))&gt;0,SUMIFS(Shrinkage!$P$2:$P$3000,Shrinkage!$A$2:$A$3000,$K$2,Shrinkage!$D$2:$D$3000,SUBSTITUTE($A252," SS","  SS")),"NA"))</f>
        <v>3565</v>
      </c>
      <c r="E252" s="83" t="n">
        <f aca="false">IF(COUNTIFS('Inventory Hygiene'!$A$2:$A$3000,$K$2,'Inventory Hygiene'!$B$2:$B$3000,$A252)&gt;0,AVERAGEIFS('Inventory Hygiene'!$J$2:$J$3000,'Inventory Hygiene'!$A$2:$A$3000,$K$2,'Inventory Hygiene'!$B$2:$B$3000,$A252),IF(COUNTIFS('Inventory Hygiene'!$A$2:$A$3000,$K$2,'Inventory Hygiene'!$B$2:$B$3000,SUBSTITUTE($A252," SS","  SS"))&gt;0,AVERAGEIFS('Inventory Hygiene'!$J$2:$J$3000,'Inventory Hygiene'!$A$2:$A$3000,$K$2,'Inventory Hygiene'!$B$2:$B$3000,SUBSTITUTE($A252," SS","  SS")),"NA"))</f>
        <v>0.603518821603928</v>
      </c>
      <c r="F252" s="81" t="n">
        <f aca="false">IF(COUNTIFS('Bad Bins'!$A$2:$A$3000,$K$2,'Bad Bins'!$B$2:$B$3000,$A252)&gt;0,SUMIFS('Bad Bins'!$K$2:$K$3000,'Bad Bins'!$A$2:$A$3000,$K$2,'Bad Bins'!$B$2:$B$3000,$A252),IF(COUNTIFS('Bad Bins'!$A$2:$A$3000,$K$2,'Bad Bins'!$B$2:$B$3000,SUBSTITUTE($A252," SS","  SS"))&gt;0,SUMIFS('Bad Bins'!$K$2:$K$3000,'Bad Bins'!$A$2:$A$3000,$K$2,'Bad Bins'!$B$2:$B$3000,SUBSTITUTE($A252," SS","  SS")),"NA"))</f>
        <v>167</v>
      </c>
      <c r="G252" s="81" t="str">
        <f aca="false">IF(COUNTIFS('RSTO &gt; 48hrs'!$A$2:$A$3000,$K$2,'RSTO &gt; 48hrs'!$B$2:$B$3000,$A252)&gt;0,SUMIFS('RSTO &gt; 48hrs'!$H$2:$H$3000,'RSTO &gt; 48hrs'!$A$2:$A$3000,$K$2,'RSTO &gt; 48hrs'!$B$2:$B$3000,$A252),IF(COUNTIFS('RSTO &gt; 48hrs'!$A$2:$A$3000,$K$2,'RSTO &gt; 48hrs'!$B$2:$B$3000,SUBSTITUTE($A252," SS","  SS"))&gt;0,SUMIFS('RSTO &gt; 48hrs'!$H$2:$H$3000,'RSTO &gt; 48hrs'!$A$2:$A$3000,$K$2,'RSTO &gt; 48hrs'!$B$2:$B$3000,SUBSTITUTE($A252," SS","  SS")),"NA"))</f>
        <v>NA</v>
      </c>
      <c r="H252" s="81" t="str">
        <f aca="false">IF(COUNTIFS('Recirculation &gt; 24 hrs'!$A$2:$A$3000,$K$2,'Recirculation &gt; 24 hrs'!$B$2:$B$3000,$A252)&gt;0,SUMIFS('Recirculation &gt; 24 hrs'!$K$2:$K$3000,'Recirculation &gt; 24 hrs'!$A$2:$A$3000,$K$2,'Recirculation &gt; 24 hrs'!$B$2:$B$3000,$A252),IF(COUNTIFS('Recirculation &gt; 24 hrs'!$A$2:$A$3000,$K$2,'Recirculation &gt; 24 hrs'!$B$2:$B$3000,SUBSTITUTE($A252," SS","  SS"))&gt;0,SUMIFS('Recirculation &gt; 24 hrs'!$K$2:$K$3000,'Recirculation &gt; 24 hrs'!$A$2:$A$3000,$K$2,'Recirculation &gt; 24 hrs'!$B$2:$B$3000,SUBSTITUTE($A252," SS","  SS")),"NA"))</f>
        <v>NA</v>
      </c>
      <c r="I252" s="81" t="n">
        <f aca="false">IF(COUNTIFS('Pending Putaway'!$A$2:$A$3000,$K$2,'Pending Putaway'!$B$2:$B$3000,$A252)&gt;0,SUMIFS('Pending Putaway'!$E$2:$E$3000,'Pending Putaway'!$A$2:$A$3000,$K$2,'Pending Putaway'!$B$2:$B$3000,$A252),IF(COUNTIFS('Pending Putaway'!$A$2:$A$3000,$K$2,'Pending Putaway'!$B$2:$B$3000,SUBSTITUTE($A252," SS","  SS"))&gt;0,SUMIFS('Pending Putaway'!$E$2:$E$3000,'Pending Putaway'!$A$2:$A$3000,$K$2,'Pending Putaway'!$B$2:$B$3000,SUBSTITUTE($A252," SS","  SS")),"NA"))</f>
        <v>978</v>
      </c>
      <c r="J252" s="81" t="n">
        <f aca="false">IF(COUNTIFS('Pending Putaway'!$A$2:$A$3000,$K$2,'Pending Putaway'!$B$2:$B$3000,$A252)&gt;0,SUMIFS('Pending Putaway'!$L$2:$L$3000,'Pending Putaway'!$A$2:$A$3000,$K$2,'Pending Putaway'!$B$2:$B$3000,$A252),IF(COUNTIFS('Pending Putaway'!$A$2:$A$3000,$K$2,'Pending Putaway'!$B$2:$B$3000,SUBSTITUTE($A252," SS","  SS"))&gt;0,SUMIFS('Pending Putaway'!$L$2:$L$3000,'Pending Putaway'!$A$2:$A$3000,$K$2,'Pending Putaway'!$B$2:$B$3000,SUBSTITUTE($A252," SS","  SS")),"NA"))</f>
        <v>0</v>
      </c>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row>
    <row r="253" customFormat="false" ht="15.75" hidden="false" customHeight="true" outlineLevel="0" collapsed="false">
      <c r="A253" s="81" t="s">
        <v>293</v>
      </c>
      <c r="B253" s="81" t="str">
        <f aca="false" t="array" ref="B253:B253">IFERROR(INDEX('CLM &amp; IM Mapping'!$B$2:$B$270,MATCH($A253,'CLM &amp; IM Mapping'!$A$2:$A$270,0)),"Not Mapped")</f>
        <v>Suhas N</v>
      </c>
      <c r="C253" s="81" t="str">
        <f aca="false" t="array" ref="C253:C253">IFERROR(INDEX('CLM &amp; IM Mapping'!$C$2:$C$270,MATCH($A253,'CLM &amp; IM Mapping'!$A$2:$A$270,0)),"Not Mapped")</f>
        <v>Aravind S</v>
      </c>
      <c r="D253" s="82" t="n">
        <f aca="false">IF(COUNTIFS(Shrinkage!$A$2:$A$3000,$K$2,Shrinkage!$D$2:$D$3000,$A253)&gt;0,SUMIFS(Shrinkage!$P$2:$P$3000,Shrinkage!$A$2:$A$3000,$K$2,Shrinkage!$D$2:$D$3000,$A253),IF(COUNTIFS(Shrinkage!$A$2:$A$3000,$K$2,Shrinkage!$D$2:$D$3000,SUBSTITUTE($A253," SS","  SS"))&gt;0,SUMIFS(Shrinkage!$P$2:$P$3000,Shrinkage!$A$2:$A$3000,$K$2,Shrinkage!$D$2:$D$3000,SUBSTITUTE($A253," SS","  SS")),"NA"))</f>
        <v>7754</v>
      </c>
      <c r="E253" s="83" t="n">
        <f aca="false">IF(COUNTIFS('Inventory Hygiene'!$A$2:$A$3000,$K$2,'Inventory Hygiene'!$B$2:$B$3000,$A253)&gt;0,AVERAGEIFS('Inventory Hygiene'!$J$2:$J$3000,'Inventory Hygiene'!$A$2:$A$3000,$K$2,'Inventory Hygiene'!$B$2:$B$3000,$A253),IF(COUNTIFS('Inventory Hygiene'!$A$2:$A$3000,$K$2,'Inventory Hygiene'!$B$2:$B$3000,SUBSTITUTE($A253," SS","  SS"))&gt;0,AVERAGEIFS('Inventory Hygiene'!$J$2:$J$3000,'Inventory Hygiene'!$A$2:$A$3000,$K$2,'Inventory Hygiene'!$B$2:$B$3000,SUBSTITUTE($A253," SS","  SS")),"NA"))</f>
        <v>0.54054613156806</v>
      </c>
      <c r="F253" s="81" t="n">
        <f aca="false">IF(COUNTIFS('Bad Bins'!$A$2:$A$3000,$K$2,'Bad Bins'!$B$2:$B$3000,$A253)&gt;0,SUMIFS('Bad Bins'!$K$2:$K$3000,'Bad Bins'!$A$2:$A$3000,$K$2,'Bad Bins'!$B$2:$B$3000,$A253),IF(COUNTIFS('Bad Bins'!$A$2:$A$3000,$K$2,'Bad Bins'!$B$2:$B$3000,SUBSTITUTE($A253," SS","  SS"))&gt;0,SUMIFS('Bad Bins'!$K$2:$K$3000,'Bad Bins'!$A$2:$A$3000,$K$2,'Bad Bins'!$B$2:$B$3000,SUBSTITUTE($A253," SS","  SS")),"NA"))</f>
        <v>0</v>
      </c>
      <c r="G253" s="81" t="str">
        <f aca="false">IF(COUNTIFS('RSTO &gt; 48hrs'!$A$2:$A$3000,$K$2,'RSTO &gt; 48hrs'!$B$2:$B$3000,$A253)&gt;0,SUMIFS('RSTO &gt; 48hrs'!$H$2:$H$3000,'RSTO &gt; 48hrs'!$A$2:$A$3000,$K$2,'RSTO &gt; 48hrs'!$B$2:$B$3000,$A253),IF(COUNTIFS('RSTO &gt; 48hrs'!$A$2:$A$3000,$K$2,'RSTO &gt; 48hrs'!$B$2:$B$3000,SUBSTITUTE($A253," SS","  SS"))&gt;0,SUMIFS('RSTO &gt; 48hrs'!$H$2:$H$3000,'RSTO &gt; 48hrs'!$A$2:$A$3000,$K$2,'RSTO &gt; 48hrs'!$B$2:$B$3000,SUBSTITUTE($A253," SS","  SS")),"NA"))</f>
        <v>NA</v>
      </c>
      <c r="H253" s="81" t="n">
        <f aca="false">IF(COUNTIFS('Recirculation &gt; 24 hrs'!$A$2:$A$3000,$K$2,'Recirculation &gt; 24 hrs'!$B$2:$B$3000,$A253)&gt;0,SUMIFS('Recirculation &gt; 24 hrs'!$K$2:$K$3000,'Recirculation &gt; 24 hrs'!$A$2:$A$3000,$K$2,'Recirculation &gt; 24 hrs'!$B$2:$B$3000,$A253),IF(COUNTIFS('Recirculation &gt; 24 hrs'!$A$2:$A$3000,$K$2,'Recirculation &gt; 24 hrs'!$B$2:$B$3000,SUBSTITUTE($A253," SS","  SS"))&gt;0,SUMIFS('Recirculation &gt; 24 hrs'!$K$2:$K$3000,'Recirculation &gt; 24 hrs'!$A$2:$A$3000,$K$2,'Recirculation &gt; 24 hrs'!$B$2:$B$3000,SUBSTITUTE($A253," SS","  SS")),"NA"))</f>
        <v>1</v>
      </c>
      <c r="I253" s="81" t="n">
        <f aca="false">IF(COUNTIFS('Pending Putaway'!$A$2:$A$3000,$K$2,'Pending Putaway'!$B$2:$B$3000,$A253)&gt;0,SUMIFS('Pending Putaway'!$E$2:$E$3000,'Pending Putaway'!$A$2:$A$3000,$K$2,'Pending Putaway'!$B$2:$B$3000,$A253),IF(COUNTIFS('Pending Putaway'!$A$2:$A$3000,$K$2,'Pending Putaway'!$B$2:$B$3000,SUBSTITUTE($A253," SS","  SS"))&gt;0,SUMIFS('Pending Putaway'!$E$2:$E$3000,'Pending Putaway'!$A$2:$A$3000,$K$2,'Pending Putaway'!$B$2:$B$3000,SUBSTITUTE($A253," SS","  SS")),"NA"))</f>
        <v>2290</v>
      </c>
      <c r="J253" s="81" t="n">
        <f aca="false">IF(COUNTIFS('Pending Putaway'!$A$2:$A$3000,$K$2,'Pending Putaway'!$B$2:$B$3000,$A253)&gt;0,SUMIFS('Pending Putaway'!$L$2:$L$3000,'Pending Putaway'!$A$2:$A$3000,$K$2,'Pending Putaway'!$B$2:$B$3000,$A253),IF(COUNTIFS('Pending Putaway'!$A$2:$A$3000,$K$2,'Pending Putaway'!$B$2:$B$3000,SUBSTITUTE($A253," SS","  SS"))&gt;0,SUMIFS('Pending Putaway'!$L$2:$L$3000,'Pending Putaway'!$A$2:$A$3000,$K$2,'Pending Putaway'!$B$2:$B$3000,SUBSTITUTE($A253," SS","  SS")),"NA"))</f>
        <v>0</v>
      </c>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row>
    <row r="254" customFormat="false" ht="15.75" hidden="false" customHeight="true" outlineLevel="0" collapsed="false">
      <c r="A254" s="81" t="s">
        <v>105</v>
      </c>
      <c r="B254" s="81" t="str">
        <f aca="false" t="array" ref="B254:B254">IFERROR(INDEX('CLM &amp; IM Mapping'!$B$2:$B$270,MATCH($A254,'CLM &amp; IM Mapping'!$A$2:$A$270,0)),"Not Mapped")</f>
        <v>Suhas N</v>
      </c>
      <c r="C254" s="81" t="str">
        <f aca="false" t="array" ref="C254:C254">IFERROR(INDEX('CLM &amp; IM Mapping'!$C$2:$C$270,MATCH($A254,'CLM &amp; IM Mapping'!$A$2:$A$270,0)),"Not Mapped")</f>
        <v>Aravind S</v>
      </c>
      <c r="D254" s="82" t="n">
        <f aca="false">IF(COUNTIFS(Shrinkage!$A$2:$A$3000,$K$2,Shrinkage!$D$2:$D$3000,$A254)&gt;0,SUMIFS(Shrinkage!$P$2:$P$3000,Shrinkage!$A$2:$A$3000,$K$2,Shrinkage!$D$2:$D$3000,$A254),IF(COUNTIFS(Shrinkage!$A$2:$A$3000,$K$2,Shrinkage!$D$2:$D$3000,SUBSTITUTE($A254," SS","  SS"))&gt;0,SUMIFS(Shrinkage!$P$2:$P$3000,Shrinkage!$A$2:$A$3000,$K$2,Shrinkage!$D$2:$D$3000,SUBSTITUTE($A254," SS","  SS")),"NA"))</f>
        <v>11246</v>
      </c>
      <c r="E254" s="83" t="n">
        <f aca="false">IF(COUNTIFS('Inventory Hygiene'!$A$2:$A$3000,$K$2,'Inventory Hygiene'!$B$2:$B$3000,$A254)&gt;0,AVERAGEIFS('Inventory Hygiene'!$J$2:$J$3000,'Inventory Hygiene'!$A$2:$A$3000,$K$2,'Inventory Hygiene'!$B$2:$B$3000,$A254),IF(COUNTIFS('Inventory Hygiene'!$A$2:$A$3000,$K$2,'Inventory Hygiene'!$B$2:$B$3000,SUBSTITUTE($A254," SS","  SS"))&gt;0,AVERAGEIFS('Inventory Hygiene'!$J$2:$J$3000,'Inventory Hygiene'!$A$2:$A$3000,$K$2,'Inventory Hygiene'!$B$2:$B$3000,SUBSTITUTE($A254," SS","  SS")),"NA"))</f>
        <v>0.548727498448169</v>
      </c>
      <c r="F254" s="81" t="n">
        <f aca="false">IF(COUNTIFS('Bad Bins'!$A$2:$A$3000,$K$2,'Bad Bins'!$B$2:$B$3000,$A254)&gt;0,SUMIFS('Bad Bins'!$K$2:$K$3000,'Bad Bins'!$A$2:$A$3000,$K$2,'Bad Bins'!$B$2:$B$3000,$A254),IF(COUNTIFS('Bad Bins'!$A$2:$A$3000,$K$2,'Bad Bins'!$B$2:$B$3000,SUBSTITUTE($A254," SS","  SS"))&gt;0,SUMIFS('Bad Bins'!$K$2:$K$3000,'Bad Bins'!$A$2:$A$3000,$K$2,'Bad Bins'!$B$2:$B$3000,SUBSTITUTE($A254," SS","  SS")),"NA"))</f>
        <v>84</v>
      </c>
      <c r="G254" s="81" t="str">
        <f aca="false">IF(COUNTIFS('RSTO &gt; 48hrs'!$A$2:$A$3000,$K$2,'RSTO &gt; 48hrs'!$B$2:$B$3000,$A254)&gt;0,SUMIFS('RSTO &gt; 48hrs'!$H$2:$H$3000,'RSTO &gt; 48hrs'!$A$2:$A$3000,$K$2,'RSTO &gt; 48hrs'!$B$2:$B$3000,$A254),IF(COUNTIFS('RSTO &gt; 48hrs'!$A$2:$A$3000,$K$2,'RSTO &gt; 48hrs'!$B$2:$B$3000,SUBSTITUTE($A254," SS","  SS"))&gt;0,SUMIFS('RSTO &gt; 48hrs'!$H$2:$H$3000,'RSTO &gt; 48hrs'!$A$2:$A$3000,$K$2,'RSTO &gt; 48hrs'!$B$2:$B$3000,SUBSTITUTE($A254," SS","  SS")),"NA"))</f>
        <v>NA</v>
      </c>
      <c r="H254" s="81" t="str">
        <f aca="false">IF(COUNTIFS('Recirculation &gt; 24 hrs'!$A$2:$A$3000,$K$2,'Recirculation &gt; 24 hrs'!$B$2:$B$3000,$A254)&gt;0,SUMIFS('Recirculation &gt; 24 hrs'!$K$2:$K$3000,'Recirculation &gt; 24 hrs'!$A$2:$A$3000,$K$2,'Recirculation &gt; 24 hrs'!$B$2:$B$3000,$A254),IF(COUNTIFS('Recirculation &gt; 24 hrs'!$A$2:$A$3000,$K$2,'Recirculation &gt; 24 hrs'!$B$2:$B$3000,SUBSTITUTE($A254," SS","  SS"))&gt;0,SUMIFS('Recirculation &gt; 24 hrs'!$K$2:$K$3000,'Recirculation &gt; 24 hrs'!$A$2:$A$3000,$K$2,'Recirculation &gt; 24 hrs'!$B$2:$B$3000,SUBSTITUTE($A254," SS","  SS")),"NA"))</f>
        <v>NA</v>
      </c>
      <c r="I254" s="81" t="n">
        <f aca="false">IF(COUNTIFS('Pending Putaway'!$A$2:$A$3000,$K$2,'Pending Putaway'!$B$2:$B$3000,$A254)&gt;0,SUMIFS('Pending Putaway'!$E$2:$E$3000,'Pending Putaway'!$A$2:$A$3000,$K$2,'Pending Putaway'!$B$2:$B$3000,$A254),IF(COUNTIFS('Pending Putaway'!$A$2:$A$3000,$K$2,'Pending Putaway'!$B$2:$B$3000,SUBSTITUTE($A254," SS","  SS"))&gt;0,SUMIFS('Pending Putaway'!$E$2:$E$3000,'Pending Putaway'!$A$2:$A$3000,$K$2,'Pending Putaway'!$B$2:$B$3000,SUBSTITUTE($A254," SS","  SS")),"NA"))</f>
        <v>12211</v>
      </c>
      <c r="J254" s="81" t="n">
        <f aca="false">IF(COUNTIFS('Pending Putaway'!$A$2:$A$3000,$K$2,'Pending Putaway'!$B$2:$B$3000,$A254)&gt;0,SUMIFS('Pending Putaway'!$L$2:$L$3000,'Pending Putaway'!$A$2:$A$3000,$K$2,'Pending Putaway'!$B$2:$B$3000,$A254),IF(COUNTIFS('Pending Putaway'!$A$2:$A$3000,$K$2,'Pending Putaway'!$B$2:$B$3000,SUBSTITUTE($A254," SS","  SS"))&gt;0,SUMIFS('Pending Putaway'!$L$2:$L$3000,'Pending Putaway'!$A$2:$A$3000,$K$2,'Pending Putaway'!$B$2:$B$3000,SUBSTITUTE($A254," SS","  SS")),"NA"))</f>
        <v>6003</v>
      </c>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row>
    <row r="255" customFormat="false" ht="15.75" hidden="false" customHeight="true" outlineLevel="0" collapsed="false">
      <c r="A255" s="81" t="s">
        <v>203</v>
      </c>
      <c r="B255" s="81" t="str">
        <f aca="false" t="array" ref="B255:B255">IFERROR(INDEX('CLM &amp; IM Mapping'!$B$2:$B$270,MATCH($A255,'CLM &amp; IM Mapping'!$A$2:$A$270,0)),"Not Mapped")</f>
        <v>Suhas N</v>
      </c>
      <c r="C255" s="81" t="str">
        <f aca="false" t="array" ref="C255:C255">IFERROR(INDEX('CLM &amp; IM Mapping'!$C$2:$C$270,MATCH($A255,'CLM &amp; IM Mapping'!$A$2:$A$270,0)),"Not Mapped")</f>
        <v>Aravind S</v>
      </c>
      <c r="D255" s="82" t="n">
        <f aca="false">IF(COUNTIFS(Shrinkage!$A$2:$A$3000,$K$2,Shrinkage!$D$2:$D$3000,$A255)&gt;0,SUMIFS(Shrinkage!$P$2:$P$3000,Shrinkage!$A$2:$A$3000,$K$2,Shrinkage!$D$2:$D$3000,$A255),IF(COUNTIFS(Shrinkage!$A$2:$A$3000,$K$2,Shrinkage!$D$2:$D$3000,SUBSTITUTE($A255," SS","  SS"))&gt;0,SUMIFS(Shrinkage!$P$2:$P$3000,Shrinkage!$A$2:$A$3000,$K$2,Shrinkage!$D$2:$D$3000,SUBSTITUTE($A255," SS","  SS")),"NA"))</f>
        <v>31162</v>
      </c>
      <c r="E255" s="83" t="n">
        <f aca="false">IF(COUNTIFS('Inventory Hygiene'!$A$2:$A$3000,$K$2,'Inventory Hygiene'!$B$2:$B$3000,$A255)&gt;0,AVERAGEIFS('Inventory Hygiene'!$J$2:$J$3000,'Inventory Hygiene'!$A$2:$A$3000,$K$2,'Inventory Hygiene'!$B$2:$B$3000,$A255),IF(COUNTIFS('Inventory Hygiene'!$A$2:$A$3000,$K$2,'Inventory Hygiene'!$B$2:$B$3000,SUBSTITUTE($A255," SS","  SS"))&gt;0,AVERAGEIFS('Inventory Hygiene'!$J$2:$J$3000,'Inventory Hygiene'!$A$2:$A$3000,$K$2,'Inventory Hygiene'!$B$2:$B$3000,SUBSTITUTE($A255," SS","  SS")),"NA"))</f>
        <v>0.571369636963696</v>
      </c>
      <c r="F255" s="81" t="n">
        <f aca="false">IF(COUNTIFS('Bad Bins'!$A$2:$A$3000,$K$2,'Bad Bins'!$B$2:$B$3000,$A255)&gt;0,SUMIFS('Bad Bins'!$K$2:$K$3000,'Bad Bins'!$A$2:$A$3000,$K$2,'Bad Bins'!$B$2:$B$3000,$A255),IF(COUNTIFS('Bad Bins'!$A$2:$A$3000,$K$2,'Bad Bins'!$B$2:$B$3000,SUBSTITUTE($A255," SS","  SS"))&gt;0,SUMIFS('Bad Bins'!$K$2:$K$3000,'Bad Bins'!$A$2:$A$3000,$K$2,'Bad Bins'!$B$2:$B$3000,SUBSTITUTE($A255," SS","  SS")),"NA"))</f>
        <v>52</v>
      </c>
      <c r="G255" s="81" t="str">
        <f aca="false">IF(COUNTIFS('RSTO &gt; 48hrs'!$A$2:$A$3000,$K$2,'RSTO &gt; 48hrs'!$B$2:$B$3000,$A255)&gt;0,SUMIFS('RSTO &gt; 48hrs'!$H$2:$H$3000,'RSTO &gt; 48hrs'!$A$2:$A$3000,$K$2,'RSTO &gt; 48hrs'!$B$2:$B$3000,$A255),IF(COUNTIFS('RSTO &gt; 48hrs'!$A$2:$A$3000,$K$2,'RSTO &gt; 48hrs'!$B$2:$B$3000,SUBSTITUTE($A255," SS","  SS"))&gt;0,SUMIFS('RSTO &gt; 48hrs'!$H$2:$H$3000,'RSTO &gt; 48hrs'!$A$2:$A$3000,$K$2,'RSTO &gt; 48hrs'!$B$2:$B$3000,SUBSTITUTE($A255," SS","  SS")),"NA"))</f>
        <v>NA</v>
      </c>
      <c r="H255" s="81" t="n">
        <f aca="false">IF(COUNTIFS('Recirculation &gt; 24 hrs'!$A$2:$A$3000,$K$2,'Recirculation &gt; 24 hrs'!$B$2:$B$3000,$A255)&gt;0,SUMIFS('Recirculation &gt; 24 hrs'!$K$2:$K$3000,'Recirculation &gt; 24 hrs'!$A$2:$A$3000,$K$2,'Recirculation &gt; 24 hrs'!$B$2:$B$3000,$A255),IF(COUNTIFS('Recirculation &gt; 24 hrs'!$A$2:$A$3000,$K$2,'Recirculation &gt; 24 hrs'!$B$2:$B$3000,SUBSTITUTE($A255," SS","  SS"))&gt;0,SUMIFS('Recirculation &gt; 24 hrs'!$K$2:$K$3000,'Recirculation &gt; 24 hrs'!$A$2:$A$3000,$K$2,'Recirculation &gt; 24 hrs'!$B$2:$B$3000,SUBSTITUTE($A255," SS","  SS")),"NA"))</f>
        <v>3</v>
      </c>
      <c r="I255" s="81" t="n">
        <f aca="false">IF(COUNTIFS('Pending Putaway'!$A$2:$A$3000,$K$2,'Pending Putaway'!$B$2:$B$3000,$A255)&gt;0,SUMIFS('Pending Putaway'!$E$2:$E$3000,'Pending Putaway'!$A$2:$A$3000,$K$2,'Pending Putaway'!$B$2:$B$3000,$A255),IF(COUNTIFS('Pending Putaway'!$A$2:$A$3000,$K$2,'Pending Putaway'!$B$2:$B$3000,SUBSTITUTE($A255," SS","  SS"))&gt;0,SUMIFS('Pending Putaway'!$E$2:$E$3000,'Pending Putaway'!$A$2:$A$3000,$K$2,'Pending Putaway'!$B$2:$B$3000,SUBSTITUTE($A255," SS","  SS")),"NA"))</f>
        <v>5778</v>
      </c>
      <c r="J255" s="81" t="n">
        <f aca="false">IF(COUNTIFS('Pending Putaway'!$A$2:$A$3000,$K$2,'Pending Putaway'!$B$2:$B$3000,$A255)&gt;0,SUMIFS('Pending Putaway'!$L$2:$L$3000,'Pending Putaway'!$A$2:$A$3000,$K$2,'Pending Putaway'!$B$2:$B$3000,$A255),IF(COUNTIFS('Pending Putaway'!$A$2:$A$3000,$K$2,'Pending Putaway'!$B$2:$B$3000,SUBSTITUTE($A255," SS","  SS"))&gt;0,SUMIFS('Pending Putaway'!$L$2:$L$3000,'Pending Putaway'!$A$2:$A$3000,$K$2,'Pending Putaway'!$B$2:$B$3000,SUBSTITUTE($A255," SS","  SS")),"NA"))</f>
        <v>2942</v>
      </c>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row>
    <row r="256" customFormat="false" ht="15.75" hidden="false" customHeight="true" outlineLevel="0" collapsed="false">
      <c r="A256" s="81" t="s">
        <v>447</v>
      </c>
      <c r="B256" s="81" t="str">
        <f aca="false" t="array" ref="B256:B256">IFERROR(INDEX('CLM &amp; IM Mapping'!$B$2:$B$270,MATCH($A256,'CLM &amp; IM Mapping'!$A$2:$A$270,0)),"Not Mapped")</f>
        <v>John Britto</v>
      </c>
      <c r="C256" s="81" t="str">
        <f aca="false" t="array" ref="C256:C256">IFERROR(INDEX('CLM &amp; IM Mapping'!$C$2:$C$270,MATCH($A256,'CLM &amp; IM Mapping'!$A$2:$A$270,0)),"Not Mapped")</f>
        <v>Aravind S</v>
      </c>
      <c r="D256" s="82" t="n">
        <f aca="false">IF(COUNTIFS(Shrinkage!$A$2:$A$3000,$K$2,Shrinkage!$D$2:$D$3000,$A256)&gt;0,SUMIFS(Shrinkage!$P$2:$P$3000,Shrinkage!$A$2:$A$3000,$K$2,Shrinkage!$D$2:$D$3000,$A256),IF(COUNTIFS(Shrinkage!$A$2:$A$3000,$K$2,Shrinkage!$D$2:$D$3000,SUBSTITUTE($A256," SS","  SS"))&gt;0,SUMIFS(Shrinkage!$P$2:$P$3000,Shrinkage!$A$2:$A$3000,$K$2,Shrinkage!$D$2:$D$3000,SUBSTITUTE($A256," SS","  SS")),"NA"))</f>
        <v>-8144</v>
      </c>
      <c r="E256" s="83" t="n">
        <f aca="false">IF(COUNTIFS('Inventory Hygiene'!$A$2:$A$3000,$K$2,'Inventory Hygiene'!$B$2:$B$3000,$A256)&gt;0,AVERAGEIFS('Inventory Hygiene'!$J$2:$J$3000,'Inventory Hygiene'!$A$2:$A$3000,$K$2,'Inventory Hygiene'!$B$2:$B$3000,$A256),IF(COUNTIFS('Inventory Hygiene'!$A$2:$A$3000,$K$2,'Inventory Hygiene'!$B$2:$B$3000,SUBSTITUTE($A256," SS","  SS"))&gt;0,AVERAGEIFS('Inventory Hygiene'!$J$2:$J$3000,'Inventory Hygiene'!$A$2:$A$3000,$K$2,'Inventory Hygiene'!$B$2:$B$3000,SUBSTITUTE($A256," SS","  SS")),"NA"))</f>
        <v>0.362244146664703</v>
      </c>
      <c r="F256" s="81" t="n">
        <f aca="false">IF(COUNTIFS('Bad Bins'!$A$2:$A$3000,$K$2,'Bad Bins'!$B$2:$B$3000,$A256)&gt;0,SUMIFS('Bad Bins'!$K$2:$K$3000,'Bad Bins'!$A$2:$A$3000,$K$2,'Bad Bins'!$B$2:$B$3000,$A256),IF(COUNTIFS('Bad Bins'!$A$2:$A$3000,$K$2,'Bad Bins'!$B$2:$B$3000,SUBSTITUTE($A256," SS","  SS"))&gt;0,SUMIFS('Bad Bins'!$K$2:$K$3000,'Bad Bins'!$A$2:$A$3000,$K$2,'Bad Bins'!$B$2:$B$3000,SUBSTITUTE($A256," SS","  SS")),"NA"))</f>
        <v>102</v>
      </c>
      <c r="G256" s="81" t="str">
        <f aca="false">IF(COUNTIFS('RSTO &gt; 48hrs'!$A$2:$A$3000,$K$2,'RSTO &gt; 48hrs'!$B$2:$B$3000,$A256)&gt;0,SUMIFS('RSTO &gt; 48hrs'!$H$2:$H$3000,'RSTO &gt; 48hrs'!$A$2:$A$3000,$K$2,'RSTO &gt; 48hrs'!$B$2:$B$3000,$A256),IF(COUNTIFS('RSTO &gt; 48hrs'!$A$2:$A$3000,$K$2,'RSTO &gt; 48hrs'!$B$2:$B$3000,SUBSTITUTE($A256," SS","  SS"))&gt;0,SUMIFS('RSTO &gt; 48hrs'!$H$2:$H$3000,'RSTO &gt; 48hrs'!$A$2:$A$3000,$K$2,'RSTO &gt; 48hrs'!$B$2:$B$3000,SUBSTITUTE($A256," SS","  SS")),"NA"))</f>
        <v>NA</v>
      </c>
      <c r="H256" s="81" t="str">
        <f aca="false">IF(COUNTIFS('Recirculation &gt; 24 hrs'!$A$2:$A$3000,$K$2,'Recirculation &gt; 24 hrs'!$B$2:$B$3000,$A256)&gt;0,SUMIFS('Recirculation &gt; 24 hrs'!$K$2:$K$3000,'Recirculation &gt; 24 hrs'!$A$2:$A$3000,$K$2,'Recirculation &gt; 24 hrs'!$B$2:$B$3000,$A256),IF(COUNTIFS('Recirculation &gt; 24 hrs'!$A$2:$A$3000,$K$2,'Recirculation &gt; 24 hrs'!$B$2:$B$3000,SUBSTITUTE($A256," SS","  SS"))&gt;0,SUMIFS('Recirculation &gt; 24 hrs'!$K$2:$K$3000,'Recirculation &gt; 24 hrs'!$A$2:$A$3000,$K$2,'Recirculation &gt; 24 hrs'!$B$2:$B$3000,SUBSTITUTE($A256," SS","  SS")),"NA"))</f>
        <v>NA</v>
      </c>
      <c r="I256" s="81" t="n">
        <f aca="false">IF(COUNTIFS('Pending Putaway'!$A$2:$A$3000,$K$2,'Pending Putaway'!$B$2:$B$3000,$A256)&gt;0,SUMIFS('Pending Putaway'!$E$2:$E$3000,'Pending Putaway'!$A$2:$A$3000,$K$2,'Pending Putaway'!$B$2:$B$3000,$A256),IF(COUNTIFS('Pending Putaway'!$A$2:$A$3000,$K$2,'Pending Putaway'!$B$2:$B$3000,SUBSTITUTE($A256," SS","  SS"))&gt;0,SUMIFS('Pending Putaway'!$E$2:$E$3000,'Pending Putaway'!$A$2:$A$3000,$K$2,'Pending Putaway'!$B$2:$B$3000,SUBSTITUTE($A256," SS","  SS")),"NA"))</f>
        <v>0</v>
      </c>
      <c r="J256" s="81" t="n">
        <f aca="false">IF(COUNTIFS('Pending Putaway'!$A$2:$A$3000,$K$2,'Pending Putaway'!$B$2:$B$3000,$A256)&gt;0,SUMIFS('Pending Putaway'!$L$2:$L$3000,'Pending Putaway'!$A$2:$A$3000,$K$2,'Pending Putaway'!$B$2:$B$3000,$A256),IF(COUNTIFS('Pending Putaway'!$A$2:$A$3000,$K$2,'Pending Putaway'!$B$2:$B$3000,SUBSTITUTE($A256," SS","  SS"))&gt;0,SUMIFS('Pending Putaway'!$L$2:$L$3000,'Pending Putaway'!$A$2:$A$3000,$K$2,'Pending Putaway'!$B$2:$B$3000,SUBSTITUTE($A256," SS","  SS")),"NA"))</f>
        <v>0</v>
      </c>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row>
    <row r="257" customFormat="false" ht="15.75" hidden="false" customHeight="true" outlineLevel="0" collapsed="false">
      <c r="A257" s="81" t="s">
        <v>498</v>
      </c>
      <c r="B257" s="81" t="str">
        <f aca="false" t="array" ref="B257:B257">IFERROR(INDEX('CLM &amp; IM Mapping'!$B$2:$B$270,MATCH($A257,'CLM &amp; IM Mapping'!$A$2:$A$270,0)),"Not Mapped")</f>
        <v>Adhavan Subramani</v>
      </c>
      <c r="C257" s="81" t="str">
        <f aca="false" t="array" ref="C257:C257">IFERROR(INDEX('CLM &amp; IM Mapping'!$C$2:$C$270,MATCH($A257,'CLM &amp; IM Mapping'!$A$2:$A$270,0)),"Not Mapped")</f>
        <v>Mohammed Akbar</v>
      </c>
      <c r="D257" s="82" t="n">
        <f aca="false">IF(COUNTIFS(Shrinkage!$A$2:$A$3000,$K$2,Shrinkage!$D$2:$D$3000,$A257)&gt;0,SUMIFS(Shrinkage!$P$2:$P$3000,Shrinkage!$A$2:$A$3000,$K$2,Shrinkage!$D$2:$D$3000,$A257),IF(COUNTIFS(Shrinkage!$A$2:$A$3000,$K$2,Shrinkage!$D$2:$D$3000,SUBSTITUTE($A257," SS","  SS"))&gt;0,SUMIFS(Shrinkage!$P$2:$P$3000,Shrinkage!$A$2:$A$3000,$K$2,Shrinkage!$D$2:$D$3000,SUBSTITUTE($A257," SS","  SS")),"NA"))</f>
        <v>-14696</v>
      </c>
      <c r="E257" s="83" t="n">
        <f aca="false">IF(COUNTIFS('Inventory Hygiene'!$A$2:$A$3000,$K$2,'Inventory Hygiene'!$B$2:$B$3000,$A257)&gt;0,AVERAGEIFS('Inventory Hygiene'!$J$2:$J$3000,'Inventory Hygiene'!$A$2:$A$3000,$K$2,'Inventory Hygiene'!$B$2:$B$3000,$A257),IF(COUNTIFS('Inventory Hygiene'!$A$2:$A$3000,$K$2,'Inventory Hygiene'!$B$2:$B$3000,SUBSTITUTE($A257," SS","  SS"))&gt;0,AVERAGEIFS('Inventory Hygiene'!$J$2:$J$3000,'Inventory Hygiene'!$A$2:$A$3000,$K$2,'Inventory Hygiene'!$B$2:$B$3000,SUBSTITUTE($A257," SS","  SS")),"NA"))</f>
        <v>0.502417962003454</v>
      </c>
      <c r="F257" s="81" t="n">
        <f aca="false">IF(COUNTIFS('Bad Bins'!$A$2:$A$3000,$K$2,'Bad Bins'!$B$2:$B$3000,$A257)&gt;0,SUMIFS('Bad Bins'!$K$2:$K$3000,'Bad Bins'!$A$2:$A$3000,$K$2,'Bad Bins'!$B$2:$B$3000,$A257),IF(COUNTIFS('Bad Bins'!$A$2:$A$3000,$K$2,'Bad Bins'!$B$2:$B$3000,SUBSTITUTE($A257," SS","  SS"))&gt;0,SUMIFS('Bad Bins'!$K$2:$K$3000,'Bad Bins'!$A$2:$A$3000,$K$2,'Bad Bins'!$B$2:$B$3000,SUBSTITUTE($A257," SS","  SS")),"NA"))</f>
        <v>67</v>
      </c>
      <c r="G257" s="81" t="str">
        <f aca="false">IF(COUNTIFS('RSTO &gt; 48hrs'!$A$2:$A$3000,$K$2,'RSTO &gt; 48hrs'!$B$2:$B$3000,$A257)&gt;0,SUMIFS('RSTO &gt; 48hrs'!$H$2:$H$3000,'RSTO &gt; 48hrs'!$A$2:$A$3000,$K$2,'RSTO &gt; 48hrs'!$B$2:$B$3000,$A257),IF(COUNTIFS('RSTO &gt; 48hrs'!$A$2:$A$3000,$K$2,'RSTO &gt; 48hrs'!$B$2:$B$3000,SUBSTITUTE($A257," SS","  SS"))&gt;0,SUMIFS('RSTO &gt; 48hrs'!$H$2:$H$3000,'RSTO &gt; 48hrs'!$A$2:$A$3000,$K$2,'RSTO &gt; 48hrs'!$B$2:$B$3000,SUBSTITUTE($A257," SS","  SS")),"NA"))</f>
        <v>NA</v>
      </c>
      <c r="H257" s="81" t="str">
        <f aca="false">IF(COUNTIFS('Recirculation &gt; 24 hrs'!$A$2:$A$3000,$K$2,'Recirculation &gt; 24 hrs'!$B$2:$B$3000,$A257)&gt;0,SUMIFS('Recirculation &gt; 24 hrs'!$K$2:$K$3000,'Recirculation &gt; 24 hrs'!$A$2:$A$3000,$K$2,'Recirculation &gt; 24 hrs'!$B$2:$B$3000,$A257),IF(COUNTIFS('Recirculation &gt; 24 hrs'!$A$2:$A$3000,$K$2,'Recirculation &gt; 24 hrs'!$B$2:$B$3000,SUBSTITUTE($A257," SS","  SS"))&gt;0,SUMIFS('Recirculation &gt; 24 hrs'!$K$2:$K$3000,'Recirculation &gt; 24 hrs'!$A$2:$A$3000,$K$2,'Recirculation &gt; 24 hrs'!$B$2:$B$3000,SUBSTITUTE($A257," SS","  SS")),"NA"))</f>
        <v>NA</v>
      </c>
      <c r="I257" s="81" t="n">
        <f aca="false">IF(COUNTIFS('Pending Putaway'!$A$2:$A$3000,$K$2,'Pending Putaway'!$B$2:$B$3000,$A257)&gt;0,SUMIFS('Pending Putaway'!$E$2:$E$3000,'Pending Putaway'!$A$2:$A$3000,$K$2,'Pending Putaway'!$B$2:$B$3000,$A257),IF(COUNTIFS('Pending Putaway'!$A$2:$A$3000,$K$2,'Pending Putaway'!$B$2:$B$3000,SUBSTITUTE($A257," SS","  SS"))&gt;0,SUMIFS('Pending Putaway'!$E$2:$E$3000,'Pending Putaway'!$A$2:$A$3000,$K$2,'Pending Putaway'!$B$2:$B$3000,SUBSTITUTE($A257," SS","  SS")),"NA"))</f>
        <v>588</v>
      </c>
      <c r="J257" s="81" t="n">
        <f aca="false">IF(COUNTIFS('Pending Putaway'!$A$2:$A$3000,$K$2,'Pending Putaway'!$B$2:$B$3000,$A257)&gt;0,SUMIFS('Pending Putaway'!$L$2:$L$3000,'Pending Putaway'!$A$2:$A$3000,$K$2,'Pending Putaway'!$B$2:$B$3000,$A257),IF(COUNTIFS('Pending Putaway'!$A$2:$A$3000,$K$2,'Pending Putaway'!$B$2:$B$3000,SUBSTITUTE($A257," SS","  SS"))&gt;0,SUMIFS('Pending Putaway'!$L$2:$L$3000,'Pending Putaway'!$A$2:$A$3000,$K$2,'Pending Putaway'!$B$2:$B$3000,SUBSTITUTE($A257," SS","  SS")),"NA"))</f>
        <v>31</v>
      </c>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row>
    <row r="258" customFormat="false" ht="15.75" hidden="false" customHeight="true" outlineLevel="0" collapsed="false">
      <c r="A258" s="81" t="s">
        <v>405</v>
      </c>
      <c r="B258" s="81" t="str">
        <f aca="false" t="array" ref="B258:B258">IFERROR(INDEX('CLM &amp; IM Mapping'!$B$2:$B$270,MATCH($A258,'CLM &amp; IM Mapping'!$A$2:$A$270,0)),"Not Mapped")</f>
        <v>Adhavan Subramani</v>
      </c>
      <c r="C258" s="81" t="str">
        <f aca="false" t="array" ref="C258:C258">IFERROR(INDEX('CLM &amp; IM Mapping'!$C$2:$C$270,MATCH($A258,'CLM &amp; IM Mapping'!$A$2:$A$270,0)),"Not Mapped")</f>
        <v>Mohammed Akbar</v>
      </c>
      <c r="D258" s="82" t="n">
        <f aca="false">IF(COUNTIFS(Shrinkage!$A$2:$A$3000,$K$2,Shrinkage!$D$2:$D$3000,$A258)&gt;0,SUMIFS(Shrinkage!$P$2:$P$3000,Shrinkage!$A$2:$A$3000,$K$2,Shrinkage!$D$2:$D$3000,$A258),IF(COUNTIFS(Shrinkage!$A$2:$A$3000,$K$2,Shrinkage!$D$2:$D$3000,SUBSTITUTE($A258," SS","  SS"))&gt;0,SUMIFS(Shrinkage!$P$2:$P$3000,Shrinkage!$A$2:$A$3000,$K$2,Shrinkage!$D$2:$D$3000,SUBSTITUTE($A258," SS","  SS")),"NA"))</f>
        <v>-10603</v>
      </c>
      <c r="E258" s="83" t="n">
        <f aca="false">IF(COUNTIFS('Inventory Hygiene'!$A$2:$A$3000,$K$2,'Inventory Hygiene'!$B$2:$B$3000,$A258)&gt;0,AVERAGEIFS('Inventory Hygiene'!$J$2:$J$3000,'Inventory Hygiene'!$A$2:$A$3000,$K$2,'Inventory Hygiene'!$B$2:$B$3000,$A258),IF(COUNTIFS('Inventory Hygiene'!$A$2:$A$3000,$K$2,'Inventory Hygiene'!$B$2:$B$3000,SUBSTITUTE($A258," SS","  SS"))&gt;0,AVERAGEIFS('Inventory Hygiene'!$J$2:$J$3000,'Inventory Hygiene'!$A$2:$A$3000,$K$2,'Inventory Hygiene'!$B$2:$B$3000,SUBSTITUTE($A258," SS","  SS")),"NA"))</f>
        <v>0.0911616600104185</v>
      </c>
      <c r="F258" s="81" t="n">
        <f aca="false">IF(COUNTIFS('Bad Bins'!$A$2:$A$3000,$K$2,'Bad Bins'!$B$2:$B$3000,$A258)&gt;0,SUMIFS('Bad Bins'!$K$2:$K$3000,'Bad Bins'!$A$2:$A$3000,$K$2,'Bad Bins'!$B$2:$B$3000,$A258),IF(COUNTIFS('Bad Bins'!$A$2:$A$3000,$K$2,'Bad Bins'!$B$2:$B$3000,SUBSTITUTE($A258," SS","  SS"))&gt;0,SUMIFS('Bad Bins'!$K$2:$K$3000,'Bad Bins'!$A$2:$A$3000,$K$2,'Bad Bins'!$B$2:$B$3000,SUBSTITUTE($A258," SS","  SS")),"NA"))</f>
        <v>601</v>
      </c>
      <c r="G258" s="81" t="str">
        <f aca="false">IF(COUNTIFS('RSTO &gt; 48hrs'!$A$2:$A$3000,$K$2,'RSTO &gt; 48hrs'!$B$2:$B$3000,$A258)&gt;0,SUMIFS('RSTO &gt; 48hrs'!$H$2:$H$3000,'RSTO &gt; 48hrs'!$A$2:$A$3000,$K$2,'RSTO &gt; 48hrs'!$B$2:$B$3000,$A258),IF(COUNTIFS('RSTO &gt; 48hrs'!$A$2:$A$3000,$K$2,'RSTO &gt; 48hrs'!$B$2:$B$3000,SUBSTITUTE($A258," SS","  SS"))&gt;0,SUMIFS('RSTO &gt; 48hrs'!$H$2:$H$3000,'RSTO &gt; 48hrs'!$A$2:$A$3000,$K$2,'RSTO &gt; 48hrs'!$B$2:$B$3000,SUBSTITUTE($A258," SS","  SS")),"NA"))</f>
        <v>NA</v>
      </c>
      <c r="H258" s="81" t="str">
        <f aca="false">IF(COUNTIFS('Recirculation &gt; 24 hrs'!$A$2:$A$3000,$K$2,'Recirculation &gt; 24 hrs'!$B$2:$B$3000,$A258)&gt;0,SUMIFS('Recirculation &gt; 24 hrs'!$K$2:$K$3000,'Recirculation &gt; 24 hrs'!$A$2:$A$3000,$K$2,'Recirculation &gt; 24 hrs'!$B$2:$B$3000,$A258),IF(COUNTIFS('Recirculation &gt; 24 hrs'!$A$2:$A$3000,$K$2,'Recirculation &gt; 24 hrs'!$B$2:$B$3000,SUBSTITUTE($A258," SS","  SS"))&gt;0,SUMIFS('Recirculation &gt; 24 hrs'!$K$2:$K$3000,'Recirculation &gt; 24 hrs'!$A$2:$A$3000,$K$2,'Recirculation &gt; 24 hrs'!$B$2:$B$3000,SUBSTITUTE($A258," SS","  SS")),"NA"))</f>
        <v>NA</v>
      </c>
      <c r="I258" s="81" t="n">
        <f aca="false">IF(COUNTIFS('Pending Putaway'!$A$2:$A$3000,$K$2,'Pending Putaway'!$B$2:$B$3000,$A258)&gt;0,SUMIFS('Pending Putaway'!$E$2:$E$3000,'Pending Putaway'!$A$2:$A$3000,$K$2,'Pending Putaway'!$B$2:$B$3000,$A258),IF(COUNTIFS('Pending Putaway'!$A$2:$A$3000,$K$2,'Pending Putaway'!$B$2:$B$3000,SUBSTITUTE($A258," SS","  SS"))&gt;0,SUMIFS('Pending Putaway'!$E$2:$E$3000,'Pending Putaway'!$A$2:$A$3000,$K$2,'Pending Putaway'!$B$2:$B$3000,SUBSTITUTE($A258," SS","  SS")),"NA"))</f>
        <v>1676</v>
      </c>
      <c r="J258" s="81" t="n">
        <f aca="false">IF(COUNTIFS('Pending Putaway'!$A$2:$A$3000,$K$2,'Pending Putaway'!$B$2:$B$3000,$A258)&gt;0,SUMIFS('Pending Putaway'!$L$2:$L$3000,'Pending Putaway'!$A$2:$A$3000,$K$2,'Pending Putaway'!$B$2:$B$3000,$A258),IF(COUNTIFS('Pending Putaway'!$A$2:$A$3000,$K$2,'Pending Putaway'!$B$2:$B$3000,SUBSTITUTE($A258," SS","  SS"))&gt;0,SUMIFS('Pending Putaway'!$L$2:$L$3000,'Pending Putaway'!$A$2:$A$3000,$K$2,'Pending Putaway'!$B$2:$B$3000,SUBSTITUTE($A258," SS","  SS")),"NA"))</f>
        <v>42</v>
      </c>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row>
    <row r="259" customFormat="false" ht="15.75" hidden="false" customHeight="true" outlineLevel="0" collapsed="false">
      <c r="A259" s="81" t="s">
        <v>440</v>
      </c>
      <c r="B259" s="81" t="str">
        <f aca="false" t="array" ref="B259:B259">IFERROR(INDEX('CLM &amp; IM Mapping'!$B$2:$B$270,MATCH($A259,'CLM &amp; IM Mapping'!$A$2:$A$270,0)),"Not Mapped")</f>
        <v>Bangareppa CS</v>
      </c>
      <c r="C259" s="81" t="str">
        <f aca="false" t="array" ref="C259:C259">IFERROR(INDEX('CLM &amp; IM Mapping'!$C$2:$C$270,MATCH($A259,'CLM &amp; IM Mapping'!$A$2:$A$270,0)),"Not Mapped")</f>
        <v>Kishor K</v>
      </c>
      <c r="D259" s="82" t="n">
        <f aca="false">IF(COUNTIFS(Shrinkage!$A$2:$A$3000,$K$2,Shrinkage!$D$2:$D$3000,$A259)&gt;0,SUMIFS(Shrinkage!$P$2:$P$3000,Shrinkage!$A$2:$A$3000,$K$2,Shrinkage!$D$2:$D$3000,$A259),IF(COUNTIFS(Shrinkage!$A$2:$A$3000,$K$2,Shrinkage!$D$2:$D$3000,SUBSTITUTE($A259," SS","  SS"))&gt;0,SUMIFS(Shrinkage!$P$2:$P$3000,Shrinkage!$A$2:$A$3000,$K$2,Shrinkage!$D$2:$D$3000,SUBSTITUTE($A259," SS","  SS")),"NA"))</f>
        <v>-8633</v>
      </c>
      <c r="E259" s="83" t="n">
        <f aca="false">IF(COUNTIFS('Inventory Hygiene'!$A$2:$A$3000,$K$2,'Inventory Hygiene'!$B$2:$B$3000,$A259)&gt;0,AVERAGEIFS('Inventory Hygiene'!$J$2:$J$3000,'Inventory Hygiene'!$A$2:$A$3000,$K$2,'Inventory Hygiene'!$B$2:$B$3000,$A259),IF(COUNTIFS('Inventory Hygiene'!$A$2:$A$3000,$K$2,'Inventory Hygiene'!$B$2:$B$3000,SUBSTITUTE($A259," SS","  SS"))&gt;0,AVERAGEIFS('Inventory Hygiene'!$J$2:$J$3000,'Inventory Hygiene'!$A$2:$A$3000,$K$2,'Inventory Hygiene'!$B$2:$B$3000,SUBSTITUTE($A259," SS","  SS")),"NA"))</f>
        <v>0.925068870523416</v>
      </c>
      <c r="F259" s="81" t="n">
        <f aca="false">IF(COUNTIFS('Bad Bins'!$A$2:$A$3000,$K$2,'Bad Bins'!$B$2:$B$3000,$A259)&gt;0,SUMIFS('Bad Bins'!$K$2:$K$3000,'Bad Bins'!$A$2:$A$3000,$K$2,'Bad Bins'!$B$2:$B$3000,$A259),IF(COUNTIFS('Bad Bins'!$A$2:$A$3000,$K$2,'Bad Bins'!$B$2:$B$3000,SUBSTITUTE($A259," SS","  SS"))&gt;0,SUMIFS('Bad Bins'!$K$2:$K$3000,'Bad Bins'!$A$2:$A$3000,$K$2,'Bad Bins'!$B$2:$B$3000,SUBSTITUTE($A259," SS","  SS")),"NA"))</f>
        <v>204</v>
      </c>
      <c r="G259" s="81" t="str">
        <f aca="false">IF(COUNTIFS('RSTO &gt; 48hrs'!$A$2:$A$3000,$K$2,'RSTO &gt; 48hrs'!$B$2:$B$3000,$A259)&gt;0,SUMIFS('RSTO &gt; 48hrs'!$H$2:$H$3000,'RSTO &gt; 48hrs'!$A$2:$A$3000,$K$2,'RSTO &gt; 48hrs'!$B$2:$B$3000,$A259),IF(COUNTIFS('RSTO &gt; 48hrs'!$A$2:$A$3000,$K$2,'RSTO &gt; 48hrs'!$B$2:$B$3000,SUBSTITUTE($A259," SS","  SS"))&gt;0,SUMIFS('RSTO &gt; 48hrs'!$H$2:$H$3000,'RSTO &gt; 48hrs'!$A$2:$A$3000,$K$2,'RSTO &gt; 48hrs'!$B$2:$B$3000,SUBSTITUTE($A259," SS","  SS")),"NA"))</f>
        <v>NA</v>
      </c>
      <c r="H259" s="81" t="str">
        <f aca="false">IF(COUNTIFS('Recirculation &gt; 24 hrs'!$A$2:$A$3000,$K$2,'Recirculation &gt; 24 hrs'!$B$2:$B$3000,$A259)&gt;0,SUMIFS('Recirculation &gt; 24 hrs'!$K$2:$K$3000,'Recirculation &gt; 24 hrs'!$A$2:$A$3000,$K$2,'Recirculation &gt; 24 hrs'!$B$2:$B$3000,$A259),IF(COUNTIFS('Recirculation &gt; 24 hrs'!$A$2:$A$3000,$K$2,'Recirculation &gt; 24 hrs'!$B$2:$B$3000,SUBSTITUTE($A259," SS","  SS"))&gt;0,SUMIFS('Recirculation &gt; 24 hrs'!$K$2:$K$3000,'Recirculation &gt; 24 hrs'!$A$2:$A$3000,$K$2,'Recirculation &gt; 24 hrs'!$B$2:$B$3000,SUBSTITUTE($A259," SS","  SS")),"NA"))</f>
        <v>NA</v>
      </c>
      <c r="I259" s="81" t="n">
        <f aca="false">IF(COUNTIFS('Pending Putaway'!$A$2:$A$3000,$K$2,'Pending Putaway'!$B$2:$B$3000,$A259)&gt;0,SUMIFS('Pending Putaway'!$E$2:$E$3000,'Pending Putaway'!$A$2:$A$3000,$K$2,'Pending Putaway'!$B$2:$B$3000,$A259),IF(COUNTIFS('Pending Putaway'!$A$2:$A$3000,$K$2,'Pending Putaway'!$B$2:$B$3000,SUBSTITUTE($A259," SS","  SS"))&gt;0,SUMIFS('Pending Putaway'!$E$2:$E$3000,'Pending Putaway'!$A$2:$A$3000,$K$2,'Pending Putaway'!$B$2:$B$3000,SUBSTITUTE($A259," SS","  SS")),"NA"))</f>
        <v>0</v>
      </c>
      <c r="J259" s="81" t="n">
        <f aca="false">IF(COUNTIFS('Pending Putaway'!$A$2:$A$3000,$K$2,'Pending Putaway'!$B$2:$B$3000,$A259)&gt;0,SUMIFS('Pending Putaway'!$L$2:$L$3000,'Pending Putaway'!$A$2:$A$3000,$K$2,'Pending Putaway'!$B$2:$B$3000,$A259),IF(COUNTIFS('Pending Putaway'!$A$2:$A$3000,$K$2,'Pending Putaway'!$B$2:$B$3000,SUBSTITUTE($A259," SS","  SS"))&gt;0,SUMIFS('Pending Putaway'!$L$2:$L$3000,'Pending Putaway'!$A$2:$A$3000,$K$2,'Pending Putaway'!$B$2:$B$3000,SUBSTITUTE($A259," SS","  SS")),"NA"))</f>
        <v>0</v>
      </c>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row>
    <row r="260" customFormat="false" ht="15.75" hidden="false" customHeight="true" outlineLevel="0" collapsed="false">
      <c r="A260" s="81" t="s">
        <v>378</v>
      </c>
      <c r="B260" s="81" t="str">
        <f aca="false" t="array" ref="B260:B260">IFERROR(INDEX('CLM &amp; IM Mapping'!$B$2:$B$270,MATCH($A260,'CLM &amp; IM Mapping'!$A$2:$A$270,0)),"Not Mapped")</f>
        <v>Vishnu V</v>
      </c>
      <c r="C260" s="81" t="str">
        <f aca="false" t="array" ref="C260:C260">IFERROR(INDEX('CLM &amp; IM Mapping'!$C$2:$C$270,MATCH($A260,'CLM &amp; IM Mapping'!$A$2:$A$270,0)),"Not Mapped")</f>
        <v>Arivind S</v>
      </c>
      <c r="D260" s="82" t="n">
        <f aca="false">IF(COUNTIFS(Shrinkage!$A$2:$A$3000,$K$2,Shrinkage!$D$2:$D$3000,$A260)&gt;0,SUMIFS(Shrinkage!$P$2:$P$3000,Shrinkage!$A$2:$A$3000,$K$2,Shrinkage!$D$2:$D$3000,$A260),IF(COUNTIFS(Shrinkage!$A$2:$A$3000,$K$2,Shrinkage!$D$2:$D$3000,SUBSTITUTE($A260," SS","  SS"))&gt;0,SUMIFS(Shrinkage!$P$2:$P$3000,Shrinkage!$A$2:$A$3000,$K$2,Shrinkage!$D$2:$D$3000,SUBSTITUTE($A260," SS","  SS")),"NA"))</f>
        <v>-4105</v>
      </c>
      <c r="E260" s="83" t="str">
        <f aca="false">IF(COUNTIFS('Inventory Hygiene'!$A$2:$A$3000,$K$2,'Inventory Hygiene'!$B$2:$B$3000,$A260)&gt;0,AVERAGEIFS('Inventory Hygiene'!$J$2:$J$3000,'Inventory Hygiene'!$A$2:$A$3000,$K$2,'Inventory Hygiene'!$B$2:$B$3000,$A260),IF(COUNTIFS('Inventory Hygiene'!$A$2:$A$3000,$K$2,'Inventory Hygiene'!$B$2:$B$3000,SUBSTITUTE($A260," SS","  SS"))&gt;0,AVERAGEIFS('Inventory Hygiene'!$J$2:$J$3000,'Inventory Hygiene'!$A$2:$A$3000,$K$2,'Inventory Hygiene'!$B$2:$B$3000,SUBSTITUTE($A260," SS","  SS")),"NA"))</f>
        <v>NA</v>
      </c>
      <c r="F260" s="81" t="n">
        <f aca="false">IF(COUNTIFS('Bad Bins'!$A$2:$A$3000,$K$2,'Bad Bins'!$B$2:$B$3000,$A260)&gt;0,SUMIFS('Bad Bins'!$K$2:$K$3000,'Bad Bins'!$A$2:$A$3000,$K$2,'Bad Bins'!$B$2:$B$3000,$A260),IF(COUNTIFS('Bad Bins'!$A$2:$A$3000,$K$2,'Bad Bins'!$B$2:$B$3000,SUBSTITUTE($A260," SS","  SS"))&gt;0,SUMIFS('Bad Bins'!$K$2:$K$3000,'Bad Bins'!$A$2:$A$3000,$K$2,'Bad Bins'!$B$2:$B$3000,SUBSTITUTE($A260," SS","  SS")),"NA"))</f>
        <v>344</v>
      </c>
      <c r="G260" s="81" t="str">
        <f aca="false">IF(COUNTIFS('RSTO &gt; 48hrs'!$A$2:$A$3000,$K$2,'RSTO &gt; 48hrs'!$B$2:$B$3000,$A260)&gt;0,SUMIFS('RSTO &gt; 48hrs'!$H$2:$H$3000,'RSTO &gt; 48hrs'!$A$2:$A$3000,$K$2,'RSTO &gt; 48hrs'!$B$2:$B$3000,$A260),IF(COUNTIFS('RSTO &gt; 48hrs'!$A$2:$A$3000,$K$2,'RSTO &gt; 48hrs'!$B$2:$B$3000,SUBSTITUTE($A260," SS","  SS"))&gt;0,SUMIFS('RSTO &gt; 48hrs'!$H$2:$H$3000,'RSTO &gt; 48hrs'!$A$2:$A$3000,$K$2,'RSTO &gt; 48hrs'!$B$2:$B$3000,SUBSTITUTE($A260," SS","  SS")),"NA"))</f>
        <v>NA</v>
      </c>
      <c r="H260" s="81" t="str">
        <f aca="false">IF(COUNTIFS('Recirculation &gt; 24 hrs'!$A$2:$A$3000,$K$2,'Recirculation &gt; 24 hrs'!$B$2:$B$3000,$A260)&gt;0,SUMIFS('Recirculation &gt; 24 hrs'!$K$2:$K$3000,'Recirculation &gt; 24 hrs'!$A$2:$A$3000,$K$2,'Recirculation &gt; 24 hrs'!$B$2:$B$3000,$A260),IF(COUNTIFS('Recirculation &gt; 24 hrs'!$A$2:$A$3000,$K$2,'Recirculation &gt; 24 hrs'!$B$2:$B$3000,SUBSTITUTE($A260," SS","  SS"))&gt;0,SUMIFS('Recirculation &gt; 24 hrs'!$K$2:$K$3000,'Recirculation &gt; 24 hrs'!$A$2:$A$3000,$K$2,'Recirculation &gt; 24 hrs'!$B$2:$B$3000,SUBSTITUTE($A260," SS","  SS")),"NA"))</f>
        <v>NA</v>
      </c>
      <c r="I260" s="81" t="n">
        <f aca="false">IF(COUNTIFS('Pending Putaway'!$A$2:$A$3000,$K$2,'Pending Putaway'!$B$2:$B$3000,$A260)&gt;0,SUMIFS('Pending Putaway'!$E$2:$E$3000,'Pending Putaway'!$A$2:$A$3000,$K$2,'Pending Putaway'!$B$2:$B$3000,$A260),IF(COUNTIFS('Pending Putaway'!$A$2:$A$3000,$K$2,'Pending Putaway'!$B$2:$B$3000,SUBSTITUTE($A260," SS","  SS"))&gt;0,SUMIFS('Pending Putaway'!$E$2:$E$3000,'Pending Putaway'!$A$2:$A$3000,$K$2,'Pending Putaway'!$B$2:$B$3000,SUBSTITUTE($A260," SS","  SS")),"NA"))</f>
        <v>796</v>
      </c>
      <c r="J260" s="81" t="n">
        <f aca="false">IF(COUNTIFS('Pending Putaway'!$A$2:$A$3000,$K$2,'Pending Putaway'!$B$2:$B$3000,$A260)&gt;0,SUMIFS('Pending Putaway'!$L$2:$L$3000,'Pending Putaway'!$A$2:$A$3000,$K$2,'Pending Putaway'!$B$2:$B$3000,$A260),IF(COUNTIFS('Pending Putaway'!$A$2:$A$3000,$K$2,'Pending Putaway'!$B$2:$B$3000,SUBSTITUTE($A260," SS","  SS"))&gt;0,SUMIFS('Pending Putaway'!$L$2:$L$3000,'Pending Putaway'!$A$2:$A$3000,$K$2,'Pending Putaway'!$B$2:$B$3000,SUBSTITUTE($A260," SS","  SS")),"NA"))</f>
        <v>44</v>
      </c>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row>
    <row r="261" customFormat="false" ht="15.75" hidden="false" customHeight="true" outlineLevel="0" collapsed="false">
      <c r="A261" s="81" t="s">
        <v>710</v>
      </c>
      <c r="B261" s="81" t="str">
        <f aca="false" t="array" ref="B261:B261">IFERROR(INDEX('CLM &amp; IM Mapping'!$B$2:$B$270,MATCH($A261,'CLM &amp; IM Mapping'!$A$2:$A$270,0)),"Not Mapped")</f>
        <v>John Britto</v>
      </c>
      <c r="C261" s="81" t="str">
        <f aca="false" t="array" ref="C261:C261">IFERROR(INDEX('CLM &amp; IM Mapping'!$C$2:$C$270,MATCH($A261,'CLM &amp; IM Mapping'!$A$2:$A$270,0)),"Not Mapped")</f>
        <v>Aravind S</v>
      </c>
      <c r="D261" s="82" t="str">
        <f aca="false">IF(COUNTIFS(Shrinkage!$A$2:$A$3000,$K$2,Shrinkage!$D$2:$D$3000,$A261)&gt;0,SUMIFS(Shrinkage!$P$2:$P$3000,Shrinkage!$A$2:$A$3000,$K$2,Shrinkage!$D$2:$D$3000,$A261),IF(COUNTIFS(Shrinkage!$A$2:$A$3000,$K$2,Shrinkage!$D$2:$D$3000,SUBSTITUTE($A261," SS","  SS"))&gt;0,SUMIFS(Shrinkage!$P$2:$P$3000,Shrinkage!$A$2:$A$3000,$K$2,Shrinkage!$D$2:$D$3000,SUBSTITUTE($A261," SS","  SS")),"NA"))</f>
        <v>NA</v>
      </c>
      <c r="E261" s="83" t="str">
        <f aca="false">IF(COUNTIFS('Inventory Hygiene'!$A$2:$A$3000,$K$2,'Inventory Hygiene'!$B$2:$B$3000,$A261)&gt;0,AVERAGEIFS('Inventory Hygiene'!$J$2:$J$3000,'Inventory Hygiene'!$A$2:$A$3000,$K$2,'Inventory Hygiene'!$B$2:$B$3000,$A261),IF(COUNTIFS('Inventory Hygiene'!$A$2:$A$3000,$K$2,'Inventory Hygiene'!$B$2:$B$3000,SUBSTITUTE($A261," SS","  SS"))&gt;0,AVERAGEIFS('Inventory Hygiene'!$J$2:$J$3000,'Inventory Hygiene'!$A$2:$A$3000,$K$2,'Inventory Hygiene'!$B$2:$B$3000,SUBSTITUTE($A261," SS","  SS")),"NA"))</f>
        <v>NA</v>
      </c>
      <c r="F261" s="81" t="str">
        <f aca="false">IF(COUNTIFS('Bad Bins'!$A$2:$A$3000,$K$2,'Bad Bins'!$B$2:$B$3000,$A261)&gt;0,SUMIFS('Bad Bins'!$K$2:$K$3000,'Bad Bins'!$A$2:$A$3000,$K$2,'Bad Bins'!$B$2:$B$3000,$A261),IF(COUNTIFS('Bad Bins'!$A$2:$A$3000,$K$2,'Bad Bins'!$B$2:$B$3000,SUBSTITUTE($A261," SS","  SS"))&gt;0,SUMIFS('Bad Bins'!$K$2:$K$3000,'Bad Bins'!$A$2:$A$3000,$K$2,'Bad Bins'!$B$2:$B$3000,SUBSTITUTE($A261," SS","  SS")),"NA"))</f>
        <v>NA</v>
      </c>
      <c r="G261" s="81" t="str">
        <f aca="false">IF(COUNTIFS('RSTO &gt; 48hrs'!$A$2:$A$3000,$K$2,'RSTO &gt; 48hrs'!$B$2:$B$3000,$A261)&gt;0,SUMIFS('RSTO &gt; 48hrs'!$H$2:$H$3000,'RSTO &gt; 48hrs'!$A$2:$A$3000,$K$2,'RSTO &gt; 48hrs'!$B$2:$B$3000,$A261),IF(COUNTIFS('RSTO &gt; 48hrs'!$A$2:$A$3000,$K$2,'RSTO &gt; 48hrs'!$B$2:$B$3000,SUBSTITUTE($A261," SS","  SS"))&gt;0,SUMIFS('RSTO &gt; 48hrs'!$H$2:$H$3000,'RSTO &gt; 48hrs'!$A$2:$A$3000,$K$2,'RSTO &gt; 48hrs'!$B$2:$B$3000,SUBSTITUTE($A261," SS","  SS")),"NA"))</f>
        <v>NA</v>
      </c>
      <c r="H261" s="81" t="str">
        <f aca="false">IF(COUNTIFS('Recirculation &gt; 24 hrs'!$A$2:$A$3000,$K$2,'Recirculation &gt; 24 hrs'!$B$2:$B$3000,$A261)&gt;0,SUMIFS('Recirculation &gt; 24 hrs'!$K$2:$K$3000,'Recirculation &gt; 24 hrs'!$A$2:$A$3000,$K$2,'Recirculation &gt; 24 hrs'!$B$2:$B$3000,$A261),IF(COUNTIFS('Recirculation &gt; 24 hrs'!$A$2:$A$3000,$K$2,'Recirculation &gt; 24 hrs'!$B$2:$B$3000,SUBSTITUTE($A261," SS","  SS"))&gt;0,SUMIFS('Recirculation &gt; 24 hrs'!$K$2:$K$3000,'Recirculation &gt; 24 hrs'!$A$2:$A$3000,$K$2,'Recirculation &gt; 24 hrs'!$B$2:$B$3000,SUBSTITUTE($A261," SS","  SS")),"NA"))</f>
        <v>NA</v>
      </c>
      <c r="I261" s="81" t="n">
        <f aca="false">IF(COUNTIFS('Pending Putaway'!$A$2:$A$3000,$K$2,'Pending Putaway'!$B$2:$B$3000,$A261)&gt;0,SUMIFS('Pending Putaway'!$E$2:$E$3000,'Pending Putaway'!$A$2:$A$3000,$K$2,'Pending Putaway'!$B$2:$B$3000,$A261),IF(COUNTIFS('Pending Putaway'!$A$2:$A$3000,$K$2,'Pending Putaway'!$B$2:$B$3000,SUBSTITUTE($A261," SS","  SS"))&gt;0,SUMIFS('Pending Putaway'!$E$2:$E$3000,'Pending Putaway'!$A$2:$A$3000,$K$2,'Pending Putaway'!$B$2:$B$3000,SUBSTITUTE($A261," SS","  SS")),"NA"))</f>
        <v>47</v>
      </c>
      <c r="J261" s="81" t="n">
        <f aca="false">IF(COUNTIFS('Pending Putaway'!$A$2:$A$3000,$K$2,'Pending Putaway'!$B$2:$B$3000,$A261)&gt;0,SUMIFS('Pending Putaway'!$L$2:$L$3000,'Pending Putaway'!$A$2:$A$3000,$K$2,'Pending Putaway'!$B$2:$B$3000,$A261),IF(COUNTIFS('Pending Putaway'!$A$2:$A$3000,$K$2,'Pending Putaway'!$B$2:$B$3000,SUBSTITUTE($A261," SS","  SS"))&gt;0,SUMIFS('Pending Putaway'!$L$2:$L$3000,'Pending Putaway'!$A$2:$A$3000,$K$2,'Pending Putaway'!$B$2:$B$3000,SUBSTITUTE($A261," SS","  SS")),"NA"))</f>
        <v>47</v>
      </c>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row>
    <row r="262" customFormat="false" ht="15.75" hidden="false" customHeight="true" outlineLevel="0" collapsed="false">
      <c r="A262" s="81" t="s">
        <v>711</v>
      </c>
      <c r="B262" s="81" t="str">
        <f aca="false" t="array" ref="B262:B262">IFERROR(INDEX('CLM &amp; IM Mapping'!$B$2:$B$270,MATCH($A262,'CLM &amp; IM Mapping'!$A$2:$A$270,0)),"Not Mapped")</f>
        <v>John Britto</v>
      </c>
      <c r="C262" s="81" t="str">
        <f aca="false" t="array" ref="C262:C262">IFERROR(INDEX('CLM &amp; IM Mapping'!$C$2:$C$270,MATCH($A262,'CLM &amp; IM Mapping'!$A$2:$A$270,0)),"Not Mapped")</f>
        <v>Aravind S</v>
      </c>
      <c r="D262" s="82" t="str">
        <f aca="false">IF(COUNTIFS(Shrinkage!$A$2:$A$3000,$K$2,Shrinkage!$D$2:$D$3000,$A262)&gt;0,SUMIFS(Shrinkage!$P$2:$P$3000,Shrinkage!$A$2:$A$3000,$K$2,Shrinkage!$D$2:$D$3000,$A262),IF(COUNTIFS(Shrinkage!$A$2:$A$3000,$K$2,Shrinkage!$D$2:$D$3000,SUBSTITUTE($A262," SS","  SS"))&gt;0,SUMIFS(Shrinkage!$P$2:$P$3000,Shrinkage!$A$2:$A$3000,$K$2,Shrinkage!$D$2:$D$3000,SUBSTITUTE($A262," SS","  SS")),"NA"))</f>
        <v>NA</v>
      </c>
      <c r="E262" s="83" t="str">
        <f aca="false">IF(COUNTIFS('Inventory Hygiene'!$A$2:$A$3000,$K$2,'Inventory Hygiene'!$B$2:$B$3000,$A262)&gt;0,AVERAGEIFS('Inventory Hygiene'!$J$2:$J$3000,'Inventory Hygiene'!$A$2:$A$3000,$K$2,'Inventory Hygiene'!$B$2:$B$3000,$A262),IF(COUNTIFS('Inventory Hygiene'!$A$2:$A$3000,$K$2,'Inventory Hygiene'!$B$2:$B$3000,SUBSTITUTE($A262," SS","  SS"))&gt;0,AVERAGEIFS('Inventory Hygiene'!$J$2:$J$3000,'Inventory Hygiene'!$A$2:$A$3000,$K$2,'Inventory Hygiene'!$B$2:$B$3000,SUBSTITUTE($A262," SS","  SS")),"NA"))</f>
        <v>NA</v>
      </c>
      <c r="F262" s="81" t="str">
        <f aca="false">IF(COUNTIFS('Bad Bins'!$A$2:$A$3000,$K$2,'Bad Bins'!$B$2:$B$3000,$A262)&gt;0,SUMIFS('Bad Bins'!$K$2:$K$3000,'Bad Bins'!$A$2:$A$3000,$K$2,'Bad Bins'!$B$2:$B$3000,$A262),IF(COUNTIFS('Bad Bins'!$A$2:$A$3000,$K$2,'Bad Bins'!$B$2:$B$3000,SUBSTITUTE($A262," SS","  SS"))&gt;0,SUMIFS('Bad Bins'!$K$2:$K$3000,'Bad Bins'!$A$2:$A$3000,$K$2,'Bad Bins'!$B$2:$B$3000,SUBSTITUTE($A262," SS","  SS")),"NA"))</f>
        <v>NA</v>
      </c>
      <c r="G262" s="81" t="str">
        <f aca="false">IF(COUNTIFS('RSTO &gt; 48hrs'!$A$2:$A$3000,$K$2,'RSTO &gt; 48hrs'!$B$2:$B$3000,$A262)&gt;0,SUMIFS('RSTO &gt; 48hrs'!$H$2:$H$3000,'RSTO &gt; 48hrs'!$A$2:$A$3000,$K$2,'RSTO &gt; 48hrs'!$B$2:$B$3000,$A262),IF(COUNTIFS('RSTO &gt; 48hrs'!$A$2:$A$3000,$K$2,'RSTO &gt; 48hrs'!$B$2:$B$3000,SUBSTITUTE($A262," SS","  SS"))&gt;0,SUMIFS('RSTO &gt; 48hrs'!$H$2:$H$3000,'RSTO &gt; 48hrs'!$A$2:$A$3000,$K$2,'RSTO &gt; 48hrs'!$B$2:$B$3000,SUBSTITUTE($A262," SS","  SS")),"NA"))</f>
        <v>NA</v>
      </c>
      <c r="H262" s="81" t="str">
        <f aca="false">IF(COUNTIFS('Recirculation &gt; 24 hrs'!$A$2:$A$3000,$K$2,'Recirculation &gt; 24 hrs'!$B$2:$B$3000,$A262)&gt;0,SUMIFS('Recirculation &gt; 24 hrs'!$K$2:$K$3000,'Recirculation &gt; 24 hrs'!$A$2:$A$3000,$K$2,'Recirculation &gt; 24 hrs'!$B$2:$B$3000,$A262),IF(COUNTIFS('Recirculation &gt; 24 hrs'!$A$2:$A$3000,$K$2,'Recirculation &gt; 24 hrs'!$B$2:$B$3000,SUBSTITUTE($A262," SS","  SS"))&gt;0,SUMIFS('Recirculation &gt; 24 hrs'!$K$2:$K$3000,'Recirculation &gt; 24 hrs'!$A$2:$A$3000,$K$2,'Recirculation &gt; 24 hrs'!$B$2:$B$3000,SUBSTITUTE($A262," SS","  SS")),"NA"))</f>
        <v>NA</v>
      </c>
      <c r="I262" s="81" t="n">
        <f aca="false">IF(COUNTIFS('Pending Putaway'!$A$2:$A$3000,$K$2,'Pending Putaway'!$B$2:$B$3000,$A262)&gt;0,SUMIFS('Pending Putaway'!$E$2:$E$3000,'Pending Putaway'!$A$2:$A$3000,$K$2,'Pending Putaway'!$B$2:$B$3000,$A262),IF(COUNTIFS('Pending Putaway'!$A$2:$A$3000,$K$2,'Pending Putaway'!$B$2:$B$3000,SUBSTITUTE($A262," SS","  SS"))&gt;0,SUMIFS('Pending Putaway'!$E$2:$E$3000,'Pending Putaway'!$A$2:$A$3000,$K$2,'Pending Putaway'!$B$2:$B$3000,SUBSTITUTE($A262," SS","  SS")),"NA"))</f>
        <v>0</v>
      </c>
      <c r="J262" s="81" t="n">
        <f aca="false">IF(COUNTIFS('Pending Putaway'!$A$2:$A$3000,$K$2,'Pending Putaway'!$B$2:$B$3000,$A262)&gt;0,SUMIFS('Pending Putaway'!$L$2:$L$3000,'Pending Putaway'!$A$2:$A$3000,$K$2,'Pending Putaway'!$B$2:$B$3000,$A262),IF(COUNTIFS('Pending Putaway'!$A$2:$A$3000,$K$2,'Pending Putaway'!$B$2:$B$3000,SUBSTITUTE($A262," SS","  SS"))&gt;0,SUMIFS('Pending Putaway'!$L$2:$L$3000,'Pending Putaway'!$A$2:$A$3000,$K$2,'Pending Putaway'!$B$2:$B$3000,SUBSTITUTE($A262," SS","  SS")),"NA"))</f>
        <v>0</v>
      </c>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row>
    <row r="263" customFormat="false" ht="15.75" hidden="false" customHeight="true" outlineLevel="0" collapsed="false">
      <c r="A263" s="23"/>
      <c r="B263" s="23"/>
      <c r="C263" s="23"/>
      <c r="D263" s="88"/>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row>
    <row r="264" customFormat="false" ht="15.75" hidden="false" customHeight="true" outlineLevel="0" collapsed="false">
      <c r="A264" s="23"/>
      <c r="B264" s="23"/>
      <c r="C264" s="23"/>
      <c r="D264" s="88"/>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row>
    <row r="265" customFormat="false" ht="15.75" hidden="false" customHeight="true" outlineLevel="0" collapsed="false">
      <c r="A265" s="23"/>
      <c r="B265" s="23"/>
      <c r="C265" s="23"/>
      <c r="D265" s="88"/>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row>
    <row r="266" customFormat="false" ht="15.75" hidden="false" customHeight="true" outlineLevel="0" collapsed="false">
      <c r="A266" s="23"/>
      <c r="B266" s="23"/>
      <c r="C266" s="23"/>
      <c r="D266" s="88"/>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row>
    <row r="267" customFormat="false" ht="15.75" hidden="false" customHeight="true" outlineLevel="0" collapsed="false">
      <c r="A267" s="23"/>
      <c r="B267" s="23"/>
      <c r="C267" s="23"/>
      <c r="D267" s="88"/>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row>
    <row r="268" customFormat="false" ht="15.75" hidden="false" customHeight="true" outlineLevel="0" collapsed="false">
      <c r="A268" s="23"/>
      <c r="B268" s="23"/>
      <c r="C268" s="23"/>
      <c r="D268" s="88"/>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row>
    <row r="269" customFormat="false" ht="15.75" hidden="false" customHeight="true" outlineLevel="0" collapsed="false">
      <c r="A269" s="23"/>
      <c r="B269" s="23"/>
      <c r="C269" s="23"/>
      <c r="D269" s="88"/>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row>
    <row r="270" customFormat="false" ht="15.75" hidden="false" customHeight="true" outlineLevel="0" collapsed="false">
      <c r="A270" s="23"/>
      <c r="B270" s="23"/>
      <c r="C270" s="23"/>
      <c r="D270" s="88"/>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row>
    <row r="271" customFormat="false" ht="15.75" hidden="false" customHeight="true" outlineLevel="0" collapsed="false">
      <c r="A271" s="23"/>
      <c r="B271" s="23"/>
      <c r="C271" s="23"/>
      <c r="D271" s="88"/>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row>
    <row r="272" customFormat="false" ht="15.75" hidden="false" customHeight="true" outlineLevel="0" collapsed="false">
      <c r="A272" s="23"/>
      <c r="B272" s="23"/>
      <c r="C272" s="23"/>
      <c r="D272" s="88"/>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row>
    <row r="273" customFormat="false" ht="15.75" hidden="false" customHeight="true" outlineLevel="0" collapsed="false">
      <c r="A273" s="23"/>
      <c r="B273" s="23"/>
      <c r="C273" s="23"/>
      <c r="D273" s="88"/>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row>
    <row r="274" customFormat="false" ht="15.75" hidden="false" customHeight="true" outlineLevel="0" collapsed="false">
      <c r="A274" s="23"/>
      <c r="B274" s="23"/>
      <c r="C274" s="23"/>
      <c r="D274" s="88"/>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row>
    <row r="275" customFormat="false" ht="15.75" hidden="false" customHeight="true" outlineLevel="0" collapsed="false">
      <c r="A275" s="23"/>
      <c r="B275" s="23"/>
      <c r="C275" s="23"/>
      <c r="D275" s="88"/>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row>
    <row r="276" customFormat="false" ht="15.75" hidden="false" customHeight="true" outlineLevel="0" collapsed="false">
      <c r="A276" s="23"/>
      <c r="B276" s="23"/>
      <c r="C276" s="23"/>
      <c r="D276" s="88"/>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row>
    <row r="277" customFormat="false" ht="15.75" hidden="false" customHeight="true" outlineLevel="0" collapsed="false">
      <c r="A277" s="23"/>
      <c r="B277" s="23"/>
      <c r="C277" s="23"/>
      <c r="D277" s="88"/>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row>
    <row r="278" customFormat="false" ht="15.75" hidden="false" customHeight="true" outlineLevel="0" collapsed="false">
      <c r="A278" s="23"/>
      <c r="B278" s="23"/>
      <c r="C278" s="23"/>
      <c r="D278" s="88"/>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row>
    <row r="279" customFormat="false" ht="15.75" hidden="false" customHeight="true" outlineLevel="0" collapsed="false">
      <c r="A279" s="23"/>
      <c r="B279" s="23"/>
      <c r="C279" s="23"/>
      <c r="D279" s="88"/>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row>
    <row r="280" customFormat="false" ht="15.75" hidden="false" customHeight="true" outlineLevel="0" collapsed="false">
      <c r="A280" s="23"/>
      <c r="B280" s="23"/>
      <c r="C280" s="23"/>
      <c r="D280" s="88"/>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row>
    <row r="281" customFormat="false" ht="15.75" hidden="false" customHeight="true" outlineLevel="0" collapsed="false">
      <c r="A281" s="23"/>
      <c r="B281" s="23"/>
      <c r="C281" s="23"/>
      <c r="D281" s="88"/>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row>
    <row r="282" customFormat="false" ht="15.75" hidden="false" customHeight="true" outlineLevel="0" collapsed="false">
      <c r="A282" s="23"/>
      <c r="B282" s="23"/>
      <c r="C282" s="23"/>
      <c r="D282" s="88"/>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row>
    <row r="283" customFormat="false" ht="15.75" hidden="false" customHeight="true" outlineLevel="0" collapsed="false">
      <c r="A283" s="23"/>
      <c r="B283" s="23"/>
      <c r="C283" s="23"/>
      <c r="D283" s="88"/>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row>
    <row r="284" customFormat="false" ht="15.75" hidden="false" customHeight="true" outlineLevel="0" collapsed="false">
      <c r="A284" s="23"/>
      <c r="B284" s="23"/>
      <c r="C284" s="23"/>
      <c r="D284" s="88"/>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row>
    <row r="285" customFormat="false" ht="15.75" hidden="false" customHeight="true" outlineLevel="0" collapsed="false">
      <c r="A285" s="23"/>
      <c r="B285" s="23"/>
      <c r="C285" s="23"/>
      <c r="D285" s="88"/>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row>
    <row r="286" customFormat="false" ht="15.75" hidden="false" customHeight="true" outlineLevel="0" collapsed="false">
      <c r="A286" s="23"/>
      <c r="B286" s="23"/>
      <c r="C286" s="23"/>
      <c r="D286" s="88"/>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row>
    <row r="287" customFormat="false" ht="15.75" hidden="false" customHeight="true" outlineLevel="0" collapsed="false">
      <c r="A287" s="23"/>
      <c r="B287" s="23"/>
      <c r="C287" s="23"/>
      <c r="D287" s="88"/>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row>
    <row r="288" customFormat="false" ht="15.75" hidden="false" customHeight="true" outlineLevel="0" collapsed="false">
      <c r="A288" s="23"/>
      <c r="B288" s="23"/>
      <c r="C288" s="23"/>
      <c r="D288" s="88"/>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row>
    <row r="289" customFormat="false" ht="15.75" hidden="false" customHeight="true" outlineLevel="0" collapsed="false">
      <c r="A289" s="23"/>
      <c r="B289" s="23"/>
      <c r="C289" s="23"/>
      <c r="D289" s="88"/>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row>
    <row r="290" customFormat="false" ht="15.75" hidden="false" customHeight="true" outlineLevel="0" collapsed="false">
      <c r="A290" s="23"/>
      <c r="B290" s="23"/>
      <c r="C290" s="23"/>
      <c r="D290" s="88"/>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row>
    <row r="291" customFormat="false" ht="15.75" hidden="false" customHeight="true" outlineLevel="0" collapsed="false">
      <c r="A291" s="23"/>
      <c r="B291" s="23"/>
      <c r="C291" s="23"/>
      <c r="D291" s="88"/>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row>
    <row r="292" customFormat="false" ht="15.75" hidden="false" customHeight="true" outlineLevel="0" collapsed="false">
      <c r="A292" s="23"/>
      <c r="B292" s="23"/>
      <c r="C292" s="23"/>
      <c r="D292" s="88"/>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row>
    <row r="293" customFormat="false" ht="15.75" hidden="false" customHeight="true" outlineLevel="0" collapsed="false">
      <c r="A293" s="23"/>
      <c r="B293" s="23"/>
      <c r="C293" s="23"/>
      <c r="D293" s="88"/>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row>
    <row r="294" customFormat="false" ht="15.75" hidden="false" customHeight="true" outlineLevel="0" collapsed="false">
      <c r="A294" s="23"/>
      <c r="B294" s="23"/>
      <c r="C294" s="23"/>
      <c r="D294" s="88"/>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row>
    <row r="295" customFormat="false" ht="15.75" hidden="false" customHeight="true" outlineLevel="0" collapsed="false">
      <c r="A295" s="23"/>
      <c r="B295" s="23"/>
      <c r="C295" s="23"/>
      <c r="D295" s="88"/>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row>
    <row r="296" customFormat="false" ht="15.75" hidden="false" customHeight="true" outlineLevel="0" collapsed="false">
      <c r="A296" s="23"/>
      <c r="B296" s="23"/>
      <c r="C296" s="23"/>
      <c r="D296" s="88"/>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row>
    <row r="297" customFormat="false" ht="15.75" hidden="false" customHeight="true" outlineLevel="0" collapsed="false">
      <c r="A297" s="23"/>
      <c r="B297" s="23"/>
      <c r="C297" s="23"/>
      <c r="D297" s="88"/>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row>
    <row r="298" customFormat="false" ht="15.75" hidden="false" customHeight="true" outlineLevel="0" collapsed="false">
      <c r="A298" s="23"/>
      <c r="B298" s="23"/>
      <c r="C298" s="23"/>
      <c r="D298" s="88"/>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row>
    <row r="299" customFormat="false" ht="15.75" hidden="false" customHeight="true" outlineLevel="0" collapsed="false">
      <c r="A299" s="23"/>
      <c r="B299" s="23"/>
      <c r="C299" s="23"/>
      <c r="D299" s="88"/>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row>
    <row r="300" customFormat="false" ht="15.75" hidden="false" customHeight="true" outlineLevel="0" collapsed="false">
      <c r="A300" s="23"/>
      <c r="B300" s="23"/>
      <c r="C300" s="23"/>
      <c r="D300" s="88"/>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row>
    <row r="301" customFormat="false" ht="15.75" hidden="false" customHeight="true" outlineLevel="0" collapsed="false">
      <c r="A301" s="23"/>
      <c r="B301" s="23"/>
      <c r="C301" s="23"/>
      <c r="D301" s="88"/>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row>
    <row r="302" customFormat="false" ht="15.75" hidden="false" customHeight="true" outlineLevel="0" collapsed="false">
      <c r="A302" s="23"/>
      <c r="B302" s="23"/>
      <c r="C302" s="23"/>
      <c r="D302" s="88"/>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row>
    <row r="303" customFormat="false" ht="15.75" hidden="false" customHeight="true" outlineLevel="0" collapsed="false">
      <c r="A303" s="23"/>
      <c r="B303" s="23"/>
      <c r="C303" s="23"/>
      <c r="D303" s="88"/>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row>
    <row r="304" customFormat="false" ht="15.75" hidden="false" customHeight="true" outlineLevel="0" collapsed="false">
      <c r="A304" s="23"/>
      <c r="B304" s="23"/>
      <c r="C304" s="23"/>
      <c r="D304" s="88"/>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row>
    <row r="305" customFormat="false" ht="15.75" hidden="false" customHeight="true" outlineLevel="0" collapsed="false">
      <c r="A305" s="23"/>
      <c r="B305" s="23"/>
      <c r="C305" s="23"/>
      <c r="D305" s="88"/>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row>
    <row r="306" customFormat="false" ht="15.75" hidden="false" customHeight="true" outlineLevel="0" collapsed="false">
      <c r="A306" s="23"/>
      <c r="B306" s="23"/>
      <c r="C306" s="23"/>
      <c r="D306" s="88"/>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row>
    <row r="307" customFormat="false" ht="15.75" hidden="false" customHeight="true" outlineLevel="0" collapsed="false">
      <c r="A307" s="23"/>
      <c r="B307" s="23"/>
      <c r="C307" s="23"/>
      <c r="D307" s="88"/>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row>
    <row r="308" customFormat="false" ht="15.75" hidden="false" customHeight="true" outlineLevel="0" collapsed="false">
      <c r="A308" s="23"/>
      <c r="B308" s="23"/>
      <c r="C308" s="23"/>
      <c r="D308" s="88"/>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row>
    <row r="309" customFormat="false" ht="15.75" hidden="false" customHeight="true" outlineLevel="0" collapsed="false">
      <c r="A309" s="23"/>
      <c r="B309" s="23"/>
      <c r="C309" s="23"/>
      <c r="D309" s="88"/>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row>
    <row r="310" customFormat="false" ht="15.75" hidden="false" customHeight="true" outlineLevel="0" collapsed="false">
      <c r="A310" s="23"/>
      <c r="B310" s="23"/>
      <c r="C310" s="23"/>
      <c r="D310" s="88"/>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row>
    <row r="311" customFormat="false" ht="15.75" hidden="false" customHeight="true" outlineLevel="0" collapsed="false">
      <c r="A311" s="23"/>
      <c r="B311" s="23"/>
      <c r="C311" s="23"/>
      <c r="D311" s="88"/>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row>
    <row r="312" customFormat="false" ht="15.75" hidden="false" customHeight="true" outlineLevel="0" collapsed="false">
      <c r="A312" s="23"/>
      <c r="B312" s="23"/>
      <c r="C312" s="23"/>
      <c r="D312" s="88"/>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row>
    <row r="313" customFormat="false" ht="15.75" hidden="false" customHeight="true" outlineLevel="0" collapsed="false">
      <c r="A313" s="23"/>
      <c r="B313" s="23"/>
      <c r="C313" s="23"/>
      <c r="D313" s="88"/>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row>
    <row r="314" customFormat="false" ht="15.75" hidden="false" customHeight="true" outlineLevel="0" collapsed="false">
      <c r="A314" s="23"/>
      <c r="B314" s="23"/>
      <c r="C314" s="23"/>
      <c r="D314" s="88"/>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row>
    <row r="315" customFormat="false" ht="15.75" hidden="false" customHeight="true" outlineLevel="0" collapsed="false">
      <c r="A315" s="23"/>
      <c r="B315" s="23"/>
      <c r="C315" s="23"/>
      <c r="D315" s="88"/>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row>
    <row r="316" customFormat="false" ht="15.75" hidden="false" customHeight="true" outlineLevel="0" collapsed="false">
      <c r="A316" s="23"/>
      <c r="B316" s="23"/>
      <c r="C316" s="23"/>
      <c r="D316" s="88"/>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row>
    <row r="317" customFormat="false" ht="15.75" hidden="false" customHeight="true" outlineLevel="0" collapsed="false">
      <c r="A317" s="23"/>
      <c r="B317" s="23"/>
      <c r="C317" s="23"/>
      <c r="D317" s="88"/>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row>
    <row r="318" customFormat="false" ht="15.75" hidden="false" customHeight="true" outlineLevel="0" collapsed="false">
      <c r="A318" s="23"/>
      <c r="B318" s="23"/>
      <c r="C318" s="23"/>
      <c r="D318" s="88"/>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row>
    <row r="319" customFormat="false" ht="15.75" hidden="false" customHeight="true" outlineLevel="0" collapsed="false">
      <c r="A319" s="23"/>
      <c r="B319" s="23"/>
      <c r="C319" s="23"/>
      <c r="D319" s="88"/>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row>
    <row r="320" customFormat="false" ht="15.75" hidden="false" customHeight="true" outlineLevel="0" collapsed="false">
      <c r="A320" s="23"/>
      <c r="B320" s="23"/>
      <c r="C320" s="23"/>
      <c r="D320" s="88"/>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row>
    <row r="321" customFormat="false" ht="15.75" hidden="false" customHeight="true" outlineLevel="0" collapsed="false">
      <c r="A321" s="23"/>
      <c r="B321" s="23"/>
      <c r="C321" s="23"/>
      <c r="D321" s="88"/>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row>
    <row r="322" customFormat="false" ht="15.75" hidden="false" customHeight="true" outlineLevel="0" collapsed="false">
      <c r="A322" s="23"/>
      <c r="B322" s="23"/>
      <c r="C322" s="23"/>
      <c r="D322" s="88"/>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row>
    <row r="323" customFormat="false" ht="15.75" hidden="false" customHeight="true" outlineLevel="0" collapsed="false">
      <c r="A323" s="23"/>
      <c r="B323" s="23"/>
      <c r="C323" s="23"/>
      <c r="D323" s="88"/>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row>
    <row r="324" customFormat="false" ht="15.75" hidden="false" customHeight="true" outlineLevel="0" collapsed="false">
      <c r="A324" s="23"/>
      <c r="B324" s="23"/>
      <c r="C324" s="23"/>
      <c r="D324" s="88"/>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row>
    <row r="325" customFormat="false" ht="15.75" hidden="false" customHeight="true" outlineLevel="0" collapsed="false">
      <c r="A325" s="23"/>
      <c r="B325" s="23"/>
      <c r="C325" s="23"/>
      <c r="D325" s="88"/>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row>
    <row r="326" customFormat="false" ht="15.75" hidden="false" customHeight="true" outlineLevel="0" collapsed="false">
      <c r="A326" s="23"/>
      <c r="B326" s="23"/>
      <c r="C326" s="23"/>
      <c r="D326" s="88"/>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row>
    <row r="327" customFormat="false" ht="15.75" hidden="false" customHeight="true" outlineLevel="0" collapsed="false">
      <c r="A327" s="23"/>
      <c r="B327" s="23"/>
      <c r="C327" s="23"/>
      <c r="D327" s="88"/>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row>
    <row r="328" customFormat="false" ht="15.75" hidden="false" customHeight="true" outlineLevel="0" collapsed="false">
      <c r="A328" s="23"/>
      <c r="B328" s="23"/>
      <c r="C328" s="23"/>
      <c r="D328" s="88"/>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row>
    <row r="329" customFormat="false" ht="15.75" hidden="false" customHeight="true" outlineLevel="0" collapsed="false">
      <c r="A329" s="23"/>
      <c r="B329" s="23"/>
      <c r="C329" s="23"/>
      <c r="D329" s="88"/>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row>
    <row r="330" customFormat="false" ht="15.75" hidden="false" customHeight="true" outlineLevel="0" collapsed="false">
      <c r="A330" s="23"/>
      <c r="B330" s="23"/>
      <c r="C330" s="23"/>
      <c r="D330" s="88"/>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row>
    <row r="331" customFormat="false" ht="15.75" hidden="false" customHeight="true" outlineLevel="0" collapsed="false">
      <c r="A331" s="23"/>
      <c r="B331" s="23"/>
      <c r="C331" s="23"/>
      <c r="D331" s="88"/>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row>
    <row r="332" customFormat="false" ht="15.75" hidden="false" customHeight="true" outlineLevel="0" collapsed="false">
      <c r="A332" s="23"/>
      <c r="B332" s="23"/>
      <c r="C332" s="23"/>
      <c r="D332" s="88"/>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row>
    <row r="333" customFormat="false" ht="15.75" hidden="false" customHeight="true" outlineLevel="0" collapsed="false">
      <c r="A333" s="23"/>
      <c r="B333" s="23"/>
      <c r="C333" s="23"/>
      <c r="D333" s="88"/>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row>
    <row r="334" customFormat="false" ht="15.75" hidden="false" customHeight="true" outlineLevel="0" collapsed="false">
      <c r="A334" s="23"/>
      <c r="B334" s="23"/>
      <c r="C334" s="23"/>
      <c r="D334" s="88"/>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row>
    <row r="335" customFormat="false" ht="15.75" hidden="false" customHeight="true" outlineLevel="0" collapsed="false">
      <c r="A335" s="23"/>
      <c r="B335" s="23"/>
      <c r="C335" s="23"/>
      <c r="D335" s="88"/>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row>
    <row r="336" customFormat="false" ht="15.75" hidden="false" customHeight="true" outlineLevel="0" collapsed="false">
      <c r="A336" s="23"/>
      <c r="B336" s="23"/>
      <c r="C336" s="23"/>
      <c r="D336" s="88"/>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row>
    <row r="337" customFormat="false" ht="15.75" hidden="false" customHeight="true" outlineLevel="0" collapsed="false">
      <c r="A337" s="23"/>
      <c r="B337" s="23"/>
      <c r="C337" s="23"/>
      <c r="D337" s="88"/>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row>
    <row r="338" customFormat="false" ht="15.75" hidden="false" customHeight="true" outlineLevel="0" collapsed="false">
      <c r="A338" s="23"/>
      <c r="B338" s="23"/>
      <c r="C338" s="23"/>
      <c r="D338" s="88"/>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row>
    <row r="339" customFormat="false" ht="15.75" hidden="false" customHeight="true" outlineLevel="0" collapsed="false">
      <c r="A339" s="23"/>
      <c r="B339" s="23"/>
      <c r="C339" s="23"/>
      <c r="D339" s="88"/>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row>
    <row r="340" customFormat="false" ht="15.75" hidden="false" customHeight="true" outlineLevel="0" collapsed="false">
      <c r="A340" s="23"/>
      <c r="B340" s="23"/>
      <c r="C340" s="23"/>
      <c r="D340" s="88"/>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row>
    <row r="341" customFormat="false" ht="15.75" hidden="false" customHeight="true" outlineLevel="0" collapsed="false">
      <c r="A341" s="23"/>
      <c r="B341" s="23"/>
      <c r="C341" s="23"/>
      <c r="D341" s="88"/>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row>
    <row r="342" customFormat="false" ht="15.75" hidden="false" customHeight="true" outlineLevel="0" collapsed="false">
      <c r="A342" s="23"/>
      <c r="B342" s="23"/>
      <c r="C342" s="23"/>
      <c r="D342" s="88"/>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row>
    <row r="343" customFormat="false" ht="15.75" hidden="false" customHeight="true" outlineLevel="0" collapsed="false">
      <c r="A343" s="23"/>
      <c r="B343" s="23"/>
      <c r="C343" s="23"/>
      <c r="D343" s="88"/>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row>
    <row r="344" customFormat="false" ht="15.75" hidden="false" customHeight="true" outlineLevel="0" collapsed="false">
      <c r="A344" s="23"/>
      <c r="B344" s="23"/>
      <c r="C344" s="23"/>
      <c r="D344" s="88"/>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row>
    <row r="345" customFormat="false" ht="15.75" hidden="false" customHeight="true" outlineLevel="0" collapsed="false">
      <c r="A345" s="23"/>
      <c r="B345" s="23"/>
      <c r="C345" s="23"/>
      <c r="D345" s="88"/>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row>
    <row r="346" customFormat="false" ht="15.75" hidden="false" customHeight="true" outlineLevel="0" collapsed="false">
      <c r="A346" s="23"/>
      <c r="B346" s="23"/>
      <c r="C346" s="23"/>
      <c r="D346" s="88"/>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row>
    <row r="347" customFormat="false" ht="15.75" hidden="false" customHeight="true" outlineLevel="0" collapsed="false">
      <c r="A347" s="23"/>
      <c r="B347" s="23"/>
      <c r="C347" s="23"/>
      <c r="D347" s="88"/>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row>
    <row r="348" customFormat="false" ht="15.75" hidden="false" customHeight="true" outlineLevel="0" collapsed="false">
      <c r="A348" s="23"/>
      <c r="B348" s="23"/>
      <c r="C348" s="23"/>
      <c r="D348" s="88"/>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row>
    <row r="349" customFormat="false" ht="15.75" hidden="false" customHeight="true" outlineLevel="0" collapsed="false">
      <c r="A349" s="23"/>
      <c r="B349" s="23"/>
      <c r="C349" s="23"/>
      <c r="D349" s="88"/>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row>
    <row r="350" customFormat="false" ht="15.75" hidden="false" customHeight="true" outlineLevel="0" collapsed="false">
      <c r="A350" s="23"/>
      <c r="B350" s="23"/>
      <c r="C350" s="23"/>
      <c r="D350" s="88"/>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row>
    <row r="351" customFormat="false" ht="15.75" hidden="false" customHeight="true" outlineLevel="0" collapsed="false">
      <c r="A351" s="23"/>
      <c r="B351" s="23"/>
      <c r="C351" s="23"/>
      <c r="D351" s="88"/>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row>
    <row r="352" customFormat="false" ht="15.75" hidden="false" customHeight="true" outlineLevel="0" collapsed="false">
      <c r="A352" s="23"/>
      <c r="B352" s="23"/>
      <c r="C352" s="23"/>
      <c r="D352" s="88"/>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row>
    <row r="353" customFormat="false" ht="15.75" hidden="false" customHeight="true" outlineLevel="0" collapsed="false">
      <c r="A353" s="23"/>
      <c r="B353" s="23"/>
      <c r="C353" s="23"/>
      <c r="D353" s="88"/>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row>
    <row r="354" customFormat="false" ht="15.75" hidden="false" customHeight="true" outlineLevel="0" collapsed="false">
      <c r="A354" s="23"/>
      <c r="B354" s="23"/>
      <c r="C354" s="23"/>
      <c r="D354" s="88"/>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row>
    <row r="355" customFormat="false" ht="15.75" hidden="false" customHeight="true" outlineLevel="0" collapsed="false">
      <c r="A355" s="23"/>
      <c r="B355" s="23"/>
      <c r="C355" s="23"/>
      <c r="D355" s="88"/>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row>
    <row r="356" customFormat="false" ht="15.75" hidden="false" customHeight="true" outlineLevel="0" collapsed="false">
      <c r="A356" s="23"/>
      <c r="B356" s="23"/>
      <c r="C356" s="23"/>
      <c r="D356" s="88"/>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row>
    <row r="357" customFormat="false" ht="15.75" hidden="false" customHeight="true" outlineLevel="0" collapsed="false">
      <c r="A357" s="23"/>
      <c r="B357" s="23"/>
      <c r="C357" s="23"/>
      <c r="D357" s="88"/>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row>
    <row r="358" customFormat="false" ht="15.75" hidden="false" customHeight="true" outlineLevel="0" collapsed="false">
      <c r="A358" s="23"/>
      <c r="B358" s="23"/>
      <c r="C358" s="23"/>
      <c r="D358" s="88"/>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row>
    <row r="359" customFormat="false" ht="15.75" hidden="false" customHeight="true" outlineLevel="0" collapsed="false">
      <c r="A359" s="23"/>
      <c r="B359" s="23"/>
      <c r="C359" s="23"/>
      <c r="D359" s="88"/>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row>
    <row r="360" customFormat="false" ht="15.75" hidden="false" customHeight="true" outlineLevel="0" collapsed="false">
      <c r="A360" s="23"/>
      <c r="B360" s="23"/>
      <c r="C360" s="23"/>
      <c r="D360" s="88"/>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row>
    <row r="361" customFormat="false" ht="15.75" hidden="false" customHeight="true" outlineLevel="0" collapsed="false">
      <c r="A361" s="23"/>
      <c r="B361" s="23"/>
      <c r="C361" s="23"/>
      <c r="D361" s="88"/>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row>
    <row r="362" customFormat="false" ht="15.75" hidden="false" customHeight="true" outlineLevel="0" collapsed="false">
      <c r="A362" s="23"/>
      <c r="B362" s="23"/>
      <c r="C362" s="23"/>
      <c r="D362" s="88"/>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row>
    <row r="363" customFormat="false" ht="15.75" hidden="false" customHeight="true" outlineLevel="0" collapsed="false">
      <c r="A363" s="23"/>
      <c r="B363" s="23"/>
      <c r="C363" s="23"/>
      <c r="D363" s="88"/>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row>
    <row r="364" customFormat="false" ht="15.75" hidden="false" customHeight="true" outlineLevel="0" collapsed="false">
      <c r="A364" s="23"/>
      <c r="B364" s="23"/>
      <c r="C364" s="23"/>
      <c r="D364" s="88"/>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row>
    <row r="365" customFormat="false" ht="15.75" hidden="false" customHeight="true" outlineLevel="0" collapsed="false">
      <c r="A365" s="23"/>
      <c r="B365" s="23"/>
      <c r="C365" s="23"/>
      <c r="D365" s="88"/>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row>
    <row r="366" customFormat="false" ht="15.75" hidden="false" customHeight="true" outlineLevel="0" collapsed="false">
      <c r="A366" s="23"/>
      <c r="B366" s="23"/>
      <c r="C366" s="23"/>
      <c r="D366" s="88"/>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row>
    <row r="367" customFormat="false" ht="15.75" hidden="false" customHeight="true" outlineLevel="0" collapsed="false">
      <c r="A367" s="23"/>
      <c r="B367" s="23"/>
      <c r="C367" s="23"/>
      <c r="D367" s="88"/>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row>
    <row r="368" customFormat="false" ht="15.75" hidden="false" customHeight="true" outlineLevel="0" collapsed="false">
      <c r="A368" s="23"/>
      <c r="B368" s="23"/>
      <c r="C368" s="23"/>
      <c r="D368" s="88"/>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row>
    <row r="369" customFormat="false" ht="15.75" hidden="false" customHeight="true" outlineLevel="0" collapsed="false">
      <c r="A369" s="23"/>
      <c r="B369" s="23"/>
      <c r="C369" s="23"/>
      <c r="D369" s="88"/>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row>
    <row r="370" customFormat="false" ht="15.75" hidden="false" customHeight="true" outlineLevel="0" collapsed="false">
      <c r="A370" s="23"/>
      <c r="B370" s="23"/>
      <c r="C370" s="23"/>
      <c r="D370" s="88"/>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row>
    <row r="371" customFormat="false" ht="15.75" hidden="false" customHeight="true" outlineLevel="0" collapsed="false">
      <c r="A371" s="23"/>
      <c r="B371" s="23"/>
      <c r="C371" s="23"/>
      <c r="D371" s="88"/>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row>
    <row r="372" customFormat="false" ht="15.75" hidden="false" customHeight="true" outlineLevel="0" collapsed="false">
      <c r="A372" s="23"/>
      <c r="B372" s="23"/>
      <c r="C372" s="23"/>
      <c r="D372" s="88"/>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row>
    <row r="373" customFormat="false" ht="15.75" hidden="false" customHeight="true" outlineLevel="0" collapsed="false">
      <c r="A373" s="23"/>
      <c r="B373" s="23"/>
      <c r="C373" s="23"/>
      <c r="D373" s="88"/>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row>
    <row r="374" customFormat="false" ht="15.75" hidden="false" customHeight="true" outlineLevel="0" collapsed="false">
      <c r="A374" s="23"/>
      <c r="B374" s="23"/>
      <c r="C374" s="23"/>
      <c r="D374" s="88"/>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row>
    <row r="375" customFormat="false" ht="15.75" hidden="false" customHeight="true" outlineLevel="0" collapsed="false">
      <c r="A375" s="23"/>
      <c r="B375" s="23"/>
      <c r="C375" s="23"/>
      <c r="D375" s="88"/>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row>
    <row r="376" customFormat="false" ht="15.75" hidden="false" customHeight="true" outlineLevel="0" collapsed="false">
      <c r="A376" s="23"/>
      <c r="B376" s="23"/>
      <c r="C376" s="23"/>
      <c r="D376" s="88"/>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row>
    <row r="377" customFormat="false" ht="15.75" hidden="false" customHeight="true" outlineLevel="0" collapsed="false">
      <c r="A377" s="23"/>
      <c r="B377" s="23"/>
      <c r="C377" s="23"/>
      <c r="D377" s="88"/>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row>
    <row r="378" customFormat="false" ht="15.75" hidden="false" customHeight="true" outlineLevel="0" collapsed="false">
      <c r="A378" s="23"/>
      <c r="B378" s="23"/>
      <c r="C378" s="23"/>
      <c r="D378" s="88"/>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row>
    <row r="379" customFormat="false" ht="15.75" hidden="false" customHeight="true" outlineLevel="0" collapsed="false">
      <c r="A379" s="23"/>
      <c r="B379" s="23"/>
      <c r="C379" s="23"/>
      <c r="D379" s="88"/>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row>
    <row r="380" customFormat="false" ht="15.75" hidden="false" customHeight="true" outlineLevel="0" collapsed="false">
      <c r="A380" s="23"/>
      <c r="B380" s="23"/>
      <c r="C380" s="23"/>
      <c r="D380" s="88"/>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row>
    <row r="381" customFormat="false" ht="15.75" hidden="false" customHeight="true" outlineLevel="0" collapsed="false">
      <c r="A381" s="23"/>
      <c r="B381" s="23"/>
      <c r="C381" s="23"/>
      <c r="D381" s="88"/>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row>
    <row r="382" customFormat="false" ht="15.75" hidden="false" customHeight="true" outlineLevel="0" collapsed="false">
      <c r="A382" s="23"/>
      <c r="B382" s="23"/>
      <c r="C382" s="23"/>
      <c r="D382" s="88"/>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row>
    <row r="383" customFormat="false" ht="15.75" hidden="false" customHeight="true" outlineLevel="0" collapsed="false">
      <c r="A383" s="23"/>
      <c r="B383" s="23"/>
      <c r="C383" s="23"/>
      <c r="D383" s="88"/>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row>
    <row r="384" customFormat="false" ht="15.75" hidden="false" customHeight="true" outlineLevel="0" collapsed="false">
      <c r="A384" s="23"/>
      <c r="B384" s="23"/>
      <c r="C384" s="23"/>
      <c r="D384" s="88"/>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row>
    <row r="385" customFormat="false" ht="15.75" hidden="false" customHeight="true" outlineLevel="0" collapsed="false">
      <c r="A385" s="23"/>
      <c r="B385" s="23"/>
      <c r="C385" s="23"/>
      <c r="D385" s="88"/>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row>
    <row r="386" customFormat="false" ht="15.75" hidden="false" customHeight="true" outlineLevel="0" collapsed="false">
      <c r="A386" s="23"/>
      <c r="B386" s="23"/>
      <c r="C386" s="23"/>
      <c r="D386" s="88"/>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row>
    <row r="387" customFormat="false" ht="15.75" hidden="false" customHeight="true" outlineLevel="0" collapsed="false">
      <c r="A387" s="23"/>
      <c r="B387" s="23"/>
      <c r="C387" s="23"/>
      <c r="D387" s="88"/>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row>
    <row r="388" customFormat="false" ht="15.75" hidden="false" customHeight="true" outlineLevel="0" collapsed="false">
      <c r="A388" s="23"/>
      <c r="B388" s="23"/>
      <c r="C388" s="23"/>
      <c r="D388" s="88"/>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row>
    <row r="389" customFormat="false" ht="15.75" hidden="false" customHeight="true" outlineLevel="0" collapsed="false">
      <c r="A389" s="23"/>
      <c r="B389" s="23"/>
      <c r="C389" s="23"/>
      <c r="D389" s="88"/>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row>
    <row r="390" customFormat="false" ht="15.75" hidden="false" customHeight="true" outlineLevel="0" collapsed="false">
      <c r="A390" s="23"/>
      <c r="B390" s="23"/>
      <c r="C390" s="23"/>
      <c r="D390" s="88"/>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row>
    <row r="391" customFormat="false" ht="15.75" hidden="false" customHeight="true" outlineLevel="0" collapsed="false">
      <c r="A391" s="23"/>
      <c r="B391" s="23"/>
      <c r="C391" s="23"/>
      <c r="D391" s="88"/>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row>
    <row r="392" customFormat="false" ht="15.75" hidden="false" customHeight="true" outlineLevel="0" collapsed="false">
      <c r="A392" s="23"/>
      <c r="B392" s="23"/>
      <c r="C392" s="23"/>
      <c r="D392" s="88"/>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row>
    <row r="393" customFormat="false" ht="15.75" hidden="false" customHeight="true" outlineLevel="0" collapsed="false">
      <c r="A393" s="23"/>
      <c r="B393" s="23"/>
      <c r="C393" s="23"/>
      <c r="D393" s="88"/>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row>
    <row r="394" customFormat="false" ht="15.75" hidden="false" customHeight="true" outlineLevel="0" collapsed="false">
      <c r="A394" s="23"/>
      <c r="B394" s="23"/>
      <c r="C394" s="23"/>
      <c r="D394" s="88"/>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row>
    <row r="395" customFormat="false" ht="15.75" hidden="false" customHeight="true" outlineLevel="0" collapsed="false">
      <c r="A395" s="23"/>
      <c r="B395" s="23"/>
      <c r="C395" s="23"/>
      <c r="D395" s="88"/>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row>
    <row r="396" customFormat="false" ht="15.75" hidden="false" customHeight="true" outlineLevel="0" collapsed="false">
      <c r="A396" s="23"/>
      <c r="B396" s="23"/>
      <c r="C396" s="23"/>
      <c r="D396" s="88"/>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row>
    <row r="397" customFormat="false" ht="15.75" hidden="false" customHeight="true" outlineLevel="0" collapsed="false">
      <c r="A397" s="23"/>
      <c r="B397" s="23"/>
      <c r="C397" s="23"/>
      <c r="D397" s="88"/>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row>
    <row r="398" customFormat="false" ht="15.75" hidden="false" customHeight="true" outlineLevel="0" collapsed="false">
      <c r="A398" s="23"/>
      <c r="B398" s="23"/>
      <c r="C398" s="23"/>
      <c r="D398" s="88"/>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row>
    <row r="399" customFormat="false" ht="15.75" hidden="false" customHeight="true" outlineLevel="0" collapsed="false">
      <c r="A399" s="23"/>
      <c r="B399" s="23"/>
      <c r="C399" s="23"/>
      <c r="D399" s="88"/>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row>
    <row r="400" customFormat="false" ht="15.75" hidden="false" customHeight="true" outlineLevel="0" collapsed="false">
      <c r="A400" s="23"/>
      <c r="B400" s="23"/>
      <c r="C400" s="23"/>
      <c r="D400" s="88"/>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row>
    <row r="401" customFormat="false" ht="15.75" hidden="false" customHeight="true" outlineLevel="0" collapsed="false">
      <c r="A401" s="23"/>
      <c r="B401" s="23"/>
      <c r="C401" s="23"/>
      <c r="D401" s="88"/>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row>
    <row r="402" customFormat="false" ht="15.75" hidden="false" customHeight="true" outlineLevel="0" collapsed="false">
      <c r="A402" s="23"/>
      <c r="B402" s="23"/>
      <c r="C402" s="23"/>
      <c r="D402" s="88"/>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row>
    <row r="403" customFormat="false" ht="15.75" hidden="false" customHeight="true" outlineLevel="0" collapsed="false">
      <c r="A403" s="23"/>
      <c r="B403" s="23"/>
      <c r="C403" s="23"/>
      <c r="D403" s="88"/>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row>
    <row r="404" customFormat="false" ht="15.75" hidden="false" customHeight="true" outlineLevel="0" collapsed="false">
      <c r="A404" s="23"/>
      <c r="B404" s="23"/>
      <c r="C404" s="23"/>
      <c r="D404" s="88"/>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row>
    <row r="405" customFormat="false" ht="15.75" hidden="false" customHeight="true" outlineLevel="0" collapsed="false">
      <c r="A405" s="23"/>
      <c r="B405" s="23"/>
      <c r="C405" s="23"/>
      <c r="D405" s="88"/>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row>
    <row r="406" customFormat="false" ht="15.75" hidden="false" customHeight="true" outlineLevel="0" collapsed="false">
      <c r="A406" s="23"/>
      <c r="B406" s="23"/>
      <c r="C406" s="23"/>
      <c r="D406" s="88"/>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row>
    <row r="407" customFormat="false" ht="15.75" hidden="false" customHeight="true" outlineLevel="0" collapsed="false">
      <c r="A407" s="23"/>
      <c r="B407" s="23"/>
      <c r="C407" s="23"/>
      <c r="D407" s="88"/>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row>
    <row r="408" customFormat="false" ht="15.75" hidden="false" customHeight="true" outlineLevel="0" collapsed="false">
      <c r="A408" s="23"/>
      <c r="B408" s="23"/>
      <c r="C408" s="23"/>
      <c r="D408" s="88"/>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row>
    <row r="409" customFormat="false" ht="15.75" hidden="false" customHeight="true" outlineLevel="0" collapsed="false">
      <c r="A409" s="23"/>
      <c r="B409" s="23"/>
      <c r="C409" s="23"/>
      <c r="D409" s="88"/>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row>
    <row r="410" customFormat="false" ht="15.75" hidden="false" customHeight="true" outlineLevel="0" collapsed="false">
      <c r="A410" s="23"/>
      <c r="B410" s="23"/>
      <c r="C410" s="23"/>
      <c r="D410" s="88"/>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row>
    <row r="411" customFormat="false" ht="15.75" hidden="false" customHeight="true" outlineLevel="0" collapsed="false">
      <c r="A411" s="23"/>
      <c r="B411" s="23"/>
      <c r="C411" s="23"/>
      <c r="D411" s="88"/>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row>
    <row r="412" customFormat="false" ht="15.75" hidden="false" customHeight="true" outlineLevel="0" collapsed="false">
      <c r="A412" s="23"/>
      <c r="B412" s="23"/>
      <c r="C412" s="23"/>
      <c r="D412" s="88"/>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row>
    <row r="413" customFormat="false" ht="15.75" hidden="false" customHeight="true" outlineLevel="0" collapsed="false">
      <c r="A413" s="23"/>
      <c r="B413" s="23"/>
      <c r="C413" s="23"/>
      <c r="D413" s="88"/>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row>
    <row r="414" customFormat="false" ht="15.75" hidden="false" customHeight="true" outlineLevel="0" collapsed="false">
      <c r="A414" s="23"/>
      <c r="B414" s="23"/>
      <c r="C414" s="23"/>
      <c r="D414" s="88"/>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row>
    <row r="415" customFormat="false" ht="15.75" hidden="false" customHeight="true" outlineLevel="0" collapsed="false">
      <c r="A415" s="23"/>
      <c r="B415" s="23"/>
      <c r="C415" s="23"/>
      <c r="D415" s="88"/>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row>
    <row r="416" customFormat="false" ht="15.75" hidden="false" customHeight="true" outlineLevel="0" collapsed="false">
      <c r="A416" s="23"/>
      <c r="B416" s="23"/>
      <c r="C416" s="23"/>
      <c r="D416" s="88"/>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row>
    <row r="417" customFormat="false" ht="15.75" hidden="false" customHeight="true" outlineLevel="0" collapsed="false">
      <c r="A417" s="23"/>
      <c r="B417" s="23"/>
      <c r="C417" s="23"/>
      <c r="D417" s="88"/>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row>
    <row r="418" customFormat="false" ht="15.75" hidden="false" customHeight="true" outlineLevel="0" collapsed="false">
      <c r="A418" s="23"/>
      <c r="B418" s="23"/>
      <c r="C418" s="23"/>
      <c r="D418" s="88"/>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row>
    <row r="419" customFormat="false" ht="15.75" hidden="false" customHeight="true" outlineLevel="0" collapsed="false">
      <c r="A419" s="23"/>
      <c r="B419" s="23"/>
      <c r="C419" s="23"/>
      <c r="D419" s="88"/>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row>
    <row r="420" customFormat="false" ht="15.75" hidden="false" customHeight="true" outlineLevel="0" collapsed="false">
      <c r="A420" s="23"/>
      <c r="B420" s="23"/>
      <c r="C420" s="23"/>
      <c r="D420" s="88"/>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row>
    <row r="421" customFormat="false" ht="15.75" hidden="false" customHeight="true" outlineLevel="0" collapsed="false">
      <c r="A421" s="23"/>
      <c r="B421" s="23"/>
      <c r="C421" s="23"/>
      <c r="D421" s="88"/>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row>
    <row r="422" customFormat="false" ht="15.75" hidden="false" customHeight="true" outlineLevel="0" collapsed="false">
      <c r="A422" s="23"/>
      <c r="B422" s="23"/>
      <c r="C422" s="23"/>
      <c r="D422" s="88"/>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row>
    <row r="423" customFormat="false" ht="15.75" hidden="false" customHeight="true" outlineLevel="0" collapsed="false">
      <c r="A423" s="23"/>
      <c r="B423" s="23"/>
      <c r="C423" s="23"/>
      <c r="D423" s="88"/>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row>
    <row r="424" customFormat="false" ht="15.75" hidden="false" customHeight="true" outlineLevel="0" collapsed="false">
      <c r="A424" s="23"/>
      <c r="B424" s="23"/>
      <c r="C424" s="23"/>
      <c r="D424" s="88"/>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row>
    <row r="425" customFormat="false" ht="15.75" hidden="false" customHeight="true" outlineLevel="0" collapsed="false">
      <c r="A425" s="23"/>
      <c r="B425" s="23"/>
      <c r="C425" s="23"/>
      <c r="D425" s="88"/>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row>
    <row r="426" customFormat="false" ht="15.75" hidden="false" customHeight="true" outlineLevel="0" collapsed="false">
      <c r="A426" s="23"/>
      <c r="B426" s="23"/>
      <c r="C426" s="23"/>
      <c r="D426" s="88"/>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row>
    <row r="427" customFormat="false" ht="15.75" hidden="false" customHeight="true" outlineLevel="0" collapsed="false">
      <c r="A427" s="23"/>
      <c r="B427" s="23"/>
      <c r="C427" s="23"/>
      <c r="D427" s="88"/>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row>
    <row r="428" customFormat="false" ht="15.75" hidden="false" customHeight="true" outlineLevel="0" collapsed="false">
      <c r="A428" s="23"/>
      <c r="B428" s="23"/>
      <c r="C428" s="23"/>
      <c r="D428" s="88"/>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row>
    <row r="429" customFormat="false" ht="15.75" hidden="false" customHeight="true" outlineLevel="0" collapsed="false">
      <c r="A429" s="23"/>
      <c r="B429" s="23"/>
      <c r="C429" s="23"/>
      <c r="D429" s="88"/>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row>
    <row r="430" customFormat="false" ht="15.75" hidden="false" customHeight="true" outlineLevel="0" collapsed="false">
      <c r="A430" s="23"/>
      <c r="B430" s="23"/>
      <c r="C430" s="23"/>
      <c r="D430" s="88"/>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row>
    <row r="431" customFormat="false" ht="15.75" hidden="false" customHeight="true" outlineLevel="0" collapsed="false">
      <c r="A431" s="23"/>
      <c r="B431" s="23"/>
      <c r="C431" s="23"/>
      <c r="D431" s="88"/>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row>
    <row r="432" customFormat="false" ht="15.75" hidden="false" customHeight="true" outlineLevel="0" collapsed="false">
      <c r="A432" s="23"/>
      <c r="B432" s="23"/>
      <c r="C432" s="23"/>
      <c r="D432" s="88"/>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row>
    <row r="433" customFormat="false" ht="15.75" hidden="false" customHeight="true" outlineLevel="0" collapsed="false">
      <c r="A433" s="23"/>
      <c r="B433" s="23"/>
      <c r="C433" s="23"/>
      <c r="D433" s="88"/>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row>
    <row r="434" customFormat="false" ht="15.75" hidden="false" customHeight="true" outlineLevel="0" collapsed="false">
      <c r="A434" s="23"/>
      <c r="B434" s="23"/>
      <c r="C434" s="23"/>
      <c r="D434" s="88"/>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row>
    <row r="435" customFormat="false" ht="15.75" hidden="false" customHeight="true" outlineLevel="0" collapsed="false">
      <c r="A435" s="23"/>
      <c r="B435" s="23"/>
      <c r="C435" s="23"/>
      <c r="D435" s="88"/>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row>
    <row r="436" customFormat="false" ht="15.75" hidden="false" customHeight="true" outlineLevel="0" collapsed="false">
      <c r="A436" s="23"/>
      <c r="B436" s="23"/>
      <c r="C436" s="23"/>
      <c r="D436" s="88"/>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row>
    <row r="437" customFormat="false" ht="15.75" hidden="false" customHeight="true" outlineLevel="0" collapsed="false">
      <c r="A437" s="23"/>
      <c r="B437" s="23"/>
      <c r="C437" s="23"/>
      <c r="D437" s="88"/>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row>
    <row r="438" customFormat="false" ht="15.75" hidden="false" customHeight="true" outlineLevel="0" collapsed="false">
      <c r="A438" s="23"/>
      <c r="B438" s="23"/>
      <c r="C438" s="23"/>
      <c r="D438" s="88"/>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row>
    <row r="439" customFormat="false" ht="15.75" hidden="false" customHeight="true" outlineLevel="0" collapsed="false">
      <c r="A439" s="23"/>
      <c r="B439" s="23"/>
      <c r="C439" s="23"/>
      <c r="D439" s="88"/>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row>
    <row r="440" customFormat="false" ht="15.75" hidden="false" customHeight="true" outlineLevel="0" collapsed="false">
      <c r="A440" s="23"/>
      <c r="B440" s="23"/>
      <c r="C440" s="23"/>
      <c r="D440" s="88"/>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row>
    <row r="441" customFormat="false" ht="15.75" hidden="false" customHeight="true" outlineLevel="0" collapsed="false">
      <c r="A441" s="23"/>
      <c r="B441" s="23"/>
      <c r="C441" s="23"/>
      <c r="D441" s="88"/>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row>
    <row r="442" customFormat="false" ht="15.75" hidden="false" customHeight="true" outlineLevel="0" collapsed="false">
      <c r="A442" s="23"/>
      <c r="B442" s="23"/>
      <c r="C442" s="23"/>
      <c r="D442" s="88"/>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row>
    <row r="443" customFormat="false" ht="15.75" hidden="false" customHeight="true" outlineLevel="0" collapsed="false">
      <c r="A443" s="23"/>
      <c r="B443" s="23"/>
      <c r="C443" s="23"/>
      <c r="D443" s="88"/>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row>
    <row r="444" customFormat="false" ht="15.75" hidden="false" customHeight="true" outlineLevel="0" collapsed="false">
      <c r="A444" s="23"/>
      <c r="B444" s="23"/>
      <c r="C444" s="23"/>
      <c r="D444" s="88"/>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row>
    <row r="445" customFormat="false" ht="15.75" hidden="false" customHeight="true" outlineLevel="0" collapsed="false">
      <c r="A445" s="23"/>
      <c r="B445" s="23"/>
      <c r="C445" s="23"/>
      <c r="D445" s="88"/>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row>
    <row r="446" customFormat="false" ht="15.75" hidden="false" customHeight="true" outlineLevel="0" collapsed="false">
      <c r="A446" s="23"/>
      <c r="B446" s="23"/>
      <c r="C446" s="23"/>
      <c r="D446" s="88"/>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row>
    <row r="447" customFormat="false" ht="15.75" hidden="false" customHeight="true" outlineLevel="0" collapsed="false">
      <c r="A447" s="23"/>
      <c r="B447" s="23"/>
      <c r="C447" s="23"/>
      <c r="D447" s="88"/>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row>
    <row r="448" customFormat="false" ht="15.75" hidden="false" customHeight="true" outlineLevel="0" collapsed="false">
      <c r="A448" s="23"/>
      <c r="B448" s="23"/>
      <c r="C448" s="23"/>
      <c r="D448" s="88"/>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row>
    <row r="449" customFormat="false" ht="15.75" hidden="false" customHeight="true" outlineLevel="0" collapsed="false">
      <c r="A449" s="23"/>
      <c r="B449" s="23"/>
      <c r="C449" s="23"/>
      <c r="D449" s="88"/>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row>
    <row r="450" customFormat="false" ht="15.75" hidden="false" customHeight="true" outlineLevel="0" collapsed="false">
      <c r="A450" s="23"/>
      <c r="B450" s="23"/>
      <c r="C450" s="23"/>
      <c r="D450" s="88"/>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row>
    <row r="451" customFormat="false" ht="15.75" hidden="false" customHeight="true" outlineLevel="0" collapsed="false">
      <c r="A451" s="23"/>
      <c r="B451" s="23"/>
      <c r="C451" s="23"/>
      <c r="D451" s="88"/>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row>
    <row r="452" customFormat="false" ht="15.75" hidden="false" customHeight="true" outlineLevel="0" collapsed="false">
      <c r="A452" s="23"/>
      <c r="B452" s="23"/>
      <c r="C452" s="23"/>
      <c r="D452" s="88"/>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row>
    <row r="453" customFormat="false" ht="15.75" hidden="false" customHeight="true" outlineLevel="0" collapsed="false">
      <c r="A453" s="23"/>
      <c r="B453" s="23"/>
      <c r="C453" s="23"/>
      <c r="D453" s="88"/>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row>
    <row r="454" customFormat="false" ht="15.75" hidden="false" customHeight="true" outlineLevel="0" collapsed="false">
      <c r="A454" s="23"/>
      <c r="B454" s="23"/>
      <c r="C454" s="23"/>
      <c r="D454" s="88"/>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row>
    <row r="455" customFormat="false" ht="15.75" hidden="false" customHeight="true" outlineLevel="0" collapsed="false">
      <c r="A455" s="23"/>
      <c r="B455" s="23"/>
      <c r="C455" s="23"/>
      <c r="D455" s="88"/>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row>
    <row r="456" customFormat="false" ht="15.75" hidden="false" customHeight="true" outlineLevel="0" collapsed="false">
      <c r="A456" s="23"/>
      <c r="B456" s="23"/>
      <c r="C456" s="23"/>
      <c r="D456" s="88"/>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row>
    <row r="457" customFormat="false" ht="15.75" hidden="false" customHeight="true" outlineLevel="0" collapsed="false">
      <c r="A457" s="23"/>
      <c r="B457" s="23"/>
      <c r="C457" s="23"/>
      <c r="D457" s="88"/>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row>
    <row r="458" customFormat="false" ht="15.75" hidden="false" customHeight="true" outlineLevel="0" collapsed="false">
      <c r="A458" s="23"/>
      <c r="B458" s="23"/>
      <c r="C458" s="23"/>
      <c r="D458" s="88"/>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row>
    <row r="459" customFormat="false" ht="15.75" hidden="false" customHeight="true" outlineLevel="0" collapsed="false">
      <c r="A459" s="23"/>
      <c r="B459" s="23"/>
      <c r="C459" s="23"/>
      <c r="D459" s="88"/>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row>
    <row r="460" customFormat="false" ht="15.75" hidden="false" customHeight="true" outlineLevel="0" collapsed="false">
      <c r="A460" s="23"/>
      <c r="B460" s="23"/>
      <c r="C460" s="23"/>
      <c r="D460" s="88"/>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row>
    <row r="461" customFormat="false" ht="15.75" hidden="false" customHeight="true" outlineLevel="0" collapsed="false">
      <c r="A461" s="23"/>
      <c r="B461" s="23"/>
      <c r="C461" s="23"/>
      <c r="D461" s="88"/>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row>
    <row r="462" customFormat="false" ht="15.75" hidden="false" customHeight="true" outlineLevel="0" collapsed="false">
      <c r="A462" s="23"/>
      <c r="B462" s="23"/>
      <c r="C462" s="23"/>
      <c r="D462" s="88"/>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row>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F3:F262">
    <cfRule type="colorScale" priority="2">
      <colorScale>
        <cfvo type="min" val="0"/>
        <cfvo type="percentile" val="50"/>
        <cfvo type="max" val="0"/>
        <color rgb="FF63BE7B"/>
        <color rgb="FFFFEB84"/>
        <color rgb="FFF8696B"/>
      </colorScale>
    </cfRule>
  </conditionalFormatting>
  <conditionalFormatting sqref="G3:G262">
    <cfRule type="colorScale" priority="3">
      <colorScale>
        <cfvo type="min" val="0"/>
        <cfvo type="percentile" val="50"/>
        <cfvo type="max" val="0"/>
        <color rgb="FF63BE7B"/>
        <color rgb="FFFFEB84"/>
        <color rgb="FFF8696B"/>
      </colorScale>
    </cfRule>
  </conditionalFormatting>
  <conditionalFormatting sqref="H3:H262">
    <cfRule type="colorScale" priority="4">
      <colorScale>
        <cfvo type="min" val="0"/>
        <cfvo type="percentile" val="50"/>
        <cfvo type="max" val="0"/>
        <color rgb="FF63BE7B"/>
        <color rgb="FFFFEB84"/>
        <color rgb="FFF8696B"/>
      </colorScale>
    </cfRule>
  </conditionalFormatting>
  <conditionalFormatting sqref="I3:I262">
    <cfRule type="colorScale" priority="5">
      <colorScale>
        <cfvo type="min" val="0"/>
        <cfvo type="percentile" val="50"/>
        <cfvo type="max" val="0"/>
        <color rgb="FF63BE7B"/>
        <color rgb="FFFFEB84"/>
        <color rgb="FFF8696B"/>
      </colorScale>
    </cfRule>
  </conditionalFormatting>
  <conditionalFormatting sqref="J3:J262">
    <cfRule type="colorScale" priority="6">
      <colorScale>
        <cfvo type="min" val="0"/>
        <cfvo type="percentile" val="50"/>
        <cfvo type="max" val="0"/>
        <color rgb="FF63BE7B"/>
        <color rgb="FFFFEB84"/>
        <color rgb="FFF8696B"/>
      </colorScale>
    </cfRule>
  </conditionalFormatting>
  <conditionalFormatting sqref="E3:E262">
    <cfRule type="colorScale" priority="7">
      <colorScale>
        <cfvo type="min" val="0"/>
        <cfvo type="percentile" val="50"/>
        <cfvo type="max" val="0"/>
        <color rgb="FFF8696B"/>
        <color rgb="FFFFEB84"/>
        <color rgb="FF63BE7B"/>
      </colorScale>
    </cfRule>
  </conditionalFormatting>
  <conditionalFormatting sqref="D3:D262">
    <cfRule type="colorScale" priority="8">
      <colorScale>
        <cfvo type="min" val="0"/>
        <cfvo type="percentile" val="50"/>
        <cfvo type="max" val="0"/>
        <color rgb="FF57BB8A"/>
        <color rgb="FFFFD666"/>
        <color rgb="FFE67C73"/>
      </colorScale>
    </cfRule>
  </conditionalFormatting>
  <conditionalFormatting sqref="M3:M11">
    <cfRule type="colorScale" priority="9">
      <colorScale>
        <cfvo type="min" val="0"/>
        <cfvo type="percentile" val="50"/>
        <cfvo type="max" val="0"/>
        <color rgb="FF57BB8A"/>
        <color rgb="FFFFFFFF"/>
        <color rgb="FFE67C73"/>
      </colorScale>
    </cfRule>
  </conditionalFormatting>
  <conditionalFormatting sqref="N3:N11">
    <cfRule type="colorScale" priority="10">
      <colorScale>
        <cfvo type="min" val="0"/>
        <cfvo type="percentile" val="50"/>
        <cfvo type="max" val="0"/>
        <color rgb="FFE67C73"/>
        <color rgb="FFFFFFFF"/>
        <color rgb="FF57BB8A"/>
      </colorScale>
    </cfRule>
  </conditionalFormatting>
  <conditionalFormatting sqref="O3:O11">
    <cfRule type="colorScale" priority="11">
      <colorScale>
        <cfvo type="min" val="0"/>
        <cfvo type="percentile" val="50"/>
        <cfvo type="max" val="0"/>
        <color rgb="FF57BB8A"/>
        <color rgb="FFFFFFFF"/>
        <color rgb="FFE67C73"/>
      </colorScale>
    </cfRule>
  </conditionalFormatting>
  <conditionalFormatting sqref="P3:P11">
    <cfRule type="colorScale" priority="12">
      <colorScale>
        <cfvo type="min" val="0"/>
        <cfvo type="percentile" val="50"/>
        <cfvo type="max" val="0"/>
        <color rgb="FF57BB8A"/>
        <color rgb="FFFFFFFF"/>
        <color rgb="FFE67C73"/>
      </colorScale>
    </cfRule>
  </conditionalFormatting>
  <conditionalFormatting sqref="Q3:Q11">
    <cfRule type="colorScale" priority="13">
      <colorScale>
        <cfvo type="min" val="0"/>
        <cfvo type="percentile" val="50"/>
        <cfvo type="max" val="0"/>
        <color rgb="FF57BB8A"/>
        <color rgb="FFFFFFFF"/>
        <color rgb="FFE67C73"/>
      </colorScale>
    </cfRule>
  </conditionalFormatting>
  <conditionalFormatting sqref="R3:R11">
    <cfRule type="colorScale" priority="14">
      <colorScale>
        <cfvo type="min" val="0"/>
        <cfvo type="percentile" val="50"/>
        <cfvo type="max" val="0"/>
        <color rgb="FF57BB8A"/>
        <color rgb="FFFFFFFF"/>
        <color rgb="FFE67C73"/>
      </colorScale>
    </cfRule>
  </conditionalFormatting>
  <conditionalFormatting sqref="S3:S11">
    <cfRule type="colorScale" priority="15">
      <colorScale>
        <cfvo type="min" val="0"/>
        <cfvo type="percentile" val="50"/>
        <cfvo type="max" val="0"/>
        <color rgb="FF57BB8A"/>
        <color rgb="FFFFFFFF"/>
        <color rgb="FFE67C73"/>
      </colorScale>
    </cfRule>
  </conditionalFormatting>
  <dataValidations count="1">
    <dataValidation allowBlank="true" errorStyle="stop" operator="between" prompt="Report date - Change this date to view the summary for that day." showDropDown="false" showErrorMessage="true" showInputMessage="true" sqref="K2" type="date">
      <formula1>DATE(2026,1,1)</formula1>
      <formula2>DATE(2030,12,31)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2026-10-10T07:04:21Z</dcterms:created>
  <dc:creator>openpyxl</dc:creator>
  <dc:description/>
  <dc:language>en-US</dc:language>
  <cp:lastModifiedBy/>
  <dcterms:modified xsi:type="dcterms:W3CDTF">2026-10-10T07:04:23Z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